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Revenue" sheetId="2" state="visible" r:id="rId4"/>
    <sheet name="OpIncome_Margin" sheetId="3" state="visible" r:id="rId5"/>
    <sheet name="Adj_FCF" sheetId="4" state="visible" r:id="rId6"/>
    <sheet name="NDR" sheetId="5" state="visible" r:id="rId7"/>
    <sheet name="Customers_50K" sheetId="6" state="visible" r:id="rId8"/>
    <sheet name="cRPO" sheetId="7" state="visible" r:id="rId9"/>
    <sheet name="Assumptions" sheetId="8" state="visible" r:id="rId10"/>
    <sheet name="Scorecard" sheetId="9" state="visible" r:id="rId11"/>
    <sheet name="Check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<sst xmlns="http://schemas.openxmlformats.org/spreadsheetml/2006/main" count="1861" uniqueCount="955">
  <si>
    <t xml:space="preserve">monday.com - PRE-REGISTERED Q3 2026 CALL (Phase 2a)</t>
  </si>
  <si>
    <t xml:space="preserve">Status</t>
  </si>
  <si>
    <t xml:space="preserve">DRAFT, NOT LOCKED. The owner will lock this workbook after review. No tag or lock has been applied by the builder.</t>
  </si>
  <si>
    <t xml:space="preserve">Date built</t>
  </si>
  <si>
    <t xml:space="preserve">2026-10-28 (information cutoff October 28, 2026). monday.com is scheduled to report Q3 2026 on November 9, 2026; no Q3 2026 result was available or used.</t>
  </si>
  <si>
    <t xml:space="preserve">Method fixed before results</t>
  </si>
  <si>
    <t xml:space="preserve">Each metric sheet begins with a METHOD STATEMENT written before any value was computed. The calls are the mechanical output of those rules applied to source-book data plus the explicitly Assumed parameters listed on the Assumptions sheet.</t>
  </si>
  <si>
    <t xml:space="preserve">No-edit rule</t>
  </si>
  <si>
    <t xml:space="preserve">After the owner locks this workbook, the call (Low / Mid / High) and the method statements will NOT be edited. After November 9, 2026 only the "Actual" and "Within range?" columns of the Scorecard are filled; any later correction is recorded as a new, dated note, never by changing the call.</t>
  </si>
  <si>
    <t xml:space="preserve">Sources</t>
  </si>
  <si>
    <t xml:space="preserve">Inputs are copied from monday_sourcebook.xlsx (Row IDs QA-/GH-) and the guidance-beat history is cross-tied to monday_analysis.xlsx (Guidance_Accuracy column N). No new data sources.</t>
  </si>
  <si>
    <t xml:space="preserve">Labels</t>
  </si>
  <si>
    <t xml:space="preserve">Sourced = blue hard-coded copy with Row ID beside it. Derived = black live formula. Assumed = orange on a light-orange fill; each has a one-line rationale and a sensitivity (Assumptions sheet). Column B of every table states the label of the row; call cells are on a yellow fill.</t>
  </si>
  <si>
    <t xml:space="preserve">Units</t>
  </si>
  <si>
    <t xml:space="preserve">Revenue, operating income and FCF in USD millions for calls (actuals copied in USD thousands and converted by formula); NDR as a percentage; customers as a count.</t>
  </si>
  <si>
    <t xml:space="preserve">FX assumption</t>
  </si>
  <si>
    <t xml:space="preserve">Q3 2026 revenue guidance states no FX assumption; Q3 non-GAAP operating income guidance assumes a negative FX impact of 100-200 bps (GH-0101). The call assumes FX in Q3 2026 is as embedded in the company guidance: an ADDITIONAL FX adjustment of 0 bps (Assumed, sensitivity shown).</t>
  </si>
  <si>
    <t xml:space="preserve">Not included</t>
  </si>
  <si>
    <t xml:space="preserve">No narrative beyond the required sections, no recommendation, no operating plan, no forecast beyond Q3 2026.</t>
  </si>
  <si>
    <t xml:space="preserve">Sheets</t>
  </si>
  <si>
    <t xml:space="preserve">Revenue, OpIncome_Margin, Adj_FCF, NDR, Customers_50K, cRPO, Assumptions, Scorecard, Checks.</t>
  </si>
  <si>
    <t xml:space="preserve">Q3 2026 revenue call</t>
  </si>
  <si>
    <t xml:space="preserve">USD millions unless stated. Q3 2026 guidance issued August 10, 2026 (GH-0102).</t>
  </si>
  <si>
    <t xml:space="preserve">1. METHOD STATEMENT (fixed before computing)</t>
  </si>
  <si>
    <t xml:space="preserve">Rule: Call = Q3 2026 revenue guidance midpoint x (1 + historical % beat vs guidance midpoint) x (1 + additional FX adjustment). Base case (MID) uses the MEDIAN % beat of the last 8 quarters with a prior-quarter guide (Q3 2024-Q2 2026); LOW uses the MINIMUM and HIGH the MAXIMUM of those 8 beats. Shown but not used for the call: the same statistics over all 20 quarters, and a scenario using the smallest recent beat (Q4 2025, the quarter the company first quantified an FX headwind). Additional FX adjustment is Assumed at 0 bps (FX assumed as embedded in guidance). Median, not mean, so that one outlier quarter does not set the base case.</t>
  </si>
  <si>
    <t xml:space="preserve">Text (method)</t>
  </si>
  <si>
    <t xml:space="preserve">2. Inputs</t>
  </si>
  <si>
    <t xml:space="preserve">Item</t>
  </si>
  <si>
    <t xml:space="preserve">Label</t>
  </si>
  <si>
    <t xml:space="preserve">Value / Low</t>
  </si>
  <si>
    <t xml:space="preserve">Mid</t>
  </si>
  <si>
    <t xml:space="preserve">High</t>
  </si>
  <si>
    <t xml:space="preserve">Row ID / reference</t>
  </si>
  <si>
    <t xml:space="preserve">Source ID</t>
  </si>
  <si>
    <t xml:space="preserve">Note / rationale</t>
  </si>
  <si>
    <t xml:space="preserve">Sensitivity</t>
  </si>
  <si>
    <t xml:space="preserve">Q3 2026 revenue guidance - low (USD m)</t>
  </si>
  <si>
    <t xml:space="preserve">Sourced</t>
  </si>
  <si>
    <t xml:space="preserve">GH-0102</t>
  </si>
  <si>
    <t xml:space="preserve">ER-2026Q2</t>
  </si>
  <si>
    <t xml:space="preserve">GH-0102 "Total revenue of $368 million to $370 million"</t>
  </si>
  <si>
    <t xml:space="preserve">Q3 2026 revenue guidance - high (USD m)</t>
  </si>
  <si>
    <t xml:space="preserve">Q2 2026 revenue (USD k)</t>
  </si>
  <si>
    <t xml:space="preserve">QA-0037</t>
  </si>
  <si>
    <t xml:space="preserve">Q3 2025 revenue (USD k)</t>
  </si>
  <si>
    <t xml:space="preserve">QA-0032</t>
  </si>
  <si>
    <t xml:space="preserve">ER-2025Q3</t>
  </si>
  <si>
    <t xml:space="preserve">Q1 2025 revenue (USD k)</t>
  </si>
  <si>
    <t xml:space="preserve">QA-0029</t>
  </si>
  <si>
    <t xml:space="preserve">ER-2025Q1</t>
  </si>
  <si>
    <t xml:space="preserve">Q2 2025 revenue (USD k)</t>
  </si>
  <si>
    <t xml:space="preserve">QA-0030</t>
  </si>
  <si>
    <t xml:space="preserve">ER-2025Q2</t>
  </si>
  <si>
    <t xml:space="preserve">Q4 2025 revenue (USD k)</t>
  </si>
  <si>
    <t xml:space="preserve">QA-0034</t>
  </si>
  <si>
    <t xml:space="preserve">ER-2025Q4</t>
  </si>
  <si>
    <t xml:space="preserve">Q1 2026 revenue (USD k)</t>
  </si>
  <si>
    <t xml:space="preserve">QA-0036</t>
  </si>
  <si>
    <t xml:space="preserve">ER-2026Q1</t>
  </si>
  <si>
    <t xml:space="preserve">Additional FX adjustment to Q3 revenue vs guidance (bps)</t>
  </si>
  <si>
    <t xml:space="preserve">Assumed</t>
  </si>
  <si>
    <t xml:space="preserve">Revenue guidance states no FX assumption; no FX data after Aug 10 is in the source book; assume FX is as embedded in the guide.</t>
  </si>
  <si>
    <t xml:space="preserve">Each +/-100 bps changes the call by about +/-$3.8M (1% of the MID call).</t>
  </si>
  <si>
    <t xml:space="preserve">Beat window used for the call (quarters)</t>
  </si>
  <si>
    <t xml:space="preserve">Recent 8 quarters reflect the current scale and guidance practice; all-history (20) shown as alternative.</t>
  </si>
  <si>
    <t xml:space="preserve">All-history MID would be higher (median 3.7% vs 2.5% beat); see section 3.</t>
  </si>
  <si>
    <t xml:space="preserve">Beat history (Sourced guidance and actuals; Derived % beat)</t>
  </si>
  <si>
    <t xml:space="preserve">Quarter</t>
  </si>
  <si>
    <t xml:space="preserve">Guide low (USD m)</t>
  </si>
  <si>
    <t xml:space="preserve">Guide high (USD m)</t>
  </si>
  <si>
    <t xml:space="preserve">Actual (USD k)</t>
  </si>
  <si>
    <t xml:space="preserve">GH Row ID / QA Row ID</t>
  </si>
  <si>
    <t xml:space="preserve">Source IDs</t>
  </si>
  <si>
    <t xml:space="preserve">Midpoint (USD m) | % beat vs midpoint | USD m beat</t>
  </si>
  <si>
    <t xml:space="preserve">Analysis tie (monday_analysis.xlsx)</t>
  </si>
  <si>
    <t xml:space="preserve">Midpoint (USD m)</t>
  </si>
  <si>
    <t xml:space="preserve">% beat vs midpoint</t>
  </si>
  <si>
    <t xml:space="preserve">USD m beat vs midpoint</t>
  </si>
  <si>
    <t xml:space="preserve">Q3 2021</t>
  </si>
  <si>
    <t xml:space="preserve">Sourced (C:E); Derived (J:L)</t>
  </si>
  <si>
    <t xml:space="preserve">GH-0004 / QA-0004</t>
  </si>
  <si>
    <t xml:space="preserve">ER-2021Q2 / ER-2021Q3</t>
  </si>
  <si>
    <t xml:space="preserve">Guidance_Accuracy!N7</t>
  </si>
  <si>
    <t xml:space="preserve">Q4 2021</t>
  </si>
  <si>
    <t xml:space="preserve">GH-0008 / QA-0006</t>
  </si>
  <si>
    <t xml:space="preserve">ER-2021Q3 / ER-2021Q4</t>
  </si>
  <si>
    <t xml:space="preserve">Guidance_Accuracy!N8</t>
  </si>
  <si>
    <t xml:space="preserve">Q1 2022</t>
  </si>
  <si>
    <t xml:space="preserve">GH-0012 / QA-0008</t>
  </si>
  <si>
    <t xml:space="preserve">ER-2021Q4 / ER-2022Q1</t>
  </si>
  <si>
    <t xml:space="preserve">Guidance_Accuracy!N9</t>
  </si>
  <si>
    <t xml:space="preserve">Q2 2022</t>
  </si>
  <si>
    <t xml:space="preserve">GH-0016 / QA-0009</t>
  </si>
  <si>
    <t xml:space="preserve">ER-2022Q1 / ER-2022Q2</t>
  </si>
  <si>
    <t xml:space="preserve">Guidance_Accuracy!N10</t>
  </si>
  <si>
    <t xml:space="preserve">Q3 2022</t>
  </si>
  <si>
    <t xml:space="preserve">GH-0020 / QA-0011</t>
  </si>
  <si>
    <t xml:space="preserve">ER-2022Q2 / ER-2022Q3</t>
  </si>
  <si>
    <t xml:space="preserve">Guidance_Accuracy!N11</t>
  </si>
  <si>
    <t xml:space="preserve">Q4 2022</t>
  </si>
  <si>
    <t xml:space="preserve">GH-0024 / QA-0013</t>
  </si>
  <si>
    <t xml:space="preserve">ER-2022Q3 / ER-2022Q4</t>
  </si>
  <si>
    <t xml:space="preserve">Guidance_Accuracy!N12</t>
  </si>
  <si>
    <t xml:space="preserve">Q1 2023</t>
  </si>
  <si>
    <t xml:space="preserve">GH-0028 / QA-0015</t>
  </si>
  <si>
    <t xml:space="preserve">ER-2022Q4 / ER-2023Q1</t>
  </si>
  <si>
    <t xml:space="preserve">Guidance_Accuracy!N13</t>
  </si>
  <si>
    <t xml:space="preserve">Q2 2023</t>
  </si>
  <si>
    <t xml:space="preserve">GH-0032 / QA-0016</t>
  </si>
  <si>
    <t xml:space="preserve">ER-2023Q1 / ER-2023Q2</t>
  </si>
  <si>
    <t xml:space="preserve">Guidance_Accuracy!N14</t>
  </si>
  <si>
    <t xml:space="preserve">Q3 2023</t>
  </si>
  <si>
    <t xml:space="preserve">GH-0036 / QA-0018</t>
  </si>
  <si>
    <t xml:space="preserve">ER-2023Q2 / ER-2023Q3</t>
  </si>
  <si>
    <t xml:space="preserve">Guidance_Accuracy!N15</t>
  </si>
  <si>
    <t xml:space="preserve">Q4 2023</t>
  </si>
  <si>
    <t xml:space="preserve">GH-0040 / QA-0020</t>
  </si>
  <si>
    <t xml:space="preserve">ER-2023Q3 / ER-2023Q4</t>
  </si>
  <si>
    <t xml:space="preserve">Guidance_Accuracy!N16</t>
  </si>
  <si>
    <t xml:space="preserve">Q1 2024</t>
  </si>
  <si>
    <t xml:space="preserve">GH-0046 / QA-0022</t>
  </si>
  <si>
    <t xml:space="preserve">ER-2023Q4 / ER-2024Q1</t>
  </si>
  <si>
    <t xml:space="preserve">Guidance_Accuracy!N17</t>
  </si>
  <si>
    <t xml:space="preserve">Q2 2024</t>
  </si>
  <si>
    <t xml:space="preserve">GH-0052 / QA-0023</t>
  </si>
  <si>
    <t xml:space="preserve">ER-2024Q1 / ER-2024Q2</t>
  </si>
  <si>
    <t xml:space="preserve">Guidance_Accuracy!N18</t>
  </si>
  <si>
    <t xml:space="preserve">Q3 2024</t>
  </si>
  <si>
    <t xml:space="preserve">GH-0058 / QA-0025</t>
  </si>
  <si>
    <t xml:space="preserve">ER-2024Q2 / ER-2024Q3</t>
  </si>
  <si>
    <t xml:space="preserve">Guidance_Accuracy!N19</t>
  </si>
  <si>
    <t xml:space="preserve">Q4 2024</t>
  </si>
  <si>
    <t xml:space="preserve">GH-0064 / QA-0027</t>
  </si>
  <si>
    <t xml:space="preserve">ER-2024Q3 / ER-2024Q4</t>
  </si>
  <si>
    <t xml:space="preserve">Guidance_Accuracy!N20</t>
  </si>
  <si>
    <t xml:space="preserve">Q1 2025</t>
  </si>
  <si>
    <t xml:space="preserve">GH-0069 / QA-0029</t>
  </si>
  <si>
    <t xml:space="preserve">ER-2024Q4 / ER-2025Q1</t>
  </si>
  <si>
    <t xml:space="preserve">Guidance_Accuracy!N21</t>
  </si>
  <si>
    <t xml:space="preserve">Q2 2025</t>
  </si>
  <si>
    <t xml:space="preserve">GH-0074 / QA-0030</t>
  </si>
  <si>
    <t xml:space="preserve">ER-2025Q1 / ER-2025Q2</t>
  </si>
  <si>
    <t xml:space="preserve">Guidance_Accuracy!N22</t>
  </si>
  <si>
    <t xml:space="preserve">Q3 2025</t>
  </si>
  <si>
    <t xml:space="preserve">GH-0079 / QA-0032</t>
  </si>
  <si>
    <t xml:space="preserve">ER-2025Q2 / ER-2025Q3</t>
  </si>
  <si>
    <t xml:space="preserve">Guidance_Accuracy!N23</t>
  </si>
  <si>
    <t xml:space="preserve">Q4 2025</t>
  </si>
  <si>
    <t xml:space="preserve">GH-0084 / QA-0034</t>
  </si>
  <si>
    <t xml:space="preserve">ER-2025Q3 / ER-2025Q4</t>
  </si>
  <si>
    <t xml:space="preserve">Guidance_Accuracy!N24</t>
  </si>
  <si>
    <t xml:space="preserve">Q1 2026</t>
  </si>
  <si>
    <t xml:space="preserve">GH-0089 / QA-0036</t>
  </si>
  <si>
    <t xml:space="preserve">ER-2025Q4 / ER-2026Q1</t>
  </si>
  <si>
    <t xml:space="preserve">Guidance_Accuracy!N25</t>
  </si>
  <si>
    <t xml:space="preserve">Q2 2026</t>
  </si>
  <si>
    <t xml:space="preserve">GH-0094 / QA-0037</t>
  </si>
  <si>
    <t xml:space="preserve">ER-2026Q1 / ER-2026Q2</t>
  </si>
  <si>
    <t xml:space="preserve">Guidance_Accuracy!N26</t>
  </si>
  <si>
    <t xml:space="preserve">3. Calculation</t>
  </si>
  <si>
    <t xml:space="preserve">Q3 2026 guidance midpoint (USD m)</t>
  </si>
  <si>
    <t xml:space="preserve">Derived</t>
  </si>
  <si>
    <t xml:space="preserve">Last-8 % beat: min / median / max</t>
  </si>
  <si>
    <t xml:space="preserve">All-history (20) % beat: min / median / max</t>
  </si>
  <si>
    <t xml:space="preserve">Smallest recent beat scenario (Q4 2025 % beat)</t>
  </si>
  <si>
    <t xml:space="preserve">Alternative (not the call): all-history beats applied</t>
  </si>
  <si>
    <t xml:space="preserve">Scenario (not the call): smallest recent beat (Q4 2025)</t>
  </si>
  <si>
    <t xml:space="preserve">4. CALL</t>
  </si>
  <si>
    <t xml:space="preserve">Q3 2026 revenue CALL (USD m)</t>
  </si>
  <si>
    <t xml:space="preserve">Derived from Sourced inputs and Assumed parameters (FX 0 bps; 8-quarter window).</t>
  </si>
  <si>
    <t xml:space="preserve">Cross-checks</t>
  </si>
  <si>
    <t xml:space="preserve">Implied Q3 vs Q2 2026 sequential growth</t>
  </si>
  <si>
    <t xml:space="preserve">Actual sequential growth, last 4 quarters (Q3 2025-Q2 2026): min / mean / max</t>
  </si>
  <si>
    <t xml:space="preserve">Implied Q3 2026 YoY growth</t>
  </si>
  <si>
    <t xml:space="preserve">Q2 2026 actual YoY was 21.9% (incl. ~110 bps FX benefit)</t>
  </si>
  <si>
    <t xml:space="preserve">5. What would make the call wrong</t>
  </si>
  <si>
    <t xml:space="preserve">(a) The beat pattern breaks: the restructuring (July 22, 2026; ~20% of workforce) or the AI Work Platform pricing transition disrupts go-to-market and Q3 lands near or below the guidance midpoint. (b) FX moves materially versus what is embedded in the guide (Q2 2026 had ~110 bps favorable FX). (c) The company guided less conservatively than in the past 8 quarters (the August FY revenue guide was held flat after a Q2 beat, lowering the H2 implied by guidance).</t>
  </si>
  <si>
    <t xml:space="preserve">Text</t>
  </si>
  <si>
    <t xml:space="preserve">6. Interview explanation (3 sentences)</t>
  </si>
  <si>
    <t xml:space="preserve">I call Q3 2026 revenue at $378.4M (range $374.5M-$382.4M), which is the $369M guidance midpoint lifted by the median 2.5% beat monday.com has delivered over the last eight quarters, with the low and high set by the smallest (1.5%) and largest (3.6%) of those beats. That implies about 3.8% sequential and 19.4% year-over-year growth, at the bottom of the recent sequential range, consistent with the steady deceleration the guidance already signals. The main risk is that the restructuring or the AI pricing transition breaks a 20-quarter streak of beating the top of the revenue range, or that FX moves away from what is embedded in the guide.</t>
  </si>
  <si>
    <t xml:space="preserve">Q3 2026 non-GAAP operating income and margin call</t>
  </si>
  <si>
    <t xml:space="preserve">USD millions unless stated. Q3 2026 guidance issued August 10, 2026 (GH-0101), assuming a negative FX impact of 100-200 bps.</t>
  </si>
  <si>
    <t xml:space="preserve">Rule: Call = Q3 2026 non-GAAP operating income guidance midpoint x (1 + historical % beat vs midpoint) x additional-FX factor. Base case (MID) uses the MEDIAN % beat of the last 8 quarters; HIGH the MAXIMUM; LOW uses the smallest recent beat (Q4 2025, ~13%), the quarter in which the company first quantified an FX headwind on margin, because the Q3 guide again quantifies an FX headwind. All-history statistics and a USD-beat version are shown as cross-checks, not used. Margin = operating income call / revenue call at the same point (LOW/LOW, MID/MID, HIGH/HIGH). Additional FX adjustment Assumed at 0 bps beyond the guide's stated 100-200 bps headwind.</t>
  </si>
  <si>
    <t xml:space="preserve">Q3 2026 non-GAAP op. income guidance - low (USD m)</t>
  </si>
  <si>
    <t xml:space="preserve">GH-0101</t>
  </si>
  <si>
    <t xml:space="preserve">GH-0101; guide assumes negative FX of 100-200 bps</t>
  </si>
  <si>
    <t xml:space="preserve">Q3 2026 non-GAAP op. income guidance - high (USD m)</t>
  </si>
  <si>
    <t xml:space="preserve">Q2 2026 non-GAAP operating income (USD k)</t>
  </si>
  <si>
    <t xml:space="preserve">QA-0701</t>
  </si>
  <si>
    <t xml:space="preserve">Additional FX impact on Q3 non-GAAP operating margin beyond guide (bps)</t>
  </si>
  <si>
    <t xml:space="preserve">Guide already assumes -100 to -200 bps FX; no post-Aug 10 FX data in source book.</t>
  </si>
  <si>
    <t xml:space="preserve">Each -100 bps of margin is about -$3.8M of operating income at the MID revenue call.</t>
  </si>
  <si>
    <t xml:space="preserve">GH-0003 / QA-0668</t>
  </si>
  <si>
    <t xml:space="preserve">Guidance_Accuracy!N32</t>
  </si>
  <si>
    <t xml:space="preserve">GH-0007 / QA-0670</t>
  </si>
  <si>
    <t xml:space="preserve">Guidance_Accuracy!N33</t>
  </si>
  <si>
    <t xml:space="preserve">GH-0011 / QA-0672</t>
  </si>
  <si>
    <t xml:space="preserve">Guidance_Accuracy!N34</t>
  </si>
  <si>
    <t xml:space="preserve">GH-0015 / QA-0673</t>
  </si>
  <si>
    <t xml:space="preserve">Guidance_Accuracy!N35</t>
  </si>
  <si>
    <t xml:space="preserve">GH-0019 / QA-0675</t>
  </si>
  <si>
    <t xml:space="preserve">Guidance_Accuracy!N36</t>
  </si>
  <si>
    <t xml:space="preserve">GH-0023 / QA-0677</t>
  </si>
  <si>
    <t xml:space="preserve">Guidance_Accuracy!N37</t>
  </si>
  <si>
    <t xml:space="preserve">GH-0027 / QA-0679</t>
  </si>
  <si>
    <t xml:space="preserve">Guidance_Accuracy!N38</t>
  </si>
  <si>
    <t xml:space="preserve">GH-0031 / QA-0680</t>
  </si>
  <si>
    <t xml:space="preserve">Guidance_Accuracy!N39</t>
  </si>
  <si>
    <t xml:space="preserve">GH-0035 / QA-0682</t>
  </si>
  <si>
    <t xml:space="preserve">Guidance_Accuracy!N40</t>
  </si>
  <si>
    <t xml:space="preserve">GH-0039 / QA-0684</t>
  </si>
  <si>
    <t xml:space="preserve">Guidance_Accuracy!N41</t>
  </si>
  <si>
    <t xml:space="preserve">GH-0045 / QA-0686</t>
  </si>
  <si>
    <t xml:space="preserve">Guidance_Accuracy!N42</t>
  </si>
  <si>
    <t xml:space="preserve">GH-0051 / QA-0687</t>
  </si>
  <si>
    <t xml:space="preserve">Guidance_Accuracy!N43</t>
  </si>
  <si>
    <t xml:space="preserve">GH-0057 / QA-0689</t>
  </si>
  <si>
    <t xml:space="preserve">Guidance_Accuracy!N44</t>
  </si>
  <si>
    <t xml:space="preserve">GH-0063 / QA-0691</t>
  </si>
  <si>
    <t xml:space="preserve">Guidance_Accuracy!N45</t>
  </si>
  <si>
    <t xml:space="preserve">GH-0068 / QA-0693</t>
  </si>
  <si>
    <t xml:space="preserve">Guidance_Accuracy!N46</t>
  </si>
  <si>
    <t xml:space="preserve">GH-0073 / QA-0694</t>
  </si>
  <si>
    <t xml:space="preserve">Guidance_Accuracy!N47</t>
  </si>
  <si>
    <t xml:space="preserve">GH-0078 / QA-0696</t>
  </si>
  <si>
    <t xml:space="preserve">Guidance_Accuracy!N48</t>
  </si>
  <si>
    <t xml:space="preserve">GH-0083 / QA-0698</t>
  </si>
  <si>
    <t xml:space="preserve">Guidance_Accuracy!N49</t>
  </si>
  <si>
    <t xml:space="preserve">GH-0088 / QA-0700</t>
  </si>
  <si>
    <t xml:space="preserve">Guidance_Accuracy!N50</t>
  </si>
  <si>
    <t xml:space="preserve">GH-0093 / QA-0701</t>
  </si>
  <si>
    <t xml:space="preserve">Guidance_Accuracy!N51</t>
  </si>
  <si>
    <t xml:space="preserve">All-history (20) % beat: min / median / max (includes loss-guidance years)</t>
  </si>
  <si>
    <t xml:space="preserve">Smallest recent beat (Q4 2025)</t>
  </si>
  <si>
    <t xml:space="preserve">Last-8 USD beat: min / median / max (USD m)</t>
  </si>
  <si>
    <t xml:space="preserve">Q3 2026 non-GAAP operating income CALL (USD m)</t>
  </si>
  <si>
    <t xml:space="preserve">LOW = smallest recent beat (Q4 2025); MID = last-8 median; HIGH = last-8 max.</t>
  </si>
  <si>
    <t xml:space="preserve">Q3 2026 non-GAAP operating margin CALL</t>
  </si>
  <si>
    <t xml:space="preserve">Op. income call / revenue call at the same point.</t>
  </si>
  <si>
    <t xml:space="preserve">Alternative (not the call): all-history % beats</t>
  </si>
  <si>
    <t xml:space="preserve">Alternative (not the call): guide midpoint + last-8 USD beat</t>
  </si>
  <si>
    <t xml:space="preserve">Guide-implied Q3 margin (op. income guide mid / revenue guide mid)</t>
  </si>
  <si>
    <t xml:space="preserve">Q2 2026 actual non-GAAP operating margin</t>
  </si>
  <si>
    <t xml:space="preserve">Implied change vs Q2 2026 non-GAAP operating income</t>
  </si>
  <si>
    <t xml:space="preserve">(a) Restructuring savings are already fully in the guide, so the historical cushion shrinks (as in Q4 2025, when the beat was ~13%). (b) FX headwind larger than the guide's 100-200 bps. (c) AI compute costs press gross margin (company expects a modest decline mid-term). (d) Percentage beats scale with the guide: a % beat on a larger, post-restructuring guide may overstate the USD beat (see USD-beat cross-check).</t>
  </si>
  <si>
    <t xml:space="preserve">I call Q3 2026 non-GAAP operating income at $78.3M (range $65.7M-$90.9M), which applies the median 35% beat of the last eight quarters to the $58M guidance midpoint, with the low set by the 13% beat in Q4 2025, the last time the company flagged an FX headwind. On my revenue call that is a 20.7% margin (range 17.6%-23.8%), well above the 15.7% the guidance implies and Q2's 16.8%, so this is the least comfortable call in the workbook. A dollar-based beat would put the midpoint nearer $69.6M, and if the restructuring savings are already fully in the guide the beat could look more like Q4 2025's.</t>
  </si>
  <si>
    <t xml:space="preserve">Q3 2026 adjusted free cash flow call</t>
  </si>
  <si>
    <t xml:space="preserve">USD millions unless stated. FY2026 adjusted FCF guidance $280-290M (GH-0098, Aug 10, 2026).</t>
  </si>
  <si>
    <t xml:space="preserve">Rule: H2 2026 implied adjusted FCF = FY2026 adjusted FCF guidance - H1 2026 actual adjusted FCF. Q3 call = H2 implied x Q3 share of H2 adjusted FCF, using 2023-2025 actuals (years with positive FCF in every quarter). MID = H2 midpoint x MEAN Q3 share; LOW = H2 low x MIN Q3 share; HIGH = H2 high x MAX Q3 share. No guidance-beat factor is applied (method as specified). Restructuring cash: Assumed 0 additional adjustment (the guide is taken as the company's full expectation); sensitivity shown. FX as embedded in the guide (company states -100 to -200 bps).</t>
  </si>
  <si>
    <t xml:space="preserve">FY2026 adjusted FCF guidance - low (USD m)</t>
  </si>
  <si>
    <t xml:space="preserve">GH-0098</t>
  </si>
  <si>
    <t xml:space="preserve">FY2026 adjusted FCF guidance - high (USD m)</t>
  </si>
  <si>
    <t xml:space="preserve">H1 2026 adjusted FCF (USD k)</t>
  </si>
  <si>
    <t xml:space="preserve">QA-1104</t>
  </si>
  <si>
    <t xml:space="preserve">Q3 2023 adjusted FCF / FCF (USD k)</t>
  </si>
  <si>
    <t xml:space="preserve">QA-1084</t>
  </si>
  <si>
    <t xml:space="preserve">ER-2023Q3</t>
  </si>
  <si>
    <t xml:space="preserve">Q4 2023 adjusted FCF / FCF (USD k)</t>
  </si>
  <si>
    <t xml:space="preserve">QA-1086</t>
  </si>
  <si>
    <t xml:space="preserve">ER-2023Q4</t>
  </si>
  <si>
    <t xml:space="preserve">Q3 2024 adjusted FCF / FCF (USD k)</t>
  </si>
  <si>
    <t xml:space="preserve">QA-1091</t>
  </si>
  <si>
    <t xml:space="preserve">ER-2024Q3</t>
  </si>
  <si>
    <t xml:space="preserve">Q4 2024 adjusted FCF / FCF (USD k)</t>
  </si>
  <si>
    <t xml:space="preserve">QA-1093</t>
  </si>
  <si>
    <t xml:space="preserve">ER-2024Q4</t>
  </si>
  <si>
    <t xml:space="preserve">Q3 2025 adjusted FCF / FCF (USD k)</t>
  </si>
  <si>
    <t xml:space="preserve">QA-1098</t>
  </si>
  <si>
    <t xml:space="preserve">Q4 2025 adjusted FCF / FCF (USD k)</t>
  </si>
  <si>
    <t xml:space="preserve">QA-1100</t>
  </si>
  <si>
    <t xml:space="preserve">Q3 2023 non-GAAP operating income (USD k)</t>
  </si>
  <si>
    <t xml:space="preserve">QA-0682</t>
  </si>
  <si>
    <t xml:space="preserve">Q3 2024 non-GAAP operating income (USD k)</t>
  </si>
  <si>
    <t xml:space="preserve">QA-0689</t>
  </si>
  <si>
    <t xml:space="preserve">Q3 2025 non-GAAP operating income (USD k)</t>
  </si>
  <si>
    <t xml:space="preserve">QA-0696</t>
  </si>
  <si>
    <t xml:space="preserve">Q3 2023 revenue (USD k)</t>
  </si>
  <si>
    <t xml:space="preserve">QA-0018</t>
  </si>
  <si>
    <t xml:space="preserve">Q3 2024 revenue (USD k)</t>
  </si>
  <si>
    <t xml:space="preserve">QA-0025</t>
  </si>
  <si>
    <t xml:space="preserve">Additional restructuring cash deducted from Q3 adjusted FCF beyond the FY guide (USD m)</t>
  </si>
  <si>
    <t xml:space="preserve">July 22 6-K: FY margin/FCF projections exclude restructuring charges; whether severance cash (~$30-35M est.) is inside the Aug 10 FCF guide is not stated; treat guide as complete.</t>
  </si>
  <si>
    <t xml:space="preserve">If severance cash of ~$30-35M falls in Q3 and is outside the guide, Q3 FCF would be ~$30-35M lower than the call.</t>
  </si>
  <si>
    <t xml:space="preserve">H2 2026 implied adjusted FCF (USD m)</t>
  </si>
  <si>
    <t xml:space="preserve">Q3 share of H2 adjusted FCF, 2023</t>
  </si>
  <si>
    <t xml:space="preserve">Q3 share of H2 adjusted FCF, 2024</t>
  </si>
  <si>
    <t xml:space="preserve">Q3 share of H2 adjusted FCF, 2025</t>
  </si>
  <si>
    <t xml:space="preserve">Q3 share: min / mean / max (2023-2025)</t>
  </si>
  <si>
    <t xml:space="preserve">Q3 2026 adjusted FCF CALL (USD m)</t>
  </si>
  <si>
    <t xml:space="preserve">Derived from guide, H1 actual, seasonality; restructuring adjustment Assumed 0.</t>
  </si>
  <si>
    <t xml:space="preserve">Implied Q3 2026 adjusted FCF margin (vs revenue call)</t>
  </si>
  <si>
    <t xml:space="preserve">Actual Q3 adjusted FCF margin 2023-2025: min / mean / max</t>
  </si>
  <si>
    <t xml:space="preserve">Implied Q3 2026 FCF / non-GAAP op. income (vs op. income call)</t>
  </si>
  <si>
    <t xml:space="preserve">Actual Q3 FCF / non-GAAP op. income 2023-2025: min / mean / max</t>
  </si>
  <si>
    <t xml:space="preserve">(a) Restructuring severance cash lands in Q3 outside the guide (sensitivity ~-$30-35M). (b) Q3/Q4 timing differs from 2023-2025 (collections, billing seasonality, or a pricing-model change). (c) The company beats its FY FCF guide as it historically beat quarterly guides; the method applies no beat, so the call is biased low if that pattern holds.</t>
  </si>
  <si>
    <t xml:space="preserve">I call Q3 2026 adjusted free cash flow at $73.2M (range $66.3M-$83.5M): the $285M full-year guidance midpoint less $155.1M generated in H1 leaves about $130M for H2, and Q3 has historically produced 53%-62% of H2 free cash flow. That implies a Q3 FCF margin of about 19%, far below the 29%-34% of prior third quarters, because the method takes the full-year guide at face value with no beat. The biggest swing factor is restructuring severance cash, roughly $30-35M by the company's estimate; whether it falls in Q3 and whether the guide includes it is not disclosed.</t>
  </si>
  <si>
    <t xml:space="preserve">Q3 2026 all-customer net dollar retention call</t>
  </si>
  <si>
    <t xml:space="preserve">Percent. Exact values disclosed since Q4 2023; floors ("over X%") before that are excluded.</t>
  </si>
  <si>
    <t xml:space="preserve">Rule: Call = latest disclosed all-customer NDR (Q2 2026) + quarterly change over the last 4 quarters (Q3 2025-Q2 2026). MID = latest + MEAN change; LOW = latest + MIN single-quarter change; HIGH = latest + MAX single-quarter change. The company reports whole percentages, so the scorecard treats the call as the whole-percent band from LOW to HIGH. Window 4 quarters is Assumed.</t>
  </si>
  <si>
    <t xml:space="preserve">Q2 2024 all-customer NDR</t>
  </si>
  <si>
    <t xml:space="preserve">QA-1312</t>
  </si>
  <si>
    <t xml:space="preserve">ER-2024Q2</t>
  </si>
  <si>
    <t xml:space="preserve">Q3 2024 all-customer NDR</t>
  </si>
  <si>
    <t xml:space="preserve">QA-1313</t>
  </si>
  <si>
    <t xml:space="preserve">Q4 2024 all-customer NDR</t>
  </si>
  <si>
    <t xml:space="preserve">QA-1314</t>
  </si>
  <si>
    <t xml:space="preserve">Q1 2025 all-customer NDR</t>
  </si>
  <si>
    <t xml:space="preserve">QA-1315</t>
  </si>
  <si>
    <t xml:space="preserve">Q2 2025 all-customer NDR</t>
  </si>
  <si>
    <t xml:space="preserve">QA-1316</t>
  </si>
  <si>
    <t xml:space="preserve">Q3 2025 all-customer NDR</t>
  </si>
  <si>
    <t xml:space="preserve">QA-1317</t>
  </si>
  <si>
    <t xml:space="preserve">Q4 2025 all-customer NDR</t>
  </si>
  <si>
    <t xml:space="preserve">QA-1318</t>
  </si>
  <si>
    <t xml:space="preserve">Q1 2026 all-customer NDR</t>
  </si>
  <si>
    <t xml:space="preserve">QA-1319</t>
  </si>
  <si>
    <t xml:space="preserve">Q2 2026 all-customer NDR</t>
  </si>
  <si>
    <t xml:space="preserve">QA-1320</t>
  </si>
  <si>
    <t xml:space="preserve">Trend window (quarters)</t>
  </si>
  <si>
    <t xml:space="preserve">Most recent four quarters capture the anniversary of 2024-H1 2025 pricing adjustments cited by the company.</t>
  </si>
  <si>
    <t xml:space="preserve">8-quarter window gives MID +0.0 pp change (latest 109%); see cross-check.</t>
  </si>
  <si>
    <t xml:space="preserve">Change Q2 2024 -&gt; Q3 2024 (pp)</t>
  </si>
  <si>
    <t xml:space="preserve">Change Q3 2024 -&gt; Q4 2024 (pp)</t>
  </si>
  <si>
    <t xml:space="preserve">Change Q4 2024 -&gt; Q1 2025 (pp)</t>
  </si>
  <si>
    <t xml:space="preserve">Change Q1 2025 -&gt; Q2 2025 (pp)</t>
  </si>
  <si>
    <t xml:space="preserve">Change Q2 2025 -&gt; Q3 2025 (pp)</t>
  </si>
  <si>
    <t xml:space="preserve">Change Q3 2025 -&gt; Q4 2025 (pp)</t>
  </si>
  <si>
    <t xml:space="preserve">Change Q4 2025 -&gt; Q1 2026 (pp)</t>
  </si>
  <si>
    <t xml:space="preserve">Change Q1 2026 -&gt; Q2 2026 (pp)</t>
  </si>
  <si>
    <t xml:space="preserve">Last-4 change (pp): min / mean / max</t>
  </si>
  <si>
    <t xml:space="preserve">Last-8 change (pp): min / mean / max (cross-check)</t>
  </si>
  <si>
    <t xml:space="preserve">Q3 2026 all-customer NDR CALL</t>
  </si>
  <si>
    <t xml:space="preserve">Scored as within range if the reported whole-% NDR is between LOW and HIGH inclusive.</t>
  </si>
  <si>
    <t xml:space="preserve">8-quarter-window version (not the call)</t>
  </si>
  <si>
    <t xml:space="preserve">Range of exact all-customer NDR, Q2 2024-Q2 2026: min / max</t>
  </si>
  <si>
    <t xml:space="preserve">(a) NDR basis is not stated (point-in-time vs trailing 12-month weighted average); a trailing basis would move more slowly than the call assumes. (b) Seats-plus-credits / AI pricing (Q1 2026) adds expansion revenue faster than expected. (c) Restructuring-related go-to-market disruption increases contraction. (d) The company could stop or change the disclosure.</t>
  </si>
  <si>
    <t xml:space="preserve">I call all-customer net dollar retention at 108%-109% for Q3 2026 (midpoint 108.5%), extending the last four quarters' average decline of half a point from Q2's 109%. The company has said the 2024 and early-2025 price increases flattered retention and are now anniversarying, which fits the slow drift down from 112% in late 2024. It could prove wrong if the new seats-plus-credits AI pricing lifts expansion faster than expected, or if the undisclosed calculation basis (point-in-time vs trailing average) behaves differently than the trend assumes.</t>
  </si>
  <si>
    <t xml:space="preserve">Q3 2026 paid customers with more than $50,000 in ARR - call</t>
  </si>
  <si>
    <t xml:space="preserve">Count, point-in-time at September 30, 2026.</t>
  </si>
  <si>
    <t xml:space="preserve">Rule: Call = latest count (Q2 2026) + sequential net additions over the last 4 quarters (Q3 2025-Q2 2026). MID = latest + MEAN net adds; LOW = latest + MIN net adds; HIGH = latest + MAX net adds. Window 4 quarters is Assumed. Net adds are differences of disclosed point-in-time counts (Derived); counts are never summed.</t>
  </si>
  <si>
    <t xml:space="preserve">Q3 2024 paid customers &gt;$50k ARR</t>
  </si>
  <si>
    <t xml:space="preserve">QA-1419</t>
  </si>
  <si>
    <t xml:space="preserve">Q4 2024 paid customers &gt;$50k ARR</t>
  </si>
  <si>
    <t xml:space="preserve">QA-1420</t>
  </si>
  <si>
    <t xml:space="preserve">Q1 2025 paid customers &gt;$50k ARR</t>
  </si>
  <si>
    <t xml:space="preserve">QA-1421</t>
  </si>
  <si>
    <t xml:space="preserve">Q2 2025 paid customers &gt;$50k ARR</t>
  </si>
  <si>
    <t xml:space="preserve">QA-1422</t>
  </si>
  <si>
    <t xml:space="preserve">Q3 2025 paid customers &gt;$50k ARR</t>
  </si>
  <si>
    <t xml:space="preserve">QA-1423</t>
  </si>
  <si>
    <t xml:space="preserve">Q4 2025 paid customers &gt;$50k ARR</t>
  </si>
  <si>
    <t xml:space="preserve">QA-1424</t>
  </si>
  <si>
    <t xml:space="preserve">Q1 2026 paid customers &gt;$50k ARR</t>
  </si>
  <si>
    <t xml:space="preserve">QA-1425</t>
  </si>
  <si>
    <t xml:space="preserve">Q2 2026 paid customers &gt;$50k ARR</t>
  </si>
  <si>
    <t xml:space="preserve">QA-1426</t>
  </si>
  <si>
    <t xml:space="preserve">Recent quarters reflect current go-to-market after the 2025 enterprise push and before the July 2026 restructuring.</t>
  </si>
  <si>
    <t xml:space="preserve">Using the min/max of the last 4 bounds the call; each +/-10 net adds moves the call by +/-10.</t>
  </si>
  <si>
    <t xml:space="preserve">Net adds Q2 2025 -&gt; Q3 2025</t>
  </si>
  <si>
    <t xml:space="preserve">Net adds Q3 2025 -&gt; Q4 2025</t>
  </si>
  <si>
    <t xml:space="preserve">Net adds Q4 2025 -&gt; Q1 2026</t>
  </si>
  <si>
    <t xml:space="preserve">Net adds Q1 2026 -&gt; Q2 2026</t>
  </si>
  <si>
    <t xml:space="preserve">Last-4 net adds: min / mean / max</t>
  </si>
  <si>
    <t xml:space="preserve">Q3 2026 paid customers &gt;$50k ARR CALL</t>
  </si>
  <si>
    <t xml:space="preserve">Implied YoY growth vs Q3 2025</t>
  </si>
  <si>
    <t xml:space="preserve">Actual YoY growth, Q3 2025-Q2 2026: min / mean / max</t>
  </si>
  <si>
    <t xml:space="preserve">Actual YoY growth, Q2 2026 (latest)</t>
  </si>
  <si>
    <t xml:space="preserve">(a) The ~20% workforce reduction (July 2026) reaches sales capacity and slows enterprise additions. (b) FX: ARR thresholds are nominal USD; a weaker USD lifts non-USD customers over $50k. (c) Seats-plus-credits pricing moves customers across the threshold faster or slower than recent quarters.</t>
  </si>
  <si>
    <t xml:space="preserve">I call paid customers above $50K ARR at 5,117 (range 5,100-5,125), adding the average of the last four quarters' net additions (283 a quarter) to Q2's 4,834. That implies about 28% year-over-year growth, a little below Q2's 30.6% and in line with the steady deceleration of this metric. The main risk is that the July 2026 workforce reduction reaches sales capacity, or that FX and the new pricing push customers across the nominal $50K threshold faster or slower than recent quarters.</t>
  </si>
  <si>
    <t xml:space="preserve">Q3 2026 current RPO - assessment</t>
  </si>
  <si>
    <t xml:space="preserve">USD millions (release values, rounded).</t>
  </si>
  <si>
    <t xml:space="preserve">Rule: a call is registered only if (i) at least four consecutive quarterly cRPO values and (ii) at least one prior Q3 observation (for seasonality) are disclosed on a consistent basis. If either condition fails, NO CALL is registered and the data inventory is shown.</t>
  </si>
  <si>
    <t xml:space="preserve">2. Inputs (all cRPO values in the source book)</t>
  </si>
  <si>
    <t xml:space="preserve">Q4 2024 cRPO (USD m)</t>
  </si>
  <si>
    <t xml:space="preserve">QA-1519</t>
  </si>
  <si>
    <t xml:space="preserve">Q1 2025 cRPO (USD m)</t>
  </si>
  <si>
    <t xml:space="preserve">QA-1520</t>
  </si>
  <si>
    <t xml:space="preserve">Q2 2025 cRPO (USD m)</t>
  </si>
  <si>
    <t xml:space="preserve">QA-1521</t>
  </si>
  <si>
    <t xml:space="preserve">Q4 2025 cRPO (USD m)</t>
  </si>
  <si>
    <t xml:space="preserve">QA-1522</t>
  </si>
  <si>
    <t xml:space="preserve">Q1 2026 cRPO (USD m)</t>
  </si>
  <si>
    <t xml:space="preserve">QA-1523</t>
  </si>
  <si>
    <t xml:space="preserve">Q2 2026 cRPO (USD m)</t>
  </si>
  <si>
    <t xml:space="preserve">QA-1524</t>
  </si>
  <si>
    <t xml:space="preserve">3. Test of the rule</t>
  </si>
  <si>
    <t xml:space="preserve">Count of disclosed cRPO values</t>
  </si>
  <si>
    <t xml:space="preserve">Q3 2025 (Sep 30, 2025) cRPO disclosed?</t>
  </si>
  <si>
    <t xml:space="preserve">No</t>
  </si>
  <si>
    <t xml:space="preserve">Q3 2025 release disclosed total RPO only; cRPO began Q4 2025 (comparatives from Dec 31, 2024).</t>
  </si>
  <si>
    <t xml:space="preserve">Longest run of consecutive quarterly values</t>
  </si>
  <si>
    <t xml:space="preserve">3 quarters</t>
  </si>
  <si>
    <t xml:space="preserve">Q4 2025-Q2 2026 (and Q4 2024-Q2 2025); gap at Q3 2025.</t>
  </si>
  <si>
    <t xml:space="preserve">June 30, 2025 RPO basis</t>
  </si>
  <si>
    <t xml:space="preserve">Recast</t>
  </si>
  <si>
    <t xml:space="preserve">Source book D4/R2: June 30, 2025 RPO recast without explanation ($767.8M -&gt; $699M); cRPO basis consistency unverified.</t>
  </si>
  <si>
    <t xml:space="preserve">Q3 2026 cRPO CALL</t>
  </si>
  <si>
    <t xml:space="preserve">NO CALL - too sparse</t>
  </si>
  <si>
    <t xml:space="preserve">Fails both conditions: no Q3 observation and only 3 consecutive quarters; plus the June 2025 RPO recast.</t>
  </si>
  <si>
    <t xml:space="preserve">5. What would make this assessment wrong</t>
  </si>
  <si>
    <t xml:space="preserve">If the company were to disclose Q3 2025 cRPO in the Q3 2026 release (as a comparative), the seasonality gap would close for future calls; it does not change this pre-registered decision.</t>
  </si>
  <si>
    <t xml:space="preserve">I am not registering a current RPO call, because the company has disclosed only six cRPO values, with no Q3 observation and a gap at September 2025, so there is no seasonal reference point. The pre-set rule required at least four consecutive quarters and one prior Q3 on a consistent basis, and the June 2025 RPO recast also leaves the basis unverified. I will record the reported figure for reference, but it is not scored.</t>
  </si>
  <si>
    <t xml:space="preserve">Assumed values (every Assumed value in the workbook; each links to the cell that drives the call)</t>
  </si>
  <si>
    <t xml:space="preserve">Sheet</t>
  </si>
  <si>
    <t xml:space="preserve">Cell</t>
  </si>
  <si>
    <t xml:space="preserve">Assumption</t>
  </si>
  <si>
    <t xml:space="preserve">Value (link)</t>
  </si>
  <si>
    <t xml:space="preserve">One-line rationale</t>
  </si>
  <si>
    <t xml:space="preserve">Revenue</t>
  </si>
  <si>
    <t xml:space="preserve">C18</t>
  </si>
  <si>
    <t xml:space="preserve">C19</t>
  </si>
  <si>
    <t xml:space="preserve">OpIncome_Margin</t>
  </si>
  <si>
    <t xml:space="preserve">C14</t>
  </si>
  <si>
    <t xml:space="preserve">Adj_FCF</t>
  </si>
  <si>
    <t xml:space="preserve">C25</t>
  </si>
  <si>
    <t xml:space="preserve">NDR</t>
  </si>
  <si>
    <t xml:space="preserve">Customers_50K</t>
  </si>
  <si>
    <t xml:space="preserve">Scorecard - Q3 2026 (to be completed after November 9, 2026 WITHOUT changing the call)</t>
  </si>
  <si>
    <t xml:space="preserve">Low/Mid/High are links to the call cells (Derived). "Actual" and "Within range?" are intentionally blank until results are reported.</t>
  </si>
  <si>
    <t xml:space="preserve">Metric</t>
  </si>
  <si>
    <t xml:space="preserve">Unit</t>
  </si>
  <si>
    <t xml:space="preserve">Low</t>
  </si>
  <si>
    <t xml:space="preserve">Actual</t>
  </si>
  <si>
    <t xml:space="preserve">Within range?</t>
  </si>
  <si>
    <t xml:space="preserve">Scoring rule</t>
  </si>
  <si>
    <t xml:space="preserve">Revenue (USD m)</t>
  </si>
  <si>
    <t xml:space="preserve">USD millions</t>
  </si>
  <si>
    <t xml:space="preserve">Within range if LOW &lt;= actual &lt;= HIGH (actual as reported by the company).</t>
  </si>
  <si>
    <t xml:space="preserve">Derived (links); F:G blank</t>
  </si>
  <si>
    <t xml:space="preserve">Non-GAAP operating income (USD m)</t>
  </si>
  <si>
    <t xml:space="preserve">Non-GAAP operating margin</t>
  </si>
  <si>
    <t xml:space="preserve">percentage</t>
  </si>
  <si>
    <t xml:space="preserve">Adjusted free cash flow (USD m)</t>
  </si>
  <si>
    <t xml:space="preserve">All-customer net dollar retention</t>
  </si>
  <si>
    <t xml:space="preserve">Within range if reported whole-% NDR is between ROUND(LOW) and ROUND(HIGH) inclusive.</t>
  </si>
  <si>
    <t xml:space="preserve">Paid customers &gt;$50k ARR</t>
  </si>
  <si>
    <t xml:space="preserve">customer count</t>
  </si>
  <si>
    <t xml:space="preserve">Current RPO (cRPO)</t>
  </si>
  <si>
    <t xml:space="preserve">NO CALL</t>
  </si>
  <si>
    <t xml:space="preserve">No call registered (too sparse; see cRPO sheet). Record the actual for reference only.</t>
  </si>
  <si>
    <t xml:space="preserve">Text; F:G blank</t>
  </si>
  <si>
    <t xml:space="preserve">Checks: every input tied to its source row (re-read by Row ID from monday_sourcebook.xlsx; beat % tied to monday_analysis.xlsx) + call ordering</t>
  </si>
  <si>
    <t xml:space="preserve">Check ID</t>
  </si>
  <si>
    <t xml:space="preserve">Type</t>
  </si>
  <si>
    <t xml:space="preserve">Source row / reference</t>
  </si>
  <si>
    <t xml:space="preserve">Workbook value</t>
  </si>
  <si>
    <t xml:space="preserve">Source value (re-read)</t>
  </si>
  <si>
    <t xml:space="preserve">Difference</t>
  </si>
  <si>
    <t xml:space="preserve">Note</t>
  </si>
  <si>
    <t xml:space="preserve">C3-0001</t>
  </si>
  <si>
    <t xml:space="preserve">Source book GH</t>
  </si>
  <si>
    <t xml:space="preserve">Revenue!C10</t>
  </si>
  <si>
    <t xml:space="preserve">C3-0002</t>
  </si>
  <si>
    <t xml:space="preserve">Revenue!C11</t>
  </si>
  <si>
    <t xml:space="preserve">C3-0003</t>
  </si>
  <si>
    <t xml:space="preserve">Source book QA</t>
  </si>
  <si>
    <t xml:space="preserve">Revenue!C12</t>
  </si>
  <si>
    <t xml:space="preserve">C3-0004</t>
  </si>
  <si>
    <t xml:space="preserve">Revenue!C13</t>
  </si>
  <si>
    <t xml:space="preserve">C3-0005</t>
  </si>
  <si>
    <t xml:space="preserve">Revenue!C14</t>
  </si>
  <si>
    <t xml:space="preserve">C3-0006</t>
  </si>
  <si>
    <t xml:space="preserve">Revenue!C15</t>
  </si>
  <si>
    <t xml:space="preserve">C3-0007</t>
  </si>
  <si>
    <t xml:space="preserve">Revenue!C16</t>
  </si>
  <si>
    <t xml:space="preserve">C3-0008</t>
  </si>
  <si>
    <t xml:space="preserve">Revenue!C17</t>
  </si>
  <si>
    <t xml:space="preserve">C3-0009</t>
  </si>
  <si>
    <t xml:space="preserve">Revenue!C23</t>
  </si>
  <si>
    <t xml:space="preserve">GH-0004</t>
  </si>
  <si>
    <t xml:space="preserve">C3-0010</t>
  </si>
  <si>
    <t xml:space="preserve">Revenue!D23</t>
  </si>
  <si>
    <t xml:space="preserve">C3-0011</t>
  </si>
  <si>
    <t xml:space="preserve">Revenue!E23</t>
  </si>
  <si>
    <t xml:space="preserve">QA-0004</t>
  </si>
  <si>
    <t xml:space="preserve">C3-0012</t>
  </si>
  <si>
    <t xml:space="preserve">Analysis tie (% beat)</t>
  </si>
  <si>
    <t xml:space="preserve">Revenue!K23</t>
  </si>
  <si>
    <t xml:space="preserve">C3-0013</t>
  </si>
  <si>
    <t xml:space="preserve">Revenue!C24</t>
  </si>
  <si>
    <t xml:space="preserve">GH-0008</t>
  </si>
  <si>
    <t xml:space="preserve">C3-0014</t>
  </si>
  <si>
    <t xml:space="preserve">Revenue!D24</t>
  </si>
  <si>
    <t xml:space="preserve">C3-0015</t>
  </si>
  <si>
    <t xml:space="preserve">Revenue!E24</t>
  </si>
  <si>
    <t xml:space="preserve">QA-0006</t>
  </si>
  <si>
    <t xml:space="preserve">C3-0016</t>
  </si>
  <si>
    <t xml:space="preserve">Revenue!K24</t>
  </si>
  <si>
    <t xml:space="preserve">C3-0017</t>
  </si>
  <si>
    <t xml:space="preserve">Revenue!C25</t>
  </si>
  <si>
    <t xml:space="preserve">GH-0012</t>
  </si>
  <si>
    <t xml:space="preserve">C3-0018</t>
  </si>
  <si>
    <t xml:space="preserve">Revenue!D25</t>
  </si>
  <si>
    <t xml:space="preserve">C3-0019</t>
  </si>
  <si>
    <t xml:space="preserve">Revenue!E25</t>
  </si>
  <si>
    <t xml:space="preserve">QA-0008</t>
  </si>
  <si>
    <t xml:space="preserve">C3-0020</t>
  </si>
  <si>
    <t xml:space="preserve">Revenue!K25</t>
  </si>
  <si>
    <t xml:space="preserve">C3-0021</t>
  </si>
  <si>
    <t xml:space="preserve">Revenue!C26</t>
  </si>
  <si>
    <t xml:space="preserve">GH-0016</t>
  </si>
  <si>
    <t xml:space="preserve">C3-0022</t>
  </si>
  <si>
    <t xml:space="preserve">Revenue!D26</t>
  </si>
  <si>
    <t xml:space="preserve">C3-0023</t>
  </si>
  <si>
    <t xml:space="preserve">Revenue!E26</t>
  </si>
  <si>
    <t xml:space="preserve">QA-0009</t>
  </si>
  <si>
    <t xml:space="preserve">C3-0024</t>
  </si>
  <si>
    <t xml:space="preserve">Revenue!K26</t>
  </si>
  <si>
    <t xml:space="preserve">C3-0025</t>
  </si>
  <si>
    <t xml:space="preserve">Revenue!C27</t>
  </si>
  <si>
    <t xml:space="preserve">GH-0020</t>
  </si>
  <si>
    <t xml:space="preserve">C3-0026</t>
  </si>
  <si>
    <t xml:space="preserve">Revenue!D27</t>
  </si>
  <si>
    <t xml:space="preserve">C3-0027</t>
  </si>
  <si>
    <t xml:space="preserve">Revenue!E27</t>
  </si>
  <si>
    <t xml:space="preserve">QA-0011</t>
  </si>
  <si>
    <t xml:space="preserve">C3-0028</t>
  </si>
  <si>
    <t xml:space="preserve">Revenue!K27</t>
  </si>
  <si>
    <t xml:space="preserve">C3-0029</t>
  </si>
  <si>
    <t xml:space="preserve">Revenue!C28</t>
  </si>
  <si>
    <t xml:space="preserve">GH-0024</t>
  </si>
  <si>
    <t xml:space="preserve">C3-0030</t>
  </si>
  <si>
    <t xml:space="preserve">Revenue!D28</t>
  </si>
  <si>
    <t xml:space="preserve">C3-0031</t>
  </si>
  <si>
    <t xml:space="preserve">Revenue!E28</t>
  </si>
  <si>
    <t xml:space="preserve">QA-0013</t>
  </si>
  <si>
    <t xml:space="preserve">C3-0032</t>
  </si>
  <si>
    <t xml:space="preserve">Revenue!K28</t>
  </si>
  <si>
    <t xml:space="preserve">C3-0033</t>
  </si>
  <si>
    <t xml:space="preserve">Revenue!C29</t>
  </si>
  <si>
    <t xml:space="preserve">GH-0028</t>
  </si>
  <si>
    <t xml:space="preserve">C3-0034</t>
  </si>
  <si>
    <t xml:space="preserve">Revenue!D29</t>
  </si>
  <si>
    <t xml:space="preserve">C3-0035</t>
  </si>
  <si>
    <t xml:space="preserve">Revenue!E29</t>
  </si>
  <si>
    <t xml:space="preserve">QA-0015</t>
  </si>
  <si>
    <t xml:space="preserve">C3-0036</t>
  </si>
  <si>
    <t xml:space="preserve">Revenue!K29</t>
  </si>
  <si>
    <t xml:space="preserve">C3-0037</t>
  </si>
  <si>
    <t xml:space="preserve">Revenue!C30</t>
  </si>
  <si>
    <t xml:space="preserve">GH-0032</t>
  </si>
  <si>
    <t xml:space="preserve">C3-0038</t>
  </si>
  <si>
    <t xml:space="preserve">Revenue!D30</t>
  </si>
  <si>
    <t xml:space="preserve">C3-0039</t>
  </si>
  <si>
    <t xml:space="preserve">Revenue!E30</t>
  </si>
  <si>
    <t xml:space="preserve">QA-0016</t>
  </si>
  <si>
    <t xml:space="preserve">C3-0040</t>
  </si>
  <si>
    <t xml:space="preserve">Revenue!K30</t>
  </si>
  <si>
    <t xml:space="preserve">C3-0041</t>
  </si>
  <si>
    <t xml:space="preserve">Revenue!C31</t>
  </si>
  <si>
    <t xml:space="preserve">GH-0036</t>
  </si>
  <si>
    <t xml:space="preserve">C3-0042</t>
  </si>
  <si>
    <t xml:space="preserve">Revenue!D31</t>
  </si>
  <si>
    <t xml:space="preserve">C3-0043</t>
  </si>
  <si>
    <t xml:space="preserve">Revenue!E31</t>
  </si>
  <si>
    <t xml:space="preserve">C3-0044</t>
  </si>
  <si>
    <t xml:space="preserve">Revenue!K31</t>
  </si>
  <si>
    <t xml:space="preserve">C3-0045</t>
  </si>
  <si>
    <t xml:space="preserve">Revenue!C32</t>
  </si>
  <si>
    <t xml:space="preserve">GH-0040</t>
  </si>
  <si>
    <t xml:space="preserve">C3-0046</t>
  </si>
  <si>
    <t xml:space="preserve">Revenue!D32</t>
  </si>
  <si>
    <t xml:space="preserve">C3-0047</t>
  </si>
  <si>
    <t xml:space="preserve">Revenue!E32</t>
  </si>
  <si>
    <t xml:space="preserve">QA-0020</t>
  </si>
  <si>
    <t xml:space="preserve">C3-0048</t>
  </si>
  <si>
    <t xml:space="preserve">Revenue!K32</t>
  </si>
  <si>
    <t xml:space="preserve">C3-0049</t>
  </si>
  <si>
    <t xml:space="preserve">Revenue!C33</t>
  </si>
  <si>
    <t xml:space="preserve">GH-0046</t>
  </si>
  <si>
    <t xml:space="preserve">C3-0050</t>
  </si>
  <si>
    <t xml:space="preserve">Revenue!D33</t>
  </si>
  <si>
    <t xml:space="preserve">C3-0051</t>
  </si>
  <si>
    <t xml:space="preserve">Revenue!E33</t>
  </si>
  <si>
    <t xml:space="preserve">QA-0022</t>
  </si>
  <si>
    <t xml:space="preserve">C3-0052</t>
  </si>
  <si>
    <t xml:space="preserve">Revenue!K33</t>
  </si>
  <si>
    <t xml:space="preserve">C3-0053</t>
  </si>
  <si>
    <t xml:space="preserve">Revenue!C34</t>
  </si>
  <si>
    <t xml:space="preserve">GH-0052</t>
  </si>
  <si>
    <t xml:space="preserve">C3-0054</t>
  </si>
  <si>
    <t xml:space="preserve">Revenue!D34</t>
  </si>
  <si>
    <t xml:space="preserve">C3-0055</t>
  </si>
  <si>
    <t xml:space="preserve">Revenue!E34</t>
  </si>
  <si>
    <t xml:space="preserve">QA-0023</t>
  </si>
  <si>
    <t xml:space="preserve">C3-0056</t>
  </si>
  <si>
    <t xml:space="preserve">Revenue!K34</t>
  </si>
  <si>
    <t xml:space="preserve">C3-0057</t>
  </si>
  <si>
    <t xml:space="preserve">Revenue!C35</t>
  </si>
  <si>
    <t xml:space="preserve">GH-0058</t>
  </si>
  <si>
    <t xml:space="preserve">C3-0058</t>
  </si>
  <si>
    <t xml:space="preserve">Revenue!D35</t>
  </si>
  <si>
    <t xml:space="preserve">C3-0059</t>
  </si>
  <si>
    <t xml:space="preserve">Revenue!E35</t>
  </si>
  <si>
    <t xml:space="preserve">C3-0060</t>
  </si>
  <si>
    <t xml:space="preserve">Revenue!K35</t>
  </si>
  <si>
    <t xml:space="preserve">C3-0061</t>
  </si>
  <si>
    <t xml:space="preserve">Revenue!C36</t>
  </si>
  <si>
    <t xml:space="preserve">GH-0064</t>
  </si>
  <si>
    <t xml:space="preserve">C3-0062</t>
  </si>
  <si>
    <t xml:space="preserve">Revenue!D36</t>
  </si>
  <si>
    <t xml:space="preserve">C3-0063</t>
  </si>
  <si>
    <t xml:space="preserve">Revenue!E36</t>
  </si>
  <si>
    <t xml:space="preserve">QA-0027</t>
  </si>
  <si>
    <t xml:space="preserve">C3-0064</t>
  </si>
  <si>
    <t xml:space="preserve">Revenue!K36</t>
  </si>
  <si>
    <t xml:space="preserve">C3-0065</t>
  </si>
  <si>
    <t xml:space="preserve">Revenue!C37</t>
  </si>
  <si>
    <t xml:space="preserve">GH-0069</t>
  </si>
  <si>
    <t xml:space="preserve">C3-0066</t>
  </si>
  <si>
    <t xml:space="preserve">Revenue!D37</t>
  </si>
  <si>
    <t xml:space="preserve">C3-0067</t>
  </si>
  <si>
    <t xml:space="preserve">Revenue!E37</t>
  </si>
  <si>
    <t xml:space="preserve">C3-0068</t>
  </si>
  <si>
    <t xml:space="preserve">Revenue!K37</t>
  </si>
  <si>
    <t xml:space="preserve">C3-0069</t>
  </si>
  <si>
    <t xml:space="preserve">Revenue!C38</t>
  </si>
  <si>
    <t xml:space="preserve">GH-0074</t>
  </si>
  <si>
    <t xml:space="preserve">C3-0070</t>
  </si>
  <si>
    <t xml:space="preserve">Revenue!D38</t>
  </si>
  <si>
    <t xml:space="preserve">C3-0071</t>
  </si>
  <si>
    <t xml:space="preserve">Revenue!E38</t>
  </si>
  <si>
    <t xml:space="preserve">C3-0072</t>
  </si>
  <si>
    <t xml:space="preserve">Revenue!K38</t>
  </si>
  <si>
    <t xml:space="preserve">C3-0073</t>
  </si>
  <si>
    <t xml:space="preserve">Revenue!C39</t>
  </si>
  <si>
    <t xml:space="preserve">GH-0079</t>
  </si>
  <si>
    <t xml:space="preserve">C3-0074</t>
  </si>
  <si>
    <t xml:space="preserve">Revenue!D39</t>
  </si>
  <si>
    <t xml:space="preserve">C3-0075</t>
  </si>
  <si>
    <t xml:space="preserve">Revenue!E39</t>
  </si>
  <si>
    <t xml:space="preserve">C3-0076</t>
  </si>
  <si>
    <t xml:space="preserve">Revenue!K39</t>
  </si>
  <si>
    <t xml:space="preserve">C3-0077</t>
  </si>
  <si>
    <t xml:space="preserve">Revenue!C40</t>
  </si>
  <si>
    <t xml:space="preserve">GH-0084</t>
  </si>
  <si>
    <t xml:space="preserve">C3-0078</t>
  </si>
  <si>
    <t xml:space="preserve">Revenue!D40</t>
  </si>
  <si>
    <t xml:space="preserve">C3-0079</t>
  </si>
  <si>
    <t xml:space="preserve">Revenue!E40</t>
  </si>
  <si>
    <t xml:space="preserve">C3-0080</t>
  </si>
  <si>
    <t xml:space="preserve">Revenue!K40</t>
  </si>
  <si>
    <t xml:space="preserve">C3-0081</t>
  </si>
  <si>
    <t xml:space="preserve">Revenue!C41</t>
  </si>
  <si>
    <t xml:space="preserve">GH-0089</t>
  </si>
  <si>
    <t xml:space="preserve">C3-0082</t>
  </si>
  <si>
    <t xml:space="preserve">Revenue!D41</t>
  </si>
  <si>
    <t xml:space="preserve">C3-0083</t>
  </si>
  <si>
    <t xml:space="preserve">Revenue!E41</t>
  </si>
  <si>
    <t xml:space="preserve">C3-0084</t>
  </si>
  <si>
    <t xml:space="preserve">Revenue!K41</t>
  </si>
  <si>
    <t xml:space="preserve">C3-0085</t>
  </si>
  <si>
    <t xml:space="preserve">Revenue!C42</t>
  </si>
  <si>
    <t xml:space="preserve">GH-0094</t>
  </si>
  <si>
    <t xml:space="preserve">C3-0086</t>
  </si>
  <si>
    <t xml:space="preserve">Revenue!D42</t>
  </si>
  <si>
    <t xml:space="preserve">C3-0087</t>
  </si>
  <si>
    <t xml:space="preserve">Revenue!E42</t>
  </si>
  <si>
    <t xml:space="preserve">C3-0088</t>
  </si>
  <si>
    <t xml:space="preserve">Revenue!K42</t>
  </si>
  <si>
    <t xml:space="preserve">C3-0089</t>
  </si>
  <si>
    <t xml:space="preserve">OpIncome_Margin!C10</t>
  </si>
  <si>
    <t xml:space="preserve">C3-0090</t>
  </si>
  <si>
    <t xml:space="preserve">OpIncome_Margin!C11</t>
  </si>
  <si>
    <t xml:space="preserve">C3-0091</t>
  </si>
  <si>
    <t xml:space="preserve">OpIncome_Margin!C12</t>
  </si>
  <si>
    <t xml:space="preserve">C3-0092</t>
  </si>
  <si>
    <t xml:space="preserve">OpIncome_Margin!C13</t>
  </si>
  <si>
    <t xml:space="preserve">C3-0093</t>
  </si>
  <si>
    <t xml:space="preserve">OpIncome_Margin!C18</t>
  </si>
  <si>
    <t xml:space="preserve">GH-0003</t>
  </si>
  <si>
    <t xml:space="preserve">C3-0094</t>
  </si>
  <si>
    <t xml:space="preserve">OpIncome_Margin!D18</t>
  </si>
  <si>
    <t xml:space="preserve">C3-0095</t>
  </si>
  <si>
    <t xml:space="preserve">OpIncome_Margin!E18</t>
  </si>
  <si>
    <t xml:space="preserve">QA-0668</t>
  </si>
  <si>
    <t xml:space="preserve">C3-0096</t>
  </si>
  <si>
    <t xml:space="preserve">OpIncome_Margin!K18</t>
  </si>
  <si>
    <t xml:space="preserve">C3-0097</t>
  </si>
  <si>
    <t xml:space="preserve">OpIncome_Margin!C19</t>
  </si>
  <si>
    <t xml:space="preserve">GH-0007</t>
  </si>
  <si>
    <t xml:space="preserve">C3-0098</t>
  </si>
  <si>
    <t xml:space="preserve">OpIncome_Margin!D19</t>
  </si>
  <si>
    <t xml:space="preserve">C3-0099</t>
  </si>
  <si>
    <t xml:space="preserve">OpIncome_Margin!E19</t>
  </si>
  <si>
    <t xml:space="preserve">QA-0670</t>
  </si>
  <si>
    <t xml:space="preserve">C3-0100</t>
  </si>
  <si>
    <t xml:space="preserve">OpIncome_Margin!K19</t>
  </si>
  <si>
    <t xml:space="preserve">C3-0101</t>
  </si>
  <si>
    <t xml:space="preserve">OpIncome_Margin!C20</t>
  </si>
  <si>
    <t xml:space="preserve">GH-0011</t>
  </si>
  <si>
    <t xml:space="preserve">C3-0102</t>
  </si>
  <si>
    <t xml:space="preserve">OpIncome_Margin!D20</t>
  </si>
  <si>
    <t xml:space="preserve">C3-0103</t>
  </si>
  <si>
    <t xml:space="preserve">OpIncome_Margin!E20</t>
  </si>
  <si>
    <t xml:space="preserve">QA-0672</t>
  </si>
  <si>
    <t xml:space="preserve">C3-0104</t>
  </si>
  <si>
    <t xml:space="preserve">OpIncome_Margin!K20</t>
  </si>
  <si>
    <t xml:space="preserve">C3-0105</t>
  </si>
  <si>
    <t xml:space="preserve">OpIncome_Margin!C21</t>
  </si>
  <si>
    <t xml:space="preserve">GH-0015</t>
  </si>
  <si>
    <t xml:space="preserve">C3-0106</t>
  </si>
  <si>
    <t xml:space="preserve">OpIncome_Margin!D21</t>
  </si>
  <si>
    <t xml:space="preserve">C3-0107</t>
  </si>
  <si>
    <t xml:space="preserve">OpIncome_Margin!E21</t>
  </si>
  <si>
    <t xml:space="preserve">QA-0673</t>
  </si>
  <si>
    <t xml:space="preserve">C3-0108</t>
  </si>
  <si>
    <t xml:space="preserve">OpIncome_Margin!K21</t>
  </si>
  <si>
    <t xml:space="preserve">C3-0109</t>
  </si>
  <si>
    <t xml:space="preserve">OpIncome_Margin!C22</t>
  </si>
  <si>
    <t xml:space="preserve">GH-0019</t>
  </si>
  <si>
    <t xml:space="preserve">C3-0110</t>
  </si>
  <si>
    <t xml:space="preserve">OpIncome_Margin!D22</t>
  </si>
  <si>
    <t xml:space="preserve">C3-0111</t>
  </si>
  <si>
    <t xml:space="preserve">OpIncome_Margin!E22</t>
  </si>
  <si>
    <t xml:space="preserve">QA-0675</t>
  </si>
  <si>
    <t xml:space="preserve">C3-0112</t>
  </si>
  <si>
    <t xml:space="preserve">OpIncome_Margin!K22</t>
  </si>
  <si>
    <t xml:space="preserve">C3-0113</t>
  </si>
  <si>
    <t xml:space="preserve">OpIncome_Margin!C23</t>
  </si>
  <si>
    <t xml:space="preserve">GH-0023</t>
  </si>
  <si>
    <t xml:space="preserve">C3-0114</t>
  </si>
  <si>
    <t xml:space="preserve">OpIncome_Margin!D23</t>
  </si>
  <si>
    <t xml:space="preserve">C3-0115</t>
  </si>
  <si>
    <t xml:space="preserve">OpIncome_Margin!E23</t>
  </si>
  <si>
    <t xml:space="preserve">QA-0677</t>
  </si>
  <si>
    <t xml:space="preserve">C3-0116</t>
  </si>
  <si>
    <t xml:space="preserve">OpIncome_Margin!K23</t>
  </si>
  <si>
    <t xml:space="preserve">C3-0117</t>
  </si>
  <si>
    <t xml:space="preserve">OpIncome_Margin!C24</t>
  </si>
  <si>
    <t xml:space="preserve">GH-0027</t>
  </si>
  <si>
    <t xml:space="preserve">C3-0118</t>
  </si>
  <si>
    <t xml:space="preserve">OpIncome_Margin!D24</t>
  </si>
  <si>
    <t xml:space="preserve">C3-0119</t>
  </si>
  <si>
    <t xml:space="preserve">OpIncome_Margin!E24</t>
  </si>
  <si>
    <t xml:space="preserve">QA-0679</t>
  </si>
  <si>
    <t xml:space="preserve">C3-0120</t>
  </si>
  <si>
    <t xml:space="preserve">OpIncome_Margin!K24</t>
  </si>
  <si>
    <t xml:space="preserve">C3-0121</t>
  </si>
  <si>
    <t xml:space="preserve">OpIncome_Margin!C25</t>
  </si>
  <si>
    <t xml:space="preserve">GH-0031</t>
  </si>
  <si>
    <t xml:space="preserve">C3-0122</t>
  </si>
  <si>
    <t xml:space="preserve">OpIncome_Margin!D25</t>
  </si>
  <si>
    <t xml:space="preserve">C3-0123</t>
  </si>
  <si>
    <t xml:space="preserve">OpIncome_Margin!E25</t>
  </si>
  <si>
    <t xml:space="preserve">QA-0680</t>
  </si>
  <si>
    <t xml:space="preserve">C3-0124</t>
  </si>
  <si>
    <t xml:space="preserve">OpIncome_Margin!K25</t>
  </si>
  <si>
    <t xml:space="preserve">C3-0125</t>
  </si>
  <si>
    <t xml:space="preserve">OpIncome_Margin!C26</t>
  </si>
  <si>
    <t xml:space="preserve">GH-0035</t>
  </si>
  <si>
    <t xml:space="preserve">C3-0126</t>
  </si>
  <si>
    <t xml:space="preserve">OpIncome_Margin!D26</t>
  </si>
  <si>
    <t xml:space="preserve">C3-0127</t>
  </si>
  <si>
    <t xml:space="preserve">OpIncome_Margin!E26</t>
  </si>
  <si>
    <t xml:space="preserve">C3-0128</t>
  </si>
  <si>
    <t xml:space="preserve">OpIncome_Margin!K26</t>
  </si>
  <si>
    <t xml:space="preserve">C3-0129</t>
  </si>
  <si>
    <t xml:space="preserve">OpIncome_Margin!C27</t>
  </si>
  <si>
    <t xml:space="preserve">GH-0039</t>
  </si>
  <si>
    <t xml:space="preserve">C3-0130</t>
  </si>
  <si>
    <t xml:space="preserve">OpIncome_Margin!D27</t>
  </si>
  <si>
    <t xml:space="preserve">C3-0131</t>
  </si>
  <si>
    <t xml:space="preserve">OpIncome_Margin!E27</t>
  </si>
  <si>
    <t xml:space="preserve">QA-0684</t>
  </si>
  <si>
    <t xml:space="preserve">C3-0132</t>
  </si>
  <si>
    <t xml:space="preserve">OpIncome_Margin!K27</t>
  </si>
  <si>
    <t xml:space="preserve">C3-0133</t>
  </si>
  <si>
    <t xml:space="preserve">OpIncome_Margin!C28</t>
  </si>
  <si>
    <t xml:space="preserve">GH-0045</t>
  </si>
  <si>
    <t xml:space="preserve">C3-0134</t>
  </si>
  <si>
    <t xml:space="preserve">OpIncome_Margin!D28</t>
  </si>
  <si>
    <t xml:space="preserve">C3-0135</t>
  </si>
  <si>
    <t xml:space="preserve">OpIncome_Margin!E28</t>
  </si>
  <si>
    <t xml:space="preserve">QA-0686</t>
  </si>
  <si>
    <t xml:space="preserve">C3-0136</t>
  </si>
  <si>
    <t xml:space="preserve">OpIncome_Margin!K28</t>
  </si>
  <si>
    <t xml:space="preserve">C3-0137</t>
  </si>
  <si>
    <t xml:space="preserve">OpIncome_Margin!C29</t>
  </si>
  <si>
    <t xml:space="preserve">GH-0051</t>
  </si>
  <si>
    <t xml:space="preserve">C3-0138</t>
  </si>
  <si>
    <t xml:space="preserve">OpIncome_Margin!D29</t>
  </si>
  <si>
    <t xml:space="preserve">C3-0139</t>
  </si>
  <si>
    <t xml:space="preserve">OpIncome_Margin!E29</t>
  </si>
  <si>
    <t xml:space="preserve">QA-0687</t>
  </si>
  <si>
    <t xml:space="preserve">C3-0140</t>
  </si>
  <si>
    <t xml:space="preserve">OpIncome_Margin!K29</t>
  </si>
  <si>
    <t xml:space="preserve">C3-0141</t>
  </si>
  <si>
    <t xml:space="preserve">OpIncome_Margin!C30</t>
  </si>
  <si>
    <t xml:space="preserve">GH-0057</t>
  </si>
  <si>
    <t xml:space="preserve">C3-0142</t>
  </si>
  <si>
    <t xml:space="preserve">OpIncome_Margin!D30</t>
  </si>
  <si>
    <t xml:space="preserve">C3-0143</t>
  </si>
  <si>
    <t xml:space="preserve">OpIncome_Margin!E30</t>
  </si>
  <si>
    <t xml:space="preserve">C3-0144</t>
  </si>
  <si>
    <t xml:space="preserve">OpIncome_Margin!K30</t>
  </si>
  <si>
    <t xml:space="preserve">C3-0145</t>
  </si>
  <si>
    <t xml:space="preserve">OpIncome_Margin!C31</t>
  </si>
  <si>
    <t xml:space="preserve">GH-0063</t>
  </si>
  <si>
    <t xml:space="preserve">C3-0146</t>
  </si>
  <si>
    <t xml:space="preserve">OpIncome_Margin!D31</t>
  </si>
  <si>
    <t xml:space="preserve">C3-0147</t>
  </si>
  <si>
    <t xml:space="preserve">OpIncome_Margin!E31</t>
  </si>
  <si>
    <t xml:space="preserve">QA-0691</t>
  </si>
  <si>
    <t xml:space="preserve">C3-0148</t>
  </si>
  <si>
    <t xml:space="preserve">OpIncome_Margin!K31</t>
  </si>
  <si>
    <t xml:space="preserve">C3-0149</t>
  </si>
  <si>
    <t xml:space="preserve">OpIncome_Margin!C32</t>
  </si>
  <si>
    <t xml:space="preserve">GH-0068</t>
  </si>
  <si>
    <t xml:space="preserve">C3-0150</t>
  </si>
  <si>
    <t xml:space="preserve">OpIncome_Margin!D32</t>
  </si>
  <si>
    <t xml:space="preserve">C3-0151</t>
  </si>
  <si>
    <t xml:space="preserve">OpIncome_Margin!E32</t>
  </si>
  <si>
    <t xml:space="preserve">QA-0693</t>
  </si>
  <si>
    <t xml:space="preserve">C3-0152</t>
  </si>
  <si>
    <t xml:space="preserve">OpIncome_Margin!K32</t>
  </si>
  <si>
    <t xml:space="preserve">C3-0153</t>
  </si>
  <si>
    <t xml:space="preserve">OpIncome_Margin!C33</t>
  </si>
  <si>
    <t xml:space="preserve">GH-0073</t>
  </si>
  <si>
    <t xml:space="preserve">C3-0154</t>
  </si>
  <si>
    <t xml:space="preserve">OpIncome_Margin!D33</t>
  </si>
  <si>
    <t xml:space="preserve">C3-0155</t>
  </si>
  <si>
    <t xml:space="preserve">OpIncome_Margin!E33</t>
  </si>
  <si>
    <t xml:space="preserve">QA-0694</t>
  </si>
  <si>
    <t xml:space="preserve">C3-0156</t>
  </si>
  <si>
    <t xml:space="preserve">OpIncome_Margin!K33</t>
  </si>
  <si>
    <t xml:space="preserve">C3-0157</t>
  </si>
  <si>
    <t xml:space="preserve">OpIncome_Margin!C34</t>
  </si>
  <si>
    <t xml:space="preserve">GH-0078</t>
  </si>
  <si>
    <t xml:space="preserve">C3-0158</t>
  </si>
  <si>
    <t xml:space="preserve">OpIncome_Margin!D34</t>
  </si>
  <si>
    <t xml:space="preserve">C3-0159</t>
  </si>
  <si>
    <t xml:space="preserve">OpIncome_Margin!E34</t>
  </si>
  <si>
    <t xml:space="preserve">C3-0160</t>
  </si>
  <si>
    <t xml:space="preserve">OpIncome_Margin!K34</t>
  </si>
  <si>
    <t xml:space="preserve">C3-0161</t>
  </si>
  <si>
    <t xml:space="preserve">OpIncome_Margin!C35</t>
  </si>
  <si>
    <t xml:space="preserve">GH-0083</t>
  </si>
  <si>
    <t xml:space="preserve">C3-0162</t>
  </si>
  <si>
    <t xml:space="preserve">OpIncome_Margin!D35</t>
  </si>
  <si>
    <t xml:space="preserve">C3-0163</t>
  </si>
  <si>
    <t xml:space="preserve">OpIncome_Margin!E35</t>
  </si>
  <si>
    <t xml:space="preserve">QA-0698</t>
  </si>
  <si>
    <t xml:space="preserve">C3-0164</t>
  </si>
  <si>
    <t xml:space="preserve">OpIncome_Margin!K35</t>
  </si>
  <si>
    <t xml:space="preserve">C3-0165</t>
  </si>
  <si>
    <t xml:space="preserve">OpIncome_Margin!C36</t>
  </si>
  <si>
    <t xml:space="preserve">GH-0088</t>
  </si>
  <si>
    <t xml:space="preserve">C3-0166</t>
  </si>
  <si>
    <t xml:space="preserve">OpIncome_Margin!D36</t>
  </si>
  <si>
    <t xml:space="preserve">C3-0167</t>
  </si>
  <si>
    <t xml:space="preserve">OpIncome_Margin!E36</t>
  </si>
  <si>
    <t xml:space="preserve">QA-0700</t>
  </si>
  <si>
    <t xml:space="preserve">C3-0168</t>
  </si>
  <si>
    <t xml:space="preserve">OpIncome_Margin!K36</t>
  </si>
  <si>
    <t xml:space="preserve">C3-0169</t>
  </si>
  <si>
    <t xml:space="preserve">OpIncome_Margin!C37</t>
  </si>
  <si>
    <t xml:space="preserve">GH-0093</t>
  </si>
  <si>
    <t xml:space="preserve">C3-0170</t>
  </si>
  <si>
    <t xml:space="preserve">OpIncome_Margin!D37</t>
  </si>
  <si>
    <t xml:space="preserve">C3-0171</t>
  </si>
  <si>
    <t xml:space="preserve">OpIncome_Margin!E37</t>
  </si>
  <si>
    <t xml:space="preserve">C3-0172</t>
  </si>
  <si>
    <t xml:space="preserve">OpIncome_Margin!K37</t>
  </si>
  <si>
    <t xml:space="preserve">C3-0173</t>
  </si>
  <si>
    <t xml:space="preserve">Adj_FCF!C10</t>
  </si>
  <si>
    <t xml:space="preserve">C3-0174</t>
  </si>
  <si>
    <t xml:space="preserve">Adj_FCF!C11</t>
  </si>
  <si>
    <t xml:space="preserve">C3-0175</t>
  </si>
  <si>
    <t xml:space="preserve">Adj_FCF!C12</t>
  </si>
  <si>
    <t xml:space="preserve">C3-0176</t>
  </si>
  <si>
    <t xml:space="preserve">Adj_FCF!C13</t>
  </si>
  <si>
    <t xml:space="preserve">C3-0177</t>
  </si>
  <si>
    <t xml:space="preserve">Adj_FCF!C14</t>
  </si>
  <si>
    <t xml:space="preserve">C3-0178</t>
  </si>
  <si>
    <t xml:space="preserve">Adj_FCF!C15</t>
  </si>
  <si>
    <t xml:space="preserve">C3-0179</t>
  </si>
  <si>
    <t xml:space="preserve">Adj_FCF!C16</t>
  </si>
  <si>
    <t xml:space="preserve">C3-0180</t>
  </si>
  <si>
    <t xml:space="preserve">Adj_FCF!C17</t>
  </si>
  <si>
    <t xml:space="preserve">C3-0181</t>
  </si>
  <si>
    <t xml:space="preserve">Adj_FCF!C18</t>
  </si>
  <si>
    <t xml:space="preserve">C3-0182</t>
  </si>
  <si>
    <t xml:space="preserve">Adj_FCF!C19</t>
  </si>
  <si>
    <t xml:space="preserve">C3-0183</t>
  </si>
  <si>
    <t xml:space="preserve">Adj_FCF!C20</t>
  </si>
  <si>
    <t xml:space="preserve">C3-0184</t>
  </si>
  <si>
    <t xml:space="preserve">Adj_FCF!C21</t>
  </si>
  <si>
    <t xml:space="preserve">C3-0185</t>
  </si>
  <si>
    <t xml:space="preserve">Adj_FCF!C22</t>
  </si>
  <si>
    <t xml:space="preserve">C3-0186</t>
  </si>
  <si>
    <t xml:space="preserve">Adj_FCF!C23</t>
  </si>
  <si>
    <t xml:space="preserve">C3-0187</t>
  </si>
  <si>
    <t xml:space="preserve">Adj_FCF!C24</t>
  </si>
  <si>
    <t xml:space="preserve">C3-0188</t>
  </si>
  <si>
    <t xml:space="preserve">NDR!C10</t>
  </si>
  <si>
    <t xml:space="preserve">C3-0189</t>
  </si>
  <si>
    <t xml:space="preserve">NDR!C11</t>
  </si>
  <si>
    <t xml:space="preserve">C3-0190</t>
  </si>
  <si>
    <t xml:space="preserve">NDR!C12</t>
  </si>
  <si>
    <t xml:space="preserve">C3-0191</t>
  </si>
  <si>
    <t xml:space="preserve">NDR!C13</t>
  </si>
  <si>
    <t xml:space="preserve">C3-0192</t>
  </si>
  <si>
    <t xml:space="preserve">NDR!C14</t>
  </si>
  <si>
    <t xml:space="preserve">C3-0193</t>
  </si>
  <si>
    <t xml:space="preserve">NDR!C15</t>
  </si>
  <si>
    <t xml:space="preserve">C3-0194</t>
  </si>
  <si>
    <t xml:space="preserve">NDR!C16</t>
  </si>
  <si>
    <t xml:space="preserve">C3-0195</t>
  </si>
  <si>
    <t xml:space="preserve">NDR!C17</t>
  </si>
  <si>
    <t xml:space="preserve">C3-0196</t>
  </si>
  <si>
    <t xml:space="preserve">NDR!C18</t>
  </si>
  <si>
    <t xml:space="preserve">C3-0197</t>
  </si>
  <si>
    <t xml:space="preserve">Customers_50K!C10</t>
  </si>
  <si>
    <t xml:space="preserve">C3-0198</t>
  </si>
  <si>
    <t xml:space="preserve">Customers_50K!C11</t>
  </si>
  <si>
    <t xml:space="preserve">C3-0199</t>
  </si>
  <si>
    <t xml:space="preserve">Customers_50K!C12</t>
  </si>
  <si>
    <t xml:space="preserve">C3-0200</t>
  </si>
  <si>
    <t xml:space="preserve">Customers_50K!C13</t>
  </si>
  <si>
    <t xml:space="preserve">C3-0201</t>
  </si>
  <si>
    <t xml:space="preserve">Customers_50K!C14</t>
  </si>
  <si>
    <t xml:space="preserve">C3-0202</t>
  </si>
  <si>
    <t xml:space="preserve">Customers_50K!C15</t>
  </si>
  <si>
    <t xml:space="preserve">C3-0203</t>
  </si>
  <si>
    <t xml:space="preserve">Customers_50K!C16</t>
  </si>
  <si>
    <t xml:space="preserve">C3-0204</t>
  </si>
  <si>
    <t xml:space="preserve">Customers_50K!C17</t>
  </si>
  <si>
    <t xml:space="preserve">C3-0205</t>
  </si>
  <si>
    <t xml:space="preserve">cRPO!C10</t>
  </si>
  <si>
    <t xml:space="preserve">C3-0206</t>
  </si>
  <si>
    <t xml:space="preserve">cRPO!C11</t>
  </si>
  <si>
    <t xml:space="preserve">C3-0207</t>
  </si>
  <si>
    <t xml:space="preserve">cRPO!C12</t>
  </si>
  <si>
    <t xml:space="preserve">C3-0208</t>
  </si>
  <si>
    <t xml:space="preserve">cRPO!C13</t>
  </si>
  <si>
    <t xml:space="preserve">C3-0209</t>
  </si>
  <si>
    <t xml:space="preserve">cRPO!C14</t>
  </si>
  <si>
    <t xml:space="preserve">C3-0210</t>
  </si>
  <si>
    <t xml:space="preserve">cRPO!C15</t>
  </si>
  <si>
    <t xml:space="preserve">C3-0211</t>
  </si>
  <si>
    <t xml:space="preserve">Call ordering</t>
  </si>
  <si>
    <t xml:space="preserve">Revenue!C55:E55</t>
  </si>
  <si>
    <t xml:space="preserve">LOW &lt;= MID &lt;= HIGH</t>
  </si>
  <si>
    <t xml:space="preserve">C3-0212</t>
  </si>
  <si>
    <t xml:space="preserve">OpIncome_Margin!C49:E49</t>
  </si>
  <si>
    <t xml:space="preserve">C3-0213</t>
  </si>
  <si>
    <t xml:space="preserve">OpIncome_Margin!C50:E50</t>
  </si>
  <si>
    <t xml:space="preserve">C3-0214</t>
  </si>
  <si>
    <t xml:space="preserve">Adj_FCF!C37:E37</t>
  </si>
  <si>
    <t xml:space="preserve">C3-0215</t>
  </si>
  <si>
    <t xml:space="preserve">NDR!C36:E36</t>
  </si>
  <si>
    <t xml:space="preserve">C3-0216</t>
  </si>
  <si>
    <t xml:space="preserve">Customers_50K!C30:E30</t>
  </si>
  <si>
    <t xml:space="preserve">Summary</t>
  </si>
</sst>
</file>

<file path=xl/styles.xml><?xml version="1.0" encoding="utf-8"?>
<styleSheet xmlns="http://schemas.openxmlformats.org/spreadsheetml/2006/main">
  <numFmts count="11">
    <numFmt numFmtId="164" formatCode="General"/>
    <numFmt numFmtId="165" formatCode="#,##0.0;\(#,##0.0\)"/>
    <numFmt numFmtId="166" formatCode="#,##0;\(#,##0\)"/>
    <numFmt numFmtId="167" formatCode="0;\-0"/>
    <numFmt numFmtId="168" formatCode="0"/>
    <numFmt numFmtId="169" formatCode="0.00%;\-0.00%"/>
    <numFmt numFmtId="170" formatCode="0.0%;\-0.0%"/>
    <numFmt numFmtId="171" formatCode="0.00\x"/>
    <numFmt numFmtId="172" formatCode="0.0;\-0.0"/>
    <numFmt numFmtId="173" formatCode="#,##0"/>
    <numFmt numFmtId="174" formatCode="0.00%"/>
  </numFmts>
  <fonts count="13">
    <font>
      <sz val="11"/>
      <color theme="1"/>
      <name val="Calibri"/>
      <family val="2"/>
      <charset val="1"/>
    </font>
    <font>
      <sz val="10"/>
      <name val="Arial"/>
      <family val="0"/>
    </font>
    <font>
      <sz val="10"/>
      <name val="Arial"/>
      <family val="0"/>
    </font>
    <font>
      <sz val="10"/>
      <name val="Arial"/>
      <family val="0"/>
    </font>
    <font>
      <b val="true"/>
      <sz val="14"/>
      <name val="Calibri"/>
      <family val="0"/>
      <charset val="1"/>
    </font>
    <font>
      <b val="true"/>
      <sz val="10"/>
      <name val="Calibri"/>
      <family val="0"/>
      <charset val="1"/>
    </font>
    <font>
      <sz val="10"/>
      <color rgb="FF000000"/>
      <name val="Calibri"/>
      <family val="0"/>
      <charset val="1"/>
    </font>
    <font>
      <b val="true"/>
      <sz val="13"/>
      <name val="Calibri"/>
      <family val="0"/>
      <charset val="1"/>
    </font>
    <font>
      <i val="true"/>
      <sz val="10"/>
      <color rgb="FF808080"/>
      <name val="Calibri"/>
      <family val="0"/>
      <charset val="1"/>
    </font>
    <font>
      <b val="true"/>
      <sz val="11"/>
      <name val="Calibri"/>
      <family val="0"/>
      <charset val="1"/>
    </font>
    <font>
      <b val="true"/>
      <sz val="10"/>
      <color rgb="FFFFFFFF"/>
      <name val="Calibri"/>
      <family val="0"/>
      <charset val="1"/>
    </font>
    <font>
      <sz val="10"/>
      <color rgb="FF0000FF"/>
      <name val="Calibri"/>
      <family val="0"/>
      <charset val="1"/>
    </font>
    <font>
      <b val="true"/>
      <sz val="10"/>
      <color rgb="FFC65911"/>
      <name val="Calibri"/>
      <family val="0"/>
      <charset val="1"/>
    </font>
  </fonts>
  <fills count="5">
    <fill>
      <patternFill patternType="none"/>
    </fill>
    <fill>
      <patternFill patternType="gray125"/>
    </fill>
    <fill>
      <patternFill patternType="solid">
        <fgColor rgb="FF1F3864"/>
        <bgColor rgb="FF333333"/>
      </patternFill>
    </fill>
    <fill>
      <patternFill patternType="solid">
        <fgColor rgb="FFFCE4D6"/>
        <bgColor rgb="FFFFF2CC"/>
      </patternFill>
    </fill>
    <fill>
      <patternFill patternType="solid">
        <fgColor rgb="FFFFF2CC"/>
        <bgColor rgb="FFFCE4D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7" fontId="12" fillId="3" borderId="0" xfId="0" applyFont="true" applyBorder="false" applyAlignment="false" applyProtection="false">
      <alignment horizontal="general" vertical="bottom" textRotation="0" wrapText="false" indent="0" shrinkToFit="false"/>
      <protection locked="true" hidden="false"/>
    </xf>
    <xf numFmtId="168" fontId="12" fillId="3"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5" fontId="6" fillId="4"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0" fontId="6" fillId="4" borderId="0" xfId="0" applyFont="true" applyBorder="false" applyAlignment="false" applyProtection="false">
      <alignment horizontal="general" vertical="bottom" textRotation="0" wrapText="false" indent="0" shrinkToFit="false"/>
      <protection locked="true" hidden="false"/>
    </xf>
    <xf numFmtId="165" fontId="12" fillId="3"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73" fontId="11"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73" fontId="6" fillId="4"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C65911"/>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40"/>
  </cols>
  <sheetData>
    <row r="1" customFormat="false" ht="17.3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23.85" hidden="false" customHeight="false" outlineLevel="0" collapsed="false">
      <c r="A5" s="2" t="s">
        <v>5</v>
      </c>
      <c r="B5" s="3" t="s">
        <v>6</v>
      </c>
    </row>
    <row r="6" customFormat="false" ht="23.85" hidden="false" customHeight="false" outlineLevel="0" collapsed="false">
      <c r="A6" s="2" t="s">
        <v>7</v>
      </c>
      <c r="B6" s="3" t="s">
        <v>8</v>
      </c>
    </row>
    <row r="7" customFormat="false" ht="23.85" hidden="false" customHeight="false" outlineLevel="0" collapsed="false">
      <c r="A7" s="2" t="s">
        <v>9</v>
      </c>
      <c r="B7" s="3" t="s">
        <v>10</v>
      </c>
    </row>
    <row r="8" customFormat="false" ht="23.85" hidden="false" customHeight="false" outlineLevel="0" collapsed="false">
      <c r="A8" s="2" t="s">
        <v>11</v>
      </c>
      <c r="B8" s="3" t="s">
        <v>12</v>
      </c>
    </row>
    <row r="9" customFormat="false" ht="15" hidden="false" customHeight="false" outlineLevel="0" collapsed="false">
      <c r="A9" s="2" t="s">
        <v>13</v>
      </c>
      <c r="B9" s="3" t="s">
        <v>14</v>
      </c>
    </row>
    <row r="10" customFormat="false" ht="23.85" hidden="false" customHeight="false" outlineLevel="0" collapsed="false">
      <c r="A10" s="2" t="s">
        <v>15</v>
      </c>
      <c r="B10" s="3" t="s">
        <v>16</v>
      </c>
    </row>
    <row r="11" customFormat="false" ht="15" hidden="false" customHeight="false" outlineLevel="0" collapsed="false">
      <c r="A11" s="2" t="s">
        <v>17</v>
      </c>
      <c r="B11" s="3" t="s">
        <v>18</v>
      </c>
    </row>
    <row r="12" customFormat="false" ht="15" hidden="false" customHeight="false" outlineLevel="0" collapsed="false">
      <c r="A12" s="2" t="s">
        <v>19</v>
      </c>
      <c r="B12" s="3"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1"/>
    <col collapsed="false" customWidth="true" hidden="false" outlineLevel="0" max="5" min="3" style="0" width="13"/>
    <col collapsed="false" customWidth="true" hidden="false" outlineLevel="0" max="6" min="6" style="0" width="22"/>
    <col collapsed="false" customWidth="true" hidden="false" outlineLevel="0" max="7" min="7" style="0" width="13"/>
    <col collapsed="false" customWidth="true" hidden="false" outlineLevel="0" max="8" min="8" style="0" width="60"/>
    <col collapsed="false" customWidth="true" hidden="false" outlineLevel="0" max="9" min="9" style="0" width="50"/>
  </cols>
  <sheetData>
    <row r="1" customFormat="false" ht="16.15" hidden="false" customHeight="false" outlineLevel="0" collapsed="false">
      <c r="A1" s="4" t="s">
        <v>21</v>
      </c>
    </row>
    <row r="2" customFormat="false" ht="15" hidden="false" customHeight="false" outlineLevel="0" collapsed="false">
      <c r="A2" s="5" t="s">
        <v>22</v>
      </c>
    </row>
    <row r="5" customFormat="false" ht="15" hidden="false" customHeight="false" outlineLevel="0" collapsed="false">
      <c r="A5" s="6" t="s">
        <v>23</v>
      </c>
    </row>
    <row r="6" customFormat="false" ht="150" hidden="false" customHeight="true" outlineLevel="0" collapsed="false">
      <c r="A6" s="3" t="s">
        <v>24</v>
      </c>
      <c r="B6" s="5" t="s">
        <v>25</v>
      </c>
    </row>
    <row r="8" customFormat="false" ht="15" hidden="false" customHeight="false" outlineLevel="0" collapsed="false">
      <c r="A8" s="6" t="s">
        <v>26</v>
      </c>
    </row>
    <row r="9" customFormat="false" ht="15" hidden="false" customHeight="false" outlineLevel="0" collapsed="false">
      <c r="A9" s="7" t="s">
        <v>27</v>
      </c>
      <c r="B9" s="7" t="s">
        <v>28</v>
      </c>
      <c r="C9" s="7" t="s">
        <v>29</v>
      </c>
      <c r="D9" s="7" t="s">
        <v>30</v>
      </c>
      <c r="E9" s="7" t="s">
        <v>31</v>
      </c>
      <c r="F9" s="7" t="s">
        <v>32</v>
      </c>
      <c r="G9" s="7" t="s">
        <v>33</v>
      </c>
      <c r="H9" s="7" t="s">
        <v>34</v>
      </c>
      <c r="I9" s="7" t="s">
        <v>35</v>
      </c>
    </row>
    <row r="10" customFormat="false" ht="15" hidden="false" customHeight="false" outlineLevel="0" collapsed="false">
      <c r="A10" s="8" t="s">
        <v>36</v>
      </c>
      <c r="B10" s="5" t="s">
        <v>37</v>
      </c>
      <c r="C10" s="9" t="n">
        <v>368</v>
      </c>
      <c r="F10" s="5" t="s">
        <v>38</v>
      </c>
      <c r="G10" s="5" t="s">
        <v>39</v>
      </c>
      <c r="H10" s="5" t="s">
        <v>40</v>
      </c>
    </row>
    <row r="11" customFormat="false" ht="15" hidden="false" customHeight="false" outlineLevel="0" collapsed="false">
      <c r="A11" s="8" t="s">
        <v>41</v>
      </c>
      <c r="B11" s="5" t="s">
        <v>37</v>
      </c>
      <c r="C11" s="9" t="n">
        <v>370</v>
      </c>
      <c r="F11" s="5" t="s">
        <v>38</v>
      </c>
      <c r="G11" s="5" t="s">
        <v>39</v>
      </c>
      <c r="H11" s="5"/>
    </row>
    <row r="12" customFormat="false" ht="15" hidden="false" customHeight="false" outlineLevel="0" collapsed="false">
      <c r="A12" s="8" t="s">
        <v>42</v>
      </c>
      <c r="B12" s="5" t="s">
        <v>37</v>
      </c>
      <c r="C12" s="10" t="n">
        <v>364621</v>
      </c>
      <c r="F12" s="5" t="s">
        <v>43</v>
      </c>
      <c r="G12" s="5" t="s">
        <v>39</v>
      </c>
      <c r="H12" s="5"/>
    </row>
    <row r="13" customFormat="false" ht="15" hidden="false" customHeight="false" outlineLevel="0" collapsed="false">
      <c r="A13" s="8" t="s">
        <v>44</v>
      </c>
      <c r="B13" s="5" t="s">
        <v>37</v>
      </c>
      <c r="C13" s="10" t="n">
        <v>316855</v>
      </c>
      <c r="F13" s="5" t="s">
        <v>45</v>
      </c>
      <c r="G13" s="5" t="s">
        <v>46</v>
      </c>
      <c r="H13" s="5"/>
    </row>
    <row r="14" customFormat="false" ht="15" hidden="false" customHeight="false" outlineLevel="0" collapsed="false">
      <c r="A14" s="8" t="s">
        <v>47</v>
      </c>
      <c r="B14" s="5" t="s">
        <v>37</v>
      </c>
      <c r="C14" s="10" t="n">
        <v>282250</v>
      </c>
      <c r="F14" s="5" t="s">
        <v>48</v>
      </c>
      <c r="G14" s="5" t="s">
        <v>49</v>
      </c>
      <c r="H14" s="5"/>
    </row>
    <row r="15" customFormat="false" ht="15" hidden="false" customHeight="false" outlineLevel="0" collapsed="false">
      <c r="A15" s="8" t="s">
        <v>50</v>
      </c>
      <c r="B15" s="5" t="s">
        <v>37</v>
      </c>
      <c r="C15" s="10" t="n">
        <v>299014</v>
      </c>
      <c r="F15" s="5" t="s">
        <v>51</v>
      </c>
      <c r="G15" s="5" t="s">
        <v>52</v>
      </c>
      <c r="H15" s="5"/>
    </row>
    <row r="16" customFormat="false" ht="15" hidden="false" customHeight="false" outlineLevel="0" collapsed="false">
      <c r="A16" s="8" t="s">
        <v>53</v>
      </c>
      <c r="B16" s="5" t="s">
        <v>37</v>
      </c>
      <c r="C16" s="10" t="n">
        <v>333878</v>
      </c>
      <c r="F16" s="5" t="s">
        <v>54</v>
      </c>
      <c r="G16" s="5" t="s">
        <v>55</v>
      </c>
      <c r="H16" s="5"/>
    </row>
    <row r="17" customFormat="false" ht="15" hidden="false" customHeight="false" outlineLevel="0" collapsed="false">
      <c r="A17" s="8" t="s">
        <v>56</v>
      </c>
      <c r="B17" s="5" t="s">
        <v>37</v>
      </c>
      <c r="C17" s="10" t="n">
        <v>351265</v>
      </c>
      <c r="F17" s="5" t="s">
        <v>57</v>
      </c>
      <c r="G17" s="5" t="s">
        <v>58</v>
      </c>
      <c r="H17" s="5"/>
    </row>
    <row r="18" customFormat="false" ht="23.85" hidden="false" customHeight="false" outlineLevel="0" collapsed="false">
      <c r="A18" s="8" t="s">
        <v>59</v>
      </c>
      <c r="B18" s="11" t="s">
        <v>60</v>
      </c>
      <c r="C18" s="12" t="n">
        <v>0</v>
      </c>
      <c r="H18" s="3" t="s">
        <v>61</v>
      </c>
      <c r="I18" s="3" t="s">
        <v>62</v>
      </c>
    </row>
    <row r="19" customFormat="false" ht="23.85" hidden="false" customHeight="false" outlineLevel="0" collapsed="false">
      <c r="A19" s="8" t="s">
        <v>63</v>
      </c>
      <c r="B19" s="11" t="s">
        <v>60</v>
      </c>
      <c r="C19" s="13" t="n">
        <v>8</v>
      </c>
      <c r="H19" s="3" t="s">
        <v>64</v>
      </c>
      <c r="I19" s="3" t="s">
        <v>65</v>
      </c>
    </row>
    <row r="21" customFormat="false" ht="15" hidden="false" customHeight="false" outlineLevel="0" collapsed="false">
      <c r="A21" s="6" t="s">
        <v>66</v>
      </c>
    </row>
    <row r="22" customFormat="false" ht="23.85" hidden="false" customHeight="false" outlineLevel="0" collapsed="false">
      <c r="A22" s="7" t="s">
        <v>67</v>
      </c>
      <c r="B22" s="7" t="s">
        <v>28</v>
      </c>
      <c r="C22" s="7" t="s">
        <v>68</v>
      </c>
      <c r="D22" s="7" t="s">
        <v>69</v>
      </c>
      <c r="E22" s="7" t="s">
        <v>70</v>
      </c>
      <c r="F22" s="7" t="s">
        <v>71</v>
      </c>
      <c r="G22" s="7" t="s">
        <v>72</v>
      </c>
      <c r="H22" s="7" t="s">
        <v>73</v>
      </c>
      <c r="I22" s="7" t="s">
        <v>74</v>
      </c>
      <c r="J22" s="14" t="s">
        <v>75</v>
      </c>
      <c r="K22" s="14" t="s">
        <v>76</v>
      </c>
      <c r="L22" s="14" t="s">
        <v>77</v>
      </c>
    </row>
    <row r="23" customFormat="false" ht="15" hidden="false" customHeight="false" outlineLevel="0" collapsed="false">
      <c r="A23" s="8" t="s">
        <v>78</v>
      </c>
      <c r="B23" s="5" t="s">
        <v>79</v>
      </c>
      <c r="C23" s="9" t="n">
        <v>74</v>
      </c>
      <c r="D23" s="9" t="n">
        <v>75</v>
      </c>
      <c r="E23" s="10" t="n">
        <v>83018</v>
      </c>
      <c r="F23" s="5" t="s">
        <v>80</v>
      </c>
      <c r="G23" s="5" t="s">
        <v>81</v>
      </c>
      <c r="I23" s="5" t="s">
        <v>82</v>
      </c>
      <c r="J23" s="15" t="n">
        <f aca="false">(C23+D23)/2</f>
        <v>74.5</v>
      </c>
      <c r="K23" s="16" t="n">
        <f aca="false">(E23/1000-J23)/ABS(J23)</f>
        <v>0.114335570469799</v>
      </c>
      <c r="L23" s="15" t="n">
        <f aca="false">E23/1000-J23</f>
        <v>8.518</v>
      </c>
    </row>
    <row r="24" customFormat="false" ht="15" hidden="false" customHeight="false" outlineLevel="0" collapsed="false">
      <c r="A24" s="8" t="s">
        <v>83</v>
      </c>
      <c r="B24" s="5" t="s">
        <v>79</v>
      </c>
      <c r="C24" s="9" t="n">
        <v>87</v>
      </c>
      <c r="D24" s="9" t="n">
        <v>88</v>
      </c>
      <c r="E24" s="10" t="n">
        <v>95545</v>
      </c>
      <c r="F24" s="5" t="s">
        <v>84</v>
      </c>
      <c r="G24" s="5" t="s">
        <v>85</v>
      </c>
      <c r="I24" s="5" t="s">
        <v>86</v>
      </c>
      <c r="J24" s="15" t="n">
        <f aca="false">(C24+D24)/2</f>
        <v>87.5</v>
      </c>
      <c r="K24" s="16" t="n">
        <f aca="false">(E24/1000-J24)/ABS(J24)</f>
        <v>0.0919428571428572</v>
      </c>
      <c r="L24" s="15" t="n">
        <f aca="false">E24/1000-J24</f>
        <v>8.045</v>
      </c>
    </row>
    <row r="25" customFormat="false" ht="15" hidden="false" customHeight="false" outlineLevel="0" collapsed="false">
      <c r="A25" s="8" t="s">
        <v>87</v>
      </c>
      <c r="B25" s="5" t="s">
        <v>79</v>
      </c>
      <c r="C25" s="9" t="n">
        <v>100</v>
      </c>
      <c r="D25" s="9" t="n">
        <v>102</v>
      </c>
      <c r="E25" s="10" t="n">
        <v>108497</v>
      </c>
      <c r="F25" s="5" t="s">
        <v>88</v>
      </c>
      <c r="G25" s="5" t="s">
        <v>89</v>
      </c>
      <c r="I25" s="5" t="s">
        <v>90</v>
      </c>
      <c r="J25" s="15" t="n">
        <f aca="false">(C25+D25)/2</f>
        <v>101</v>
      </c>
      <c r="K25" s="16" t="n">
        <f aca="false">(E25/1000-J25)/ABS(J25)</f>
        <v>0.0742277227722772</v>
      </c>
      <c r="L25" s="15" t="n">
        <f aca="false">E25/1000-J25</f>
        <v>7.497</v>
      </c>
    </row>
    <row r="26" customFormat="false" ht="15" hidden="false" customHeight="false" outlineLevel="0" collapsed="false">
      <c r="A26" s="8" t="s">
        <v>91</v>
      </c>
      <c r="B26" s="5" t="s">
        <v>79</v>
      </c>
      <c r="C26" s="9" t="n">
        <v>117</v>
      </c>
      <c r="D26" s="9" t="n">
        <v>119</v>
      </c>
      <c r="E26" s="10" t="n">
        <v>123718</v>
      </c>
      <c r="F26" s="5" t="s">
        <v>92</v>
      </c>
      <c r="G26" s="5" t="s">
        <v>93</v>
      </c>
      <c r="I26" s="5" t="s">
        <v>94</v>
      </c>
      <c r="J26" s="15" t="n">
        <f aca="false">(C26+D26)/2</f>
        <v>118</v>
      </c>
      <c r="K26" s="16" t="n">
        <f aca="false">(E26/1000-J26)/ABS(J26)</f>
        <v>0.0484576271186441</v>
      </c>
      <c r="L26" s="15" t="n">
        <f aca="false">E26/1000-J26</f>
        <v>5.718</v>
      </c>
    </row>
    <row r="27" customFormat="false" ht="15" hidden="false" customHeight="false" outlineLevel="0" collapsed="false">
      <c r="A27" s="8" t="s">
        <v>95</v>
      </c>
      <c r="B27" s="5" t="s">
        <v>79</v>
      </c>
      <c r="C27" s="9" t="n">
        <v>130</v>
      </c>
      <c r="D27" s="9" t="n">
        <v>131</v>
      </c>
      <c r="E27" s="10" t="n">
        <v>136893</v>
      </c>
      <c r="F27" s="5" t="s">
        <v>96</v>
      </c>
      <c r="G27" s="5" t="s">
        <v>97</v>
      </c>
      <c r="I27" s="5" t="s">
        <v>98</v>
      </c>
      <c r="J27" s="15" t="n">
        <f aca="false">(C27+D27)/2</f>
        <v>130.5</v>
      </c>
      <c r="K27" s="16" t="n">
        <f aca="false">(E27/1000-J27)/ABS(J27)</f>
        <v>0.0489885057471264</v>
      </c>
      <c r="L27" s="15" t="n">
        <f aca="false">E27/1000-J27</f>
        <v>6.393</v>
      </c>
    </row>
    <row r="28" customFormat="false" ht="15" hidden="false" customHeight="false" outlineLevel="0" collapsed="false">
      <c r="A28" s="8" t="s">
        <v>99</v>
      </c>
      <c r="B28" s="5" t="s">
        <v>79</v>
      </c>
      <c r="C28" s="9" t="n">
        <v>140</v>
      </c>
      <c r="D28" s="9" t="n">
        <v>142</v>
      </c>
      <c r="E28" s="10" t="n">
        <v>149921</v>
      </c>
      <c r="F28" s="5" t="s">
        <v>100</v>
      </c>
      <c r="G28" s="5" t="s">
        <v>101</v>
      </c>
      <c r="I28" s="5" t="s">
        <v>102</v>
      </c>
      <c r="J28" s="15" t="n">
        <f aca="false">(C28+D28)/2</f>
        <v>141</v>
      </c>
      <c r="K28" s="16" t="n">
        <f aca="false">(E28/1000-J28)/ABS(J28)</f>
        <v>0.0632695035460992</v>
      </c>
      <c r="L28" s="15" t="n">
        <f aca="false">E28/1000-J28</f>
        <v>8.92099999999999</v>
      </c>
    </row>
    <row r="29" customFormat="false" ht="15" hidden="false" customHeight="false" outlineLevel="0" collapsed="false">
      <c r="A29" s="8" t="s">
        <v>103</v>
      </c>
      <c r="B29" s="5" t="s">
        <v>79</v>
      </c>
      <c r="C29" s="9" t="n">
        <v>154</v>
      </c>
      <c r="D29" s="9" t="n">
        <v>156</v>
      </c>
      <c r="E29" s="10" t="n">
        <v>162256</v>
      </c>
      <c r="F29" s="5" t="s">
        <v>104</v>
      </c>
      <c r="G29" s="5" t="s">
        <v>105</v>
      </c>
      <c r="I29" s="5" t="s">
        <v>106</v>
      </c>
      <c r="J29" s="15" t="n">
        <f aca="false">(C29+D29)/2</f>
        <v>155</v>
      </c>
      <c r="K29" s="16" t="n">
        <f aca="false">(E29/1000-J29)/ABS(J29)</f>
        <v>0.0468129032258065</v>
      </c>
      <c r="L29" s="15" t="n">
        <f aca="false">E29/1000-J29</f>
        <v>7.256</v>
      </c>
    </row>
    <row r="30" customFormat="false" ht="15" hidden="false" customHeight="false" outlineLevel="0" collapsed="false">
      <c r="A30" s="8" t="s">
        <v>107</v>
      </c>
      <c r="B30" s="5" t="s">
        <v>79</v>
      </c>
      <c r="C30" s="9" t="n">
        <v>168</v>
      </c>
      <c r="D30" s="9" t="n">
        <v>170</v>
      </c>
      <c r="E30" s="10" t="n">
        <v>175679</v>
      </c>
      <c r="F30" s="5" t="s">
        <v>108</v>
      </c>
      <c r="G30" s="5" t="s">
        <v>109</v>
      </c>
      <c r="I30" s="5" t="s">
        <v>110</v>
      </c>
      <c r="J30" s="15" t="n">
        <f aca="false">(C30+D30)/2</f>
        <v>169</v>
      </c>
      <c r="K30" s="16" t="n">
        <f aca="false">(E30/1000-J30)/ABS(J30)</f>
        <v>0.0395207100591716</v>
      </c>
      <c r="L30" s="15" t="n">
        <f aca="false">E30/1000-J30</f>
        <v>6.679</v>
      </c>
    </row>
    <row r="31" customFormat="false" ht="15" hidden="false" customHeight="false" outlineLevel="0" collapsed="false">
      <c r="A31" s="8" t="s">
        <v>111</v>
      </c>
      <c r="B31" s="5" t="s">
        <v>79</v>
      </c>
      <c r="C31" s="9" t="n">
        <v>181</v>
      </c>
      <c r="D31" s="9" t="n">
        <v>183</v>
      </c>
      <c r="E31" s="10" t="n">
        <v>189190</v>
      </c>
      <c r="F31" s="5" t="s">
        <v>112</v>
      </c>
      <c r="G31" s="5" t="s">
        <v>113</v>
      </c>
      <c r="I31" s="5" t="s">
        <v>114</v>
      </c>
      <c r="J31" s="15" t="n">
        <f aca="false">(C31+D31)/2</f>
        <v>182</v>
      </c>
      <c r="K31" s="16" t="n">
        <f aca="false">(E31/1000-J31)/ABS(J31)</f>
        <v>0.0395054945054945</v>
      </c>
      <c r="L31" s="15" t="n">
        <f aca="false">E31/1000-J31</f>
        <v>7.19</v>
      </c>
    </row>
    <row r="32" customFormat="false" ht="15" hidden="false" customHeight="false" outlineLevel="0" collapsed="false">
      <c r="A32" s="8" t="s">
        <v>115</v>
      </c>
      <c r="B32" s="5" t="s">
        <v>79</v>
      </c>
      <c r="C32" s="9" t="n">
        <v>196</v>
      </c>
      <c r="D32" s="9" t="n">
        <v>198</v>
      </c>
      <c r="E32" s="10" t="n">
        <v>202570</v>
      </c>
      <c r="F32" s="5" t="s">
        <v>116</v>
      </c>
      <c r="G32" s="5" t="s">
        <v>117</v>
      </c>
      <c r="I32" s="5" t="s">
        <v>118</v>
      </c>
      <c r="J32" s="15" t="n">
        <f aca="false">(C32+D32)/2</f>
        <v>197</v>
      </c>
      <c r="K32" s="16" t="n">
        <f aca="false">(E32/1000-J32)/ABS(J32)</f>
        <v>0.0282741116751269</v>
      </c>
      <c r="L32" s="15" t="n">
        <f aca="false">E32/1000-J32</f>
        <v>5.56999999999999</v>
      </c>
    </row>
    <row r="33" customFormat="false" ht="15" hidden="false" customHeight="false" outlineLevel="0" collapsed="false">
      <c r="A33" s="8" t="s">
        <v>119</v>
      </c>
      <c r="B33" s="5" t="s">
        <v>79</v>
      </c>
      <c r="C33" s="9" t="n">
        <v>207</v>
      </c>
      <c r="D33" s="9" t="n">
        <v>211</v>
      </c>
      <c r="E33" s="10" t="n">
        <v>216913</v>
      </c>
      <c r="F33" s="5" t="s">
        <v>120</v>
      </c>
      <c r="G33" s="5" t="s">
        <v>121</v>
      </c>
      <c r="I33" s="5" t="s">
        <v>122</v>
      </c>
      <c r="J33" s="15" t="n">
        <f aca="false">(C33+D33)/2</f>
        <v>209</v>
      </c>
      <c r="K33" s="16" t="n">
        <f aca="false">(E33/1000-J33)/ABS(J33)</f>
        <v>0.0378612440191388</v>
      </c>
      <c r="L33" s="15" t="n">
        <f aca="false">E33/1000-J33</f>
        <v>7.91300000000001</v>
      </c>
    </row>
    <row r="34" customFormat="false" ht="15" hidden="false" customHeight="false" outlineLevel="0" collapsed="false">
      <c r="A34" s="8" t="s">
        <v>123</v>
      </c>
      <c r="B34" s="5" t="s">
        <v>79</v>
      </c>
      <c r="C34" s="9" t="n">
        <v>226</v>
      </c>
      <c r="D34" s="9" t="n">
        <v>230</v>
      </c>
      <c r="E34" s="10" t="n">
        <v>236106</v>
      </c>
      <c r="F34" s="5" t="s">
        <v>124</v>
      </c>
      <c r="G34" s="5" t="s">
        <v>125</v>
      </c>
      <c r="I34" s="5" t="s">
        <v>126</v>
      </c>
      <c r="J34" s="15" t="n">
        <f aca="false">(C34+D34)/2</f>
        <v>228</v>
      </c>
      <c r="K34" s="16" t="n">
        <f aca="false">(E34/1000-J34)/ABS(J34)</f>
        <v>0.0355526315789473</v>
      </c>
      <c r="L34" s="15" t="n">
        <f aca="false">E34/1000-J34</f>
        <v>8.106</v>
      </c>
    </row>
    <row r="35" customFormat="false" ht="15" hidden="false" customHeight="false" outlineLevel="0" collapsed="false">
      <c r="A35" s="8" t="s">
        <v>127</v>
      </c>
      <c r="B35" s="5" t="s">
        <v>79</v>
      </c>
      <c r="C35" s="9" t="n">
        <v>243</v>
      </c>
      <c r="D35" s="9" t="n">
        <v>247</v>
      </c>
      <c r="E35" s="10" t="n">
        <v>251000</v>
      </c>
      <c r="F35" s="5" t="s">
        <v>128</v>
      </c>
      <c r="G35" s="5" t="s">
        <v>129</v>
      </c>
      <c r="I35" s="5" t="s">
        <v>130</v>
      </c>
      <c r="J35" s="15" t="n">
        <f aca="false">(C35+D35)/2</f>
        <v>245</v>
      </c>
      <c r="K35" s="16" t="n">
        <f aca="false">(E35/1000-J35)/ABS(J35)</f>
        <v>0.0244897959183673</v>
      </c>
      <c r="L35" s="15" t="n">
        <f aca="false">E35/1000-J35</f>
        <v>6</v>
      </c>
    </row>
    <row r="36" customFormat="false" ht="15" hidden="false" customHeight="false" outlineLevel="0" collapsed="false">
      <c r="A36" s="8" t="s">
        <v>131</v>
      </c>
      <c r="B36" s="5" t="s">
        <v>79</v>
      </c>
      <c r="C36" s="9" t="n">
        <v>260</v>
      </c>
      <c r="D36" s="9" t="n">
        <v>262</v>
      </c>
      <c r="E36" s="10" t="n">
        <v>267976</v>
      </c>
      <c r="F36" s="5" t="s">
        <v>132</v>
      </c>
      <c r="G36" s="5" t="s">
        <v>133</v>
      </c>
      <c r="I36" s="5" t="s">
        <v>134</v>
      </c>
      <c r="J36" s="15" t="n">
        <f aca="false">(C36+D36)/2</f>
        <v>261</v>
      </c>
      <c r="K36" s="16" t="n">
        <f aca="false">(E36/1000-J36)/ABS(J36)</f>
        <v>0.026727969348659</v>
      </c>
      <c r="L36" s="15" t="n">
        <f aca="false">E36/1000-J36</f>
        <v>6.976</v>
      </c>
    </row>
    <row r="37" customFormat="false" ht="15" hidden="false" customHeight="false" outlineLevel="0" collapsed="false">
      <c r="A37" s="8" t="s">
        <v>135</v>
      </c>
      <c r="B37" s="5" t="s">
        <v>79</v>
      </c>
      <c r="C37" s="9" t="n">
        <v>274</v>
      </c>
      <c r="D37" s="9" t="n">
        <v>276</v>
      </c>
      <c r="E37" s="10" t="n">
        <v>282250</v>
      </c>
      <c r="F37" s="5" t="s">
        <v>136</v>
      </c>
      <c r="G37" s="5" t="s">
        <v>137</v>
      </c>
      <c r="I37" s="5" t="s">
        <v>138</v>
      </c>
      <c r="J37" s="15" t="n">
        <f aca="false">(C37+D37)/2</f>
        <v>275</v>
      </c>
      <c r="K37" s="16" t="n">
        <f aca="false">(E37/1000-J37)/ABS(J37)</f>
        <v>0.0263636363636364</v>
      </c>
      <c r="L37" s="15" t="n">
        <f aca="false">E37/1000-J37</f>
        <v>7.25</v>
      </c>
    </row>
    <row r="38" customFormat="false" ht="15" hidden="false" customHeight="false" outlineLevel="0" collapsed="false">
      <c r="A38" s="8" t="s">
        <v>139</v>
      </c>
      <c r="B38" s="5" t="s">
        <v>79</v>
      </c>
      <c r="C38" s="9" t="n">
        <v>292</v>
      </c>
      <c r="D38" s="9" t="n">
        <v>294</v>
      </c>
      <c r="E38" s="10" t="n">
        <v>299014</v>
      </c>
      <c r="F38" s="5" t="s">
        <v>140</v>
      </c>
      <c r="G38" s="5" t="s">
        <v>141</v>
      </c>
      <c r="I38" s="5" t="s">
        <v>142</v>
      </c>
      <c r="J38" s="15" t="n">
        <f aca="false">(C38+D38)/2</f>
        <v>293</v>
      </c>
      <c r="K38" s="16" t="n">
        <f aca="false">(E38/1000-J38)/ABS(J38)</f>
        <v>0.0205255972696246</v>
      </c>
      <c r="L38" s="15" t="n">
        <f aca="false">E38/1000-J38</f>
        <v>6.01400000000001</v>
      </c>
    </row>
    <row r="39" customFormat="false" ht="15" hidden="false" customHeight="false" outlineLevel="0" collapsed="false">
      <c r="A39" s="8" t="s">
        <v>143</v>
      </c>
      <c r="B39" s="5" t="s">
        <v>79</v>
      </c>
      <c r="C39" s="9" t="n">
        <v>311</v>
      </c>
      <c r="D39" s="9" t="n">
        <v>313</v>
      </c>
      <c r="E39" s="10" t="n">
        <v>316855</v>
      </c>
      <c r="F39" s="5" t="s">
        <v>144</v>
      </c>
      <c r="G39" s="5" t="s">
        <v>145</v>
      </c>
      <c r="I39" s="5" t="s">
        <v>146</v>
      </c>
      <c r="J39" s="15" t="n">
        <f aca="false">(C39+D39)/2</f>
        <v>312</v>
      </c>
      <c r="K39" s="16" t="n">
        <f aca="false">(E39/1000-J39)/ABS(J39)</f>
        <v>0.0155608974358975</v>
      </c>
      <c r="L39" s="15" t="n">
        <f aca="false">E39/1000-J39</f>
        <v>4.85500000000002</v>
      </c>
    </row>
    <row r="40" customFormat="false" ht="15" hidden="false" customHeight="false" outlineLevel="0" collapsed="false">
      <c r="A40" s="8" t="s">
        <v>147</v>
      </c>
      <c r="B40" s="5" t="s">
        <v>79</v>
      </c>
      <c r="C40" s="9" t="n">
        <v>328</v>
      </c>
      <c r="D40" s="9" t="n">
        <v>330</v>
      </c>
      <c r="E40" s="10" t="n">
        <v>333878</v>
      </c>
      <c r="F40" s="5" t="s">
        <v>148</v>
      </c>
      <c r="G40" s="5" t="s">
        <v>149</v>
      </c>
      <c r="I40" s="5" t="s">
        <v>150</v>
      </c>
      <c r="J40" s="15" t="n">
        <f aca="false">(C40+D40)/2</f>
        <v>329</v>
      </c>
      <c r="K40" s="16" t="n">
        <f aca="false">(E40/1000-J40)/ABS(J40)</f>
        <v>0.0148267477203647</v>
      </c>
      <c r="L40" s="15" t="n">
        <f aca="false">E40/1000-J40</f>
        <v>4.87799999999999</v>
      </c>
    </row>
    <row r="41" customFormat="false" ht="15" hidden="false" customHeight="false" outlineLevel="0" collapsed="false">
      <c r="A41" s="8" t="s">
        <v>151</v>
      </c>
      <c r="B41" s="5" t="s">
        <v>79</v>
      </c>
      <c r="C41" s="9" t="n">
        <v>338</v>
      </c>
      <c r="D41" s="9" t="n">
        <v>340</v>
      </c>
      <c r="E41" s="10" t="n">
        <v>351265</v>
      </c>
      <c r="F41" s="5" t="s">
        <v>152</v>
      </c>
      <c r="G41" s="5" t="s">
        <v>153</v>
      </c>
      <c r="I41" s="5" t="s">
        <v>154</v>
      </c>
      <c r="J41" s="15" t="n">
        <f aca="false">(C41+D41)/2</f>
        <v>339</v>
      </c>
      <c r="K41" s="16" t="n">
        <f aca="false">(E41/1000-J41)/ABS(J41)</f>
        <v>0.0361799410029498</v>
      </c>
      <c r="L41" s="15" t="n">
        <f aca="false">E41/1000-J41</f>
        <v>12.265</v>
      </c>
    </row>
    <row r="42" customFormat="false" ht="15" hidden="false" customHeight="false" outlineLevel="0" collapsed="false">
      <c r="A42" s="8" t="s">
        <v>155</v>
      </c>
      <c r="B42" s="5" t="s">
        <v>79</v>
      </c>
      <c r="C42" s="9" t="n">
        <v>354</v>
      </c>
      <c r="D42" s="9" t="n">
        <v>356</v>
      </c>
      <c r="E42" s="10" t="n">
        <v>364621</v>
      </c>
      <c r="F42" s="5" t="s">
        <v>156</v>
      </c>
      <c r="G42" s="5" t="s">
        <v>157</v>
      </c>
      <c r="I42" s="5" t="s">
        <v>158</v>
      </c>
      <c r="J42" s="15" t="n">
        <f aca="false">(C42+D42)/2</f>
        <v>355</v>
      </c>
      <c r="K42" s="16" t="n">
        <f aca="false">(E42/1000-J42)/ABS(J42)</f>
        <v>0.0271014084507042</v>
      </c>
      <c r="L42" s="15" t="n">
        <f aca="false">E42/1000-J42</f>
        <v>9.62099999999998</v>
      </c>
    </row>
    <row r="44" customFormat="false" ht="15" hidden="false" customHeight="false" outlineLevel="0" collapsed="false">
      <c r="A44" s="6" t="s">
        <v>159</v>
      </c>
    </row>
    <row r="45" customFormat="false" ht="15" hidden="false" customHeight="false" outlineLevel="0" collapsed="false">
      <c r="A45" s="7" t="s">
        <v>27</v>
      </c>
      <c r="B45" s="7" t="s">
        <v>28</v>
      </c>
      <c r="C45" s="7" t="s">
        <v>29</v>
      </c>
      <c r="D45" s="7" t="s">
        <v>30</v>
      </c>
      <c r="E45" s="7" t="s">
        <v>31</v>
      </c>
      <c r="F45" s="7" t="s">
        <v>32</v>
      </c>
      <c r="G45" s="7" t="s">
        <v>33</v>
      </c>
      <c r="H45" s="7" t="s">
        <v>34</v>
      </c>
      <c r="I45" s="7" t="s">
        <v>35</v>
      </c>
    </row>
    <row r="46" customFormat="false" ht="15" hidden="false" customHeight="false" outlineLevel="0" collapsed="false">
      <c r="A46" s="8" t="s">
        <v>160</v>
      </c>
      <c r="B46" s="5" t="s">
        <v>161</v>
      </c>
      <c r="D46" s="15" t="n">
        <f aca="false">(C10+C11)/2</f>
        <v>369</v>
      </c>
      <c r="H46" s="5"/>
    </row>
    <row r="47" customFormat="false" ht="15" hidden="false" customHeight="false" outlineLevel="0" collapsed="false">
      <c r="A47" s="8" t="s">
        <v>162</v>
      </c>
      <c r="B47" s="5" t="s">
        <v>161</v>
      </c>
      <c r="C47" s="16" t="n">
        <f aca="false">MIN(K35:K42)</f>
        <v>0.0148267477203647</v>
      </c>
      <c r="D47" s="16" t="n">
        <f aca="false">MEDIAN(K35:K42)</f>
        <v>0.0254267161410019</v>
      </c>
      <c r="E47" s="16" t="n">
        <f aca="false">MAX(K35:K42)</f>
        <v>0.0361799410029498</v>
      </c>
      <c r="H47" s="5"/>
    </row>
    <row r="48" customFormat="false" ht="15" hidden="false" customHeight="false" outlineLevel="0" collapsed="false">
      <c r="A48" s="8" t="s">
        <v>163</v>
      </c>
      <c r="B48" s="5" t="s">
        <v>161</v>
      </c>
      <c r="C48" s="16" t="n">
        <f aca="false">MIN(K23:K42)</f>
        <v>0.0148267477203647</v>
      </c>
      <c r="D48" s="16" t="n">
        <f aca="false">MEDIAN(K23:K42)</f>
        <v>0.0370205925110443</v>
      </c>
      <c r="E48" s="16" t="n">
        <f aca="false">MAX(K23:K42)</f>
        <v>0.114335570469799</v>
      </c>
      <c r="H48" s="5"/>
    </row>
    <row r="49" customFormat="false" ht="15" hidden="false" customHeight="false" outlineLevel="0" collapsed="false">
      <c r="A49" s="8" t="s">
        <v>164</v>
      </c>
      <c r="B49" s="5" t="s">
        <v>161</v>
      </c>
      <c r="D49" s="16" t="n">
        <f aca="false">K40</f>
        <v>0.0148267477203647</v>
      </c>
      <c r="H49" s="5"/>
    </row>
    <row r="50" customFormat="false" ht="15" hidden="false" customHeight="false" outlineLevel="0" collapsed="false">
      <c r="A50" s="8" t="s">
        <v>165</v>
      </c>
      <c r="B50" s="5" t="s">
        <v>161</v>
      </c>
      <c r="C50" s="15" t="n">
        <f aca="false">D46*(1+C48)*(1+C18/10000)</f>
        <v>374.471069908815</v>
      </c>
      <c r="D50" s="15" t="n">
        <f aca="false">D46*(1+D48)*(1+C18/10000)</f>
        <v>382.660598636575</v>
      </c>
      <c r="E50" s="15" t="n">
        <f aca="false">D46*(1+E48)*(1+C18/10000)</f>
        <v>411.189825503356</v>
      </c>
      <c r="H50" s="5"/>
    </row>
    <row r="51" customFormat="false" ht="15" hidden="false" customHeight="false" outlineLevel="0" collapsed="false">
      <c r="A51" s="8" t="s">
        <v>166</v>
      </c>
      <c r="B51" s="5" t="s">
        <v>161</v>
      </c>
      <c r="D51" s="15" t="n">
        <f aca="false">D46*(1+D49)*(1+C18/10000)</f>
        <v>374.471069908815</v>
      </c>
      <c r="H51" s="5"/>
    </row>
    <row r="53" customFormat="false" ht="15" hidden="false" customHeight="false" outlineLevel="0" collapsed="false">
      <c r="A53" s="6" t="s">
        <v>167</v>
      </c>
    </row>
    <row r="54" customFormat="false" ht="15" hidden="false" customHeight="false" outlineLevel="0" collapsed="false">
      <c r="A54" s="7" t="s">
        <v>27</v>
      </c>
      <c r="B54" s="7" t="s">
        <v>28</v>
      </c>
      <c r="C54" s="7" t="s">
        <v>29</v>
      </c>
      <c r="D54" s="7" t="s">
        <v>30</v>
      </c>
      <c r="E54" s="7" t="s">
        <v>31</v>
      </c>
      <c r="F54" s="7" t="s">
        <v>32</v>
      </c>
      <c r="G54" s="7" t="s">
        <v>33</v>
      </c>
      <c r="H54" s="7" t="s">
        <v>34</v>
      </c>
      <c r="I54" s="7" t="s">
        <v>35</v>
      </c>
    </row>
    <row r="55" customFormat="false" ht="15" hidden="false" customHeight="false" outlineLevel="0" collapsed="false">
      <c r="A55" s="2" t="s">
        <v>168</v>
      </c>
      <c r="B55" s="5" t="s">
        <v>161</v>
      </c>
      <c r="C55" s="17" t="n">
        <f aca="false">D46*(1+C47)*(1+C18/10000)</f>
        <v>374.471069908815</v>
      </c>
      <c r="D55" s="17" t="n">
        <f aca="false">D46*(1+D47)*(1+C18/10000)</f>
        <v>378.38245825603</v>
      </c>
      <c r="E55" s="17" t="n">
        <f aca="false">D46*(1+E47)*(1+C18/10000)</f>
        <v>382.350398230088</v>
      </c>
      <c r="H55" s="5" t="s">
        <v>169</v>
      </c>
    </row>
    <row r="57" customFormat="false" ht="15" hidden="false" customHeight="false" outlineLevel="0" collapsed="false">
      <c r="A57" s="6" t="s">
        <v>170</v>
      </c>
    </row>
    <row r="58" customFormat="false" ht="15" hidden="false" customHeight="false" outlineLevel="0" collapsed="false">
      <c r="A58" s="7" t="s">
        <v>27</v>
      </c>
      <c r="B58" s="7" t="s">
        <v>28</v>
      </c>
      <c r="C58" s="7" t="s">
        <v>29</v>
      </c>
      <c r="D58" s="7" t="s">
        <v>30</v>
      </c>
      <c r="E58" s="7" t="s">
        <v>31</v>
      </c>
      <c r="F58" s="7" t="s">
        <v>32</v>
      </c>
      <c r="G58" s="7" t="s">
        <v>33</v>
      </c>
      <c r="H58" s="7" t="s">
        <v>34</v>
      </c>
      <c r="I58" s="7" t="s">
        <v>35</v>
      </c>
    </row>
    <row r="59" customFormat="false" ht="15" hidden="false" customHeight="false" outlineLevel="0" collapsed="false">
      <c r="A59" s="8" t="s">
        <v>171</v>
      </c>
      <c r="B59" s="5" t="s">
        <v>161</v>
      </c>
      <c r="C59" s="18" t="n">
        <f aca="false">C55*1000/C12-1</f>
        <v>0.0270145436187563</v>
      </c>
      <c r="D59" s="18" t="n">
        <f aca="false">D55*1000/C12-1</f>
        <v>0.0377418148050432</v>
      </c>
      <c r="E59" s="18" t="n">
        <f aca="false">E55*1000/C12-1</f>
        <v>0.0486241830012217</v>
      </c>
      <c r="H59" s="5"/>
    </row>
    <row r="60" customFormat="false" ht="15" hidden="false" customHeight="false" outlineLevel="0" collapsed="false">
      <c r="A60" s="8" t="s">
        <v>172</v>
      </c>
      <c r="B60" s="5" t="s">
        <v>161</v>
      </c>
      <c r="C60" s="18" t="n">
        <f aca="false">MIN(C13/C15-1,C16/C13-1,C17/C16-1,C12/C17-1)</f>
        <v>0.0380225755483752</v>
      </c>
      <c r="D60" s="18" t="n">
        <f aca="false">AVERAGE(C13/C15-1,C16/C13-1,C17/C16-1,C12/C17-1)</f>
        <v>0.0508723690097884</v>
      </c>
      <c r="E60" s="18" t="n">
        <f aca="false">MAX(C13/C15-1,C16/C13-1,C17/C16-1,C12/C17-1)</f>
        <v>0.0596661025905141</v>
      </c>
      <c r="H60" s="5"/>
    </row>
    <row r="61" customFormat="false" ht="15" hidden="false" customHeight="false" outlineLevel="0" collapsed="false">
      <c r="A61" s="8" t="s">
        <v>173</v>
      </c>
      <c r="B61" s="5" t="s">
        <v>161</v>
      </c>
      <c r="C61" s="18" t="n">
        <f aca="false">C55*1000/C13-1</f>
        <v>0.181837338558061</v>
      </c>
      <c r="D61" s="18" t="n">
        <f aca="false">D55*1000/C13-1</f>
        <v>0.194181749557462</v>
      </c>
      <c r="E61" s="18" t="n">
        <f aca="false">E55*1000/C13-1</f>
        <v>0.206704638494228</v>
      </c>
      <c r="H61" s="5" t="s">
        <v>174</v>
      </c>
    </row>
    <row r="63" customFormat="false" ht="15" hidden="false" customHeight="false" outlineLevel="0" collapsed="false">
      <c r="A63" s="6" t="s">
        <v>175</v>
      </c>
    </row>
    <row r="64" customFormat="false" ht="105" hidden="false" customHeight="true" outlineLevel="0" collapsed="false">
      <c r="A64" s="3" t="s">
        <v>176</v>
      </c>
      <c r="B64" s="5" t="s">
        <v>177</v>
      </c>
    </row>
    <row r="66" customFormat="false" ht="15" hidden="false" customHeight="false" outlineLevel="0" collapsed="false">
      <c r="A66" s="6" t="s">
        <v>178</v>
      </c>
    </row>
    <row r="67" customFormat="false" ht="75" hidden="false" customHeight="true" outlineLevel="0" collapsed="false">
      <c r="A67" s="3" t="s">
        <v>179</v>
      </c>
      <c r="B67" s="5" t="s">
        <v>177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1"/>
    <col collapsed="false" customWidth="true" hidden="false" outlineLevel="0" max="5" min="3" style="0" width="13"/>
    <col collapsed="false" customWidth="true" hidden="false" outlineLevel="0" max="6" min="6" style="0" width="22"/>
    <col collapsed="false" customWidth="true" hidden="false" outlineLevel="0" max="7" min="7" style="0" width="13"/>
    <col collapsed="false" customWidth="true" hidden="false" outlineLevel="0" max="8" min="8" style="0" width="60"/>
    <col collapsed="false" customWidth="true" hidden="false" outlineLevel="0" max="9" min="9" style="0" width="50"/>
  </cols>
  <sheetData>
    <row r="1" customFormat="false" ht="16.15" hidden="false" customHeight="false" outlineLevel="0" collapsed="false">
      <c r="A1" s="4" t="s">
        <v>180</v>
      </c>
    </row>
    <row r="2" customFormat="false" ht="15" hidden="false" customHeight="false" outlineLevel="0" collapsed="false">
      <c r="A2" s="5" t="s">
        <v>181</v>
      </c>
    </row>
    <row r="5" customFormat="false" ht="15" hidden="false" customHeight="false" outlineLevel="0" collapsed="false">
      <c r="A5" s="6" t="s">
        <v>23</v>
      </c>
    </row>
    <row r="6" customFormat="false" ht="150" hidden="false" customHeight="true" outlineLevel="0" collapsed="false">
      <c r="A6" s="3" t="s">
        <v>182</v>
      </c>
      <c r="B6" s="5" t="s">
        <v>25</v>
      </c>
    </row>
    <row r="8" customFormat="false" ht="15" hidden="false" customHeight="false" outlineLevel="0" collapsed="false">
      <c r="A8" s="6" t="s">
        <v>26</v>
      </c>
    </row>
    <row r="9" customFormat="false" ht="15" hidden="false" customHeight="false" outlineLevel="0" collapsed="false">
      <c r="A9" s="7" t="s">
        <v>27</v>
      </c>
      <c r="B9" s="7" t="s">
        <v>28</v>
      </c>
      <c r="C9" s="7" t="s">
        <v>29</v>
      </c>
      <c r="D9" s="7" t="s">
        <v>30</v>
      </c>
      <c r="E9" s="7" t="s">
        <v>31</v>
      </c>
      <c r="F9" s="7" t="s">
        <v>32</v>
      </c>
      <c r="G9" s="7" t="s">
        <v>33</v>
      </c>
      <c r="H9" s="7" t="s">
        <v>34</v>
      </c>
      <c r="I9" s="7" t="s">
        <v>35</v>
      </c>
    </row>
    <row r="10" customFormat="false" ht="15" hidden="false" customHeight="false" outlineLevel="0" collapsed="false">
      <c r="A10" s="8" t="s">
        <v>183</v>
      </c>
      <c r="B10" s="5" t="s">
        <v>37</v>
      </c>
      <c r="C10" s="9" t="n">
        <v>57</v>
      </c>
      <c r="F10" s="5" t="s">
        <v>184</v>
      </c>
      <c r="G10" s="5" t="s">
        <v>39</v>
      </c>
      <c r="H10" s="5" t="s">
        <v>185</v>
      </c>
    </row>
    <row r="11" customFormat="false" ht="15" hidden="false" customHeight="false" outlineLevel="0" collapsed="false">
      <c r="A11" s="8" t="s">
        <v>186</v>
      </c>
      <c r="B11" s="5" t="s">
        <v>37</v>
      </c>
      <c r="C11" s="9" t="n">
        <v>59</v>
      </c>
      <c r="F11" s="5" t="s">
        <v>184</v>
      </c>
      <c r="G11" s="5" t="s">
        <v>39</v>
      </c>
      <c r="H11" s="5"/>
    </row>
    <row r="12" customFormat="false" ht="15" hidden="false" customHeight="false" outlineLevel="0" collapsed="false">
      <c r="A12" s="8" t="s">
        <v>187</v>
      </c>
      <c r="B12" s="5" t="s">
        <v>37</v>
      </c>
      <c r="C12" s="10" t="n">
        <v>61110</v>
      </c>
      <c r="F12" s="5" t="s">
        <v>188</v>
      </c>
      <c r="G12" s="5" t="s">
        <v>39</v>
      </c>
      <c r="H12" s="5"/>
    </row>
    <row r="13" customFormat="false" ht="15" hidden="false" customHeight="false" outlineLevel="0" collapsed="false">
      <c r="A13" s="8" t="s">
        <v>42</v>
      </c>
      <c r="B13" s="5" t="s">
        <v>37</v>
      </c>
      <c r="C13" s="10" t="n">
        <v>364621</v>
      </c>
      <c r="F13" s="5" t="s">
        <v>43</v>
      </c>
      <c r="G13" s="5" t="s">
        <v>39</v>
      </c>
      <c r="H13" s="5"/>
    </row>
    <row r="14" customFormat="false" ht="23.85" hidden="false" customHeight="false" outlineLevel="0" collapsed="false">
      <c r="A14" s="8" t="s">
        <v>189</v>
      </c>
      <c r="B14" s="11" t="s">
        <v>60</v>
      </c>
      <c r="C14" s="12" t="n">
        <v>0</v>
      </c>
      <c r="H14" s="3" t="s">
        <v>190</v>
      </c>
      <c r="I14" s="3" t="s">
        <v>191</v>
      </c>
    </row>
    <row r="16" customFormat="false" ht="15" hidden="false" customHeight="false" outlineLevel="0" collapsed="false">
      <c r="A16" s="6" t="s">
        <v>66</v>
      </c>
    </row>
    <row r="17" customFormat="false" ht="23.85" hidden="false" customHeight="false" outlineLevel="0" collapsed="false">
      <c r="A17" s="7" t="s">
        <v>67</v>
      </c>
      <c r="B17" s="7" t="s">
        <v>28</v>
      </c>
      <c r="C17" s="7" t="s">
        <v>68</v>
      </c>
      <c r="D17" s="7" t="s">
        <v>69</v>
      </c>
      <c r="E17" s="7" t="s">
        <v>70</v>
      </c>
      <c r="F17" s="7" t="s">
        <v>71</v>
      </c>
      <c r="G17" s="7" t="s">
        <v>72</v>
      </c>
      <c r="H17" s="7" t="s">
        <v>73</v>
      </c>
      <c r="I17" s="7" t="s">
        <v>74</v>
      </c>
      <c r="J17" s="14" t="s">
        <v>75</v>
      </c>
      <c r="K17" s="14" t="s">
        <v>76</v>
      </c>
      <c r="L17" s="14" t="s">
        <v>77</v>
      </c>
    </row>
    <row r="18" customFormat="false" ht="15" hidden="false" customHeight="false" outlineLevel="0" collapsed="false">
      <c r="A18" s="8" t="s">
        <v>78</v>
      </c>
      <c r="B18" s="5" t="s">
        <v>79</v>
      </c>
      <c r="C18" s="9" t="n">
        <v>-26</v>
      </c>
      <c r="D18" s="9" t="n">
        <v>-25</v>
      </c>
      <c r="E18" s="10" t="n">
        <v>-9449</v>
      </c>
      <c r="F18" s="5" t="s">
        <v>192</v>
      </c>
      <c r="G18" s="5" t="s">
        <v>81</v>
      </c>
      <c r="I18" s="5" t="s">
        <v>193</v>
      </c>
      <c r="J18" s="15" t="n">
        <f aca="false">(C18+D18)/2</f>
        <v>-25.5</v>
      </c>
      <c r="K18" s="16" t="n">
        <f aca="false">(E18/1000-J18)/ABS(J18)</f>
        <v>0.629450980392157</v>
      </c>
      <c r="L18" s="15" t="n">
        <f aca="false">E18/1000-J18</f>
        <v>16.051</v>
      </c>
    </row>
    <row r="19" customFormat="false" ht="15" hidden="false" customHeight="false" outlineLevel="0" collapsed="false">
      <c r="A19" s="8" t="s">
        <v>83</v>
      </c>
      <c r="B19" s="5" t="s">
        <v>79</v>
      </c>
      <c r="C19" s="9" t="n">
        <v>-23</v>
      </c>
      <c r="D19" s="9" t="n">
        <v>-22</v>
      </c>
      <c r="E19" s="10" t="n">
        <v>-9929</v>
      </c>
      <c r="F19" s="5" t="s">
        <v>194</v>
      </c>
      <c r="G19" s="5" t="s">
        <v>85</v>
      </c>
      <c r="I19" s="5" t="s">
        <v>195</v>
      </c>
      <c r="J19" s="15" t="n">
        <f aca="false">(C19+D19)/2</f>
        <v>-22.5</v>
      </c>
      <c r="K19" s="16" t="n">
        <f aca="false">(E19/1000-J19)/ABS(J19)</f>
        <v>0.558711111111111</v>
      </c>
      <c r="L19" s="15" t="n">
        <f aca="false">E19/1000-J19</f>
        <v>12.571</v>
      </c>
    </row>
    <row r="20" customFormat="false" ht="15" hidden="false" customHeight="false" outlineLevel="0" collapsed="false">
      <c r="A20" s="8" t="s">
        <v>87</v>
      </c>
      <c r="B20" s="5" t="s">
        <v>79</v>
      </c>
      <c r="C20" s="9" t="n">
        <v>-47</v>
      </c>
      <c r="D20" s="9" t="n">
        <v>-45</v>
      </c>
      <c r="E20" s="10" t="n">
        <v>-43830</v>
      </c>
      <c r="F20" s="5" t="s">
        <v>196</v>
      </c>
      <c r="G20" s="5" t="s">
        <v>89</v>
      </c>
      <c r="I20" s="5" t="s">
        <v>197</v>
      </c>
      <c r="J20" s="15" t="n">
        <f aca="false">(C20+D20)/2</f>
        <v>-46</v>
      </c>
      <c r="K20" s="16" t="n">
        <f aca="false">(E20/1000-J20)/ABS(J20)</f>
        <v>0.0471739130434783</v>
      </c>
      <c r="L20" s="15" t="n">
        <f aca="false">E20/1000-J20</f>
        <v>2.17</v>
      </c>
    </row>
    <row r="21" customFormat="false" ht="15" hidden="false" customHeight="false" outlineLevel="0" collapsed="false">
      <c r="A21" s="8" t="s">
        <v>91</v>
      </c>
      <c r="B21" s="5" t="s">
        <v>79</v>
      </c>
      <c r="C21" s="9" t="n">
        <v>-35</v>
      </c>
      <c r="D21" s="9" t="n">
        <v>-33</v>
      </c>
      <c r="E21" s="10" t="n">
        <v>-15358</v>
      </c>
      <c r="F21" s="5" t="s">
        <v>198</v>
      </c>
      <c r="G21" s="5" t="s">
        <v>93</v>
      </c>
      <c r="I21" s="5" t="s">
        <v>199</v>
      </c>
      <c r="J21" s="15" t="n">
        <f aca="false">(C21+D21)/2</f>
        <v>-34</v>
      </c>
      <c r="K21" s="16" t="n">
        <f aca="false">(E21/1000-J21)/ABS(J21)</f>
        <v>0.548294117647059</v>
      </c>
      <c r="L21" s="15" t="n">
        <f aca="false">E21/1000-J21</f>
        <v>18.642</v>
      </c>
    </row>
    <row r="22" customFormat="false" ht="15" hidden="false" customHeight="false" outlineLevel="0" collapsed="false">
      <c r="A22" s="8" t="s">
        <v>95</v>
      </c>
      <c r="B22" s="5" t="s">
        <v>79</v>
      </c>
      <c r="C22" s="9" t="n">
        <v>-25</v>
      </c>
      <c r="D22" s="9" t="n">
        <v>-24</v>
      </c>
      <c r="E22" s="10" t="n">
        <v>-2185</v>
      </c>
      <c r="F22" s="5" t="s">
        <v>200</v>
      </c>
      <c r="G22" s="5" t="s">
        <v>97</v>
      </c>
      <c r="I22" s="5" t="s">
        <v>201</v>
      </c>
      <c r="J22" s="15" t="n">
        <f aca="false">(C22+D22)/2</f>
        <v>-24.5</v>
      </c>
      <c r="K22" s="16" t="n">
        <f aca="false">(E22/1000-J22)/ABS(J22)</f>
        <v>0.910816326530612</v>
      </c>
      <c r="L22" s="15" t="n">
        <f aca="false">E22/1000-J22</f>
        <v>22.315</v>
      </c>
    </row>
    <row r="23" customFormat="false" ht="15" hidden="false" customHeight="false" outlineLevel="0" collapsed="false">
      <c r="A23" s="8" t="s">
        <v>99</v>
      </c>
      <c r="B23" s="5" t="s">
        <v>79</v>
      </c>
      <c r="C23" s="9" t="n">
        <v>-22</v>
      </c>
      <c r="D23" s="9" t="n">
        <v>-20</v>
      </c>
      <c r="E23" s="10" t="n">
        <v>14278</v>
      </c>
      <c r="F23" s="5" t="s">
        <v>202</v>
      </c>
      <c r="G23" s="5" t="s">
        <v>101</v>
      </c>
      <c r="I23" s="5" t="s">
        <v>203</v>
      </c>
      <c r="J23" s="15" t="n">
        <f aca="false">(C23+D23)/2</f>
        <v>-21</v>
      </c>
      <c r="K23" s="16" t="n">
        <f aca="false">(E23/1000-J23)/ABS(J23)</f>
        <v>1.67990476190476</v>
      </c>
      <c r="L23" s="15" t="n">
        <f aca="false">E23/1000-J23</f>
        <v>35.278</v>
      </c>
    </row>
    <row r="24" customFormat="false" ht="15" hidden="false" customHeight="false" outlineLevel="0" collapsed="false">
      <c r="A24" s="8" t="s">
        <v>103</v>
      </c>
      <c r="B24" s="5" t="s">
        <v>79</v>
      </c>
      <c r="C24" s="9" t="n">
        <v>-19</v>
      </c>
      <c r="D24" s="9" t="n">
        <v>-17</v>
      </c>
      <c r="E24" s="10" t="n">
        <v>-293</v>
      </c>
      <c r="F24" s="5" t="s">
        <v>204</v>
      </c>
      <c r="G24" s="5" t="s">
        <v>105</v>
      </c>
      <c r="I24" s="5" t="s">
        <v>205</v>
      </c>
      <c r="J24" s="15" t="n">
        <f aca="false">(C24+D24)/2</f>
        <v>-18</v>
      </c>
      <c r="K24" s="16" t="n">
        <f aca="false">(E24/1000-J24)/ABS(J24)</f>
        <v>0.983722222222222</v>
      </c>
      <c r="L24" s="15" t="n">
        <f aca="false">E24/1000-J24</f>
        <v>17.707</v>
      </c>
    </row>
    <row r="25" customFormat="false" ht="15" hidden="false" customHeight="false" outlineLevel="0" collapsed="false">
      <c r="A25" s="8" t="s">
        <v>107</v>
      </c>
      <c r="B25" s="5" t="s">
        <v>79</v>
      </c>
      <c r="C25" s="9" t="n">
        <v>2</v>
      </c>
      <c r="D25" s="9" t="n">
        <v>4</v>
      </c>
      <c r="E25" s="10" t="n">
        <v>16617</v>
      </c>
      <c r="F25" s="5" t="s">
        <v>206</v>
      </c>
      <c r="G25" s="5" t="s">
        <v>109</v>
      </c>
      <c r="I25" s="5" t="s">
        <v>207</v>
      </c>
      <c r="J25" s="15" t="n">
        <f aca="false">(C25+D25)/2</f>
        <v>3</v>
      </c>
      <c r="K25" s="16" t="n">
        <f aca="false">(E25/1000-J25)/ABS(J25)</f>
        <v>4.539</v>
      </c>
      <c r="L25" s="15" t="n">
        <f aca="false">E25/1000-J25</f>
        <v>13.617</v>
      </c>
    </row>
    <row r="26" customFormat="false" ht="15" hidden="false" customHeight="false" outlineLevel="0" collapsed="false">
      <c r="A26" s="8" t="s">
        <v>111</v>
      </c>
      <c r="B26" s="5" t="s">
        <v>79</v>
      </c>
      <c r="C26" s="9" t="n">
        <v>4</v>
      </c>
      <c r="D26" s="9" t="n">
        <v>6</v>
      </c>
      <c r="E26" s="10" t="n">
        <v>24077</v>
      </c>
      <c r="F26" s="5" t="s">
        <v>208</v>
      </c>
      <c r="G26" s="5" t="s">
        <v>113</v>
      </c>
      <c r="I26" s="5" t="s">
        <v>209</v>
      </c>
      <c r="J26" s="15" t="n">
        <f aca="false">(C26+D26)/2</f>
        <v>5</v>
      </c>
      <c r="K26" s="16" t="n">
        <f aca="false">(E26/1000-J26)/ABS(J26)</f>
        <v>3.8154</v>
      </c>
      <c r="L26" s="15" t="n">
        <f aca="false">E26/1000-J26</f>
        <v>19.077</v>
      </c>
    </row>
    <row r="27" customFormat="false" ht="15" hidden="false" customHeight="false" outlineLevel="0" collapsed="false">
      <c r="A27" s="8" t="s">
        <v>115</v>
      </c>
      <c r="B27" s="5" t="s">
        <v>79</v>
      </c>
      <c r="C27" s="9" t="n">
        <v>7</v>
      </c>
      <c r="D27" s="9" t="n">
        <v>9</v>
      </c>
      <c r="E27" s="10" t="n">
        <v>21200</v>
      </c>
      <c r="F27" s="5" t="s">
        <v>210</v>
      </c>
      <c r="G27" s="5" t="s">
        <v>117</v>
      </c>
      <c r="I27" s="5" t="s">
        <v>211</v>
      </c>
      <c r="J27" s="15" t="n">
        <f aca="false">(C27+D27)/2</f>
        <v>8</v>
      </c>
      <c r="K27" s="16" t="n">
        <f aca="false">(E27/1000-J27)/ABS(J27)</f>
        <v>1.65</v>
      </c>
      <c r="L27" s="15" t="n">
        <f aca="false">E27/1000-J27</f>
        <v>13.2</v>
      </c>
    </row>
    <row r="28" customFormat="false" ht="15" hidden="false" customHeight="false" outlineLevel="0" collapsed="false">
      <c r="A28" s="8" t="s">
        <v>119</v>
      </c>
      <c r="B28" s="5" t="s">
        <v>79</v>
      </c>
      <c r="C28" s="9" t="n">
        <v>8</v>
      </c>
      <c r="D28" s="9" t="n">
        <v>12</v>
      </c>
      <c r="E28" s="10" t="n">
        <v>21521</v>
      </c>
      <c r="F28" s="5" t="s">
        <v>212</v>
      </c>
      <c r="G28" s="5" t="s">
        <v>121</v>
      </c>
      <c r="I28" s="5" t="s">
        <v>213</v>
      </c>
      <c r="J28" s="15" t="n">
        <f aca="false">(C28+D28)/2</f>
        <v>10</v>
      </c>
      <c r="K28" s="16" t="n">
        <f aca="false">(E28/1000-J28)/ABS(J28)</f>
        <v>1.1521</v>
      </c>
      <c r="L28" s="15" t="n">
        <f aca="false">E28/1000-J28</f>
        <v>11.521</v>
      </c>
    </row>
    <row r="29" customFormat="false" ht="15" hidden="false" customHeight="false" outlineLevel="0" collapsed="false">
      <c r="A29" s="8" t="s">
        <v>123</v>
      </c>
      <c r="B29" s="5" t="s">
        <v>79</v>
      </c>
      <c r="C29" s="9" t="n">
        <v>17</v>
      </c>
      <c r="D29" s="9" t="n">
        <v>21</v>
      </c>
      <c r="E29" s="10" t="n">
        <v>38417</v>
      </c>
      <c r="F29" s="5" t="s">
        <v>214</v>
      </c>
      <c r="G29" s="5" t="s">
        <v>125</v>
      </c>
      <c r="I29" s="5" t="s">
        <v>215</v>
      </c>
      <c r="J29" s="15" t="n">
        <f aca="false">(C29+D29)/2</f>
        <v>19</v>
      </c>
      <c r="K29" s="16" t="n">
        <f aca="false">(E29/1000-J29)/ABS(J29)</f>
        <v>1.02194736842105</v>
      </c>
      <c r="L29" s="15" t="n">
        <f aca="false">E29/1000-J29</f>
        <v>19.417</v>
      </c>
    </row>
    <row r="30" customFormat="false" ht="15" hidden="false" customHeight="false" outlineLevel="0" collapsed="false">
      <c r="A30" s="8" t="s">
        <v>127</v>
      </c>
      <c r="B30" s="5" t="s">
        <v>79</v>
      </c>
      <c r="C30" s="9" t="n">
        <v>19</v>
      </c>
      <c r="D30" s="9" t="n">
        <v>23</v>
      </c>
      <c r="E30" s="10" t="n">
        <v>32180</v>
      </c>
      <c r="F30" s="5" t="s">
        <v>216</v>
      </c>
      <c r="G30" s="5" t="s">
        <v>129</v>
      </c>
      <c r="I30" s="5" t="s">
        <v>217</v>
      </c>
      <c r="J30" s="15" t="n">
        <f aca="false">(C30+D30)/2</f>
        <v>21</v>
      </c>
      <c r="K30" s="16" t="n">
        <f aca="false">(E30/1000-J30)/ABS(J30)</f>
        <v>0.532380952380952</v>
      </c>
      <c r="L30" s="15" t="n">
        <f aca="false">E30/1000-J30</f>
        <v>11.18</v>
      </c>
    </row>
    <row r="31" customFormat="false" ht="15" hidden="false" customHeight="false" outlineLevel="0" collapsed="false">
      <c r="A31" s="8" t="s">
        <v>131</v>
      </c>
      <c r="B31" s="5" t="s">
        <v>79</v>
      </c>
      <c r="C31" s="9" t="n">
        <v>29</v>
      </c>
      <c r="D31" s="9" t="n">
        <v>31</v>
      </c>
      <c r="E31" s="10" t="n">
        <v>40265</v>
      </c>
      <c r="F31" s="5" t="s">
        <v>218</v>
      </c>
      <c r="G31" s="5" t="s">
        <v>133</v>
      </c>
      <c r="I31" s="5" t="s">
        <v>219</v>
      </c>
      <c r="J31" s="15" t="n">
        <f aca="false">(C31+D31)/2</f>
        <v>30</v>
      </c>
      <c r="K31" s="16" t="n">
        <f aca="false">(E31/1000-J31)/ABS(J31)</f>
        <v>0.342166666666667</v>
      </c>
      <c r="L31" s="15" t="n">
        <f aca="false">E31/1000-J31</f>
        <v>10.265</v>
      </c>
    </row>
    <row r="32" customFormat="false" ht="15" hidden="false" customHeight="false" outlineLevel="0" collapsed="false">
      <c r="A32" s="8" t="s">
        <v>135</v>
      </c>
      <c r="B32" s="5" t="s">
        <v>79</v>
      </c>
      <c r="C32" s="9" t="n">
        <v>25</v>
      </c>
      <c r="D32" s="9" t="n">
        <v>27</v>
      </c>
      <c r="E32" s="10" t="n">
        <v>40754</v>
      </c>
      <c r="F32" s="5" t="s">
        <v>220</v>
      </c>
      <c r="G32" s="5" t="s">
        <v>137</v>
      </c>
      <c r="I32" s="5" t="s">
        <v>221</v>
      </c>
      <c r="J32" s="15" t="n">
        <f aca="false">(C32+D32)/2</f>
        <v>26</v>
      </c>
      <c r="K32" s="16" t="n">
        <f aca="false">(E32/1000-J32)/ABS(J32)</f>
        <v>0.567461538461538</v>
      </c>
      <c r="L32" s="15" t="n">
        <f aca="false">E32/1000-J32</f>
        <v>14.754</v>
      </c>
    </row>
    <row r="33" customFormat="false" ht="15" hidden="false" customHeight="false" outlineLevel="0" collapsed="false">
      <c r="A33" s="8" t="s">
        <v>139</v>
      </c>
      <c r="B33" s="5" t="s">
        <v>79</v>
      </c>
      <c r="C33" s="9" t="n">
        <v>32</v>
      </c>
      <c r="D33" s="9" t="n">
        <v>34</v>
      </c>
      <c r="E33" s="10" t="n">
        <v>45094</v>
      </c>
      <c r="F33" s="5" t="s">
        <v>222</v>
      </c>
      <c r="G33" s="5" t="s">
        <v>141</v>
      </c>
      <c r="I33" s="5" t="s">
        <v>223</v>
      </c>
      <c r="J33" s="15" t="n">
        <f aca="false">(C33+D33)/2</f>
        <v>33</v>
      </c>
      <c r="K33" s="16" t="n">
        <f aca="false">(E33/1000-J33)/ABS(J33)</f>
        <v>0.366484848484849</v>
      </c>
      <c r="L33" s="15" t="n">
        <f aca="false">E33/1000-J33</f>
        <v>12.094</v>
      </c>
    </row>
    <row r="34" customFormat="false" ht="15" hidden="false" customHeight="false" outlineLevel="0" collapsed="false">
      <c r="A34" s="8" t="s">
        <v>143</v>
      </c>
      <c r="B34" s="5" t="s">
        <v>79</v>
      </c>
      <c r="C34" s="9" t="n">
        <v>34</v>
      </c>
      <c r="D34" s="9" t="n">
        <v>36</v>
      </c>
      <c r="E34" s="10" t="n">
        <v>47484</v>
      </c>
      <c r="F34" s="5" t="s">
        <v>224</v>
      </c>
      <c r="G34" s="5" t="s">
        <v>145</v>
      </c>
      <c r="I34" s="5" t="s">
        <v>225</v>
      </c>
      <c r="J34" s="15" t="n">
        <f aca="false">(C34+D34)/2</f>
        <v>35</v>
      </c>
      <c r="K34" s="16" t="n">
        <f aca="false">(E34/1000-J34)/ABS(J34)</f>
        <v>0.356685714285714</v>
      </c>
      <c r="L34" s="15" t="n">
        <f aca="false">E34/1000-J34</f>
        <v>12.484</v>
      </c>
    </row>
    <row r="35" customFormat="false" ht="15" hidden="false" customHeight="false" outlineLevel="0" collapsed="false">
      <c r="A35" s="8" t="s">
        <v>147</v>
      </c>
      <c r="B35" s="5" t="s">
        <v>79</v>
      </c>
      <c r="C35" s="9" t="n">
        <v>36</v>
      </c>
      <c r="D35" s="9" t="n">
        <v>38</v>
      </c>
      <c r="E35" s="10" t="n">
        <v>41931</v>
      </c>
      <c r="F35" s="5" t="s">
        <v>226</v>
      </c>
      <c r="G35" s="5" t="s">
        <v>149</v>
      </c>
      <c r="I35" s="5" t="s">
        <v>227</v>
      </c>
      <c r="J35" s="15" t="n">
        <f aca="false">(C35+D35)/2</f>
        <v>37</v>
      </c>
      <c r="K35" s="16" t="n">
        <f aca="false">(E35/1000-J35)/ABS(J35)</f>
        <v>0.13327027027027</v>
      </c>
      <c r="L35" s="15" t="n">
        <f aca="false">E35/1000-J35</f>
        <v>4.931</v>
      </c>
    </row>
    <row r="36" customFormat="false" ht="15" hidden="false" customHeight="false" outlineLevel="0" collapsed="false">
      <c r="A36" s="8" t="s">
        <v>151</v>
      </c>
      <c r="B36" s="5" t="s">
        <v>79</v>
      </c>
      <c r="C36" s="9" t="n">
        <v>37</v>
      </c>
      <c r="D36" s="9" t="n">
        <v>39</v>
      </c>
      <c r="E36" s="10" t="n">
        <v>49037</v>
      </c>
      <c r="F36" s="5" t="s">
        <v>228</v>
      </c>
      <c r="G36" s="5" t="s">
        <v>153</v>
      </c>
      <c r="I36" s="5" t="s">
        <v>229</v>
      </c>
      <c r="J36" s="15" t="n">
        <f aca="false">(C36+D36)/2</f>
        <v>38</v>
      </c>
      <c r="K36" s="16" t="n">
        <f aca="false">(E36/1000-J36)/ABS(J36)</f>
        <v>0.290447368421053</v>
      </c>
      <c r="L36" s="15" t="n">
        <f aca="false">E36/1000-J36</f>
        <v>11.037</v>
      </c>
    </row>
    <row r="37" customFormat="false" ht="15" hidden="false" customHeight="false" outlineLevel="0" collapsed="false">
      <c r="A37" s="8" t="s">
        <v>155</v>
      </c>
      <c r="B37" s="5" t="s">
        <v>79</v>
      </c>
      <c r="C37" s="9" t="n">
        <v>46</v>
      </c>
      <c r="D37" s="9" t="n">
        <v>48</v>
      </c>
      <c r="E37" s="10" t="n">
        <v>61110</v>
      </c>
      <c r="F37" s="5" t="s">
        <v>230</v>
      </c>
      <c r="G37" s="5" t="s">
        <v>157</v>
      </c>
      <c r="I37" s="5" t="s">
        <v>231</v>
      </c>
      <c r="J37" s="15" t="n">
        <f aca="false">(C37+D37)/2</f>
        <v>47</v>
      </c>
      <c r="K37" s="16" t="n">
        <f aca="false">(E37/1000-J37)/ABS(J37)</f>
        <v>0.300212765957447</v>
      </c>
      <c r="L37" s="15" t="n">
        <f aca="false">E37/1000-J37</f>
        <v>14.11</v>
      </c>
    </row>
    <row r="39" customFormat="false" ht="15" hidden="false" customHeight="false" outlineLevel="0" collapsed="false">
      <c r="A39" s="6" t="s">
        <v>159</v>
      </c>
    </row>
    <row r="40" customFormat="false" ht="15" hidden="false" customHeight="false" outlineLevel="0" collapsed="false">
      <c r="A40" s="7" t="s">
        <v>27</v>
      </c>
      <c r="B40" s="7" t="s">
        <v>28</v>
      </c>
      <c r="C40" s="7" t="s">
        <v>29</v>
      </c>
      <c r="D40" s="7" t="s">
        <v>30</v>
      </c>
      <c r="E40" s="7" t="s">
        <v>31</v>
      </c>
      <c r="F40" s="7" t="s">
        <v>32</v>
      </c>
      <c r="G40" s="7" t="s">
        <v>33</v>
      </c>
      <c r="H40" s="7" t="s">
        <v>34</v>
      </c>
      <c r="I40" s="7" t="s">
        <v>35</v>
      </c>
    </row>
    <row r="41" customFormat="false" ht="15" hidden="false" customHeight="false" outlineLevel="0" collapsed="false">
      <c r="A41" s="8" t="s">
        <v>160</v>
      </c>
      <c r="B41" s="5" t="s">
        <v>161</v>
      </c>
      <c r="D41" s="15" t="n">
        <f aca="false">(C10+C11)/2</f>
        <v>58</v>
      </c>
      <c r="H41" s="5"/>
    </row>
    <row r="42" customFormat="false" ht="15" hidden="false" customHeight="false" outlineLevel="0" collapsed="false">
      <c r="A42" s="8" t="s">
        <v>162</v>
      </c>
      <c r="B42" s="5" t="s">
        <v>161</v>
      </c>
      <c r="C42" s="18" t="n">
        <f aca="false">MIN(K30:K37)</f>
        <v>0.13327027027027</v>
      </c>
      <c r="D42" s="18" t="n">
        <f aca="false">MEDIAN(K30:K37)</f>
        <v>0.349426190476191</v>
      </c>
      <c r="E42" s="18" t="n">
        <f aca="false">MAX(K30:K37)</f>
        <v>0.567461538461538</v>
      </c>
      <c r="H42" s="5"/>
    </row>
    <row r="43" customFormat="false" ht="15" hidden="false" customHeight="false" outlineLevel="0" collapsed="false">
      <c r="A43" s="8" t="s">
        <v>232</v>
      </c>
      <c r="B43" s="5" t="s">
        <v>161</v>
      </c>
      <c r="C43" s="18" t="n">
        <f aca="false">MIN(K18:K37)</f>
        <v>0.0471739130434783</v>
      </c>
      <c r="D43" s="18" t="n">
        <f aca="false">MEDIAN(K18:K37)</f>
        <v>0.563086324786325</v>
      </c>
      <c r="E43" s="18" t="n">
        <f aca="false">MAX(K18:K37)</f>
        <v>4.539</v>
      </c>
      <c r="H43" s="5"/>
    </row>
    <row r="44" customFormat="false" ht="15" hidden="false" customHeight="false" outlineLevel="0" collapsed="false">
      <c r="A44" s="8" t="s">
        <v>233</v>
      </c>
      <c r="B44" s="5" t="s">
        <v>161</v>
      </c>
      <c r="D44" s="18" t="n">
        <f aca="false">K35</f>
        <v>0.13327027027027</v>
      </c>
      <c r="H44" s="5"/>
    </row>
    <row r="45" customFormat="false" ht="15" hidden="false" customHeight="false" outlineLevel="0" collapsed="false">
      <c r="A45" s="8" t="s">
        <v>234</v>
      </c>
      <c r="B45" s="5" t="s">
        <v>161</v>
      </c>
      <c r="C45" s="15" t="n">
        <f aca="false">MIN(L30:L37)</f>
        <v>4.931</v>
      </c>
      <c r="D45" s="15" t="n">
        <f aca="false">MEDIAN(L30:L37)</f>
        <v>11.637</v>
      </c>
      <c r="E45" s="15" t="n">
        <f aca="false">MAX(L30:L37)</f>
        <v>14.754</v>
      </c>
      <c r="H45" s="5"/>
    </row>
    <row r="47" customFormat="false" ht="15" hidden="false" customHeight="false" outlineLevel="0" collapsed="false">
      <c r="A47" s="6" t="s">
        <v>167</v>
      </c>
    </row>
    <row r="48" customFormat="false" ht="15" hidden="false" customHeight="false" outlineLevel="0" collapsed="false">
      <c r="A48" s="7" t="s">
        <v>27</v>
      </c>
      <c r="B48" s="7" t="s">
        <v>28</v>
      </c>
      <c r="C48" s="7" t="s">
        <v>29</v>
      </c>
      <c r="D48" s="7" t="s">
        <v>30</v>
      </c>
      <c r="E48" s="7" t="s">
        <v>31</v>
      </c>
      <c r="F48" s="7" t="s">
        <v>32</v>
      </c>
      <c r="G48" s="7" t="s">
        <v>33</v>
      </c>
      <c r="H48" s="7" t="s">
        <v>34</v>
      </c>
      <c r="I48" s="7" t="s">
        <v>35</v>
      </c>
    </row>
    <row r="49" customFormat="false" ht="15" hidden="false" customHeight="false" outlineLevel="0" collapsed="false">
      <c r="A49" s="2" t="s">
        <v>235</v>
      </c>
      <c r="B49" s="5" t="s">
        <v>161</v>
      </c>
      <c r="C49" s="17" t="n">
        <f aca="false">D41*(1+D44)+C14/10000*Revenue!$D$55</f>
        <v>65.7296756756757</v>
      </c>
      <c r="D49" s="17" t="n">
        <f aca="false">D41*(1+D42)+C14/10000*Revenue!$D$55</f>
        <v>78.2667190476191</v>
      </c>
      <c r="E49" s="17" t="n">
        <f aca="false">D41*(1+E42)+C14/10000*Revenue!$D$55</f>
        <v>90.9127692307692</v>
      </c>
      <c r="H49" s="5" t="s">
        <v>236</v>
      </c>
    </row>
    <row r="50" customFormat="false" ht="15" hidden="false" customHeight="false" outlineLevel="0" collapsed="false">
      <c r="A50" s="2" t="s">
        <v>237</v>
      </c>
      <c r="B50" s="5" t="s">
        <v>161</v>
      </c>
      <c r="C50" s="19" t="n">
        <f aca="false">C49/Revenue!C55</f>
        <v>0.175526712094692</v>
      </c>
      <c r="D50" s="19" t="n">
        <f aca="false">D49/Revenue!D55</f>
        <v>0.206845527164107</v>
      </c>
      <c r="E50" s="19" t="n">
        <f aca="false">E49/Revenue!E55</f>
        <v>0.237773439367677</v>
      </c>
      <c r="H50" s="5" t="s">
        <v>238</v>
      </c>
    </row>
    <row r="52" customFormat="false" ht="15" hidden="false" customHeight="false" outlineLevel="0" collapsed="false">
      <c r="A52" s="6" t="s">
        <v>170</v>
      </c>
    </row>
    <row r="53" customFormat="false" ht="15" hidden="false" customHeight="false" outlineLevel="0" collapsed="false">
      <c r="A53" s="7" t="s">
        <v>27</v>
      </c>
      <c r="B53" s="7" t="s">
        <v>28</v>
      </c>
      <c r="C53" s="7" t="s">
        <v>29</v>
      </c>
      <c r="D53" s="7" t="s">
        <v>30</v>
      </c>
      <c r="E53" s="7" t="s">
        <v>31</v>
      </c>
      <c r="F53" s="7" t="s">
        <v>32</v>
      </c>
      <c r="G53" s="7" t="s">
        <v>33</v>
      </c>
      <c r="H53" s="7" t="s">
        <v>34</v>
      </c>
      <c r="I53" s="7" t="s">
        <v>35</v>
      </c>
    </row>
    <row r="54" customFormat="false" ht="15" hidden="false" customHeight="false" outlineLevel="0" collapsed="false">
      <c r="A54" s="8" t="s">
        <v>239</v>
      </c>
      <c r="B54" s="5" t="s">
        <v>161</v>
      </c>
      <c r="C54" s="15" t="n">
        <f aca="false">D41*(1+C43)</f>
        <v>60.7360869565217</v>
      </c>
      <c r="D54" s="15" t="n">
        <f aca="false">D41*(1+D43)</f>
        <v>90.6590068376068</v>
      </c>
      <c r="E54" s="15" t="n">
        <f aca="false">D41*(1+E43)</f>
        <v>321.262</v>
      </c>
      <c r="H54" s="5"/>
    </row>
    <row r="55" customFormat="false" ht="15" hidden="false" customHeight="false" outlineLevel="0" collapsed="false">
      <c r="A55" s="8" t="s">
        <v>240</v>
      </c>
      <c r="B55" s="5" t="s">
        <v>161</v>
      </c>
      <c r="C55" s="15" t="n">
        <f aca="false">D41+C45</f>
        <v>62.931</v>
      </c>
      <c r="D55" s="15" t="n">
        <f aca="false">D41+D45</f>
        <v>69.637</v>
      </c>
      <c r="E55" s="15" t="n">
        <f aca="false">D41+E45</f>
        <v>72.754</v>
      </c>
      <c r="H55" s="5"/>
    </row>
    <row r="56" customFormat="false" ht="15" hidden="false" customHeight="false" outlineLevel="0" collapsed="false">
      <c r="A56" s="8" t="s">
        <v>241</v>
      </c>
      <c r="B56" s="5" t="s">
        <v>161</v>
      </c>
      <c r="D56" s="18" t="n">
        <f aca="false">D41/Revenue!D46</f>
        <v>0.157181571815718</v>
      </c>
      <c r="H56" s="5"/>
    </row>
    <row r="57" customFormat="false" ht="15" hidden="false" customHeight="false" outlineLevel="0" collapsed="false">
      <c r="A57" s="8" t="s">
        <v>242</v>
      </c>
      <c r="B57" s="5" t="s">
        <v>161</v>
      </c>
      <c r="D57" s="18" t="n">
        <f aca="false">C12/C13</f>
        <v>0.167598684661608</v>
      </c>
      <c r="H57" s="5"/>
    </row>
    <row r="58" customFormat="false" ht="15" hidden="false" customHeight="false" outlineLevel="0" collapsed="false">
      <c r="A58" s="8" t="s">
        <v>243</v>
      </c>
      <c r="B58" s="5" t="s">
        <v>161</v>
      </c>
      <c r="C58" s="18" t="n">
        <f aca="false">C49*1000/C12-1</f>
        <v>0.0755960673486444</v>
      </c>
      <c r="D58" s="18" t="n">
        <f aca="false">D49*1000/C12-1</f>
        <v>0.280751416259517</v>
      </c>
      <c r="E58" s="18" t="n">
        <f aca="false">E49*1000/C12-1</f>
        <v>0.487690545422504</v>
      </c>
      <c r="H58" s="5"/>
    </row>
    <row r="60" customFormat="false" ht="15" hidden="false" customHeight="false" outlineLevel="0" collapsed="false">
      <c r="A60" s="6" t="s">
        <v>175</v>
      </c>
    </row>
    <row r="61" customFormat="false" ht="90" hidden="false" customHeight="true" outlineLevel="0" collapsed="false">
      <c r="A61" s="3" t="s">
        <v>244</v>
      </c>
      <c r="B61" s="5" t="s">
        <v>177</v>
      </c>
    </row>
    <row r="63" customFormat="false" ht="15" hidden="false" customHeight="false" outlineLevel="0" collapsed="false">
      <c r="A63" s="6" t="s">
        <v>178</v>
      </c>
    </row>
    <row r="64" customFormat="false" ht="75" hidden="false" customHeight="true" outlineLevel="0" collapsed="false">
      <c r="A64" s="3" t="s">
        <v>245</v>
      </c>
      <c r="B64" s="5" t="s">
        <v>177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1"/>
    <col collapsed="false" customWidth="true" hidden="false" outlineLevel="0" max="5" min="3" style="0" width="13"/>
    <col collapsed="false" customWidth="true" hidden="false" outlineLevel="0" max="6" min="6" style="0" width="22"/>
    <col collapsed="false" customWidth="true" hidden="false" outlineLevel="0" max="7" min="7" style="0" width="13"/>
    <col collapsed="false" customWidth="true" hidden="false" outlineLevel="0" max="8" min="8" style="0" width="60"/>
    <col collapsed="false" customWidth="true" hidden="false" outlineLevel="0" max="9" min="9" style="0" width="50"/>
  </cols>
  <sheetData>
    <row r="1" customFormat="false" ht="16.15" hidden="false" customHeight="false" outlineLevel="0" collapsed="false">
      <c r="A1" s="4" t="s">
        <v>246</v>
      </c>
    </row>
    <row r="2" customFormat="false" ht="15" hidden="false" customHeight="false" outlineLevel="0" collapsed="false">
      <c r="A2" s="5" t="s">
        <v>247</v>
      </c>
    </row>
    <row r="5" customFormat="false" ht="15" hidden="false" customHeight="false" outlineLevel="0" collapsed="false">
      <c r="A5" s="6" t="s">
        <v>23</v>
      </c>
    </row>
    <row r="6" customFormat="false" ht="120" hidden="false" customHeight="true" outlineLevel="0" collapsed="false">
      <c r="A6" s="3" t="s">
        <v>248</v>
      </c>
      <c r="B6" s="5" t="s">
        <v>25</v>
      </c>
    </row>
    <row r="8" customFormat="false" ht="15" hidden="false" customHeight="false" outlineLevel="0" collapsed="false">
      <c r="A8" s="6" t="s">
        <v>26</v>
      </c>
    </row>
    <row r="9" customFormat="false" ht="15" hidden="false" customHeight="false" outlineLevel="0" collapsed="false">
      <c r="A9" s="7" t="s">
        <v>27</v>
      </c>
      <c r="B9" s="7" t="s">
        <v>28</v>
      </c>
      <c r="C9" s="7" t="s">
        <v>29</v>
      </c>
      <c r="D9" s="7" t="s">
        <v>30</v>
      </c>
      <c r="E9" s="7" t="s">
        <v>31</v>
      </c>
      <c r="F9" s="7" t="s">
        <v>32</v>
      </c>
      <c r="G9" s="7" t="s">
        <v>33</v>
      </c>
      <c r="H9" s="7" t="s">
        <v>34</v>
      </c>
      <c r="I9" s="7" t="s">
        <v>35</v>
      </c>
    </row>
    <row r="10" customFormat="false" ht="15" hidden="false" customHeight="false" outlineLevel="0" collapsed="false">
      <c r="A10" s="8" t="s">
        <v>249</v>
      </c>
      <c r="B10" s="5" t="s">
        <v>37</v>
      </c>
      <c r="C10" s="9" t="n">
        <v>280</v>
      </c>
      <c r="F10" s="5" t="s">
        <v>250</v>
      </c>
      <c r="G10" s="5" t="s">
        <v>39</v>
      </c>
      <c r="H10" s="5"/>
    </row>
    <row r="11" customFormat="false" ht="15" hidden="false" customHeight="false" outlineLevel="0" collapsed="false">
      <c r="A11" s="8" t="s">
        <v>251</v>
      </c>
      <c r="B11" s="5" t="s">
        <v>37</v>
      </c>
      <c r="C11" s="9" t="n">
        <v>290</v>
      </c>
      <c r="F11" s="5" t="s">
        <v>250</v>
      </c>
      <c r="G11" s="5" t="s">
        <v>39</v>
      </c>
      <c r="H11" s="5"/>
    </row>
    <row r="12" customFormat="false" ht="15" hidden="false" customHeight="false" outlineLevel="0" collapsed="false">
      <c r="A12" s="8" t="s">
        <v>252</v>
      </c>
      <c r="B12" s="5" t="s">
        <v>37</v>
      </c>
      <c r="C12" s="10" t="n">
        <v>155122</v>
      </c>
      <c r="F12" s="5" t="s">
        <v>253</v>
      </c>
      <c r="G12" s="5" t="s">
        <v>39</v>
      </c>
      <c r="H12" s="5"/>
    </row>
    <row r="13" customFormat="false" ht="15" hidden="false" customHeight="false" outlineLevel="0" collapsed="false">
      <c r="A13" s="8" t="s">
        <v>254</v>
      </c>
      <c r="B13" s="5" t="s">
        <v>37</v>
      </c>
      <c r="C13" s="10" t="n">
        <v>64890</v>
      </c>
      <c r="F13" s="5" t="s">
        <v>255</v>
      </c>
      <c r="G13" s="5" t="s">
        <v>256</v>
      </c>
      <c r="H13" s="5"/>
    </row>
    <row r="14" customFormat="false" ht="15" hidden="false" customHeight="false" outlineLevel="0" collapsed="false">
      <c r="A14" s="8" t="s">
        <v>257</v>
      </c>
      <c r="B14" s="5" t="s">
        <v>37</v>
      </c>
      <c r="C14" s="10" t="n">
        <v>55441</v>
      </c>
      <c r="F14" s="5" t="s">
        <v>258</v>
      </c>
      <c r="G14" s="5" t="s">
        <v>259</v>
      </c>
      <c r="H14" s="5"/>
    </row>
    <row r="15" customFormat="false" ht="15" hidden="false" customHeight="false" outlineLevel="0" collapsed="false">
      <c r="A15" s="8" t="s">
        <v>260</v>
      </c>
      <c r="B15" s="5" t="s">
        <v>37</v>
      </c>
      <c r="C15" s="10" t="n">
        <v>82412</v>
      </c>
      <c r="F15" s="5" t="s">
        <v>261</v>
      </c>
      <c r="G15" s="5" t="s">
        <v>262</v>
      </c>
      <c r="H15" s="5"/>
    </row>
    <row r="16" customFormat="false" ht="15" hidden="false" customHeight="false" outlineLevel="0" collapsed="false">
      <c r="A16" s="8" t="s">
        <v>263</v>
      </c>
      <c r="B16" s="5" t="s">
        <v>37</v>
      </c>
      <c r="C16" s="10" t="n">
        <v>72703</v>
      </c>
      <c r="F16" s="5" t="s">
        <v>264</v>
      </c>
      <c r="G16" s="5" t="s">
        <v>265</v>
      </c>
      <c r="H16" s="5"/>
    </row>
    <row r="17" customFormat="false" ht="15" hidden="false" customHeight="false" outlineLevel="0" collapsed="false">
      <c r="A17" s="8" t="s">
        <v>266</v>
      </c>
      <c r="B17" s="5" t="s">
        <v>37</v>
      </c>
      <c r="C17" s="10" t="n">
        <v>92301</v>
      </c>
      <c r="F17" s="5" t="s">
        <v>267</v>
      </c>
      <c r="G17" s="5" t="s">
        <v>46</v>
      </c>
      <c r="H17" s="5"/>
    </row>
    <row r="18" customFormat="false" ht="15" hidden="false" customHeight="false" outlineLevel="0" collapsed="false">
      <c r="A18" s="8" t="s">
        <v>268</v>
      </c>
      <c r="B18" s="5" t="s">
        <v>37</v>
      </c>
      <c r="C18" s="10" t="n">
        <v>56734</v>
      </c>
      <c r="F18" s="5" t="s">
        <v>269</v>
      </c>
      <c r="G18" s="5" t="s">
        <v>55</v>
      </c>
      <c r="H18" s="5"/>
    </row>
    <row r="19" customFormat="false" ht="15" hidden="false" customHeight="false" outlineLevel="0" collapsed="false">
      <c r="A19" s="8" t="s">
        <v>270</v>
      </c>
      <c r="B19" s="5" t="s">
        <v>37</v>
      </c>
      <c r="C19" s="10" t="n">
        <v>24077</v>
      </c>
      <c r="F19" s="5" t="s">
        <v>271</v>
      </c>
      <c r="G19" s="5" t="s">
        <v>256</v>
      </c>
      <c r="H19" s="5"/>
    </row>
    <row r="20" customFormat="false" ht="15" hidden="false" customHeight="false" outlineLevel="0" collapsed="false">
      <c r="A20" s="8" t="s">
        <v>272</v>
      </c>
      <c r="B20" s="5" t="s">
        <v>37</v>
      </c>
      <c r="C20" s="10" t="n">
        <v>32180</v>
      </c>
      <c r="F20" s="5" t="s">
        <v>273</v>
      </c>
      <c r="G20" s="5" t="s">
        <v>262</v>
      </c>
      <c r="H20" s="5"/>
    </row>
    <row r="21" customFormat="false" ht="15" hidden="false" customHeight="false" outlineLevel="0" collapsed="false">
      <c r="A21" s="8" t="s">
        <v>274</v>
      </c>
      <c r="B21" s="5" t="s">
        <v>37</v>
      </c>
      <c r="C21" s="10" t="n">
        <v>47484</v>
      </c>
      <c r="F21" s="5" t="s">
        <v>275</v>
      </c>
      <c r="G21" s="5" t="s">
        <v>46</v>
      </c>
      <c r="H21" s="5"/>
    </row>
    <row r="22" customFormat="false" ht="15" hidden="false" customHeight="false" outlineLevel="0" collapsed="false">
      <c r="A22" s="8" t="s">
        <v>276</v>
      </c>
      <c r="B22" s="5" t="s">
        <v>37</v>
      </c>
      <c r="C22" s="10" t="n">
        <v>189190</v>
      </c>
      <c r="F22" s="5" t="s">
        <v>277</v>
      </c>
      <c r="G22" s="5" t="s">
        <v>256</v>
      </c>
      <c r="H22" s="5"/>
    </row>
    <row r="23" customFormat="false" ht="15" hidden="false" customHeight="false" outlineLevel="0" collapsed="false">
      <c r="A23" s="8" t="s">
        <v>278</v>
      </c>
      <c r="B23" s="5" t="s">
        <v>37</v>
      </c>
      <c r="C23" s="10" t="n">
        <v>251000</v>
      </c>
      <c r="F23" s="5" t="s">
        <v>279</v>
      </c>
      <c r="G23" s="5" t="s">
        <v>262</v>
      </c>
      <c r="H23" s="5"/>
    </row>
    <row r="24" customFormat="false" ht="15" hidden="false" customHeight="false" outlineLevel="0" collapsed="false">
      <c r="A24" s="8" t="s">
        <v>44</v>
      </c>
      <c r="B24" s="5" t="s">
        <v>37</v>
      </c>
      <c r="C24" s="10" t="n">
        <v>316855</v>
      </c>
      <c r="F24" s="5" t="s">
        <v>45</v>
      </c>
      <c r="G24" s="5" t="s">
        <v>46</v>
      </c>
      <c r="H24" s="5"/>
    </row>
    <row r="25" customFormat="false" ht="35.05" hidden="false" customHeight="false" outlineLevel="0" collapsed="false">
      <c r="A25" s="8" t="s">
        <v>280</v>
      </c>
      <c r="B25" s="11" t="s">
        <v>60</v>
      </c>
      <c r="C25" s="20" t="n">
        <v>0</v>
      </c>
      <c r="H25" s="3" t="s">
        <v>281</v>
      </c>
      <c r="I25" s="3" t="s">
        <v>282</v>
      </c>
    </row>
    <row r="27" customFormat="false" ht="15" hidden="false" customHeight="false" outlineLevel="0" collapsed="false">
      <c r="A27" s="6" t="s">
        <v>159</v>
      </c>
    </row>
    <row r="28" customFormat="false" ht="15" hidden="false" customHeight="false" outlineLevel="0" collapsed="false">
      <c r="A28" s="7" t="s">
        <v>27</v>
      </c>
      <c r="B28" s="7" t="s">
        <v>28</v>
      </c>
      <c r="C28" s="7" t="s">
        <v>29</v>
      </c>
      <c r="D28" s="7" t="s">
        <v>30</v>
      </c>
      <c r="E28" s="7" t="s">
        <v>31</v>
      </c>
      <c r="F28" s="7" t="s">
        <v>32</v>
      </c>
      <c r="G28" s="7" t="s">
        <v>33</v>
      </c>
      <c r="H28" s="7" t="s">
        <v>34</v>
      </c>
      <c r="I28" s="7" t="s">
        <v>35</v>
      </c>
    </row>
    <row r="29" customFormat="false" ht="15" hidden="false" customHeight="false" outlineLevel="0" collapsed="false">
      <c r="A29" s="8" t="s">
        <v>283</v>
      </c>
      <c r="B29" s="5" t="s">
        <v>161</v>
      </c>
      <c r="C29" s="15" t="n">
        <f aca="false">C10-C12/1000</f>
        <v>124.878</v>
      </c>
      <c r="D29" s="15" t="n">
        <f aca="false">(C10+C11)/2-C12/1000</f>
        <v>129.878</v>
      </c>
      <c r="E29" s="15" t="n">
        <f aca="false">C11-C12/1000</f>
        <v>134.878</v>
      </c>
      <c r="H29" s="5"/>
    </row>
    <row r="30" customFormat="false" ht="15" hidden="false" customHeight="false" outlineLevel="0" collapsed="false">
      <c r="A30" s="8" t="s">
        <v>284</v>
      </c>
      <c r="B30" s="5" t="s">
        <v>161</v>
      </c>
      <c r="D30" s="18" t="n">
        <f aca="false">C13/(C13+C14)</f>
        <v>0.539262534176563</v>
      </c>
      <c r="H30" s="5"/>
    </row>
    <row r="31" customFormat="false" ht="15" hidden="false" customHeight="false" outlineLevel="0" collapsed="false">
      <c r="A31" s="8" t="s">
        <v>285</v>
      </c>
      <c r="B31" s="5" t="s">
        <v>161</v>
      </c>
      <c r="D31" s="18" t="n">
        <f aca="false">C15/(C15+C16)</f>
        <v>0.531296135125552</v>
      </c>
      <c r="H31" s="5"/>
    </row>
    <row r="32" customFormat="false" ht="15" hidden="false" customHeight="false" outlineLevel="0" collapsed="false">
      <c r="A32" s="8" t="s">
        <v>286</v>
      </c>
      <c r="B32" s="5" t="s">
        <v>161</v>
      </c>
      <c r="D32" s="18" t="n">
        <f aca="false">C17/(C17+C18)</f>
        <v>0.619324319790653</v>
      </c>
      <c r="H32" s="5"/>
    </row>
    <row r="33" customFormat="false" ht="15" hidden="false" customHeight="false" outlineLevel="0" collapsed="false">
      <c r="A33" s="8" t="s">
        <v>287</v>
      </c>
      <c r="B33" s="5" t="s">
        <v>161</v>
      </c>
      <c r="C33" s="18" t="n">
        <f aca="false">MIN(D30,D31,D32)</f>
        <v>0.531296135125552</v>
      </c>
      <c r="D33" s="18" t="n">
        <f aca="false">AVERAGE(D30,D31,D32)</f>
        <v>0.563294329697589</v>
      </c>
      <c r="E33" s="18" t="n">
        <f aca="false">MAX(D30,D31,D32)</f>
        <v>0.619324319790653</v>
      </c>
      <c r="H33" s="5"/>
    </row>
    <row r="35" customFormat="false" ht="15" hidden="false" customHeight="false" outlineLevel="0" collapsed="false">
      <c r="A35" s="6" t="s">
        <v>167</v>
      </c>
    </row>
    <row r="36" customFormat="false" ht="15" hidden="false" customHeight="false" outlineLevel="0" collapsed="false">
      <c r="A36" s="7" t="s">
        <v>27</v>
      </c>
      <c r="B36" s="7" t="s">
        <v>28</v>
      </c>
      <c r="C36" s="7" t="s">
        <v>29</v>
      </c>
      <c r="D36" s="7" t="s">
        <v>30</v>
      </c>
      <c r="E36" s="7" t="s">
        <v>31</v>
      </c>
      <c r="F36" s="7" t="s">
        <v>32</v>
      </c>
      <c r="G36" s="7" t="s">
        <v>33</v>
      </c>
      <c r="H36" s="7" t="s">
        <v>34</v>
      </c>
      <c r="I36" s="7" t="s">
        <v>35</v>
      </c>
    </row>
    <row r="37" customFormat="false" ht="15" hidden="false" customHeight="false" outlineLevel="0" collapsed="false">
      <c r="A37" s="2" t="s">
        <v>288</v>
      </c>
      <c r="B37" s="5" t="s">
        <v>161</v>
      </c>
      <c r="C37" s="17" t="n">
        <f aca="false">C29*C33-C25</f>
        <v>66.3471987622087</v>
      </c>
      <c r="D37" s="17" t="n">
        <f aca="false">D29*D33-C25</f>
        <v>73.1595409524635</v>
      </c>
      <c r="E37" s="17" t="n">
        <f aca="false">E29*E33-C25</f>
        <v>83.5332256047237</v>
      </c>
      <c r="H37" s="5" t="s">
        <v>289</v>
      </c>
    </row>
    <row r="39" customFormat="false" ht="15" hidden="false" customHeight="false" outlineLevel="0" collapsed="false">
      <c r="A39" s="6" t="s">
        <v>170</v>
      </c>
    </row>
    <row r="40" customFormat="false" ht="15" hidden="false" customHeight="false" outlineLevel="0" collapsed="false">
      <c r="A40" s="7" t="s">
        <v>27</v>
      </c>
      <c r="B40" s="7" t="s">
        <v>28</v>
      </c>
      <c r="C40" s="7" t="s">
        <v>29</v>
      </c>
      <c r="D40" s="7" t="s">
        <v>30</v>
      </c>
      <c r="E40" s="7" t="s">
        <v>31</v>
      </c>
      <c r="F40" s="7" t="s">
        <v>32</v>
      </c>
      <c r="G40" s="7" t="s">
        <v>33</v>
      </c>
      <c r="H40" s="7" t="s">
        <v>34</v>
      </c>
      <c r="I40" s="7" t="s">
        <v>35</v>
      </c>
    </row>
    <row r="41" customFormat="false" ht="15" hidden="false" customHeight="false" outlineLevel="0" collapsed="false">
      <c r="A41" s="8" t="s">
        <v>290</v>
      </c>
      <c r="B41" s="5" t="s">
        <v>161</v>
      </c>
      <c r="C41" s="18" t="n">
        <f aca="false">C37/Revenue!C55</f>
        <v>0.1771757662838</v>
      </c>
      <c r="D41" s="18" t="n">
        <f aca="false">D37/Revenue!D55</f>
        <v>0.193348130591616</v>
      </c>
      <c r="E41" s="18" t="n">
        <f aca="false">E37/Revenue!E55</f>
        <v>0.218472966136302</v>
      </c>
      <c r="H41" s="5"/>
    </row>
    <row r="42" customFormat="false" ht="15" hidden="false" customHeight="false" outlineLevel="0" collapsed="false">
      <c r="A42" s="8" t="s">
        <v>291</v>
      </c>
      <c r="B42" s="5" t="s">
        <v>161</v>
      </c>
      <c r="C42" s="18" t="n">
        <f aca="false">MIN(C13/C22,C15/C23,C17/C24)</f>
        <v>0.291303593126193</v>
      </c>
      <c r="D42" s="18" t="n">
        <f aca="false">AVERAGE(C13/C22,C15/C23,C17/C24)</f>
        <v>0.320875594843311</v>
      </c>
      <c r="E42" s="18" t="n">
        <f aca="false">MAX(C13/C22,C15/C23,C17/C24)</f>
        <v>0.342988530049157</v>
      </c>
      <c r="H42" s="5"/>
    </row>
    <row r="43" customFormat="false" ht="15" hidden="false" customHeight="false" outlineLevel="0" collapsed="false">
      <c r="A43" s="8" t="s">
        <v>292</v>
      </c>
      <c r="B43" s="5" t="s">
        <v>161</v>
      </c>
      <c r="C43" s="21" t="n">
        <f aca="false">C37/OpIncome_Margin!C49</f>
        <v>1.00939489021032</v>
      </c>
      <c r="D43" s="21" t="n">
        <f aca="false">D37/OpIncome_Margin!D49</f>
        <v>0.934746490496832</v>
      </c>
      <c r="E43" s="21" t="n">
        <f aca="false">E37/OpIncome_Margin!E49</f>
        <v>0.918828304445181</v>
      </c>
      <c r="H43" s="5"/>
    </row>
    <row r="44" customFormat="false" ht="15" hidden="false" customHeight="false" outlineLevel="0" collapsed="false">
      <c r="A44" s="8" t="s">
        <v>293</v>
      </c>
      <c r="B44" s="5" t="s">
        <v>161</v>
      </c>
      <c r="C44" s="21" t="n">
        <f aca="false">MIN(C13/C19,C15/C20,C17/C21)</f>
        <v>1.94383371240839</v>
      </c>
      <c r="D44" s="21" t="n">
        <f aca="false">AVERAGE(C13/C19,C15/C20,C17/C21)</f>
        <v>2.39996882308111</v>
      </c>
      <c r="E44" s="21" t="n">
        <f aca="false">MAX(C13/C19,C15/C20,C17/C21)</f>
        <v>2.69510321053287</v>
      </c>
      <c r="H44" s="5"/>
    </row>
    <row r="46" customFormat="false" ht="15" hidden="false" customHeight="false" outlineLevel="0" collapsed="false">
      <c r="A46" s="6" t="s">
        <v>175</v>
      </c>
    </row>
    <row r="47" customFormat="false" ht="75" hidden="false" customHeight="true" outlineLevel="0" collapsed="false">
      <c r="A47" s="3" t="s">
        <v>294</v>
      </c>
      <c r="B47" s="5" t="s">
        <v>177</v>
      </c>
    </row>
    <row r="49" customFormat="false" ht="15" hidden="false" customHeight="false" outlineLevel="0" collapsed="false">
      <c r="A49" s="6" t="s">
        <v>178</v>
      </c>
    </row>
    <row r="50" customFormat="false" ht="75" hidden="false" customHeight="true" outlineLevel="0" collapsed="false">
      <c r="A50" s="3" t="s">
        <v>295</v>
      </c>
      <c r="B50" s="5" t="s">
        <v>177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1"/>
    <col collapsed="false" customWidth="true" hidden="false" outlineLevel="0" max="5" min="3" style="0" width="13"/>
    <col collapsed="false" customWidth="true" hidden="false" outlineLevel="0" max="6" min="6" style="0" width="22"/>
    <col collapsed="false" customWidth="true" hidden="false" outlineLevel="0" max="7" min="7" style="0" width="13"/>
    <col collapsed="false" customWidth="true" hidden="false" outlineLevel="0" max="8" min="8" style="0" width="60"/>
    <col collapsed="false" customWidth="true" hidden="false" outlineLevel="0" max="9" min="9" style="0" width="50"/>
  </cols>
  <sheetData>
    <row r="1" customFormat="false" ht="16.15" hidden="false" customHeight="false" outlineLevel="0" collapsed="false">
      <c r="A1" s="4" t="s">
        <v>296</v>
      </c>
    </row>
    <row r="2" customFormat="false" ht="15" hidden="false" customHeight="false" outlineLevel="0" collapsed="false">
      <c r="A2" s="5" t="s">
        <v>297</v>
      </c>
    </row>
    <row r="5" customFormat="false" ht="15" hidden="false" customHeight="false" outlineLevel="0" collapsed="false">
      <c r="A5" s="6" t="s">
        <v>23</v>
      </c>
    </row>
    <row r="6" customFormat="false" ht="90" hidden="false" customHeight="true" outlineLevel="0" collapsed="false">
      <c r="A6" s="3" t="s">
        <v>298</v>
      </c>
      <c r="B6" s="5" t="s">
        <v>25</v>
      </c>
    </row>
    <row r="8" customFormat="false" ht="15" hidden="false" customHeight="false" outlineLevel="0" collapsed="false">
      <c r="A8" s="6" t="s">
        <v>26</v>
      </c>
    </row>
    <row r="9" customFormat="false" ht="15" hidden="false" customHeight="false" outlineLevel="0" collapsed="false">
      <c r="A9" s="7" t="s">
        <v>27</v>
      </c>
      <c r="B9" s="7" t="s">
        <v>28</v>
      </c>
      <c r="C9" s="7" t="s">
        <v>29</v>
      </c>
      <c r="D9" s="7" t="s">
        <v>30</v>
      </c>
      <c r="E9" s="7" t="s">
        <v>31</v>
      </c>
      <c r="F9" s="7" t="s">
        <v>32</v>
      </c>
      <c r="G9" s="7" t="s">
        <v>33</v>
      </c>
      <c r="H9" s="7" t="s">
        <v>34</v>
      </c>
      <c r="I9" s="7" t="s">
        <v>35</v>
      </c>
    </row>
    <row r="10" customFormat="false" ht="15" hidden="false" customHeight="false" outlineLevel="0" collapsed="false">
      <c r="A10" s="8" t="s">
        <v>299</v>
      </c>
      <c r="B10" s="5" t="s">
        <v>37</v>
      </c>
      <c r="C10" s="22" t="n">
        <v>1.1</v>
      </c>
      <c r="F10" s="5" t="s">
        <v>300</v>
      </c>
      <c r="G10" s="5" t="s">
        <v>301</v>
      </c>
      <c r="H10" s="5"/>
    </row>
    <row r="11" customFormat="false" ht="15" hidden="false" customHeight="false" outlineLevel="0" collapsed="false">
      <c r="A11" s="8" t="s">
        <v>302</v>
      </c>
      <c r="B11" s="5" t="s">
        <v>37</v>
      </c>
      <c r="C11" s="22" t="n">
        <v>1.11</v>
      </c>
      <c r="F11" s="5" t="s">
        <v>303</v>
      </c>
      <c r="G11" s="5" t="s">
        <v>262</v>
      </c>
      <c r="H11" s="5"/>
    </row>
    <row r="12" customFormat="false" ht="15" hidden="false" customHeight="false" outlineLevel="0" collapsed="false">
      <c r="A12" s="8" t="s">
        <v>304</v>
      </c>
      <c r="B12" s="5" t="s">
        <v>37</v>
      </c>
      <c r="C12" s="22" t="n">
        <v>1.12</v>
      </c>
      <c r="F12" s="5" t="s">
        <v>305</v>
      </c>
      <c r="G12" s="5" t="s">
        <v>265</v>
      </c>
      <c r="H12" s="5"/>
    </row>
    <row r="13" customFormat="false" ht="15" hidden="false" customHeight="false" outlineLevel="0" collapsed="false">
      <c r="A13" s="8" t="s">
        <v>306</v>
      </c>
      <c r="B13" s="5" t="s">
        <v>37</v>
      </c>
      <c r="C13" s="22" t="n">
        <v>1.12</v>
      </c>
      <c r="F13" s="5" t="s">
        <v>307</v>
      </c>
      <c r="G13" s="5" t="s">
        <v>49</v>
      </c>
      <c r="H13" s="5"/>
    </row>
    <row r="14" customFormat="false" ht="15" hidden="false" customHeight="false" outlineLevel="0" collapsed="false">
      <c r="A14" s="8" t="s">
        <v>308</v>
      </c>
      <c r="B14" s="5" t="s">
        <v>37</v>
      </c>
      <c r="C14" s="22" t="n">
        <v>1.11</v>
      </c>
      <c r="F14" s="5" t="s">
        <v>309</v>
      </c>
      <c r="G14" s="5" t="s">
        <v>52</v>
      </c>
      <c r="H14" s="5"/>
    </row>
    <row r="15" customFormat="false" ht="15" hidden="false" customHeight="false" outlineLevel="0" collapsed="false">
      <c r="A15" s="8" t="s">
        <v>310</v>
      </c>
      <c r="B15" s="5" t="s">
        <v>37</v>
      </c>
      <c r="C15" s="22" t="n">
        <v>1.11</v>
      </c>
      <c r="F15" s="5" t="s">
        <v>311</v>
      </c>
      <c r="G15" s="5" t="s">
        <v>46</v>
      </c>
      <c r="H15" s="5"/>
    </row>
    <row r="16" customFormat="false" ht="15" hidden="false" customHeight="false" outlineLevel="0" collapsed="false">
      <c r="A16" s="8" t="s">
        <v>312</v>
      </c>
      <c r="B16" s="5" t="s">
        <v>37</v>
      </c>
      <c r="C16" s="22" t="n">
        <v>1.1</v>
      </c>
      <c r="F16" s="5" t="s">
        <v>313</v>
      </c>
      <c r="G16" s="5" t="s">
        <v>55</v>
      </c>
      <c r="H16" s="5"/>
    </row>
    <row r="17" customFormat="false" ht="15" hidden="false" customHeight="false" outlineLevel="0" collapsed="false">
      <c r="A17" s="8" t="s">
        <v>314</v>
      </c>
      <c r="B17" s="5" t="s">
        <v>37</v>
      </c>
      <c r="C17" s="22" t="n">
        <v>1.1</v>
      </c>
      <c r="F17" s="5" t="s">
        <v>315</v>
      </c>
      <c r="G17" s="5" t="s">
        <v>58</v>
      </c>
      <c r="H17" s="5"/>
    </row>
    <row r="18" customFormat="false" ht="15" hidden="false" customHeight="false" outlineLevel="0" collapsed="false">
      <c r="A18" s="8" t="s">
        <v>316</v>
      </c>
      <c r="B18" s="5" t="s">
        <v>37</v>
      </c>
      <c r="C18" s="22" t="n">
        <v>1.09</v>
      </c>
      <c r="F18" s="5" t="s">
        <v>317</v>
      </c>
      <c r="G18" s="5" t="s">
        <v>39</v>
      </c>
      <c r="H18" s="5"/>
    </row>
    <row r="19" customFormat="false" ht="23.85" hidden="false" customHeight="false" outlineLevel="0" collapsed="false">
      <c r="A19" s="8" t="s">
        <v>318</v>
      </c>
      <c r="B19" s="11" t="s">
        <v>60</v>
      </c>
      <c r="C19" s="13" t="n">
        <v>4</v>
      </c>
      <c r="H19" s="3" t="s">
        <v>319</v>
      </c>
      <c r="I19" s="3" t="s">
        <v>320</v>
      </c>
    </row>
    <row r="21" customFormat="false" ht="15" hidden="false" customHeight="false" outlineLevel="0" collapsed="false">
      <c r="A21" s="6" t="s">
        <v>159</v>
      </c>
    </row>
    <row r="22" customFormat="false" ht="15" hidden="false" customHeight="false" outlineLevel="0" collapsed="false">
      <c r="A22" s="7" t="s">
        <v>27</v>
      </c>
      <c r="B22" s="7" t="s">
        <v>28</v>
      </c>
      <c r="C22" s="7" t="s">
        <v>29</v>
      </c>
      <c r="D22" s="7" t="s">
        <v>30</v>
      </c>
      <c r="E22" s="7" t="s">
        <v>31</v>
      </c>
      <c r="F22" s="7" t="s">
        <v>32</v>
      </c>
      <c r="G22" s="7" t="s">
        <v>33</v>
      </c>
      <c r="H22" s="7" t="s">
        <v>34</v>
      </c>
      <c r="I22" s="7" t="s">
        <v>35</v>
      </c>
    </row>
    <row r="23" customFormat="false" ht="15" hidden="false" customHeight="false" outlineLevel="0" collapsed="false">
      <c r="A23" s="8" t="s">
        <v>321</v>
      </c>
      <c r="B23" s="5" t="s">
        <v>161</v>
      </c>
      <c r="D23" s="23" t="n">
        <f aca="false">(C11-C10)*100</f>
        <v>1</v>
      </c>
      <c r="H23" s="5"/>
    </row>
    <row r="24" customFormat="false" ht="15" hidden="false" customHeight="false" outlineLevel="0" collapsed="false">
      <c r="A24" s="8" t="s">
        <v>322</v>
      </c>
      <c r="B24" s="5" t="s">
        <v>161</v>
      </c>
      <c r="D24" s="23" t="n">
        <f aca="false">(C12-C11)*100</f>
        <v>1</v>
      </c>
      <c r="H24" s="5"/>
    </row>
    <row r="25" customFormat="false" ht="15" hidden="false" customHeight="false" outlineLevel="0" collapsed="false">
      <c r="A25" s="8" t="s">
        <v>323</v>
      </c>
      <c r="B25" s="5" t="s">
        <v>161</v>
      </c>
      <c r="D25" s="23" t="n">
        <f aca="false">(C13-C12)*100</f>
        <v>0</v>
      </c>
      <c r="H25" s="5"/>
    </row>
    <row r="26" customFormat="false" ht="15" hidden="false" customHeight="false" outlineLevel="0" collapsed="false">
      <c r="A26" s="8" t="s">
        <v>324</v>
      </c>
      <c r="B26" s="5" t="s">
        <v>161</v>
      </c>
      <c r="D26" s="23" t="n">
        <f aca="false">(C14-C13)*100</f>
        <v>-1</v>
      </c>
      <c r="H26" s="5"/>
    </row>
    <row r="27" customFormat="false" ht="15" hidden="false" customHeight="false" outlineLevel="0" collapsed="false">
      <c r="A27" s="8" t="s">
        <v>325</v>
      </c>
      <c r="B27" s="5" t="s">
        <v>161</v>
      </c>
      <c r="D27" s="23" t="n">
        <f aca="false">(C15-C14)*100</f>
        <v>0</v>
      </c>
      <c r="H27" s="5"/>
    </row>
    <row r="28" customFormat="false" ht="15" hidden="false" customHeight="false" outlineLevel="0" collapsed="false">
      <c r="A28" s="8" t="s">
        <v>326</v>
      </c>
      <c r="B28" s="5" t="s">
        <v>161</v>
      </c>
      <c r="D28" s="23" t="n">
        <f aca="false">(C16-C15)*100</f>
        <v>-1</v>
      </c>
      <c r="H28" s="5"/>
    </row>
    <row r="29" customFormat="false" ht="15" hidden="false" customHeight="false" outlineLevel="0" collapsed="false">
      <c r="A29" s="8" t="s">
        <v>327</v>
      </c>
      <c r="B29" s="5" t="s">
        <v>161</v>
      </c>
      <c r="D29" s="23" t="n">
        <f aca="false">(C17-C16)*100</f>
        <v>0</v>
      </c>
      <c r="H29" s="5"/>
    </row>
    <row r="30" customFormat="false" ht="15" hidden="false" customHeight="false" outlineLevel="0" collapsed="false">
      <c r="A30" s="8" t="s">
        <v>328</v>
      </c>
      <c r="B30" s="5" t="s">
        <v>161</v>
      </c>
      <c r="D30" s="23" t="n">
        <f aca="false">(C18-C17)*100</f>
        <v>-1</v>
      </c>
      <c r="H30" s="5"/>
    </row>
    <row r="31" customFormat="false" ht="15" hidden="false" customHeight="false" outlineLevel="0" collapsed="false">
      <c r="A31" s="8" t="s">
        <v>329</v>
      </c>
      <c r="B31" s="5" t="s">
        <v>161</v>
      </c>
      <c r="C31" s="23" t="n">
        <f aca="false">MIN(D27,D28,D29,D30)</f>
        <v>-1</v>
      </c>
      <c r="D31" s="23" t="n">
        <f aca="false">AVERAGE(D27,D28,D29,D30)</f>
        <v>-0.5</v>
      </c>
      <c r="E31" s="23" t="n">
        <f aca="false">MAX(D27,D28,D29,D30)</f>
        <v>0</v>
      </c>
      <c r="H31" s="5"/>
    </row>
    <row r="32" customFormat="false" ht="15" hidden="false" customHeight="false" outlineLevel="0" collapsed="false">
      <c r="A32" s="8" t="s">
        <v>330</v>
      </c>
      <c r="B32" s="5" t="s">
        <v>161</v>
      </c>
      <c r="C32" s="23" t="n">
        <f aca="false">MIN(D23,D24,D25,D26,D27,D28,D29,D30)</f>
        <v>-1</v>
      </c>
      <c r="D32" s="23" t="n">
        <f aca="false">AVERAGE(D23,D24,D25,D26,D27,D28,D29,D30)</f>
        <v>-0.125</v>
      </c>
      <c r="E32" s="23" t="n">
        <f aca="false">MAX(D23,D24,D25,D26,D27,D28,D29,D30)</f>
        <v>1</v>
      </c>
      <c r="H32" s="5"/>
    </row>
    <row r="34" customFormat="false" ht="15" hidden="false" customHeight="false" outlineLevel="0" collapsed="false">
      <c r="A34" s="6" t="s">
        <v>167</v>
      </c>
    </row>
    <row r="35" customFormat="false" ht="15" hidden="false" customHeight="false" outlineLevel="0" collapsed="false">
      <c r="A35" s="7" t="s">
        <v>27</v>
      </c>
      <c r="B35" s="7" t="s">
        <v>28</v>
      </c>
      <c r="C35" s="7" t="s">
        <v>29</v>
      </c>
      <c r="D35" s="7" t="s">
        <v>30</v>
      </c>
      <c r="E35" s="7" t="s">
        <v>31</v>
      </c>
      <c r="F35" s="7" t="s">
        <v>32</v>
      </c>
      <c r="G35" s="7" t="s">
        <v>33</v>
      </c>
      <c r="H35" s="7" t="s">
        <v>34</v>
      </c>
      <c r="I35" s="7" t="s">
        <v>35</v>
      </c>
    </row>
    <row r="36" customFormat="false" ht="15" hidden="false" customHeight="false" outlineLevel="0" collapsed="false">
      <c r="A36" s="2" t="s">
        <v>331</v>
      </c>
      <c r="B36" s="5" t="s">
        <v>161</v>
      </c>
      <c r="C36" s="19" t="n">
        <f aca="false">C18+C31/100</f>
        <v>1.08</v>
      </c>
      <c r="D36" s="19" t="n">
        <f aca="false">C18+D31/100</f>
        <v>1.085</v>
      </c>
      <c r="E36" s="19" t="n">
        <f aca="false">C18+E31/100</f>
        <v>1.09</v>
      </c>
      <c r="H36" s="5" t="s">
        <v>332</v>
      </c>
    </row>
    <row r="38" customFormat="false" ht="15" hidden="false" customHeight="false" outlineLevel="0" collapsed="false">
      <c r="A38" s="6" t="s">
        <v>170</v>
      </c>
    </row>
    <row r="39" customFormat="false" ht="15" hidden="false" customHeight="false" outlineLevel="0" collapsed="false">
      <c r="A39" s="7" t="s">
        <v>27</v>
      </c>
      <c r="B39" s="7" t="s">
        <v>28</v>
      </c>
      <c r="C39" s="7" t="s">
        <v>29</v>
      </c>
      <c r="D39" s="7" t="s">
        <v>30</v>
      </c>
      <c r="E39" s="7" t="s">
        <v>31</v>
      </c>
      <c r="F39" s="7" t="s">
        <v>32</v>
      </c>
      <c r="G39" s="7" t="s">
        <v>33</v>
      </c>
      <c r="H39" s="7" t="s">
        <v>34</v>
      </c>
      <c r="I39" s="7" t="s">
        <v>35</v>
      </c>
    </row>
    <row r="40" customFormat="false" ht="15" hidden="false" customHeight="false" outlineLevel="0" collapsed="false">
      <c r="A40" s="8" t="s">
        <v>333</v>
      </c>
      <c r="B40" s="5" t="s">
        <v>161</v>
      </c>
      <c r="C40" s="18" t="n">
        <f aca="false">C18+C32/100</f>
        <v>1.08</v>
      </c>
      <c r="D40" s="18" t="n">
        <f aca="false">C18+D32/100</f>
        <v>1.08875</v>
      </c>
      <c r="E40" s="18" t="n">
        <f aca="false">C18+E32/100</f>
        <v>1.1</v>
      </c>
      <c r="H40" s="5"/>
    </row>
    <row r="41" customFormat="false" ht="15" hidden="false" customHeight="false" outlineLevel="0" collapsed="false">
      <c r="A41" s="8" t="s">
        <v>334</v>
      </c>
      <c r="B41" s="5" t="s">
        <v>161</v>
      </c>
      <c r="C41" s="18" t="n">
        <f aca="false">MIN(C10,C11,C12,C13,C14,C15,C16,C17,C18)</f>
        <v>1.09</v>
      </c>
      <c r="E41" s="18" t="n">
        <f aca="false">MAX(C10,C11,C12,C13,C14,C15,C16,C17,C18)</f>
        <v>1.12</v>
      </c>
      <c r="H41" s="5"/>
    </row>
    <row r="43" customFormat="false" ht="15" hidden="false" customHeight="false" outlineLevel="0" collapsed="false">
      <c r="A43" s="6" t="s">
        <v>175</v>
      </c>
    </row>
    <row r="44" customFormat="false" ht="90" hidden="false" customHeight="true" outlineLevel="0" collapsed="false">
      <c r="A44" s="3" t="s">
        <v>335</v>
      </c>
      <c r="B44" s="5" t="s">
        <v>177</v>
      </c>
    </row>
    <row r="46" customFormat="false" ht="15" hidden="false" customHeight="false" outlineLevel="0" collapsed="false">
      <c r="A46" s="6" t="s">
        <v>178</v>
      </c>
    </row>
    <row r="47" customFormat="false" ht="75" hidden="false" customHeight="true" outlineLevel="0" collapsed="false">
      <c r="A47" s="3" t="s">
        <v>336</v>
      </c>
      <c r="B47" s="5" t="s">
        <v>177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1"/>
    <col collapsed="false" customWidth="true" hidden="false" outlineLevel="0" max="5" min="3" style="0" width="13"/>
    <col collapsed="false" customWidth="true" hidden="false" outlineLevel="0" max="6" min="6" style="0" width="22"/>
    <col collapsed="false" customWidth="true" hidden="false" outlineLevel="0" max="7" min="7" style="0" width="13"/>
    <col collapsed="false" customWidth="true" hidden="false" outlineLevel="0" max="8" min="8" style="0" width="60"/>
    <col collapsed="false" customWidth="true" hidden="false" outlineLevel="0" max="9" min="9" style="0" width="50"/>
  </cols>
  <sheetData>
    <row r="1" customFormat="false" ht="16.15" hidden="false" customHeight="false" outlineLevel="0" collapsed="false">
      <c r="A1" s="4" t="s">
        <v>337</v>
      </c>
    </row>
    <row r="2" customFormat="false" ht="15" hidden="false" customHeight="false" outlineLevel="0" collapsed="false">
      <c r="A2" s="5" t="s">
        <v>338</v>
      </c>
    </row>
    <row r="5" customFormat="false" ht="15" hidden="false" customHeight="false" outlineLevel="0" collapsed="false">
      <c r="A5" s="6" t="s">
        <v>23</v>
      </c>
    </row>
    <row r="6" customFormat="false" ht="75" hidden="false" customHeight="true" outlineLevel="0" collapsed="false">
      <c r="A6" s="3" t="s">
        <v>339</v>
      </c>
      <c r="B6" s="5" t="s">
        <v>25</v>
      </c>
    </row>
    <row r="8" customFormat="false" ht="15" hidden="false" customHeight="false" outlineLevel="0" collapsed="false">
      <c r="A8" s="6" t="s">
        <v>26</v>
      </c>
    </row>
    <row r="9" customFormat="false" ht="15" hidden="false" customHeight="false" outlineLevel="0" collapsed="false">
      <c r="A9" s="7" t="s">
        <v>27</v>
      </c>
      <c r="B9" s="7" t="s">
        <v>28</v>
      </c>
      <c r="C9" s="7" t="s">
        <v>29</v>
      </c>
      <c r="D9" s="7" t="s">
        <v>30</v>
      </c>
      <c r="E9" s="7" t="s">
        <v>31</v>
      </c>
      <c r="F9" s="7" t="s">
        <v>32</v>
      </c>
      <c r="G9" s="7" t="s">
        <v>33</v>
      </c>
      <c r="H9" s="7" t="s">
        <v>34</v>
      </c>
      <c r="I9" s="7" t="s">
        <v>35</v>
      </c>
    </row>
    <row r="10" customFormat="false" ht="15" hidden="false" customHeight="false" outlineLevel="0" collapsed="false">
      <c r="A10" s="8" t="s">
        <v>340</v>
      </c>
      <c r="B10" s="5" t="s">
        <v>37</v>
      </c>
      <c r="C10" s="24" t="n">
        <v>2907</v>
      </c>
      <c r="F10" s="5" t="s">
        <v>341</v>
      </c>
      <c r="G10" s="5" t="s">
        <v>262</v>
      </c>
      <c r="H10" s="5"/>
    </row>
    <row r="11" customFormat="false" ht="15" hidden="false" customHeight="false" outlineLevel="0" collapsed="false">
      <c r="A11" s="8" t="s">
        <v>342</v>
      </c>
      <c r="B11" s="5" t="s">
        <v>37</v>
      </c>
      <c r="C11" s="24" t="n">
        <v>3201</v>
      </c>
      <c r="F11" s="5" t="s">
        <v>343</v>
      </c>
      <c r="G11" s="5" t="s">
        <v>265</v>
      </c>
      <c r="H11" s="5"/>
    </row>
    <row r="12" customFormat="false" ht="15" hidden="false" customHeight="false" outlineLevel="0" collapsed="false">
      <c r="A12" s="8" t="s">
        <v>344</v>
      </c>
      <c r="B12" s="5" t="s">
        <v>37</v>
      </c>
      <c r="C12" s="24" t="n">
        <v>3444</v>
      </c>
      <c r="F12" s="5" t="s">
        <v>345</v>
      </c>
      <c r="G12" s="5" t="s">
        <v>49</v>
      </c>
      <c r="H12" s="5"/>
    </row>
    <row r="13" customFormat="false" ht="15" hidden="false" customHeight="false" outlineLevel="0" collapsed="false">
      <c r="A13" s="8" t="s">
        <v>346</v>
      </c>
      <c r="B13" s="5" t="s">
        <v>37</v>
      </c>
      <c r="C13" s="24" t="n">
        <v>3702</v>
      </c>
      <c r="F13" s="5" t="s">
        <v>347</v>
      </c>
      <c r="G13" s="5" t="s">
        <v>52</v>
      </c>
      <c r="H13" s="5"/>
    </row>
    <row r="14" customFormat="false" ht="15" hidden="false" customHeight="false" outlineLevel="0" collapsed="false">
      <c r="A14" s="8" t="s">
        <v>348</v>
      </c>
      <c r="B14" s="5" t="s">
        <v>37</v>
      </c>
      <c r="C14" s="24" t="n">
        <v>3993</v>
      </c>
      <c r="F14" s="5" t="s">
        <v>349</v>
      </c>
      <c r="G14" s="5" t="s">
        <v>46</v>
      </c>
      <c r="H14" s="5"/>
    </row>
    <row r="15" customFormat="false" ht="15" hidden="false" customHeight="false" outlineLevel="0" collapsed="false">
      <c r="A15" s="8" t="s">
        <v>350</v>
      </c>
      <c r="B15" s="5" t="s">
        <v>37</v>
      </c>
      <c r="C15" s="24" t="n">
        <v>4281</v>
      </c>
      <c r="F15" s="5" t="s">
        <v>351</v>
      </c>
      <c r="G15" s="5" t="s">
        <v>55</v>
      </c>
      <c r="H15" s="5"/>
    </row>
    <row r="16" customFormat="false" ht="15" hidden="false" customHeight="false" outlineLevel="0" collapsed="false">
      <c r="A16" s="8" t="s">
        <v>352</v>
      </c>
      <c r="B16" s="5" t="s">
        <v>37</v>
      </c>
      <c r="C16" s="24" t="n">
        <v>4547</v>
      </c>
      <c r="F16" s="5" t="s">
        <v>353</v>
      </c>
      <c r="G16" s="5" t="s">
        <v>58</v>
      </c>
      <c r="H16" s="5"/>
    </row>
    <row r="17" customFormat="false" ht="15" hidden="false" customHeight="false" outlineLevel="0" collapsed="false">
      <c r="A17" s="8" t="s">
        <v>354</v>
      </c>
      <c r="B17" s="5" t="s">
        <v>37</v>
      </c>
      <c r="C17" s="24" t="n">
        <v>4834</v>
      </c>
      <c r="F17" s="5" t="s">
        <v>355</v>
      </c>
      <c r="G17" s="5" t="s">
        <v>39</v>
      </c>
      <c r="H17" s="5"/>
    </row>
    <row r="18" customFormat="false" ht="23.85" hidden="false" customHeight="false" outlineLevel="0" collapsed="false">
      <c r="A18" s="8" t="s">
        <v>318</v>
      </c>
      <c r="B18" s="11" t="s">
        <v>60</v>
      </c>
      <c r="C18" s="13" t="n">
        <v>4</v>
      </c>
      <c r="H18" s="3" t="s">
        <v>356</v>
      </c>
      <c r="I18" s="3" t="s">
        <v>357</v>
      </c>
    </row>
    <row r="20" customFormat="false" ht="15" hidden="false" customHeight="false" outlineLevel="0" collapsed="false">
      <c r="A20" s="6" t="s">
        <v>159</v>
      </c>
    </row>
    <row r="21" customFormat="false" ht="15" hidden="false" customHeight="false" outlineLevel="0" collapsed="false">
      <c r="A21" s="7" t="s">
        <v>27</v>
      </c>
      <c r="B21" s="7" t="s">
        <v>28</v>
      </c>
      <c r="C21" s="7" t="s">
        <v>29</v>
      </c>
      <c r="D21" s="7" t="s">
        <v>30</v>
      </c>
      <c r="E21" s="7" t="s">
        <v>31</v>
      </c>
      <c r="F21" s="7" t="s">
        <v>32</v>
      </c>
      <c r="G21" s="7" t="s">
        <v>33</v>
      </c>
      <c r="H21" s="7" t="s">
        <v>34</v>
      </c>
      <c r="I21" s="7" t="s">
        <v>35</v>
      </c>
    </row>
    <row r="22" customFormat="false" ht="15" hidden="false" customHeight="false" outlineLevel="0" collapsed="false">
      <c r="A22" s="8" t="s">
        <v>358</v>
      </c>
      <c r="B22" s="5" t="s">
        <v>161</v>
      </c>
      <c r="D22" s="25" t="n">
        <f aca="false">C14-C13</f>
        <v>291</v>
      </c>
      <c r="H22" s="5"/>
    </row>
    <row r="23" customFormat="false" ht="15" hidden="false" customHeight="false" outlineLevel="0" collapsed="false">
      <c r="A23" s="8" t="s">
        <v>359</v>
      </c>
      <c r="B23" s="5" t="s">
        <v>161</v>
      </c>
      <c r="D23" s="25" t="n">
        <f aca="false">C15-C14</f>
        <v>288</v>
      </c>
      <c r="H23" s="5"/>
    </row>
    <row r="24" customFormat="false" ht="15" hidden="false" customHeight="false" outlineLevel="0" collapsed="false">
      <c r="A24" s="8" t="s">
        <v>360</v>
      </c>
      <c r="B24" s="5" t="s">
        <v>161</v>
      </c>
      <c r="D24" s="25" t="n">
        <f aca="false">C16-C15</f>
        <v>266</v>
      </c>
      <c r="H24" s="5"/>
    </row>
    <row r="25" customFormat="false" ht="15" hidden="false" customHeight="false" outlineLevel="0" collapsed="false">
      <c r="A25" s="8" t="s">
        <v>361</v>
      </c>
      <c r="B25" s="5" t="s">
        <v>161</v>
      </c>
      <c r="D25" s="25" t="n">
        <f aca="false">C17-C16</f>
        <v>287</v>
      </c>
      <c r="H25" s="5"/>
    </row>
    <row r="26" customFormat="false" ht="15" hidden="false" customHeight="false" outlineLevel="0" collapsed="false">
      <c r="A26" s="8" t="s">
        <v>362</v>
      </c>
      <c r="B26" s="5" t="s">
        <v>161</v>
      </c>
      <c r="C26" s="25" t="n">
        <f aca="false">MIN(D22,D23,D24,D25)</f>
        <v>266</v>
      </c>
      <c r="D26" s="25" t="n">
        <f aca="false">AVERAGE(D22,D23,D24,D25)</f>
        <v>283</v>
      </c>
      <c r="E26" s="25" t="n">
        <f aca="false">MAX(D22,D23,D24,D25)</f>
        <v>291</v>
      </c>
      <c r="H26" s="5"/>
    </row>
    <row r="28" customFormat="false" ht="15" hidden="false" customHeight="false" outlineLevel="0" collapsed="false">
      <c r="A28" s="6" t="s">
        <v>167</v>
      </c>
    </row>
    <row r="29" customFormat="false" ht="15" hidden="false" customHeight="false" outlineLevel="0" collapsed="false">
      <c r="A29" s="7" t="s">
        <v>27</v>
      </c>
      <c r="B29" s="7" t="s">
        <v>28</v>
      </c>
      <c r="C29" s="7" t="s">
        <v>29</v>
      </c>
      <c r="D29" s="7" t="s">
        <v>30</v>
      </c>
      <c r="E29" s="7" t="s">
        <v>31</v>
      </c>
      <c r="F29" s="7" t="s">
        <v>32</v>
      </c>
      <c r="G29" s="7" t="s">
        <v>33</v>
      </c>
      <c r="H29" s="7" t="s">
        <v>34</v>
      </c>
      <c r="I29" s="7" t="s">
        <v>35</v>
      </c>
    </row>
    <row r="30" customFormat="false" ht="15" hidden="false" customHeight="false" outlineLevel="0" collapsed="false">
      <c r="A30" s="2" t="s">
        <v>363</v>
      </c>
      <c r="B30" s="5" t="s">
        <v>161</v>
      </c>
      <c r="C30" s="26" t="n">
        <f aca="false">C17+C26</f>
        <v>5100</v>
      </c>
      <c r="D30" s="26" t="n">
        <f aca="false">C17+D26</f>
        <v>5117</v>
      </c>
      <c r="E30" s="26" t="n">
        <f aca="false">C17+E26</f>
        <v>5125</v>
      </c>
      <c r="H30" s="5"/>
    </row>
    <row r="32" customFormat="false" ht="15" hidden="false" customHeight="false" outlineLevel="0" collapsed="false">
      <c r="A32" s="6" t="s">
        <v>170</v>
      </c>
    </row>
    <row r="33" customFormat="false" ht="15" hidden="false" customHeight="false" outlineLevel="0" collapsed="false">
      <c r="A33" s="7" t="s">
        <v>27</v>
      </c>
      <c r="B33" s="7" t="s">
        <v>28</v>
      </c>
      <c r="C33" s="7" t="s">
        <v>29</v>
      </c>
      <c r="D33" s="7" t="s">
        <v>30</v>
      </c>
      <c r="E33" s="7" t="s">
        <v>31</v>
      </c>
      <c r="F33" s="7" t="s">
        <v>32</v>
      </c>
      <c r="G33" s="7" t="s">
        <v>33</v>
      </c>
      <c r="H33" s="7" t="s">
        <v>34</v>
      </c>
      <c r="I33" s="7" t="s">
        <v>35</v>
      </c>
    </row>
    <row r="34" customFormat="false" ht="15" hidden="false" customHeight="false" outlineLevel="0" collapsed="false">
      <c r="A34" s="8" t="s">
        <v>364</v>
      </c>
      <c r="B34" s="5" t="s">
        <v>161</v>
      </c>
      <c r="C34" s="18" t="n">
        <f aca="false">C30/C14-1</f>
        <v>0.277235161532682</v>
      </c>
      <c r="D34" s="18" t="n">
        <f aca="false">D30/C14-1</f>
        <v>0.281492612071125</v>
      </c>
      <c r="E34" s="18" t="n">
        <f aca="false">E30/C14-1</f>
        <v>0.283496118206862</v>
      </c>
      <c r="H34" s="5"/>
    </row>
    <row r="35" customFormat="false" ht="15" hidden="false" customHeight="false" outlineLevel="0" collapsed="false">
      <c r="A35" s="8" t="s">
        <v>365</v>
      </c>
      <c r="B35" s="5" t="s">
        <v>161</v>
      </c>
      <c r="C35" s="18" t="n">
        <f aca="false">MIN(C14/C10-1,C15/C11-1,C16/C12-1,C17/C13-1)</f>
        <v>0.305780659103188</v>
      </c>
      <c r="D35" s="18" t="n">
        <f aca="false">AVERAGE(C14/C10-1,C15/C11-1,C16/C12-1,C17/C13-1)</f>
        <v>0.334255841474131</v>
      </c>
      <c r="E35" s="18" t="n">
        <f aca="false">MAX(C14/C10-1,C15/C11-1,C16/C12-1,C17/C13-1)</f>
        <v>0.373581011351909</v>
      </c>
      <c r="H35" s="5"/>
    </row>
    <row r="36" customFormat="false" ht="15" hidden="false" customHeight="false" outlineLevel="0" collapsed="false">
      <c r="A36" s="8" t="s">
        <v>366</v>
      </c>
      <c r="B36" s="5" t="s">
        <v>161</v>
      </c>
      <c r="D36" s="18" t="n">
        <f aca="false">C17/C13-1</f>
        <v>0.305780659103188</v>
      </c>
      <c r="H36" s="5"/>
    </row>
    <row r="38" customFormat="false" ht="15" hidden="false" customHeight="false" outlineLevel="0" collapsed="false">
      <c r="A38" s="6" t="s">
        <v>175</v>
      </c>
    </row>
    <row r="39" customFormat="false" ht="75" hidden="false" customHeight="true" outlineLevel="0" collapsed="false">
      <c r="A39" s="3" t="s">
        <v>367</v>
      </c>
      <c r="B39" s="5" t="s">
        <v>177</v>
      </c>
    </row>
    <row r="41" customFormat="false" ht="15" hidden="false" customHeight="false" outlineLevel="0" collapsed="false">
      <c r="A41" s="6" t="s">
        <v>178</v>
      </c>
    </row>
    <row r="42" customFormat="false" ht="75" hidden="false" customHeight="true" outlineLevel="0" collapsed="false">
      <c r="A42" s="3" t="s">
        <v>368</v>
      </c>
      <c r="B42" s="5" t="s">
        <v>177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1"/>
    <col collapsed="false" customWidth="true" hidden="false" outlineLevel="0" max="5" min="3" style="0" width="13"/>
    <col collapsed="false" customWidth="true" hidden="false" outlineLevel="0" max="6" min="6" style="0" width="22"/>
    <col collapsed="false" customWidth="true" hidden="false" outlineLevel="0" max="7" min="7" style="0" width="13"/>
    <col collapsed="false" customWidth="true" hidden="false" outlineLevel="0" max="8" min="8" style="0" width="60"/>
    <col collapsed="false" customWidth="true" hidden="false" outlineLevel="0" max="9" min="9" style="0" width="50"/>
  </cols>
  <sheetData>
    <row r="1" customFormat="false" ht="16.15" hidden="false" customHeight="false" outlineLevel="0" collapsed="false">
      <c r="A1" s="4" t="s">
        <v>369</v>
      </c>
    </row>
    <row r="2" customFormat="false" ht="15" hidden="false" customHeight="false" outlineLevel="0" collapsed="false">
      <c r="A2" s="5" t="s">
        <v>370</v>
      </c>
    </row>
    <row r="5" customFormat="false" ht="15" hidden="false" customHeight="false" outlineLevel="0" collapsed="false">
      <c r="A5" s="6" t="s">
        <v>23</v>
      </c>
    </row>
    <row r="6" customFormat="false" ht="60" hidden="false" customHeight="true" outlineLevel="0" collapsed="false">
      <c r="A6" s="3" t="s">
        <v>371</v>
      </c>
      <c r="B6" s="5" t="s">
        <v>25</v>
      </c>
    </row>
    <row r="8" customFormat="false" ht="15" hidden="false" customHeight="false" outlineLevel="0" collapsed="false">
      <c r="A8" s="6" t="s">
        <v>372</v>
      </c>
    </row>
    <row r="9" customFormat="false" ht="15" hidden="false" customHeight="false" outlineLevel="0" collapsed="false">
      <c r="A9" s="7" t="s">
        <v>27</v>
      </c>
      <c r="B9" s="7" t="s">
        <v>28</v>
      </c>
      <c r="C9" s="7" t="s">
        <v>29</v>
      </c>
      <c r="D9" s="7" t="s">
        <v>30</v>
      </c>
      <c r="E9" s="7" t="s">
        <v>31</v>
      </c>
      <c r="F9" s="7" t="s">
        <v>32</v>
      </c>
      <c r="G9" s="7" t="s">
        <v>33</v>
      </c>
      <c r="H9" s="7" t="s">
        <v>34</v>
      </c>
      <c r="I9" s="7" t="s">
        <v>35</v>
      </c>
    </row>
    <row r="10" customFormat="false" ht="15" hidden="false" customHeight="false" outlineLevel="0" collapsed="false">
      <c r="A10" s="8" t="s">
        <v>373</v>
      </c>
      <c r="B10" s="5" t="s">
        <v>37</v>
      </c>
      <c r="C10" s="9" t="n">
        <v>516</v>
      </c>
      <c r="F10" s="5" t="s">
        <v>374</v>
      </c>
      <c r="G10" s="5" t="s">
        <v>55</v>
      </c>
      <c r="H10" s="5"/>
    </row>
    <row r="11" customFormat="false" ht="15" hidden="false" customHeight="false" outlineLevel="0" collapsed="false">
      <c r="A11" s="8" t="s">
        <v>375</v>
      </c>
      <c r="B11" s="5" t="s">
        <v>37</v>
      </c>
      <c r="C11" s="9" t="n">
        <v>568</v>
      </c>
      <c r="F11" s="5" t="s">
        <v>376</v>
      </c>
      <c r="G11" s="5" t="s">
        <v>58</v>
      </c>
      <c r="H11" s="5"/>
    </row>
    <row r="12" customFormat="false" ht="15" hidden="false" customHeight="false" outlineLevel="0" collapsed="false">
      <c r="A12" s="8" t="s">
        <v>377</v>
      </c>
      <c r="B12" s="5" t="s">
        <v>37</v>
      </c>
      <c r="C12" s="9" t="n">
        <v>588</v>
      </c>
      <c r="F12" s="5" t="s">
        <v>378</v>
      </c>
      <c r="G12" s="5" t="s">
        <v>39</v>
      </c>
      <c r="H12" s="5"/>
    </row>
    <row r="13" customFormat="false" ht="15" hidden="false" customHeight="false" outlineLevel="0" collapsed="false">
      <c r="A13" s="8" t="s">
        <v>379</v>
      </c>
      <c r="B13" s="5" t="s">
        <v>37</v>
      </c>
      <c r="C13" s="9" t="n">
        <v>676</v>
      </c>
      <c r="F13" s="5" t="s">
        <v>380</v>
      </c>
      <c r="G13" s="5" t="s">
        <v>55</v>
      </c>
      <c r="H13" s="5"/>
    </row>
    <row r="14" customFormat="false" ht="15" hidden="false" customHeight="false" outlineLevel="0" collapsed="false">
      <c r="A14" s="8" t="s">
        <v>381</v>
      </c>
      <c r="B14" s="5" t="s">
        <v>37</v>
      </c>
      <c r="C14" s="9" t="n">
        <v>716</v>
      </c>
      <c r="F14" s="5" t="s">
        <v>382</v>
      </c>
      <c r="G14" s="5" t="s">
        <v>58</v>
      </c>
      <c r="H14" s="5"/>
    </row>
    <row r="15" customFormat="false" ht="15" hidden="false" customHeight="false" outlineLevel="0" collapsed="false">
      <c r="A15" s="8" t="s">
        <v>383</v>
      </c>
      <c r="B15" s="5" t="s">
        <v>37</v>
      </c>
      <c r="C15" s="9" t="n">
        <v>750</v>
      </c>
      <c r="F15" s="5" t="s">
        <v>384</v>
      </c>
      <c r="G15" s="5" t="s">
        <v>39</v>
      </c>
      <c r="H15" s="5"/>
    </row>
    <row r="17" customFormat="false" ht="15" hidden="false" customHeight="false" outlineLevel="0" collapsed="false">
      <c r="A17" s="6" t="s">
        <v>385</v>
      </c>
    </row>
    <row r="18" customFormat="false" ht="15" hidden="false" customHeight="false" outlineLevel="0" collapsed="false">
      <c r="A18" s="7" t="s">
        <v>27</v>
      </c>
      <c r="B18" s="7" t="s">
        <v>28</v>
      </c>
      <c r="C18" s="7" t="s">
        <v>29</v>
      </c>
      <c r="D18" s="7" t="s">
        <v>30</v>
      </c>
      <c r="E18" s="7" t="s">
        <v>31</v>
      </c>
      <c r="F18" s="7" t="s">
        <v>32</v>
      </c>
      <c r="G18" s="7" t="s">
        <v>33</v>
      </c>
      <c r="H18" s="7" t="s">
        <v>34</v>
      </c>
      <c r="I18" s="7" t="s">
        <v>35</v>
      </c>
    </row>
    <row r="19" customFormat="false" ht="15" hidden="false" customHeight="false" outlineLevel="0" collapsed="false">
      <c r="A19" s="8" t="s">
        <v>386</v>
      </c>
      <c r="B19" s="5" t="s">
        <v>161</v>
      </c>
      <c r="D19" s="27" t="n">
        <f aca="false">COUNT(C10,C11,C12,C13,C14,C15)</f>
        <v>6</v>
      </c>
      <c r="H19" s="5"/>
    </row>
    <row r="20" customFormat="false" ht="15" hidden="false" customHeight="false" outlineLevel="0" collapsed="false">
      <c r="A20" s="8" t="s">
        <v>387</v>
      </c>
      <c r="B20" s="5" t="s">
        <v>177</v>
      </c>
      <c r="D20" s="8" t="s">
        <v>388</v>
      </c>
      <c r="H20" s="5" t="s">
        <v>389</v>
      </c>
    </row>
    <row r="21" customFormat="false" ht="15" hidden="false" customHeight="false" outlineLevel="0" collapsed="false">
      <c r="A21" s="8" t="s">
        <v>390</v>
      </c>
      <c r="B21" s="5" t="s">
        <v>177</v>
      </c>
      <c r="D21" s="8" t="s">
        <v>391</v>
      </c>
      <c r="H21" s="5" t="s">
        <v>392</v>
      </c>
    </row>
    <row r="22" customFormat="false" ht="15" hidden="false" customHeight="false" outlineLevel="0" collapsed="false">
      <c r="A22" s="8" t="s">
        <v>393</v>
      </c>
      <c r="B22" s="5" t="s">
        <v>177</v>
      </c>
      <c r="D22" s="8" t="s">
        <v>394</v>
      </c>
      <c r="H22" s="5" t="s">
        <v>395</v>
      </c>
    </row>
    <row r="24" customFormat="false" ht="15" hidden="false" customHeight="false" outlineLevel="0" collapsed="false">
      <c r="A24" s="6" t="s">
        <v>167</v>
      </c>
    </row>
    <row r="25" customFormat="false" ht="15" hidden="false" customHeight="false" outlineLevel="0" collapsed="false">
      <c r="A25" s="7" t="s">
        <v>27</v>
      </c>
      <c r="B25" s="7" t="s">
        <v>28</v>
      </c>
      <c r="C25" s="7" t="s">
        <v>29</v>
      </c>
      <c r="D25" s="7" t="s">
        <v>30</v>
      </c>
      <c r="E25" s="7" t="s">
        <v>31</v>
      </c>
      <c r="F25" s="7" t="s">
        <v>32</v>
      </c>
      <c r="G25" s="7" t="s">
        <v>33</v>
      </c>
      <c r="H25" s="7" t="s">
        <v>34</v>
      </c>
      <c r="I25" s="7" t="s">
        <v>35</v>
      </c>
    </row>
    <row r="26" customFormat="false" ht="15" hidden="false" customHeight="false" outlineLevel="0" collapsed="false">
      <c r="A26" s="2" t="s">
        <v>396</v>
      </c>
      <c r="B26" s="5" t="s">
        <v>177</v>
      </c>
      <c r="D26" s="28" t="s">
        <v>397</v>
      </c>
      <c r="H26" s="5" t="s">
        <v>398</v>
      </c>
    </row>
    <row r="28" customFormat="false" ht="15" hidden="false" customHeight="false" outlineLevel="0" collapsed="false">
      <c r="A28" s="6" t="s">
        <v>399</v>
      </c>
    </row>
    <row r="29" customFormat="false" ht="45" hidden="false" customHeight="true" outlineLevel="0" collapsed="false">
      <c r="A29" s="3" t="s">
        <v>400</v>
      </c>
      <c r="B29" s="5" t="s">
        <v>177</v>
      </c>
    </row>
    <row r="31" customFormat="false" ht="15" hidden="false" customHeight="false" outlineLevel="0" collapsed="false">
      <c r="A31" s="6" t="s">
        <v>178</v>
      </c>
    </row>
    <row r="32" customFormat="false" ht="75" hidden="false" customHeight="true" outlineLevel="0" collapsed="false">
      <c r="A32" s="3" t="s">
        <v>401</v>
      </c>
      <c r="B32" s="5" t="s">
        <v>177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60"/>
    <col collapsed="false" customWidth="true" hidden="false" outlineLevel="0" max="4" min="4" style="0" width="12"/>
    <col collapsed="false" customWidth="true" hidden="false" outlineLevel="0" max="5" min="5" style="0" width="70"/>
    <col collapsed="false" customWidth="true" hidden="false" outlineLevel="0" max="6" min="6" style="0" width="60"/>
  </cols>
  <sheetData>
    <row r="1" customFormat="false" ht="16.15" hidden="false" customHeight="false" outlineLevel="0" collapsed="false">
      <c r="A1" s="4" t="s">
        <v>402</v>
      </c>
    </row>
    <row r="3" customFormat="false" ht="15" hidden="false" customHeight="false" outlineLevel="0" collapsed="false">
      <c r="A3" s="7" t="s">
        <v>403</v>
      </c>
      <c r="B3" s="7" t="s">
        <v>404</v>
      </c>
      <c r="C3" s="7" t="s">
        <v>405</v>
      </c>
      <c r="D3" s="7" t="s">
        <v>406</v>
      </c>
      <c r="E3" s="7" t="s">
        <v>407</v>
      </c>
      <c r="F3" s="7" t="s">
        <v>35</v>
      </c>
    </row>
    <row r="4" customFormat="false" ht="23.85" hidden="false" customHeight="false" outlineLevel="0" collapsed="false">
      <c r="A4" s="8" t="s">
        <v>408</v>
      </c>
      <c r="B4" s="8" t="s">
        <v>409</v>
      </c>
      <c r="C4" s="3" t="s">
        <v>59</v>
      </c>
      <c r="D4" s="29" t="n">
        <f aca="false">Revenue!C18</f>
        <v>0</v>
      </c>
      <c r="E4" s="3" t="s">
        <v>61</v>
      </c>
      <c r="F4" s="3" t="s">
        <v>62</v>
      </c>
    </row>
    <row r="5" customFormat="false" ht="23.85" hidden="false" customHeight="false" outlineLevel="0" collapsed="false">
      <c r="A5" s="8" t="s">
        <v>408</v>
      </c>
      <c r="B5" s="8" t="s">
        <v>410</v>
      </c>
      <c r="C5" s="3" t="s">
        <v>63</v>
      </c>
      <c r="D5" s="30" t="n">
        <f aca="false">Revenue!C19</f>
        <v>8</v>
      </c>
      <c r="E5" s="3" t="s">
        <v>64</v>
      </c>
      <c r="F5" s="3" t="s">
        <v>65</v>
      </c>
    </row>
    <row r="6" customFormat="false" ht="23.85" hidden="false" customHeight="false" outlineLevel="0" collapsed="false">
      <c r="A6" s="8" t="s">
        <v>411</v>
      </c>
      <c r="B6" s="8" t="s">
        <v>412</v>
      </c>
      <c r="C6" s="3" t="s">
        <v>189</v>
      </c>
      <c r="D6" s="29" t="n">
        <f aca="false">OpIncome_Margin!C14</f>
        <v>0</v>
      </c>
      <c r="E6" s="3" t="s">
        <v>190</v>
      </c>
      <c r="F6" s="3" t="s">
        <v>191</v>
      </c>
    </row>
    <row r="7" customFormat="false" ht="23.85" hidden="false" customHeight="false" outlineLevel="0" collapsed="false">
      <c r="A7" s="8" t="s">
        <v>413</v>
      </c>
      <c r="B7" s="8" t="s">
        <v>414</v>
      </c>
      <c r="C7" s="3" t="s">
        <v>280</v>
      </c>
      <c r="D7" s="31" t="n">
        <f aca="false">Adj_FCF!C25</f>
        <v>0</v>
      </c>
      <c r="E7" s="3" t="s">
        <v>281</v>
      </c>
      <c r="F7" s="3" t="s">
        <v>282</v>
      </c>
    </row>
    <row r="8" customFormat="false" ht="23.85" hidden="false" customHeight="false" outlineLevel="0" collapsed="false">
      <c r="A8" s="8" t="s">
        <v>415</v>
      </c>
      <c r="B8" s="8" t="s">
        <v>410</v>
      </c>
      <c r="C8" s="3" t="s">
        <v>318</v>
      </c>
      <c r="D8" s="30" t="n">
        <f aca="false">NDR!C19</f>
        <v>4</v>
      </c>
      <c r="E8" s="3" t="s">
        <v>319</v>
      </c>
      <c r="F8" s="3" t="s">
        <v>320</v>
      </c>
    </row>
    <row r="9" customFormat="false" ht="23.85" hidden="false" customHeight="false" outlineLevel="0" collapsed="false">
      <c r="A9" s="8" t="s">
        <v>416</v>
      </c>
      <c r="B9" s="8" t="s">
        <v>409</v>
      </c>
      <c r="C9" s="3" t="s">
        <v>318</v>
      </c>
      <c r="D9" s="30" t="n">
        <f aca="false">Customers_50K!C18</f>
        <v>4</v>
      </c>
      <c r="E9" s="3" t="s">
        <v>356</v>
      </c>
      <c r="F9" s="3" t="s">
        <v>357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5"/>
    <col collapsed="false" customWidth="true" hidden="false" outlineLevel="0" max="5" min="3" style="0" width="12"/>
    <col collapsed="false" customWidth="true" hidden="false" outlineLevel="0" max="6" min="6" style="0" width="14"/>
    <col collapsed="false" customWidth="true" hidden="false" outlineLevel="0" max="7" min="7" style="0" width="16"/>
    <col collapsed="false" customWidth="true" hidden="false" outlineLevel="0" max="8" min="8" style="0" width="60"/>
    <col collapsed="false" customWidth="true" hidden="false" outlineLevel="0" max="9" min="9" style="0" width="20"/>
  </cols>
  <sheetData>
    <row r="1" customFormat="false" ht="16.15" hidden="false" customHeight="false" outlineLevel="0" collapsed="false">
      <c r="A1" s="4" t="s">
        <v>417</v>
      </c>
    </row>
    <row r="2" customFormat="false" ht="15" hidden="false" customHeight="false" outlineLevel="0" collapsed="false">
      <c r="A2" s="5" t="s">
        <v>418</v>
      </c>
    </row>
    <row r="4" customFormat="false" ht="15" hidden="false" customHeight="false" outlineLevel="0" collapsed="false">
      <c r="A4" s="7" t="s">
        <v>419</v>
      </c>
      <c r="B4" s="7" t="s">
        <v>420</v>
      </c>
      <c r="C4" s="7" t="s">
        <v>421</v>
      </c>
      <c r="D4" s="7" t="s">
        <v>30</v>
      </c>
      <c r="E4" s="7" t="s">
        <v>31</v>
      </c>
      <c r="F4" s="7" t="s">
        <v>422</v>
      </c>
      <c r="G4" s="7" t="s">
        <v>423</v>
      </c>
      <c r="H4" s="7" t="s">
        <v>424</v>
      </c>
      <c r="I4" s="7" t="s">
        <v>28</v>
      </c>
    </row>
    <row r="5" customFormat="false" ht="15" hidden="false" customHeight="false" outlineLevel="0" collapsed="false">
      <c r="A5" s="8" t="s">
        <v>425</v>
      </c>
      <c r="B5" s="8" t="s">
        <v>426</v>
      </c>
      <c r="C5" s="15" t="n">
        <f aca="false">Revenue!C55</f>
        <v>374.471069908815</v>
      </c>
      <c r="D5" s="15" t="n">
        <f aca="false">Revenue!D55</f>
        <v>378.38245825603</v>
      </c>
      <c r="E5" s="15" t="n">
        <f aca="false">Revenue!E55</f>
        <v>382.350398230088</v>
      </c>
      <c r="H5" s="3" t="s">
        <v>427</v>
      </c>
      <c r="I5" s="8" t="s">
        <v>428</v>
      </c>
    </row>
    <row r="6" customFormat="false" ht="15" hidden="false" customHeight="false" outlineLevel="0" collapsed="false">
      <c r="A6" s="8" t="s">
        <v>429</v>
      </c>
      <c r="B6" s="8" t="s">
        <v>426</v>
      </c>
      <c r="C6" s="15" t="n">
        <f aca="false">OpIncome_Margin!C49</f>
        <v>65.7296756756757</v>
      </c>
      <c r="D6" s="15" t="n">
        <f aca="false">OpIncome_Margin!D49</f>
        <v>78.2667190476191</v>
      </c>
      <c r="E6" s="15" t="n">
        <f aca="false">OpIncome_Margin!E49</f>
        <v>90.9127692307692</v>
      </c>
      <c r="H6" s="3" t="s">
        <v>427</v>
      </c>
      <c r="I6" s="8" t="s">
        <v>428</v>
      </c>
    </row>
    <row r="7" customFormat="false" ht="15" hidden="false" customHeight="false" outlineLevel="0" collapsed="false">
      <c r="A7" s="8" t="s">
        <v>430</v>
      </c>
      <c r="B7" s="8" t="s">
        <v>431</v>
      </c>
      <c r="C7" s="18" t="n">
        <f aca="false">OpIncome_Margin!C50</f>
        <v>0.175526712094692</v>
      </c>
      <c r="D7" s="18" t="n">
        <f aca="false">OpIncome_Margin!D50</f>
        <v>0.206845527164107</v>
      </c>
      <c r="E7" s="18" t="n">
        <f aca="false">OpIncome_Margin!E50</f>
        <v>0.237773439367677</v>
      </c>
      <c r="H7" s="3" t="s">
        <v>427</v>
      </c>
      <c r="I7" s="8" t="s">
        <v>428</v>
      </c>
    </row>
    <row r="8" customFormat="false" ht="15" hidden="false" customHeight="false" outlineLevel="0" collapsed="false">
      <c r="A8" s="8" t="s">
        <v>432</v>
      </c>
      <c r="B8" s="8" t="s">
        <v>426</v>
      </c>
      <c r="C8" s="15" t="n">
        <f aca="false">Adj_FCF!C37</f>
        <v>66.3471987622087</v>
      </c>
      <c r="D8" s="15" t="n">
        <f aca="false">Adj_FCF!D37</f>
        <v>73.1595409524635</v>
      </c>
      <c r="E8" s="15" t="n">
        <f aca="false">Adj_FCF!E37</f>
        <v>83.5332256047237</v>
      </c>
      <c r="H8" s="3" t="s">
        <v>427</v>
      </c>
      <c r="I8" s="8" t="s">
        <v>428</v>
      </c>
    </row>
    <row r="9" customFormat="false" ht="23.85" hidden="false" customHeight="false" outlineLevel="0" collapsed="false">
      <c r="A9" s="8" t="s">
        <v>433</v>
      </c>
      <c r="B9" s="8" t="s">
        <v>431</v>
      </c>
      <c r="C9" s="18" t="n">
        <f aca="false">NDR!C36</f>
        <v>1.08</v>
      </c>
      <c r="D9" s="18" t="n">
        <f aca="false">NDR!D36</f>
        <v>1.085</v>
      </c>
      <c r="E9" s="18" t="n">
        <f aca="false">NDR!E36</f>
        <v>1.09</v>
      </c>
      <c r="H9" s="3" t="s">
        <v>434</v>
      </c>
      <c r="I9" s="8" t="s">
        <v>428</v>
      </c>
    </row>
    <row r="10" customFormat="false" ht="15" hidden="false" customHeight="false" outlineLevel="0" collapsed="false">
      <c r="A10" s="8" t="s">
        <v>435</v>
      </c>
      <c r="B10" s="8" t="s">
        <v>436</v>
      </c>
      <c r="C10" s="25" t="n">
        <f aca="false">Customers_50K!C30</f>
        <v>5100</v>
      </c>
      <c r="D10" s="25" t="n">
        <f aca="false">Customers_50K!D30</f>
        <v>5117</v>
      </c>
      <c r="E10" s="25" t="n">
        <f aca="false">Customers_50K!E30</f>
        <v>5125</v>
      </c>
      <c r="H10" s="3" t="s">
        <v>427</v>
      </c>
      <c r="I10" s="8" t="s">
        <v>428</v>
      </c>
    </row>
    <row r="11" customFormat="false" ht="15" hidden="false" customHeight="false" outlineLevel="0" collapsed="false">
      <c r="A11" s="8" t="s">
        <v>437</v>
      </c>
      <c r="B11" s="8" t="s">
        <v>426</v>
      </c>
      <c r="C11" s="8" t="s">
        <v>438</v>
      </c>
      <c r="D11" s="8" t="s">
        <v>438</v>
      </c>
      <c r="E11" s="8" t="s">
        <v>438</v>
      </c>
      <c r="H11" s="8" t="s">
        <v>439</v>
      </c>
      <c r="I11" s="8" t="s">
        <v>440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22"/>
    <col collapsed="false" customWidth="true" hidden="false" outlineLevel="0" max="4" min="4" style="0" width="26"/>
    <col collapsed="false" customWidth="true" hidden="false" outlineLevel="0" max="5" min="5" style="0" width="14"/>
    <col collapsed="false" customWidth="true" hidden="false" outlineLevel="0" max="6" min="6" style="0" width="16"/>
    <col collapsed="false" customWidth="true" hidden="false" outlineLevel="0" max="7" min="7" style="0" width="14"/>
    <col collapsed="false" customWidth="true" hidden="false" outlineLevel="0" max="8" min="8" style="0" width="9"/>
    <col collapsed="false" customWidth="true" hidden="false" outlineLevel="0" max="9" min="9" style="0" width="40"/>
  </cols>
  <sheetData>
    <row r="1" customFormat="false" ht="16.15" hidden="false" customHeight="false" outlineLevel="0" collapsed="false">
      <c r="A1" s="4" t="s">
        <v>441</v>
      </c>
    </row>
    <row r="3" customFormat="false" ht="23.85" hidden="false" customHeight="false" outlineLevel="0" collapsed="false">
      <c r="A3" s="7" t="s">
        <v>442</v>
      </c>
      <c r="B3" s="7" t="s">
        <v>443</v>
      </c>
      <c r="C3" s="7" t="s">
        <v>404</v>
      </c>
      <c r="D3" s="7" t="s">
        <v>444</v>
      </c>
      <c r="E3" s="7" t="s">
        <v>445</v>
      </c>
      <c r="F3" s="7" t="s">
        <v>446</v>
      </c>
      <c r="G3" s="7" t="s">
        <v>447</v>
      </c>
      <c r="H3" s="7" t="s">
        <v>1</v>
      </c>
      <c r="I3" s="7" t="s">
        <v>448</v>
      </c>
    </row>
    <row r="4" customFormat="false" ht="15" hidden="false" customHeight="false" outlineLevel="0" collapsed="false">
      <c r="A4" s="8" t="s">
        <v>449</v>
      </c>
      <c r="B4" s="8" t="s">
        <v>450</v>
      </c>
      <c r="C4" s="8" t="s">
        <v>451</v>
      </c>
      <c r="D4" s="8" t="s">
        <v>38</v>
      </c>
      <c r="E4" s="15" t="n">
        <f aca="false">Revenue!C10</f>
        <v>368</v>
      </c>
      <c r="F4" s="32" t="n">
        <v>368</v>
      </c>
      <c r="G4" s="8" t="n">
        <f aca="false">E4-F4</f>
        <v>0</v>
      </c>
      <c r="H4" s="8" t="str">
        <f aca="false">IF(ABS(G4)&lt;=0.000001,"PASS","FAIL")</f>
        <v>PASS</v>
      </c>
    </row>
    <row r="5" customFormat="false" ht="15" hidden="false" customHeight="false" outlineLevel="0" collapsed="false">
      <c r="A5" s="8" t="s">
        <v>452</v>
      </c>
      <c r="B5" s="8" t="s">
        <v>450</v>
      </c>
      <c r="C5" s="8" t="s">
        <v>453</v>
      </c>
      <c r="D5" s="8" t="s">
        <v>38</v>
      </c>
      <c r="E5" s="15" t="n">
        <f aca="false">Revenue!C11</f>
        <v>370</v>
      </c>
      <c r="F5" s="32" t="n">
        <v>370</v>
      </c>
      <c r="G5" s="8" t="n">
        <f aca="false">E5-F5</f>
        <v>0</v>
      </c>
      <c r="H5" s="8" t="str">
        <f aca="false">IF(ABS(G5)&lt;=0.000001,"PASS","FAIL")</f>
        <v>PASS</v>
      </c>
    </row>
    <row r="6" customFormat="false" ht="15" hidden="false" customHeight="false" outlineLevel="0" collapsed="false">
      <c r="A6" s="8" t="s">
        <v>454</v>
      </c>
      <c r="B6" s="8" t="s">
        <v>455</v>
      </c>
      <c r="C6" s="8" t="s">
        <v>456</v>
      </c>
      <c r="D6" s="8" t="s">
        <v>43</v>
      </c>
      <c r="E6" s="33" t="n">
        <f aca="false">Revenue!C12</f>
        <v>364621</v>
      </c>
      <c r="F6" s="32" t="n">
        <v>364621</v>
      </c>
      <c r="G6" s="8" t="n">
        <f aca="false">E6-F6</f>
        <v>0</v>
      </c>
      <c r="H6" s="8" t="str">
        <f aca="false">IF(ABS(G6)&lt;=0.000001,"PASS","FAIL")</f>
        <v>PASS</v>
      </c>
    </row>
    <row r="7" customFormat="false" ht="15" hidden="false" customHeight="false" outlineLevel="0" collapsed="false">
      <c r="A7" s="8" t="s">
        <v>457</v>
      </c>
      <c r="B7" s="8" t="s">
        <v>455</v>
      </c>
      <c r="C7" s="8" t="s">
        <v>458</v>
      </c>
      <c r="D7" s="8" t="s">
        <v>45</v>
      </c>
      <c r="E7" s="33" t="n">
        <f aca="false">Revenue!C13</f>
        <v>316855</v>
      </c>
      <c r="F7" s="32" t="n">
        <v>316855</v>
      </c>
      <c r="G7" s="8" t="n">
        <f aca="false">E7-F7</f>
        <v>0</v>
      </c>
      <c r="H7" s="8" t="str">
        <f aca="false">IF(ABS(G7)&lt;=0.000001,"PASS","FAIL")</f>
        <v>PASS</v>
      </c>
    </row>
    <row r="8" customFormat="false" ht="15" hidden="false" customHeight="false" outlineLevel="0" collapsed="false">
      <c r="A8" s="8" t="s">
        <v>459</v>
      </c>
      <c r="B8" s="8" t="s">
        <v>455</v>
      </c>
      <c r="C8" s="8" t="s">
        <v>460</v>
      </c>
      <c r="D8" s="8" t="s">
        <v>48</v>
      </c>
      <c r="E8" s="33" t="n">
        <f aca="false">Revenue!C14</f>
        <v>282250</v>
      </c>
      <c r="F8" s="32" t="n">
        <v>282250</v>
      </c>
      <c r="G8" s="8" t="n">
        <f aca="false">E8-F8</f>
        <v>0</v>
      </c>
      <c r="H8" s="8" t="str">
        <f aca="false">IF(ABS(G8)&lt;=0.000001,"PASS","FAIL")</f>
        <v>PASS</v>
      </c>
    </row>
    <row r="9" customFormat="false" ht="15" hidden="false" customHeight="false" outlineLevel="0" collapsed="false">
      <c r="A9" s="8" t="s">
        <v>461</v>
      </c>
      <c r="B9" s="8" t="s">
        <v>455</v>
      </c>
      <c r="C9" s="8" t="s">
        <v>462</v>
      </c>
      <c r="D9" s="8" t="s">
        <v>51</v>
      </c>
      <c r="E9" s="33" t="n">
        <f aca="false">Revenue!C15</f>
        <v>299014</v>
      </c>
      <c r="F9" s="32" t="n">
        <v>299014</v>
      </c>
      <c r="G9" s="8" t="n">
        <f aca="false">E9-F9</f>
        <v>0</v>
      </c>
      <c r="H9" s="8" t="str">
        <f aca="false">IF(ABS(G9)&lt;=0.000001,"PASS","FAIL")</f>
        <v>PASS</v>
      </c>
    </row>
    <row r="10" customFormat="false" ht="15" hidden="false" customHeight="false" outlineLevel="0" collapsed="false">
      <c r="A10" s="8" t="s">
        <v>463</v>
      </c>
      <c r="B10" s="8" t="s">
        <v>455</v>
      </c>
      <c r="C10" s="8" t="s">
        <v>464</v>
      </c>
      <c r="D10" s="8" t="s">
        <v>54</v>
      </c>
      <c r="E10" s="33" t="n">
        <f aca="false">Revenue!C16</f>
        <v>333878</v>
      </c>
      <c r="F10" s="32" t="n">
        <v>333878</v>
      </c>
      <c r="G10" s="8" t="n">
        <f aca="false">E10-F10</f>
        <v>0</v>
      </c>
      <c r="H10" s="8" t="str">
        <f aca="false">IF(ABS(G10)&lt;=0.000001,"PASS","FAIL")</f>
        <v>PASS</v>
      </c>
    </row>
    <row r="11" customFormat="false" ht="15" hidden="false" customHeight="false" outlineLevel="0" collapsed="false">
      <c r="A11" s="8" t="s">
        <v>465</v>
      </c>
      <c r="B11" s="8" t="s">
        <v>455</v>
      </c>
      <c r="C11" s="8" t="s">
        <v>466</v>
      </c>
      <c r="D11" s="8" t="s">
        <v>57</v>
      </c>
      <c r="E11" s="33" t="n">
        <f aca="false">Revenue!C17</f>
        <v>351265</v>
      </c>
      <c r="F11" s="32" t="n">
        <v>351265</v>
      </c>
      <c r="G11" s="8" t="n">
        <f aca="false">E11-F11</f>
        <v>0</v>
      </c>
      <c r="H11" s="8" t="str">
        <f aca="false">IF(ABS(G11)&lt;=0.000001,"PASS","FAIL")</f>
        <v>PASS</v>
      </c>
    </row>
    <row r="12" customFormat="false" ht="15" hidden="false" customHeight="false" outlineLevel="0" collapsed="false">
      <c r="A12" s="8" t="s">
        <v>467</v>
      </c>
      <c r="B12" s="8" t="s">
        <v>450</v>
      </c>
      <c r="C12" s="8" t="s">
        <v>468</v>
      </c>
      <c r="D12" s="8" t="s">
        <v>469</v>
      </c>
      <c r="E12" s="15" t="n">
        <f aca="false">Revenue!C23</f>
        <v>74</v>
      </c>
      <c r="F12" s="32" t="n">
        <v>74</v>
      </c>
      <c r="G12" s="8" t="n">
        <f aca="false">E12-F12</f>
        <v>0</v>
      </c>
      <c r="H12" s="8" t="str">
        <f aca="false">IF(ABS(G12)&lt;=0.000001,"PASS","FAIL")</f>
        <v>PASS</v>
      </c>
    </row>
    <row r="13" customFormat="false" ht="15" hidden="false" customHeight="false" outlineLevel="0" collapsed="false">
      <c r="A13" s="8" t="s">
        <v>470</v>
      </c>
      <c r="B13" s="8" t="s">
        <v>450</v>
      </c>
      <c r="C13" s="8" t="s">
        <v>471</v>
      </c>
      <c r="D13" s="8" t="s">
        <v>469</v>
      </c>
      <c r="E13" s="15" t="n">
        <f aca="false">Revenue!D23</f>
        <v>75</v>
      </c>
      <c r="F13" s="32" t="n">
        <v>75</v>
      </c>
      <c r="G13" s="8" t="n">
        <f aca="false">E13-F13</f>
        <v>0</v>
      </c>
      <c r="H13" s="8" t="str">
        <f aca="false">IF(ABS(G13)&lt;=0.000001,"PASS","FAIL")</f>
        <v>PASS</v>
      </c>
    </row>
    <row r="14" customFormat="false" ht="15" hidden="false" customHeight="false" outlineLevel="0" collapsed="false">
      <c r="A14" s="8" t="s">
        <v>472</v>
      </c>
      <c r="B14" s="8" t="s">
        <v>455</v>
      </c>
      <c r="C14" s="8" t="s">
        <v>473</v>
      </c>
      <c r="D14" s="8" t="s">
        <v>474</v>
      </c>
      <c r="E14" s="33" t="n">
        <f aca="false">Revenue!E23</f>
        <v>83018</v>
      </c>
      <c r="F14" s="32" t="n">
        <v>83018</v>
      </c>
      <c r="G14" s="8" t="n">
        <f aca="false">E14-F14</f>
        <v>0</v>
      </c>
      <c r="H14" s="8" t="str">
        <f aca="false">IF(ABS(G14)&lt;=0.000001,"PASS","FAIL")</f>
        <v>PASS</v>
      </c>
    </row>
    <row r="15" customFormat="false" ht="15" hidden="false" customHeight="false" outlineLevel="0" collapsed="false">
      <c r="A15" s="8" t="s">
        <v>475</v>
      </c>
      <c r="B15" s="8" t="s">
        <v>476</v>
      </c>
      <c r="C15" s="8" t="s">
        <v>477</v>
      </c>
      <c r="D15" s="8" t="s">
        <v>82</v>
      </c>
      <c r="E15" s="16" t="n">
        <f aca="false">Revenue!K23</f>
        <v>0.114335570469799</v>
      </c>
      <c r="F15" s="32" t="n">
        <v>0.114335570469799</v>
      </c>
      <c r="G15" s="34" t="n">
        <f aca="false">E15-F15</f>
        <v>0</v>
      </c>
      <c r="H15" s="8" t="str">
        <f aca="false">IF(ABS(G15)&lt;=0.000001,"PASS","FAIL")</f>
        <v>PASS</v>
      </c>
    </row>
    <row r="16" customFormat="false" ht="15" hidden="false" customHeight="false" outlineLevel="0" collapsed="false">
      <c r="A16" s="8" t="s">
        <v>478</v>
      </c>
      <c r="B16" s="8" t="s">
        <v>450</v>
      </c>
      <c r="C16" s="8" t="s">
        <v>479</v>
      </c>
      <c r="D16" s="8" t="s">
        <v>480</v>
      </c>
      <c r="E16" s="15" t="n">
        <f aca="false">Revenue!C24</f>
        <v>87</v>
      </c>
      <c r="F16" s="32" t="n">
        <v>87</v>
      </c>
      <c r="G16" s="8" t="n">
        <f aca="false">E16-F16</f>
        <v>0</v>
      </c>
      <c r="H16" s="8" t="str">
        <f aca="false">IF(ABS(G16)&lt;=0.000001,"PASS","FAIL")</f>
        <v>PASS</v>
      </c>
    </row>
    <row r="17" customFormat="false" ht="15" hidden="false" customHeight="false" outlineLevel="0" collapsed="false">
      <c r="A17" s="8" t="s">
        <v>481</v>
      </c>
      <c r="B17" s="8" t="s">
        <v>450</v>
      </c>
      <c r="C17" s="8" t="s">
        <v>482</v>
      </c>
      <c r="D17" s="8" t="s">
        <v>480</v>
      </c>
      <c r="E17" s="15" t="n">
        <f aca="false">Revenue!D24</f>
        <v>88</v>
      </c>
      <c r="F17" s="32" t="n">
        <v>88</v>
      </c>
      <c r="G17" s="8" t="n">
        <f aca="false">E17-F17</f>
        <v>0</v>
      </c>
      <c r="H17" s="8" t="str">
        <f aca="false">IF(ABS(G17)&lt;=0.000001,"PASS","FAIL")</f>
        <v>PASS</v>
      </c>
    </row>
    <row r="18" customFormat="false" ht="15" hidden="false" customHeight="false" outlineLevel="0" collapsed="false">
      <c r="A18" s="8" t="s">
        <v>483</v>
      </c>
      <c r="B18" s="8" t="s">
        <v>455</v>
      </c>
      <c r="C18" s="8" t="s">
        <v>484</v>
      </c>
      <c r="D18" s="8" t="s">
        <v>485</v>
      </c>
      <c r="E18" s="33" t="n">
        <f aca="false">Revenue!E24</f>
        <v>95545</v>
      </c>
      <c r="F18" s="32" t="n">
        <v>95545</v>
      </c>
      <c r="G18" s="8" t="n">
        <f aca="false">E18-F18</f>
        <v>0</v>
      </c>
      <c r="H18" s="8" t="str">
        <f aca="false">IF(ABS(G18)&lt;=0.000001,"PASS","FAIL")</f>
        <v>PASS</v>
      </c>
    </row>
    <row r="19" customFormat="false" ht="15" hidden="false" customHeight="false" outlineLevel="0" collapsed="false">
      <c r="A19" s="8" t="s">
        <v>486</v>
      </c>
      <c r="B19" s="8" t="s">
        <v>476</v>
      </c>
      <c r="C19" s="8" t="s">
        <v>487</v>
      </c>
      <c r="D19" s="8" t="s">
        <v>86</v>
      </c>
      <c r="E19" s="16" t="n">
        <f aca="false">Revenue!K24</f>
        <v>0.0919428571428572</v>
      </c>
      <c r="F19" s="32" t="n">
        <v>0.0919428571428572</v>
      </c>
      <c r="G19" s="34" t="n">
        <f aca="false">E19-F19</f>
        <v>0</v>
      </c>
      <c r="H19" s="8" t="str">
        <f aca="false">IF(ABS(G19)&lt;=0.000001,"PASS","FAIL")</f>
        <v>PASS</v>
      </c>
    </row>
    <row r="20" customFormat="false" ht="15" hidden="false" customHeight="false" outlineLevel="0" collapsed="false">
      <c r="A20" s="8" t="s">
        <v>488</v>
      </c>
      <c r="B20" s="8" t="s">
        <v>450</v>
      </c>
      <c r="C20" s="8" t="s">
        <v>489</v>
      </c>
      <c r="D20" s="8" t="s">
        <v>490</v>
      </c>
      <c r="E20" s="15" t="n">
        <f aca="false">Revenue!C25</f>
        <v>100</v>
      </c>
      <c r="F20" s="32" t="n">
        <v>100</v>
      </c>
      <c r="G20" s="8" t="n">
        <f aca="false">E20-F20</f>
        <v>0</v>
      </c>
      <c r="H20" s="8" t="str">
        <f aca="false">IF(ABS(G20)&lt;=0.000001,"PASS","FAIL")</f>
        <v>PASS</v>
      </c>
    </row>
    <row r="21" customFormat="false" ht="15" hidden="false" customHeight="false" outlineLevel="0" collapsed="false">
      <c r="A21" s="8" t="s">
        <v>491</v>
      </c>
      <c r="B21" s="8" t="s">
        <v>450</v>
      </c>
      <c r="C21" s="8" t="s">
        <v>492</v>
      </c>
      <c r="D21" s="8" t="s">
        <v>490</v>
      </c>
      <c r="E21" s="15" t="n">
        <f aca="false">Revenue!D25</f>
        <v>102</v>
      </c>
      <c r="F21" s="32" t="n">
        <v>102</v>
      </c>
      <c r="G21" s="8" t="n">
        <f aca="false">E21-F21</f>
        <v>0</v>
      </c>
      <c r="H21" s="8" t="str">
        <f aca="false">IF(ABS(G21)&lt;=0.000001,"PASS","FAIL")</f>
        <v>PASS</v>
      </c>
    </row>
    <row r="22" customFormat="false" ht="15" hidden="false" customHeight="false" outlineLevel="0" collapsed="false">
      <c r="A22" s="8" t="s">
        <v>493</v>
      </c>
      <c r="B22" s="8" t="s">
        <v>455</v>
      </c>
      <c r="C22" s="8" t="s">
        <v>494</v>
      </c>
      <c r="D22" s="8" t="s">
        <v>495</v>
      </c>
      <c r="E22" s="33" t="n">
        <f aca="false">Revenue!E25</f>
        <v>108497</v>
      </c>
      <c r="F22" s="32" t="n">
        <v>108497</v>
      </c>
      <c r="G22" s="8" t="n">
        <f aca="false">E22-F22</f>
        <v>0</v>
      </c>
      <c r="H22" s="8" t="str">
        <f aca="false">IF(ABS(G22)&lt;=0.000001,"PASS","FAIL")</f>
        <v>PASS</v>
      </c>
    </row>
    <row r="23" customFormat="false" ht="15" hidden="false" customHeight="false" outlineLevel="0" collapsed="false">
      <c r="A23" s="8" t="s">
        <v>496</v>
      </c>
      <c r="B23" s="8" t="s">
        <v>476</v>
      </c>
      <c r="C23" s="8" t="s">
        <v>497</v>
      </c>
      <c r="D23" s="8" t="s">
        <v>90</v>
      </c>
      <c r="E23" s="16" t="n">
        <f aca="false">Revenue!K25</f>
        <v>0.0742277227722772</v>
      </c>
      <c r="F23" s="32" t="n">
        <v>0.0742277227722772</v>
      </c>
      <c r="G23" s="34" t="n">
        <f aca="false">E23-F23</f>
        <v>0</v>
      </c>
      <c r="H23" s="8" t="str">
        <f aca="false">IF(ABS(G23)&lt;=0.000001,"PASS","FAIL")</f>
        <v>PASS</v>
      </c>
    </row>
    <row r="24" customFormat="false" ht="15" hidden="false" customHeight="false" outlineLevel="0" collapsed="false">
      <c r="A24" s="8" t="s">
        <v>498</v>
      </c>
      <c r="B24" s="8" t="s">
        <v>450</v>
      </c>
      <c r="C24" s="8" t="s">
        <v>499</v>
      </c>
      <c r="D24" s="8" t="s">
        <v>500</v>
      </c>
      <c r="E24" s="15" t="n">
        <f aca="false">Revenue!C26</f>
        <v>117</v>
      </c>
      <c r="F24" s="32" t="n">
        <v>117</v>
      </c>
      <c r="G24" s="8" t="n">
        <f aca="false">E24-F24</f>
        <v>0</v>
      </c>
      <c r="H24" s="8" t="str">
        <f aca="false">IF(ABS(G24)&lt;=0.000001,"PASS","FAIL")</f>
        <v>PASS</v>
      </c>
    </row>
    <row r="25" customFormat="false" ht="15" hidden="false" customHeight="false" outlineLevel="0" collapsed="false">
      <c r="A25" s="8" t="s">
        <v>501</v>
      </c>
      <c r="B25" s="8" t="s">
        <v>450</v>
      </c>
      <c r="C25" s="8" t="s">
        <v>502</v>
      </c>
      <c r="D25" s="8" t="s">
        <v>500</v>
      </c>
      <c r="E25" s="15" t="n">
        <f aca="false">Revenue!D26</f>
        <v>119</v>
      </c>
      <c r="F25" s="32" t="n">
        <v>119</v>
      </c>
      <c r="G25" s="8" t="n">
        <f aca="false">E25-F25</f>
        <v>0</v>
      </c>
      <c r="H25" s="8" t="str">
        <f aca="false">IF(ABS(G25)&lt;=0.000001,"PASS","FAIL")</f>
        <v>PASS</v>
      </c>
    </row>
    <row r="26" customFormat="false" ht="15" hidden="false" customHeight="false" outlineLevel="0" collapsed="false">
      <c r="A26" s="8" t="s">
        <v>503</v>
      </c>
      <c r="B26" s="8" t="s">
        <v>455</v>
      </c>
      <c r="C26" s="8" t="s">
        <v>504</v>
      </c>
      <c r="D26" s="8" t="s">
        <v>505</v>
      </c>
      <c r="E26" s="33" t="n">
        <f aca="false">Revenue!E26</f>
        <v>123718</v>
      </c>
      <c r="F26" s="32" t="n">
        <v>123718</v>
      </c>
      <c r="G26" s="8" t="n">
        <f aca="false">E26-F26</f>
        <v>0</v>
      </c>
      <c r="H26" s="8" t="str">
        <f aca="false">IF(ABS(G26)&lt;=0.000001,"PASS","FAIL")</f>
        <v>PASS</v>
      </c>
    </row>
    <row r="27" customFormat="false" ht="15" hidden="false" customHeight="false" outlineLevel="0" collapsed="false">
      <c r="A27" s="8" t="s">
        <v>506</v>
      </c>
      <c r="B27" s="8" t="s">
        <v>476</v>
      </c>
      <c r="C27" s="8" t="s">
        <v>507</v>
      </c>
      <c r="D27" s="8" t="s">
        <v>94</v>
      </c>
      <c r="E27" s="16" t="n">
        <f aca="false">Revenue!K26</f>
        <v>0.0484576271186441</v>
      </c>
      <c r="F27" s="32" t="n">
        <v>0.0484576271186441</v>
      </c>
      <c r="G27" s="34" t="n">
        <f aca="false">E27-F27</f>
        <v>0</v>
      </c>
      <c r="H27" s="8" t="str">
        <f aca="false">IF(ABS(G27)&lt;=0.000001,"PASS","FAIL")</f>
        <v>PASS</v>
      </c>
    </row>
    <row r="28" customFormat="false" ht="15" hidden="false" customHeight="false" outlineLevel="0" collapsed="false">
      <c r="A28" s="8" t="s">
        <v>508</v>
      </c>
      <c r="B28" s="8" t="s">
        <v>450</v>
      </c>
      <c r="C28" s="8" t="s">
        <v>509</v>
      </c>
      <c r="D28" s="8" t="s">
        <v>510</v>
      </c>
      <c r="E28" s="15" t="n">
        <f aca="false">Revenue!C27</f>
        <v>130</v>
      </c>
      <c r="F28" s="32" t="n">
        <v>130</v>
      </c>
      <c r="G28" s="8" t="n">
        <f aca="false">E28-F28</f>
        <v>0</v>
      </c>
      <c r="H28" s="8" t="str">
        <f aca="false">IF(ABS(G28)&lt;=0.000001,"PASS","FAIL")</f>
        <v>PASS</v>
      </c>
    </row>
    <row r="29" customFormat="false" ht="15" hidden="false" customHeight="false" outlineLevel="0" collapsed="false">
      <c r="A29" s="8" t="s">
        <v>511</v>
      </c>
      <c r="B29" s="8" t="s">
        <v>450</v>
      </c>
      <c r="C29" s="8" t="s">
        <v>512</v>
      </c>
      <c r="D29" s="8" t="s">
        <v>510</v>
      </c>
      <c r="E29" s="15" t="n">
        <f aca="false">Revenue!D27</f>
        <v>131</v>
      </c>
      <c r="F29" s="32" t="n">
        <v>131</v>
      </c>
      <c r="G29" s="8" t="n">
        <f aca="false">E29-F29</f>
        <v>0</v>
      </c>
      <c r="H29" s="8" t="str">
        <f aca="false">IF(ABS(G29)&lt;=0.000001,"PASS","FAIL")</f>
        <v>PASS</v>
      </c>
    </row>
    <row r="30" customFormat="false" ht="15" hidden="false" customHeight="false" outlineLevel="0" collapsed="false">
      <c r="A30" s="8" t="s">
        <v>513</v>
      </c>
      <c r="B30" s="8" t="s">
        <v>455</v>
      </c>
      <c r="C30" s="8" t="s">
        <v>514</v>
      </c>
      <c r="D30" s="8" t="s">
        <v>515</v>
      </c>
      <c r="E30" s="33" t="n">
        <f aca="false">Revenue!E27</f>
        <v>136893</v>
      </c>
      <c r="F30" s="32" t="n">
        <v>136893</v>
      </c>
      <c r="G30" s="8" t="n">
        <f aca="false">E30-F30</f>
        <v>0</v>
      </c>
      <c r="H30" s="8" t="str">
        <f aca="false">IF(ABS(G30)&lt;=0.000001,"PASS","FAIL")</f>
        <v>PASS</v>
      </c>
    </row>
    <row r="31" customFormat="false" ht="15" hidden="false" customHeight="false" outlineLevel="0" collapsed="false">
      <c r="A31" s="8" t="s">
        <v>516</v>
      </c>
      <c r="B31" s="8" t="s">
        <v>476</v>
      </c>
      <c r="C31" s="8" t="s">
        <v>517</v>
      </c>
      <c r="D31" s="8" t="s">
        <v>98</v>
      </c>
      <c r="E31" s="16" t="n">
        <f aca="false">Revenue!K27</f>
        <v>0.0489885057471264</v>
      </c>
      <c r="F31" s="32" t="n">
        <v>0.0489885057471264</v>
      </c>
      <c r="G31" s="34" t="n">
        <f aca="false">E31-F31</f>
        <v>0</v>
      </c>
      <c r="H31" s="8" t="str">
        <f aca="false">IF(ABS(G31)&lt;=0.000001,"PASS","FAIL")</f>
        <v>PASS</v>
      </c>
    </row>
    <row r="32" customFormat="false" ht="15" hidden="false" customHeight="false" outlineLevel="0" collapsed="false">
      <c r="A32" s="8" t="s">
        <v>518</v>
      </c>
      <c r="B32" s="8" t="s">
        <v>450</v>
      </c>
      <c r="C32" s="8" t="s">
        <v>519</v>
      </c>
      <c r="D32" s="8" t="s">
        <v>520</v>
      </c>
      <c r="E32" s="15" t="n">
        <f aca="false">Revenue!C28</f>
        <v>140</v>
      </c>
      <c r="F32" s="32" t="n">
        <v>140</v>
      </c>
      <c r="G32" s="8" t="n">
        <f aca="false">E32-F32</f>
        <v>0</v>
      </c>
      <c r="H32" s="8" t="str">
        <f aca="false">IF(ABS(G32)&lt;=0.000001,"PASS","FAIL")</f>
        <v>PASS</v>
      </c>
    </row>
    <row r="33" customFormat="false" ht="15" hidden="false" customHeight="false" outlineLevel="0" collapsed="false">
      <c r="A33" s="8" t="s">
        <v>521</v>
      </c>
      <c r="B33" s="8" t="s">
        <v>450</v>
      </c>
      <c r="C33" s="8" t="s">
        <v>522</v>
      </c>
      <c r="D33" s="8" t="s">
        <v>520</v>
      </c>
      <c r="E33" s="15" t="n">
        <f aca="false">Revenue!D28</f>
        <v>142</v>
      </c>
      <c r="F33" s="32" t="n">
        <v>142</v>
      </c>
      <c r="G33" s="8" t="n">
        <f aca="false">E33-F33</f>
        <v>0</v>
      </c>
      <c r="H33" s="8" t="str">
        <f aca="false">IF(ABS(G33)&lt;=0.000001,"PASS","FAIL")</f>
        <v>PASS</v>
      </c>
    </row>
    <row r="34" customFormat="false" ht="15" hidden="false" customHeight="false" outlineLevel="0" collapsed="false">
      <c r="A34" s="8" t="s">
        <v>523</v>
      </c>
      <c r="B34" s="8" t="s">
        <v>455</v>
      </c>
      <c r="C34" s="8" t="s">
        <v>524</v>
      </c>
      <c r="D34" s="8" t="s">
        <v>525</v>
      </c>
      <c r="E34" s="33" t="n">
        <f aca="false">Revenue!E28</f>
        <v>149921</v>
      </c>
      <c r="F34" s="32" t="n">
        <v>149921</v>
      </c>
      <c r="G34" s="8" t="n">
        <f aca="false">E34-F34</f>
        <v>0</v>
      </c>
      <c r="H34" s="8" t="str">
        <f aca="false">IF(ABS(G34)&lt;=0.000001,"PASS","FAIL")</f>
        <v>PASS</v>
      </c>
    </row>
    <row r="35" customFormat="false" ht="15" hidden="false" customHeight="false" outlineLevel="0" collapsed="false">
      <c r="A35" s="8" t="s">
        <v>526</v>
      </c>
      <c r="B35" s="8" t="s">
        <v>476</v>
      </c>
      <c r="C35" s="8" t="s">
        <v>527</v>
      </c>
      <c r="D35" s="8" t="s">
        <v>102</v>
      </c>
      <c r="E35" s="16" t="n">
        <f aca="false">Revenue!K28</f>
        <v>0.0632695035460992</v>
      </c>
      <c r="F35" s="32" t="n">
        <v>0.0632695035460992</v>
      </c>
      <c r="G35" s="34" t="n">
        <f aca="false">E35-F35</f>
        <v>0</v>
      </c>
      <c r="H35" s="8" t="str">
        <f aca="false">IF(ABS(G35)&lt;=0.000001,"PASS","FAIL")</f>
        <v>PASS</v>
      </c>
    </row>
    <row r="36" customFormat="false" ht="15" hidden="false" customHeight="false" outlineLevel="0" collapsed="false">
      <c r="A36" s="8" t="s">
        <v>528</v>
      </c>
      <c r="B36" s="8" t="s">
        <v>450</v>
      </c>
      <c r="C36" s="8" t="s">
        <v>529</v>
      </c>
      <c r="D36" s="8" t="s">
        <v>530</v>
      </c>
      <c r="E36" s="15" t="n">
        <f aca="false">Revenue!C29</f>
        <v>154</v>
      </c>
      <c r="F36" s="32" t="n">
        <v>154</v>
      </c>
      <c r="G36" s="8" t="n">
        <f aca="false">E36-F36</f>
        <v>0</v>
      </c>
      <c r="H36" s="8" t="str">
        <f aca="false">IF(ABS(G36)&lt;=0.000001,"PASS","FAIL")</f>
        <v>PASS</v>
      </c>
    </row>
    <row r="37" customFormat="false" ht="15" hidden="false" customHeight="false" outlineLevel="0" collapsed="false">
      <c r="A37" s="8" t="s">
        <v>531</v>
      </c>
      <c r="B37" s="8" t="s">
        <v>450</v>
      </c>
      <c r="C37" s="8" t="s">
        <v>532</v>
      </c>
      <c r="D37" s="8" t="s">
        <v>530</v>
      </c>
      <c r="E37" s="15" t="n">
        <f aca="false">Revenue!D29</f>
        <v>156</v>
      </c>
      <c r="F37" s="32" t="n">
        <v>156</v>
      </c>
      <c r="G37" s="8" t="n">
        <f aca="false">E37-F37</f>
        <v>0</v>
      </c>
      <c r="H37" s="8" t="str">
        <f aca="false">IF(ABS(G37)&lt;=0.000001,"PASS","FAIL")</f>
        <v>PASS</v>
      </c>
    </row>
    <row r="38" customFormat="false" ht="15" hidden="false" customHeight="false" outlineLevel="0" collapsed="false">
      <c r="A38" s="8" t="s">
        <v>533</v>
      </c>
      <c r="B38" s="8" t="s">
        <v>455</v>
      </c>
      <c r="C38" s="8" t="s">
        <v>534</v>
      </c>
      <c r="D38" s="8" t="s">
        <v>535</v>
      </c>
      <c r="E38" s="33" t="n">
        <f aca="false">Revenue!E29</f>
        <v>162256</v>
      </c>
      <c r="F38" s="32" t="n">
        <v>162256</v>
      </c>
      <c r="G38" s="8" t="n">
        <f aca="false">E38-F38</f>
        <v>0</v>
      </c>
      <c r="H38" s="8" t="str">
        <f aca="false">IF(ABS(G38)&lt;=0.000001,"PASS","FAIL")</f>
        <v>PASS</v>
      </c>
    </row>
    <row r="39" customFormat="false" ht="15" hidden="false" customHeight="false" outlineLevel="0" collapsed="false">
      <c r="A39" s="8" t="s">
        <v>536</v>
      </c>
      <c r="B39" s="8" t="s">
        <v>476</v>
      </c>
      <c r="C39" s="8" t="s">
        <v>537</v>
      </c>
      <c r="D39" s="8" t="s">
        <v>106</v>
      </c>
      <c r="E39" s="16" t="n">
        <f aca="false">Revenue!K29</f>
        <v>0.0468129032258065</v>
      </c>
      <c r="F39" s="32" t="n">
        <v>0.0468129032258065</v>
      </c>
      <c r="G39" s="34" t="n">
        <f aca="false">E39-F39</f>
        <v>0</v>
      </c>
      <c r="H39" s="8" t="str">
        <f aca="false">IF(ABS(G39)&lt;=0.000001,"PASS","FAIL")</f>
        <v>PASS</v>
      </c>
    </row>
    <row r="40" customFormat="false" ht="15" hidden="false" customHeight="false" outlineLevel="0" collapsed="false">
      <c r="A40" s="8" t="s">
        <v>538</v>
      </c>
      <c r="B40" s="8" t="s">
        <v>450</v>
      </c>
      <c r="C40" s="8" t="s">
        <v>539</v>
      </c>
      <c r="D40" s="8" t="s">
        <v>540</v>
      </c>
      <c r="E40" s="15" t="n">
        <f aca="false">Revenue!C30</f>
        <v>168</v>
      </c>
      <c r="F40" s="32" t="n">
        <v>168</v>
      </c>
      <c r="G40" s="8" t="n">
        <f aca="false">E40-F40</f>
        <v>0</v>
      </c>
      <c r="H40" s="8" t="str">
        <f aca="false">IF(ABS(G40)&lt;=0.000001,"PASS","FAIL")</f>
        <v>PASS</v>
      </c>
    </row>
    <row r="41" customFormat="false" ht="15" hidden="false" customHeight="false" outlineLevel="0" collapsed="false">
      <c r="A41" s="8" t="s">
        <v>541</v>
      </c>
      <c r="B41" s="8" t="s">
        <v>450</v>
      </c>
      <c r="C41" s="8" t="s">
        <v>542</v>
      </c>
      <c r="D41" s="8" t="s">
        <v>540</v>
      </c>
      <c r="E41" s="15" t="n">
        <f aca="false">Revenue!D30</f>
        <v>170</v>
      </c>
      <c r="F41" s="32" t="n">
        <v>170</v>
      </c>
      <c r="G41" s="8" t="n">
        <f aca="false">E41-F41</f>
        <v>0</v>
      </c>
      <c r="H41" s="8" t="str">
        <f aca="false">IF(ABS(G41)&lt;=0.000001,"PASS","FAIL")</f>
        <v>PASS</v>
      </c>
    </row>
    <row r="42" customFormat="false" ht="15" hidden="false" customHeight="false" outlineLevel="0" collapsed="false">
      <c r="A42" s="8" t="s">
        <v>543</v>
      </c>
      <c r="B42" s="8" t="s">
        <v>455</v>
      </c>
      <c r="C42" s="8" t="s">
        <v>544</v>
      </c>
      <c r="D42" s="8" t="s">
        <v>545</v>
      </c>
      <c r="E42" s="33" t="n">
        <f aca="false">Revenue!E30</f>
        <v>175679</v>
      </c>
      <c r="F42" s="32" t="n">
        <v>175679</v>
      </c>
      <c r="G42" s="8" t="n">
        <f aca="false">E42-F42</f>
        <v>0</v>
      </c>
      <c r="H42" s="8" t="str">
        <f aca="false">IF(ABS(G42)&lt;=0.000001,"PASS","FAIL")</f>
        <v>PASS</v>
      </c>
    </row>
    <row r="43" customFormat="false" ht="15" hidden="false" customHeight="false" outlineLevel="0" collapsed="false">
      <c r="A43" s="8" t="s">
        <v>546</v>
      </c>
      <c r="B43" s="8" t="s">
        <v>476</v>
      </c>
      <c r="C43" s="8" t="s">
        <v>547</v>
      </c>
      <c r="D43" s="8" t="s">
        <v>110</v>
      </c>
      <c r="E43" s="16" t="n">
        <f aca="false">Revenue!K30</f>
        <v>0.0395207100591716</v>
      </c>
      <c r="F43" s="32" t="n">
        <v>0.0395207100591716</v>
      </c>
      <c r="G43" s="34" t="n">
        <f aca="false">E43-F43</f>
        <v>0</v>
      </c>
      <c r="H43" s="8" t="str">
        <f aca="false">IF(ABS(G43)&lt;=0.000001,"PASS","FAIL")</f>
        <v>PASS</v>
      </c>
    </row>
    <row r="44" customFormat="false" ht="15" hidden="false" customHeight="false" outlineLevel="0" collapsed="false">
      <c r="A44" s="8" t="s">
        <v>548</v>
      </c>
      <c r="B44" s="8" t="s">
        <v>450</v>
      </c>
      <c r="C44" s="8" t="s">
        <v>549</v>
      </c>
      <c r="D44" s="8" t="s">
        <v>550</v>
      </c>
      <c r="E44" s="15" t="n">
        <f aca="false">Revenue!C31</f>
        <v>181</v>
      </c>
      <c r="F44" s="32" t="n">
        <v>181</v>
      </c>
      <c r="G44" s="8" t="n">
        <f aca="false">E44-F44</f>
        <v>0</v>
      </c>
      <c r="H44" s="8" t="str">
        <f aca="false">IF(ABS(G44)&lt;=0.000001,"PASS","FAIL")</f>
        <v>PASS</v>
      </c>
    </row>
    <row r="45" customFormat="false" ht="15" hidden="false" customHeight="false" outlineLevel="0" collapsed="false">
      <c r="A45" s="8" t="s">
        <v>551</v>
      </c>
      <c r="B45" s="8" t="s">
        <v>450</v>
      </c>
      <c r="C45" s="8" t="s">
        <v>552</v>
      </c>
      <c r="D45" s="8" t="s">
        <v>550</v>
      </c>
      <c r="E45" s="15" t="n">
        <f aca="false">Revenue!D31</f>
        <v>183</v>
      </c>
      <c r="F45" s="32" t="n">
        <v>183</v>
      </c>
      <c r="G45" s="8" t="n">
        <f aca="false">E45-F45</f>
        <v>0</v>
      </c>
      <c r="H45" s="8" t="str">
        <f aca="false">IF(ABS(G45)&lt;=0.000001,"PASS","FAIL")</f>
        <v>PASS</v>
      </c>
    </row>
    <row r="46" customFormat="false" ht="15" hidden="false" customHeight="false" outlineLevel="0" collapsed="false">
      <c r="A46" s="8" t="s">
        <v>553</v>
      </c>
      <c r="B46" s="8" t="s">
        <v>455</v>
      </c>
      <c r="C46" s="8" t="s">
        <v>554</v>
      </c>
      <c r="D46" s="8" t="s">
        <v>277</v>
      </c>
      <c r="E46" s="33" t="n">
        <f aca="false">Revenue!E31</f>
        <v>189190</v>
      </c>
      <c r="F46" s="32" t="n">
        <v>189190</v>
      </c>
      <c r="G46" s="8" t="n">
        <f aca="false">E46-F46</f>
        <v>0</v>
      </c>
      <c r="H46" s="8" t="str">
        <f aca="false">IF(ABS(G46)&lt;=0.000001,"PASS","FAIL")</f>
        <v>PASS</v>
      </c>
    </row>
    <row r="47" customFormat="false" ht="15" hidden="false" customHeight="false" outlineLevel="0" collapsed="false">
      <c r="A47" s="8" t="s">
        <v>555</v>
      </c>
      <c r="B47" s="8" t="s">
        <v>476</v>
      </c>
      <c r="C47" s="8" t="s">
        <v>556</v>
      </c>
      <c r="D47" s="8" t="s">
        <v>114</v>
      </c>
      <c r="E47" s="16" t="n">
        <f aca="false">Revenue!K31</f>
        <v>0.0395054945054945</v>
      </c>
      <c r="F47" s="32" t="n">
        <v>0.0395054945054945</v>
      </c>
      <c r="G47" s="34" t="n">
        <f aca="false">E47-F47</f>
        <v>0</v>
      </c>
      <c r="H47" s="8" t="str">
        <f aca="false">IF(ABS(G47)&lt;=0.000001,"PASS","FAIL")</f>
        <v>PASS</v>
      </c>
    </row>
    <row r="48" customFormat="false" ht="15" hidden="false" customHeight="false" outlineLevel="0" collapsed="false">
      <c r="A48" s="8" t="s">
        <v>557</v>
      </c>
      <c r="B48" s="8" t="s">
        <v>450</v>
      </c>
      <c r="C48" s="8" t="s">
        <v>558</v>
      </c>
      <c r="D48" s="8" t="s">
        <v>559</v>
      </c>
      <c r="E48" s="15" t="n">
        <f aca="false">Revenue!C32</f>
        <v>196</v>
      </c>
      <c r="F48" s="32" t="n">
        <v>196</v>
      </c>
      <c r="G48" s="8" t="n">
        <f aca="false">E48-F48</f>
        <v>0</v>
      </c>
      <c r="H48" s="8" t="str">
        <f aca="false">IF(ABS(G48)&lt;=0.000001,"PASS","FAIL")</f>
        <v>PASS</v>
      </c>
    </row>
    <row r="49" customFormat="false" ht="15" hidden="false" customHeight="false" outlineLevel="0" collapsed="false">
      <c r="A49" s="8" t="s">
        <v>560</v>
      </c>
      <c r="B49" s="8" t="s">
        <v>450</v>
      </c>
      <c r="C49" s="8" t="s">
        <v>561</v>
      </c>
      <c r="D49" s="8" t="s">
        <v>559</v>
      </c>
      <c r="E49" s="15" t="n">
        <f aca="false">Revenue!D32</f>
        <v>198</v>
      </c>
      <c r="F49" s="32" t="n">
        <v>198</v>
      </c>
      <c r="G49" s="8" t="n">
        <f aca="false">E49-F49</f>
        <v>0</v>
      </c>
      <c r="H49" s="8" t="str">
        <f aca="false">IF(ABS(G49)&lt;=0.000001,"PASS","FAIL")</f>
        <v>PASS</v>
      </c>
    </row>
    <row r="50" customFormat="false" ht="15" hidden="false" customHeight="false" outlineLevel="0" collapsed="false">
      <c r="A50" s="8" t="s">
        <v>562</v>
      </c>
      <c r="B50" s="8" t="s">
        <v>455</v>
      </c>
      <c r="C50" s="8" t="s">
        <v>563</v>
      </c>
      <c r="D50" s="8" t="s">
        <v>564</v>
      </c>
      <c r="E50" s="33" t="n">
        <f aca="false">Revenue!E32</f>
        <v>202570</v>
      </c>
      <c r="F50" s="32" t="n">
        <v>202570</v>
      </c>
      <c r="G50" s="8" t="n">
        <f aca="false">E50-F50</f>
        <v>0</v>
      </c>
      <c r="H50" s="8" t="str">
        <f aca="false">IF(ABS(G50)&lt;=0.000001,"PASS","FAIL")</f>
        <v>PASS</v>
      </c>
    </row>
    <row r="51" customFormat="false" ht="15" hidden="false" customHeight="false" outlineLevel="0" collapsed="false">
      <c r="A51" s="8" t="s">
        <v>565</v>
      </c>
      <c r="B51" s="8" t="s">
        <v>476</v>
      </c>
      <c r="C51" s="8" t="s">
        <v>566</v>
      </c>
      <c r="D51" s="8" t="s">
        <v>118</v>
      </c>
      <c r="E51" s="16" t="n">
        <f aca="false">Revenue!K32</f>
        <v>0.0282741116751269</v>
      </c>
      <c r="F51" s="32" t="n">
        <v>0.0282741116751269</v>
      </c>
      <c r="G51" s="34" t="n">
        <f aca="false">E51-F51</f>
        <v>0</v>
      </c>
      <c r="H51" s="8" t="str">
        <f aca="false">IF(ABS(G51)&lt;=0.000001,"PASS","FAIL")</f>
        <v>PASS</v>
      </c>
    </row>
    <row r="52" customFormat="false" ht="15" hidden="false" customHeight="false" outlineLevel="0" collapsed="false">
      <c r="A52" s="8" t="s">
        <v>567</v>
      </c>
      <c r="B52" s="8" t="s">
        <v>450</v>
      </c>
      <c r="C52" s="8" t="s">
        <v>568</v>
      </c>
      <c r="D52" s="8" t="s">
        <v>569</v>
      </c>
      <c r="E52" s="15" t="n">
        <f aca="false">Revenue!C33</f>
        <v>207</v>
      </c>
      <c r="F52" s="32" t="n">
        <v>207</v>
      </c>
      <c r="G52" s="8" t="n">
        <f aca="false">E52-F52</f>
        <v>0</v>
      </c>
      <c r="H52" s="8" t="str">
        <f aca="false">IF(ABS(G52)&lt;=0.000001,"PASS","FAIL")</f>
        <v>PASS</v>
      </c>
    </row>
    <row r="53" customFormat="false" ht="15" hidden="false" customHeight="false" outlineLevel="0" collapsed="false">
      <c r="A53" s="8" t="s">
        <v>570</v>
      </c>
      <c r="B53" s="8" t="s">
        <v>450</v>
      </c>
      <c r="C53" s="8" t="s">
        <v>571</v>
      </c>
      <c r="D53" s="8" t="s">
        <v>569</v>
      </c>
      <c r="E53" s="15" t="n">
        <f aca="false">Revenue!D33</f>
        <v>211</v>
      </c>
      <c r="F53" s="32" t="n">
        <v>211</v>
      </c>
      <c r="G53" s="8" t="n">
        <f aca="false">E53-F53</f>
        <v>0</v>
      </c>
      <c r="H53" s="8" t="str">
        <f aca="false">IF(ABS(G53)&lt;=0.000001,"PASS","FAIL")</f>
        <v>PASS</v>
      </c>
    </row>
    <row r="54" customFormat="false" ht="15" hidden="false" customHeight="false" outlineLevel="0" collapsed="false">
      <c r="A54" s="8" t="s">
        <v>572</v>
      </c>
      <c r="B54" s="8" t="s">
        <v>455</v>
      </c>
      <c r="C54" s="8" t="s">
        <v>573</v>
      </c>
      <c r="D54" s="8" t="s">
        <v>574</v>
      </c>
      <c r="E54" s="33" t="n">
        <f aca="false">Revenue!E33</f>
        <v>216913</v>
      </c>
      <c r="F54" s="32" t="n">
        <v>216913</v>
      </c>
      <c r="G54" s="8" t="n">
        <f aca="false">E54-F54</f>
        <v>0</v>
      </c>
      <c r="H54" s="8" t="str">
        <f aca="false">IF(ABS(G54)&lt;=0.000001,"PASS","FAIL")</f>
        <v>PASS</v>
      </c>
    </row>
    <row r="55" customFormat="false" ht="15" hidden="false" customHeight="false" outlineLevel="0" collapsed="false">
      <c r="A55" s="8" t="s">
        <v>575</v>
      </c>
      <c r="B55" s="8" t="s">
        <v>476</v>
      </c>
      <c r="C55" s="8" t="s">
        <v>576</v>
      </c>
      <c r="D55" s="8" t="s">
        <v>122</v>
      </c>
      <c r="E55" s="16" t="n">
        <f aca="false">Revenue!K33</f>
        <v>0.0378612440191388</v>
      </c>
      <c r="F55" s="32" t="n">
        <v>0.0378612440191388</v>
      </c>
      <c r="G55" s="34" t="n">
        <f aca="false">E55-F55</f>
        <v>0</v>
      </c>
      <c r="H55" s="8" t="str">
        <f aca="false">IF(ABS(G55)&lt;=0.000001,"PASS","FAIL")</f>
        <v>PASS</v>
      </c>
    </row>
    <row r="56" customFormat="false" ht="15" hidden="false" customHeight="false" outlineLevel="0" collapsed="false">
      <c r="A56" s="8" t="s">
        <v>577</v>
      </c>
      <c r="B56" s="8" t="s">
        <v>450</v>
      </c>
      <c r="C56" s="8" t="s">
        <v>578</v>
      </c>
      <c r="D56" s="8" t="s">
        <v>579</v>
      </c>
      <c r="E56" s="15" t="n">
        <f aca="false">Revenue!C34</f>
        <v>226</v>
      </c>
      <c r="F56" s="32" t="n">
        <v>226</v>
      </c>
      <c r="G56" s="8" t="n">
        <f aca="false">E56-F56</f>
        <v>0</v>
      </c>
      <c r="H56" s="8" t="str">
        <f aca="false">IF(ABS(G56)&lt;=0.000001,"PASS","FAIL")</f>
        <v>PASS</v>
      </c>
    </row>
    <row r="57" customFormat="false" ht="15" hidden="false" customHeight="false" outlineLevel="0" collapsed="false">
      <c r="A57" s="8" t="s">
        <v>580</v>
      </c>
      <c r="B57" s="8" t="s">
        <v>450</v>
      </c>
      <c r="C57" s="8" t="s">
        <v>581</v>
      </c>
      <c r="D57" s="8" t="s">
        <v>579</v>
      </c>
      <c r="E57" s="15" t="n">
        <f aca="false">Revenue!D34</f>
        <v>230</v>
      </c>
      <c r="F57" s="32" t="n">
        <v>230</v>
      </c>
      <c r="G57" s="8" t="n">
        <f aca="false">E57-F57</f>
        <v>0</v>
      </c>
      <c r="H57" s="8" t="str">
        <f aca="false">IF(ABS(G57)&lt;=0.000001,"PASS","FAIL")</f>
        <v>PASS</v>
      </c>
    </row>
    <row r="58" customFormat="false" ht="15" hidden="false" customHeight="false" outlineLevel="0" collapsed="false">
      <c r="A58" s="8" t="s">
        <v>582</v>
      </c>
      <c r="B58" s="8" t="s">
        <v>455</v>
      </c>
      <c r="C58" s="8" t="s">
        <v>583</v>
      </c>
      <c r="D58" s="8" t="s">
        <v>584</v>
      </c>
      <c r="E58" s="33" t="n">
        <f aca="false">Revenue!E34</f>
        <v>236106</v>
      </c>
      <c r="F58" s="32" t="n">
        <v>236106</v>
      </c>
      <c r="G58" s="8" t="n">
        <f aca="false">E58-F58</f>
        <v>0</v>
      </c>
      <c r="H58" s="8" t="str">
        <f aca="false">IF(ABS(G58)&lt;=0.000001,"PASS","FAIL")</f>
        <v>PASS</v>
      </c>
    </row>
    <row r="59" customFormat="false" ht="15" hidden="false" customHeight="false" outlineLevel="0" collapsed="false">
      <c r="A59" s="8" t="s">
        <v>585</v>
      </c>
      <c r="B59" s="8" t="s">
        <v>476</v>
      </c>
      <c r="C59" s="8" t="s">
        <v>586</v>
      </c>
      <c r="D59" s="8" t="s">
        <v>126</v>
      </c>
      <c r="E59" s="16" t="n">
        <f aca="false">Revenue!K34</f>
        <v>0.0355526315789473</v>
      </c>
      <c r="F59" s="32" t="n">
        <v>0.0355526315789473</v>
      </c>
      <c r="G59" s="34" t="n">
        <f aca="false">E59-F59</f>
        <v>0</v>
      </c>
      <c r="H59" s="8" t="str">
        <f aca="false">IF(ABS(G59)&lt;=0.000001,"PASS","FAIL")</f>
        <v>PASS</v>
      </c>
    </row>
    <row r="60" customFormat="false" ht="15" hidden="false" customHeight="false" outlineLevel="0" collapsed="false">
      <c r="A60" s="8" t="s">
        <v>587</v>
      </c>
      <c r="B60" s="8" t="s">
        <v>450</v>
      </c>
      <c r="C60" s="8" t="s">
        <v>588</v>
      </c>
      <c r="D60" s="8" t="s">
        <v>589</v>
      </c>
      <c r="E60" s="15" t="n">
        <f aca="false">Revenue!C35</f>
        <v>243</v>
      </c>
      <c r="F60" s="32" t="n">
        <v>243</v>
      </c>
      <c r="G60" s="8" t="n">
        <f aca="false">E60-F60</f>
        <v>0</v>
      </c>
      <c r="H60" s="8" t="str">
        <f aca="false">IF(ABS(G60)&lt;=0.000001,"PASS","FAIL")</f>
        <v>PASS</v>
      </c>
    </row>
    <row r="61" customFormat="false" ht="15" hidden="false" customHeight="false" outlineLevel="0" collapsed="false">
      <c r="A61" s="8" t="s">
        <v>590</v>
      </c>
      <c r="B61" s="8" t="s">
        <v>450</v>
      </c>
      <c r="C61" s="8" t="s">
        <v>591</v>
      </c>
      <c r="D61" s="8" t="s">
        <v>589</v>
      </c>
      <c r="E61" s="15" t="n">
        <f aca="false">Revenue!D35</f>
        <v>247</v>
      </c>
      <c r="F61" s="32" t="n">
        <v>247</v>
      </c>
      <c r="G61" s="8" t="n">
        <f aca="false">E61-F61</f>
        <v>0</v>
      </c>
      <c r="H61" s="8" t="str">
        <f aca="false">IF(ABS(G61)&lt;=0.000001,"PASS","FAIL")</f>
        <v>PASS</v>
      </c>
    </row>
    <row r="62" customFormat="false" ht="15" hidden="false" customHeight="false" outlineLevel="0" collapsed="false">
      <c r="A62" s="8" t="s">
        <v>592</v>
      </c>
      <c r="B62" s="8" t="s">
        <v>455</v>
      </c>
      <c r="C62" s="8" t="s">
        <v>593</v>
      </c>
      <c r="D62" s="8" t="s">
        <v>279</v>
      </c>
      <c r="E62" s="33" t="n">
        <f aca="false">Revenue!E35</f>
        <v>251000</v>
      </c>
      <c r="F62" s="32" t="n">
        <v>251000</v>
      </c>
      <c r="G62" s="8" t="n">
        <f aca="false">E62-F62</f>
        <v>0</v>
      </c>
      <c r="H62" s="8" t="str">
        <f aca="false">IF(ABS(G62)&lt;=0.000001,"PASS","FAIL")</f>
        <v>PASS</v>
      </c>
    </row>
    <row r="63" customFormat="false" ht="15" hidden="false" customHeight="false" outlineLevel="0" collapsed="false">
      <c r="A63" s="8" t="s">
        <v>594</v>
      </c>
      <c r="B63" s="8" t="s">
        <v>476</v>
      </c>
      <c r="C63" s="8" t="s">
        <v>595</v>
      </c>
      <c r="D63" s="8" t="s">
        <v>130</v>
      </c>
      <c r="E63" s="16" t="n">
        <f aca="false">Revenue!K35</f>
        <v>0.0244897959183673</v>
      </c>
      <c r="F63" s="32" t="n">
        <v>0.0244897959183673</v>
      </c>
      <c r="G63" s="34" t="n">
        <f aca="false">E63-F63</f>
        <v>0</v>
      </c>
      <c r="H63" s="8" t="str">
        <f aca="false">IF(ABS(G63)&lt;=0.000001,"PASS","FAIL")</f>
        <v>PASS</v>
      </c>
    </row>
    <row r="64" customFormat="false" ht="15" hidden="false" customHeight="false" outlineLevel="0" collapsed="false">
      <c r="A64" s="8" t="s">
        <v>596</v>
      </c>
      <c r="B64" s="8" t="s">
        <v>450</v>
      </c>
      <c r="C64" s="8" t="s">
        <v>597</v>
      </c>
      <c r="D64" s="8" t="s">
        <v>598</v>
      </c>
      <c r="E64" s="15" t="n">
        <f aca="false">Revenue!C36</f>
        <v>260</v>
      </c>
      <c r="F64" s="32" t="n">
        <v>260</v>
      </c>
      <c r="G64" s="8" t="n">
        <f aca="false">E64-F64</f>
        <v>0</v>
      </c>
      <c r="H64" s="8" t="str">
        <f aca="false">IF(ABS(G64)&lt;=0.000001,"PASS","FAIL")</f>
        <v>PASS</v>
      </c>
    </row>
    <row r="65" customFormat="false" ht="15" hidden="false" customHeight="false" outlineLevel="0" collapsed="false">
      <c r="A65" s="8" t="s">
        <v>599</v>
      </c>
      <c r="B65" s="8" t="s">
        <v>450</v>
      </c>
      <c r="C65" s="8" t="s">
        <v>600</v>
      </c>
      <c r="D65" s="8" t="s">
        <v>598</v>
      </c>
      <c r="E65" s="15" t="n">
        <f aca="false">Revenue!D36</f>
        <v>262</v>
      </c>
      <c r="F65" s="32" t="n">
        <v>262</v>
      </c>
      <c r="G65" s="8" t="n">
        <f aca="false">E65-F65</f>
        <v>0</v>
      </c>
      <c r="H65" s="8" t="str">
        <f aca="false">IF(ABS(G65)&lt;=0.000001,"PASS","FAIL")</f>
        <v>PASS</v>
      </c>
    </row>
    <row r="66" customFormat="false" ht="15" hidden="false" customHeight="false" outlineLevel="0" collapsed="false">
      <c r="A66" s="8" t="s">
        <v>601</v>
      </c>
      <c r="B66" s="8" t="s">
        <v>455</v>
      </c>
      <c r="C66" s="8" t="s">
        <v>602</v>
      </c>
      <c r="D66" s="8" t="s">
        <v>603</v>
      </c>
      <c r="E66" s="33" t="n">
        <f aca="false">Revenue!E36</f>
        <v>267976</v>
      </c>
      <c r="F66" s="32" t="n">
        <v>267976</v>
      </c>
      <c r="G66" s="8" t="n">
        <f aca="false">E66-F66</f>
        <v>0</v>
      </c>
      <c r="H66" s="8" t="str">
        <f aca="false">IF(ABS(G66)&lt;=0.000001,"PASS","FAIL")</f>
        <v>PASS</v>
      </c>
    </row>
    <row r="67" customFormat="false" ht="15" hidden="false" customHeight="false" outlineLevel="0" collapsed="false">
      <c r="A67" s="8" t="s">
        <v>604</v>
      </c>
      <c r="B67" s="8" t="s">
        <v>476</v>
      </c>
      <c r="C67" s="8" t="s">
        <v>605</v>
      </c>
      <c r="D67" s="8" t="s">
        <v>134</v>
      </c>
      <c r="E67" s="16" t="n">
        <f aca="false">Revenue!K36</f>
        <v>0.026727969348659</v>
      </c>
      <c r="F67" s="32" t="n">
        <v>0.026727969348659</v>
      </c>
      <c r="G67" s="34" t="n">
        <f aca="false">E67-F67</f>
        <v>0</v>
      </c>
      <c r="H67" s="8" t="str">
        <f aca="false">IF(ABS(G67)&lt;=0.000001,"PASS","FAIL")</f>
        <v>PASS</v>
      </c>
    </row>
    <row r="68" customFormat="false" ht="15" hidden="false" customHeight="false" outlineLevel="0" collapsed="false">
      <c r="A68" s="8" t="s">
        <v>606</v>
      </c>
      <c r="B68" s="8" t="s">
        <v>450</v>
      </c>
      <c r="C68" s="8" t="s">
        <v>607</v>
      </c>
      <c r="D68" s="8" t="s">
        <v>608</v>
      </c>
      <c r="E68" s="15" t="n">
        <f aca="false">Revenue!C37</f>
        <v>274</v>
      </c>
      <c r="F68" s="32" t="n">
        <v>274</v>
      </c>
      <c r="G68" s="8" t="n">
        <f aca="false">E68-F68</f>
        <v>0</v>
      </c>
      <c r="H68" s="8" t="str">
        <f aca="false">IF(ABS(G68)&lt;=0.000001,"PASS","FAIL")</f>
        <v>PASS</v>
      </c>
    </row>
    <row r="69" customFormat="false" ht="15" hidden="false" customHeight="false" outlineLevel="0" collapsed="false">
      <c r="A69" s="8" t="s">
        <v>609</v>
      </c>
      <c r="B69" s="8" t="s">
        <v>450</v>
      </c>
      <c r="C69" s="8" t="s">
        <v>610</v>
      </c>
      <c r="D69" s="8" t="s">
        <v>608</v>
      </c>
      <c r="E69" s="15" t="n">
        <f aca="false">Revenue!D37</f>
        <v>276</v>
      </c>
      <c r="F69" s="32" t="n">
        <v>276</v>
      </c>
      <c r="G69" s="8" t="n">
        <f aca="false">E69-F69</f>
        <v>0</v>
      </c>
      <c r="H69" s="8" t="str">
        <f aca="false">IF(ABS(G69)&lt;=0.000001,"PASS","FAIL")</f>
        <v>PASS</v>
      </c>
    </row>
    <row r="70" customFormat="false" ht="15" hidden="false" customHeight="false" outlineLevel="0" collapsed="false">
      <c r="A70" s="8" t="s">
        <v>611</v>
      </c>
      <c r="B70" s="8" t="s">
        <v>455</v>
      </c>
      <c r="C70" s="8" t="s">
        <v>612</v>
      </c>
      <c r="D70" s="8" t="s">
        <v>48</v>
      </c>
      <c r="E70" s="33" t="n">
        <f aca="false">Revenue!E37</f>
        <v>282250</v>
      </c>
      <c r="F70" s="32" t="n">
        <v>282250</v>
      </c>
      <c r="G70" s="8" t="n">
        <f aca="false">E70-F70</f>
        <v>0</v>
      </c>
      <c r="H70" s="8" t="str">
        <f aca="false">IF(ABS(G70)&lt;=0.000001,"PASS","FAIL")</f>
        <v>PASS</v>
      </c>
    </row>
    <row r="71" customFormat="false" ht="15" hidden="false" customHeight="false" outlineLevel="0" collapsed="false">
      <c r="A71" s="8" t="s">
        <v>613</v>
      </c>
      <c r="B71" s="8" t="s">
        <v>476</v>
      </c>
      <c r="C71" s="8" t="s">
        <v>614</v>
      </c>
      <c r="D71" s="8" t="s">
        <v>138</v>
      </c>
      <c r="E71" s="16" t="n">
        <f aca="false">Revenue!K37</f>
        <v>0.0263636363636364</v>
      </c>
      <c r="F71" s="32" t="n">
        <v>0.0263636363636364</v>
      </c>
      <c r="G71" s="34" t="n">
        <f aca="false">E71-F71</f>
        <v>0</v>
      </c>
      <c r="H71" s="8" t="str">
        <f aca="false">IF(ABS(G71)&lt;=0.000001,"PASS","FAIL")</f>
        <v>PASS</v>
      </c>
    </row>
    <row r="72" customFormat="false" ht="15" hidden="false" customHeight="false" outlineLevel="0" collapsed="false">
      <c r="A72" s="8" t="s">
        <v>615</v>
      </c>
      <c r="B72" s="8" t="s">
        <v>450</v>
      </c>
      <c r="C72" s="8" t="s">
        <v>616</v>
      </c>
      <c r="D72" s="8" t="s">
        <v>617</v>
      </c>
      <c r="E72" s="15" t="n">
        <f aca="false">Revenue!C38</f>
        <v>292</v>
      </c>
      <c r="F72" s="32" t="n">
        <v>292</v>
      </c>
      <c r="G72" s="8" t="n">
        <f aca="false">E72-F72</f>
        <v>0</v>
      </c>
      <c r="H72" s="8" t="str">
        <f aca="false">IF(ABS(G72)&lt;=0.000001,"PASS","FAIL")</f>
        <v>PASS</v>
      </c>
    </row>
    <row r="73" customFormat="false" ht="15" hidden="false" customHeight="false" outlineLevel="0" collapsed="false">
      <c r="A73" s="8" t="s">
        <v>618</v>
      </c>
      <c r="B73" s="8" t="s">
        <v>450</v>
      </c>
      <c r="C73" s="8" t="s">
        <v>619</v>
      </c>
      <c r="D73" s="8" t="s">
        <v>617</v>
      </c>
      <c r="E73" s="15" t="n">
        <f aca="false">Revenue!D38</f>
        <v>294</v>
      </c>
      <c r="F73" s="32" t="n">
        <v>294</v>
      </c>
      <c r="G73" s="8" t="n">
        <f aca="false">E73-F73</f>
        <v>0</v>
      </c>
      <c r="H73" s="8" t="str">
        <f aca="false">IF(ABS(G73)&lt;=0.000001,"PASS","FAIL")</f>
        <v>PASS</v>
      </c>
    </row>
    <row r="74" customFormat="false" ht="15" hidden="false" customHeight="false" outlineLevel="0" collapsed="false">
      <c r="A74" s="8" t="s">
        <v>620</v>
      </c>
      <c r="B74" s="8" t="s">
        <v>455</v>
      </c>
      <c r="C74" s="8" t="s">
        <v>621</v>
      </c>
      <c r="D74" s="8" t="s">
        <v>51</v>
      </c>
      <c r="E74" s="33" t="n">
        <f aca="false">Revenue!E38</f>
        <v>299014</v>
      </c>
      <c r="F74" s="32" t="n">
        <v>299014</v>
      </c>
      <c r="G74" s="8" t="n">
        <f aca="false">E74-F74</f>
        <v>0</v>
      </c>
      <c r="H74" s="8" t="str">
        <f aca="false">IF(ABS(G74)&lt;=0.000001,"PASS","FAIL")</f>
        <v>PASS</v>
      </c>
    </row>
    <row r="75" customFormat="false" ht="15" hidden="false" customHeight="false" outlineLevel="0" collapsed="false">
      <c r="A75" s="8" t="s">
        <v>622</v>
      </c>
      <c r="B75" s="8" t="s">
        <v>476</v>
      </c>
      <c r="C75" s="8" t="s">
        <v>623</v>
      </c>
      <c r="D75" s="8" t="s">
        <v>142</v>
      </c>
      <c r="E75" s="16" t="n">
        <f aca="false">Revenue!K38</f>
        <v>0.0205255972696246</v>
      </c>
      <c r="F75" s="32" t="n">
        <v>0.0205255972696246</v>
      </c>
      <c r="G75" s="34" t="n">
        <f aca="false">E75-F75</f>
        <v>0</v>
      </c>
      <c r="H75" s="8" t="str">
        <f aca="false">IF(ABS(G75)&lt;=0.000001,"PASS","FAIL")</f>
        <v>PASS</v>
      </c>
    </row>
    <row r="76" customFormat="false" ht="15" hidden="false" customHeight="false" outlineLevel="0" collapsed="false">
      <c r="A76" s="8" t="s">
        <v>624</v>
      </c>
      <c r="B76" s="8" t="s">
        <v>450</v>
      </c>
      <c r="C76" s="8" t="s">
        <v>625</v>
      </c>
      <c r="D76" s="8" t="s">
        <v>626</v>
      </c>
      <c r="E76" s="15" t="n">
        <f aca="false">Revenue!C39</f>
        <v>311</v>
      </c>
      <c r="F76" s="32" t="n">
        <v>311</v>
      </c>
      <c r="G76" s="8" t="n">
        <f aca="false">E76-F76</f>
        <v>0</v>
      </c>
      <c r="H76" s="8" t="str">
        <f aca="false">IF(ABS(G76)&lt;=0.000001,"PASS","FAIL")</f>
        <v>PASS</v>
      </c>
    </row>
    <row r="77" customFormat="false" ht="15" hidden="false" customHeight="false" outlineLevel="0" collapsed="false">
      <c r="A77" s="8" t="s">
        <v>627</v>
      </c>
      <c r="B77" s="8" t="s">
        <v>450</v>
      </c>
      <c r="C77" s="8" t="s">
        <v>628</v>
      </c>
      <c r="D77" s="8" t="s">
        <v>626</v>
      </c>
      <c r="E77" s="15" t="n">
        <f aca="false">Revenue!D39</f>
        <v>313</v>
      </c>
      <c r="F77" s="32" t="n">
        <v>313</v>
      </c>
      <c r="G77" s="8" t="n">
        <f aca="false">E77-F77</f>
        <v>0</v>
      </c>
      <c r="H77" s="8" t="str">
        <f aca="false">IF(ABS(G77)&lt;=0.000001,"PASS","FAIL")</f>
        <v>PASS</v>
      </c>
    </row>
    <row r="78" customFormat="false" ht="15" hidden="false" customHeight="false" outlineLevel="0" collapsed="false">
      <c r="A78" s="8" t="s">
        <v>629</v>
      </c>
      <c r="B78" s="8" t="s">
        <v>455</v>
      </c>
      <c r="C78" s="8" t="s">
        <v>630</v>
      </c>
      <c r="D78" s="8" t="s">
        <v>45</v>
      </c>
      <c r="E78" s="33" t="n">
        <f aca="false">Revenue!E39</f>
        <v>316855</v>
      </c>
      <c r="F78" s="32" t="n">
        <v>316855</v>
      </c>
      <c r="G78" s="8" t="n">
        <f aca="false">E78-F78</f>
        <v>0</v>
      </c>
      <c r="H78" s="8" t="str">
        <f aca="false">IF(ABS(G78)&lt;=0.000001,"PASS","FAIL")</f>
        <v>PASS</v>
      </c>
    </row>
    <row r="79" customFormat="false" ht="15" hidden="false" customHeight="false" outlineLevel="0" collapsed="false">
      <c r="A79" s="8" t="s">
        <v>631</v>
      </c>
      <c r="B79" s="8" t="s">
        <v>476</v>
      </c>
      <c r="C79" s="8" t="s">
        <v>632</v>
      </c>
      <c r="D79" s="8" t="s">
        <v>146</v>
      </c>
      <c r="E79" s="16" t="n">
        <f aca="false">Revenue!K39</f>
        <v>0.0155608974358975</v>
      </c>
      <c r="F79" s="32" t="n">
        <v>0.0155608974358975</v>
      </c>
      <c r="G79" s="34" t="n">
        <f aca="false">E79-F79</f>
        <v>0</v>
      </c>
      <c r="H79" s="8" t="str">
        <f aca="false">IF(ABS(G79)&lt;=0.000001,"PASS","FAIL")</f>
        <v>PASS</v>
      </c>
    </row>
    <row r="80" customFormat="false" ht="15" hidden="false" customHeight="false" outlineLevel="0" collapsed="false">
      <c r="A80" s="8" t="s">
        <v>633</v>
      </c>
      <c r="B80" s="8" t="s">
        <v>450</v>
      </c>
      <c r="C80" s="8" t="s">
        <v>634</v>
      </c>
      <c r="D80" s="8" t="s">
        <v>635</v>
      </c>
      <c r="E80" s="15" t="n">
        <f aca="false">Revenue!C40</f>
        <v>328</v>
      </c>
      <c r="F80" s="32" t="n">
        <v>328</v>
      </c>
      <c r="G80" s="8" t="n">
        <f aca="false">E80-F80</f>
        <v>0</v>
      </c>
      <c r="H80" s="8" t="str">
        <f aca="false">IF(ABS(G80)&lt;=0.000001,"PASS","FAIL")</f>
        <v>PASS</v>
      </c>
    </row>
    <row r="81" customFormat="false" ht="15" hidden="false" customHeight="false" outlineLevel="0" collapsed="false">
      <c r="A81" s="8" t="s">
        <v>636</v>
      </c>
      <c r="B81" s="8" t="s">
        <v>450</v>
      </c>
      <c r="C81" s="8" t="s">
        <v>637</v>
      </c>
      <c r="D81" s="8" t="s">
        <v>635</v>
      </c>
      <c r="E81" s="15" t="n">
        <f aca="false">Revenue!D40</f>
        <v>330</v>
      </c>
      <c r="F81" s="32" t="n">
        <v>330</v>
      </c>
      <c r="G81" s="8" t="n">
        <f aca="false">E81-F81</f>
        <v>0</v>
      </c>
      <c r="H81" s="8" t="str">
        <f aca="false">IF(ABS(G81)&lt;=0.000001,"PASS","FAIL")</f>
        <v>PASS</v>
      </c>
    </row>
    <row r="82" customFormat="false" ht="15" hidden="false" customHeight="false" outlineLevel="0" collapsed="false">
      <c r="A82" s="8" t="s">
        <v>638</v>
      </c>
      <c r="B82" s="8" t="s">
        <v>455</v>
      </c>
      <c r="C82" s="8" t="s">
        <v>639</v>
      </c>
      <c r="D82" s="8" t="s">
        <v>54</v>
      </c>
      <c r="E82" s="33" t="n">
        <f aca="false">Revenue!E40</f>
        <v>333878</v>
      </c>
      <c r="F82" s="32" t="n">
        <v>333878</v>
      </c>
      <c r="G82" s="8" t="n">
        <f aca="false">E82-F82</f>
        <v>0</v>
      </c>
      <c r="H82" s="8" t="str">
        <f aca="false">IF(ABS(G82)&lt;=0.000001,"PASS","FAIL")</f>
        <v>PASS</v>
      </c>
    </row>
    <row r="83" customFormat="false" ht="15" hidden="false" customHeight="false" outlineLevel="0" collapsed="false">
      <c r="A83" s="8" t="s">
        <v>640</v>
      </c>
      <c r="B83" s="8" t="s">
        <v>476</v>
      </c>
      <c r="C83" s="8" t="s">
        <v>641</v>
      </c>
      <c r="D83" s="8" t="s">
        <v>150</v>
      </c>
      <c r="E83" s="16" t="n">
        <f aca="false">Revenue!K40</f>
        <v>0.0148267477203647</v>
      </c>
      <c r="F83" s="32" t="n">
        <v>0.0148267477203647</v>
      </c>
      <c r="G83" s="34" t="n">
        <f aca="false">E83-F83</f>
        <v>0</v>
      </c>
      <c r="H83" s="8" t="str">
        <f aca="false">IF(ABS(G83)&lt;=0.000001,"PASS","FAIL")</f>
        <v>PASS</v>
      </c>
    </row>
    <row r="84" customFormat="false" ht="15" hidden="false" customHeight="false" outlineLevel="0" collapsed="false">
      <c r="A84" s="8" t="s">
        <v>642</v>
      </c>
      <c r="B84" s="8" t="s">
        <v>450</v>
      </c>
      <c r="C84" s="8" t="s">
        <v>643</v>
      </c>
      <c r="D84" s="8" t="s">
        <v>644</v>
      </c>
      <c r="E84" s="15" t="n">
        <f aca="false">Revenue!C41</f>
        <v>338</v>
      </c>
      <c r="F84" s="32" t="n">
        <v>338</v>
      </c>
      <c r="G84" s="8" t="n">
        <f aca="false">E84-F84</f>
        <v>0</v>
      </c>
      <c r="H84" s="8" t="str">
        <f aca="false">IF(ABS(G84)&lt;=0.000001,"PASS","FAIL")</f>
        <v>PASS</v>
      </c>
    </row>
    <row r="85" customFormat="false" ht="15" hidden="false" customHeight="false" outlineLevel="0" collapsed="false">
      <c r="A85" s="8" t="s">
        <v>645</v>
      </c>
      <c r="B85" s="8" t="s">
        <v>450</v>
      </c>
      <c r="C85" s="8" t="s">
        <v>646</v>
      </c>
      <c r="D85" s="8" t="s">
        <v>644</v>
      </c>
      <c r="E85" s="15" t="n">
        <f aca="false">Revenue!D41</f>
        <v>340</v>
      </c>
      <c r="F85" s="32" t="n">
        <v>340</v>
      </c>
      <c r="G85" s="8" t="n">
        <f aca="false">E85-F85</f>
        <v>0</v>
      </c>
      <c r="H85" s="8" t="str">
        <f aca="false">IF(ABS(G85)&lt;=0.000001,"PASS","FAIL")</f>
        <v>PASS</v>
      </c>
    </row>
    <row r="86" customFormat="false" ht="15" hidden="false" customHeight="false" outlineLevel="0" collapsed="false">
      <c r="A86" s="8" t="s">
        <v>647</v>
      </c>
      <c r="B86" s="8" t="s">
        <v>455</v>
      </c>
      <c r="C86" s="8" t="s">
        <v>648</v>
      </c>
      <c r="D86" s="8" t="s">
        <v>57</v>
      </c>
      <c r="E86" s="33" t="n">
        <f aca="false">Revenue!E41</f>
        <v>351265</v>
      </c>
      <c r="F86" s="32" t="n">
        <v>351265</v>
      </c>
      <c r="G86" s="8" t="n">
        <f aca="false">E86-F86</f>
        <v>0</v>
      </c>
      <c r="H86" s="8" t="str">
        <f aca="false">IF(ABS(G86)&lt;=0.000001,"PASS","FAIL")</f>
        <v>PASS</v>
      </c>
    </row>
    <row r="87" customFormat="false" ht="15" hidden="false" customHeight="false" outlineLevel="0" collapsed="false">
      <c r="A87" s="8" t="s">
        <v>649</v>
      </c>
      <c r="B87" s="8" t="s">
        <v>476</v>
      </c>
      <c r="C87" s="8" t="s">
        <v>650</v>
      </c>
      <c r="D87" s="8" t="s">
        <v>154</v>
      </c>
      <c r="E87" s="16" t="n">
        <f aca="false">Revenue!K41</f>
        <v>0.0361799410029498</v>
      </c>
      <c r="F87" s="32" t="n">
        <v>0.0361799410029498</v>
      </c>
      <c r="G87" s="34" t="n">
        <f aca="false">E87-F87</f>
        <v>0</v>
      </c>
      <c r="H87" s="8" t="str">
        <f aca="false">IF(ABS(G87)&lt;=0.000001,"PASS","FAIL")</f>
        <v>PASS</v>
      </c>
    </row>
    <row r="88" customFormat="false" ht="15" hidden="false" customHeight="false" outlineLevel="0" collapsed="false">
      <c r="A88" s="8" t="s">
        <v>651</v>
      </c>
      <c r="B88" s="8" t="s">
        <v>450</v>
      </c>
      <c r="C88" s="8" t="s">
        <v>652</v>
      </c>
      <c r="D88" s="8" t="s">
        <v>653</v>
      </c>
      <c r="E88" s="15" t="n">
        <f aca="false">Revenue!C42</f>
        <v>354</v>
      </c>
      <c r="F88" s="32" t="n">
        <v>354</v>
      </c>
      <c r="G88" s="8" t="n">
        <f aca="false">E88-F88</f>
        <v>0</v>
      </c>
      <c r="H88" s="8" t="str">
        <f aca="false">IF(ABS(G88)&lt;=0.000001,"PASS","FAIL")</f>
        <v>PASS</v>
      </c>
    </row>
    <row r="89" customFormat="false" ht="15" hidden="false" customHeight="false" outlineLevel="0" collapsed="false">
      <c r="A89" s="8" t="s">
        <v>654</v>
      </c>
      <c r="B89" s="8" t="s">
        <v>450</v>
      </c>
      <c r="C89" s="8" t="s">
        <v>655</v>
      </c>
      <c r="D89" s="8" t="s">
        <v>653</v>
      </c>
      <c r="E89" s="15" t="n">
        <f aca="false">Revenue!D42</f>
        <v>356</v>
      </c>
      <c r="F89" s="32" t="n">
        <v>356</v>
      </c>
      <c r="G89" s="8" t="n">
        <f aca="false">E89-F89</f>
        <v>0</v>
      </c>
      <c r="H89" s="8" t="str">
        <f aca="false">IF(ABS(G89)&lt;=0.000001,"PASS","FAIL")</f>
        <v>PASS</v>
      </c>
    </row>
    <row r="90" customFormat="false" ht="15" hidden="false" customHeight="false" outlineLevel="0" collapsed="false">
      <c r="A90" s="8" t="s">
        <v>656</v>
      </c>
      <c r="B90" s="8" t="s">
        <v>455</v>
      </c>
      <c r="C90" s="8" t="s">
        <v>657</v>
      </c>
      <c r="D90" s="8" t="s">
        <v>43</v>
      </c>
      <c r="E90" s="33" t="n">
        <f aca="false">Revenue!E42</f>
        <v>364621</v>
      </c>
      <c r="F90" s="32" t="n">
        <v>364621</v>
      </c>
      <c r="G90" s="8" t="n">
        <f aca="false">E90-F90</f>
        <v>0</v>
      </c>
      <c r="H90" s="8" t="str">
        <f aca="false">IF(ABS(G90)&lt;=0.000001,"PASS","FAIL")</f>
        <v>PASS</v>
      </c>
    </row>
    <row r="91" customFormat="false" ht="15" hidden="false" customHeight="false" outlineLevel="0" collapsed="false">
      <c r="A91" s="8" t="s">
        <v>658</v>
      </c>
      <c r="B91" s="8" t="s">
        <v>476</v>
      </c>
      <c r="C91" s="8" t="s">
        <v>659</v>
      </c>
      <c r="D91" s="8" t="s">
        <v>158</v>
      </c>
      <c r="E91" s="16" t="n">
        <f aca="false">Revenue!K42</f>
        <v>0.0271014084507042</v>
      </c>
      <c r="F91" s="32" t="n">
        <v>0.0271014084507042</v>
      </c>
      <c r="G91" s="34" t="n">
        <f aca="false">E91-F91</f>
        <v>0</v>
      </c>
      <c r="H91" s="8" t="str">
        <f aca="false">IF(ABS(G91)&lt;=0.000001,"PASS","FAIL")</f>
        <v>PASS</v>
      </c>
    </row>
    <row r="92" customFormat="false" ht="15" hidden="false" customHeight="false" outlineLevel="0" collapsed="false">
      <c r="A92" s="8" t="s">
        <v>660</v>
      </c>
      <c r="B92" s="8" t="s">
        <v>450</v>
      </c>
      <c r="C92" s="8" t="s">
        <v>661</v>
      </c>
      <c r="D92" s="8" t="s">
        <v>184</v>
      </c>
      <c r="E92" s="15" t="n">
        <f aca="false">OpIncome_Margin!C10</f>
        <v>57</v>
      </c>
      <c r="F92" s="32" t="n">
        <v>57</v>
      </c>
      <c r="G92" s="8" t="n">
        <f aca="false">E92-F92</f>
        <v>0</v>
      </c>
      <c r="H92" s="8" t="str">
        <f aca="false">IF(ABS(G92)&lt;=0.000001,"PASS","FAIL")</f>
        <v>PASS</v>
      </c>
    </row>
    <row r="93" customFormat="false" ht="15" hidden="false" customHeight="false" outlineLevel="0" collapsed="false">
      <c r="A93" s="8" t="s">
        <v>662</v>
      </c>
      <c r="B93" s="8" t="s">
        <v>450</v>
      </c>
      <c r="C93" s="8" t="s">
        <v>663</v>
      </c>
      <c r="D93" s="8" t="s">
        <v>184</v>
      </c>
      <c r="E93" s="15" t="n">
        <f aca="false">OpIncome_Margin!C11</f>
        <v>59</v>
      </c>
      <c r="F93" s="32" t="n">
        <v>59</v>
      </c>
      <c r="G93" s="8" t="n">
        <f aca="false">E93-F93</f>
        <v>0</v>
      </c>
      <c r="H93" s="8" t="str">
        <f aca="false">IF(ABS(G93)&lt;=0.000001,"PASS","FAIL")</f>
        <v>PASS</v>
      </c>
    </row>
    <row r="94" customFormat="false" ht="15" hidden="false" customHeight="false" outlineLevel="0" collapsed="false">
      <c r="A94" s="8" t="s">
        <v>664</v>
      </c>
      <c r="B94" s="8" t="s">
        <v>455</v>
      </c>
      <c r="C94" s="8" t="s">
        <v>665</v>
      </c>
      <c r="D94" s="8" t="s">
        <v>188</v>
      </c>
      <c r="E94" s="33" t="n">
        <f aca="false">OpIncome_Margin!C12</f>
        <v>61110</v>
      </c>
      <c r="F94" s="32" t="n">
        <v>61110</v>
      </c>
      <c r="G94" s="8" t="n">
        <f aca="false">E94-F94</f>
        <v>0</v>
      </c>
      <c r="H94" s="8" t="str">
        <f aca="false">IF(ABS(G94)&lt;=0.000001,"PASS","FAIL")</f>
        <v>PASS</v>
      </c>
    </row>
    <row r="95" customFormat="false" ht="15" hidden="false" customHeight="false" outlineLevel="0" collapsed="false">
      <c r="A95" s="8" t="s">
        <v>666</v>
      </c>
      <c r="B95" s="8" t="s">
        <v>455</v>
      </c>
      <c r="C95" s="8" t="s">
        <v>667</v>
      </c>
      <c r="D95" s="8" t="s">
        <v>43</v>
      </c>
      <c r="E95" s="33" t="n">
        <f aca="false">OpIncome_Margin!C13</f>
        <v>364621</v>
      </c>
      <c r="F95" s="32" t="n">
        <v>364621</v>
      </c>
      <c r="G95" s="8" t="n">
        <f aca="false">E95-F95</f>
        <v>0</v>
      </c>
      <c r="H95" s="8" t="str">
        <f aca="false">IF(ABS(G95)&lt;=0.000001,"PASS","FAIL")</f>
        <v>PASS</v>
      </c>
    </row>
    <row r="96" customFormat="false" ht="15" hidden="false" customHeight="false" outlineLevel="0" collapsed="false">
      <c r="A96" s="8" t="s">
        <v>668</v>
      </c>
      <c r="B96" s="8" t="s">
        <v>450</v>
      </c>
      <c r="C96" s="8" t="s">
        <v>669</v>
      </c>
      <c r="D96" s="8" t="s">
        <v>670</v>
      </c>
      <c r="E96" s="15" t="n">
        <f aca="false">OpIncome_Margin!C18</f>
        <v>-26</v>
      </c>
      <c r="F96" s="32" t="n">
        <v>-26</v>
      </c>
      <c r="G96" s="8" t="n">
        <f aca="false">E96-F96</f>
        <v>0</v>
      </c>
      <c r="H96" s="8" t="str">
        <f aca="false">IF(ABS(G96)&lt;=0.000001,"PASS","FAIL")</f>
        <v>PASS</v>
      </c>
    </row>
    <row r="97" customFormat="false" ht="15" hidden="false" customHeight="false" outlineLevel="0" collapsed="false">
      <c r="A97" s="8" t="s">
        <v>671</v>
      </c>
      <c r="B97" s="8" t="s">
        <v>450</v>
      </c>
      <c r="C97" s="8" t="s">
        <v>672</v>
      </c>
      <c r="D97" s="8" t="s">
        <v>670</v>
      </c>
      <c r="E97" s="15" t="n">
        <f aca="false">OpIncome_Margin!D18</f>
        <v>-25</v>
      </c>
      <c r="F97" s="32" t="n">
        <v>-25</v>
      </c>
      <c r="G97" s="8" t="n">
        <f aca="false">E97-F97</f>
        <v>0</v>
      </c>
      <c r="H97" s="8" t="str">
        <f aca="false">IF(ABS(G97)&lt;=0.000001,"PASS","FAIL")</f>
        <v>PASS</v>
      </c>
    </row>
    <row r="98" customFormat="false" ht="15" hidden="false" customHeight="false" outlineLevel="0" collapsed="false">
      <c r="A98" s="8" t="s">
        <v>673</v>
      </c>
      <c r="B98" s="8" t="s">
        <v>455</v>
      </c>
      <c r="C98" s="8" t="s">
        <v>674</v>
      </c>
      <c r="D98" s="8" t="s">
        <v>675</v>
      </c>
      <c r="E98" s="33" t="n">
        <f aca="false">OpIncome_Margin!E18</f>
        <v>-9449</v>
      </c>
      <c r="F98" s="32" t="n">
        <v>-9449</v>
      </c>
      <c r="G98" s="8" t="n">
        <f aca="false">E98-F98</f>
        <v>0</v>
      </c>
      <c r="H98" s="8" t="str">
        <f aca="false">IF(ABS(G98)&lt;=0.000001,"PASS","FAIL")</f>
        <v>PASS</v>
      </c>
    </row>
    <row r="99" customFormat="false" ht="15" hidden="false" customHeight="false" outlineLevel="0" collapsed="false">
      <c r="A99" s="8" t="s">
        <v>676</v>
      </c>
      <c r="B99" s="8" t="s">
        <v>476</v>
      </c>
      <c r="C99" s="8" t="s">
        <v>677</v>
      </c>
      <c r="D99" s="8" t="s">
        <v>193</v>
      </c>
      <c r="E99" s="16" t="n">
        <f aca="false">OpIncome_Margin!K18</f>
        <v>0.629450980392157</v>
      </c>
      <c r="F99" s="32" t="n">
        <v>0.629450980392157</v>
      </c>
      <c r="G99" s="34" t="n">
        <f aca="false">E99-F99</f>
        <v>0</v>
      </c>
      <c r="H99" s="8" t="str">
        <f aca="false">IF(ABS(G99)&lt;=0.000001,"PASS","FAIL")</f>
        <v>PASS</v>
      </c>
    </row>
    <row r="100" customFormat="false" ht="15" hidden="false" customHeight="false" outlineLevel="0" collapsed="false">
      <c r="A100" s="8" t="s">
        <v>678</v>
      </c>
      <c r="B100" s="8" t="s">
        <v>450</v>
      </c>
      <c r="C100" s="8" t="s">
        <v>679</v>
      </c>
      <c r="D100" s="8" t="s">
        <v>680</v>
      </c>
      <c r="E100" s="15" t="n">
        <f aca="false">OpIncome_Margin!C19</f>
        <v>-23</v>
      </c>
      <c r="F100" s="32" t="n">
        <v>-23</v>
      </c>
      <c r="G100" s="8" t="n">
        <f aca="false">E100-F100</f>
        <v>0</v>
      </c>
      <c r="H100" s="8" t="str">
        <f aca="false">IF(ABS(G100)&lt;=0.000001,"PASS","FAIL")</f>
        <v>PASS</v>
      </c>
    </row>
    <row r="101" customFormat="false" ht="15" hidden="false" customHeight="false" outlineLevel="0" collapsed="false">
      <c r="A101" s="8" t="s">
        <v>681</v>
      </c>
      <c r="B101" s="8" t="s">
        <v>450</v>
      </c>
      <c r="C101" s="8" t="s">
        <v>682</v>
      </c>
      <c r="D101" s="8" t="s">
        <v>680</v>
      </c>
      <c r="E101" s="15" t="n">
        <f aca="false">OpIncome_Margin!D19</f>
        <v>-22</v>
      </c>
      <c r="F101" s="32" t="n">
        <v>-22</v>
      </c>
      <c r="G101" s="8" t="n">
        <f aca="false">E101-F101</f>
        <v>0</v>
      </c>
      <c r="H101" s="8" t="str">
        <f aca="false">IF(ABS(G101)&lt;=0.000001,"PASS","FAIL")</f>
        <v>PASS</v>
      </c>
    </row>
    <row r="102" customFormat="false" ht="15" hidden="false" customHeight="false" outlineLevel="0" collapsed="false">
      <c r="A102" s="8" t="s">
        <v>683</v>
      </c>
      <c r="B102" s="8" t="s">
        <v>455</v>
      </c>
      <c r="C102" s="8" t="s">
        <v>684</v>
      </c>
      <c r="D102" s="8" t="s">
        <v>685</v>
      </c>
      <c r="E102" s="33" t="n">
        <f aca="false">OpIncome_Margin!E19</f>
        <v>-9929</v>
      </c>
      <c r="F102" s="32" t="n">
        <v>-9929</v>
      </c>
      <c r="G102" s="8" t="n">
        <f aca="false">E102-F102</f>
        <v>0</v>
      </c>
      <c r="H102" s="8" t="str">
        <f aca="false">IF(ABS(G102)&lt;=0.000001,"PASS","FAIL")</f>
        <v>PASS</v>
      </c>
    </row>
    <row r="103" customFormat="false" ht="15" hidden="false" customHeight="false" outlineLevel="0" collapsed="false">
      <c r="A103" s="8" t="s">
        <v>686</v>
      </c>
      <c r="B103" s="8" t="s">
        <v>476</v>
      </c>
      <c r="C103" s="8" t="s">
        <v>687</v>
      </c>
      <c r="D103" s="8" t="s">
        <v>195</v>
      </c>
      <c r="E103" s="16" t="n">
        <f aca="false">OpIncome_Margin!K19</f>
        <v>0.558711111111111</v>
      </c>
      <c r="F103" s="32" t="n">
        <v>0.558711111111111</v>
      </c>
      <c r="G103" s="34" t="n">
        <f aca="false">E103-F103</f>
        <v>0</v>
      </c>
      <c r="H103" s="8" t="str">
        <f aca="false">IF(ABS(G103)&lt;=0.000001,"PASS","FAIL")</f>
        <v>PASS</v>
      </c>
    </row>
    <row r="104" customFormat="false" ht="15" hidden="false" customHeight="false" outlineLevel="0" collapsed="false">
      <c r="A104" s="8" t="s">
        <v>688</v>
      </c>
      <c r="B104" s="8" t="s">
        <v>450</v>
      </c>
      <c r="C104" s="8" t="s">
        <v>689</v>
      </c>
      <c r="D104" s="8" t="s">
        <v>690</v>
      </c>
      <c r="E104" s="15" t="n">
        <f aca="false">OpIncome_Margin!C20</f>
        <v>-47</v>
      </c>
      <c r="F104" s="32" t="n">
        <v>-47</v>
      </c>
      <c r="G104" s="8" t="n">
        <f aca="false">E104-F104</f>
        <v>0</v>
      </c>
      <c r="H104" s="8" t="str">
        <f aca="false">IF(ABS(G104)&lt;=0.000001,"PASS","FAIL")</f>
        <v>PASS</v>
      </c>
    </row>
    <row r="105" customFormat="false" ht="15" hidden="false" customHeight="false" outlineLevel="0" collapsed="false">
      <c r="A105" s="8" t="s">
        <v>691</v>
      </c>
      <c r="B105" s="8" t="s">
        <v>450</v>
      </c>
      <c r="C105" s="8" t="s">
        <v>692</v>
      </c>
      <c r="D105" s="8" t="s">
        <v>690</v>
      </c>
      <c r="E105" s="15" t="n">
        <f aca="false">OpIncome_Margin!D20</f>
        <v>-45</v>
      </c>
      <c r="F105" s="32" t="n">
        <v>-45</v>
      </c>
      <c r="G105" s="8" t="n">
        <f aca="false">E105-F105</f>
        <v>0</v>
      </c>
      <c r="H105" s="8" t="str">
        <f aca="false">IF(ABS(G105)&lt;=0.000001,"PASS","FAIL")</f>
        <v>PASS</v>
      </c>
    </row>
    <row r="106" customFormat="false" ht="15" hidden="false" customHeight="false" outlineLevel="0" collapsed="false">
      <c r="A106" s="8" t="s">
        <v>693</v>
      </c>
      <c r="B106" s="8" t="s">
        <v>455</v>
      </c>
      <c r="C106" s="8" t="s">
        <v>694</v>
      </c>
      <c r="D106" s="8" t="s">
        <v>695</v>
      </c>
      <c r="E106" s="33" t="n">
        <f aca="false">OpIncome_Margin!E20</f>
        <v>-43830</v>
      </c>
      <c r="F106" s="32" t="n">
        <v>-43830</v>
      </c>
      <c r="G106" s="8" t="n">
        <f aca="false">E106-F106</f>
        <v>0</v>
      </c>
      <c r="H106" s="8" t="str">
        <f aca="false">IF(ABS(G106)&lt;=0.000001,"PASS","FAIL")</f>
        <v>PASS</v>
      </c>
    </row>
    <row r="107" customFormat="false" ht="15" hidden="false" customHeight="false" outlineLevel="0" collapsed="false">
      <c r="A107" s="8" t="s">
        <v>696</v>
      </c>
      <c r="B107" s="8" t="s">
        <v>476</v>
      </c>
      <c r="C107" s="8" t="s">
        <v>697</v>
      </c>
      <c r="D107" s="8" t="s">
        <v>197</v>
      </c>
      <c r="E107" s="16" t="n">
        <f aca="false">OpIncome_Margin!K20</f>
        <v>0.0471739130434783</v>
      </c>
      <c r="F107" s="32" t="n">
        <v>0.0471739130434783</v>
      </c>
      <c r="G107" s="34" t="n">
        <f aca="false">E107-F107</f>
        <v>0</v>
      </c>
      <c r="H107" s="8" t="str">
        <f aca="false">IF(ABS(G107)&lt;=0.000001,"PASS","FAIL")</f>
        <v>PASS</v>
      </c>
    </row>
    <row r="108" customFormat="false" ht="15" hidden="false" customHeight="false" outlineLevel="0" collapsed="false">
      <c r="A108" s="8" t="s">
        <v>698</v>
      </c>
      <c r="B108" s="8" t="s">
        <v>450</v>
      </c>
      <c r="C108" s="8" t="s">
        <v>699</v>
      </c>
      <c r="D108" s="8" t="s">
        <v>700</v>
      </c>
      <c r="E108" s="15" t="n">
        <f aca="false">OpIncome_Margin!C21</f>
        <v>-35</v>
      </c>
      <c r="F108" s="32" t="n">
        <v>-35</v>
      </c>
      <c r="G108" s="8" t="n">
        <f aca="false">E108-F108</f>
        <v>0</v>
      </c>
      <c r="H108" s="8" t="str">
        <f aca="false">IF(ABS(G108)&lt;=0.000001,"PASS","FAIL")</f>
        <v>PASS</v>
      </c>
    </row>
    <row r="109" customFormat="false" ht="15" hidden="false" customHeight="false" outlineLevel="0" collapsed="false">
      <c r="A109" s="8" t="s">
        <v>701</v>
      </c>
      <c r="B109" s="8" t="s">
        <v>450</v>
      </c>
      <c r="C109" s="8" t="s">
        <v>702</v>
      </c>
      <c r="D109" s="8" t="s">
        <v>700</v>
      </c>
      <c r="E109" s="15" t="n">
        <f aca="false">OpIncome_Margin!D21</f>
        <v>-33</v>
      </c>
      <c r="F109" s="32" t="n">
        <v>-33</v>
      </c>
      <c r="G109" s="8" t="n">
        <f aca="false">E109-F109</f>
        <v>0</v>
      </c>
      <c r="H109" s="8" t="str">
        <f aca="false">IF(ABS(G109)&lt;=0.000001,"PASS","FAIL")</f>
        <v>PASS</v>
      </c>
    </row>
    <row r="110" customFormat="false" ht="15" hidden="false" customHeight="false" outlineLevel="0" collapsed="false">
      <c r="A110" s="8" t="s">
        <v>703</v>
      </c>
      <c r="B110" s="8" t="s">
        <v>455</v>
      </c>
      <c r="C110" s="8" t="s">
        <v>704</v>
      </c>
      <c r="D110" s="8" t="s">
        <v>705</v>
      </c>
      <c r="E110" s="33" t="n">
        <f aca="false">OpIncome_Margin!E21</f>
        <v>-15358</v>
      </c>
      <c r="F110" s="32" t="n">
        <v>-15358</v>
      </c>
      <c r="G110" s="8" t="n">
        <f aca="false">E110-F110</f>
        <v>0</v>
      </c>
      <c r="H110" s="8" t="str">
        <f aca="false">IF(ABS(G110)&lt;=0.000001,"PASS","FAIL")</f>
        <v>PASS</v>
      </c>
    </row>
    <row r="111" customFormat="false" ht="15" hidden="false" customHeight="false" outlineLevel="0" collapsed="false">
      <c r="A111" s="8" t="s">
        <v>706</v>
      </c>
      <c r="B111" s="8" t="s">
        <v>476</v>
      </c>
      <c r="C111" s="8" t="s">
        <v>707</v>
      </c>
      <c r="D111" s="8" t="s">
        <v>199</v>
      </c>
      <c r="E111" s="16" t="n">
        <f aca="false">OpIncome_Margin!K21</f>
        <v>0.548294117647059</v>
      </c>
      <c r="F111" s="32" t="n">
        <v>0.548294117647059</v>
      </c>
      <c r="G111" s="34" t="n">
        <f aca="false">E111-F111</f>
        <v>0</v>
      </c>
      <c r="H111" s="8" t="str">
        <f aca="false">IF(ABS(G111)&lt;=0.000001,"PASS","FAIL")</f>
        <v>PASS</v>
      </c>
    </row>
    <row r="112" customFormat="false" ht="15" hidden="false" customHeight="false" outlineLevel="0" collapsed="false">
      <c r="A112" s="8" t="s">
        <v>708</v>
      </c>
      <c r="B112" s="8" t="s">
        <v>450</v>
      </c>
      <c r="C112" s="8" t="s">
        <v>709</v>
      </c>
      <c r="D112" s="8" t="s">
        <v>710</v>
      </c>
      <c r="E112" s="15" t="n">
        <f aca="false">OpIncome_Margin!C22</f>
        <v>-25</v>
      </c>
      <c r="F112" s="32" t="n">
        <v>-25</v>
      </c>
      <c r="G112" s="8" t="n">
        <f aca="false">E112-F112</f>
        <v>0</v>
      </c>
      <c r="H112" s="8" t="str">
        <f aca="false">IF(ABS(G112)&lt;=0.000001,"PASS","FAIL")</f>
        <v>PASS</v>
      </c>
    </row>
    <row r="113" customFormat="false" ht="15" hidden="false" customHeight="false" outlineLevel="0" collapsed="false">
      <c r="A113" s="8" t="s">
        <v>711</v>
      </c>
      <c r="B113" s="8" t="s">
        <v>450</v>
      </c>
      <c r="C113" s="8" t="s">
        <v>712</v>
      </c>
      <c r="D113" s="8" t="s">
        <v>710</v>
      </c>
      <c r="E113" s="15" t="n">
        <f aca="false">OpIncome_Margin!D22</f>
        <v>-24</v>
      </c>
      <c r="F113" s="32" t="n">
        <v>-24</v>
      </c>
      <c r="G113" s="8" t="n">
        <f aca="false">E113-F113</f>
        <v>0</v>
      </c>
      <c r="H113" s="8" t="str">
        <f aca="false">IF(ABS(G113)&lt;=0.000001,"PASS","FAIL")</f>
        <v>PASS</v>
      </c>
    </row>
    <row r="114" customFormat="false" ht="15" hidden="false" customHeight="false" outlineLevel="0" collapsed="false">
      <c r="A114" s="8" t="s">
        <v>713</v>
      </c>
      <c r="B114" s="8" t="s">
        <v>455</v>
      </c>
      <c r="C114" s="8" t="s">
        <v>714</v>
      </c>
      <c r="D114" s="8" t="s">
        <v>715</v>
      </c>
      <c r="E114" s="33" t="n">
        <f aca="false">OpIncome_Margin!E22</f>
        <v>-2185</v>
      </c>
      <c r="F114" s="32" t="n">
        <v>-2185</v>
      </c>
      <c r="G114" s="8" t="n">
        <f aca="false">E114-F114</f>
        <v>0</v>
      </c>
      <c r="H114" s="8" t="str">
        <f aca="false">IF(ABS(G114)&lt;=0.000001,"PASS","FAIL")</f>
        <v>PASS</v>
      </c>
    </row>
    <row r="115" customFormat="false" ht="15" hidden="false" customHeight="false" outlineLevel="0" collapsed="false">
      <c r="A115" s="8" t="s">
        <v>716</v>
      </c>
      <c r="B115" s="8" t="s">
        <v>476</v>
      </c>
      <c r="C115" s="8" t="s">
        <v>717</v>
      </c>
      <c r="D115" s="8" t="s">
        <v>201</v>
      </c>
      <c r="E115" s="16" t="n">
        <f aca="false">OpIncome_Margin!K22</f>
        <v>0.910816326530612</v>
      </c>
      <c r="F115" s="32" t="n">
        <v>0.910816326530612</v>
      </c>
      <c r="G115" s="34" t="n">
        <f aca="false">E115-F115</f>
        <v>0</v>
      </c>
      <c r="H115" s="8" t="str">
        <f aca="false">IF(ABS(G115)&lt;=0.000001,"PASS","FAIL")</f>
        <v>PASS</v>
      </c>
    </row>
    <row r="116" customFormat="false" ht="15" hidden="false" customHeight="false" outlineLevel="0" collapsed="false">
      <c r="A116" s="8" t="s">
        <v>718</v>
      </c>
      <c r="B116" s="8" t="s">
        <v>450</v>
      </c>
      <c r="C116" s="8" t="s">
        <v>719</v>
      </c>
      <c r="D116" s="8" t="s">
        <v>720</v>
      </c>
      <c r="E116" s="15" t="n">
        <f aca="false">OpIncome_Margin!C23</f>
        <v>-22</v>
      </c>
      <c r="F116" s="32" t="n">
        <v>-22</v>
      </c>
      <c r="G116" s="8" t="n">
        <f aca="false">E116-F116</f>
        <v>0</v>
      </c>
      <c r="H116" s="8" t="str">
        <f aca="false">IF(ABS(G116)&lt;=0.000001,"PASS","FAIL")</f>
        <v>PASS</v>
      </c>
    </row>
    <row r="117" customFormat="false" ht="15" hidden="false" customHeight="false" outlineLevel="0" collapsed="false">
      <c r="A117" s="8" t="s">
        <v>721</v>
      </c>
      <c r="B117" s="8" t="s">
        <v>450</v>
      </c>
      <c r="C117" s="8" t="s">
        <v>722</v>
      </c>
      <c r="D117" s="8" t="s">
        <v>720</v>
      </c>
      <c r="E117" s="15" t="n">
        <f aca="false">OpIncome_Margin!D23</f>
        <v>-20</v>
      </c>
      <c r="F117" s="32" t="n">
        <v>-20</v>
      </c>
      <c r="G117" s="8" t="n">
        <f aca="false">E117-F117</f>
        <v>0</v>
      </c>
      <c r="H117" s="8" t="str">
        <f aca="false">IF(ABS(G117)&lt;=0.000001,"PASS","FAIL")</f>
        <v>PASS</v>
      </c>
    </row>
    <row r="118" customFormat="false" ht="15" hidden="false" customHeight="false" outlineLevel="0" collapsed="false">
      <c r="A118" s="8" t="s">
        <v>723</v>
      </c>
      <c r="B118" s="8" t="s">
        <v>455</v>
      </c>
      <c r="C118" s="8" t="s">
        <v>724</v>
      </c>
      <c r="D118" s="8" t="s">
        <v>725</v>
      </c>
      <c r="E118" s="33" t="n">
        <f aca="false">OpIncome_Margin!E23</f>
        <v>14278</v>
      </c>
      <c r="F118" s="32" t="n">
        <v>14278</v>
      </c>
      <c r="G118" s="8" t="n">
        <f aca="false">E118-F118</f>
        <v>0</v>
      </c>
      <c r="H118" s="8" t="str">
        <f aca="false">IF(ABS(G118)&lt;=0.000001,"PASS","FAIL")</f>
        <v>PASS</v>
      </c>
    </row>
    <row r="119" customFormat="false" ht="15" hidden="false" customHeight="false" outlineLevel="0" collapsed="false">
      <c r="A119" s="8" t="s">
        <v>726</v>
      </c>
      <c r="B119" s="8" t="s">
        <v>476</v>
      </c>
      <c r="C119" s="8" t="s">
        <v>727</v>
      </c>
      <c r="D119" s="8" t="s">
        <v>203</v>
      </c>
      <c r="E119" s="16" t="n">
        <f aca="false">OpIncome_Margin!K23</f>
        <v>1.67990476190476</v>
      </c>
      <c r="F119" s="32" t="n">
        <v>1.67990476190476</v>
      </c>
      <c r="G119" s="34" t="n">
        <f aca="false">E119-F119</f>
        <v>0</v>
      </c>
      <c r="H119" s="8" t="str">
        <f aca="false">IF(ABS(G119)&lt;=0.000001,"PASS","FAIL")</f>
        <v>PASS</v>
      </c>
    </row>
    <row r="120" customFormat="false" ht="15" hidden="false" customHeight="false" outlineLevel="0" collapsed="false">
      <c r="A120" s="8" t="s">
        <v>728</v>
      </c>
      <c r="B120" s="8" t="s">
        <v>450</v>
      </c>
      <c r="C120" s="8" t="s">
        <v>729</v>
      </c>
      <c r="D120" s="8" t="s">
        <v>730</v>
      </c>
      <c r="E120" s="15" t="n">
        <f aca="false">OpIncome_Margin!C24</f>
        <v>-19</v>
      </c>
      <c r="F120" s="32" t="n">
        <v>-19</v>
      </c>
      <c r="G120" s="8" t="n">
        <f aca="false">E120-F120</f>
        <v>0</v>
      </c>
      <c r="H120" s="8" t="str">
        <f aca="false">IF(ABS(G120)&lt;=0.000001,"PASS","FAIL")</f>
        <v>PASS</v>
      </c>
    </row>
    <row r="121" customFormat="false" ht="15" hidden="false" customHeight="false" outlineLevel="0" collapsed="false">
      <c r="A121" s="8" t="s">
        <v>731</v>
      </c>
      <c r="B121" s="8" t="s">
        <v>450</v>
      </c>
      <c r="C121" s="8" t="s">
        <v>732</v>
      </c>
      <c r="D121" s="8" t="s">
        <v>730</v>
      </c>
      <c r="E121" s="15" t="n">
        <f aca="false">OpIncome_Margin!D24</f>
        <v>-17</v>
      </c>
      <c r="F121" s="32" t="n">
        <v>-17</v>
      </c>
      <c r="G121" s="8" t="n">
        <f aca="false">E121-F121</f>
        <v>0</v>
      </c>
      <c r="H121" s="8" t="str">
        <f aca="false">IF(ABS(G121)&lt;=0.000001,"PASS","FAIL")</f>
        <v>PASS</v>
      </c>
    </row>
    <row r="122" customFormat="false" ht="15" hidden="false" customHeight="false" outlineLevel="0" collapsed="false">
      <c r="A122" s="8" t="s">
        <v>733</v>
      </c>
      <c r="B122" s="8" t="s">
        <v>455</v>
      </c>
      <c r="C122" s="8" t="s">
        <v>734</v>
      </c>
      <c r="D122" s="8" t="s">
        <v>735</v>
      </c>
      <c r="E122" s="33" t="n">
        <f aca="false">OpIncome_Margin!E24</f>
        <v>-293</v>
      </c>
      <c r="F122" s="32" t="n">
        <v>-293</v>
      </c>
      <c r="G122" s="8" t="n">
        <f aca="false">E122-F122</f>
        <v>0</v>
      </c>
      <c r="H122" s="8" t="str">
        <f aca="false">IF(ABS(G122)&lt;=0.000001,"PASS","FAIL")</f>
        <v>PASS</v>
      </c>
    </row>
    <row r="123" customFormat="false" ht="15" hidden="false" customHeight="false" outlineLevel="0" collapsed="false">
      <c r="A123" s="8" t="s">
        <v>736</v>
      </c>
      <c r="B123" s="8" t="s">
        <v>476</v>
      </c>
      <c r="C123" s="8" t="s">
        <v>737</v>
      </c>
      <c r="D123" s="8" t="s">
        <v>205</v>
      </c>
      <c r="E123" s="16" t="n">
        <f aca="false">OpIncome_Margin!K24</f>
        <v>0.983722222222222</v>
      </c>
      <c r="F123" s="32" t="n">
        <v>0.983722222222222</v>
      </c>
      <c r="G123" s="34" t="n">
        <f aca="false">E123-F123</f>
        <v>0</v>
      </c>
      <c r="H123" s="8" t="str">
        <f aca="false">IF(ABS(G123)&lt;=0.000001,"PASS","FAIL")</f>
        <v>PASS</v>
      </c>
    </row>
    <row r="124" customFormat="false" ht="15" hidden="false" customHeight="false" outlineLevel="0" collapsed="false">
      <c r="A124" s="8" t="s">
        <v>738</v>
      </c>
      <c r="B124" s="8" t="s">
        <v>450</v>
      </c>
      <c r="C124" s="8" t="s">
        <v>739</v>
      </c>
      <c r="D124" s="8" t="s">
        <v>740</v>
      </c>
      <c r="E124" s="15" t="n">
        <f aca="false">OpIncome_Margin!C25</f>
        <v>2</v>
      </c>
      <c r="F124" s="32" t="n">
        <v>2</v>
      </c>
      <c r="G124" s="8" t="n">
        <f aca="false">E124-F124</f>
        <v>0</v>
      </c>
      <c r="H124" s="8" t="str">
        <f aca="false">IF(ABS(G124)&lt;=0.000001,"PASS","FAIL")</f>
        <v>PASS</v>
      </c>
    </row>
    <row r="125" customFormat="false" ht="15" hidden="false" customHeight="false" outlineLevel="0" collapsed="false">
      <c r="A125" s="8" t="s">
        <v>741</v>
      </c>
      <c r="B125" s="8" t="s">
        <v>450</v>
      </c>
      <c r="C125" s="8" t="s">
        <v>742</v>
      </c>
      <c r="D125" s="8" t="s">
        <v>740</v>
      </c>
      <c r="E125" s="15" t="n">
        <f aca="false">OpIncome_Margin!D25</f>
        <v>4</v>
      </c>
      <c r="F125" s="32" t="n">
        <v>4</v>
      </c>
      <c r="G125" s="8" t="n">
        <f aca="false">E125-F125</f>
        <v>0</v>
      </c>
      <c r="H125" s="8" t="str">
        <f aca="false">IF(ABS(G125)&lt;=0.000001,"PASS","FAIL")</f>
        <v>PASS</v>
      </c>
    </row>
    <row r="126" customFormat="false" ht="15" hidden="false" customHeight="false" outlineLevel="0" collapsed="false">
      <c r="A126" s="8" t="s">
        <v>743</v>
      </c>
      <c r="B126" s="8" t="s">
        <v>455</v>
      </c>
      <c r="C126" s="8" t="s">
        <v>744</v>
      </c>
      <c r="D126" s="8" t="s">
        <v>745</v>
      </c>
      <c r="E126" s="33" t="n">
        <f aca="false">OpIncome_Margin!E25</f>
        <v>16617</v>
      </c>
      <c r="F126" s="32" t="n">
        <v>16617</v>
      </c>
      <c r="G126" s="8" t="n">
        <f aca="false">E126-F126</f>
        <v>0</v>
      </c>
      <c r="H126" s="8" t="str">
        <f aca="false">IF(ABS(G126)&lt;=0.000001,"PASS","FAIL")</f>
        <v>PASS</v>
      </c>
    </row>
    <row r="127" customFormat="false" ht="15" hidden="false" customHeight="false" outlineLevel="0" collapsed="false">
      <c r="A127" s="8" t="s">
        <v>746</v>
      </c>
      <c r="B127" s="8" t="s">
        <v>476</v>
      </c>
      <c r="C127" s="8" t="s">
        <v>747</v>
      </c>
      <c r="D127" s="8" t="s">
        <v>207</v>
      </c>
      <c r="E127" s="16" t="n">
        <f aca="false">OpIncome_Margin!K25</f>
        <v>4.539</v>
      </c>
      <c r="F127" s="32" t="n">
        <v>4.539</v>
      </c>
      <c r="G127" s="34" t="n">
        <f aca="false">E127-F127</f>
        <v>0</v>
      </c>
      <c r="H127" s="8" t="str">
        <f aca="false">IF(ABS(G127)&lt;=0.000001,"PASS","FAIL")</f>
        <v>PASS</v>
      </c>
    </row>
    <row r="128" customFormat="false" ht="15" hidden="false" customHeight="false" outlineLevel="0" collapsed="false">
      <c r="A128" s="8" t="s">
        <v>748</v>
      </c>
      <c r="B128" s="8" t="s">
        <v>450</v>
      </c>
      <c r="C128" s="8" t="s">
        <v>749</v>
      </c>
      <c r="D128" s="8" t="s">
        <v>750</v>
      </c>
      <c r="E128" s="15" t="n">
        <f aca="false">OpIncome_Margin!C26</f>
        <v>4</v>
      </c>
      <c r="F128" s="32" t="n">
        <v>4</v>
      </c>
      <c r="G128" s="8" t="n">
        <f aca="false">E128-F128</f>
        <v>0</v>
      </c>
      <c r="H128" s="8" t="str">
        <f aca="false">IF(ABS(G128)&lt;=0.000001,"PASS","FAIL")</f>
        <v>PASS</v>
      </c>
    </row>
    <row r="129" customFormat="false" ht="15" hidden="false" customHeight="false" outlineLevel="0" collapsed="false">
      <c r="A129" s="8" t="s">
        <v>751</v>
      </c>
      <c r="B129" s="8" t="s">
        <v>450</v>
      </c>
      <c r="C129" s="8" t="s">
        <v>752</v>
      </c>
      <c r="D129" s="8" t="s">
        <v>750</v>
      </c>
      <c r="E129" s="15" t="n">
        <f aca="false">OpIncome_Margin!D26</f>
        <v>6</v>
      </c>
      <c r="F129" s="32" t="n">
        <v>6</v>
      </c>
      <c r="G129" s="8" t="n">
        <f aca="false">E129-F129</f>
        <v>0</v>
      </c>
      <c r="H129" s="8" t="str">
        <f aca="false">IF(ABS(G129)&lt;=0.000001,"PASS","FAIL")</f>
        <v>PASS</v>
      </c>
    </row>
    <row r="130" customFormat="false" ht="15" hidden="false" customHeight="false" outlineLevel="0" collapsed="false">
      <c r="A130" s="8" t="s">
        <v>753</v>
      </c>
      <c r="B130" s="8" t="s">
        <v>455</v>
      </c>
      <c r="C130" s="8" t="s">
        <v>754</v>
      </c>
      <c r="D130" s="8" t="s">
        <v>271</v>
      </c>
      <c r="E130" s="33" t="n">
        <f aca="false">OpIncome_Margin!E26</f>
        <v>24077</v>
      </c>
      <c r="F130" s="32" t="n">
        <v>24077</v>
      </c>
      <c r="G130" s="8" t="n">
        <f aca="false">E130-F130</f>
        <v>0</v>
      </c>
      <c r="H130" s="8" t="str">
        <f aca="false">IF(ABS(G130)&lt;=0.000001,"PASS","FAIL")</f>
        <v>PASS</v>
      </c>
    </row>
    <row r="131" customFormat="false" ht="15" hidden="false" customHeight="false" outlineLevel="0" collapsed="false">
      <c r="A131" s="8" t="s">
        <v>755</v>
      </c>
      <c r="B131" s="8" t="s">
        <v>476</v>
      </c>
      <c r="C131" s="8" t="s">
        <v>756</v>
      </c>
      <c r="D131" s="8" t="s">
        <v>209</v>
      </c>
      <c r="E131" s="16" t="n">
        <f aca="false">OpIncome_Margin!K26</f>
        <v>3.8154</v>
      </c>
      <c r="F131" s="32" t="n">
        <v>3.8154</v>
      </c>
      <c r="G131" s="34" t="n">
        <f aca="false">E131-F131</f>
        <v>0</v>
      </c>
      <c r="H131" s="8" t="str">
        <f aca="false">IF(ABS(G131)&lt;=0.000001,"PASS","FAIL")</f>
        <v>PASS</v>
      </c>
    </row>
    <row r="132" customFormat="false" ht="15" hidden="false" customHeight="false" outlineLevel="0" collapsed="false">
      <c r="A132" s="8" t="s">
        <v>757</v>
      </c>
      <c r="B132" s="8" t="s">
        <v>450</v>
      </c>
      <c r="C132" s="8" t="s">
        <v>758</v>
      </c>
      <c r="D132" s="8" t="s">
        <v>759</v>
      </c>
      <c r="E132" s="15" t="n">
        <f aca="false">OpIncome_Margin!C27</f>
        <v>7</v>
      </c>
      <c r="F132" s="32" t="n">
        <v>7</v>
      </c>
      <c r="G132" s="8" t="n">
        <f aca="false">E132-F132</f>
        <v>0</v>
      </c>
      <c r="H132" s="8" t="str">
        <f aca="false">IF(ABS(G132)&lt;=0.000001,"PASS","FAIL")</f>
        <v>PASS</v>
      </c>
    </row>
    <row r="133" customFormat="false" ht="15" hidden="false" customHeight="false" outlineLevel="0" collapsed="false">
      <c r="A133" s="8" t="s">
        <v>760</v>
      </c>
      <c r="B133" s="8" t="s">
        <v>450</v>
      </c>
      <c r="C133" s="8" t="s">
        <v>761</v>
      </c>
      <c r="D133" s="8" t="s">
        <v>759</v>
      </c>
      <c r="E133" s="15" t="n">
        <f aca="false">OpIncome_Margin!D27</f>
        <v>9</v>
      </c>
      <c r="F133" s="32" t="n">
        <v>9</v>
      </c>
      <c r="G133" s="8" t="n">
        <f aca="false">E133-F133</f>
        <v>0</v>
      </c>
      <c r="H133" s="8" t="str">
        <f aca="false">IF(ABS(G133)&lt;=0.000001,"PASS","FAIL")</f>
        <v>PASS</v>
      </c>
    </row>
    <row r="134" customFormat="false" ht="15" hidden="false" customHeight="false" outlineLevel="0" collapsed="false">
      <c r="A134" s="8" t="s">
        <v>762</v>
      </c>
      <c r="B134" s="8" t="s">
        <v>455</v>
      </c>
      <c r="C134" s="8" t="s">
        <v>763</v>
      </c>
      <c r="D134" s="8" t="s">
        <v>764</v>
      </c>
      <c r="E134" s="33" t="n">
        <f aca="false">OpIncome_Margin!E27</f>
        <v>21200</v>
      </c>
      <c r="F134" s="32" t="n">
        <v>21200</v>
      </c>
      <c r="G134" s="8" t="n">
        <f aca="false">E134-F134</f>
        <v>0</v>
      </c>
      <c r="H134" s="8" t="str">
        <f aca="false">IF(ABS(G134)&lt;=0.000001,"PASS","FAIL")</f>
        <v>PASS</v>
      </c>
    </row>
    <row r="135" customFormat="false" ht="15" hidden="false" customHeight="false" outlineLevel="0" collapsed="false">
      <c r="A135" s="8" t="s">
        <v>765</v>
      </c>
      <c r="B135" s="8" t="s">
        <v>476</v>
      </c>
      <c r="C135" s="8" t="s">
        <v>766</v>
      </c>
      <c r="D135" s="8" t="s">
        <v>211</v>
      </c>
      <c r="E135" s="16" t="n">
        <f aca="false">OpIncome_Margin!K27</f>
        <v>1.65</v>
      </c>
      <c r="F135" s="32" t="n">
        <v>1.65</v>
      </c>
      <c r="G135" s="34" t="n">
        <f aca="false">E135-F135</f>
        <v>0</v>
      </c>
      <c r="H135" s="8" t="str">
        <f aca="false">IF(ABS(G135)&lt;=0.000001,"PASS","FAIL")</f>
        <v>PASS</v>
      </c>
    </row>
    <row r="136" customFormat="false" ht="15" hidden="false" customHeight="false" outlineLevel="0" collapsed="false">
      <c r="A136" s="8" t="s">
        <v>767</v>
      </c>
      <c r="B136" s="8" t="s">
        <v>450</v>
      </c>
      <c r="C136" s="8" t="s">
        <v>768</v>
      </c>
      <c r="D136" s="8" t="s">
        <v>769</v>
      </c>
      <c r="E136" s="15" t="n">
        <f aca="false">OpIncome_Margin!C28</f>
        <v>8</v>
      </c>
      <c r="F136" s="32" t="n">
        <v>8</v>
      </c>
      <c r="G136" s="8" t="n">
        <f aca="false">E136-F136</f>
        <v>0</v>
      </c>
      <c r="H136" s="8" t="str">
        <f aca="false">IF(ABS(G136)&lt;=0.000001,"PASS","FAIL")</f>
        <v>PASS</v>
      </c>
    </row>
    <row r="137" customFormat="false" ht="15" hidden="false" customHeight="false" outlineLevel="0" collapsed="false">
      <c r="A137" s="8" t="s">
        <v>770</v>
      </c>
      <c r="B137" s="8" t="s">
        <v>450</v>
      </c>
      <c r="C137" s="8" t="s">
        <v>771</v>
      </c>
      <c r="D137" s="8" t="s">
        <v>769</v>
      </c>
      <c r="E137" s="15" t="n">
        <f aca="false">OpIncome_Margin!D28</f>
        <v>12</v>
      </c>
      <c r="F137" s="32" t="n">
        <v>12</v>
      </c>
      <c r="G137" s="8" t="n">
        <f aca="false">E137-F137</f>
        <v>0</v>
      </c>
      <c r="H137" s="8" t="str">
        <f aca="false">IF(ABS(G137)&lt;=0.000001,"PASS","FAIL")</f>
        <v>PASS</v>
      </c>
    </row>
    <row r="138" customFormat="false" ht="15" hidden="false" customHeight="false" outlineLevel="0" collapsed="false">
      <c r="A138" s="8" t="s">
        <v>772</v>
      </c>
      <c r="B138" s="8" t="s">
        <v>455</v>
      </c>
      <c r="C138" s="8" t="s">
        <v>773</v>
      </c>
      <c r="D138" s="8" t="s">
        <v>774</v>
      </c>
      <c r="E138" s="33" t="n">
        <f aca="false">OpIncome_Margin!E28</f>
        <v>21521</v>
      </c>
      <c r="F138" s="32" t="n">
        <v>21521</v>
      </c>
      <c r="G138" s="8" t="n">
        <f aca="false">E138-F138</f>
        <v>0</v>
      </c>
      <c r="H138" s="8" t="str">
        <f aca="false">IF(ABS(G138)&lt;=0.000001,"PASS","FAIL")</f>
        <v>PASS</v>
      </c>
    </row>
    <row r="139" customFormat="false" ht="15" hidden="false" customHeight="false" outlineLevel="0" collapsed="false">
      <c r="A139" s="8" t="s">
        <v>775</v>
      </c>
      <c r="B139" s="8" t="s">
        <v>476</v>
      </c>
      <c r="C139" s="8" t="s">
        <v>776</v>
      </c>
      <c r="D139" s="8" t="s">
        <v>213</v>
      </c>
      <c r="E139" s="16" t="n">
        <f aca="false">OpIncome_Margin!K28</f>
        <v>1.1521</v>
      </c>
      <c r="F139" s="32" t="n">
        <v>1.1521</v>
      </c>
      <c r="G139" s="34" t="n">
        <f aca="false">E139-F139</f>
        <v>0</v>
      </c>
      <c r="H139" s="8" t="str">
        <f aca="false">IF(ABS(G139)&lt;=0.000001,"PASS","FAIL")</f>
        <v>PASS</v>
      </c>
    </row>
    <row r="140" customFormat="false" ht="15" hidden="false" customHeight="false" outlineLevel="0" collapsed="false">
      <c r="A140" s="8" t="s">
        <v>777</v>
      </c>
      <c r="B140" s="8" t="s">
        <v>450</v>
      </c>
      <c r="C140" s="8" t="s">
        <v>778</v>
      </c>
      <c r="D140" s="8" t="s">
        <v>779</v>
      </c>
      <c r="E140" s="15" t="n">
        <f aca="false">OpIncome_Margin!C29</f>
        <v>17</v>
      </c>
      <c r="F140" s="32" t="n">
        <v>17</v>
      </c>
      <c r="G140" s="8" t="n">
        <f aca="false">E140-F140</f>
        <v>0</v>
      </c>
      <c r="H140" s="8" t="str">
        <f aca="false">IF(ABS(G140)&lt;=0.000001,"PASS","FAIL")</f>
        <v>PASS</v>
      </c>
    </row>
    <row r="141" customFormat="false" ht="15" hidden="false" customHeight="false" outlineLevel="0" collapsed="false">
      <c r="A141" s="8" t="s">
        <v>780</v>
      </c>
      <c r="B141" s="8" t="s">
        <v>450</v>
      </c>
      <c r="C141" s="8" t="s">
        <v>781</v>
      </c>
      <c r="D141" s="8" t="s">
        <v>779</v>
      </c>
      <c r="E141" s="15" t="n">
        <f aca="false">OpIncome_Margin!D29</f>
        <v>21</v>
      </c>
      <c r="F141" s="32" t="n">
        <v>21</v>
      </c>
      <c r="G141" s="8" t="n">
        <f aca="false">E141-F141</f>
        <v>0</v>
      </c>
      <c r="H141" s="8" t="str">
        <f aca="false">IF(ABS(G141)&lt;=0.000001,"PASS","FAIL")</f>
        <v>PASS</v>
      </c>
    </row>
    <row r="142" customFormat="false" ht="15" hidden="false" customHeight="false" outlineLevel="0" collapsed="false">
      <c r="A142" s="8" t="s">
        <v>782</v>
      </c>
      <c r="B142" s="8" t="s">
        <v>455</v>
      </c>
      <c r="C142" s="8" t="s">
        <v>783</v>
      </c>
      <c r="D142" s="8" t="s">
        <v>784</v>
      </c>
      <c r="E142" s="33" t="n">
        <f aca="false">OpIncome_Margin!E29</f>
        <v>38417</v>
      </c>
      <c r="F142" s="32" t="n">
        <v>38417</v>
      </c>
      <c r="G142" s="8" t="n">
        <f aca="false">E142-F142</f>
        <v>0</v>
      </c>
      <c r="H142" s="8" t="str">
        <f aca="false">IF(ABS(G142)&lt;=0.000001,"PASS","FAIL")</f>
        <v>PASS</v>
      </c>
    </row>
    <row r="143" customFormat="false" ht="15" hidden="false" customHeight="false" outlineLevel="0" collapsed="false">
      <c r="A143" s="8" t="s">
        <v>785</v>
      </c>
      <c r="B143" s="8" t="s">
        <v>476</v>
      </c>
      <c r="C143" s="8" t="s">
        <v>786</v>
      </c>
      <c r="D143" s="8" t="s">
        <v>215</v>
      </c>
      <c r="E143" s="16" t="n">
        <f aca="false">OpIncome_Margin!K29</f>
        <v>1.02194736842105</v>
      </c>
      <c r="F143" s="32" t="n">
        <v>1.02194736842105</v>
      </c>
      <c r="G143" s="34" t="n">
        <f aca="false">E143-F143</f>
        <v>0</v>
      </c>
      <c r="H143" s="8" t="str">
        <f aca="false">IF(ABS(G143)&lt;=0.000001,"PASS","FAIL")</f>
        <v>PASS</v>
      </c>
    </row>
    <row r="144" customFormat="false" ht="15" hidden="false" customHeight="false" outlineLevel="0" collapsed="false">
      <c r="A144" s="8" t="s">
        <v>787</v>
      </c>
      <c r="B144" s="8" t="s">
        <v>450</v>
      </c>
      <c r="C144" s="8" t="s">
        <v>788</v>
      </c>
      <c r="D144" s="8" t="s">
        <v>789</v>
      </c>
      <c r="E144" s="15" t="n">
        <f aca="false">OpIncome_Margin!C30</f>
        <v>19</v>
      </c>
      <c r="F144" s="32" t="n">
        <v>19</v>
      </c>
      <c r="G144" s="8" t="n">
        <f aca="false">E144-F144</f>
        <v>0</v>
      </c>
      <c r="H144" s="8" t="str">
        <f aca="false">IF(ABS(G144)&lt;=0.000001,"PASS","FAIL")</f>
        <v>PASS</v>
      </c>
    </row>
    <row r="145" customFormat="false" ht="15" hidden="false" customHeight="false" outlineLevel="0" collapsed="false">
      <c r="A145" s="8" t="s">
        <v>790</v>
      </c>
      <c r="B145" s="8" t="s">
        <v>450</v>
      </c>
      <c r="C145" s="8" t="s">
        <v>791</v>
      </c>
      <c r="D145" s="8" t="s">
        <v>789</v>
      </c>
      <c r="E145" s="15" t="n">
        <f aca="false">OpIncome_Margin!D30</f>
        <v>23</v>
      </c>
      <c r="F145" s="32" t="n">
        <v>23</v>
      </c>
      <c r="G145" s="8" t="n">
        <f aca="false">E145-F145</f>
        <v>0</v>
      </c>
      <c r="H145" s="8" t="str">
        <f aca="false">IF(ABS(G145)&lt;=0.000001,"PASS","FAIL")</f>
        <v>PASS</v>
      </c>
    </row>
    <row r="146" customFormat="false" ht="15" hidden="false" customHeight="false" outlineLevel="0" collapsed="false">
      <c r="A146" s="8" t="s">
        <v>792</v>
      </c>
      <c r="B146" s="8" t="s">
        <v>455</v>
      </c>
      <c r="C146" s="8" t="s">
        <v>793</v>
      </c>
      <c r="D146" s="8" t="s">
        <v>273</v>
      </c>
      <c r="E146" s="33" t="n">
        <f aca="false">OpIncome_Margin!E30</f>
        <v>32180</v>
      </c>
      <c r="F146" s="32" t="n">
        <v>32180</v>
      </c>
      <c r="G146" s="8" t="n">
        <f aca="false">E146-F146</f>
        <v>0</v>
      </c>
      <c r="H146" s="8" t="str">
        <f aca="false">IF(ABS(G146)&lt;=0.000001,"PASS","FAIL")</f>
        <v>PASS</v>
      </c>
    </row>
    <row r="147" customFormat="false" ht="15" hidden="false" customHeight="false" outlineLevel="0" collapsed="false">
      <c r="A147" s="8" t="s">
        <v>794</v>
      </c>
      <c r="B147" s="8" t="s">
        <v>476</v>
      </c>
      <c r="C147" s="8" t="s">
        <v>795</v>
      </c>
      <c r="D147" s="8" t="s">
        <v>217</v>
      </c>
      <c r="E147" s="16" t="n">
        <f aca="false">OpIncome_Margin!K30</f>
        <v>0.532380952380952</v>
      </c>
      <c r="F147" s="32" t="n">
        <v>0.532380952380952</v>
      </c>
      <c r="G147" s="34" t="n">
        <f aca="false">E147-F147</f>
        <v>0</v>
      </c>
      <c r="H147" s="8" t="str">
        <f aca="false">IF(ABS(G147)&lt;=0.000001,"PASS","FAIL")</f>
        <v>PASS</v>
      </c>
    </row>
    <row r="148" customFormat="false" ht="15" hidden="false" customHeight="false" outlineLevel="0" collapsed="false">
      <c r="A148" s="8" t="s">
        <v>796</v>
      </c>
      <c r="B148" s="8" t="s">
        <v>450</v>
      </c>
      <c r="C148" s="8" t="s">
        <v>797</v>
      </c>
      <c r="D148" s="8" t="s">
        <v>798</v>
      </c>
      <c r="E148" s="15" t="n">
        <f aca="false">OpIncome_Margin!C31</f>
        <v>29</v>
      </c>
      <c r="F148" s="32" t="n">
        <v>29</v>
      </c>
      <c r="G148" s="8" t="n">
        <f aca="false">E148-F148</f>
        <v>0</v>
      </c>
      <c r="H148" s="8" t="str">
        <f aca="false">IF(ABS(G148)&lt;=0.000001,"PASS","FAIL")</f>
        <v>PASS</v>
      </c>
    </row>
    <row r="149" customFormat="false" ht="15" hidden="false" customHeight="false" outlineLevel="0" collapsed="false">
      <c r="A149" s="8" t="s">
        <v>799</v>
      </c>
      <c r="B149" s="8" t="s">
        <v>450</v>
      </c>
      <c r="C149" s="8" t="s">
        <v>800</v>
      </c>
      <c r="D149" s="8" t="s">
        <v>798</v>
      </c>
      <c r="E149" s="15" t="n">
        <f aca="false">OpIncome_Margin!D31</f>
        <v>31</v>
      </c>
      <c r="F149" s="32" t="n">
        <v>31</v>
      </c>
      <c r="G149" s="8" t="n">
        <f aca="false">E149-F149</f>
        <v>0</v>
      </c>
      <c r="H149" s="8" t="str">
        <f aca="false">IF(ABS(G149)&lt;=0.000001,"PASS","FAIL")</f>
        <v>PASS</v>
      </c>
    </row>
    <row r="150" customFormat="false" ht="15" hidden="false" customHeight="false" outlineLevel="0" collapsed="false">
      <c r="A150" s="8" t="s">
        <v>801</v>
      </c>
      <c r="B150" s="8" t="s">
        <v>455</v>
      </c>
      <c r="C150" s="8" t="s">
        <v>802</v>
      </c>
      <c r="D150" s="8" t="s">
        <v>803</v>
      </c>
      <c r="E150" s="33" t="n">
        <f aca="false">OpIncome_Margin!E31</f>
        <v>40265</v>
      </c>
      <c r="F150" s="32" t="n">
        <v>40265</v>
      </c>
      <c r="G150" s="8" t="n">
        <f aca="false">E150-F150</f>
        <v>0</v>
      </c>
      <c r="H150" s="8" t="str">
        <f aca="false">IF(ABS(G150)&lt;=0.000001,"PASS","FAIL")</f>
        <v>PASS</v>
      </c>
    </row>
    <row r="151" customFormat="false" ht="15" hidden="false" customHeight="false" outlineLevel="0" collapsed="false">
      <c r="A151" s="8" t="s">
        <v>804</v>
      </c>
      <c r="B151" s="8" t="s">
        <v>476</v>
      </c>
      <c r="C151" s="8" t="s">
        <v>805</v>
      </c>
      <c r="D151" s="8" t="s">
        <v>219</v>
      </c>
      <c r="E151" s="16" t="n">
        <f aca="false">OpIncome_Margin!K31</f>
        <v>0.342166666666667</v>
      </c>
      <c r="F151" s="32" t="n">
        <v>0.342166666666667</v>
      </c>
      <c r="G151" s="34" t="n">
        <f aca="false">E151-F151</f>
        <v>0</v>
      </c>
      <c r="H151" s="8" t="str">
        <f aca="false">IF(ABS(G151)&lt;=0.000001,"PASS","FAIL")</f>
        <v>PASS</v>
      </c>
    </row>
    <row r="152" customFormat="false" ht="15" hidden="false" customHeight="false" outlineLevel="0" collapsed="false">
      <c r="A152" s="8" t="s">
        <v>806</v>
      </c>
      <c r="B152" s="8" t="s">
        <v>450</v>
      </c>
      <c r="C152" s="8" t="s">
        <v>807</v>
      </c>
      <c r="D152" s="8" t="s">
        <v>808</v>
      </c>
      <c r="E152" s="15" t="n">
        <f aca="false">OpIncome_Margin!C32</f>
        <v>25</v>
      </c>
      <c r="F152" s="32" t="n">
        <v>25</v>
      </c>
      <c r="G152" s="8" t="n">
        <f aca="false">E152-F152</f>
        <v>0</v>
      </c>
      <c r="H152" s="8" t="str">
        <f aca="false">IF(ABS(G152)&lt;=0.000001,"PASS","FAIL")</f>
        <v>PASS</v>
      </c>
    </row>
    <row r="153" customFormat="false" ht="15" hidden="false" customHeight="false" outlineLevel="0" collapsed="false">
      <c r="A153" s="8" t="s">
        <v>809</v>
      </c>
      <c r="B153" s="8" t="s">
        <v>450</v>
      </c>
      <c r="C153" s="8" t="s">
        <v>810</v>
      </c>
      <c r="D153" s="8" t="s">
        <v>808</v>
      </c>
      <c r="E153" s="15" t="n">
        <f aca="false">OpIncome_Margin!D32</f>
        <v>27</v>
      </c>
      <c r="F153" s="32" t="n">
        <v>27</v>
      </c>
      <c r="G153" s="8" t="n">
        <f aca="false">E153-F153</f>
        <v>0</v>
      </c>
      <c r="H153" s="8" t="str">
        <f aca="false">IF(ABS(G153)&lt;=0.000001,"PASS","FAIL")</f>
        <v>PASS</v>
      </c>
    </row>
    <row r="154" customFormat="false" ht="15" hidden="false" customHeight="false" outlineLevel="0" collapsed="false">
      <c r="A154" s="8" t="s">
        <v>811</v>
      </c>
      <c r="B154" s="8" t="s">
        <v>455</v>
      </c>
      <c r="C154" s="8" t="s">
        <v>812</v>
      </c>
      <c r="D154" s="8" t="s">
        <v>813</v>
      </c>
      <c r="E154" s="33" t="n">
        <f aca="false">OpIncome_Margin!E32</f>
        <v>40754</v>
      </c>
      <c r="F154" s="32" t="n">
        <v>40754</v>
      </c>
      <c r="G154" s="8" t="n">
        <f aca="false">E154-F154</f>
        <v>0</v>
      </c>
      <c r="H154" s="8" t="str">
        <f aca="false">IF(ABS(G154)&lt;=0.000001,"PASS","FAIL")</f>
        <v>PASS</v>
      </c>
    </row>
    <row r="155" customFormat="false" ht="15" hidden="false" customHeight="false" outlineLevel="0" collapsed="false">
      <c r="A155" s="8" t="s">
        <v>814</v>
      </c>
      <c r="B155" s="8" t="s">
        <v>476</v>
      </c>
      <c r="C155" s="8" t="s">
        <v>815</v>
      </c>
      <c r="D155" s="8" t="s">
        <v>221</v>
      </c>
      <c r="E155" s="16" t="n">
        <f aca="false">OpIncome_Margin!K32</f>
        <v>0.567461538461538</v>
      </c>
      <c r="F155" s="32" t="n">
        <v>0.567461538461538</v>
      </c>
      <c r="G155" s="34" t="n">
        <f aca="false">E155-F155</f>
        <v>0</v>
      </c>
      <c r="H155" s="8" t="str">
        <f aca="false">IF(ABS(G155)&lt;=0.000001,"PASS","FAIL")</f>
        <v>PASS</v>
      </c>
    </row>
    <row r="156" customFormat="false" ht="15" hidden="false" customHeight="false" outlineLevel="0" collapsed="false">
      <c r="A156" s="8" t="s">
        <v>816</v>
      </c>
      <c r="B156" s="8" t="s">
        <v>450</v>
      </c>
      <c r="C156" s="8" t="s">
        <v>817</v>
      </c>
      <c r="D156" s="8" t="s">
        <v>818</v>
      </c>
      <c r="E156" s="15" t="n">
        <f aca="false">OpIncome_Margin!C33</f>
        <v>32</v>
      </c>
      <c r="F156" s="32" t="n">
        <v>32</v>
      </c>
      <c r="G156" s="8" t="n">
        <f aca="false">E156-F156</f>
        <v>0</v>
      </c>
      <c r="H156" s="8" t="str">
        <f aca="false">IF(ABS(G156)&lt;=0.000001,"PASS","FAIL")</f>
        <v>PASS</v>
      </c>
    </row>
    <row r="157" customFormat="false" ht="15" hidden="false" customHeight="false" outlineLevel="0" collapsed="false">
      <c r="A157" s="8" t="s">
        <v>819</v>
      </c>
      <c r="B157" s="8" t="s">
        <v>450</v>
      </c>
      <c r="C157" s="8" t="s">
        <v>820</v>
      </c>
      <c r="D157" s="8" t="s">
        <v>818</v>
      </c>
      <c r="E157" s="15" t="n">
        <f aca="false">OpIncome_Margin!D33</f>
        <v>34</v>
      </c>
      <c r="F157" s="32" t="n">
        <v>34</v>
      </c>
      <c r="G157" s="8" t="n">
        <f aca="false">E157-F157</f>
        <v>0</v>
      </c>
      <c r="H157" s="8" t="str">
        <f aca="false">IF(ABS(G157)&lt;=0.000001,"PASS","FAIL")</f>
        <v>PASS</v>
      </c>
    </row>
    <row r="158" customFormat="false" ht="15" hidden="false" customHeight="false" outlineLevel="0" collapsed="false">
      <c r="A158" s="8" t="s">
        <v>821</v>
      </c>
      <c r="B158" s="8" t="s">
        <v>455</v>
      </c>
      <c r="C158" s="8" t="s">
        <v>822</v>
      </c>
      <c r="D158" s="8" t="s">
        <v>823</v>
      </c>
      <c r="E158" s="33" t="n">
        <f aca="false">OpIncome_Margin!E33</f>
        <v>45094</v>
      </c>
      <c r="F158" s="32" t="n">
        <v>45094</v>
      </c>
      <c r="G158" s="8" t="n">
        <f aca="false">E158-F158</f>
        <v>0</v>
      </c>
      <c r="H158" s="8" t="str">
        <f aca="false">IF(ABS(G158)&lt;=0.000001,"PASS","FAIL")</f>
        <v>PASS</v>
      </c>
    </row>
    <row r="159" customFormat="false" ht="15" hidden="false" customHeight="false" outlineLevel="0" collapsed="false">
      <c r="A159" s="8" t="s">
        <v>824</v>
      </c>
      <c r="B159" s="8" t="s">
        <v>476</v>
      </c>
      <c r="C159" s="8" t="s">
        <v>825</v>
      </c>
      <c r="D159" s="8" t="s">
        <v>223</v>
      </c>
      <c r="E159" s="16" t="n">
        <f aca="false">OpIncome_Margin!K33</f>
        <v>0.366484848484849</v>
      </c>
      <c r="F159" s="32" t="n">
        <v>0.366484848484849</v>
      </c>
      <c r="G159" s="34" t="n">
        <f aca="false">E159-F159</f>
        <v>0</v>
      </c>
      <c r="H159" s="8" t="str">
        <f aca="false">IF(ABS(G159)&lt;=0.000001,"PASS","FAIL")</f>
        <v>PASS</v>
      </c>
    </row>
    <row r="160" customFormat="false" ht="15" hidden="false" customHeight="false" outlineLevel="0" collapsed="false">
      <c r="A160" s="8" t="s">
        <v>826</v>
      </c>
      <c r="B160" s="8" t="s">
        <v>450</v>
      </c>
      <c r="C160" s="8" t="s">
        <v>827</v>
      </c>
      <c r="D160" s="8" t="s">
        <v>828</v>
      </c>
      <c r="E160" s="15" t="n">
        <f aca="false">OpIncome_Margin!C34</f>
        <v>34</v>
      </c>
      <c r="F160" s="32" t="n">
        <v>34</v>
      </c>
      <c r="G160" s="8" t="n">
        <f aca="false">E160-F160</f>
        <v>0</v>
      </c>
      <c r="H160" s="8" t="str">
        <f aca="false">IF(ABS(G160)&lt;=0.000001,"PASS","FAIL")</f>
        <v>PASS</v>
      </c>
    </row>
    <row r="161" customFormat="false" ht="15" hidden="false" customHeight="false" outlineLevel="0" collapsed="false">
      <c r="A161" s="8" t="s">
        <v>829</v>
      </c>
      <c r="B161" s="8" t="s">
        <v>450</v>
      </c>
      <c r="C161" s="8" t="s">
        <v>830</v>
      </c>
      <c r="D161" s="8" t="s">
        <v>828</v>
      </c>
      <c r="E161" s="15" t="n">
        <f aca="false">OpIncome_Margin!D34</f>
        <v>36</v>
      </c>
      <c r="F161" s="32" t="n">
        <v>36</v>
      </c>
      <c r="G161" s="8" t="n">
        <f aca="false">E161-F161</f>
        <v>0</v>
      </c>
      <c r="H161" s="8" t="str">
        <f aca="false">IF(ABS(G161)&lt;=0.000001,"PASS","FAIL")</f>
        <v>PASS</v>
      </c>
    </row>
    <row r="162" customFormat="false" ht="15" hidden="false" customHeight="false" outlineLevel="0" collapsed="false">
      <c r="A162" s="8" t="s">
        <v>831</v>
      </c>
      <c r="B162" s="8" t="s">
        <v>455</v>
      </c>
      <c r="C162" s="8" t="s">
        <v>832</v>
      </c>
      <c r="D162" s="8" t="s">
        <v>275</v>
      </c>
      <c r="E162" s="33" t="n">
        <f aca="false">OpIncome_Margin!E34</f>
        <v>47484</v>
      </c>
      <c r="F162" s="32" t="n">
        <v>47484</v>
      </c>
      <c r="G162" s="8" t="n">
        <f aca="false">E162-F162</f>
        <v>0</v>
      </c>
      <c r="H162" s="8" t="str">
        <f aca="false">IF(ABS(G162)&lt;=0.000001,"PASS","FAIL")</f>
        <v>PASS</v>
      </c>
    </row>
    <row r="163" customFormat="false" ht="15" hidden="false" customHeight="false" outlineLevel="0" collapsed="false">
      <c r="A163" s="8" t="s">
        <v>833</v>
      </c>
      <c r="B163" s="8" t="s">
        <v>476</v>
      </c>
      <c r="C163" s="8" t="s">
        <v>834</v>
      </c>
      <c r="D163" s="8" t="s">
        <v>225</v>
      </c>
      <c r="E163" s="16" t="n">
        <f aca="false">OpIncome_Margin!K34</f>
        <v>0.356685714285714</v>
      </c>
      <c r="F163" s="32" t="n">
        <v>0.356685714285714</v>
      </c>
      <c r="G163" s="34" t="n">
        <f aca="false">E163-F163</f>
        <v>0</v>
      </c>
      <c r="H163" s="8" t="str">
        <f aca="false">IF(ABS(G163)&lt;=0.000001,"PASS","FAIL")</f>
        <v>PASS</v>
      </c>
    </row>
    <row r="164" customFormat="false" ht="15" hidden="false" customHeight="false" outlineLevel="0" collapsed="false">
      <c r="A164" s="8" t="s">
        <v>835</v>
      </c>
      <c r="B164" s="8" t="s">
        <v>450</v>
      </c>
      <c r="C164" s="8" t="s">
        <v>836</v>
      </c>
      <c r="D164" s="8" t="s">
        <v>837</v>
      </c>
      <c r="E164" s="15" t="n">
        <f aca="false">OpIncome_Margin!C35</f>
        <v>36</v>
      </c>
      <c r="F164" s="32" t="n">
        <v>36</v>
      </c>
      <c r="G164" s="8" t="n">
        <f aca="false">E164-F164</f>
        <v>0</v>
      </c>
      <c r="H164" s="8" t="str">
        <f aca="false">IF(ABS(G164)&lt;=0.000001,"PASS","FAIL")</f>
        <v>PASS</v>
      </c>
    </row>
    <row r="165" customFormat="false" ht="15" hidden="false" customHeight="false" outlineLevel="0" collapsed="false">
      <c r="A165" s="8" t="s">
        <v>838</v>
      </c>
      <c r="B165" s="8" t="s">
        <v>450</v>
      </c>
      <c r="C165" s="8" t="s">
        <v>839</v>
      </c>
      <c r="D165" s="8" t="s">
        <v>837</v>
      </c>
      <c r="E165" s="15" t="n">
        <f aca="false">OpIncome_Margin!D35</f>
        <v>38</v>
      </c>
      <c r="F165" s="32" t="n">
        <v>38</v>
      </c>
      <c r="G165" s="8" t="n">
        <f aca="false">E165-F165</f>
        <v>0</v>
      </c>
      <c r="H165" s="8" t="str">
        <f aca="false">IF(ABS(G165)&lt;=0.000001,"PASS","FAIL")</f>
        <v>PASS</v>
      </c>
    </row>
    <row r="166" customFormat="false" ht="15" hidden="false" customHeight="false" outlineLevel="0" collapsed="false">
      <c r="A166" s="8" t="s">
        <v>840</v>
      </c>
      <c r="B166" s="8" t="s">
        <v>455</v>
      </c>
      <c r="C166" s="8" t="s">
        <v>841</v>
      </c>
      <c r="D166" s="8" t="s">
        <v>842</v>
      </c>
      <c r="E166" s="33" t="n">
        <f aca="false">OpIncome_Margin!E35</f>
        <v>41931</v>
      </c>
      <c r="F166" s="32" t="n">
        <v>41931</v>
      </c>
      <c r="G166" s="8" t="n">
        <f aca="false">E166-F166</f>
        <v>0</v>
      </c>
      <c r="H166" s="8" t="str">
        <f aca="false">IF(ABS(G166)&lt;=0.000001,"PASS","FAIL")</f>
        <v>PASS</v>
      </c>
    </row>
    <row r="167" customFormat="false" ht="15" hidden="false" customHeight="false" outlineLevel="0" collapsed="false">
      <c r="A167" s="8" t="s">
        <v>843</v>
      </c>
      <c r="B167" s="8" t="s">
        <v>476</v>
      </c>
      <c r="C167" s="8" t="s">
        <v>844</v>
      </c>
      <c r="D167" s="8" t="s">
        <v>227</v>
      </c>
      <c r="E167" s="16" t="n">
        <f aca="false">OpIncome_Margin!K35</f>
        <v>0.13327027027027</v>
      </c>
      <c r="F167" s="32" t="n">
        <v>0.13327027027027</v>
      </c>
      <c r="G167" s="34" t="n">
        <f aca="false">E167-F167</f>
        <v>0</v>
      </c>
      <c r="H167" s="8" t="str">
        <f aca="false">IF(ABS(G167)&lt;=0.000001,"PASS","FAIL")</f>
        <v>PASS</v>
      </c>
    </row>
    <row r="168" customFormat="false" ht="15" hidden="false" customHeight="false" outlineLevel="0" collapsed="false">
      <c r="A168" s="8" t="s">
        <v>845</v>
      </c>
      <c r="B168" s="8" t="s">
        <v>450</v>
      </c>
      <c r="C168" s="8" t="s">
        <v>846</v>
      </c>
      <c r="D168" s="8" t="s">
        <v>847</v>
      </c>
      <c r="E168" s="15" t="n">
        <f aca="false">OpIncome_Margin!C36</f>
        <v>37</v>
      </c>
      <c r="F168" s="32" t="n">
        <v>37</v>
      </c>
      <c r="G168" s="8" t="n">
        <f aca="false">E168-F168</f>
        <v>0</v>
      </c>
      <c r="H168" s="8" t="str">
        <f aca="false">IF(ABS(G168)&lt;=0.000001,"PASS","FAIL")</f>
        <v>PASS</v>
      </c>
    </row>
    <row r="169" customFormat="false" ht="15" hidden="false" customHeight="false" outlineLevel="0" collapsed="false">
      <c r="A169" s="8" t="s">
        <v>848</v>
      </c>
      <c r="B169" s="8" t="s">
        <v>450</v>
      </c>
      <c r="C169" s="8" t="s">
        <v>849</v>
      </c>
      <c r="D169" s="8" t="s">
        <v>847</v>
      </c>
      <c r="E169" s="15" t="n">
        <f aca="false">OpIncome_Margin!D36</f>
        <v>39</v>
      </c>
      <c r="F169" s="32" t="n">
        <v>39</v>
      </c>
      <c r="G169" s="8" t="n">
        <f aca="false">E169-F169</f>
        <v>0</v>
      </c>
      <c r="H169" s="8" t="str">
        <f aca="false">IF(ABS(G169)&lt;=0.000001,"PASS","FAIL")</f>
        <v>PASS</v>
      </c>
    </row>
    <row r="170" customFormat="false" ht="15" hidden="false" customHeight="false" outlineLevel="0" collapsed="false">
      <c r="A170" s="8" t="s">
        <v>850</v>
      </c>
      <c r="B170" s="8" t="s">
        <v>455</v>
      </c>
      <c r="C170" s="8" t="s">
        <v>851</v>
      </c>
      <c r="D170" s="8" t="s">
        <v>852</v>
      </c>
      <c r="E170" s="33" t="n">
        <f aca="false">OpIncome_Margin!E36</f>
        <v>49037</v>
      </c>
      <c r="F170" s="32" t="n">
        <v>49037</v>
      </c>
      <c r="G170" s="8" t="n">
        <f aca="false">E170-F170</f>
        <v>0</v>
      </c>
      <c r="H170" s="8" t="str">
        <f aca="false">IF(ABS(G170)&lt;=0.000001,"PASS","FAIL")</f>
        <v>PASS</v>
      </c>
    </row>
    <row r="171" customFormat="false" ht="15" hidden="false" customHeight="false" outlineLevel="0" collapsed="false">
      <c r="A171" s="8" t="s">
        <v>853</v>
      </c>
      <c r="B171" s="8" t="s">
        <v>476</v>
      </c>
      <c r="C171" s="8" t="s">
        <v>854</v>
      </c>
      <c r="D171" s="8" t="s">
        <v>229</v>
      </c>
      <c r="E171" s="16" t="n">
        <f aca="false">OpIncome_Margin!K36</f>
        <v>0.290447368421053</v>
      </c>
      <c r="F171" s="32" t="n">
        <v>0.290447368421053</v>
      </c>
      <c r="G171" s="34" t="n">
        <f aca="false">E171-F171</f>
        <v>0</v>
      </c>
      <c r="H171" s="8" t="str">
        <f aca="false">IF(ABS(G171)&lt;=0.000001,"PASS","FAIL")</f>
        <v>PASS</v>
      </c>
    </row>
    <row r="172" customFormat="false" ht="15" hidden="false" customHeight="false" outlineLevel="0" collapsed="false">
      <c r="A172" s="8" t="s">
        <v>855</v>
      </c>
      <c r="B172" s="8" t="s">
        <v>450</v>
      </c>
      <c r="C172" s="8" t="s">
        <v>856</v>
      </c>
      <c r="D172" s="8" t="s">
        <v>857</v>
      </c>
      <c r="E172" s="15" t="n">
        <f aca="false">OpIncome_Margin!C37</f>
        <v>46</v>
      </c>
      <c r="F172" s="32" t="n">
        <v>46</v>
      </c>
      <c r="G172" s="8" t="n">
        <f aca="false">E172-F172</f>
        <v>0</v>
      </c>
      <c r="H172" s="8" t="str">
        <f aca="false">IF(ABS(G172)&lt;=0.000001,"PASS","FAIL")</f>
        <v>PASS</v>
      </c>
    </row>
    <row r="173" customFormat="false" ht="15" hidden="false" customHeight="false" outlineLevel="0" collapsed="false">
      <c r="A173" s="8" t="s">
        <v>858</v>
      </c>
      <c r="B173" s="8" t="s">
        <v>450</v>
      </c>
      <c r="C173" s="8" t="s">
        <v>859</v>
      </c>
      <c r="D173" s="8" t="s">
        <v>857</v>
      </c>
      <c r="E173" s="15" t="n">
        <f aca="false">OpIncome_Margin!D37</f>
        <v>48</v>
      </c>
      <c r="F173" s="32" t="n">
        <v>48</v>
      </c>
      <c r="G173" s="8" t="n">
        <f aca="false">E173-F173</f>
        <v>0</v>
      </c>
      <c r="H173" s="8" t="str">
        <f aca="false">IF(ABS(G173)&lt;=0.000001,"PASS","FAIL")</f>
        <v>PASS</v>
      </c>
    </row>
    <row r="174" customFormat="false" ht="15" hidden="false" customHeight="false" outlineLevel="0" collapsed="false">
      <c r="A174" s="8" t="s">
        <v>860</v>
      </c>
      <c r="B174" s="8" t="s">
        <v>455</v>
      </c>
      <c r="C174" s="8" t="s">
        <v>861</v>
      </c>
      <c r="D174" s="8" t="s">
        <v>188</v>
      </c>
      <c r="E174" s="33" t="n">
        <f aca="false">OpIncome_Margin!E37</f>
        <v>61110</v>
      </c>
      <c r="F174" s="32" t="n">
        <v>61110</v>
      </c>
      <c r="G174" s="8" t="n">
        <f aca="false">E174-F174</f>
        <v>0</v>
      </c>
      <c r="H174" s="8" t="str">
        <f aca="false">IF(ABS(G174)&lt;=0.000001,"PASS","FAIL")</f>
        <v>PASS</v>
      </c>
    </row>
    <row r="175" customFormat="false" ht="15" hidden="false" customHeight="false" outlineLevel="0" collapsed="false">
      <c r="A175" s="8" t="s">
        <v>862</v>
      </c>
      <c r="B175" s="8" t="s">
        <v>476</v>
      </c>
      <c r="C175" s="8" t="s">
        <v>863</v>
      </c>
      <c r="D175" s="8" t="s">
        <v>231</v>
      </c>
      <c r="E175" s="16" t="n">
        <f aca="false">OpIncome_Margin!K37</f>
        <v>0.300212765957447</v>
      </c>
      <c r="F175" s="32" t="n">
        <v>0.300212765957447</v>
      </c>
      <c r="G175" s="34" t="n">
        <f aca="false">E175-F175</f>
        <v>0</v>
      </c>
      <c r="H175" s="8" t="str">
        <f aca="false">IF(ABS(G175)&lt;=0.000001,"PASS","FAIL")</f>
        <v>PASS</v>
      </c>
    </row>
    <row r="176" customFormat="false" ht="15" hidden="false" customHeight="false" outlineLevel="0" collapsed="false">
      <c r="A176" s="8" t="s">
        <v>864</v>
      </c>
      <c r="B176" s="8" t="s">
        <v>450</v>
      </c>
      <c r="C176" s="8" t="s">
        <v>865</v>
      </c>
      <c r="D176" s="8" t="s">
        <v>250</v>
      </c>
      <c r="E176" s="15" t="n">
        <f aca="false">Adj_FCF!C10</f>
        <v>280</v>
      </c>
      <c r="F176" s="32" t="n">
        <v>280</v>
      </c>
      <c r="G176" s="8" t="n">
        <f aca="false">E176-F176</f>
        <v>0</v>
      </c>
      <c r="H176" s="8" t="str">
        <f aca="false">IF(ABS(G176)&lt;=0.000001,"PASS","FAIL")</f>
        <v>PASS</v>
      </c>
    </row>
    <row r="177" customFormat="false" ht="15" hidden="false" customHeight="false" outlineLevel="0" collapsed="false">
      <c r="A177" s="8" t="s">
        <v>866</v>
      </c>
      <c r="B177" s="8" t="s">
        <v>450</v>
      </c>
      <c r="C177" s="8" t="s">
        <v>867</v>
      </c>
      <c r="D177" s="8" t="s">
        <v>250</v>
      </c>
      <c r="E177" s="15" t="n">
        <f aca="false">Adj_FCF!C11</f>
        <v>290</v>
      </c>
      <c r="F177" s="32" t="n">
        <v>290</v>
      </c>
      <c r="G177" s="8" t="n">
        <f aca="false">E177-F177</f>
        <v>0</v>
      </c>
      <c r="H177" s="8" t="str">
        <f aca="false">IF(ABS(G177)&lt;=0.000001,"PASS","FAIL")</f>
        <v>PASS</v>
      </c>
    </row>
    <row r="178" customFormat="false" ht="15" hidden="false" customHeight="false" outlineLevel="0" collapsed="false">
      <c r="A178" s="8" t="s">
        <v>868</v>
      </c>
      <c r="B178" s="8" t="s">
        <v>455</v>
      </c>
      <c r="C178" s="8" t="s">
        <v>869</v>
      </c>
      <c r="D178" s="8" t="s">
        <v>253</v>
      </c>
      <c r="E178" s="33" t="n">
        <f aca="false">Adj_FCF!C12</f>
        <v>155122</v>
      </c>
      <c r="F178" s="32" t="n">
        <v>155122</v>
      </c>
      <c r="G178" s="8" t="n">
        <f aca="false">E178-F178</f>
        <v>0</v>
      </c>
      <c r="H178" s="8" t="str">
        <f aca="false">IF(ABS(G178)&lt;=0.000001,"PASS","FAIL")</f>
        <v>PASS</v>
      </c>
    </row>
    <row r="179" customFormat="false" ht="15" hidden="false" customHeight="false" outlineLevel="0" collapsed="false">
      <c r="A179" s="8" t="s">
        <v>870</v>
      </c>
      <c r="B179" s="8" t="s">
        <v>455</v>
      </c>
      <c r="C179" s="8" t="s">
        <v>871</v>
      </c>
      <c r="D179" s="8" t="s">
        <v>255</v>
      </c>
      <c r="E179" s="33" t="n">
        <f aca="false">Adj_FCF!C13</f>
        <v>64890</v>
      </c>
      <c r="F179" s="32" t="n">
        <v>64890</v>
      </c>
      <c r="G179" s="8" t="n">
        <f aca="false">E179-F179</f>
        <v>0</v>
      </c>
      <c r="H179" s="8" t="str">
        <f aca="false">IF(ABS(G179)&lt;=0.000001,"PASS","FAIL")</f>
        <v>PASS</v>
      </c>
    </row>
    <row r="180" customFormat="false" ht="15" hidden="false" customHeight="false" outlineLevel="0" collapsed="false">
      <c r="A180" s="8" t="s">
        <v>872</v>
      </c>
      <c r="B180" s="8" t="s">
        <v>455</v>
      </c>
      <c r="C180" s="8" t="s">
        <v>873</v>
      </c>
      <c r="D180" s="8" t="s">
        <v>258</v>
      </c>
      <c r="E180" s="33" t="n">
        <f aca="false">Adj_FCF!C14</f>
        <v>55441</v>
      </c>
      <c r="F180" s="32" t="n">
        <v>55441</v>
      </c>
      <c r="G180" s="8" t="n">
        <f aca="false">E180-F180</f>
        <v>0</v>
      </c>
      <c r="H180" s="8" t="str">
        <f aca="false">IF(ABS(G180)&lt;=0.000001,"PASS","FAIL")</f>
        <v>PASS</v>
      </c>
    </row>
    <row r="181" customFormat="false" ht="15" hidden="false" customHeight="false" outlineLevel="0" collapsed="false">
      <c r="A181" s="8" t="s">
        <v>874</v>
      </c>
      <c r="B181" s="8" t="s">
        <v>455</v>
      </c>
      <c r="C181" s="8" t="s">
        <v>875</v>
      </c>
      <c r="D181" s="8" t="s">
        <v>261</v>
      </c>
      <c r="E181" s="33" t="n">
        <f aca="false">Adj_FCF!C15</f>
        <v>82412</v>
      </c>
      <c r="F181" s="32" t="n">
        <v>82412</v>
      </c>
      <c r="G181" s="8" t="n">
        <f aca="false">E181-F181</f>
        <v>0</v>
      </c>
      <c r="H181" s="8" t="str">
        <f aca="false">IF(ABS(G181)&lt;=0.000001,"PASS","FAIL")</f>
        <v>PASS</v>
      </c>
    </row>
    <row r="182" customFormat="false" ht="15" hidden="false" customHeight="false" outlineLevel="0" collapsed="false">
      <c r="A182" s="8" t="s">
        <v>876</v>
      </c>
      <c r="B182" s="8" t="s">
        <v>455</v>
      </c>
      <c r="C182" s="8" t="s">
        <v>877</v>
      </c>
      <c r="D182" s="8" t="s">
        <v>264</v>
      </c>
      <c r="E182" s="33" t="n">
        <f aca="false">Adj_FCF!C16</f>
        <v>72703</v>
      </c>
      <c r="F182" s="32" t="n">
        <v>72703</v>
      </c>
      <c r="G182" s="8" t="n">
        <f aca="false">E182-F182</f>
        <v>0</v>
      </c>
      <c r="H182" s="8" t="str">
        <f aca="false">IF(ABS(G182)&lt;=0.000001,"PASS","FAIL")</f>
        <v>PASS</v>
      </c>
    </row>
    <row r="183" customFormat="false" ht="15" hidden="false" customHeight="false" outlineLevel="0" collapsed="false">
      <c r="A183" s="8" t="s">
        <v>878</v>
      </c>
      <c r="B183" s="8" t="s">
        <v>455</v>
      </c>
      <c r="C183" s="8" t="s">
        <v>879</v>
      </c>
      <c r="D183" s="8" t="s">
        <v>267</v>
      </c>
      <c r="E183" s="33" t="n">
        <f aca="false">Adj_FCF!C17</f>
        <v>92301</v>
      </c>
      <c r="F183" s="32" t="n">
        <v>92301</v>
      </c>
      <c r="G183" s="8" t="n">
        <f aca="false">E183-F183</f>
        <v>0</v>
      </c>
      <c r="H183" s="8" t="str">
        <f aca="false">IF(ABS(G183)&lt;=0.000001,"PASS","FAIL")</f>
        <v>PASS</v>
      </c>
    </row>
    <row r="184" customFormat="false" ht="15" hidden="false" customHeight="false" outlineLevel="0" collapsed="false">
      <c r="A184" s="8" t="s">
        <v>880</v>
      </c>
      <c r="B184" s="8" t="s">
        <v>455</v>
      </c>
      <c r="C184" s="8" t="s">
        <v>881</v>
      </c>
      <c r="D184" s="8" t="s">
        <v>269</v>
      </c>
      <c r="E184" s="33" t="n">
        <f aca="false">Adj_FCF!C18</f>
        <v>56734</v>
      </c>
      <c r="F184" s="32" t="n">
        <v>56734</v>
      </c>
      <c r="G184" s="8" t="n">
        <f aca="false">E184-F184</f>
        <v>0</v>
      </c>
      <c r="H184" s="8" t="str">
        <f aca="false">IF(ABS(G184)&lt;=0.000001,"PASS","FAIL")</f>
        <v>PASS</v>
      </c>
    </row>
    <row r="185" customFormat="false" ht="15" hidden="false" customHeight="false" outlineLevel="0" collapsed="false">
      <c r="A185" s="8" t="s">
        <v>882</v>
      </c>
      <c r="B185" s="8" t="s">
        <v>455</v>
      </c>
      <c r="C185" s="8" t="s">
        <v>883</v>
      </c>
      <c r="D185" s="8" t="s">
        <v>271</v>
      </c>
      <c r="E185" s="33" t="n">
        <f aca="false">Adj_FCF!C19</f>
        <v>24077</v>
      </c>
      <c r="F185" s="32" t="n">
        <v>24077</v>
      </c>
      <c r="G185" s="8" t="n">
        <f aca="false">E185-F185</f>
        <v>0</v>
      </c>
      <c r="H185" s="8" t="str">
        <f aca="false">IF(ABS(G185)&lt;=0.000001,"PASS","FAIL")</f>
        <v>PASS</v>
      </c>
    </row>
    <row r="186" customFormat="false" ht="15" hidden="false" customHeight="false" outlineLevel="0" collapsed="false">
      <c r="A186" s="8" t="s">
        <v>884</v>
      </c>
      <c r="B186" s="8" t="s">
        <v>455</v>
      </c>
      <c r="C186" s="8" t="s">
        <v>885</v>
      </c>
      <c r="D186" s="8" t="s">
        <v>273</v>
      </c>
      <c r="E186" s="33" t="n">
        <f aca="false">Adj_FCF!C20</f>
        <v>32180</v>
      </c>
      <c r="F186" s="32" t="n">
        <v>32180</v>
      </c>
      <c r="G186" s="8" t="n">
        <f aca="false">E186-F186</f>
        <v>0</v>
      </c>
      <c r="H186" s="8" t="str">
        <f aca="false">IF(ABS(G186)&lt;=0.000001,"PASS","FAIL")</f>
        <v>PASS</v>
      </c>
    </row>
    <row r="187" customFormat="false" ht="15" hidden="false" customHeight="false" outlineLevel="0" collapsed="false">
      <c r="A187" s="8" t="s">
        <v>886</v>
      </c>
      <c r="B187" s="8" t="s">
        <v>455</v>
      </c>
      <c r="C187" s="8" t="s">
        <v>887</v>
      </c>
      <c r="D187" s="8" t="s">
        <v>275</v>
      </c>
      <c r="E187" s="33" t="n">
        <f aca="false">Adj_FCF!C21</f>
        <v>47484</v>
      </c>
      <c r="F187" s="32" t="n">
        <v>47484</v>
      </c>
      <c r="G187" s="8" t="n">
        <f aca="false">E187-F187</f>
        <v>0</v>
      </c>
      <c r="H187" s="8" t="str">
        <f aca="false">IF(ABS(G187)&lt;=0.000001,"PASS","FAIL")</f>
        <v>PASS</v>
      </c>
    </row>
    <row r="188" customFormat="false" ht="15" hidden="false" customHeight="false" outlineLevel="0" collapsed="false">
      <c r="A188" s="8" t="s">
        <v>888</v>
      </c>
      <c r="B188" s="8" t="s">
        <v>455</v>
      </c>
      <c r="C188" s="8" t="s">
        <v>889</v>
      </c>
      <c r="D188" s="8" t="s">
        <v>277</v>
      </c>
      <c r="E188" s="33" t="n">
        <f aca="false">Adj_FCF!C22</f>
        <v>189190</v>
      </c>
      <c r="F188" s="32" t="n">
        <v>189190</v>
      </c>
      <c r="G188" s="8" t="n">
        <f aca="false">E188-F188</f>
        <v>0</v>
      </c>
      <c r="H188" s="8" t="str">
        <f aca="false">IF(ABS(G188)&lt;=0.000001,"PASS","FAIL")</f>
        <v>PASS</v>
      </c>
    </row>
    <row r="189" customFormat="false" ht="15" hidden="false" customHeight="false" outlineLevel="0" collapsed="false">
      <c r="A189" s="8" t="s">
        <v>890</v>
      </c>
      <c r="B189" s="8" t="s">
        <v>455</v>
      </c>
      <c r="C189" s="8" t="s">
        <v>891</v>
      </c>
      <c r="D189" s="8" t="s">
        <v>279</v>
      </c>
      <c r="E189" s="33" t="n">
        <f aca="false">Adj_FCF!C23</f>
        <v>251000</v>
      </c>
      <c r="F189" s="32" t="n">
        <v>251000</v>
      </c>
      <c r="G189" s="8" t="n">
        <f aca="false">E189-F189</f>
        <v>0</v>
      </c>
      <c r="H189" s="8" t="str">
        <f aca="false">IF(ABS(G189)&lt;=0.000001,"PASS","FAIL")</f>
        <v>PASS</v>
      </c>
    </row>
    <row r="190" customFormat="false" ht="15" hidden="false" customHeight="false" outlineLevel="0" collapsed="false">
      <c r="A190" s="8" t="s">
        <v>892</v>
      </c>
      <c r="B190" s="8" t="s">
        <v>455</v>
      </c>
      <c r="C190" s="8" t="s">
        <v>893</v>
      </c>
      <c r="D190" s="8" t="s">
        <v>45</v>
      </c>
      <c r="E190" s="33" t="n">
        <f aca="false">Adj_FCF!C24</f>
        <v>316855</v>
      </c>
      <c r="F190" s="32" t="n">
        <v>316855</v>
      </c>
      <c r="G190" s="8" t="n">
        <f aca="false">E190-F190</f>
        <v>0</v>
      </c>
      <c r="H190" s="8" t="str">
        <f aca="false">IF(ABS(G190)&lt;=0.000001,"PASS","FAIL")</f>
        <v>PASS</v>
      </c>
    </row>
    <row r="191" customFormat="false" ht="15" hidden="false" customHeight="false" outlineLevel="0" collapsed="false">
      <c r="A191" s="8" t="s">
        <v>894</v>
      </c>
      <c r="B191" s="8" t="s">
        <v>455</v>
      </c>
      <c r="C191" s="8" t="s">
        <v>895</v>
      </c>
      <c r="D191" s="8" t="s">
        <v>300</v>
      </c>
      <c r="E191" s="18" t="n">
        <f aca="false">NDR!C10</f>
        <v>1.1</v>
      </c>
      <c r="F191" s="32" t="n">
        <v>1.1</v>
      </c>
      <c r="G191" s="34" t="n">
        <f aca="false">E191-F191</f>
        <v>0</v>
      </c>
      <c r="H191" s="8" t="str">
        <f aca="false">IF(ABS(G191)&lt;=0.000001,"PASS","FAIL")</f>
        <v>PASS</v>
      </c>
    </row>
    <row r="192" customFormat="false" ht="15" hidden="false" customHeight="false" outlineLevel="0" collapsed="false">
      <c r="A192" s="8" t="s">
        <v>896</v>
      </c>
      <c r="B192" s="8" t="s">
        <v>455</v>
      </c>
      <c r="C192" s="8" t="s">
        <v>897</v>
      </c>
      <c r="D192" s="8" t="s">
        <v>303</v>
      </c>
      <c r="E192" s="18" t="n">
        <f aca="false">NDR!C11</f>
        <v>1.11</v>
      </c>
      <c r="F192" s="32" t="n">
        <v>1.11</v>
      </c>
      <c r="G192" s="34" t="n">
        <f aca="false">E192-F192</f>
        <v>0</v>
      </c>
      <c r="H192" s="8" t="str">
        <f aca="false">IF(ABS(G192)&lt;=0.000001,"PASS","FAIL")</f>
        <v>PASS</v>
      </c>
    </row>
    <row r="193" customFormat="false" ht="15" hidden="false" customHeight="false" outlineLevel="0" collapsed="false">
      <c r="A193" s="8" t="s">
        <v>898</v>
      </c>
      <c r="B193" s="8" t="s">
        <v>455</v>
      </c>
      <c r="C193" s="8" t="s">
        <v>899</v>
      </c>
      <c r="D193" s="8" t="s">
        <v>305</v>
      </c>
      <c r="E193" s="18" t="n">
        <f aca="false">NDR!C12</f>
        <v>1.12</v>
      </c>
      <c r="F193" s="32" t="n">
        <v>1.12</v>
      </c>
      <c r="G193" s="34" t="n">
        <f aca="false">E193-F193</f>
        <v>0</v>
      </c>
      <c r="H193" s="8" t="str">
        <f aca="false">IF(ABS(G193)&lt;=0.000001,"PASS","FAIL")</f>
        <v>PASS</v>
      </c>
    </row>
    <row r="194" customFormat="false" ht="15" hidden="false" customHeight="false" outlineLevel="0" collapsed="false">
      <c r="A194" s="8" t="s">
        <v>900</v>
      </c>
      <c r="B194" s="8" t="s">
        <v>455</v>
      </c>
      <c r="C194" s="8" t="s">
        <v>901</v>
      </c>
      <c r="D194" s="8" t="s">
        <v>307</v>
      </c>
      <c r="E194" s="18" t="n">
        <f aca="false">NDR!C13</f>
        <v>1.12</v>
      </c>
      <c r="F194" s="32" t="n">
        <v>1.12</v>
      </c>
      <c r="G194" s="34" t="n">
        <f aca="false">E194-F194</f>
        <v>0</v>
      </c>
      <c r="H194" s="8" t="str">
        <f aca="false">IF(ABS(G194)&lt;=0.000001,"PASS","FAIL")</f>
        <v>PASS</v>
      </c>
    </row>
    <row r="195" customFormat="false" ht="15" hidden="false" customHeight="false" outlineLevel="0" collapsed="false">
      <c r="A195" s="8" t="s">
        <v>902</v>
      </c>
      <c r="B195" s="8" t="s">
        <v>455</v>
      </c>
      <c r="C195" s="8" t="s">
        <v>903</v>
      </c>
      <c r="D195" s="8" t="s">
        <v>309</v>
      </c>
      <c r="E195" s="18" t="n">
        <f aca="false">NDR!C14</f>
        <v>1.11</v>
      </c>
      <c r="F195" s="32" t="n">
        <v>1.11</v>
      </c>
      <c r="G195" s="34" t="n">
        <f aca="false">E195-F195</f>
        <v>0</v>
      </c>
      <c r="H195" s="8" t="str">
        <f aca="false">IF(ABS(G195)&lt;=0.000001,"PASS","FAIL")</f>
        <v>PASS</v>
      </c>
    </row>
    <row r="196" customFormat="false" ht="15" hidden="false" customHeight="false" outlineLevel="0" collapsed="false">
      <c r="A196" s="8" t="s">
        <v>904</v>
      </c>
      <c r="B196" s="8" t="s">
        <v>455</v>
      </c>
      <c r="C196" s="8" t="s">
        <v>905</v>
      </c>
      <c r="D196" s="8" t="s">
        <v>311</v>
      </c>
      <c r="E196" s="18" t="n">
        <f aca="false">NDR!C15</f>
        <v>1.11</v>
      </c>
      <c r="F196" s="32" t="n">
        <v>1.11</v>
      </c>
      <c r="G196" s="34" t="n">
        <f aca="false">E196-F196</f>
        <v>0</v>
      </c>
      <c r="H196" s="8" t="str">
        <f aca="false">IF(ABS(G196)&lt;=0.000001,"PASS","FAIL")</f>
        <v>PASS</v>
      </c>
    </row>
    <row r="197" customFormat="false" ht="15" hidden="false" customHeight="false" outlineLevel="0" collapsed="false">
      <c r="A197" s="8" t="s">
        <v>906</v>
      </c>
      <c r="B197" s="8" t="s">
        <v>455</v>
      </c>
      <c r="C197" s="8" t="s">
        <v>907</v>
      </c>
      <c r="D197" s="8" t="s">
        <v>313</v>
      </c>
      <c r="E197" s="18" t="n">
        <f aca="false">NDR!C16</f>
        <v>1.1</v>
      </c>
      <c r="F197" s="32" t="n">
        <v>1.1</v>
      </c>
      <c r="G197" s="34" t="n">
        <f aca="false">E197-F197</f>
        <v>0</v>
      </c>
      <c r="H197" s="8" t="str">
        <f aca="false">IF(ABS(G197)&lt;=0.000001,"PASS","FAIL")</f>
        <v>PASS</v>
      </c>
    </row>
    <row r="198" customFormat="false" ht="15" hidden="false" customHeight="false" outlineLevel="0" collapsed="false">
      <c r="A198" s="8" t="s">
        <v>908</v>
      </c>
      <c r="B198" s="8" t="s">
        <v>455</v>
      </c>
      <c r="C198" s="8" t="s">
        <v>909</v>
      </c>
      <c r="D198" s="8" t="s">
        <v>315</v>
      </c>
      <c r="E198" s="18" t="n">
        <f aca="false">NDR!C17</f>
        <v>1.1</v>
      </c>
      <c r="F198" s="32" t="n">
        <v>1.1</v>
      </c>
      <c r="G198" s="34" t="n">
        <f aca="false">E198-F198</f>
        <v>0</v>
      </c>
      <c r="H198" s="8" t="str">
        <f aca="false">IF(ABS(G198)&lt;=0.000001,"PASS","FAIL")</f>
        <v>PASS</v>
      </c>
    </row>
    <row r="199" customFormat="false" ht="15" hidden="false" customHeight="false" outlineLevel="0" collapsed="false">
      <c r="A199" s="8" t="s">
        <v>910</v>
      </c>
      <c r="B199" s="8" t="s">
        <v>455</v>
      </c>
      <c r="C199" s="8" t="s">
        <v>911</v>
      </c>
      <c r="D199" s="8" t="s">
        <v>317</v>
      </c>
      <c r="E199" s="18" t="n">
        <f aca="false">NDR!C18</f>
        <v>1.09</v>
      </c>
      <c r="F199" s="32" t="n">
        <v>1.09</v>
      </c>
      <c r="G199" s="34" t="n">
        <f aca="false">E199-F199</f>
        <v>0</v>
      </c>
      <c r="H199" s="8" t="str">
        <f aca="false">IF(ABS(G199)&lt;=0.000001,"PASS","FAIL")</f>
        <v>PASS</v>
      </c>
    </row>
    <row r="200" customFormat="false" ht="15" hidden="false" customHeight="false" outlineLevel="0" collapsed="false">
      <c r="A200" s="8" t="s">
        <v>912</v>
      </c>
      <c r="B200" s="8" t="s">
        <v>455</v>
      </c>
      <c r="C200" s="8" t="s">
        <v>913</v>
      </c>
      <c r="D200" s="8" t="s">
        <v>341</v>
      </c>
      <c r="E200" s="25" t="n">
        <f aca="false">Customers_50K!C10</f>
        <v>2907</v>
      </c>
      <c r="F200" s="32" t="n">
        <v>2907</v>
      </c>
      <c r="G200" s="8" t="n">
        <f aca="false">E200-F200</f>
        <v>0</v>
      </c>
      <c r="H200" s="8" t="str">
        <f aca="false">IF(ABS(G200)&lt;=0.000001,"PASS","FAIL")</f>
        <v>PASS</v>
      </c>
    </row>
    <row r="201" customFormat="false" ht="15" hidden="false" customHeight="false" outlineLevel="0" collapsed="false">
      <c r="A201" s="8" t="s">
        <v>914</v>
      </c>
      <c r="B201" s="8" t="s">
        <v>455</v>
      </c>
      <c r="C201" s="8" t="s">
        <v>915</v>
      </c>
      <c r="D201" s="8" t="s">
        <v>343</v>
      </c>
      <c r="E201" s="25" t="n">
        <f aca="false">Customers_50K!C11</f>
        <v>3201</v>
      </c>
      <c r="F201" s="32" t="n">
        <v>3201</v>
      </c>
      <c r="G201" s="8" t="n">
        <f aca="false">E201-F201</f>
        <v>0</v>
      </c>
      <c r="H201" s="8" t="str">
        <f aca="false">IF(ABS(G201)&lt;=0.000001,"PASS","FAIL")</f>
        <v>PASS</v>
      </c>
    </row>
    <row r="202" customFormat="false" ht="15" hidden="false" customHeight="false" outlineLevel="0" collapsed="false">
      <c r="A202" s="8" t="s">
        <v>916</v>
      </c>
      <c r="B202" s="8" t="s">
        <v>455</v>
      </c>
      <c r="C202" s="8" t="s">
        <v>917</v>
      </c>
      <c r="D202" s="8" t="s">
        <v>345</v>
      </c>
      <c r="E202" s="25" t="n">
        <f aca="false">Customers_50K!C12</f>
        <v>3444</v>
      </c>
      <c r="F202" s="32" t="n">
        <v>3444</v>
      </c>
      <c r="G202" s="8" t="n">
        <f aca="false">E202-F202</f>
        <v>0</v>
      </c>
      <c r="H202" s="8" t="str">
        <f aca="false">IF(ABS(G202)&lt;=0.000001,"PASS","FAIL")</f>
        <v>PASS</v>
      </c>
    </row>
    <row r="203" customFormat="false" ht="15" hidden="false" customHeight="false" outlineLevel="0" collapsed="false">
      <c r="A203" s="8" t="s">
        <v>918</v>
      </c>
      <c r="B203" s="8" t="s">
        <v>455</v>
      </c>
      <c r="C203" s="8" t="s">
        <v>919</v>
      </c>
      <c r="D203" s="8" t="s">
        <v>347</v>
      </c>
      <c r="E203" s="25" t="n">
        <f aca="false">Customers_50K!C13</f>
        <v>3702</v>
      </c>
      <c r="F203" s="32" t="n">
        <v>3702</v>
      </c>
      <c r="G203" s="8" t="n">
        <f aca="false">E203-F203</f>
        <v>0</v>
      </c>
      <c r="H203" s="8" t="str">
        <f aca="false">IF(ABS(G203)&lt;=0.000001,"PASS","FAIL")</f>
        <v>PASS</v>
      </c>
    </row>
    <row r="204" customFormat="false" ht="15" hidden="false" customHeight="false" outlineLevel="0" collapsed="false">
      <c r="A204" s="8" t="s">
        <v>920</v>
      </c>
      <c r="B204" s="8" t="s">
        <v>455</v>
      </c>
      <c r="C204" s="8" t="s">
        <v>921</v>
      </c>
      <c r="D204" s="8" t="s">
        <v>349</v>
      </c>
      <c r="E204" s="25" t="n">
        <f aca="false">Customers_50K!C14</f>
        <v>3993</v>
      </c>
      <c r="F204" s="32" t="n">
        <v>3993</v>
      </c>
      <c r="G204" s="8" t="n">
        <f aca="false">E204-F204</f>
        <v>0</v>
      </c>
      <c r="H204" s="8" t="str">
        <f aca="false">IF(ABS(G204)&lt;=0.000001,"PASS","FAIL")</f>
        <v>PASS</v>
      </c>
    </row>
    <row r="205" customFormat="false" ht="15" hidden="false" customHeight="false" outlineLevel="0" collapsed="false">
      <c r="A205" s="8" t="s">
        <v>922</v>
      </c>
      <c r="B205" s="8" t="s">
        <v>455</v>
      </c>
      <c r="C205" s="8" t="s">
        <v>923</v>
      </c>
      <c r="D205" s="8" t="s">
        <v>351</v>
      </c>
      <c r="E205" s="25" t="n">
        <f aca="false">Customers_50K!C15</f>
        <v>4281</v>
      </c>
      <c r="F205" s="32" t="n">
        <v>4281</v>
      </c>
      <c r="G205" s="8" t="n">
        <f aca="false">E205-F205</f>
        <v>0</v>
      </c>
      <c r="H205" s="8" t="str">
        <f aca="false">IF(ABS(G205)&lt;=0.000001,"PASS","FAIL")</f>
        <v>PASS</v>
      </c>
    </row>
    <row r="206" customFormat="false" ht="15" hidden="false" customHeight="false" outlineLevel="0" collapsed="false">
      <c r="A206" s="8" t="s">
        <v>924</v>
      </c>
      <c r="B206" s="8" t="s">
        <v>455</v>
      </c>
      <c r="C206" s="8" t="s">
        <v>925</v>
      </c>
      <c r="D206" s="8" t="s">
        <v>353</v>
      </c>
      <c r="E206" s="25" t="n">
        <f aca="false">Customers_50K!C16</f>
        <v>4547</v>
      </c>
      <c r="F206" s="32" t="n">
        <v>4547</v>
      </c>
      <c r="G206" s="8" t="n">
        <f aca="false">E206-F206</f>
        <v>0</v>
      </c>
      <c r="H206" s="8" t="str">
        <f aca="false">IF(ABS(G206)&lt;=0.000001,"PASS","FAIL")</f>
        <v>PASS</v>
      </c>
    </row>
    <row r="207" customFormat="false" ht="15" hidden="false" customHeight="false" outlineLevel="0" collapsed="false">
      <c r="A207" s="8" t="s">
        <v>926</v>
      </c>
      <c r="B207" s="8" t="s">
        <v>455</v>
      </c>
      <c r="C207" s="8" t="s">
        <v>927</v>
      </c>
      <c r="D207" s="8" t="s">
        <v>355</v>
      </c>
      <c r="E207" s="25" t="n">
        <f aca="false">Customers_50K!C17</f>
        <v>4834</v>
      </c>
      <c r="F207" s="32" t="n">
        <v>4834</v>
      </c>
      <c r="G207" s="8" t="n">
        <f aca="false">E207-F207</f>
        <v>0</v>
      </c>
      <c r="H207" s="8" t="str">
        <f aca="false">IF(ABS(G207)&lt;=0.000001,"PASS","FAIL")</f>
        <v>PASS</v>
      </c>
    </row>
    <row r="208" customFormat="false" ht="15" hidden="false" customHeight="false" outlineLevel="0" collapsed="false">
      <c r="A208" s="8" t="s">
        <v>928</v>
      </c>
      <c r="B208" s="8" t="s">
        <v>455</v>
      </c>
      <c r="C208" s="8" t="s">
        <v>929</v>
      </c>
      <c r="D208" s="8" t="s">
        <v>374</v>
      </c>
      <c r="E208" s="15" t="n">
        <f aca="false">cRPO!C10</f>
        <v>516</v>
      </c>
      <c r="F208" s="32" t="n">
        <v>516</v>
      </c>
      <c r="G208" s="8" t="n">
        <f aca="false">E208-F208</f>
        <v>0</v>
      </c>
      <c r="H208" s="8" t="str">
        <f aca="false">IF(ABS(G208)&lt;=0.000001,"PASS","FAIL")</f>
        <v>PASS</v>
      </c>
    </row>
    <row r="209" customFormat="false" ht="15" hidden="false" customHeight="false" outlineLevel="0" collapsed="false">
      <c r="A209" s="8" t="s">
        <v>930</v>
      </c>
      <c r="B209" s="8" t="s">
        <v>455</v>
      </c>
      <c r="C209" s="8" t="s">
        <v>931</v>
      </c>
      <c r="D209" s="8" t="s">
        <v>376</v>
      </c>
      <c r="E209" s="15" t="n">
        <f aca="false">cRPO!C11</f>
        <v>568</v>
      </c>
      <c r="F209" s="32" t="n">
        <v>568</v>
      </c>
      <c r="G209" s="8" t="n">
        <f aca="false">E209-F209</f>
        <v>0</v>
      </c>
      <c r="H209" s="8" t="str">
        <f aca="false">IF(ABS(G209)&lt;=0.000001,"PASS","FAIL")</f>
        <v>PASS</v>
      </c>
    </row>
    <row r="210" customFormat="false" ht="15" hidden="false" customHeight="false" outlineLevel="0" collapsed="false">
      <c r="A210" s="8" t="s">
        <v>932</v>
      </c>
      <c r="B210" s="8" t="s">
        <v>455</v>
      </c>
      <c r="C210" s="8" t="s">
        <v>933</v>
      </c>
      <c r="D210" s="8" t="s">
        <v>378</v>
      </c>
      <c r="E210" s="15" t="n">
        <f aca="false">cRPO!C12</f>
        <v>588</v>
      </c>
      <c r="F210" s="32" t="n">
        <v>588</v>
      </c>
      <c r="G210" s="8" t="n">
        <f aca="false">E210-F210</f>
        <v>0</v>
      </c>
      <c r="H210" s="8" t="str">
        <f aca="false">IF(ABS(G210)&lt;=0.000001,"PASS","FAIL")</f>
        <v>PASS</v>
      </c>
    </row>
    <row r="211" customFormat="false" ht="15" hidden="false" customHeight="false" outlineLevel="0" collapsed="false">
      <c r="A211" s="8" t="s">
        <v>934</v>
      </c>
      <c r="B211" s="8" t="s">
        <v>455</v>
      </c>
      <c r="C211" s="8" t="s">
        <v>935</v>
      </c>
      <c r="D211" s="8" t="s">
        <v>380</v>
      </c>
      <c r="E211" s="15" t="n">
        <f aca="false">cRPO!C13</f>
        <v>676</v>
      </c>
      <c r="F211" s="32" t="n">
        <v>676</v>
      </c>
      <c r="G211" s="8" t="n">
        <f aca="false">E211-F211</f>
        <v>0</v>
      </c>
      <c r="H211" s="8" t="str">
        <f aca="false">IF(ABS(G211)&lt;=0.000001,"PASS","FAIL")</f>
        <v>PASS</v>
      </c>
    </row>
    <row r="212" customFormat="false" ht="15" hidden="false" customHeight="false" outlineLevel="0" collapsed="false">
      <c r="A212" s="8" t="s">
        <v>936</v>
      </c>
      <c r="B212" s="8" t="s">
        <v>455</v>
      </c>
      <c r="C212" s="8" t="s">
        <v>937</v>
      </c>
      <c r="D212" s="8" t="s">
        <v>382</v>
      </c>
      <c r="E212" s="15" t="n">
        <f aca="false">cRPO!C14</f>
        <v>716</v>
      </c>
      <c r="F212" s="32" t="n">
        <v>716</v>
      </c>
      <c r="G212" s="8" t="n">
        <f aca="false">E212-F212</f>
        <v>0</v>
      </c>
      <c r="H212" s="8" t="str">
        <f aca="false">IF(ABS(G212)&lt;=0.000001,"PASS","FAIL")</f>
        <v>PASS</v>
      </c>
    </row>
    <row r="213" customFormat="false" ht="15" hidden="false" customHeight="false" outlineLevel="0" collapsed="false">
      <c r="A213" s="8" t="s">
        <v>938</v>
      </c>
      <c r="B213" s="8" t="s">
        <v>455</v>
      </c>
      <c r="C213" s="8" t="s">
        <v>939</v>
      </c>
      <c r="D213" s="8" t="s">
        <v>384</v>
      </c>
      <c r="E213" s="15" t="n">
        <f aca="false">cRPO!C15</f>
        <v>750</v>
      </c>
      <c r="F213" s="32" t="n">
        <v>750</v>
      </c>
      <c r="G213" s="8" t="n">
        <f aca="false">E213-F213</f>
        <v>0</v>
      </c>
      <c r="H213" s="8" t="str">
        <f aca="false">IF(ABS(G213)&lt;=0.000001,"PASS","FAIL")</f>
        <v>PASS</v>
      </c>
    </row>
    <row r="214" customFormat="false" ht="15" hidden="false" customHeight="false" outlineLevel="0" collapsed="false">
      <c r="A214" s="8" t="s">
        <v>940</v>
      </c>
      <c r="B214" s="8" t="s">
        <v>941</v>
      </c>
      <c r="C214" s="8" t="s">
        <v>942</v>
      </c>
      <c r="D214" s="8" t="s">
        <v>425</v>
      </c>
      <c r="G214" s="8" t="n">
        <f aca="false">IF(AND(Revenue!C55&lt;=Revenue!D55,Revenue!D55&lt;=Revenue!E55),0,1)</f>
        <v>0</v>
      </c>
      <c r="H214" s="8" t="str">
        <f aca="false">IF(G214=0,"PASS","FAIL")</f>
        <v>PASS</v>
      </c>
      <c r="I214" s="8" t="s">
        <v>943</v>
      </c>
    </row>
    <row r="215" customFormat="false" ht="15" hidden="false" customHeight="false" outlineLevel="0" collapsed="false">
      <c r="A215" s="8" t="s">
        <v>944</v>
      </c>
      <c r="B215" s="8" t="s">
        <v>941</v>
      </c>
      <c r="C215" s="8" t="s">
        <v>945</v>
      </c>
      <c r="D215" s="8" t="s">
        <v>429</v>
      </c>
      <c r="G215" s="8" t="n">
        <f aca="false">IF(AND(OpIncome_Margin!C49&lt;=OpIncome_Margin!D49,OpIncome_Margin!D49&lt;=OpIncome_Margin!E49),0,1)</f>
        <v>0</v>
      </c>
      <c r="H215" s="8" t="str">
        <f aca="false">IF(G215=0,"PASS","FAIL")</f>
        <v>PASS</v>
      </c>
      <c r="I215" s="8" t="s">
        <v>943</v>
      </c>
    </row>
    <row r="216" customFormat="false" ht="15" hidden="false" customHeight="false" outlineLevel="0" collapsed="false">
      <c r="A216" s="8" t="s">
        <v>946</v>
      </c>
      <c r="B216" s="8" t="s">
        <v>941</v>
      </c>
      <c r="C216" s="8" t="s">
        <v>947</v>
      </c>
      <c r="D216" s="8" t="s">
        <v>430</v>
      </c>
      <c r="G216" s="8" t="n">
        <f aca="false">IF(AND(OpIncome_Margin!C50&lt;=OpIncome_Margin!D50,OpIncome_Margin!D50&lt;=OpIncome_Margin!E50),0,1)</f>
        <v>0</v>
      </c>
      <c r="H216" s="8" t="str">
        <f aca="false">IF(G216=0,"PASS","FAIL")</f>
        <v>PASS</v>
      </c>
      <c r="I216" s="8" t="s">
        <v>943</v>
      </c>
    </row>
    <row r="217" customFormat="false" ht="15" hidden="false" customHeight="false" outlineLevel="0" collapsed="false">
      <c r="A217" s="8" t="s">
        <v>948</v>
      </c>
      <c r="B217" s="8" t="s">
        <v>941</v>
      </c>
      <c r="C217" s="8" t="s">
        <v>949</v>
      </c>
      <c r="D217" s="8" t="s">
        <v>432</v>
      </c>
      <c r="G217" s="8" t="n">
        <f aca="false">IF(AND(Adj_FCF!C37&lt;=Adj_FCF!D37,Adj_FCF!D37&lt;=Adj_FCF!E37),0,1)</f>
        <v>0</v>
      </c>
      <c r="H217" s="8" t="str">
        <f aca="false">IF(G217=0,"PASS","FAIL")</f>
        <v>PASS</v>
      </c>
      <c r="I217" s="8" t="s">
        <v>943</v>
      </c>
    </row>
    <row r="218" customFormat="false" ht="15" hidden="false" customHeight="false" outlineLevel="0" collapsed="false">
      <c r="A218" s="8" t="s">
        <v>950</v>
      </c>
      <c r="B218" s="8" t="s">
        <v>941</v>
      </c>
      <c r="C218" s="8" t="s">
        <v>951</v>
      </c>
      <c r="D218" s="8" t="s">
        <v>433</v>
      </c>
      <c r="G218" s="8" t="n">
        <f aca="false">IF(AND(NDR!C36&lt;=NDR!D36,NDR!D36&lt;=NDR!E36),0,1)</f>
        <v>0</v>
      </c>
      <c r="H218" s="8" t="str">
        <f aca="false">IF(G218=0,"PASS","FAIL")</f>
        <v>PASS</v>
      </c>
      <c r="I218" s="8" t="s">
        <v>943</v>
      </c>
    </row>
    <row r="219" customFormat="false" ht="15" hidden="false" customHeight="false" outlineLevel="0" collapsed="false">
      <c r="A219" s="8" t="s">
        <v>952</v>
      </c>
      <c r="B219" s="8" t="s">
        <v>941</v>
      </c>
      <c r="C219" s="8" t="s">
        <v>953</v>
      </c>
      <c r="D219" s="8" t="s">
        <v>435</v>
      </c>
      <c r="G219" s="8" t="n">
        <f aca="false">IF(AND(Customers_50K!C30&lt;=Customers_50K!D30,Customers_50K!D30&lt;=Customers_50K!E30),0,1)</f>
        <v>0</v>
      </c>
      <c r="H219" s="8" t="str">
        <f aca="false">IF(G219=0,"PASS","FAIL")</f>
        <v>PASS</v>
      </c>
      <c r="I219" s="8" t="s">
        <v>943</v>
      </c>
    </row>
    <row r="221" customFormat="false" ht="15" hidden="false" customHeight="false" outlineLevel="0" collapsed="false">
      <c r="A221" s="8" t="s">
        <v>954</v>
      </c>
      <c r="B221" s="8" t="str">
        <f aca="false">COUNTIF(H4:H219,"PASS")&amp;" PASS / "&amp;COUNTIF(H4:H219,"FAIL")&amp;" FAIL"</f>
        <v>216 PASS / 0 FAIL</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2026-10-28T19:16:40Z</dcterms:created>
  <dc:creator>openpyxl</dc:creator>
  <dc:description/>
  <dc:language>en-US</dc:language>
  <cp:lastModifiedBy/>
  <dcterms:modified xsi:type="dcterms:W3CDTF">2026-10-28T19:16:40Z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