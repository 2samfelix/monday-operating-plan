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Driver_Map" sheetId="2" state="visible" r:id="rId4"/>
    <sheet name="Revenue_Backtest" sheetId="3" state="visible" r:id="rId5"/>
    <sheet name="Proposed_Assumptions" sheetId="4" state="visible" r:id="rId6"/>
    <sheet name="Series" sheetId="5" state="visible" r:id="rId7"/>
    <sheet name="Check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<sst xmlns="http://schemas.openxmlformats.org/spreadsheetml/2006/main" count="2311" uniqueCount="1392">
  <si>
    <t xml:space="preserve">monday.com - Phase 3a Driver Evidence Audit (no operating model)</t>
  </si>
  <si>
    <t xml:space="preserve">Purpose</t>
  </si>
  <si>
    <t xml:space="preserve">Assess which planning drivers the public evidence supports, backtest the two candidate revenue methods, and PROPOSE assumption paths (Q3 2026-Q4 2027, Base and Downside) for owner approval. No operating model is built.</t>
  </si>
  <si>
    <t xml:space="preserve">Information cutoff</t>
  </si>
  <si>
    <t xml:space="preserve">October 28, 2026. Inputs come only from monday_sourcebook.xlsx (Row IDs) and the locked Q3 call (monday_q3_call.xlsx, release q3-2026-call-locked); none of those workbooks is modified.</t>
  </si>
  <si>
    <t xml:space="preserve">Labels</t>
  </si>
  <si>
    <t xml:space="preserve">Sourced = blue copy with Row ID/cell reference; Derived = black formula; Assumed = orange (proposals only, on Proposed_Assumptions). Header row 2 of each table states the label of every cell in that column.</t>
  </si>
  <si>
    <t xml:space="preserve">Status of proposals</t>
  </si>
  <si>
    <t xml:space="preserve">PROPOSED, NOT FINAL. They require owner approval before the Phase 3 model is built.</t>
  </si>
  <si>
    <t xml:space="preserve">Sheets</t>
  </si>
  <si>
    <t xml:space="preserve">Driver_Map, Revenue_Backtest, Proposed_Assumptions, Series (copied inputs and derived helper columns), Checks.</t>
  </si>
  <si>
    <t xml:space="preserve">Driver map: what history exists for each planning driver, comparability, and whether it can support a forecast</t>
  </si>
  <si>
    <t xml:space="preserve">Driver</t>
  </si>
  <si>
    <t xml:space="preserve">Historical series available (Series sheet column / source)</t>
  </si>
  <si>
    <t xml:space="preserve">Quarters with data</t>
  </si>
  <si>
    <t xml:space="preserve">First / last quarter</t>
  </si>
  <si>
    <t xml:space="preserve">Comparability problems</t>
  </si>
  <si>
    <t xml:space="preserve">Verdict</t>
  </si>
  <si>
    <t xml:space="preserve">Reason</t>
  </si>
  <si>
    <t xml:space="preserve">Evidence row IDs (examples)</t>
  </si>
  <si>
    <t xml:space="preserve">Text</t>
  </si>
  <si>
    <t xml:space="preserve">Derived (COUNT)</t>
  </si>
  <si>
    <t xml:space="preserve">Assessment (text)</t>
  </si>
  <si>
    <t xml:space="preserve">Revenue growth</t>
  </si>
  <si>
    <t xml:space="preserve">Revenue (Series col for Revenue); guidance low/high</t>
  </si>
  <si>
    <t xml:space="preserve">Q1 2021 / Q2 2026</t>
  </si>
  <si>
    <t xml:space="preserve">None material for revenue itself; FX impact disclosed only for some quarters; 2021 YoY not computable (2020 not in source book).</t>
  </si>
  <si>
    <t xml:space="preserve">Supported</t>
  </si>
  <si>
    <t xml:space="preserve">22 quarters of revenue plus 20 guidance vintages; backtest shows guidance-anchored and trend methods within ~1% MAPE.</t>
  </si>
  <si>
    <t xml:space="preserve">QA-0001..QA-0037; GH revenue rows</t>
  </si>
  <si>
    <t xml:space="preserve">Net dollar retention (all customers)</t>
  </si>
  <si>
    <t xml:space="preserve">NDR all customers, exact values only</t>
  </si>
  <si>
    <t xml:space="preserve">Q4 2023 / Q2 2026</t>
  </si>
  <si>
    <t xml:space="preserve">Floors ("over X%") before Q4 2023 excluded; measurement basis (point vs trailing 12-month) not stated; 2024-H1 2025 pricing adjustments flattered NDR; ARR-based, not revenue-based.</t>
  </si>
  <si>
    <t xml:space="preserve">Partially supported</t>
  </si>
  <si>
    <t xml:space="preserve">Only 11 exact quarters; basis unresolved; method A (NDR-based revenue) is biased high in the backtest. Usable as a scenario driver and cross-check, not as the revenue engine.</t>
  </si>
  <si>
    <t xml:space="preserve">QA KPI NDR rows; source-book Definitions</t>
  </si>
  <si>
    <t xml:space="preserve">Customer counts and net adds (&gt;$50k, &gt;$100k)</t>
  </si>
  <si>
    <t xml:space="preserve">Customers &gt;$50k and &gt;$100k ARR; net adds derived</t>
  </si>
  <si>
    <t xml:space="preserve">Q1 2021 / Q2 2026 (&gt;$100k from Q4 2022)</t>
  </si>
  <si>
    <t xml:space="preserve">Point-in-time counts; nominal USD thresholds (FX and pricing move customers across); no gross adds or churn.</t>
  </si>
  <si>
    <t xml:space="preserve">&gt;$50k disclosed every quarter (22); net adds derivable; descriptive driver for a customer cross-check only.</t>
  </si>
  <si>
    <t xml:space="preserve">QA KPI customer rows</t>
  </si>
  <si>
    <t xml:space="preserve">cRPO / RPO</t>
  </si>
  <si>
    <t xml:space="preserve">RPO (from Sept 2024) and cRPO (from Dec 2024), release values</t>
  </si>
  <si>
    <t xml:space="preserve">Q4 2024 / Q2 2026 (gap at Q3 2025)</t>
  </si>
  <si>
    <t xml:space="preserve">Not disclosed before 2024 (ASC 606 expedient); June 2025 RPO recast without explanation; no Q3 cRPO observation.</t>
  </si>
  <si>
    <t xml:space="preserve">Not supported</t>
  </si>
  <si>
    <t xml:space="preserve">Six cRPO points with a gap and a recast; too sparse for a driver. Cross-check only.</t>
  </si>
  <si>
    <t xml:space="preserve">QA RPO/cRPO rows; source-book D4/R2</t>
  </si>
  <si>
    <t xml:space="preserve">Gross margin (non-GAAP)</t>
  </si>
  <si>
    <t xml:space="preserve">Gross profit (non-GAAP) / revenue</t>
  </si>
  <si>
    <t xml:space="preserve">Company expects a modest mid-term decline from AI compute costs (FY2025 20-F); no product split.</t>
  </si>
  <si>
    <t xml:space="preserve">22 quarters in a narrow band (88.8%-90.7%); trend and company statement give a direction.</t>
  </si>
  <si>
    <t xml:space="preserve">QA gross profit rows; source-book Definitions (cost of revenue)</t>
  </si>
  <si>
    <t xml:space="preserve">R&amp;D % of revenue (non-GAAP)</t>
  </si>
  <si>
    <t xml:space="preserve">R&amp;D (non-GAAP) / revenue</t>
  </si>
  <si>
    <t xml:space="preserve">Rising since 2025 (AI investment); restructuring from July 2026 will change the run-rate; quarter-specific savings not disclosed.</t>
  </si>
  <si>
    <t xml:space="preserve">22 comparable quarters; the post-restructuring level is an assumption.</t>
  </si>
  <si>
    <t xml:space="preserve">QA R&amp;D non-GAAP rows</t>
  </si>
  <si>
    <t xml:space="preserve">S&amp;M % of revenue (non-GAAP)</t>
  </si>
  <si>
    <t xml:space="preserve">S&amp;M (non-GAAP) / revenue; post-commission-change quarters only (Q1 2025 onward)</t>
  </si>
  <si>
    <t xml:space="preserve">Q1 2025 / Q2 2026</t>
  </si>
  <si>
    <t xml:space="preserve">FY2025 commission model change (commissions ~5% -&gt; ~2% of revenue, more capitalized): pre-2025 quarters not comparable; restructuring affects go-to-market.</t>
  </si>
  <si>
    <t xml:space="preserve">Only 6 comparable quarters.</t>
  </si>
  <si>
    <t xml:space="preserve">QA S&amp;M non-GAAP rows; AN-0348..AN-0350; AN-2430</t>
  </si>
  <si>
    <t xml:space="preserve">G&amp;A % of revenue (non-GAAP)</t>
  </si>
  <si>
    <t xml:space="preserve">G&amp;A (non-GAAP) / revenue</t>
  </si>
  <si>
    <t xml:space="preserve">Foundation charitable contribution excluded from non-GAAP in Q3 2024 (handled by the company reconciliation).</t>
  </si>
  <si>
    <t xml:space="preserve">Stable 8.1%-8.9% over the last 8 quarters.</t>
  </si>
  <si>
    <t xml:space="preserve">QA G&amp;A non-GAAP rows</t>
  </si>
  <si>
    <t xml:space="preserve">FCF conversion (adj. FCF / non-GAAP op. income)</t>
  </si>
  <si>
    <t xml:space="preserve">Adjusted FCF / FCF and non-GAAP operating income</t>
  </si>
  <si>
    <t xml:space="preserve">Q1 2021 / Q2 2026 (ratio meaningful from Q4 2022)</t>
  </si>
  <si>
    <t xml:space="preserve">FCF label and add-back scope changed (2021-22, 2023-24, 2025+); ratio fell from 2.0-4.2x (2023-24) to 0.86x (Q2 2026); drivers (interest income, commission capitalization, working capital) not itemized.</t>
  </si>
  <si>
    <t xml:space="preserve">Seasonality exists but the level has shifted; historical ratios do not explain the FY2026 guide (which implies ~1.2x).</t>
  </si>
  <si>
    <t xml:space="preserve">QA FCF and op. income rows; GH-0098, GH-0099</t>
  </si>
  <si>
    <t xml:space="preserve">SBC (GAAP bridge)</t>
  </si>
  <si>
    <t xml:space="preserve">SBC total (non-GAAP reconciliation) / revenue</t>
  </si>
  <si>
    <t xml:space="preserve">July 2026 plan expects ~$15M non-cash SBC credits; foundation share grants (2024) shown separately.</t>
  </si>
  <si>
    <t xml:space="preserve">22 quarters; ratio range is wide but stable in recent quarters.</t>
  </si>
  <si>
    <t xml:space="preserve">QA SBC rows; 6K-20260722-RESTR (Annual)</t>
  </si>
  <si>
    <t xml:space="preserve">Restructuring savings</t>
  </si>
  <si>
    <t xml:space="preserve">None disclosed in USD; only ~20% workforce reduction and charge estimates</t>
  </si>
  <si>
    <t xml:space="preserve">n/a</t>
  </si>
  <si>
    <t xml:space="preserve">July 22, 2026 6-K</t>
  </si>
  <si>
    <t xml:space="preserve">No savings amount, no headcount base at July 2026, no timing of exits.</t>
  </si>
  <si>
    <t xml:space="preserve">Savings can only be inferred indirectly from the FY margin guide raise (~13% -&gt; ~15% -&gt; ~16%); any figure is an assumption.</t>
  </si>
  <si>
    <t xml:space="preserve">GH-0095..GH-0099; Annual restructuring rows (6K-20260722-RESTR)</t>
  </si>
  <si>
    <t xml:space="preserve">Severance cash</t>
  </si>
  <si>
    <t xml:space="preserve">Estimate range only: ~$30-35M severance/benefits (not labelled cash)</t>
  </si>
  <si>
    <t xml:space="preserve">Whether included in the FY adjusted FCF guide is not stated.</t>
  </si>
  <si>
    <t xml:space="preserve">Range disclosed; timing and cash nature assumed.</t>
  </si>
  <si>
    <t xml:space="preserve">Annual restructuring rows (6K-20260722-RESTR)</t>
  </si>
  <si>
    <t xml:space="preserve">Cash balance</t>
  </si>
  <si>
    <t xml:space="preserve">Cash and equivalents; marketable securities</t>
  </si>
  <si>
    <t xml:space="preserve">Q1 2021 / Q2 2026 (securities from Q4 2023)</t>
  </si>
  <si>
    <t xml:space="preserve">Buyback authorization ($870M) fully used by Q2 2026; no new program disclosed.</t>
  </si>
  <si>
    <t xml:space="preserve">Point-in-time balances every quarter.</t>
  </si>
  <si>
    <t xml:space="preserve">QA cash and securities rows</t>
  </si>
  <si>
    <t xml:space="preserve">Interest income</t>
  </si>
  <si>
    <t xml:space="preserve">Not carried in the source book (financial income appears only inside net income)</t>
  </si>
  <si>
    <t xml:space="preserve">Financial income is in the release income statements but was not extracted as a source-book row.</t>
  </si>
  <si>
    <t xml:space="preserve">Cannot be projected from the source book without extending it (a Phase 0 change).</t>
  </si>
  <si>
    <t xml:space="preserve">Headcount (memo for hiring decision)</t>
  </si>
  <si>
    <t xml:space="preserve">Year-end employees only (20-F); ~20% reduction (July 2026)</t>
  </si>
  <si>
    <t xml:space="preserve">FY2021-FY2025 year-end</t>
  </si>
  <si>
    <t xml:space="preserve">No quarterly headcount; no department split by quarter; reduction base unknown.</t>
  </si>
  <si>
    <t xml:space="preserve">Implied headcount must use an Assumed fully loaded cost per head.</t>
  </si>
  <si>
    <t xml:space="preserve">Annual employee rows (20F-FY2021..FY2025)</t>
  </si>
  <si>
    <t xml:space="preserve">Revenue backtest: rolling one-step-ahead forecasts, last 8 quarters (Q3 2024-Q2 2026), using only data available after the prior quarter's release</t>
  </si>
  <si>
    <t xml:space="preserve">Method A: forecast YoY growth = (NDR at t - 1) + mean residual of the last up-to-4 quarters with an EXACT NDR (residual = YoY growth - (NDR - 1)); forecast = same quarter last year x (1 + forecast YoY). Method B-guide: next-quarter guidance midpoint x (1 + median % beat of the 8 prior quarters). Method B-trend (no guidance): latest quarter revenue x (1 + latest QoQ growth + average quarterly change in QoQ growth over the prior 4 quarters).</t>
  </si>
  <si>
    <t xml:space="preserve">Forecast quarter</t>
  </si>
  <si>
    <t xml:space="preserve">Actual revenue (USD m)</t>
  </si>
  <si>
    <t xml:space="preserve">A forecast</t>
  </si>
  <si>
    <t xml:space="preserve">A error (USD m)</t>
  </si>
  <si>
    <t xml:space="preserve">A error %</t>
  </si>
  <si>
    <t xml:space="preserve">B-guide forecast</t>
  </si>
  <si>
    <t xml:space="preserve">B-guide error (USD m)</t>
  </si>
  <si>
    <t xml:space="preserve">B-guide error %</t>
  </si>
  <si>
    <t xml:space="preserve">B-trend forecast</t>
  </si>
  <si>
    <t xml:space="preserve">B-trend error (USD m)</t>
  </si>
  <si>
    <t xml:space="preserve">B-trend error %</t>
  </si>
  <si>
    <t xml:space="preserve">Data used for A (available at t)</t>
  </si>
  <si>
    <t xml:space="preserve">Data used for B-guide</t>
  </si>
  <si>
    <t xml:space="preserve">Data used for B-trend</t>
  </si>
  <si>
    <t xml:space="preserve">Text / label</t>
  </si>
  <si>
    <t xml:space="preserve">Derived (Series /1000)</t>
  </si>
  <si>
    <t xml:space="preserve">Derived</t>
  </si>
  <si>
    <t xml:space="preserve">Q3 2024</t>
  </si>
  <si>
    <t xml:space="preserve">Revenue Q3 2023 (same quarter last year); NDR Q2 2024; residuals for Q4 2023, Q1 2024, Q2 2024 (3 quarters with exact NDR; floors excluded).</t>
  </si>
  <si>
    <t xml:space="preserve">Guidance for Q3 2024 (issued with the Q2 2024 release); % beats Q3 2022-Q2 2024 (8 quarters).</t>
  </si>
  <si>
    <t xml:space="preserve">Revenue Q2 2024; QoQ growth Q2 2024 and Q2 2023.</t>
  </si>
  <si>
    <t xml:space="preserve">Q4 2024</t>
  </si>
  <si>
    <t xml:space="preserve">Revenue Q4 2023 (same quarter last year); NDR Q3 2024; residuals for Q4 2023, Q1 2024, Q2 2024, Q3 2024 (4 quarters with exact NDR; floors excluded).</t>
  </si>
  <si>
    <t xml:space="preserve">Guidance for Q4 2024 (issued with the Q3 2024 release); % beats Q4 2022-Q3 2024 (8 quarters).</t>
  </si>
  <si>
    <t xml:space="preserve">Revenue Q3 2024; QoQ growth Q3 2024 and Q3 2023.</t>
  </si>
  <si>
    <t xml:space="preserve">Q1 2025</t>
  </si>
  <si>
    <t xml:space="preserve">Revenue Q1 2024 (same quarter last year); NDR Q4 2024; residuals for Q1 2024, Q2 2024, Q3 2024, Q4 2024 (4 quarters with exact NDR; floors excluded).</t>
  </si>
  <si>
    <t xml:space="preserve">Guidance for Q1 2025 (issued with the Q4 2024 release); % beats Q1 2023-Q4 2024 (8 quarters).</t>
  </si>
  <si>
    <t xml:space="preserve">Revenue Q4 2024; QoQ growth Q4 2024 and Q4 2023.</t>
  </si>
  <si>
    <t xml:space="preserve">Q2 2025</t>
  </si>
  <si>
    <t xml:space="preserve">Revenue Q2 2024 (same quarter last year); NDR Q1 2025; residuals for Q2 2024, Q3 2024, Q4 2024, Q1 2025 (4 quarters with exact NDR; floors excluded).</t>
  </si>
  <si>
    <t xml:space="preserve">Guidance for Q2 2025 (issued with the Q1 2025 release); % beats Q2 2023-Q1 2025 (8 quarters).</t>
  </si>
  <si>
    <t xml:space="preserve">Revenue Q1 2025; QoQ growth Q1 2025 and Q1 2024.</t>
  </si>
  <si>
    <t xml:space="preserve">Q3 2025</t>
  </si>
  <si>
    <t xml:space="preserve">Revenue Q3 2024 (same quarter last year); NDR Q2 2025; residuals for Q3 2024, Q4 2024, Q1 2025, Q2 2025 (4 quarters with exact NDR; floors excluded).</t>
  </si>
  <si>
    <t xml:space="preserve">Guidance for Q3 2025 (issued with the Q2 2025 release); % beats Q3 2023-Q2 2025 (8 quarters).</t>
  </si>
  <si>
    <t xml:space="preserve">Revenue Q2 2025; QoQ growth Q2 2025 and Q2 2024.</t>
  </si>
  <si>
    <t xml:space="preserve">Q4 2025</t>
  </si>
  <si>
    <t xml:space="preserve">Revenue Q4 2024 (same quarter last year); NDR Q3 2025; residuals for Q4 2024, Q1 2025, Q2 2025, Q3 2025 (4 quarters with exact NDR; floors excluded).</t>
  </si>
  <si>
    <t xml:space="preserve">Guidance for Q4 2025 (issued with the Q3 2025 release); % beats Q4 2023-Q3 2025 (8 quarters).</t>
  </si>
  <si>
    <t xml:space="preserve">Revenue Q3 2025; QoQ growth Q3 2025 and Q3 2024.</t>
  </si>
  <si>
    <t xml:space="preserve">Q1 2026</t>
  </si>
  <si>
    <t xml:space="preserve">Revenue Q1 2025 (same quarter last year); NDR Q4 2025; residuals for Q1 2025, Q2 2025, Q3 2025, Q4 2025 (4 quarters with exact NDR; floors excluded).</t>
  </si>
  <si>
    <t xml:space="preserve">Guidance for Q1 2026 (issued with the Q4 2025 release); % beats Q1 2024-Q4 2025 (8 quarters).</t>
  </si>
  <si>
    <t xml:space="preserve">Revenue Q4 2025; QoQ growth Q4 2025 and Q4 2024.</t>
  </si>
  <si>
    <t xml:space="preserve">Q2 2026</t>
  </si>
  <si>
    <t xml:space="preserve">Revenue Q2 2025 (same quarter last year); NDR Q1 2026; residuals for Q2 2025, Q3 2025, Q4 2025, Q1 2026 (4 quarters with exact NDR; floors excluded).</t>
  </si>
  <si>
    <t xml:space="preserve">Guidance for Q2 2026 (issued with the Q1 2026 release); % beats Q2 2024-Q1 2026 (8 quarters).</t>
  </si>
  <si>
    <t xml:space="preserve">Revenue Q1 2026; QoQ growth Q1 2026 and Q1 2025.</t>
  </si>
  <si>
    <t xml:space="preserve">Summary (Derived)</t>
  </si>
  <si>
    <t xml:space="preserve">Statistic</t>
  </si>
  <si>
    <t xml:space="preserve">Method A</t>
  </si>
  <si>
    <t xml:space="preserve">Method B-guide</t>
  </si>
  <si>
    <t xml:space="preserve">Method B-trend</t>
  </si>
  <si>
    <t xml:space="preserve">Mean error % (bias; + = forecast too high)</t>
  </si>
  <si>
    <t xml:space="preserve">Mean absolute error %</t>
  </si>
  <si>
    <t xml:space="preserve">Mean error (USD m)</t>
  </si>
  <si>
    <t xml:space="preserve">Max absolute error %</t>
  </si>
  <si>
    <t xml:space="preserve">Quarters forecast too high (of 8)</t>
  </si>
  <si>
    <t xml:space="preserve">Conclusion</t>
  </si>
  <si>
    <t xml:space="preserve">Conclusion: use Method B. Method A (NDR-implied existing-customer growth plus a residual new-customer contribution) over-forecast revenue in all 8 quarters (mean error +2.6%, worst +5.1%): its NDR input is ARR-based, its residual rests on only 3-4 exact-NDR quarters, and the NDR basis (point-in-time vs trailing) is not disclosed. Method B-guide (guidance midpoint plus median prior beat) had a mean absolute error of 1.0% and a max error of 1.5% but a slight upward bias (+0.7%, 6 of 8 too high); Method B-trend (sequential growth with the recent deceleration, no guidance) also had a 1.0% mean absolute error, a smaller bias (+0.4%, 4 of 8 too high) and a larger max error (2.5%). For the plan: anchor quarters covered by guidance to guidance (Q3 2026 is the locked call), and project later quarters with the sequential-deceleration form. Caveat: this is a one-step-ahead test; multi-quarter accuracy (relevant for 2027) is not tested here. NDR remains a cross-check and Downside driver, not the revenue engine.</t>
  </si>
  <si>
    <t xml:space="preserve">PROPOSED assumptions for owner approval (Q3 2026-Q4 2027, Base and Downside) - NOT FINAL; no operating model is built here</t>
  </si>
  <si>
    <t xml:space="preserve">Orange = Assumed parameter (proposal). Black = Derived from the parameter by formula. Blue = Sourced copy (current level or locked Q3 call). Base is the central estimate; Downside = faster growth slowdown + NDR toward ~105%.</t>
  </si>
  <si>
    <t xml:space="preserve">Parameter</t>
  </si>
  <si>
    <t xml:space="preserve">Base</t>
  </si>
  <si>
    <t xml:space="preserve">Downside</t>
  </si>
  <si>
    <t xml:space="preserve">Evidence / rationale</t>
  </si>
  <si>
    <t xml:space="preserve">Assumed</t>
  </si>
  <si>
    <t xml:space="preserve">Case</t>
  </si>
  <si>
    <t xml:space="preserve">Current level</t>
  </si>
  <si>
    <t xml:space="preserve">Current: quarter</t>
  </si>
  <si>
    <t xml:space="preserve">Current: Row ID / ref</t>
  </si>
  <si>
    <t xml:space="preserve">Q3 2026</t>
  </si>
  <si>
    <t xml:space="preserve">Q4 2026</t>
  </si>
  <si>
    <t xml:space="preserve">Q1 2027</t>
  </si>
  <si>
    <t xml:space="preserve">Q2 2027</t>
  </si>
  <si>
    <t xml:space="preserve">Q3 2027</t>
  </si>
  <si>
    <t xml:space="preserve">Q4 2027</t>
  </si>
  <si>
    <t xml:space="preserve">Assumed parameter(s)</t>
  </si>
  <si>
    <t xml:space="preserve">Rationale</t>
  </si>
  <si>
    <t xml:space="preserve">Evidence row IDs</t>
  </si>
  <si>
    <t xml:space="preserve">Sensitivity</t>
  </si>
  <si>
    <t xml:space="preserve">Depends on unresolved item</t>
  </si>
  <si>
    <t xml:space="preserve">Row label</t>
  </si>
  <si>
    <t xml:space="preserve">Annual deceleration of same-quarter sequential revenue growth (pp)</t>
  </si>
  <si>
    <t xml:space="preserve">Average QoQ fell ~1.6 pp from 2024 to 2025 and ~1.1 pp from H1 2025 to H1 2026 (Series QoQ column); Base = ~mean; Downside = double.</t>
  </si>
  <si>
    <t xml:space="preserve">Sourced / Derived</t>
  </si>
  <si>
    <t xml:space="preserve">Source-book Row ID</t>
  </si>
  <si>
    <t xml:space="preserve">Assumed / Derived</t>
  </si>
  <si>
    <t xml:space="preserve">Q4 2026 sequential revenue growth</t>
  </si>
  <si>
    <t xml:space="preserve">Base: guidance-implied Q4/Q3 sequential (FY guide mid - H1 actual - Q3 guide mid, vs Q3 guide mid) - Derived; Downside: Base minus 1.3 pp.</t>
  </si>
  <si>
    <t xml:space="preserve">Revenue sequential growth</t>
  </si>
  <si>
    <t xml:space="preserve">Series QoQ (from QA-0037)</t>
  </si>
  <si>
    <t xml:space="preserve">Annual deceleration parameter; Q4 2026 seq</t>
  </si>
  <si>
    <t xml:space="preserve">Method B (supported by the backtest): same-quarter sequential growth of 2026 less an annual deceleration; Q4 2026 anchored to the guidance-implied seasonal step.</t>
  </si>
  <si>
    <t xml:space="preserve">Series QoQ column; GH-0100, GH-0102; QA-0036, QA-0037</t>
  </si>
  <si>
    <t xml:space="preserve">+/-0.5 pp annual deceleration changes FY2027 revenue by about -/+ $9M (Derived estimate in the operating model).</t>
  </si>
  <si>
    <t xml:space="preserve">Derived from Assumed parameters</t>
  </si>
  <si>
    <t xml:space="preserve">NDR change per quarter after Q3 2026 (pp)</t>
  </si>
  <si>
    <t xml:space="preserve">Last-4 average change -0.5 pp included the pricing anniversary; Base halves it; Downside reaches ~105% by Q4 2027 from the Q3 call low (107%).</t>
  </si>
  <si>
    <t xml:space="preserve">Revenue (USD m)</t>
  </si>
  <si>
    <t xml:space="preserve">QA-0037</t>
  </si>
  <si>
    <t xml:space="preserve">Q3 2026 = locked call MID</t>
  </si>
  <si>
    <t xml:space="preserve">Q3 2026 is not re-derived: it is the locked call (Base = MID, Downside = LOW). Later quarters compound the sequential path above.</t>
  </si>
  <si>
    <t xml:space="preserve">monday_q3_call.xlsx Revenue!D55</t>
  </si>
  <si>
    <t xml:space="preserve">See sequential growth row.</t>
  </si>
  <si>
    <t xml:space="preserve">Downside interacts with NDR (not mechanically linked; see Revenue_Backtest).</t>
  </si>
  <si>
    <t xml:space="preserve">Sourced (Q3 call) then Derived</t>
  </si>
  <si>
    <t xml:space="preserve">Net adds of customers &gt;$50k per quarter</t>
  </si>
  <si>
    <t xml:space="preserve">Base = median of last 8 quarters (as in the locked call); Downside = minimum of last 8.</t>
  </si>
  <si>
    <t xml:space="preserve">Non-GAAP gross margin change per quarter (pp)</t>
  </si>
  <si>
    <t xml:space="preserve">Company expects a modest mid-term decline from AI compute (FY2025 20-F); last 4 quarters 89.6% -&gt; 88.9%.</t>
  </si>
  <si>
    <t xml:space="preserve">Q3 2026 = locked call LOW</t>
  </si>
  <si>
    <t xml:space="preserve">monday_q3_call.xlsx Revenue!C55</t>
  </si>
  <si>
    <t xml:space="preserve">R&amp;D % rev change in 2027 vs Q3 2026 implied (pp)</t>
  </si>
  <si>
    <t xml:space="preserve">Restructuring (~20% of workforce) partly offset by "continue hiring in key strategic areas"; Downside: no change in % before management action is modeled (opex $ held, see note).</t>
  </si>
  <si>
    <t xml:space="preserve">NDR - all customers</t>
  </si>
  <si>
    <t xml:space="preserve">QA-1320</t>
  </si>
  <si>
    <t xml:space="preserve">NDR step per quarter</t>
  </si>
  <si>
    <t xml:space="preserve">Q3 2026 = locked call (Base MID / Downside LOW); then a constant quarterly step. Used for the Downside narrative and as a cross-check; not the revenue engine (method A failed the backtest).</t>
  </si>
  <si>
    <t xml:space="preserve">monday_q3_call.xlsx NDR!D37; NDR rows QA (exact since Q4 2023)</t>
  </si>
  <si>
    <t xml:space="preserve">+/-0.25 pp per quarter moves Q4 2027 NDR by +/-1.25 pp.</t>
  </si>
  <si>
    <t xml:space="preserve">NDR measurement basis (point vs trailing) unresolved.</t>
  </si>
  <si>
    <t xml:space="preserve">S&amp;M % rev change in 2027 vs Q3 2026 implied (pp)</t>
  </si>
  <si>
    <t xml:space="preserve">Post-commission-change quarters only (Q1 2025-Q2 2026: 48.1% -&gt; 41.0%).</t>
  </si>
  <si>
    <t xml:space="preserve">monday_q3_call.xlsx NDR!C37; NDR rows QA (exact since Q4 2023)</t>
  </si>
  <si>
    <t xml:space="preserve">G&amp;A % rev change in 2027 vs Q3 2026 implied (pp)</t>
  </si>
  <si>
    <t xml:space="preserve">G&amp;A stable 8.1%-8.9% over the last 8 quarters.</t>
  </si>
  <si>
    <t xml:space="preserve">Customers &gt;$50k ARR</t>
  </si>
  <si>
    <t xml:space="preserve">QA-1426</t>
  </si>
  <si>
    <t xml:space="preserve">Net adds per quarter</t>
  </si>
  <si>
    <t xml:space="preserve">Q3 2026 = locked call; constant net adds thereafter (cross-check driver).</t>
  </si>
  <si>
    <t xml:space="preserve">monday_q3_call.xlsx Customers_50K!D35; Series net adds</t>
  </si>
  <si>
    <t xml:space="preserve">+/-25 net adds per quarter = +/-125 customers by Q4 2027.</t>
  </si>
  <si>
    <t xml:space="preserve">Headcount reduction size (sales capacity).</t>
  </si>
  <si>
    <t xml:space="preserve">Annual adj. FCF / non-GAAP op. income (2027)</t>
  </si>
  <si>
    <t xml:space="preserve">Base: FY2026 guide-implied (FCF guide mid / op. income guide mid) - Derived; Downside: 1.0x.</t>
  </si>
  <si>
    <t xml:space="preserve">monday_q3_call.xlsx Customers_50K!C35; Series net adds</t>
  </si>
  <si>
    <t xml:space="preserve">Severance cash (USD m), H2 2026, split 50/50 Q3/Q4</t>
  </si>
  <si>
    <t xml:space="preserve">Midpoint / top of the ~$30-35M severance-related estimate (July 22, 2026 6-K); cash nature and timing assumed.</t>
  </si>
  <si>
    <t xml:space="preserve">QA-0511</t>
  </si>
  <si>
    <t xml:space="preserve">GM step per quarter</t>
  </si>
  <si>
    <t xml:space="preserve">Drift down from Q2 2026 (88.9%) per company AI-compute expectation.</t>
  </si>
  <si>
    <t xml:space="preserve">Series GM column; source-book Definitions (cost of revenue)</t>
  </si>
  <si>
    <t xml:space="preserve">+/-0.1 pp per quarter = about +/-$1M per quarter of gross profit in 2027 per 0.1 pp step.</t>
  </si>
  <si>
    <t xml:space="preserve">Derived from Assumed parameter</t>
  </si>
  <si>
    <t xml:space="preserve">SBC % of revenue (GAAP bridge), 2026 H2-2027</t>
  </si>
  <si>
    <t xml:space="preserve">Recent quarters ~8%-12% of revenue; ~$15M SBC credit from the plan not separately modeled in this proposal.</t>
  </si>
  <si>
    <t xml:space="preserve">Fully loaded cost per head (USD k/yr) for the implied-headcount memo</t>
  </si>
  <si>
    <t xml:space="preserve">Calibrated so FY2025 non-GAAP opex / cost per head = average FY2025 headcount (calibration row below; rounded to $10k). Includes non-people opex (advertising, hosting), so it is a calibration constant, not a salary.</t>
  </si>
  <si>
    <t xml:space="preserve">R&amp;D % rev (non-GAAP)</t>
  </si>
  <si>
    <t xml:space="preserve">QA-0587</t>
  </si>
  <si>
    <t xml:space="preserve">2027 change parameter</t>
  </si>
  <si>
    <t xml:space="preserve">Q3 2026 = Q2 2026 ratio scaled so total opex matches the locked call (GM - op. margin); Q4 2026 held; 2027 = Q3 2026 ratio plus the 2027 change parameter (restructuring net of reinvestment).</t>
  </si>
  <si>
    <t xml:space="preserve">Series ratio columns</t>
  </si>
  <si>
    <t xml:space="preserve">Each 1 pp of revenue = about $17M of 2027 operating income at Base revenue.</t>
  </si>
  <si>
    <t xml:space="preserve">Headcount reduction size (savings not disclosed).</t>
  </si>
  <si>
    <t xml:space="preserve">Derived from Assumed parameter / locked call</t>
  </si>
  <si>
    <t xml:space="preserve">Share repurchases (USD m per quarter)</t>
  </si>
  <si>
    <t xml:space="preserve">The $870M authorization was fully used by Q2 2026; no new program disclosed.</t>
  </si>
  <si>
    <t xml:space="preserve">none (opex $ held)</t>
  </si>
  <si>
    <t xml:space="preserve">Downside BEFORE management action: opex dollars held at Base, so the ratio rises as revenue falls; the response is a model output, not an assumption.</t>
  </si>
  <si>
    <t xml:space="preserve">S&amp;M % rev (non-GAAP)</t>
  </si>
  <si>
    <t xml:space="preserve">QA-0625</t>
  </si>
  <si>
    <t xml:space="preserve">Series ratio columns; S&amp;M ratios only Q1 2025 onward (AN-0348..AN-0350)</t>
  </si>
  <si>
    <t xml:space="preserve">Guidance inputs (Sourced) for derived parameters</t>
  </si>
  <si>
    <t xml:space="preserve">GH-0100 low (FY 2026 Revenue)</t>
  </si>
  <si>
    <t xml:space="preserve">GH-0100</t>
  </si>
  <si>
    <t xml:space="preserve">G&amp;A % rev (non-GAAP)</t>
  </si>
  <si>
    <t xml:space="preserve">QA-0663</t>
  </si>
  <si>
    <t xml:space="preserve">GH-0100 high (FY 2026 Revenue)</t>
  </si>
  <si>
    <t xml:space="preserve">GH-0102 low (Q3 2026 Revenue)</t>
  </si>
  <si>
    <t xml:space="preserve">GH-0102</t>
  </si>
  <si>
    <t xml:space="preserve">Implied non-GAAP operating margin (memo)</t>
  </si>
  <si>
    <t xml:space="preserve">QA-0701</t>
  </si>
  <si>
    <t xml:space="preserve">none (memo)</t>
  </si>
  <si>
    <t xml:space="preserve">Memo only: GM minus opex ratios; Base Q3 2026 equals the locked call margin by construction.</t>
  </si>
  <si>
    <t xml:space="preserve">Rows above</t>
  </si>
  <si>
    <t xml:space="preserve">See opex rows.</t>
  </si>
  <si>
    <t xml:space="preserve">GH-0102 high (Q3 2026 Revenue)</t>
  </si>
  <si>
    <t xml:space="preserve">GH-0098 low (FY 2026 Adjusted free cash flow)</t>
  </si>
  <si>
    <t xml:space="preserve">GH-0098</t>
  </si>
  <si>
    <t xml:space="preserve">Adjusted FCF (USD m)</t>
  </si>
  <si>
    <t xml:space="preserve">QA-1103</t>
  </si>
  <si>
    <t xml:space="preserve">Annual conversion (2027)</t>
  </si>
  <si>
    <t xml:space="preserve">Q3-Q4 2026: low-confidence figures tied to the FY guide (FY adj. FCF guide mid - H1 actual, split by 2023-2025 Q3 share), to be carried by the model with a label (Q3 was a NO CALL); 2027: non-GAAP op. income x annual conversion (Base = FY2026 guide-implied ~1.2x, Downside 1.0x), phased in the model by historical quarterly shares.</t>
  </si>
  <si>
    <t xml:space="preserve">GH-0098, GH-0099; Series conversion column; analysis Cash_Conversion seasonality</t>
  </si>
  <si>
    <t xml:space="preserve">+/-0.1x conversion = about +/-$30M of 2027 FCF.</t>
  </si>
  <si>
    <t xml:space="preserve">Severance cash in the FY FCF guide (unresolved).</t>
  </si>
  <si>
    <t xml:space="preserve">GH-0098 high (FY 2026 Adjusted free cash flow)</t>
  </si>
  <si>
    <t xml:space="preserve">GH-0099 low (FY 2026 Non-GAAP operating income (loss))</t>
  </si>
  <si>
    <t xml:space="preserve">GH-0099</t>
  </si>
  <si>
    <t xml:space="preserve">Severance cash (USD m, outflow)</t>
  </si>
  <si>
    <t xml:space="preserve">Severance cash total</t>
  </si>
  <si>
    <t xml:space="preserve">Explicit Assumed cash item, split evenly Q3/Q4 2026; excluded from non-GAAP.</t>
  </si>
  <si>
    <t xml:space="preserve">6K-20260722-RESTR estimates ($30-35M)</t>
  </si>
  <si>
    <t xml:space="preserve">+/-$5M total; timing shift between Q3 and Q4 moves quarterly FCF one-for-one.</t>
  </si>
  <si>
    <t xml:space="preserve">Severance cash in the FY FCF guide; headcount reduction size.</t>
  </si>
  <si>
    <t xml:space="preserve">GH-0099 high (FY 2026 Non-GAAP operating income (loss))</t>
  </si>
  <si>
    <t xml:space="preserve">H1 2026 revenue (USD k)</t>
  </si>
  <si>
    <t xml:space="preserve">QA-0038</t>
  </si>
  <si>
    <t xml:space="preserve">SBC (USD m, GAAP bridge)</t>
  </si>
  <si>
    <t xml:space="preserve">QA-0869</t>
  </si>
  <si>
    <t xml:space="preserve">SBC % of revenue</t>
  </si>
  <si>
    <t xml:space="preserve">Flat % of revenue; restructuring SBC credit (~$15M) to be shown separately in the GAAP bridge.</t>
  </si>
  <si>
    <t xml:space="preserve">Series SBC % column; 6K-20260722-RESTR</t>
  </si>
  <si>
    <t xml:space="preserve">+/-1 pp of revenue = about +/-$17M per year of GAAP operating income.</t>
  </si>
  <si>
    <t xml:space="preserve">Locked Q3 2026 call: non-GAAP op. income MID (USD m)</t>
  </si>
  <si>
    <t xml:space="preserve">monday_q3_call.xlsx OpIncome_Margin!D90</t>
  </si>
  <si>
    <t xml:space="preserve">Implied headcount memo (heads, opex-based)</t>
  </si>
  <si>
    <t xml:space="preserve">Annual employee rows (FY2025 year-end 3,155)</t>
  </si>
  <si>
    <t xml:space="preserve">Cost per head</t>
  </si>
  <si>
    <t xml:space="preserve">MEMO ONLY: annualized non-GAAP opex / Assumed fully loaded cost per head; overstates heads because opex includes advertising, hosting and other non-people costs. Used only to express hiring decisions in heads.</t>
  </si>
  <si>
    <t xml:space="preserve">Annual employee rows (20F-FY2025); Series opex</t>
  </si>
  <si>
    <t xml:space="preserve">+/-$50k per head changes implied heads by about -/+20%.</t>
  </si>
  <si>
    <t xml:space="preserve">Headcount reduction size.</t>
  </si>
  <si>
    <t xml:space="preserve">H1 2026 adjusted FCF (USD k)</t>
  </si>
  <si>
    <t xml:space="preserve">QA-1104</t>
  </si>
  <si>
    <t xml:space="preserve">H2 2026 adj. FCF implied by FY guide midpoint (USD m)</t>
  </si>
  <si>
    <t xml:space="preserve">Share repurchases (USD m)</t>
  </si>
  <si>
    <t xml:space="preserve">Authorization exhausted (ER-2026Q2)</t>
  </si>
  <si>
    <t xml:space="preserve">Buybacks per quarter</t>
  </si>
  <si>
    <t xml:space="preserve">FLAG: none assumed; the $870M authorization was fully used by Q2 2026 and no new program is disclosed.</t>
  </si>
  <si>
    <t xml:space="preserve">QA repurchase rows; ER-2026Q2</t>
  </si>
  <si>
    <t xml:space="preserve">A new program would reduce cash one-for-one.</t>
  </si>
  <si>
    <t xml:space="preserve">Assumed (flagged)</t>
  </si>
  <si>
    <t xml:space="preserve">Mean Q3 share of H2 adj. FCF, 2023-2025</t>
  </si>
  <si>
    <t xml:space="preserve">Employees, Dec 31, 2024 (AN-0085)</t>
  </si>
  <si>
    <t xml:space="preserve">AN-0085 / 20F-FY2024</t>
  </si>
  <si>
    <t xml:space="preserve">Employees, Dec 31, 2025 (AN-0051)</t>
  </si>
  <si>
    <t xml:space="preserve">AN-0051 / 20F-FY2025</t>
  </si>
  <si>
    <t xml:space="preserve">Interest income: NOT PROPOSED - not in the source book (see Driver_Map). cRPO / RPO: cross-check only (too sparse). Restructuring savings: not proposed separately; expressed through the 2027 opex-ratio parameters.</t>
  </si>
  <si>
    <t xml:space="preserve">Calibration: FY2025 non-GAAP opex / average FY2025 headcount (USD k per head)</t>
  </si>
  <si>
    <t xml:space="preserve">Unresolved items: (1) NDR measurement basis -&gt; NDR rows; (2) severance cash in the FY FCF guide -&gt; FCF and severance rows; (3) headcount reduction size / base -&gt; opex ratios, customer adds, implied headcount.</t>
  </si>
  <si>
    <t xml:space="preserve">Historical driver series copied from the source book (Quarterly_Actuals / Guidance_History) with Row IDs</t>
  </si>
  <si>
    <t xml:space="preserve">Blue = Sourced copy; adjacent column = source-book Row ID. Blank = not disclosed (or disclosed only as a floor, excluded). USD thousands unless stated.</t>
  </si>
  <si>
    <t xml:space="preserve">Quarter</t>
  </si>
  <si>
    <t xml:space="preserve">Revenue</t>
  </si>
  <si>
    <t xml:space="preserve">Row ID</t>
  </si>
  <si>
    <t xml:space="preserve">Gross profit (non-GAAP)</t>
  </si>
  <si>
    <t xml:space="preserve">R&amp;D (non-GAAP)</t>
  </si>
  <si>
    <t xml:space="preserve">S&amp;M (non-GAAP)</t>
  </si>
  <si>
    <t xml:space="preserve">G&amp;A (non-GAAP)</t>
  </si>
  <si>
    <t xml:space="preserve">Operating income (non-GAAP)</t>
  </si>
  <si>
    <t xml:space="preserve">SBC total</t>
  </si>
  <si>
    <t xml:space="preserve">Adjusted FCF / FCF</t>
  </si>
  <si>
    <t xml:space="preserve">Cash and equivalents</t>
  </si>
  <si>
    <t xml:space="preserve">Marketable securities</t>
  </si>
  <si>
    <t xml:space="preserve">NDR all customers (exact only)</t>
  </si>
  <si>
    <t xml:space="preserve">Customers &gt;$100k ARR</t>
  </si>
  <si>
    <t xml:space="preserve">RPO (release, USD m)</t>
  </si>
  <si>
    <t xml:space="preserve">cRPO (release, USD m)</t>
  </si>
  <si>
    <t xml:space="preserve">Revenue guide low (USD m)</t>
  </si>
  <si>
    <t xml:space="preserve">Revenue guide high (USD m)</t>
  </si>
  <si>
    <t xml:space="preserve">GH Row ID</t>
  </si>
  <si>
    <t xml:space="preserve">Revenue YoY growth</t>
  </si>
  <si>
    <t xml:space="preserve">Revenue QoQ growth</t>
  </si>
  <si>
    <t xml:space="preserve">Residual = YoY growth - (NDR - 1)</t>
  </si>
  <si>
    <t xml:space="preserve">Guide midpoint (USD m)</t>
  </si>
  <si>
    <t xml:space="preserve">% beat vs guide midpoint</t>
  </si>
  <si>
    <t xml:space="preserve">Op. margin (non-GAAP)</t>
  </si>
  <si>
    <t xml:space="preserve">Adj. FCF / non-GAAP op. income</t>
  </si>
  <si>
    <t xml:space="preserve">SBC % rev</t>
  </si>
  <si>
    <t xml:space="preserve">Net adds &gt;$50k</t>
  </si>
  <si>
    <t xml:space="preserve">Sourced (copied)</t>
  </si>
  <si>
    <t xml:space="preserve">Derived (formula)</t>
  </si>
  <si>
    <t xml:space="preserve">Q1 2021</t>
  </si>
  <si>
    <t xml:space="preserve">QA-0001</t>
  </si>
  <si>
    <t xml:space="preserve">QA-0475</t>
  </si>
  <si>
    <t xml:space="preserve">QA-0551</t>
  </si>
  <si>
    <t xml:space="preserve">QA-0589</t>
  </si>
  <si>
    <t xml:space="preserve">QA-0627</t>
  </si>
  <si>
    <t xml:space="preserve">QA-0665</t>
  </si>
  <si>
    <t xml:space="preserve">QA-0833</t>
  </si>
  <si>
    <t xml:space="preserve">QA-1067</t>
  </si>
  <si>
    <t xml:space="preserve">QA-1212</t>
  </si>
  <si>
    <t xml:space="preserve">QA-1405</t>
  </si>
  <si>
    <t xml:space="preserve">Q2 2021</t>
  </si>
  <si>
    <t xml:space="preserve">QA-0002</t>
  </si>
  <si>
    <t xml:space="preserve">QA-0476</t>
  </si>
  <si>
    <t xml:space="preserve">QA-0552</t>
  </si>
  <si>
    <t xml:space="preserve">QA-0590</t>
  </si>
  <si>
    <t xml:space="preserve">QA-0628</t>
  </si>
  <si>
    <t xml:space="preserve">QA-0666</t>
  </si>
  <si>
    <t xml:space="preserve">QA-0834</t>
  </si>
  <si>
    <t xml:space="preserve">QA-1068</t>
  </si>
  <si>
    <t xml:space="preserve">QA-1213</t>
  </si>
  <si>
    <t xml:space="preserve">QA-1406</t>
  </si>
  <si>
    <t xml:space="preserve">Q3 2021</t>
  </si>
  <si>
    <t xml:space="preserve">QA-0004</t>
  </si>
  <si>
    <t xml:space="preserve">QA-0478</t>
  </si>
  <si>
    <t xml:space="preserve">QA-0554</t>
  </si>
  <si>
    <t xml:space="preserve">QA-0592</t>
  </si>
  <si>
    <t xml:space="preserve">QA-0630</t>
  </si>
  <si>
    <t xml:space="preserve">QA-0668</t>
  </si>
  <si>
    <t xml:space="preserve">QA-0836</t>
  </si>
  <si>
    <t xml:space="preserve">QA-1070</t>
  </si>
  <si>
    <t xml:space="preserve">QA-1214</t>
  </si>
  <si>
    <t xml:space="preserve">QA-1407</t>
  </si>
  <si>
    <t xml:space="preserve">GH-0004</t>
  </si>
  <si>
    <t xml:space="preserve">Q4 2021</t>
  </si>
  <si>
    <t xml:space="preserve">QA-0006</t>
  </si>
  <si>
    <t xml:space="preserve">QA-0480</t>
  </si>
  <si>
    <t xml:space="preserve">QA-0556</t>
  </si>
  <si>
    <t xml:space="preserve">QA-0594</t>
  </si>
  <si>
    <t xml:space="preserve">QA-0632</t>
  </si>
  <si>
    <t xml:space="preserve">QA-0670</t>
  </si>
  <si>
    <t xml:space="preserve">QA-0838</t>
  </si>
  <si>
    <t xml:space="preserve">QA-1072</t>
  </si>
  <si>
    <t xml:space="preserve">QA-1215</t>
  </si>
  <si>
    <t xml:space="preserve">QA-1408</t>
  </si>
  <si>
    <t xml:space="preserve">GH-0008</t>
  </si>
  <si>
    <t xml:space="preserve">Q1 2022</t>
  </si>
  <si>
    <t xml:space="preserve">QA-0008</t>
  </si>
  <si>
    <t xml:space="preserve">QA-0482</t>
  </si>
  <si>
    <t xml:space="preserve">QA-0558</t>
  </si>
  <si>
    <t xml:space="preserve">QA-0596</t>
  </si>
  <si>
    <t xml:space="preserve">QA-0634</t>
  </si>
  <si>
    <t xml:space="preserve">QA-0672</t>
  </si>
  <si>
    <t xml:space="preserve">QA-0840</t>
  </si>
  <si>
    <t xml:space="preserve">QA-1074</t>
  </si>
  <si>
    <t xml:space="preserve">QA-1216</t>
  </si>
  <si>
    <t xml:space="preserve">QA-1409</t>
  </si>
  <si>
    <t xml:space="preserve">GH-0012</t>
  </si>
  <si>
    <t xml:space="preserve">Q2 2022</t>
  </si>
  <si>
    <t xml:space="preserve">QA-0009</t>
  </si>
  <si>
    <t xml:space="preserve">QA-0483</t>
  </si>
  <si>
    <t xml:space="preserve">QA-0559</t>
  </si>
  <si>
    <t xml:space="preserve">QA-0597</t>
  </si>
  <si>
    <t xml:space="preserve">QA-0635</t>
  </si>
  <si>
    <t xml:space="preserve">QA-0673</t>
  </si>
  <si>
    <t xml:space="preserve">QA-0841</t>
  </si>
  <si>
    <t xml:space="preserve">QA-1075</t>
  </si>
  <si>
    <t xml:space="preserve">QA-1217</t>
  </si>
  <si>
    <t xml:space="preserve">QA-1410</t>
  </si>
  <si>
    <t xml:space="preserve">GH-0016</t>
  </si>
  <si>
    <t xml:space="preserve">Q3 2022</t>
  </si>
  <si>
    <t xml:space="preserve">QA-0011</t>
  </si>
  <si>
    <t xml:space="preserve">QA-0485</t>
  </si>
  <si>
    <t xml:space="preserve">QA-0561</t>
  </si>
  <si>
    <t xml:space="preserve">QA-0599</t>
  </si>
  <si>
    <t xml:space="preserve">QA-0637</t>
  </si>
  <si>
    <t xml:space="preserve">QA-0675</t>
  </si>
  <si>
    <t xml:space="preserve">QA-0843</t>
  </si>
  <si>
    <t xml:space="preserve">QA-1077</t>
  </si>
  <si>
    <t xml:space="preserve">QA-1218</t>
  </si>
  <si>
    <t xml:space="preserve">QA-1411</t>
  </si>
  <si>
    <t xml:space="preserve">GH-0020</t>
  </si>
  <si>
    <t xml:space="preserve">Q4 2022</t>
  </si>
  <si>
    <t xml:space="preserve">QA-0013</t>
  </si>
  <si>
    <t xml:space="preserve">QA-0487</t>
  </si>
  <si>
    <t xml:space="preserve">QA-0563</t>
  </si>
  <si>
    <t xml:space="preserve">QA-0601</t>
  </si>
  <si>
    <t xml:space="preserve">QA-0639</t>
  </si>
  <si>
    <t xml:space="preserve">QA-0677</t>
  </si>
  <si>
    <t xml:space="preserve">QA-0845</t>
  </si>
  <si>
    <t xml:space="preserve">QA-1079</t>
  </si>
  <si>
    <t xml:space="preserve">QA-1219</t>
  </si>
  <si>
    <t xml:space="preserve">QA-1412</t>
  </si>
  <si>
    <t xml:space="preserve">QA-1379</t>
  </si>
  <si>
    <t xml:space="preserve">GH-0024</t>
  </si>
  <si>
    <t xml:space="preserve">Q1 2023</t>
  </si>
  <si>
    <t xml:space="preserve">QA-0015</t>
  </si>
  <si>
    <t xml:space="preserve">QA-0489</t>
  </si>
  <si>
    <t xml:space="preserve">QA-0565</t>
  </si>
  <si>
    <t xml:space="preserve">QA-0603</t>
  </si>
  <si>
    <t xml:space="preserve">QA-0641</t>
  </si>
  <si>
    <t xml:space="preserve">QA-0679</t>
  </si>
  <si>
    <t xml:space="preserve">QA-0847</t>
  </si>
  <si>
    <t xml:space="preserve">QA-1081</t>
  </si>
  <si>
    <t xml:space="preserve">QA-1220</t>
  </si>
  <si>
    <t xml:space="preserve">QA-1413</t>
  </si>
  <si>
    <t xml:space="preserve">QA-1380</t>
  </si>
  <si>
    <t xml:space="preserve">GH-0028</t>
  </si>
  <si>
    <t xml:space="preserve">Q2 2023</t>
  </si>
  <si>
    <t xml:space="preserve">QA-0016</t>
  </si>
  <si>
    <t xml:space="preserve">QA-0490</t>
  </si>
  <si>
    <t xml:space="preserve">QA-0566</t>
  </si>
  <si>
    <t xml:space="preserve">QA-0604</t>
  </si>
  <si>
    <t xml:space="preserve">QA-0642</t>
  </si>
  <si>
    <t xml:space="preserve">QA-0680</t>
  </si>
  <si>
    <t xml:space="preserve">QA-0848</t>
  </si>
  <si>
    <t xml:space="preserve">QA-1082</t>
  </si>
  <si>
    <t xml:space="preserve">QA-1221</t>
  </si>
  <si>
    <t xml:space="preserve">QA-1414</t>
  </si>
  <si>
    <t xml:space="preserve">QA-1381</t>
  </si>
  <si>
    <t xml:space="preserve">GH-0032</t>
  </si>
  <si>
    <t xml:space="preserve">Q3 2023</t>
  </si>
  <si>
    <t xml:space="preserve">QA-0018</t>
  </si>
  <si>
    <t xml:space="preserve">QA-0492</t>
  </si>
  <si>
    <t xml:space="preserve">QA-0568</t>
  </si>
  <si>
    <t xml:space="preserve">QA-0606</t>
  </si>
  <si>
    <t xml:space="preserve">QA-0644</t>
  </si>
  <si>
    <t xml:space="preserve">QA-0682</t>
  </si>
  <si>
    <t xml:space="preserve">QA-0850</t>
  </si>
  <si>
    <t xml:space="preserve">QA-1084</t>
  </si>
  <si>
    <t xml:space="preserve">QA-1222</t>
  </si>
  <si>
    <t xml:space="preserve">QA-1415</t>
  </si>
  <si>
    <t xml:space="preserve">QA-1382</t>
  </si>
  <si>
    <t xml:space="preserve">GH-0036</t>
  </si>
  <si>
    <t xml:space="preserve">Q4 2023</t>
  </si>
  <si>
    <t xml:space="preserve">QA-0020</t>
  </si>
  <si>
    <t xml:space="preserve">QA-0494</t>
  </si>
  <si>
    <t xml:space="preserve">QA-0570</t>
  </si>
  <si>
    <t xml:space="preserve">QA-0608</t>
  </si>
  <si>
    <t xml:space="preserve">QA-0646</t>
  </si>
  <si>
    <t xml:space="preserve">QA-0684</t>
  </si>
  <si>
    <t xml:space="preserve">QA-0852</t>
  </si>
  <si>
    <t xml:space="preserve">QA-1086</t>
  </si>
  <si>
    <t xml:space="preserve">QA-1223</t>
  </si>
  <si>
    <t xml:space="preserve">QA-1310</t>
  </si>
  <si>
    <t xml:space="preserve">QA-1416</t>
  </si>
  <si>
    <t xml:space="preserve">QA-1383</t>
  </si>
  <si>
    <t xml:space="preserve">GH-0040</t>
  </si>
  <si>
    <t xml:space="preserve">Q1 2024</t>
  </si>
  <si>
    <t xml:space="preserve">QA-0022</t>
  </si>
  <si>
    <t xml:space="preserve">QA-0496</t>
  </si>
  <si>
    <t xml:space="preserve">QA-0572</t>
  </si>
  <si>
    <t xml:space="preserve">QA-0610</t>
  </si>
  <si>
    <t xml:space="preserve">QA-0648</t>
  </si>
  <si>
    <t xml:space="preserve">QA-0686</t>
  </si>
  <si>
    <t xml:space="preserve">QA-0854</t>
  </si>
  <si>
    <t xml:space="preserve">QA-1088</t>
  </si>
  <si>
    <t xml:space="preserve">QA-1224</t>
  </si>
  <si>
    <t xml:space="preserve">QA-1311</t>
  </si>
  <si>
    <t xml:space="preserve">QA-1417</t>
  </si>
  <si>
    <t xml:space="preserve">QA-1384</t>
  </si>
  <si>
    <t xml:space="preserve">GH-0046</t>
  </si>
  <si>
    <t xml:space="preserve">Q2 2024</t>
  </si>
  <si>
    <t xml:space="preserve">QA-0023</t>
  </si>
  <si>
    <t xml:space="preserve">QA-0497</t>
  </si>
  <si>
    <t xml:space="preserve">QA-0573</t>
  </si>
  <si>
    <t xml:space="preserve">QA-0611</t>
  </si>
  <si>
    <t xml:space="preserve">QA-0649</t>
  </si>
  <si>
    <t xml:space="preserve">QA-0687</t>
  </si>
  <si>
    <t xml:space="preserve">QA-0855</t>
  </si>
  <si>
    <t xml:space="preserve">QA-1089</t>
  </si>
  <si>
    <t xml:space="preserve">QA-1225</t>
  </si>
  <si>
    <t xml:space="preserve">QA-1312</t>
  </si>
  <si>
    <t xml:space="preserve">QA-1418</t>
  </si>
  <si>
    <t xml:space="preserve">QA-1385</t>
  </si>
  <si>
    <t xml:space="preserve">GH-0052</t>
  </si>
  <si>
    <t xml:space="preserve">QA-0025</t>
  </si>
  <si>
    <t xml:space="preserve">QA-0499</t>
  </si>
  <si>
    <t xml:space="preserve">QA-0575</t>
  </si>
  <si>
    <t xml:space="preserve">QA-0613</t>
  </si>
  <si>
    <t xml:space="preserve">QA-0651</t>
  </si>
  <si>
    <t xml:space="preserve">QA-0689</t>
  </si>
  <si>
    <t xml:space="preserve">QA-0857</t>
  </si>
  <si>
    <t xml:space="preserve">QA-1091</t>
  </si>
  <si>
    <t xml:space="preserve">QA-1226</t>
  </si>
  <si>
    <t xml:space="preserve">QA-1237</t>
  </si>
  <si>
    <t xml:space="preserve">QA-1313</t>
  </si>
  <si>
    <t xml:space="preserve">QA-1419</t>
  </si>
  <si>
    <t xml:space="preserve">QA-1386</t>
  </si>
  <si>
    <t xml:space="preserve">QA-1528</t>
  </si>
  <si>
    <t xml:space="preserve">GH-0058</t>
  </si>
  <si>
    <t xml:space="preserve">QA-0027</t>
  </si>
  <si>
    <t xml:space="preserve">QA-0501</t>
  </si>
  <si>
    <t xml:space="preserve">QA-0577</t>
  </si>
  <si>
    <t xml:space="preserve">QA-0615</t>
  </si>
  <si>
    <t xml:space="preserve">QA-0653</t>
  </si>
  <si>
    <t xml:space="preserve">QA-0691</t>
  </si>
  <si>
    <t xml:space="preserve">QA-0859</t>
  </si>
  <si>
    <t xml:space="preserve">QA-1093</t>
  </si>
  <si>
    <t xml:space="preserve">QA-1227</t>
  </si>
  <si>
    <t xml:space="preserve">QA-1238</t>
  </si>
  <si>
    <t xml:space="preserve">QA-1314</t>
  </si>
  <si>
    <t xml:space="preserve">QA-1420</t>
  </si>
  <si>
    <t xml:space="preserve">QA-1387</t>
  </si>
  <si>
    <t xml:space="preserve">QA-1529</t>
  </si>
  <si>
    <t xml:space="preserve">QA-1519</t>
  </si>
  <si>
    <t xml:space="preserve">GH-0064</t>
  </si>
  <si>
    <t xml:space="preserve">QA-0029</t>
  </si>
  <si>
    <t xml:space="preserve">QA-0503</t>
  </si>
  <si>
    <t xml:space="preserve">QA-0579</t>
  </si>
  <si>
    <t xml:space="preserve">QA-0617</t>
  </si>
  <si>
    <t xml:space="preserve">QA-0655</t>
  </si>
  <si>
    <t xml:space="preserve">QA-0693</t>
  </si>
  <si>
    <t xml:space="preserve">QA-0861</t>
  </si>
  <si>
    <t xml:space="preserve">QA-1095</t>
  </si>
  <si>
    <t xml:space="preserve">QA-1228</t>
  </si>
  <si>
    <t xml:space="preserve">QA-1239</t>
  </si>
  <si>
    <t xml:space="preserve">QA-1315</t>
  </si>
  <si>
    <t xml:space="preserve">QA-1421</t>
  </si>
  <si>
    <t xml:space="preserve">QA-1388</t>
  </si>
  <si>
    <t xml:space="preserve">QA-1530</t>
  </si>
  <si>
    <t xml:space="preserve">QA-1520</t>
  </si>
  <si>
    <t xml:space="preserve">GH-0069</t>
  </si>
  <si>
    <t xml:space="preserve">QA-0030</t>
  </si>
  <si>
    <t xml:space="preserve">QA-0504</t>
  </si>
  <si>
    <t xml:space="preserve">QA-0580</t>
  </si>
  <si>
    <t xml:space="preserve">QA-0618</t>
  </si>
  <si>
    <t xml:space="preserve">QA-0656</t>
  </si>
  <si>
    <t xml:space="preserve">QA-0694</t>
  </si>
  <si>
    <t xml:space="preserve">QA-0862</t>
  </si>
  <si>
    <t xml:space="preserve">QA-1096</t>
  </si>
  <si>
    <t xml:space="preserve">QA-1229</t>
  </si>
  <si>
    <t xml:space="preserve">QA-1240</t>
  </si>
  <si>
    <t xml:space="preserve">QA-1316</t>
  </si>
  <si>
    <t xml:space="preserve">QA-1422</t>
  </si>
  <si>
    <t xml:space="preserve">QA-1389</t>
  </si>
  <si>
    <t xml:space="preserve">QA-1531</t>
  </si>
  <si>
    <t xml:space="preserve">QA-1521</t>
  </si>
  <si>
    <t xml:space="preserve">GH-0074</t>
  </si>
  <si>
    <t xml:space="preserve">QA-0032</t>
  </si>
  <si>
    <t xml:space="preserve">QA-0506</t>
  </si>
  <si>
    <t xml:space="preserve">QA-0582</t>
  </si>
  <si>
    <t xml:space="preserve">QA-0620</t>
  </si>
  <si>
    <t xml:space="preserve">QA-0658</t>
  </si>
  <si>
    <t xml:space="preserve">QA-0696</t>
  </si>
  <si>
    <t xml:space="preserve">QA-0864</t>
  </si>
  <si>
    <t xml:space="preserve">QA-1098</t>
  </si>
  <si>
    <t xml:space="preserve">QA-1230</t>
  </si>
  <si>
    <t xml:space="preserve">QA-1241</t>
  </si>
  <si>
    <t xml:space="preserve">QA-1317</t>
  </si>
  <si>
    <t xml:space="preserve">QA-1423</t>
  </si>
  <si>
    <t xml:space="preserve">QA-1390</t>
  </si>
  <si>
    <t xml:space="preserve">QA-1532</t>
  </si>
  <si>
    <t xml:space="preserve">GH-0079</t>
  </si>
  <si>
    <t xml:space="preserve">QA-0034</t>
  </si>
  <si>
    <t xml:space="preserve">QA-0508</t>
  </si>
  <si>
    <t xml:space="preserve">QA-0584</t>
  </si>
  <si>
    <t xml:space="preserve">QA-0622</t>
  </si>
  <si>
    <t xml:space="preserve">QA-0660</t>
  </si>
  <si>
    <t xml:space="preserve">QA-0698</t>
  </si>
  <si>
    <t xml:space="preserve">QA-0866</t>
  </si>
  <si>
    <t xml:space="preserve">QA-1100</t>
  </si>
  <si>
    <t xml:space="preserve">QA-1231</t>
  </si>
  <si>
    <t xml:space="preserve">QA-1242</t>
  </si>
  <si>
    <t xml:space="preserve">QA-1318</t>
  </si>
  <si>
    <t xml:space="preserve">QA-1424</t>
  </si>
  <si>
    <t xml:space="preserve">QA-1391</t>
  </si>
  <si>
    <t xml:space="preserve">QA-1533</t>
  </si>
  <si>
    <t xml:space="preserve">QA-1522</t>
  </si>
  <si>
    <t xml:space="preserve">GH-0084</t>
  </si>
  <si>
    <t xml:space="preserve">QA-0036</t>
  </si>
  <si>
    <t xml:space="preserve">QA-0510</t>
  </si>
  <si>
    <t xml:space="preserve">QA-0586</t>
  </si>
  <si>
    <t xml:space="preserve">QA-0624</t>
  </si>
  <si>
    <t xml:space="preserve">QA-0662</t>
  </si>
  <si>
    <t xml:space="preserve">QA-0700</t>
  </si>
  <si>
    <t xml:space="preserve">QA-0868</t>
  </si>
  <si>
    <t xml:space="preserve">QA-1102</t>
  </si>
  <si>
    <t xml:space="preserve">QA-1232</t>
  </si>
  <si>
    <t xml:space="preserve">QA-1243</t>
  </si>
  <si>
    <t xml:space="preserve">QA-1319</t>
  </si>
  <si>
    <t xml:space="preserve">QA-1425</t>
  </si>
  <si>
    <t xml:space="preserve">QA-1392</t>
  </si>
  <si>
    <t xml:space="preserve">QA-1534</t>
  </si>
  <si>
    <t xml:space="preserve">QA-1523</t>
  </si>
  <si>
    <t xml:space="preserve">GH-0089</t>
  </si>
  <si>
    <t xml:space="preserve">QA-1233</t>
  </si>
  <si>
    <t xml:space="preserve">QA-1244</t>
  </si>
  <si>
    <t xml:space="preserve">QA-1393</t>
  </si>
  <si>
    <t xml:space="preserve">QA-1535</t>
  </si>
  <si>
    <t xml:space="preserve">QA-1524</t>
  </si>
  <si>
    <t xml:space="preserve">GH-0094</t>
  </si>
  <si>
    <t xml:space="preserve">Checks: every copied input tied to its source row (source book by Row ID; locked call by cell)</t>
  </si>
  <si>
    <t xml:space="preserve">Check ID</t>
  </si>
  <si>
    <t xml:space="preserve">Type</t>
  </si>
  <si>
    <t xml:space="preserve">Cell</t>
  </si>
  <si>
    <t xml:space="preserve">Source reference</t>
  </si>
  <si>
    <t xml:space="preserve">Workbook value</t>
  </si>
  <si>
    <t xml:space="preserve">Source value (re-read)</t>
  </si>
  <si>
    <t xml:space="preserve">Difference</t>
  </si>
  <si>
    <t xml:space="preserve">Status</t>
  </si>
  <si>
    <t xml:space="preserve">DA-0001</t>
  </si>
  <si>
    <t xml:space="preserve">Source book QA</t>
  </si>
  <si>
    <t xml:space="preserve">Series!B6</t>
  </si>
  <si>
    <t xml:space="preserve">DA-0002</t>
  </si>
  <si>
    <t xml:space="preserve">Series!B7</t>
  </si>
  <si>
    <t xml:space="preserve">DA-0003</t>
  </si>
  <si>
    <t xml:space="preserve">Series!B8</t>
  </si>
  <si>
    <t xml:space="preserve">DA-0004</t>
  </si>
  <si>
    <t xml:space="preserve">Series!B9</t>
  </si>
  <si>
    <t xml:space="preserve">DA-0005</t>
  </si>
  <si>
    <t xml:space="preserve">Series!B10</t>
  </si>
  <si>
    <t xml:space="preserve">DA-0006</t>
  </si>
  <si>
    <t xml:space="preserve">Series!B11</t>
  </si>
  <si>
    <t xml:space="preserve">DA-0007</t>
  </si>
  <si>
    <t xml:space="preserve">Series!B12</t>
  </si>
  <si>
    <t xml:space="preserve">DA-0008</t>
  </si>
  <si>
    <t xml:space="preserve">Series!B13</t>
  </si>
  <si>
    <t xml:space="preserve">DA-0009</t>
  </si>
  <si>
    <t xml:space="preserve">Series!B14</t>
  </si>
  <si>
    <t xml:space="preserve">DA-0010</t>
  </si>
  <si>
    <t xml:space="preserve">Series!B15</t>
  </si>
  <si>
    <t xml:space="preserve">DA-0011</t>
  </si>
  <si>
    <t xml:space="preserve">Series!B16</t>
  </si>
  <si>
    <t xml:space="preserve">DA-0012</t>
  </si>
  <si>
    <t xml:space="preserve">Series!B17</t>
  </si>
  <si>
    <t xml:space="preserve">DA-0013</t>
  </si>
  <si>
    <t xml:space="preserve">Series!B18</t>
  </si>
  <si>
    <t xml:space="preserve">DA-0014</t>
  </si>
  <si>
    <t xml:space="preserve">Series!B19</t>
  </si>
  <si>
    <t xml:space="preserve">DA-0015</t>
  </si>
  <si>
    <t xml:space="preserve">Series!B20</t>
  </si>
  <si>
    <t xml:space="preserve">DA-0016</t>
  </si>
  <si>
    <t xml:space="preserve">Series!B21</t>
  </si>
  <si>
    <t xml:space="preserve">DA-0017</t>
  </si>
  <si>
    <t xml:space="preserve">Series!B22</t>
  </si>
  <si>
    <t xml:space="preserve">DA-0018</t>
  </si>
  <si>
    <t xml:space="preserve">Series!B23</t>
  </si>
  <si>
    <t xml:space="preserve">DA-0019</t>
  </si>
  <si>
    <t xml:space="preserve">Series!B24</t>
  </si>
  <si>
    <t xml:space="preserve">DA-0020</t>
  </si>
  <si>
    <t xml:space="preserve">Series!B25</t>
  </si>
  <si>
    <t xml:space="preserve">DA-0021</t>
  </si>
  <si>
    <t xml:space="preserve">Series!B26</t>
  </si>
  <si>
    <t xml:space="preserve">DA-0022</t>
  </si>
  <si>
    <t xml:space="preserve">Series!B27</t>
  </si>
  <si>
    <t xml:space="preserve">DA-0023</t>
  </si>
  <si>
    <t xml:space="preserve">Series!D6</t>
  </si>
  <si>
    <t xml:space="preserve">DA-0024</t>
  </si>
  <si>
    <t xml:space="preserve">Series!D7</t>
  </si>
  <si>
    <t xml:space="preserve">DA-0025</t>
  </si>
  <si>
    <t xml:space="preserve">Series!D8</t>
  </si>
  <si>
    <t xml:space="preserve">DA-0026</t>
  </si>
  <si>
    <t xml:space="preserve">Series!D9</t>
  </si>
  <si>
    <t xml:space="preserve">DA-0027</t>
  </si>
  <si>
    <t xml:space="preserve">Series!D10</t>
  </si>
  <si>
    <t xml:space="preserve">DA-0028</t>
  </si>
  <si>
    <t xml:space="preserve">Series!D11</t>
  </si>
  <si>
    <t xml:space="preserve">DA-0029</t>
  </si>
  <si>
    <t xml:space="preserve">Series!D12</t>
  </si>
  <si>
    <t xml:space="preserve">DA-0030</t>
  </si>
  <si>
    <t xml:space="preserve">Series!D13</t>
  </si>
  <si>
    <t xml:space="preserve">DA-0031</t>
  </si>
  <si>
    <t xml:space="preserve">Series!D14</t>
  </si>
  <si>
    <t xml:space="preserve">DA-0032</t>
  </si>
  <si>
    <t xml:space="preserve">Series!D15</t>
  </si>
  <si>
    <t xml:space="preserve">DA-0033</t>
  </si>
  <si>
    <t xml:space="preserve">Series!D16</t>
  </si>
  <si>
    <t xml:space="preserve">DA-0034</t>
  </si>
  <si>
    <t xml:space="preserve">Series!D17</t>
  </si>
  <si>
    <t xml:space="preserve">DA-0035</t>
  </si>
  <si>
    <t xml:space="preserve">Series!D18</t>
  </si>
  <si>
    <t xml:space="preserve">DA-0036</t>
  </si>
  <si>
    <t xml:space="preserve">Series!D19</t>
  </si>
  <si>
    <t xml:space="preserve">DA-0037</t>
  </si>
  <si>
    <t xml:space="preserve">Series!D20</t>
  </si>
  <si>
    <t xml:space="preserve">DA-0038</t>
  </si>
  <si>
    <t xml:space="preserve">Series!D21</t>
  </si>
  <si>
    <t xml:space="preserve">DA-0039</t>
  </si>
  <si>
    <t xml:space="preserve">Series!D22</t>
  </si>
  <si>
    <t xml:space="preserve">DA-0040</t>
  </si>
  <si>
    <t xml:space="preserve">Series!D23</t>
  </si>
  <si>
    <t xml:space="preserve">DA-0041</t>
  </si>
  <si>
    <t xml:space="preserve">Series!D24</t>
  </si>
  <si>
    <t xml:space="preserve">DA-0042</t>
  </si>
  <si>
    <t xml:space="preserve">Series!D25</t>
  </si>
  <si>
    <t xml:space="preserve">DA-0043</t>
  </si>
  <si>
    <t xml:space="preserve">Series!D26</t>
  </si>
  <si>
    <t xml:space="preserve">DA-0044</t>
  </si>
  <si>
    <t xml:space="preserve">Series!D27</t>
  </si>
  <si>
    <t xml:space="preserve">DA-0045</t>
  </si>
  <si>
    <t xml:space="preserve">Series!F6</t>
  </si>
  <si>
    <t xml:space="preserve">DA-0046</t>
  </si>
  <si>
    <t xml:space="preserve">Series!F7</t>
  </si>
  <si>
    <t xml:space="preserve">DA-0047</t>
  </si>
  <si>
    <t xml:space="preserve">Series!F8</t>
  </si>
  <si>
    <t xml:space="preserve">DA-0048</t>
  </si>
  <si>
    <t xml:space="preserve">Series!F9</t>
  </si>
  <si>
    <t xml:space="preserve">DA-0049</t>
  </si>
  <si>
    <t xml:space="preserve">Series!F10</t>
  </si>
  <si>
    <t xml:space="preserve">DA-0050</t>
  </si>
  <si>
    <t xml:space="preserve">Series!F11</t>
  </si>
  <si>
    <t xml:space="preserve">DA-0051</t>
  </si>
  <si>
    <t xml:space="preserve">Series!F12</t>
  </si>
  <si>
    <t xml:space="preserve">DA-0052</t>
  </si>
  <si>
    <t xml:space="preserve">Series!F13</t>
  </si>
  <si>
    <t xml:space="preserve">DA-0053</t>
  </si>
  <si>
    <t xml:space="preserve">Series!F14</t>
  </si>
  <si>
    <t xml:space="preserve">DA-0054</t>
  </si>
  <si>
    <t xml:space="preserve">Series!F15</t>
  </si>
  <si>
    <t xml:space="preserve">DA-0055</t>
  </si>
  <si>
    <t xml:space="preserve">Series!F16</t>
  </si>
  <si>
    <t xml:space="preserve">DA-0056</t>
  </si>
  <si>
    <t xml:space="preserve">Series!F17</t>
  </si>
  <si>
    <t xml:space="preserve">DA-0057</t>
  </si>
  <si>
    <t xml:space="preserve">Series!F18</t>
  </si>
  <si>
    <t xml:space="preserve">DA-0058</t>
  </si>
  <si>
    <t xml:space="preserve">Series!F19</t>
  </si>
  <si>
    <t xml:space="preserve">DA-0059</t>
  </si>
  <si>
    <t xml:space="preserve">Series!F20</t>
  </si>
  <si>
    <t xml:space="preserve">DA-0060</t>
  </si>
  <si>
    <t xml:space="preserve">Series!F21</t>
  </si>
  <si>
    <t xml:space="preserve">DA-0061</t>
  </si>
  <si>
    <t xml:space="preserve">Series!F22</t>
  </si>
  <si>
    <t xml:space="preserve">DA-0062</t>
  </si>
  <si>
    <t xml:space="preserve">Series!F23</t>
  </si>
  <si>
    <t xml:space="preserve">DA-0063</t>
  </si>
  <si>
    <t xml:space="preserve">Series!F24</t>
  </si>
  <si>
    <t xml:space="preserve">DA-0064</t>
  </si>
  <si>
    <t xml:space="preserve">Series!F25</t>
  </si>
  <si>
    <t xml:space="preserve">DA-0065</t>
  </si>
  <si>
    <t xml:space="preserve">Series!F26</t>
  </si>
  <si>
    <t xml:space="preserve">DA-0066</t>
  </si>
  <si>
    <t xml:space="preserve">Series!F27</t>
  </si>
  <si>
    <t xml:space="preserve">DA-0067</t>
  </si>
  <si>
    <t xml:space="preserve">Series!H6</t>
  </si>
  <si>
    <t xml:space="preserve">DA-0068</t>
  </si>
  <si>
    <t xml:space="preserve">Series!H7</t>
  </si>
  <si>
    <t xml:space="preserve">DA-0069</t>
  </si>
  <si>
    <t xml:space="preserve">Series!H8</t>
  </si>
  <si>
    <t xml:space="preserve">DA-0070</t>
  </si>
  <si>
    <t xml:space="preserve">Series!H9</t>
  </si>
  <si>
    <t xml:space="preserve">DA-0071</t>
  </si>
  <si>
    <t xml:space="preserve">Series!H10</t>
  </si>
  <si>
    <t xml:space="preserve">DA-0072</t>
  </si>
  <si>
    <t xml:space="preserve">Series!H11</t>
  </si>
  <si>
    <t xml:space="preserve">DA-0073</t>
  </si>
  <si>
    <t xml:space="preserve">Series!H12</t>
  </si>
  <si>
    <t xml:space="preserve">DA-0074</t>
  </si>
  <si>
    <t xml:space="preserve">Series!H13</t>
  </si>
  <si>
    <t xml:space="preserve">DA-0075</t>
  </si>
  <si>
    <t xml:space="preserve">Series!H14</t>
  </si>
  <si>
    <t xml:space="preserve">DA-0076</t>
  </si>
  <si>
    <t xml:space="preserve">Series!H15</t>
  </si>
  <si>
    <t xml:space="preserve">DA-0077</t>
  </si>
  <si>
    <t xml:space="preserve">Series!H16</t>
  </si>
  <si>
    <t xml:space="preserve">DA-0078</t>
  </si>
  <si>
    <t xml:space="preserve">Series!H17</t>
  </si>
  <si>
    <t xml:space="preserve">DA-0079</t>
  </si>
  <si>
    <t xml:space="preserve">Series!H18</t>
  </si>
  <si>
    <t xml:space="preserve">DA-0080</t>
  </si>
  <si>
    <t xml:space="preserve">Series!H19</t>
  </si>
  <si>
    <t xml:space="preserve">DA-0081</t>
  </si>
  <si>
    <t xml:space="preserve">Series!H20</t>
  </si>
  <si>
    <t xml:space="preserve">DA-0082</t>
  </si>
  <si>
    <t xml:space="preserve">Series!H21</t>
  </si>
  <si>
    <t xml:space="preserve">DA-0083</t>
  </si>
  <si>
    <t xml:space="preserve">Series!H22</t>
  </si>
  <si>
    <t xml:space="preserve">DA-0084</t>
  </si>
  <si>
    <t xml:space="preserve">Series!H23</t>
  </si>
  <si>
    <t xml:space="preserve">DA-0085</t>
  </si>
  <si>
    <t xml:space="preserve">Series!H24</t>
  </si>
  <si>
    <t xml:space="preserve">DA-0086</t>
  </si>
  <si>
    <t xml:space="preserve">Series!H25</t>
  </si>
  <si>
    <t xml:space="preserve">DA-0087</t>
  </si>
  <si>
    <t xml:space="preserve">Series!H26</t>
  </si>
  <si>
    <t xml:space="preserve">DA-0088</t>
  </si>
  <si>
    <t xml:space="preserve">Series!H27</t>
  </si>
  <si>
    <t xml:space="preserve">DA-0089</t>
  </si>
  <si>
    <t xml:space="preserve">Series!J6</t>
  </si>
  <si>
    <t xml:space="preserve">DA-0090</t>
  </si>
  <si>
    <t xml:space="preserve">Series!J7</t>
  </si>
  <si>
    <t xml:space="preserve">DA-0091</t>
  </si>
  <si>
    <t xml:space="preserve">Series!J8</t>
  </si>
  <si>
    <t xml:space="preserve">DA-0092</t>
  </si>
  <si>
    <t xml:space="preserve">Series!J9</t>
  </si>
  <si>
    <t xml:space="preserve">DA-0093</t>
  </si>
  <si>
    <t xml:space="preserve">Series!J10</t>
  </si>
  <si>
    <t xml:space="preserve">DA-0094</t>
  </si>
  <si>
    <t xml:space="preserve">Series!J11</t>
  </si>
  <si>
    <t xml:space="preserve">DA-0095</t>
  </si>
  <si>
    <t xml:space="preserve">Series!J12</t>
  </si>
  <si>
    <t xml:space="preserve">DA-0096</t>
  </si>
  <si>
    <t xml:space="preserve">Series!J13</t>
  </si>
  <si>
    <t xml:space="preserve">DA-0097</t>
  </si>
  <si>
    <t xml:space="preserve">Series!J14</t>
  </si>
  <si>
    <t xml:space="preserve">DA-0098</t>
  </si>
  <si>
    <t xml:space="preserve">Series!J15</t>
  </si>
  <si>
    <t xml:space="preserve">DA-0099</t>
  </si>
  <si>
    <t xml:space="preserve">Series!J16</t>
  </si>
  <si>
    <t xml:space="preserve">DA-0100</t>
  </si>
  <si>
    <t xml:space="preserve">Series!J17</t>
  </si>
  <si>
    <t xml:space="preserve">DA-0101</t>
  </si>
  <si>
    <t xml:space="preserve">Series!J18</t>
  </si>
  <si>
    <t xml:space="preserve">DA-0102</t>
  </si>
  <si>
    <t xml:space="preserve">Series!J19</t>
  </si>
  <si>
    <t xml:space="preserve">DA-0103</t>
  </si>
  <si>
    <t xml:space="preserve">Series!J20</t>
  </si>
  <si>
    <t xml:space="preserve">DA-0104</t>
  </si>
  <si>
    <t xml:space="preserve">Series!J21</t>
  </si>
  <si>
    <t xml:space="preserve">DA-0105</t>
  </si>
  <si>
    <t xml:space="preserve">Series!J22</t>
  </si>
  <si>
    <t xml:space="preserve">DA-0106</t>
  </si>
  <si>
    <t xml:space="preserve">Series!J23</t>
  </si>
  <si>
    <t xml:space="preserve">DA-0107</t>
  </si>
  <si>
    <t xml:space="preserve">Series!J24</t>
  </si>
  <si>
    <t xml:space="preserve">DA-0108</t>
  </si>
  <si>
    <t xml:space="preserve">Series!J25</t>
  </si>
  <si>
    <t xml:space="preserve">DA-0109</t>
  </si>
  <si>
    <t xml:space="preserve">Series!J26</t>
  </si>
  <si>
    <t xml:space="preserve">DA-0110</t>
  </si>
  <si>
    <t xml:space="preserve">Series!J27</t>
  </si>
  <si>
    <t xml:space="preserve">DA-0111</t>
  </si>
  <si>
    <t xml:space="preserve">Series!L6</t>
  </si>
  <si>
    <t xml:space="preserve">DA-0112</t>
  </si>
  <si>
    <t xml:space="preserve">Series!L7</t>
  </si>
  <si>
    <t xml:space="preserve">DA-0113</t>
  </si>
  <si>
    <t xml:space="preserve">Series!L8</t>
  </si>
  <si>
    <t xml:space="preserve">DA-0114</t>
  </si>
  <si>
    <t xml:space="preserve">Series!L9</t>
  </si>
  <si>
    <t xml:space="preserve">DA-0115</t>
  </si>
  <si>
    <t xml:space="preserve">Series!L10</t>
  </si>
  <si>
    <t xml:space="preserve">DA-0116</t>
  </si>
  <si>
    <t xml:space="preserve">Series!L11</t>
  </si>
  <si>
    <t xml:space="preserve">DA-0117</t>
  </si>
  <si>
    <t xml:space="preserve">Series!L12</t>
  </si>
  <si>
    <t xml:space="preserve">DA-0118</t>
  </si>
  <si>
    <t xml:space="preserve">Series!L13</t>
  </si>
  <si>
    <t xml:space="preserve">DA-0119</t>
  </si>
  <si>
    <t xml:space="preserve">Series!L14</t>
  </si>
  <si>
    <t xml:space="preserve">DA-0120</t>
  </si>
  <si>
    <t xml:space="preserve">Series!L15</t>
  </si>
  <si>
    <t xml:space="preserve">DA-0121</t>
  </si>
  <si>
    <t xml:space="preserve">Series!L16</t>
  </si>
  <si>
    <t xml:space="preserve">DA-0122</t>
  </si>
  <si>
    <t xml:space="preserve">Series!L17</t>
  </si>
  <si>
    <t xml:space="preserve">DA-0123</t>
  </si>
  <si>
    <t xml:space="preserve">Series!L18</t>
  </si>
  <si>
    <t xml:space="preserve">DA-0124</t>
  </si>
  <si>
    <t xml:space="preserve">Series!L19</t>
  </si>
  <si>
    <t xml:space="preserve">DA-0125</t>
  </si>
  <si>
    <t xml:space="preserve">Series!L20</t>
  </si>
  <si>
    <t xml:space="preserve">DA-0126</t>
  </si>
  <si>
    <t xml:space="preserve">Series!L21</t>
  </si>
  <si>
    <t xml:space="preserve">DA-0127</t>
  </si>
  <si>
    <t xml:space="preserve">Series!L22</t>
  </si>
  <si>
    <t xml:space="preserve">DA-0128</t>
  </si>
  <si>
    <t xml:space="preserve">Series!L23</t>
  </si>
  <si>
    <t xml:space="preserve">DA-0129</t>
  </si>
  <si>
    <t xml:space="preserve">Series!L24</t>
  </si>
  <si>
    <t xml:space="preserve">DA-0130</t>
  </si>
  <si>
    <t xml:space="preserve">Series!L25</t>
  </si>
  <si>
    <t xml:space="preserve">DA-0131</t>
  </si>
  <si>
    <t xml:space="preserve">Series!L26</t>
  </si>
  <si>
    <t xml:space="preserve">DA-0132</t>
  </si>
  <si>
    <t xml:space="preserve">Series!L27</t>
  </si>
  <si>
    <t xml:space="preserve">DA-0133</t>
  </si>
  <si>
    <t xml:space="preserve">Series!N6</t>
  </si>
  <si>
    <t xml:space="preserve">DA-0134</t>
  </si>
  <si>
    <t xml:space="preserve">Series!N7</t>
  </si>
  <si>
    <t xml:space="preserve">DA-0135</t>
  </si>
  <si>
    <t xml:space="preserve">Series!N8</t>
  </si>
  <si>
    <t xml:space="preserve">DA-0136</t>
  </si>
  <si>
    <t xml:space="preserve">Series!N9</t>
  </si>
  <si>
    <t xml:space="preserve">DA-0137</t>
  </si>
  <si>
    <t xml:space="preserve">Series!N10</t>
  </si>
  <si>
    <t xml:space="preserve">DA-0138</t>
  </si>
  <si>
    <t xml:space="preserve">Series!N11</t>
  </si>
  <si>
    <t xml:space="preserve">DA-0139</t>
  </si>
  <si>
    <t xml:space="preserve">Series!N12</t>
  </si>
  <si>
    <t xml:space="preserve">DA-0140</t>
  </si>
  <si>
    <t xml:space="preserve">Series!N13</t>
  </si>
  <si>
    <t xml:space="preserve">DA-0141</t>
  </si>
  <si>
    <t xml:space="preserve">Series!N14</t>
  </si>
  <si>
    <t xml:space="preserve">DA-0142</t>
  </si>
  <si>
    <t xml:space="preserve">Series!N15</t>
  </si>
  <si>
    <t xml:space="preserve">DA-0143</t>
  </si>
  <si>
    <t xml:space="preserve">Series!N16</t>
  </si>
  <si>
    <t xml:space="preserve">DA-0144</t>
  </si>
  <si>
    <t xml:space="preserve">Series!N17</t>
  </si>
  <si>
    <t xml:space="preserve">DA-0145</t>
  </si>
  <si>
    <t xml:space="preserve">Series!N18</t>
  </si>
  <si>
    <t xml:space="preserve">DA-0146</t>
  </si>
  <si>
    <t xml:space="preserve">Series!N19</t>
  </si>
  <si>
    <t xml:space="preserve">DA-0147</t>
  </si>
  <si>
    <t xml:space="preserve">Series!N20</t>
  </si>
  <si>
    <t xml:space="preserve">DA-0148</t>
  </si>
  <si>
    <t xml:space="preserve">Series!N21</t>
  </si>
  <si>
    <t xml:space="preserve">DA-0149</t>
  </si>
  <si>
    <t xml:space="preserve">Series!N22</t>
  </si>
  <si>
    <t xml:space="preserve">DA-0150</t>
  </si>
  <si>
    <t xml:space="preserve">Series!N23</t>
  </si>
  <si>
    <t xml:space="preserve">DA-0151</t>
  </si>
  <si>
    <t xml:space="preserve">Series!N24</t>
  </si>
  <si>
    <t xml:space="preserve">DA-0152</t>
  </si>
  <si>
    <t xml:space="preserve">Series!N25</t>
  </si>
  <si>
    <t xml:space="preserve">DA-0153</t>
  </si>
  <si>
    <t xml:space="preserve">Series!N26</t>
  </si>
  <si>
    <t xml:space="preserve">DA-0154</t>
  </si>
  <si>
    <t xml:space="preserve">Series!N27</t>
  </si>
  <si>
    <t xml:space="preserve">DA-0155</t>
  </si>
  <si>
    <t xml:space="preserve">Series!P6</t>
  </si>
  <si>
    <t xml:space="preserve">DA-0156</t>
  </si>
  <si>
    <t xml:space="preserve">Series!P7</t>
  </si>
  <si>
    <t xml:space="preserve">DA-0157</t>
  </si>
  <si>
    <t xml:space="preserve">Series!P8</t>
  </si>
  <si>
    <t xml:space="preserve">DA-0158</t>
  </si>
  <si>
    <t xml:space="preserve">Series!P9</t>
  </si>
  <si>
    <t xml:space="preserve">DA-0159</t>
  </si>
  <si>
    <t xml:space="preserve">Series!P10</t>
  </si>
  <si>
    <t xml:space="preserve">DA-0160</t>
  </si>
  <si>
    <t xml:space="preserve">Series!P11</t>
  </si>
  <si>
    <t xml:space="preserve">DA-0161</t>
  </si>
  <si>
    <t xml:space="preserve">Series!P12</t>
  </si>
  <si>
    <t xml:space="preserve">DA-0162</t>
  </si>
  <si>
    <t xml:space="preserve">Series!P13</t>
  </si>
  <si>
    <t xml:space="preserve">DA-0163</t>
  </si>
  <si>
    <t xml:space="preserve">Series!P14</t>
  </si>
  <si>
    <t xml:space="preserve">DA-0164</t>
  </si>
  <si>
    <t xml:space="preserve">Series!P15</t>
  </si>
  <si>
    <t xml:space="preserve">DA-0165</t>
  </si>
  <si>
    <t xml:space="preserve">Series!P16</t>
  </si>
  <si>
    <t xml:space="preserve">DA-0166</t>
  </si>
  <si>
    <t xml:space="preserve">Series!P17</t>
  </si>
  <si>
    <t xml:space="preserve">DA-0167</t>
  </si>
  <si>
    <t xml:space="preserve">Series!P18</t>
  </si>
  <si>
    <t xml:space="preserve">DA-0168</t>
  </si>
  <si>
    <t xml:space="preserve">Series!P19</t>
  </si>
  <si>
    <t xml:space="preserve">DA-0169</t>
  </si>
  <si>
    <t xml:space="preserve">Series!P20</t>
  </si>
  <si>
    <t xml:space="preserve">DA-0170</t>
  </si>
  <si>
    <t xml:space="preserve">Series!P21</t>
  </si>
  <si>
    <t xml:space="preserve">DA-0171</t>
  </si>
  <si>
    <t xml:space="preserve">Series!P22</t>
  </si>
  <si>
    <t xml:space="preserve">DA-0172</t>
  </si>
  <si>
    <t xml:space="preserve">Series!P23</t>
  </si>
  <si>
    <t xml:space="preserve">DA-0173</t>
  </si>
  <si>
    <t xml:space="preserve">Series!P24</t>
  </si>
  <si>
    <t xml:space="preserve">DA-0174</t>
  </si>
  <si>
    <t xml:space="preserve">Series!P25</t>
  </si>
  <si>
    <t xml:space="preserve">DA-0175</t>
  </si>
  <si>
    <t xml:space="preserve">Series!P26</t>
  </si>
  <si>
    <t xml:space="preserve">DA-0176</t>
  </si>
  <si>
    <t xml:space="preserve">Series!P27</t>
  </si>
  <si>
    <t xml:space="preserve">DA-0177</t>
  </si>
  <si>
    <t xml:space="preserve">Series!R6</t>
  </si>
  <si>
    <t xml:space="preserve">DA-0178</t>
  </si>
  <si>
    <t xml:space="preserve">Series!R7</t>
  </si>
  <si>
    <t xml:space="preserve">DA-0179</t>
  </si>
  <si>
    <t xml:space="preserve">Series!R8</t>
  </si>
  <si>
    <t xml:space="preserve">DA-0180</t>
  </si>
  <si>
    <t xml:space="preserve">Series!R9</t>
  </si>
  <si>
    <t xml:space="preserve">DA-0181</t>
  </si>
  <si>
    <t xml:space="preserve">Series!R10</t>
  </si>
  <si>
    <t xml:space="preserve">DA-0182</t>
  </si>
  <si>
    <t xml:space="preserve">Series!R11</t>
  </si>
  <si>
    <t xml:space="preserve">DA-0183</t>
  </si>
  <si>
    <t xml:space="preserve">Series!R12</t>
  </si>
  <si>
    <t xml:space="preserve">DA-0184</t>
  </si>
  <si>
    <t xml:space="preserve">Series!R13</t>
  </si>
  <si>
    <t xml:space="preserve">DA-0185</t>
  </si>
  <si>
    <t xml:space="preserve">Series!R14</t>
  </si>
  <si>
    <t xml:space="preserve">DA-0186</t>
  </si>
  <si>
    <t xml:space="preserve">Series!R15</t>
  </si>
  <si>
    <t xml:space="preserve">DA-0187</t>
  </si>
  <si>
    <t xml:space="preserve">Series!R16</t>
  </si>
  <si>
    <t xml:space="preserve">DA-0188</t>
  </si>
  <si>
    <t xml:space="preserve">Series!R17</t>
  </si>
  <si>
    <t xml:space="preserve">DA-0189</t>
  </si>
  <si>
    <t xml:space="preserve">Series!R18</t>
  </si>
  <si>
    <t xml:space="preserve">DA-0190</t>
  </si>
  <si>
    <t xml:space="preserve">Series!R19</t>
  </si>
  <si>
    <t xml:space="preserve">DA-0191</t>
  </si>
  <si>
    <t xml:space="preserve">Series!R20</t>
  </si>
  <si>
    <t xml:space="preserve">DA-0192</t>
  </si>
  <si>
    <t xml:space="preserve">Series!R21</t>
  </si>
  <si>
    <t xml:space="preserve">DA-0193</t>
  </si>
  <si>
    <t xml:space="preserve">Series!R22</t>
  </si>
  <si>
    <t xml:space="preserve">DA-0194</t>
  </si>
  <si>
    <t xml:space="preserve">Series!R23</t>
  </si>
  <si>
    <t xml:space="preserve">DA-0195</t>
  </si>
  <si>
    <t xml:space="preserve">Series!R24</t>
  </si>
  <si>
    <t xml:space="preserve">DA-0196</t>
  </si>
  <si>
    <t xml:space="preserve">Series!R25</t>
  </si>
  <si>
    <t xml:space="preserve">DA-0197</t>
  </si>
  <si>
    <t xml:space="preserve">Series!R26</t>
  </si>
  <si>
    <t xml:space="preserve">DA-0198</t>
  </si>
  <si>
    <t xml:space="preserve">Series!R27</t>
  </si>
  <si>
    <t xml:space="preserve">DA-0199</t>
  </si>
  <si>
    <t xml:space="preserve">Series!T20</t>
  </si>
  <si>
    <t xml:space="preserve">DA-0200</t>
  </si>
  <si>
    <t xml:space="preserve">Series!T21</t>
  </si>
  <si>
    <t xml:space="preserve">DA-0201</t>
  </si>
  <si>
    <t xml:space="preserve">Series!T22</t>
  </si>
  <si>
    <t xml:space="preserve">DA-0202</t>
  </si>
  <si>
    <t xml:space="preserve">Series!T23</t>
  </si>
  <si>
    <t xml:space="preserve">DA-0203</t>
  </si>
  <si>
    <t xml:space="preserve">Series!T24</t>
  </si>
  <si>
    <t xml:space="preserve">DA-0204</t>
  </si>
  <si>
    <t xml:space="preserve">Series!T25</t>
  </si>
  <si>
    <t xml:space="preserve">DA-0205</t>
  </si>
  <si>
    <t xml:space="preserve">Series!T26</t>
  </si>
  <si>
    <t xml:space="preserve">DA-0206</t>
  </si>
  <si>
    <t xml:space="preserve">Series!T27</t>
  </si>
  <si>
    <t xml:space="preserve">DA-0207</t>
  </si>
  <si>
    <t xml:space="preserve">Series!V17</t>
  </si>
  <si>
    <t xml:space="preserve">DA-0208</t>
  </si>
  <si>
    <t xml:space="preserve">Series!V18</t>
  </si>
  <si>
    <t xml:space="preserve">DA-0209</t>
  </si>
  <si>
    <t xml:space="preserve">Series!V19</t>
  </si>
  <si>
    <t xml:space="preserve">DA-0210</t>
  </si>
  <si>
    <t xml:space="preserve">Series!V20</t>
  </si>
  <si>
    <t xml:space="preserve">DA-0211</t>
  </si>
  <si>
    <t xml:space="preserve">Series!V21</t>
  </si>
  <si>
    <t xml:space="preserve">DA-0212</t>
  </si>
  <si>
    <t xml:space="preserve">Series!V22</t>
  </si>
  <si>
    <t xml:space="preserve">DA-0213</t>
  </si>
  <si>
    <t xml:space="preserve">Series!V23</t>
  </si>
  <si>
    <t xml:space="preserve">DA-0214</t>
  </si>
  <si>
    <t xml:space="preserve">Series!V24</t>
  </si>
  <si>
    <t xml:space="preserve">DA-0215</t>
  </si>
  <si>
    <t xml:space="preserve">Series!V25</t>
  </si>
  <si>
    <t xml:space="preserve">DA-0216</t>
  </si>
  <si>
    <t xml:space="preserve">Series!V26</t>
  </si>
  <si>
    <t xml:space="preserve">DA-0217</t>
  </si>
  <si>
    <t xml:space="preserve">Series!V27</t>
  </si>
  <si>
    <t xml:space="preserve">DA-0218</t>
  </si>
  <si>
    <t xml:space="preserve">Series!X6</t>
  </si>
  <si>
    <t xml:space="preserve">DA-0219</t>
  </si>
  <si>
    <t xml:space="preserve">Series!X7</t>
  </si>
  <si>
    <t xml:space="preserve">DA-0220</t>
  </si>
  <si>
    <t xml:space="preserve">Series!X8</t>
  </si>
  <si>
    <t xml:space="preserve">DA-0221</t>
  </si>
  <si>
    <t xml:space="preserve">Series!X9</t>
  </si>
  <si>
    <t xml:space="preserve">DA-0222</t>
  </si>
  <si>
    <t xml:space="preserve">Series!X10</t>
  </si>
  <si>
    <t xml:space="preserve">DA-0223</t>
  </si>
  <si>
    <t xml:space="preserve">Series!X11</t>
  </si>
  <si>
    <t xml:space="preserve">DA-0224</t>
  </si>
  <si>
    <t xml:space="preserve">Series!X12</t>
  </si>
  <si>
    <t xml:space="preserve">DA-0225</t>
  </si>
  <si>
    <t xml:space="preserve">Series!X13</t>
  </si>
  <si>
    <t xml:space="preserve">DA-0226</t>
  </si>
  <si>
    <t xml:space="preserve">Series!X14</t>
  </si>
  <si>
    <t xml:space="preserve">DA-0227</t>
  </si>
  <si>
    <t xml:space="preserve">Series!X15</t>
  </si>
  <si>
    <t xml:space="preserve">DA-0228</t>
  </si>
  <si>
    <t xml:space="preserve">Series!X16</t>
  </si>
  <si>
    <t xml:space="preserve">DA-0229</t>
  </si>
  <si>
    <t xml:space="preserve">Series!X17</t>
  </si>
  <si>
    <t xml:space="preserve">DA-0230</t>
  </si>
  <si>
    <t xml:space="preserve">Series!X18</t>
  </si>
  <si>
    <t xml:space="preserve">DA-0231</t>
  </si>
  <si>
    <t xml:space="preserve">Series!X19</t>
  </si>
  <si>
    <t xml:space="preserve">DA-0232</t>
  </si>
  <si>
    <t xml:space="preserve">Series!X20</t>
  </si>
  <si>
    <t xml:space="preserve">DA-0233</t>
  </si>
  <si>
    <t xml:space="preserve">Series!X21</t>
  </si>
  <si>
    <t xml:space="preserve">DA-0234</t>
  </si>
  <si>
    <t xml:space="preserve">Series!X22</t>
  </si>
  <si>
    <t xml:space="preserve">DA-0235</t>
  </si>
  <si>
    <t xml:space="preserve">Series!X23</t>
  </si>
  <si>
    <t xml:space="preserve">DA-0236</t>
  </si>
  <si>
    <t xml:space="preserve">Series!X24</t>
  </si>
  <si>
    <t xml:space="preserve">DA-0237</t>
  </si>
  <si>
    <t xml:space="preserve">Series!X25</t>
  </si>
  <si>
    <t xml:space="preserve">DA-0238</t>
  </si>
  <si>
    <t xml:space="preserve">Series!X26</t>
  </si>
  <si>
    <t xml:space="preserve">DA-0239</t>
  </si>
  <si>
    <t xml:space="preserve">Series!X27</t>
  </si>
  <si>
    <t xml:space="preserve">DA-0240</t>
  </si>
  <si>
    <t xml:space="preserve">Series!Z13</t>
  </si>
  <si>
    <t xml:space="preserve">DA-0241</t>
  </si>
  <si>
    <t xml:space="preserve">Series!Z14</t>
  </si>
  <si>
    <t xml:space="preserve">DA-0242</t>
  </si>
  <si>
    <t xml:space="preserve">Series!Z15</t>
  </si>
  <si>
    <t xml:space="preserve">DA-0243</t>
  </si>
  <si>
    <t xml:space="preserve">Series!Z16</t>
  </si>
  <si>
    <t xml:space="preserve">DA-0244</t>
  </si>
  <si>
    <t xml:space="preserve">Series!Z17</t>
  </si>
  <si>
    <t xml:space="preserve">DA-0245</t>
  </si>
  <si>
    <t xml:space="preserve">Series!Z18</t>
  </si>
  <si>
    <t xml:space="preserve">DA-0246</t>
  </si>
  <si>
    <t xml:space="preserve">Series!Z19</t>
  </si>
  <si>
    <t xml:space="preserve">DA-0247</t>
  </si>
  <si>
    <t xml:space="preserve">Series!Z20</t>
  </si>
  <si>
    <t xml:space="preserve">DA-0248</t>
  </si>
  <si>
    <t xml:space="preserve">Series!Z21</t>
  </si>
  <si>
    <t xml:space="preserve">DA-0249</t>
  </si>
  <si>
    <t xml:space="preserve">Series!Z22</t>
  </si>
  <si>
    <t xml:space="preserve">DA-0250</t>
  </si>
  <si>
    <t xml:space="preserve">Series!Z23</t>
  </si>
  <si>
    <t xml:space="preserve">DA-0251</t>
  </si>
  <si>
    <t xml:space="preserve">Series!Z24</t>
  </si>
  <si>
    <t xml:space="preserve">DA-0252</t>
  </si>
  <si>
    <t xml:space="preserve">Series!Z25</t>
  </si>
  <si>
    <t xml:space="preserve">DA-0253</t>
  </si>
  <si>
    <t xml:space="preserve">Series!Z26</t>
  </si>
  <si>
    <t xml:space="preserve">DA-0254</t>
  </si>
  <si>
    <t xml:space="preserve">Series!Z27</t>
  </si>
  <si>
    <t xml:space="preserve">DA-0255</t>
  </si>
  <si>
    <t xml:space="preserve">Series!AB20</t>
  </si>
  <si>
    <t xml:space="preserve">DA-0256</t>
  </si>
  <si>
    <t xml:space="preserve">Series!AB21</t>
  </si>
  <si>
    <t xml:space="preserve">DA-0257</t>
  </si>
  <si>
    <t xml:space="preserve">Series!AB22</t>
  </si>
  <si>
    <t xml:space="preserve">DA-0258</t>
  </si>
  <si>
    <t xml:space="preserve">Series!AB23</t>
  </si>
  <si>
    <t xml:space="preserve">DA-0259</t>
  </si>
  <si>
    <t xml:space="preserve">Series!AB24</t>
  </si>
  <si>
    <t xml:space="preserve">DA-0260</t>
  </si>
  <si>
    <t xml:space="preserve">Series!AB25</t>
  </si>
  <si>
    <t xml:space="preserve">DA-0261</t>
  </si>
  <si>
    <t xml:space="preserve">Series!AB26</t>
  </si>
  <si>
    <t xml:space="preserve">DA-0262</t>
  </si>
  <si>
    <t xml:space="preserve">Series!AB27</t>
  </si>
  <si>
    <t xml:space="preserve">DA-0263</t>
  </si>
  <si>
    <t xml:space="preserve">Series!AD21</t>
  </si>
  <si>
    <t xml:space="preserve">DA-0264</t>
  </si>
  <si>
    <t xml:space="preserve">Series!AD22</t>
  </si>
  <si>
    <t xml:space="preserve">DA-0265</t>
  </si>
  <si>
    <t xml:space="preserve">Series!AD23</t>
  </si>
  <si>
    <t xml:space="preserve">DA-0266</t>
  </si>
  <si>
    <t xml:space="preserve">Series!AD25</t>
  </si>
  <si>
    <t xml:space="preserve">DA-0267</t>
  </si>
  <si>
    <t xml:space="preserve">Series!AD26</t>
  </si>
  <si>
    <t xml:space="preserve">DA-0268</t>
  </si>
  <si>
    <t xml:space="preserve">Series!AD27</t>
  </si>
  <si>
    <t xml:space="preserve">DA-0269</t>
  </si>
  <si>
    <t xml:space="preserve">Source book GH</t>
  </si>
  <si>
    <t xml:space="preserve">Series!AF8</t>
  </si>
  <si>
    <t xml:space="preserve">GH-0004:low</t>
  </si>
  <si>
    <t xml:space="preserve">DA-0270</t>
  </si>
  <si>
    <t xml:space="preserve">Series!AG8</t>
  </si>
  <si>
    <t xml:space="preserve">GH-0004:high</t>
  </si>
  <si>
    <t xml:space="preserve">DA-0271</t>
  </si>
  <si>
    <t xml:space="preserve">Series!AF9</t>
  </si>
  <si>
    <t xml:space="preserve">GH-0008:low</t>
  </si>
  <si>
    <t xml:space="preserve">DA-0272</t>
  </si>
  <si>
    <t xml:space="preserve">Series!AG9</t>
  </si>
  <si>
    <t xml:space="preserve">GH-0008:high</t>
  </si>
  <si>
    <t xml:space="preserve">DA-0273</t>
  </si>
  <si>
    <t xml:space="preserve">Series!AF10</t>
  </si>
  <si>
    <t xml:space="preserve">GH-0012:low</t>
  </si>
  <si>
    <t xml:space="preserve">DA-0274</t>
  </si>
  <si>
    <t xml:space="preserve">Series!AG10</t>
  </si>
  <si>
    <t xml:space="preserve">GH-0012:high</t>
  </si>
  <si>
    <t xml:space="preserve">DA-0275</t>
  </si>
  <si>
    <t xml:space="preserve">Series!AF11</t>
  </si>
  <si>
    <t xml:space="preserve">GH-0016:low</t>
  </si>
  <si>
    <t xml:space="preserve">DA-0276</t>
  </si>
  <si>
    <t xml:space="preserve">Series!AG11</t>
  </si>
  <si>
    <t xml:space="preserve">GH-0016:high</t>
  </si>
  <si>
    <t xml:space="preserve">DA-0277</t>
  </si>
  <si>
    <t xml:space="preserve">Series!AF12</t>
  </si>
  <si>
    <t xml:space="preserve">GH-0020:low</t>
  </si>
  <si>
    <t xml:space="preserve">DA-0278</t>
  </si>
  <si>
    <t xml:space="preserve">Series!AG12</t>
  </si>
  <si>
    <t xml:space="preserve">GH-0020:high</t>
  </si>
  <si>
    <t xml:space="preserve">DA-0279</t>
  </si>
  <si>
    <t xml:space="preserve">Series!AF13</t>
  </si>
  <si>
    <t xml:space="preserve">GH-0024:low</t>
  </si>
  <si>
    <t xml:space="preserve">DA-0280</t>
  </si>
  <si>
    <t xml:space="preserve">Series!AG13</t>
  </si>
  <si>
    <t xml:space="preserve">GH-0024:high</t>
  </si>
  <si>
    <t xml:space="preserve">DA-0281</t>
  </si>
  <si>
    <t xml:space="preserve">Series!AF14</t>
  </si>
  <si>
    <t xml:space="preserve">GH-0028:low</t>
  </si>
  <si>
    <t xml:space="preserve">DA-0282</t>
  </si>
  <si>
    <t xml:space="preserve">Series!AG14</t>
  </si>
  <si>
    <t xml:space="preserve">GH-0028:high</t>
  </si>
  <si>
    <t xml:space="preserve">DA-0283</t>
  </si>
  <si>
    <t xml:space="preserve">Series!AF15</t>
  </si>
  <si>
    <t xml:space="preserve">GH-0032:low</t>
  </si>
  <si>
    <t xml:space="preserve">DA-0284</t>
  </si>
  <si>
    <t xml:space="preserve">Series!AG15</t>
  </si>
  <si>
    <t xml:space="preserve">GH-0032:high</t>
  </si>
  <si>
    <t xml:space="preserve">DA-0285</t>
  </si>
  <si>
    <t xml:space="preserve">Series!AF16</t>
  </si>
  <si>
    <t xml:space="preserve">GH-0036:low</t>
  </si>
  <si>
    <t xml:space="preserve">DA-0286</t>
  </si>
  <si>
    <t xml:space="preserve">Series!AG16</t>
  </si>
  <si>
    <t xml:space="preserve">GH-0036:high</t>
  </si>
  <si>
    <t xml:space="preserve">DA-0287</t>
  </si>
  <si>
    <t xml:space="preserve">Series!AF17</t>
  </si>
  <si>
    <t xml:space="preserve">GH-0040:low</t>
  </si>
  <si>
    <t xml:space="preserve">DA-0288</t>
  </si>
  <si>
    <t xml:space="preserve">Series!AG17</t>
  </si>
  <si>
    <t xml:space="preserve">GH-0040:high</t>
  </si>
  <si>
    <t xml:space="preserve">DA-0289</t>
  </si>
  <si>
    <t xml:space="preserve">Series!AF18</t>
  </si>
  <si>
    <t xml:space="preserve">GH-0046:low</t>
  </si>
  <si>
    <t xml:space="preserve">DA-0290</t>
  </si>
  <si>
    <t xml:space="preserve">Series!AG18</t>
  </si>
  <si>
    <t xml:space="preserve">GH-0046:high</t>
  </si>
  <si>
    <t xml:space="preserve">DA-0291</t>
  </si>
  <si>
    <t xml:space="preserve">Series!AF19</t>
  </si>
  <si>
    <t xml:space="preserve">GH-0052:low</t>
  </si>
  <si>
    <t xml:space="preserve">DA-0292</t>
  </si>
  <si>
    <t xml:space="preserve">Series!AG19</t>
  </si>
  <si>
    <t xml:space="preserve">GH-0052:high</t>
  </si>
  <si>
    <t xml:space="preserve">DA-0293</t>
  </si>
  <si>
    <t xml:space="preserve">Series!AF20</t>
  </si>
  <si>
    <t xml:space="preserve">GH-0058:low</t>
  </si>
  <si>
    <t xml:space="preserve">DA-0294</t>
  </si>
  <si>
    <t xml:space="preserve">Series!AG20</t>
  </si>
  <si>
    <t xml:space="preserve">GH-0058:high</t>
  </si>
  <si>
    <t xml:space="preserve">DA-0295</t>
  </si>
  <si>
    <t xml:space="preserve">Series!AF21</t>
  </si>
  <si>
    <t xml:space="preserve">GH-0064:low</t>
  </si>
  <si>
    <t xml:space="preserve">DA-0296</t>
  </si>
  <si>
    <t xml:space="preserve">Series!AG21</t>
  </si>
  <si>
    <t xml:space="preserve">GH-0064:high</t>
  </si>
  <si>
    <t xml:space="preserve">DA-0297</t>
  </si>
  <si>
    <t xml:space="preserve">Series!AF22</t>
  </si>
  <si>
    <t xml:space="preserve">GH-0069:low</t>
  </si>
  <si>
    <t xml:space="preserve">DA-0298</t>
  </si>
  <si>
    <t xml:space="preserve">Series!AG22</t>
  </si>
  <si>
    <t xml:space="preserve">GH-0069:high</t>
  </si>
  <si>
    <t xml:space="preserve">DA-0299</t>
  </si>
  <si>
    <t xml:space="preserve">Series!AF23</t>
  </si>
  <si>
    <t xml:space="preserve">GH-0074:low</t>
  </si>
  <si>
    <t xml:space="preserve">DA-0300</t>
  </si>
  <si>
    <t xml:space="preserve">Series!AG23</t>
  </si>
  <si>
    <t xml:space="preserve">GH-0074:high</t>
  </si>
  <si>
    <t xml:space="preserve">DA-0301</t>
  </si>
  <si>
    <t xml:space="preserve">Series!AF24</t>
  </si>
  <si>
    <t xml:space="preserve">GH-0079:low</t>
  </si>
  <si>
    <t xml:space="preserve">DA-0302</t>
  </si>
  <si>
    <t xml:space="preserve">Series!AG24</t>
  </si>
  <si>
    <t xml:space="preserve">GH-0079:high</t>
  </si>
  <si>
    <t xml:space="preserve">DA-0303</t>
  </si>
  <si>
    <t xml:space="preserve">Series!AF25</t>
  </si>
  <si>
    <t xml:space="preserve">GH-0084:low</t>
  </si>
  <si>
    <t xml:space="preserve">DA-0304</t>
  </si>
  <si>
    <t xml:space="preserve">Series!AG25</t>
  </si>
  <si>
    <t xml:space="preserve">GH-0084:high</t>
  </si>
  <si>
    <t xml:space="preserve">DA-0305</t>
  </si>
  <si>
    <t xml:space="preserve">Series!AF26</t>
  </si>
  <si>
    <t xml:space="preserve">GH-0089:low</t>
  </si>
  <si>
    <t xml:space="preserve">DA-0306</t>
  </si>
  <si>
    <t xml:space="preserve">Series!AG26</t>
  </si>
  <si>
    <t xml:space="preserve">GH-0089:high</t>
  </si>
  <si>
    <t xml:space="preserve">DA-0307</t>
  </si>
  <si>
    <t xml:space="preserve">Series!AF27</t>
  </si>
  <si>
    <t xml:space="preserve">GH-0094:low</t>
  </si>
  <si>
    <t xml:space="preserve">DA-0308</t>
  </si>
  <si>
    <t xml:space="preserve">Series!AG27</t>
  </si>
  <si>
    <t xml:space="preserve">GH-0094:high</t>
  </si>
  <si>
    <t xml:space="preserve">DA-0309</t>
  </si>
  <si>
    <t xml:space="preserve">Proposed_Assumptions!T19</t>
  </si>
  <si>
    <t xml:space="preserve">GH-0100:low</t>
  </si>
  <si>
    <t xml:space="preserve">DA-0310</t>
  </si>
  <si>
    <t xml:space="preserve">Proposed_Assumptions!T20</t>
  </si>
  <si>
    <t xml:space="preserve">GH-0100:high</t>
  </si>
  <si>
    <t xml:space="preserve">DA-0311</t>
  </si>
  <si>
    <t xml:space="preserve">Proposed_Assumptions!T21</t>
  </si>
  <si>
    <t xml:space="preserve">GH-0102:low</t>
  </si>
  <si>
    <t xml:space="preserve">DA-0312</t>
  </si>
  <si>
    <t xml:space="preserve">Proposed_Assumptions!T22</t>
  </si>
  <si>
    <t xml:space="preserve">GH-0102:high</t>
  </si>
  <si>
    <t xml:space="preserve">DA-0313</t>
  </si>
  <si>
    <t xml:space="preserve">Proposed_Assumptions!T23</t>
  </si>
  <si>
    <t xml:space="preserve">GH-0098:low</t>
  </si>
  <si>
    <t xml:space="preserve">DA-0314</t>
  </si>
  <si>
    <t xml:space="preserve">Proposed_Assumptions!T24</t>
  </si>
  <si>
    <t xml:space="preserve">GH-0098:high</t>
  </si>
  <si>
    <t xml:space="preserve">DA-0315</t>
  </si>
  <si>
    <t xml:space="preserve">Proposed_Assumptions!T25</t>
  </si>
  <si>
    <t xml:space="preserve">GH-0099:low</t>
  </si>
  <si>
    <t xml:space="preserve">DA-0316</t>
  </si>
  <si>
    <t xml:space="preserve">Proposed_Assumptions!T26</t>
  </si>
  <si>
    <t xml:space="preserve">GH-0099:high</t>
  </si>
  <si>
    <t xml:space="preserve">DA-0317</t>
  </si>
  <si>
    <t xml:space="preserve">Proposed_Assumptions!T27</t>
  </si>
  <si>
    <t xml:space="preserve">DA-0318</t>
  </si>
  <si>
    <t xml:space="preserve">Locked Q3 call</t>
  </si>
  <si>
    <t xml:space="preserve">Proposed_Assumptions!F7</t>
  </si>
  <si>
    <t xml:space="preserve">DA-0319</t>
  </si>
  <si>
    <t xml:space="preserve">Proposed_Assumptions!F9</t>
  </si>
  <si>
    <t xml:space="preserve">DA-0320</t>
  </si>
  <si>
    <t xml:space="preserve">Proposed_Assumptions!F10</t>
  </si>
  <si>
    <t xml:space="preserve">monday_q3_call.xlsx NDR!D37</t>
  </si>
  <si>
    <t xml:space="preserve">DA-0321</t>
  </si>
  <si>
    <t xml:space="preserve">Proposed_Assumptions!F11</t>
  </si>
  <si>
    <t xml:space="preserve">monday_q3_call.xlsx NDR!C37</t>
  </si>
  <si>
    <t xml:space="preserve">DA-0322</t>
  </si>
  <si>
    <t xml:space="preserve">Proposed_Assumptions!F12</t>
  </si>
  <si>
    <t xml:space="preserve">monday_q3_call.xlsx Customers_50K!D35</t>
  </si>
  <si>
    <t xml:space="preserve">DA-0323</t>
  </si>
  <si>
    <t xml:space="preserve">Proposed_Assumptions!F13</t>
  </si>
  <si>
    <t xml:space="preserve">monday_q3_call.xlsx Customers_50K!C35</t>
  </si>
  <si>
    <t xml:space="preserve">DA-0324</t>
  </si>
  <si>
    <t xml:space="preserve">Proposed_Assumptions!T29</t>
  </si>
  <si>
    <t xml:space="preserve">DA-0325</t>
  </si>
  <si>
    <t xml:space="preserve">Source book Annual</t>
  </si>
  <si>
    <t xml:space="preserve">Proposed_Assumptions!T33</t>
  </si>
  <si>
    <t xml:space="preserve">AN-0085</t>
  </si>
  <si>
    <t xml:space="preserve">DA-0326</t>
  </si>
  <si>
    <t xml:space="preserve">Proposed_Assumptions!T34</t>
  </si>
  <si>
    <t xml:space="preserve">AN-0051</t>
  </si>
  <si>
    <t xml:space="preserve">DA-0327</t>
  </si>
  <si>
    <t xml:space="preserve">Proposed_Assumptions!T30</t>
  </si>
  <si>
    <t xml:space="preserve">Summary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</si>
</sst>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0"/>
    <numFmt numFmtId="166" formatCode="#,##0.0;\(#,##0.0\)"/>
    <numFmt numFmtId="167" formatCode="0.00%;\-0.00%"/>
    <numFmt numFmtId="168" formatCode="0.00"/>
    <numFmt numFmtId="169" formatCode="#,##0.0"/>
    <numFmt numFmtId="170" formatCode="0.0%;\-0.0%"/>
    <numFmt numFmtId="171" formatCode="0.00\x"/>
    <numFmt numFmtId="172" formatCode="#,##0;\(#,##0\)"/>
    <numFmt numFmtId="173" formatCode="#,##0"/>
    <numFmt numFmtId="174" formatCode="0.0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libri"/>
      <family val="0"/>
      <charset val="1"/>
    </font>
    <font>
      <b val="true"/>
      <sz val="10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3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i val="true"/>
      <sz val="9"/>
      <name val="Calibri"/>
      <family val="0"/>
      <charset val="1"/>
    </font>
    <font>
      <b val="true"/>
      <sz val="10"/>
      <color rgb="FF006100"/>
      <name val="Calibri"/>
      <family val="0"/>
      <charset val="1"/>
    </font>
    <font>
      <b val="true"/>
      <sz val="10"/>
      <color rgb="FF9C5700"/>
      <name val="Calibri"/>
      <family val="0"/>
      <charset val="1"/>
    </font>
    <font>
      <b val="true"/>
      <sz val="10"/>
      <color rgb="FFC00000"/>
      <name val="Calibri"/>
      <family val="0"/>
      <charset val="1"/>
    </font>
    <font>
      <i val="true"/>
      <sz val="10"/>
      <color rgb="FF808080"/>
      <name val="Calibri"/>
      <family val="0"/>
      <charset val="1"/>
    </font>
    <font>
      <b val="true"/>
      <sz val="10"/>
      <color rgb="FFC65911"/>
      <name val="Calibri"/>
      <family val="0"/>
      <charset val="1"/>
    </font>
    <font>
      <sz val="10"/>
      <color rgb="FF0000FF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FCE4D6"/>
      </patternFill>
    </fill>
    <fill>
      <patternFill patternType="solid">
        <fgColor rgb="FFFCE4D6"/>
        <bgColor rgb="FFD9E1F2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65911"/>
      <rgbColor rgb="FF666699"/>
      <rgbColor rgb="FF969696"/>
      <rgbColor rgb="FF1F3864"/>
      <rgbColor rgb="FF339966"/>
      <rgbColor rgb="FF003300"/>
      <rgbColor rgb="FF333300"/>
      <rgbColor rgb="FF9C57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40"/>
  </cols>
  <sheetData>
    <row r="1" customFormat="false" ht="17.35" hidden="false" customHeight="false" outlineLevel="0" collapsed="false">
      <c r="A1" s="1" t="s">
        <v>0</v>
      </c>
    </row>
    <row r="3" customFormat="false" ht="23.85" hidden="false" customHeight="false" outlineLevel="0" collapsed="false">
      <c r="A3" s="2" t="s">
        <v>1</v>
      </c>
      <c r="B3" s="3" t="s">
        <v>2</v>
      </c>
    </row>
    <row r="4" customFormat="false" ht="23.85" hidden="false" customHeight="false" outlineLevel="0" collapsed="false">
      <c r="A4" s="2" t="s">
        <v>3</v>
      </c>
      <c r="B4" s="3" t="s">
        <v>4</v>
      </c>
    </row>
    <row r="5" customFormat="false" ht="23.85" hidden="false" customHeight="false" outlineLevel="0" collapsed="false">
      <c r="A5" s="2" t="s">
        <v>5</v>
      </c>
      <c r="B5" s="3" t="s">
        <v>6</v>
      </c>
    </row>
    <row r="6" customFormat="false" ht="15" hidden="false" customHeight="false" outlineLevel="0" collapsed="false">
      <c r="A6" s="2" t="s">
        <v>7</v>
      </c>
      <c r="B6" s="3" t="s">
        <v>8</v>
      </c>
    </row>
    <row r="7" customFormat="false" ht="15" hidden="false" customHeight="false" outlineLevel="0" collapsed="false">
      <c r="A7" s="2" t="s">
        <v>9</v>
      </c>
      <c r="B7" s="3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6"/>
    <col collapsed="false" customWidth="true" hidden="false" outlineLevel="0" max="4" min="3" style="0" width="12"/>
    <col collapsed="false" customWidth="true" hidden="false" outlineLevel="0" max="5" min="5" style="0" width="60"/>
    <col collapsed="false" customWidth="true" hidden="false" outlineLevel="0" max="6" min="6" style="0" width="20"/>
    <col collapsed="false" customWidth="true" hidden="false" outlineLevel="0" max="7" min="7" style="0" width="70"/>
    <col collapsed="false" customWidth="true" hidden="false" outlineLevel="0" max="8" min="8" style="0" width="30"/>
  </cols>
  <sheetData>
    <row r="1" customFormat="false" ht="16.15" hidden="false" customHeight="false" outlineLevel="0" collapsed="false">
      <c r="A1" s="4" t="s">
        <v>11</v>
      </c>
    </row>
    <row r="3" customFormat="false" ht="23.85" hidden="false" customHeight="false" outlineLevel="0" collapsed="false">
      <c r="A3" s="5" t="s">
        <v>12</v>
      </c>
      <c r="B3" s="5" t="s">
        <v>13</v>
      </c>
      <c r="C3" s="5" t="s">
        <v>14</v>
      </c>
      <c r="D3" s="5" t="s">
        <v>15</v>
      </c>
      <c r="E3" s="5" t="s">
        <v>16</v>
      </c>
      <c r="F3" s="5" t="s">
        <v>17</v>
      </c>
      <c r="G3" s="5" t="s">
        <v>18</v>
      </c>
      <c r="H3" s="5" t="s">
        <v>19</v>
      </c>
    </row>
    <row r="4" customFormat="false" ht="15" hidden="false" customHeight="false" outlineLevel="0" collapsed="false">
      <c r="A4" s="6" t="s">
        <v>20</v>
      </c>
      <c r="B4" s="6" t="s">
        <v>20</v>
      </c>
      <c r="C4" s="6" t="s">
        <v>21</v>
      </c>
      <c r="D4" s="6" t="s">
        <v>20</v>
      </c>
      <c r="E4" s="6" t="s">
        <v>20</v>
      </c>
      <c r="F4" s="6" t="s">
        <v>22</v>
      </c>
      <c r="G4" s="6" t="s">
        <v>20</v>
      </c>
      <c r="H4" s="6" t="s">
        <v>20</v>
      </c>
    </row>
    <row r="5" customFormat="false" ht="60" hidden="false" customHeight="true" outlineLevel="0" collapsed="false">
      <c r="A5" s="2" t="s">
        <v>23</v>
      </c>
      <c r="B5" s="3" t="s">
        <v>24</v>
      </c>
      <c r="C5" s="7" t="n">
        <f aca="false">COUNT(Series!B6:B27)</f>
        <v>22</v>
      </c>
      <c r="D5" s="3" t="s">
        <v>25</v>
      </c>
      <c r="E5" s="3" t="s">
        <v>26</v>
      </c>
      <c r="F5" s="8" t="s">
        <v>27</v>
      </c>
      <c r="G5" s="3" t="s">
        <v>28</v>
      </c>
      <c r="H5" s="3" t="s">
        <v>29</v>
      </c>
    </row>
    <row r="6" customFormat="false" ht="60" hidden="false" customHeight="true" outlineLevel="0" collapsed="false">
      <c r="A6" s="2" t="s">
        <v>30</v>
      </c>
      <c r="B6" s="3" t="s">
        <v>31</v>
      </c>
      <c r="C6" s="7" t="n">
        <f aca="false">COUNT(Series!V6:V27)</f>
        <v>11</v>
      </c>
      <c r="D6" s="3" t="s">
        <v>32</v>
      </c>
      <c r="E6" s="3" t="s">
        <v>33</v>
      </c>
      <c r="F6" s="9" t="s">
        <v>34</v>
      </c>
      <c r="G6" s="3" t="s">
        <v>35</v>
      </c>
      <c r="H6" s="3" t="s">
        <v>36</v>
      </c>
    </row>
    <row r="7" customFormat="false" ht="60" hidden="false" customHeight="true" outlineLevel="0" collapsed="false">
      <c r="A7" s="2" t="s">
        <v>37</v>
      </c>
      <c r="B7" s="3" t="s">
        <v>38</v>
      </c>
      <c r="C7" s="7" t="n">
        <f aca="false">COUNT(Series!X6:X27)</f>
        <v>22</v>
      </c>
      <c r="D7" s="3" t="s">
        <v>39</v>
      </c>
      <c r="E7" s="3" t="s">
        <v>40</v>
      </c>
      <c r="F7" s="8" t="s">
        <v>27</v>
      </c>
      <c r="G7" s="3" t="s">
        <v>41</v>
      </c>
      <c r="H7" s="3" t="s">
        <v>42</v>
      </c>
    </row>
    <row r="8" customFormat="false" ht="60" hidden="false" customHeight="true" outlineLevel="0" collapsed="false">
      <c r="A8" s="2" t="s">
        <v>43</v>
      </c>
      <c r="B8" s="3" t="s">
        <v>44</v>
      </c>
      <c r="C8" s="7" t="n">
        <f aca="false">COUNT(Series!AD6:AD27)</f>
        <v>6</v>
      </c>
      <c r="D8" s="3" t="s">
        <v>45</v>
      </c>
      <c r="E8" s="3" t="s">
        <v>46</v>
      </c>
      <c r="F8" s="10" t="s">
        <v>47</v>
      </c>
      <c r="G8" s="3" t="s">
        <v>48</v>
      </c>
      <c r="H8" s="3" t="s">
        <v>49</v>
      </c>
    </row>
    <row r="9" customFormat="false" ht="60" hidden="false" customHeight="true" outlineLevel="0" collapsed="false">
      <c r="A9" s="2" t="s">
        <v>50</v>
      </c>
      <c r="B9" s="3" t="s">
        <v>51</v>
      </c>
      <c r="C9" s="7" t="n">
        <f aca="false">COUNT(Series!D6:D27)</f>
        <v>22</v>
      </c>
      <c r="D9" s="3" t="s">
        <v>25</v>
      </c>
      <c r="E9" s="3" t="s">
        <v>52</v>
      </c>
      <c r="F9" s="8" t="s">
        <v>27</v>
      </c>
      <c r="G9" s="3" t="s">
        <v>53</v>
      </c>
      <c r="H9" s="3" t="s">
        <v>54</v>
      </c>
    </row>
    <row r="10" customFormat="false" ht="60" hidden="false" customHeight="true" outlineLevel="0" collapsed="false">
      <c r="A10" s="2" t="s">
        <v>55</v>
      </c>
      <c r="B10" s="3" t="s">
        <v>56</v>
      </c>
      <c r="C10" s="7" t="n">
        <f aca="false">COUNT(Series!F6:F27)</f>
        <v>22</v>
      </c>
      <c r="D10" s="3" t="s">
        <v>25</v>
      </c>
      <c r="E10" s="3" t="s">
        <v>57</v>
      </c>
      <c r="F10" s="8" t="s">
        <v>27</v>
      </c>
      <c r="G10" s="3" t="s">
        <v>58</v>
      </c>
      <c r="H10" s="3" t="s">
        <v>59</v>
      </c>
    </row>
    <row r="11" customFormat="false" ht="60" hidden="false" customHeight="true" outlineLevel="0" collapsed="false">
      <c r="A11" s="2" t="s">
        <v>60</v>
      </c>
      <c r="B11" s="3" t="s">
        <v>61</v>
      </c>
      <c r="C11" s="7" t="n">
        <f aca="false">COUNT(Series!H22:H27)</f>
        <v>6</v>
      </c>
      <c r="D11" s="3" t="s">
        <v>62</v>
      </c>
      <c r="E11" s="3" t="s">
        <v>63</v>
      </c>
      <c r="F11" s="9" t="s">
        <v>34</v>
      </c>
      <c r="G11" s="3" t="s">
        <v>64</v>
      </c>
      <c r="H11" s="3" t="s">
        <v>65</v>
      </c>
    </row>
    <row r="12" customFormat="false" ht="60" hidden="false" customHeight="true" outlineLevel="0" collapsed="false">
      <c r="A12" s="2" t="s">
        <v>66</v>
      </c>
      <c r="B12" s="3" t="s">
        <v>67</v>
      </c>
      <c r="C12" s="7" t="n">
        <f aca="false">COUNT(Series!J6:J27)</f>
        <v>22</v>
      </c>
      <c r="D12" s="3" t="s">
        <v>25</v>
      </c>
      <c r="E12" s="3" t="s">
        <v>68</v>
      </c>
      <c r="F12" s="8" t="s">
        <v>27</v>
      </c>
      <c r="G12" s="3" t="s">
        <v>69</v>
      </c>
      <c r="H12" s="3" t="s">
        <v>70</v>
      </c>
    </row>
    <row r="13" customFormat="false" ht="60" hidden="false" customHeight="true" outlineLevel="0" collapsed="false">
      <c r="A13" s="2" t="s">
        <v>71</v>
      </c>
      <c r="B13" s="3" t="s">
        <v>72</v>
      </c>
      <c r="C13" s="7" t="n">
        <f aca="false">COUNT(Series!P6:P27)</f>
        <v>22</v>
      </c>
      <c r="D13" s="3" t="s">
        <v>73</v>
      </c>
      <c r="E13" s="3" t="s">
        <v>74</v>
      </c>
      <c r="F13" s="9" t="s">
        <v>34</v>
      </c>
      <c r="G13" s="3" t="s">
        <v>75</v>
      </c>
      <c r="H13" s="3" t="s">
        <v>76</v>
      </c>
    </row>
    <row r="14" customFormat="false" ht="60" hidden="false" customHeight="true" outlineLevel="0" collapsed="false">
      <c r="A14" s="2" t="s">
        <v>77</v>
      </c>
      <c r="B14" s="3" t="s">
        <v>78</v>
      </c>
      <c r="C14" s="7" t="n">
        <f aca="false">COUNT(Series!N6:N27)</f>
        <v>22</v>
      </c>
      <c r="D14" s="3" t="s">
        <v>25</v>
      </c>
      <c r="E14" s="3" t="s">
        <v>79</v>
      </c>
      <c r="F14" s="8" t="s">
        <v>27</v>
      </c>
      <c r="G14" s="3" t="s">
        <v>80</v>
      </c>
      <c r="H14" s="3" t="s">
        <v>81</v>
      </c>
    </row>
    <row r="15" customFormat="false" ht="60" hidden="false" customHeight="true" outlineLevel="0" collapsed="false">
      <c r="A15" s="2" t="s">
        <v>82</v>
      </c>
      <c r="B15" s="3" t="s">
        <v>83</v>
      </c>
      <c r="C15" s="11" t="s">
        <v>84</v>
      </c>
      <c r="D15" s="3" t="s">
        <v>85</v>
      </c>
      <c r="E15" s="3" t="s">
        <v>86</v>
      </c>
      <c r="F15" s="10" t="s">
        <v>47</v>
      </c>
      <c r="G15" s="3" t="s">
        <v>87</v>
      </c>
      <c r="H15" s="3" t="s">
        <v>88</v>
      </c>
    </row>
    <row r="16" customFormat="false" ht="60" hidden="false" customHeight="true" outlineLevel="0" collapsed="false">
      <c r="A16" s="2" t="s">
        <v>89</v>
      </c>
      <c r="B16" s="3" t="s">
        <v>90</v>
      </c>
      <c r="C16" s="11" t="s">
        <v>84</v>
      </c>
      <c r="D16" s="3" t="s">
        <v>85</v>
      </c>
      <c r="E16" s="3" t="s">
        <v>91</v>
      </c>
      <c r="F16" s="9" t="s">
        <v>34</v>
      </c>
      <c r="G16" s="3" t="s">
        <v>92</v>
      </c>
      <c r="H16" s="3" t="s">
        <v>93</v>
      </c>
    </row>
    <row r="17" customFormat="false" ht="60" hidden="false" customHeight="true" outlineLevel="0" collapsed="false">
      <c r="A17" s="2" t="s">
        <v>94</v>
      </c>
      <c r="B17" s="3" t="s">
        <v>95</v>
      </c>
      <c r="C17" s="7" t="n">
        <f aca="false">COUNT(Series!R6:R27)</f>
        <v>22</v>
      </c>
      <c r="D17" s="3" t="s">
        <v>96</v>
      </c>
      <c r="E17" s="3" t="s">
        <v>97</v>
      </c>
      <c r="F17" s="8" t="s">
        <v>27</v>
      </c>
      <c r="G17" s="3" t="s">
        <v>98</v>
      </c>
      <c r="H17" s="3" t="s">
        <v>99</v>
      </c>
    </row>
    <row r="18" customFormat="false" ht="60" hidden="false" customHeight="true" outlineLevel="0" collapsed="false">
      <c r="A18" s="2" t="s">
        <v>100</v>
      </c>
      <c r="B18" s="3" t="s">
        <v>101</v>
      </c>
      <c r="C18" s="11" t="s">
        <v>84</v>
      </c>
      <c r="D18" s="3" t="s">
        <v>84</v>
      </c>
      <c r="E18" s="3" t="s">
        <v>102</v>
      </c>
      <c r="F18" s="10" t="s">
        <v>47</v>
      </c>
      <c r="G18" s="3" t="s">
        <v>103</v>
      </c>
      <c r="H18" s="3" t="s">
        <v>84</v>
      </c>
    </row>
    <row r="19" customFormat="false" ht="60" hidden="false" customHeight="true" outlineLevel="0" collapsed="false">
      <c r="A19" s="2" t="s">
        <v>104</v>
      </c>
      <c r="B19" s="3" t="s">
        <v>105</v>
      </c>
      <c r="C19" s="11" t="s">
        <v>84</v>
      </c>
      <c r="D19" s="3" t="s">
        <v>106</v>
      </c>
      <c r="E19" s="3" t="s">
        <v>107</v>
      </c>
      <c r="F19" s="10" t="s">
        <v>47</v>
      </c>
      <c r="G19" s="3" t="s">
        <v>108</v>
      </c>
      <c r="H19" s="3" t="s">
        <v>109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3" min="2" style="0" width="12"/>
    <col collapsed="false" customWidth="true" hidden="false" outlineLevel="0" max="5" min="4" style="0" width="11"/>
    <col collapsed="false" customWidth="true" hidden="false" outlineLevel="0" max="6" min="6" style="0" width="12"/>
    <col collapsed="false" customWidth="true" hidden="false" outlineLevel="0" max="8" min="7" style="0" width="11"/>
    <col collapsed="false" customWidth="true" hidden="false" outlineLevel="0" max="9" min="9" style="0" width="12"/>
    <col collapsed="false" customWidth="true" hidden="false" outlineLevel="0" max="11" min="10" style="0" width="11"/>
    <col collapsed="false" customWidth="true" hidden="false" outlineLevel="0" max="12" min="12" style="0" width="70"/>
    <col collapsed="false" customWidth="true" hidden="false" outlineLevel="0" max="13" min="13" style="0" width="60"/>
    <col collapsed="false" customWidth="true" hidden="false" outlineLevel="0" max="14" min="14" style="0" width="50"/>
    <col collapsed="false" customWidth="true" hidden="false" outlineLevel="0" max="16" min="15" style="0" width="12"/>
  </cols>
  <sheetData>
    <row r="1" customFormat="false" ht="16.15" hidden="false" customHeight="false" outlineLevel="0" collapsed="false">
      <c r="A1" s="4" t="s">
        <v>110</v>
      </c>
    </row>
    <row r="2" customFormat="false" ht="15" hidden="false" customHeight="false" outlineLevel="0" collapsed="false">
      <c r="A2" s="12" t="s">
        <v>111</v>
      </c>
    </row>
    <row r="4" customFormat="false" ht="23.85" hidden="false" customHeight="false" outlineLevel="0" collapsed="false">
      <c r="A4" s="5" t="s">
        <v>112</v>
      </c>
      <c r="B4" s="5" t="s">
        <v>113</v>
      </c>
      <c r="C4" s="5" t="s">
        <v>114</v>
      </c>
      <c r="D4" s="5" t="s">
        <v>115</v>
      </c>
      <c r="E4" s="5" t="s">
        <v>116</v>
      </c>
      <c r="F4" s="5" t="s">
        <v>117</v>
      </c>
      <c r="G4" s="5" t="s">
        <v>118</v>
      </c>
      <c r="H4" s="5" t="s">
        <v>119</v>
      </c>
      <c r="I4" s="5" t="s">
        <v>120</v>
      </c>
      <c r="J4" s="5" t="s">
        <v>121</v>
      </c>
      <c r="K4" s="5" t="s">
        <v>122</v>
      </c>
      <c r="L4" s="5" t="s">
        <v>123</v>
      </c>
      <c r="M4" s="5" t="s">
        <v>124</v>
      </c>
      <c r="N4" s="5" t="s">
        <v>125</v>
      </c>
    </row>
    <row r="5" customFormat="false" ht="22.35" hidden="false" customHeight="false" outlineLevel="0" collapsed="false">
      <c r="A5" s="6" t="s">
        <v>126</v>
      </c>
      <c r="B5" s="6" t="s">
        <v>127</v>
      </c>
      <c r="C5" s="6" t="s">
        <v>128</v>
      </c>
      <c r="D5" s="6" t="s">
        <v>128</v>
      </c>
      <c r="E5" s="6" t="s">
        <v>128</v>
      </c>
      <c r="F5" s="6" t="s">
        <v>128</v>
      </c>
      <c r="G5" s="6" t="s">
        <v>128</v>
      </c>
      <c r="H5" s="6" t="s">
        <v>128</v>
      </c>
      <c r="I5" s="6" t="s">
        <v>128</v>
      </c>
      <c r="J5" s="6" t="s">
        <v>128</v>
      </c>
      <c r="K5" s="6" t="s">
        <v>128</v>
      </c>
      <c r="L5" s="6" t="s">
        <v>20</v>
      </c>
      <c r="M5" s="6" t="s">
        <v>20</v>
      </c>
      <c r="N5" s="6" t="s">
        <v>20</v>
      </c>
    </row>
    <row r="6" customFormat="false" ht="15" hidden="false" customHeight="false" outlineLevel="0" collapsed="false">
      <c r="A6" s="11" t="s">
        <v>129</v>
      </c>
      <c r="B6" s="13" t="n">
        <f aca="false">Series!B20/1000</f>
        <v>251</v>
      </c>
      <c r="C6" s="13" t="n">
        <f aca="false">Series!B16/1000*(1+(Series!V19-1)+AVERAGE(Series!AK16:AK19))</f>
        <v>254.27119777931</v>
      </c>
      <c r="D6" s="13" t="n">
        <f aca="false">C6-B6</f>
        <v>3.2711977793096</v>
      </c>
      <c r="E6" s="14" t="n">
        <f aca="false">C6/B6-1</f>
        <v>0.013032660475337</v>
      </c>
      <c r="F6" s="13" t="n">
        <f aca="false">Series!AL20*(1+MEDIAN(Series!AM12:AM19))</f>
        <v>254.680710059172</v>
      </c>
      <c r="G6" s="13" t="n">
        <f aca="false">F6-B6</f>
        <v>3.68071005917159</v>
      </c>
      <c r="H6" s="14" t="n">
        <f aca="false">F6/B6-1</f>
        <v>0.0146641835026757</v>
      </c>
      <c r="I6" s="13" t="n">
        <f aca="false">Series!B19/1000*(1+Series!AJ19+(Series!AJ19-Series!AJ15)/4)</f>
        <v>257.336952591427</v>
      </c>
      <c r="J6" s="13" t="n">
        <f aca="false">I6-B6</f>
        <v>6.33695259142706</v>
      </c>
      <c r="K6" s="14" t="n">
        <f aca="false">I6/B6-1</f>
        <v>0.0252468230734146</v>
      </c>
      <c r="L6" s="11" t="s">
        <v>130</v>
      </c>
      <c r="M6" s="11" t="s">
        <v>131</v>
      </c>
      <c r="N6" s="11" t="s">
        <v>132</v>
      </c>
    </row>
    <row r="7" customFormat="false" ht="15" hidden="false" customHeight="false" outlineLevel="0" collapsed="false">
      <c r="A7" s="11" t="s">
        <v>133</v>
      </c>
      <c r="B7" s="13" t="n">
        <f aca="false">Series!B21/1000</f>
        <v>267.976</v>
      </c>
      <c r="C7" s="13" t="n">
        <f aca="false">Series!B17/1000*(1+(Series!V20-1)+AVERAGE(Series!AK17:AK20))</f>
        <v>272.897544996385</v>
      </c>
      <c r="D7" s="13" t="n">
        <f aca="false">C7-B7</f>
        <v>4.92154499638491</v>
      </c>
      <c r="E7" s="14" t="n">
        <f aca="false">C7/B7-1</f>
        <v>0.0183656185493659</v>
      </c>
      <c r="F7" s="13" t="n">
        <f aca="false">Series!AL21*(1+MEDIAN(Series!AM13:AM20))</f>
        <v>271.096359377465</v>
      </c>
      <c r="G7" s="13" t="n">
        <f aca="false">F7-B7</f>
        <v>3.12035937746469</v>
      </c>
      <c r="H7" s="14" t="n">
        <f aca="false">F7/B7-1</f>
        <v>0.0116441747673848</v>
      </c>
      <c r="I7" s="13" t="n">
        <f aca="false">Series!B20/1000*(1+Series!AJ20+(Series!AJ20-Series!AJ16)/4)</f>
        <v>265.965992136336</v>
      </c>
      <c r="J7" s="13" t="n">
        <f aca="false">I7-B7</f>
        <v>-2.0100078636645</v>
      </c>
      <c r="K7" s="14" t="n">
        <f aca="false">I7/B7-1</f>
        <v>-0.00750070104660305</v>
      </c>
      <c r="L7" s="11" t="s">
        <v>134</v>
      </c>
      <c r="M7" s="11" t="s">
        <v>135</v>
      </c>
      <c r="N7" s="11" t="s">
        <v>136</v>
      </c>
    </row>
    <row r="8" customFormat="false" ht="15" hidden="false" customHeight="false" outlineLevel="0" collapsed="false">
      <c r="A8" s="11" t="s">
        <v>137</v>
      </c>
      <c r="B8" s="13" t="n">
        <f aca="false">Series!B22/1000</f>
        <v>282.25</v>
      </c>
      <c r="C8" s="13" t="n">
        <f aca="false">Series!B18/1000*(1+(Series!V21-1)+AVERAGE(Series!AK18:AK21))</f>
        <v>291.770149151788</v>
      </c>
      <c r="D8" s="13" t="n">
        <f aca="false">C8-B8</f>
        <v>9.52014915178836</v>
      </c>
      <c r="E8" s="14" t="n">
        <f aca="false">C8/B8-1</f>
        <v>0.0337294921232536</v>
      </c>
      <c r="F8" s="13" t="n">
        <f aca="false">Series!AL22*(1+MEDIAN(Series!AM14:AM21))</f>
        <v>285.094407894737</v>
      </c>
      <c r="G8" s="13" t="n">
        <f aca="false">F8-B8</f>
        <v>2.84440789473683</v>
      </c>
      <c r="H8" s="14" t="n">
        <f aca="false">F8/B8-1</f>
        <v>0.0100776187590321</v>
      </c>
      <c r="I8" s="13" t="n">
        <f aca="false">Series!B21/1000*(1+Series!AJ21+(Series!AJ21-Series!AJ17)/4)</f>
        <v>285.893195365623</v>
      </c>
      <c r="J8" s="13" t="n">
        <f aca="false">I8-B8</f>
        <v>3.64319536562346</v>
      </c>
      <c r="K8" s="14" t="n">
        <f aca="false">I8/B8-1</f>
        <v>0.0129076895150522</v>
      </c>
      <c r="L8" s="11" t="s">
        <v>138</v>
      </c>
      <c r="M8" s="11" t="s">
        <v>139</v>
      </c>
      <c r="N8" s="11" t="s">
        <v>140</v>
      </c>
    </row>
    <row r="9" customFormat="false" ht="15" hidden="false" customHeight="false" outlineLevel="0" collapsed="false">
      <c r="A9" s="11" t="s">
        <v>141</v>
      </c>
      <c r="B9" s="13" t="n">
        <f aca="false">Series!B23/1000</f>
        <v>299.014</v>
      </c>
      <c r="C9" s="13" t="n">
        <f aca="false">Series!B19/1000*(1+(Series!V22-1)+AVERAGE(Series!AK19:AK22))</f>
        <v>314.302245759308</v>
      </c>
      <c r="D9" s="13" t="n">
        <f aca="false">C9-B9</f>
        <v>15.2882457593077</v>
      </c>
      <c r="E9" s="14" t="n">
        <f aca="false">C9/B9-1</f>
        <v>0.0511288627265201</v>
      </c>
      <c r="F9" s="13" t="n">
        <f aca="false">Series!AL23*(1+MEDIAN(Series!AM15:AM22))</f>
        <v>302.350617886722</v>
      </c>
      <c r="G9" s="13" t="n">
        <f aca="false">F9-B9</f>
        <v>3.33661788672185</v>
      </c>
      <c r="H9" s="14" t="n">
        <f aca="false">F9/B9-1</f>
        <v>0.0111587346636675</v>
      </c>
      <c r="I9" s="13" t="n">
        <f aca="false">Series!B22/1000*(1+Series!AJ22+(Series!AJ22-Series!AJ18)/4)</f>
        <v>296.046709301565</v>
      </c>
      <c r="J9" s="13" t="n">
        <f aca="false">I9-B9</f>
        <v>-2.96729069843514</v>
      </c>
      <c r="K9" s="14" t="n">
        <f aca="false">I9/B9-1</f>
        <v>-0.00992358450920405</v>
      </c>
      <c r="L9" s="11" t="s">
        <v>142</v>
      </c>
      <c r="M9" s="11" t="s">
        <v>143</v>
      </c>
      <c r="N9" s="11" t="s">
        <v>144</v>
      </c>
    </row>
    <row r="10" customFormat="false" ht="15" hidden="false" customHeight="false" outlineLevel="0" collapsed="false">
      <c r="A10" s="11" t="s">
        <v>145</v>
      </c>
      <c r="B10" s="13" t="n">
        <f aca="false">Series!B24/1000</f>
        <v>316.855</v>
      </c>
      <c r="C10" s="13" t="n">
        <f aca="false">Series!B20/1000*(1+(Series!V23-1)+AVERAGE(Series!AK20:AK23))</f>
        <v>326.126945408741</v>
      </c>
      <c r="D10" s="13" t="n">
        <f aca="false">C10-B10</f>
        <v>9.27194540874086</v>
      </c>
      <c r="E10" s="14" t="n">
        <f aca="false">C10/B10-1</f>
        <v>0.0292624241648101</v>
      </c>
      <c r="F10" s="13" t="n">
        <f aca="false">Series!AL24*(1+MEDIAN(Series!AM16:AM23))</f>
        <v>320.580324639711</v>
      </c>
      <c r="G10" s="13" t="n">
        <f aca="false">F10-B10</f>
        <v>3.72532463971061</v>
      </c>
      <c r="H10" s="14" t="n">
        <f aca="false">F10/B10-1</f>
        <v>0.011757190638338</v>
      </c>
      <c r="I10" s="13" t="n">
        <f aca="false">Series!B23/1000*(1+Series!AJ23+(Series!AJ23-Series!AJ19)/4)</f>
        <v>314.599229494371</v>
      </c>
      <c r="J10" s="13" t="n">
        <f aca="false">I10-B10</f>
        <v>-2.2557705056293</v>
      </c>
      <c r="K10" s="14" t="n">
        <f aca="false">I10/B10-1</f>
        <v>-0.00711925172596073</v>
      </c>
      <c r="L10" s="11" t="s">
        <v>146</v>
      </c>
      <c r="M10" s="11" t="s">
        <v>147</v>
      </c>
      <c r="N10" s="11" t="s">
        <v>148</v>
      </c>
    </row>
    <row r="11" customFormat="false" ht="15" hidden="false" customHeight="false" outlineLevel="0" collapsed="false">
      <c r="A11" s="11" t="s">
        <v>149</v>
      </c>
      <c r="B11" s="13" t="n">
        <f aca="false">Series!B25/1000</f>
        <v>333.878</v>
      </c>
      <c r="C11" s="13" t="n">
        <f aca="false">Series!B21/1000*(1+(Series!V24-1)+AVERAGE(Series!AK21:AK24))</f>
        <v>343.873775668631</v>
      </c>
      <c r="D11" s="13" t="n">
        <f aca="false">C11-B11</f>
        <v>9.99577566863076</v>
      </c>
      <c r="E11" s="14" t="n">
        <f aca="false">C11/B11-1</f>
        <v>0.0299384076477958</v>
      </c>
      <c r="F11" s="13" t="n">
        <f aca="false">Series!AL25*(1+MEDIAN(Series!AM17:AM24))</f>
        <v>337.733569139673</v>
      </c>
      <c r="G11" s="13" t="n">
        <f aca="false">F11-B11</f>
        <v>3.85556913967258</v>
      </c>
      <c r="H11" s="14" t="n">
        <f aca="false">F11/B11-1</f>
        <v>0.011547838251315</v>
      </c>
      <c r="I11" s="13" t="n">
        <f aca="false">Series!B24/1000*(1+Series!AJ24+(Series!AJ24-Series!AJ20)/4)</f>
        <v>335.489929874093</v>
      </c>
      <c r="J11" s="13" t="n">
        <f aca="false">I11-B11</f>
        <v>1.61192987409333</v>
      </c>
      <c r="K11" s="14" t="n">
        <f aca="false">I11/B11-1</f>
        <v>0.00482790083231999</v>
      </c>
      <c r="L11" s="11" t="s">
        <v>150</v>
      </c>
      <c r="M11" s="11" t="s">
        <v>151</v>
      </c>
      <c r="N11" s="11" t="s">
        <v>152</v>
      </c>
    </row>
    <row r="12" customFormat="false" ht="15" hidden="false" customHeight="false" outlineLevel="0" collapsed="false">
      <c r="A12" s="11" t="s">
        <v>153</v>
      </c>
      <c r="B12" s="13" t="n">
        <f aca="false">Series!B26/1000</f>
        <v>351.265</v>
      </c>
      <c r="C12" s="13" t="n">
        <f aca="false">Series!B22/1000*(1+(Series!V25-1)+AVERAGE(Series!AK22:AK25))</f>
        <v>355.349088145754</v>
      </c>
      <c r="D12" s="13" t="n">
        <f aca="false">C12-B12</f>
        <v>4.08408814575364</v>
      </c>
      <c r="E12" s="14" t="n">
        <f aca="false">C12/B12-1</f>
        <v>0.0116268006939309</v>
      </c>
      <c r="F12" s="13" t="n">
        <f aca="false">Series!AL26*(1+MEDIAN(Series!AM18:AM25))</f>
        <v>347.6196567718</v>
      </c>
      <c r="G12" s="13" t="n">
        <f aca="false">F12-B12</f>
        <v>-3.64534322820037</v>
      </c>
      <c r="H12" s="14" t="n">
        <f aca="false">F12/B12-1</f>
        <v>-0.0103777581831391</v>
      </c>
      <c r="I12" s="13" t="n">
        <f aca="false">Series!B25/1000*(1+Series!AJ25+(Series!AJ25-Series!AJ21)/4)</f>
        <v>350.654616900087</v>
      </c>
      <c r="J12" s="13" t="n">
        <f aca="false">I12-B12</f>
        <v>-0.610383099913065</v>
      </c>
      <c r="K12" s="14" t="n">
        <f aca="false">I12/B12-1</f>
        <v>-0.00173767127357716</v>
      </c>
      <c r="L12" s="11" t="s">
        <v>154</v>
      </c>
      <c r="M12" s="11" t="s">
        <v>155</v>
      </c>
      <c r="N12" s="11" t="s">
        <v>156</v>
      </c>
    </row>
    <row r="13" customFormat="false" ht="15" hidden="false" customHeight="false" outlineLevel="0" collapsed="false">
      <c r="A13" s="11" t="s">
        <v>157</v>
      </c>
      <c r="B13" s="13" t="n">
        <f aca="false">Series!B27/1000</f>
        <v>364.621</v>
      </c>
      <c r="C13" s="13" t="n">
        <f aca="false">Series!B23/1000*(1+(Series!V26-1)+AVERAGE(Series!AK23:AK26))</f>
        <v>373.711617875137</v>
      </c>
      <c r="D13" s="13" t="n">
        <f aca="false">C13-B13</f>
        <v>9.09061787513747</v>
      </c>
      <c r="E13" s="14" t="n">
        <f aca="false">C13/B13-1</f>
        <v>0.0249316903720231</v>
      </c>
      <c r="F13" s="13" t="n">
        <f aca="false">Series!AL27*(1+MEDIAN(Series!AM19:AM26))</f>
        <v>364.026484230056</v>
      </c>
      <c r="G13" s="13" t="n">
        <f aca="false">F13-B13</f>
        <v>-0.594515769944337</v>
      </c>
      <c r="H13" s="14" t="n">
        <f aca="false">F13/B13-1</f>
        <v>-0.00163050337184179</v>
      </c>
      <c r="I13" s="13" t="n">
        <f aca="false">Series!B26/1000*(1+Series!AJ26+(Series!AJ26-Series!AJ22)/4)</f>
        <v>369.452937543446</v>
      </c>
      <c r="J13" s="13" t="n">
        <f aca="false">I13-B13</f>
        <v>4.83193754344597</v>
      </c>
      <c r="K13" s="14" t="n">
        <f aca="false">I13/B13-1</f>
        <v>0.0132519452896185</v>
      </c>
      <c r="L13" s="11" t="s">
        <v>158</v>
      </c>
      <c r="M13" s="11" t="s">
        <v>159</v>
      </c>
      <c r="N13" s="11" t="s">
        <v>160</v>
      </c>
    </row>
    <row r="15" customFormat="false" ht="15" hidden="false" customHeight="false" outlineLevel="0" collapsed="false">
      <c r="A15" s="2" t="s">
        <v>161</v>
      </c>
    </row>
    <row r="16" customFormat="false" ht="23.85" hidden="false" customHeight="false" outlineLevel="0" collapsed="false">
      <c r="A16" s="5" t="s">
        <v>162</v>
      </c>
      <c r="B16" s="5" t="s">
        <v>163</v>
      </c>
      <c r="C16" s="5" t="s">
        <v>164</v>
      </c>
      <c r="D16" s="5" t="s">
        <v>165</v>
      </c>
    </row>
    <row r="17" customFormat="false" ht="15" hidden="false" customHeight="false" outlineLevel="0" collapsed="false">
      <c r="A17" s="6" t="s">
        <v>20</v>
      </c>
      <c r="B17" s="6" t="s">
        <v>128</v>
      </c>
      <c r="C17" s="6" t="s">
        <v>128</v>
      </c>
      <c r="D17" s="6" t="s">
        <v>128</v>
      </c>
    </row>
    <row r="18" customFormat="false" ht="15" hidden="false" customHeight="false" outlineLevel="0" collapsed="false">
      <c r="A18" s="11" t="s">
        <v>166</v>
      </c>
      <c r="B18" s="14" t="n">
        <f aca="false">AVERAGE(E6:E13)</f>
        <v>0.0265019945941296</v>
      </c>
      <c r="C18" s="14" t="n">
        <f aca="false">AVERAGE(H6:H13)</f>
        <v>0.00735518487842903</v>
      </c>
      <c r="D18" s="14" t="n">
        <f aca="false">AVERAGE(K6:K13)</f>
        <v>0.00374414376938254</v>
      </c>
    </row>
    <row r="19" customFormat="false" ht="15" hidden="false" customHeight="false" outlineLevel="0" collapsed="false">
      <c r="A19" s="11" t="s">
        <v>167</v>
      </c>
      <c r="B19" s="14" t="n">
        <f aca="false">SUMPRODUCT(ABS(E6:E13))/COUNT(E6:E13)</f>
        <v>0.0265019945941296</v>
      </c>
      <c r="C19" s="14" t="n">
        <f aca="false">SUMPRODUCT(ABS(H6:H13))/COUNT(H6:H13)</f>
        <v>0.0103572502671743</v>
      </c>
      <c r="D19" s="14" t="n">
        <f aca="false">SUMPRODUCT(ABS(K6:K13))/COUNT(K6:K13)</f>
        <v>0.0103144459082188</v>
      </c>
    </row>
    <row r="20" customFormat="false" ht="15" hidden="false" customHeight="false" outlineLevel="0" collapsed="false">
      <c r="A20" s="11" t="s">
        <v>168</v>
      </c>
      <c r="B20" s="13" t="n">
        <f aca="false">AVERAGE(D6:D13)</f>
        <v>8.18044559813166</v>
      </c>
      <c r="C20" s="13" t="n">
        <f aca="false">AVERAGE(G6:G13)</f>
        <v>2.04039124991668</v>
      </c>
      <c r="D20" s="13" t="n">
        <f aca="false">AVERAGE(J6:J13)</f>
        <v>1.07257040086848</v>
      </c>
    </row>
    <row r="21" customFormat="false" ht="15" hidden="false" customHeight="false" outlineLevel="0" collapsed="false">
      <c r="A21" s="11" t="s">
        <v>169</v>
      </c>
      <c r="B21" s="14" t="n">
        <f aca="false">MAX(MAX(E6:E13),-MIN(E6:E13))</f>
        <v>0.0511288627265201</v>
      </c>
      <c r="C21" s="14" t="n">
        <f aca="false">MAX(MAX(H6:H13),-MIN(H6:H13))</f>
        <v>0.0146641835026757</v>
      </c>
      <c r="D21" s="14" t="n">
        <f aca="false">MAX(MAX(K6:K13),-MIN(K6:K13))</f>
        <v>0.0252468230734146</v>
      </c>
    </row>
    <row r="22" customFormat="false" ht="15" hidden="false" customHeight="false" outlineLevel="0" collapsed="false">
      <c r="A22" s="11" t="s">
        <v>170</v>
      </c>
      <c r="B22" s="7" t="n">
        <f aca="false">COUNTIF(E6:E13,"&gt;0")</f>
        <v>8</v>
      </c>
      <c r="C22" s="7" t="n">
        <f aca="false">COUNTIF(H6:H13,"&gt;0")</f>
        <v>6</v>
      </c>
      <c r="D22" s="7" t="n">
        <f aca="false">COUNTIF(K6:K13,"&gt;0")</f>
        <v>4</v>
      </c>
    </row>
    <row r="24" customFormat="false" ht="15" hidden="false" customHeight="false" outlineLevel="0" collapsed="false">
      <c r="A24" s="2" t="s">
        <v>171</v>
      </c>
    </row>
    <row r="25" customFormat="false" ht="90" hidden="false" customHeight="true" outlineLevel="0" collapsed="false">
      <c r="A25" s="15" t="s">
        <v>172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</row>
  </sheetData>
  <mergeCells count="1">
    <mergeCell ref="A25:N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11" min="6" style="0" width="11"/>
    <col collapsed="false" customWidth="true" hidden="false" outlineLevel="0" max="12" min="12" style="0" width="26"/>
    <col collapsed="false" customWidth="true" hidden="false" outlineLevel="0" max="13" min="13" style="0" width="60"/>
    <col collapsed="false" customWidth="true" hidden="false" outlineLevel="0" max="14" min="14" style="0" width="40"/>
    <col collapsed="false" customWidth="true" hidden="false" outlineLevel="0" max="15" min="15" style="0" width="46"/>
    <col collapsed="false" customWidth="true" hidden="false" outlineLevel="0" max="16" min="16" style="0" width="30"/>
    <col collapsed="false" customWidth="true" hidden="false" outlineLevel="0" max="17" min="17" style="0" width="26"/>
    <col collapsed="false" customWidth="true" hidden="false" outlineLevel="0" max="19" min="19" style="0" width="44"/>
    <col collapsed="false" customWidth="true" hidden="false" outlineLevel="0" max="21" min="20" style="0" width="10"/>
    <col collapsed="false" customWidth="true" hidden="false" outlineLevel="0" max="22" min="22" style="0" width="60"/>
  </cols>
  <sheetData>
    <row r="1" customFormat="false" ht="16.15" hidden="false" customHeight="false" outlineLevel="0" collapsed="false">
      <c r="A1" s="4" t="s">
        <v>173</v>
      </c>
    </row>
    <row r="2" customFormat="false" ht="15" hidden="false" customHeight="false" outlineLevel="0" collapsed="false">
      <c r="A2" s="12" t="s">
        <v>174</v>
      </c>
      <c r="S2" s="5" t="s">
        <v>175</v>
      </c>
      <c r="T2" s="5" t="s">
        <v>176</v>
      </c>
      <c r="U2" s="5" t="s">
        <v>177</v>
      </c>
      <c r="V2" s="5" t="s">
        <v>178</v>
      </c>
    </row>
    <row r="3" customFormat="false" ht="15" hidden="false" customHeight="false" outlineLevel="0" collapsed="false">
      <c r="S3" s="6" t="s">
        <v>20</v>
      </c>
      <c r="T3" s="6" t="s">
        <v>179</v>
      </c>
      <c r="U3" s="6" t="s">
        <v>179</v>
      </c>
      <c r="V3" s="6" t="s">
        <v>20</v>
      </c>
    </row>
    <row r="4" customFormat="false" ht="23.85" hidden="false" customHeight="false" outlineLevel="0" collapsed="false">
      <c r="A4" s="5" t="s">
        <v>12</v>
      </c>
      <c r="B4" s="5" t="s">
        <v>180</v>
      </c>
      <c r="C4" s="5" t="s">
        <v>181</v>
      </c>
      <c r="D4" s="5" t="s">
        <v>182</v>
      </c>
      <c r="E4" s="5" t="s">
        <v>183</v>
      </c>
      <c r="F4" s="5" t="s">
        <v>184</v>
      </c>
      <c r="G4" s="5" t="s">
        <v>185</v>
      </c>
      <c r="H4" s="5" t="s">
        <v>186</v>
      </c>
      <c r="I4" s="5" t="s">
        <v>187</v>
      </c>
      <c r="J4" s="5" t="s">
        <v>188</v>
      </c>
      <c r="K4" s="5" t="s">
        <v>189</v>
      </c>
      <c r="L4" s="5" t="s">
        <v>190</v>
      </c>
      <c r="M4" s="5" t="s">
        <v>191</v>
      </c>
      <c r="N4" s="5" t="s">
        <v>192</v>
      </c>
      <c r="O4" s="5" t="s">
        <v>193</v>
      </c>
      <c r="P4" s="5" t="s">
        <v>194</v>
      </c>
      <c r="Q4" s="5" t="s">
        <v>195</v>
      </c>
      <c r="S4" s="3" t="s">
        <v>196</v>
      </c>
      <c r="T4" s="16" t="n">
        <v>1.3</v>
      </c>
      <c r="U4" s="16" t="n">
        <v>2.6</v>
      </c>
      <c r="V4" s="3" t="s">
        <v>197</v>
      </c>
    </row>
    <row r="5" customFormat="false" ht="23.85" hidden="false" customHeight="false" outlineLevel="0" collapsed="false">
      <c r="A5" s="6" t="s">
        <v>20</v>
      </c>
      <c r="B5" s="6" t="s">
        <v>20</v>
      </c>
      <c r="C5" s="6" t="s">
        <v>198</v>
      </c>
      <c r="D5" s="6" t="s">
        <v>20</v>
      </c>
      <c r="E5" s="6" t="s">
        <v>199</v>
      </c>
      <c r="F5" s="6" t="s">
        <v>200</v>
      </c>
      <c r="G5" s="6" t="s">
        <v>200</v>
      </c>
      <c r="H5" s="6" t="s">
        <v>200</v>
      </c>
      <c r="I5" s="6" t="s">
        <v>200</v>
      </c>
      <c r="J5" s="6" t="s">
        <v>200</v>
      </c>
      <c r="K5" s="6" t="s">
        <v>200</v>
      </c>
      <c r="L5" s="6" t="s">
        <v>179</v>
      </c>
      <c r="M5" s="6" t="s">
        <v>20</v>
      </c>
      <c r="N5" s="6" t="s">
        <v>20</v>
      </c>
      <c r="O5" s="6" t="s">
        <v>20</v>
      </c>
      <c r="P5" s="6" t="s">
        <v>20</v>
      </c>
      <c r="Q5" s="6" t="s">
        <v>20</v>
      </c>
      <c r="S5" s="3" t="s">
        <v>201</v>
      </c>
      <c r="T5" s="14" t="n">
        <f aca="false">((T19+T20)/2*1000-T27-(T21+T22)/2*1000)/((T21+T22)/2*1000)-1</f>
        <v>0.043669376693767</v>
      </c>
      <c r="U5" s="14" t="n">
        <f aca="false">T5-T4/100</f>
        <v>0.030669376693767</v>
      </c>
      <c r="V5" s="3" t="s">
        <v>202</v>
      </c>
    </row>
    <row r="6" customFormat="false" ht="75" hidden="false" customHeight="true" outlineLevel="0" collapsed="false">
      <c r="A6" s="2" t="s">
        <v>203</v>
      </c>
      <c r="B6" s="11" t="s">
        <v>176</v>
      </c>
      <c r="C6" s="14" t="n">
        <f aca="false">Series!AJ27</f>
        <v>0.0380225755483752</v>
      </c>
      <c r="D6" s="11" t="s">
        <v>157</v>
      </c>
      <c r="E6" s="12" t="s">
        <v>204</v>
      </c>
      <c r="G6" s="14" t="n">
        <f aca="false">$T$5</f>
        <v>0.043669376693767</v>
      </c>
      <c r="H6" s="14" t="n">
        <f aca="false">Series!AJ26-$T$4/100</f>
        <v>0.0390759079663828</v>
      </c>
      <c r="I6" s="14" t="n">
        <f aca="false">Series!AJ27-$T$4/100</f>
        <v>0.0250225755483752</v>
      </c>
      <c r="J6" s="14" t="n">
        <f aca="false">F7*1000/Series!B27-1-$T$4/100</f>
        <v>0.0247418148050443</v>
      </c>
      <c r="K6" s="14" t="n">
        <f aca="false">G6-$T$4/100</f>
        <v>0.030669376693767</v>
      </c>
      <c r="L6" s="17" t="s">
        <v>205</v>
      </c>
      <c r="M6" s="3" t="s">
        <v>206</v>
      </c>
      <c r="N6" s="3" t="s">
        <v>207</v>
      </c>
      <c r="O6" s="3" t="s">
        <v>208</v>
      </c>
      <c r="P6" s="3"/>
      <c r="Q6" s="18" t="s">
        <v>209</v>
      </c>
      <c r="S6" s="3" t="s">
        <v>210</v>
      </c>
      <c r="T6" s="16" t="n">
        <v>-0.25</v>
      </c>
      <c r="U6" s="16" t="n">
        <v>-0.4</v>
      </c>
      <c r="V6" s="3" t="s">
        <v>211</v>
      </c>
    </row>
    <row r="7" customFormat="false" ht="75" hidden="false" customHeight="true" outlineLevel="0" collapsed="false">
      <c r="A7" s="2" t="s">
        <v>212</v>
      </c>
      <c r="B7" s="11" t="s">
        <v>176</v>
      </c>
      <c r="C7" s="13" t="n">
        <f aca="false">Series!B27/1000</f>
        <v>364.621</v>
      </c>
      <c r="D7" s="11" t="s">
        <v>157</v>
      </c>
      <c r="E7" s="12" t="s">
        <v>213</v>
      </c>
      <c r="F7" s="19" t="n">
        <v>378.38245825603</v>
      </c>
      <c r="G7" s="13" t="n">
        <f aca="false">F7*(1+G6)</f>
        <v>394.906184359926</v>
      </c>
      <c r="H7" s="13" t="n">
        <f aca="false">G7*(1+H6)</f>
        <v>410.33750207533</v>
      </c>
      <c r="I7" s="13" t="n">
        <f aca="false">H7*(1+I6)</f>
        <v>420.605203221342</v>
      </c>
      <c r="J7" s="13" t="n">
        <f aca="false">I7*(1+J6)</f>
        <v>431.011739265482</v>
      </c>
      <c r="K7" s="13" t="n">
        <f aca="false">J7*(1+K6)</f>
        <v>444.230600656451</v>
      </c>
      <c r="L7" s="17" t="s">
        <v>214</v>
      </c>
      <c r="M7" s="3" t="s">
        <v>215</v>
      </c>
      <c r="N7" s="3" t="s">
        <v>216</v>
      </c>
      <c r="O7" s="3" t="s">
        <v>217</v>
      </c>
      <c r="P7" s="3" t="s">
        <v>218</v>
      </c>
      <c r="Q7" s="18" t="s">
        <v>219</v>
      </c>
      <c r="S7" s="3" t="s">
        <v>220</v>
      </c>
      <c r="T7" s="20" t="n">
        <v>276.5</v>
      </c>
      <c r="U7" s="20" t="n">
        <v>194</v>
      </c>
      <c r="V7" s="3" t="s">
        <v>221</v>
      </c>
    </row>
    <row r="8" customFormat="false" ht="75" hidden="false" customHeight="true" outlineLevel="0" collapsed="false">
      <c r="A8" s="2" t="s">
        <v>203</v>
      </c>
      <c r="B8" s="11" t="s">
        <v>177</v>
      </c>
      <c r="C8" s="14" t="n">
        <f aca="false">Series!AJ27</f>
        <v>0.0380225755483752</v>
      </c>
      <c r="D8" s="11" t="s">
        <v>157</v>
      </c>
      <c r="E8" s="12" t="s">
        <v>204</v>
      </c>
      <c r="G8" s="14" t="n">
        <f aca="false">$U$5</f>
        <v>0.030669376693767</v>
      </c>
      <c r="H8" s="14" t="n">
        <f aca="false">Series!AJ26-$U$4/100</f>
        <v>0.0260759079663828</v>
      </c>
      <c r="I8" s="14" t="n">
        <f aca="false">Series!AJ27-$U$4/100</f>
        <v>0.0120225755483752</v>
      </c>
      <c r="J8" s="14" t="n">
        <f aca="false">F9*1000/Series!B27-1-$U$4/100</f>
        <v>0.00101454361875766</v>
      </c>
      <c r="K8" s="14" t="n">
        <f aca="false">G8-$U$4/100</f>
        <v>0.00466937669376702</v>
      </c>
      <c r="L8" s="17" t="s">
        <v>205</v>
      </c>
      <c r="M8" s="3" t="s">
        <v>206</v>
      </c>
      <c r="N8" s="3" t="s">
        <v>207</v>
      </c>
      <c r="O8" s="3" t="s">
        <v>208</v>
      </c>
      <c r="P8" s="3"/>
      <c r="Q8" s="18" t="s">
        <v>209</v>
      </c>
      <c r="S8" s="3" t="s">
        <v>222</v>
      </c>
      <c r="T8" s="16" t="n">
        <v>-0.1</v>
      </c>
      <c r="U8" s="16" t="n">
        <v>-0.25</v>
      </c>
      <c r="V8" s="3" t="s">
        <v>223</v>
      </c>
    </row>
    <row r="9" customFormat="false" ht="75" hidden="false" customHeight="true" outlineLevel="0" collapsed="false">
      <c r="A9" s="2" t="s">
        <v>212</v>
      </c>
      <c r="B9" s="11" t="s">
        <v>177</v>
      </c>
      <c r="C9" s="13" t="n">
        <f aca="false">Series!B27/1000</f>
        <v>364.621</v>
      </c>
      <c r="D9" s="11" t="s">
        <v>157</v>
      </c>
      <c r="E9" s="12" t="s">
        <v>213</v>
      </c>
      <c r="F9" s="19" t="n">
        <v>374.471069908815</v>
      </c>
      <c r="G9" s="13" t="n">
        <f aca="false">F9*(1+G8)</f>
        <v>385.955864212766</v>
      </c>
      <c r="H9" s="13" t="n">
        <f aca="false">G9*(1+H8)</f>
        <v>396.020013807064</v>
      </c>
      <c r="I9" s="13" t="n">
        <f aca="false">H9*(1+I8)</f>
        <v>400.781194341728</v>
      </c>
      <c r="J9" s="13" t="n">
        <f aca="false">I9*(1+J8)</f>
        <v>401.187804344966</v>
      </c>
      <c r="K9" s="13" t="n">
        <f aca="false">J9*(1+K8)</f>
        <v>403.061101328398</v>
      </c>
      <c r="L9" s="17" t="s">
        <v>224</v>
      </c>
      <c r="M9" s="3" t="s">
        <v>215</v>
      </c>
      <c r="N9" s="3" t="s">
        <v>225</v>
      </c>
      <c r="O9" s="3" t="s">
        <v>217</v>
      </c>
      <c r="P9" s="3" t="s">
        <v>218</v>
      </c>
      <c r="Q9" s="18" t="s">
        <v>219</v>
      </c>
      <c r="S9" s="3" t="s">
        <v>226</v>
      </c>
      <c r="T9" s="16" t="n">
        <v>-0.5</v>
      </c>
      <c r="U9" s="16" t="n">
        <v>0</v>
      </c>
      <c r="V9" s="3" t="s">
        <v>227</v>
      </c>
    </row>
    <row r="10" customFormat="false" ht="75" hidden="false" customHeight="true" outlineLevel="0" collapsed="false">
      <c r="A10" s="2" t="s">
        <v>228</v>
      </c>
      <c r="B10" s="11" t="s">
        <v>176</v>
      </c>
      <c r="C10" s="21" t="n">
        <f aca="false">Series!V27</f>
        <v>1.09</v>
      </c>
      <c r="D10" s="11" t="s">
        <v>157</v>
      </c>
      <c r="E10" s="12" t="s">
        <v>229</v>
      </c>
      <c r="F10" s="22" t="n">
        <v>1.085</v>
      </c>
      <c r="G10" s="21" t="n">
        <f aca="false">F10+$T$6/100</f>
        <v>1.0825</v>
      </c>
      <c r="H10" s="21" t="n">
        <f aca="false">G10+$T$6/100</f>
        <v>1.08</v>
      </c>
      <c r="I10" s="21" t="n">
        <f aca="false">H10+$T$6/100</f>
        <v>1.0775</v>
      </c>
      <c r="J10" s="21" t="n">
        <f aca="false">I10+$T$6/100</f>
        <v>1.075</v>
      </c>
      <c r="K10" s="21" t="n">
        <f aca="false">J10+$T$6/100</f>
        <v>1.0725</v>
      </c>
      <c r="L10" s="17" t="s">
        <v>230</v>
      </c>
      <c r="M10" s="3" t="s">
        <v>231</v>
      </c>
      <c r="N10" s="3" t="s">
        <v>232</v>
      </c>
      <c r="O10" s="3" t="s">
        <v>233</v>
      </c>
      <c r="P10" s="3" t="s">
        <v>234</v>
      </c>
      <c r="Q10" s="18" t="s">
        <v>219</v>
      </c>
      <c r="S10" s="3" t="s">
        <v>235</v>
      </c>
      <c r="T10" s="16" t="n">
        <v>-0.5</v>
      </c>
      <c r="U10" s="16" t="n">
        <v>0</v>
      </c>
      <c r="V10" s="3" t="s">
        <v>236</v>
      </c>
    </row>
    <row r="11" customFormat="false" ht="75" hidden="false" customHeight="true" outlineLevel="0" collapsed="false">
      <c r="A11" s="2" t="s">
        <v>228</v>
      </c>
      <c r="B11" s="11" t="s">
        <v>177</v>
      </c>
      <c r="C11" s="21" t="n">
        <f aca="false">Series!V27</f>
        <v>1.09</v>
      </c>
      <c r="D11" s="11" t="s">
        <v>157</v>
      </c>
      <c r="E11" s="12" t="s">
        <v>229</v>
      </c>
      <c r="F11" s="22" t="n">
        <v>1.07</v>
      </c>
      <c r="G11" s="21" t="n">
        <f aca="false">F11+$U$6/100</f>
        <v>1.066</v>
      </c>
      <c r="H11" s="21" t="n">
        <f aca="false">G11+$U$6/100</f>
        <v>1.062</v>
      </c>
      <c r="I11" s="21" t="n">
        <f aca="false">H11+$U$6/100</f>
        <v>1.058</v>
      </c>
      <c r="J11" s="21" t="n">
        <f aca="false">I11+$U$6/100</f>
        <v>1.054</v>
      </c>
      <c r="K11" s="21" t="n">
        <f aca="false">J11+$U$6/100</f>
        <v>1.05</v>
      </c>
      <c r="L11" s="17" t="s">
        <v>230</v>
      </c>
      <c r="M11" s="3" t="s">
        <v>231</v>
      </c>
      <c r="N11" s="3" t="s">
        <v>237</v>
      </c>
      <c r="O11" s="3" t="s">
        <v>233</v>
      </c>
      <c r="P11" s="3" t="s">
        <v>234</v>
      </c>
      <c r="Q11" s="18" t="s">
        <v>219</v>
      </c>
      <c r="S11" s="3" t="s">
        <v>238</v>
      </c>
      <c r="T11" s="16" t="n">
        <v>-0.2</v>
      </c>
      <c r="U11" s="16" t="n">
        <v>0</v>
      </c>
      <c r="V11" s="3" t="s">
        <v>239</v>
      </c>
    </row>
    <row r="12" customFormat="false" ht="75" hidden="false" customHeight="true" outlineLevel="0" collapsed="false">
      <c r="A12" s="2" t="s">
        <v>240</v>
      </c>
      <c r="B12" s="11" t="s">
        <v>176</v>
      </c>
      <c r="C12" s="23" t="n">
        <f aca="false">Series!X27</f>
        <v>4834</v>
      </c>
      <c r="D12" s="11" t="s">
        <v>157</v>
      </c>
      <c r="E12" s="12" t="s">
        <v>241</v>
      </c>
      <c r="F12" s="24" t="n">
        <v>5110.5</v>
      </c>
      <c r="G12" s="23" t="n">
        <f aca="false">F12+$T$7</f>
        <v>5387</v>
      </c>
      <c r="H12" s="23" t="n">
        <f aca="false">G12+$T$7</f>
        <v>5663.5</v>
      </c>
      <c r="I12" s="23" t="n">
        <f aca="false">H12+$T$7</f>
        <v>5940</v>
      </c>
      <c r="J12" s="23" t="n">
        <f aca="false">I12+$T$7</f>
        <v>6216.5</v>
      </c>
      <c r="K12" s="23" t="n">
        <f aca="false">J12+$T$7</f>
        <v>6493</v>
      </c>
      <c r="L12" s="17" t="s">
        <v>242</v>
      </c>
      <c r="M12" s="3" t="s">
        <v>243</v>
      </c>
      <c r="N12" s="3" t="s">
        <v>244</v>
      </c>
      <c r="O12" s="3" t="s">
        <v>245</v>
      </c>
      <c r="P12" s="3" t="s">
        <v>246</v>
      </c>
      <c r="Q12" s="18" t="s">
        <v>219</v>
      </c>
      <c r="S12" s="3" t="s">
        <v>247</v>
      </c>
      <c r="T12" s="25" t="n">
        <f aca="false">((T23+T24)/2)/((T25+T26)/2)</f>
        <v>1.22844827586207</v>
      </c>
      <c r="U12" s="26" t="n">
        <v>1</v>
      </c>
      <c r="V12" s="3" t="s">
        <v>248</v>
      </c>
    </row>
    <row r="13" customFormat="false" ht="75" hidden="false" customHeight="true" outlineLevel="0" collapsed="false">
      <c r="A13" s="2" t="s">
        <v>240</v>
      </c>
      <c r="B13" s="11" t="s">
        <v>177</v>
      </c>
      <c r="C13" s="23" t="n">
        <f aca="false">Series!X27</f>
        <v>4834</v>
      </c>
      <c r="D13" s="11" t="s">
        <v>157</v>
      </c>
      <c r="E13" s="12" t="s">
        <v>241</v>
      </c>
      <c r="F13" s="24" t="n">
        <v>5028</v>
      </c>
      <c r="G13" s="23" t="n">
        <f aca="false">F13+$U$7</f>
        <v>5222</v>
      </c>
      <c r="H13" s="23" t="n">
        <f aca="false">G13+$U$7</f>
        <v>5416</v>
      </c>
      <c r="I13" s="23" t="n">
        <f aca="false">H13+$U$7</f>
        <v>5610</v>
      </c>
      <c r="J13" s="23" t="n">
        <f aca="false">I13+$U$7</f>
        <v>5804</v>
      </c>
      <c r="K13" s="23" t="n">
        <f aca="false">J13+$U$7</f>
        <v>5998</v>
      </c>
      <c r="L13" s="17" t="s">
        <v>242</v>
      </c>
      <c r="M13" s="3" t="s">
        <v>243</v>
      </c>
      <c r="N13" s="3" t="s">
        <v>249</v>
      </c>
      <c r="O13" s="3" t="s">
        <v>245</v>
      </c>
      <c r="P13" s="3" t="s">
        <v>246</v>
      </c>
      <c r="Q13" s="18" t="s">
        <v>219</v>
      </c>
      <c r="S13" s="3" t="s">
        <v>250</v>
      </c>
      <c r="T13" s="20" t="n">
        <v>32.5</v>
      </c>
      <c r="U13" s="20" t="n">
        <v>35</v>
      </c>
      <c r="V13" s="3" t="s">
        <v>251</v>
      </c>
    </row>
    <row r="14" customFormat="false" ht="75" hidden="false" customHeight="true" outlineLevel="0" collapsed="false">
      <c r="A14" s="2" t="s">
        <v>50</v>
      </c>
      <c r="B14" s="11" t="s">
        <v>176</v>
      </c>
      <c r="C14" s="21" t="n">
        <f aca="false">Series!AN27</f>
        <v>0.889202761223298</v>
      </c>
      <c r="D14" s="11" t="s">
        <v>157</v>
      </c>
      <c r="E14" s="12" t="s">
        <v>252</v>
      </c>
      <c r="F14" s="21" t="n">
        <f aca="false">Series!AN27+$T$8/100</f>
        <v>0.888202761223298</v>
      </c>
      <c r="G14" s="21" t="n">
        <f aca="false">F14+$T$8/100</f>
        <v>0.887202761223298</v>
      </c>
      <c r="H14" s="21" t="n">
        <f aca="false">G14+$T$8/100</f>
        <v>0.886202761223298</v>
      </c>
      <c r="I14" s="21" t="n">
        <f aca="false">H14+$T$8/100</f>
        <v>0.885202761223298</v>
      </c>
      <c r="J14" s="21" t="n">
        <f aca="false">I14+$T$8/100</f>
        <v>0.884202761223298</v>
      </c>
      <c r="K14" s="21" t="n">
        <f aca="false">J14+$T$8/100</f>
        <v>0.883202761223298</v>
      </c>
      <c r="L14" s="17" t="s">
        <v>253</v>
      </c>
      <c r="M14" s="3" t="s">
        <v>254</v>
      </c>
      <c r="N14" s="3" t="s">
        <v>255</v>
      </c>
      <c r="O14" s="3" t="s">
        <v>256</v>
      </c>
      <c r="P14" s="3"/>
      <c r="Q14" s="18" t="s">
        <v>257</v>
      </c>
      <c r="S14" s="3" t="s">
        <v>258</v>
      </c>
      <c r="T14" s="16" t="n">
        <v>0.105</v>
      </c>
      <c r="U14" s="16" t="n">
        <v>0.105</v>
      </c>
      <c r="V14" s="3" t="s">
        <v>259</v>
      </c>
    </row>
    <row r="15" customFormat="false" ht="75" hidden="false" customHeight="true" outlineLevel="0" collapsed="false">
      <c r="A15" s="2" t="s">
        <v>50</v>
      </c>
      <c r="B15" s="11" t="s">
        <v>177</v>
      </c>
      <c r="C15" s="21" t="n">
        <f aca="false">Series!AN27</f>
        <v>0.889202761223298</v>
      </c>
      <c r="D15" s="11" t="s">
        <v>157</v>
      </c>
      <c r="E15" s="12" t="s">
        <v>252</v>
      </c>
      <c r="F15" s="21" t="n">
        <f aca="false">Series!AN27+$U$8/100</f>
        <v>0.886702761223298</v>
      </c>
      <c r="G15" s="21" t="n">
        <f aca="false">F15+$U$8/100</f>
        <v>0.884202761223298</v>
      </c>
      <c r="H15" s="21" t="n">
        <f aca="false">G15+$U$8/100</f>
        <v>0.881702761223298</v>
      </c>
      <c r="I15" s="21" t="n">
        <f aca="false">H15+$U$8/100</f>
        <v>0.879202761223298</v>
      </c>
      <c r="J15" s="21" t="n">
        <f aca="false">I15+$U$8/100</f>
        <v>0.876702761223298</v>
      </c>
      <c r="K15" s="21" t="n">
        <f aca="false">J15+$U$8/100</f>
        <v>0.874202761223298</v>
      </c>
      <c r="L15" s="17" t="s">
        <v>253</v>
      </c>
      <c r="M15" s="3" t="s">
        <v>254</v>
      </c>
      <c r="N15" s="3" t="s">
        <v>255</v>
      </c>
      <c r="O15" s="3" t="s">
        <v>256</v>
      </c>
      <c r="P15" s="3"/>
      <c r="Q15" s="18" t="s">
        <v>257</v>
      </c>
      <c r="S15" s="3" t="s">
        <v>260</v>
      </c>
      <c r="T15" s="20" t="n">
        <v>330</v>
      </c>
      <c r="U15" s="20" t="n">
        <v>330</v>
      </c>
      <c r="V15" s="3" t="s">
        <v>261</v>
      </c>
    </row>
    <row r="16" customFormat="false" ht="75" hidden="false" customHeight="true" outlineLevel="0" collapsed="false">
      <c r="A16" s="2" t="s">
        <v>262</v>
      </c>
      <c r="B16" s="11" t="s">
        <v>176</v>
      </c>
      <c r="C16" s="21" t="n">
        <f aca="false">Series!AO27</f>
        <v>0.227641852773154</v>
      </c>
      <c r="D16" s="11" t="s">
        <v>157</v>
      </c>
      <c r="E16" s="12" t="s">
        <v>263</v>
      </c>
      <c r="F16" s="21" t="n">
        <f aca="false">Series!AO27*((F14-$T$29/F7)/(Series!AO27+Series!AP27+Series!AQ27))</f>
        <v>0.22214012672228</v>
      </c>
      <c r="G16" s="21" t="n">
        <f aca="false">F16</f>
        <v>0.22214012672228</v>
      </c>
      <c r="H16" s="21" t="n">
        <f aca="false">$F16+$T$9/100</f>
        <v>0.21714012672228</v>
      </c>
      <c r="I16" s="21" t="n">
        <f aca="false">$F16+$T$9/100</f>
        <v>0.21714012672228</v>
      </c>
      <c r="J16" s="21" t="n">
        <f aca="false">$F16+$T$9/100</f>
        <v>0.21714012672228</v>
      </c>
      <c r="K16" s="21" t="n">
        <f aca="false">$F16+$T$9/100</f>
        <v>0.21714012672228</v>
      </c>
      <c r="L16" s="17" t="s">
        <v>264</v>
      </c>
      <c r="M16" s="3" t="s">
        <v>265</v>
      </c>
      <c r="N16" s="3" t="s">
        <v>266</v>
      </c>
      <c r="O16" s="3" t="s">
        <v>267</v>
      </c>
      <c r="P16" s="3" t="s">
        <v>268</v>
      </c>
      <c r="Q16" s="18" t="s">
        <v>269</v>
      </c>
      <c r="S16" s="3" t="s">
        <v>270</v>
      </c>
      <c r="T16" s="16" t="n">
        <v>0</v>
      </c>
      <c r="U16" s="16" t="n">
        <v>0</v>
      </c>
      <c r="V16" s="3" t="s">
        <v>271</v>
      </c>
    </row>
    <row r="17" customFormat="false" ht="75" hidden="false" customHeight="true" outlineLevel="0" collapsed="false">
      <c r="A17" s="2" t="s">
        <v>262</v>
      </c>
      <c r="B17" s="11" t="s">
        <v>177</v>
      </c>
      <c r="C17" s="21" t="n">
        <f aca="false">Series!AO27</f>
        <v>0.227641852773154</v>
      </c>
      <c r="D17" s="11" t="s">
        <v>157</v>
      </c>
      <c r="E17" s="12" t="s">
        <v>263</v>
      </c>
      <c r="F17" s="21" t="n">
        <f aca="false">F16*F7/F9</f>
        <v>0.22446040290095</v>
      </c>
      <c r="G17" s="21" t="n">
        <f aca="false">G16*G7/G9</f>
        <v>0.227291558365249</v>
      </c>
      <c r="H17" s="21" t="n">
        <f aca="false">H16*H7/H9</f>
        <v>0.22499049061432</v>
      </c>
      <c r="I17" s="21" t="n">
        <f aca="false">I16*I7/I9</f>
        <v>0.227880620191124</v>
      </c>
      <c r="J17" s="21" t="n">
        <f aca="false">J16*J7/J9</f>
        <v>0.233282125401855</v>
      </c>
      <c r="K17" s="21" t="n">
        <f aca="false">K16*K7/K9</f>
        <v>0.239319270955558</v>
      </c>
      <c r="L17" s="17" t="s">
        <v>272</v>
      </c>
      <c r="M17" s="3" t="s">
        <v>273</v>
      </c>
      <c r="N17" s="3" t="s">
        <v>266</v>
      </c>
      <c r="O17" s="3" t="s">
        <v>267</v>
      </c>
      <c r="P17" s="3" t="s">
        <v>268</v>
      </c>
      <c r="Q17" s="18" t="s">
        <v>269</v>
      </c>
    </row>
    <row r="18" customFormat="false" ht="75" hidden="false" customHeight="true" outlineLevel="0" collapsed="false">
      <c r="A18" s="2" t="s">
        <v>274</v>
      </c>
      <c r="B18" s="11" t="s">
        <v>176</v>
      </c>
      <c r="C18" s="21" t="n">
        <f aca="false">Series!AP27</f>
        <v>0.409861198340194</v>
      </c>
      <c r="D18" s="11" t="s">
        <v>157</v>
      </c>
      <c r="E18" s="12" t="s">
        <v>275</v>
      </c>
      <c r="F18" s="21" t="n">
        <f aca="false">Series!AP27*((F14-$T$29/F7)/(Series!AO27+Series!AP27+Series!AQ27))</f>
        <v>0.399955532907057</v>
      </c>
      <c r="G18" s="21" t="n">
        <f aca="false">F18</f>
        <v>0.399955532907057</v>
      </c>
      <c r="H18" s="21" t="n">
        <f aca="false">$F18+$T$10/100</f>
        <v>0.394955532907057</v>
      </c>
      <c r="I18" s="21" t="n">
        <f aca="false">$F18+$T$10/100</f>
        <v>0.394955532907057</v>
      </c>
      <c r="J18" s="21" t="n">
        <f aca="false">$F18+$T$10/100</f>
        <v>0.394955532907057</v>
      </c>
      <c r="K18" s="21" t="n">
        <f aca="false">$F18+$T$10/100</f>
        <v>0.394955532907057</v>
      </c>
      <c r="L18" s="17" t="s">
        <v>264</v>
      </c>
      <c r="M18" s="3" t="s">
        <v>265</v>
      </c>
      <c r="N18" s="3" t="s">
        <v>276</v>
      </c>
      <c r="O18" s="3" t="s">
        <v>267</v>
      </c>
      <c r="P18" s="3" t="s">
        <v>268</v>
      </c>
      <c r="Q18" s="18" t="s">
        <v>269</v>
      </c>
      <c r="S18" s="2" t="s">
        <v>277</v>
      </c>
    </row>
    <row r="19" customFormat="false" ht="75" hidden="false" customHeight="true" outlineLevel="0" collapsed="false">
      <c r="A19" s="2" t="s">
        <v>274</v>
      </c>
      <c r="B19" s="11" t="s">
        <v>177</v>
      </c>
      <c r="C19" s="21" t="n">
        <f aca="false">Series!AP27</f>
        <v>0.409861198340194</v>
      </c>
      <c r="D19" s="11" t="s">
        <v>157</v>
      </c>
      <c r="E19" s="12" t="s">
        <v>275</v>
      </c>
      <c r="F19" s="21" t="n">
        <f aca="false">F18*F7/F9</f>
        <v>0.404133109057861</v>
      </c>
      <c r="G19" s="21" t="n">
        <f aca="false">G18*G7/G9</f>
        <v>0.409230505503853</v>
      </c>
      <c r="H19" s="21" t="n">
        <f aca="false">H18*H7/H9</f>
        <v>0.40923453652236</v>
      </c>
      <c r="I19" s="21" t="n">
        <f aca="false">I18*I7/I9</f>
        <v>0.414491384643469</v>
      </c>
      <c r="J19" s="21" t="n">
        <f aca="false">J18*J7/J9</f>
        <v>0.424316166461585</v>
      </c>
      <c r="K19" s="21" t="n">
        <f aca="false">K18*K7/K9</f>
        <v>0.435297112615539</v>
      </c>
      <c r="L19" s="17" t="s">
        <v>272</v>
      </c>
      <c r="M19" s="3" t="s">
        <v>273</v>
      </c>
      <c r="N19" s="3" t="s">
        <v>276</v>
      </c>
      <c r="O19" s="3" t="s">
        <v>267</v>
      </c>
      <c r="P19" s="3" t="s">
        <v>268</v>
      </c>
      <c r="Q19" s="18" t="s">
        <v>269</v>
      </c>
      <c r="S19" s="11" t="s">
        <v>278</v>
      </c>
      <c r="T19" s="19" t="n">
        <v>1466</v>
      </c>
      <c r="V19" s="12" t="s">
        <v>279</v>
      </c>
    </row>
    <row r="20" customFormat="false" ht="75" hidden="false" customHeight="true" outlineLevel="0" collapsed="false">
      <c r="A20" s="2" t="s">
        <v>280</v>
      </c>
      <c r="B20" s="11" t="s">
        <v>176</v>
      </c>
      <c r="C20" s="21" t="n">
        <f aca="false">Series!AQ27</f>
        <v>0.0841010254483423</v>
      </c>
      <c r="D20" s="11" t="s">
        <v>157</v>
      </c>
      <c r="E20" s="12" t="s">
        <v>281</v>
      </c>
      <c r="F20" s="21" t="n">
        <f aca="false">Series!AQ27*((F14-$T$29/F7)/(Series!AO27+Series!AP27+Series!AQ27))</f>
        <v>0.0820684431398712</v>
      </c>
      <c r="G20" s="21" t="n">
        <f aca="false">F20</f>
        <v>0.0820684431398712</v>
      </c>
      <c r="H20" s="21" t="n">
        <f aca="false">$F20+$T$11/100</f>
        <v>0.0800684431398712</v>
      </c>
      <c r="I20" s="21" t="n">
        <f aca="false">$F20+$T$11/100</f>
        <v>0.0800684431398712</v>
      </c>
      <c r="J20" s="21" t="n">
        <f aca="false">$F20+$T$11/100</f>
        <v>0.0800684431398712</v>
      </c>
      <c r="K20" s="21" t="n">
        <f aca="false">$F20+$T$11/100</f>
        <v>0.0800684431398712</v>
      </c>
      <c r="L20" s="17" t="s">
        <v>264</v>
      </c>
      <c r="M20" s="3" t="s">
        <v>265</v>
      </c>
      <c r="N20" s="3" t="s">
        <v>266</v>
      </c>
      <c r="O20" s="3" t="s">
        <v>267</v>
      </c>
      <c r="P20" s="3" t="s">
        <v>268</v>
      </c>
      <c r="Q20" s="18" t="s">
        <v>269</v>
      </c>
      <c r="S20" s="11" t="s">
        <v>282</v>
      </c>
      <c r="T20" s="19" t="n">
        <v>1474</v>
      </c>
      <c r="V20" s="12" t="s">
        <v>279</v>
      </c>
    </row>
    <row r="21" customFormat="false" ht="75" hidden="false" customHeight="true" outlineLevel="0" collapsed="false">
      <c r="A21" s="2" t="s">
        <v>280</v>
      </c>
      <c r="B21" s="11" t="s">
        <v>177</v>
      </c>
      <c r="C21" s="21" t="n">
        <f aca="false">Series!AQ27</f>
        <v>0.0841010254483423</v>
      </c>
      <c r="D21" s="11" t="s">
        <v>157</v>
      </c>
      <c r="E21" s="12" t="s">
        <v>281</v>
      </c>
      <c r="F21" s="21" t="n">
        <f aca="false">F20*F7/F9</f>
        <v>0.0829256563613079</v>
      </c>
      <c r="G21" s="21" t="n">
        <f aca="false">G20*G7/G9</f>
        <v>0.0839716111136991</v>
      </c>
      <c r="H21" s="21" t="n">
        <f aca="false">H20*H7/H9</f>
        <v>0.0829631932922509</v>
      </c>
      <c r="I21" s="21" t="n">
        <f aca="false">I20*I7/I9</f>
        <v>0.0840289022387286</v>
      </c>
      <c r="J21" s="21" t="n">
        <f aca="false">J20*J7/J9</f>
        <v>0.0860206580664677</v>
      </c>
      <c r="K21" s="21" t="n">
        <f aca="false">K20*K7/K9</f>
        <v>0.0882468004786992</v>
      </c>
      <c r="L21" s="17" t="s">
        <v>272</v>
      </c>
      <c r="M21" s="3" t="s">
        <v>273</v>
      </c>
      <c r="N21" s="3" t="s">
        <v>266</v>
      </c>
      <c r="O21" s="3" t="s">
        <v>267</v>
      </c>
      <c r="P21" s="3" t="s">
        <v>268</v>
      </c>
      <c r="Q21" s="18" t="s">
        <v>269</v>
      </c>
      <c r="S21" s="11" t="s">
        <v>283</v>
      </c>
      <c r="T21" s="19" t="n">
        <v>368</v>
      </c>
      <c r="V21" s="12" t="s">
        <v>284</v>
      </c>
    </row>
    <row r="22" customFormat="false" ht="75" hidden="false" customHeight="true" outlineLevel="0" collapsed="false">
      <c r="A22" s="2" t="s">
        <v>285</v>
      </c>
      <c r="B22" s="11" t="s">
        <v>176</v>
      </c>
      <c r="C22" s="21" t="n">
        <f aca="false">Series!AR27</f>
        <v>0.167598684661608</v>
      </c>
      <c r="D22" s="11" t="s">
        <v>157</v>
      </c>
      <c r="E22" s="12" t="s">
        <v>286</v>
      </c>
      <c r="F22" s="21" t="n">
        <f aca="false">F14-F16-F18-F20</f>
        <v>0.184038658454089</v>
      </c>
      <c r="G22" s="21" t="n">
        <f aca="false">G14-G16-G18-G20</f>
        <v>0.183038658454089</v>
      </c>
      <c r="H22" s="21" t="n">
        <f aca="false">H14-H16-H18-H20</f>
        <v>0.194038658454089</v>
      </c>
      <c r="I22" s="21" t="n">
        <f aca="false">I14-I16-I18-I20</f>
        <v>0.193038658454089</v>
      </c>
      <c r="J22" s="21" t="n">
        <f aca="false">J14-J16-J18-J20</f>
        <v>0.192038658454089</v>
      </c>
      <c r="K22" s="21" t="n">
        <f aca="false">K14-K16-K18-K20</f>
        <v>0.191038658454089</v>
      </c>
      <c r="L22" s="17" t="s">
        <v>287</v>
      </c>
      <c r="M22" s="3" t="s">
        <v>288</v>
      </c>
      <c r="N22" s="3" t="s">
        <v>289</v>
      </c>
      <c r="O22" s="3" t="s">
        <v>290</v>
      </c>
      <c r="P22" s="3"/>
      <c r="Q22" s="18" t="s">
        <v>128</v>
      </c>
      <c r="S22" s="11" t="s">
        <v>291</v>
      </c>
      <c r="T22" s="19" t="n">
        <v>370</v>
      </c>
      <c r="V22" s="12" t="s">
        <v>284</v>
      </c>
    </row>
    <row r="23" customFormat="false" ht="75" hidden="false" customHeight="true" outlineLevel="0" collapsed="false">
      <c r="A23" s="2" t="s">
        <v>285</v>
      </c>
      <c r="B23" s="11" t="s">
        <v>177</v>
      </c>
      <c r="C23" s="21" t="n">
        <f aca="false">Series!AR27</f>
        <v>0.167598684661608</v>
      </c>
      <c r="D23" s="11" t="s">
        <v>157</v>
      </c>
      <c r="E23" s="12" t="s">
        <v>286</v>
      </c>
      <c r="F23" s="21" t="n">
        <f aca="false">F15-F17-F19-F21</f>
        <v>0.175183592903179</v>
      </c>
      <c r="G23" s="21" t="n">
        <f aca="false">G15-G17-G19-G21</f>
        <v>0.163709086240496</v>
      </c>
      <c r="H23" s="21" t="n">
        <f aca="false">H15-H17-H19-H21</f>
        <v>0.164514540794367</v>
      </c>
      <c r="I23" s="21" t="n">
        <f aca="false">I15-I17-I19-I21</f>
        <v>0.152801854149976</v>
      </c>
      <c r="J23" s="21" t="n">
        <f aca="false">J15-J17-J19-J21</f>
        <v>0.13308381129339</v>
      </c>
      <c r="K23" s="21" t="n">
        <f aca="false">K15-K17-K19-K21</f>
        <v>0.111339577173502</v>
      </c>
      <c r="L23" s="17" t="s">
        <v>287</v>
      </c>
      <c r="M23" s="3" t="s">
        <v>288</v>
      </c>
      <c r="N23" s="3" t="s">
        <v>289</v>
      </c>
      <c r="O23" s="3" t="s">
        <v>290</v>
      </c>
      <c r="P23" s="3"/>
      <c r="Q23" s="18" t="s">
        <v>128</v>
      </c>
      <c r="S23" s="11" t="s">
        <v>292</v>
      </c>
      <c r="T23" s="19" t="n">
        <v>280</v>
      </c>
      <c r="V23" s="12" t="s">
        <v>293</v>
      </c>
    </row>
    <row r="24" customFormat="false" ht="75" hidden="false" customHeight="true" outlineLevel="0" collapsed="false">
      <c r="A24" s="2" t="s">
        <v>294</v>
      </c>
      <c r="B24" s="11" t="s">
        <v>176</v>
      </c>
      <c r="C24" s="13" t="n">
        <f aca="false">Series!P27/1000</f>
        <v>52.344</v>
      </c>
      <c r="D24" s="11" t="s">
        <v>157</v>
      </c>
      <c r="E24" s="12" t="s">
        <v>295</v>
      </c>
      <c r="F24" s="13" t="n">
        <f aca="false">$T$31*$T$32</f>
        <v>73.1595409524635</v>
      </c>
      <c r="G24" s="13" t="n">
        <f aca="false">$T$31*(1-$T$32)</f>
        <v>56.7184590475365</v>
      </c>
      <c r="H24" s="13" t="n">
        <f aca="false">$T$12*H22*H7</f>
        <v>97.810695899087</v>
      </c>
      <c r="I24" s="13" t="n">
        <f aca="false">$T$12*I22*I7</f>
        <v>99.7414796899452</v>
      </c>
      <c r="J24" s="13" t="n">
        <f aca="false">$T$12*J22*J7</f>
        <v>101.679789280838</v>
      </c>
      <c r="K24" s="13" t="n">
        <f aca="false">$T$12*K22*K7</f>
        <v>104.252530724973</v>
      </c>
      <c r="L24" s="17" t="s">
        <v>296</v>
      </c>
      <c r="M24" s="3" t="s">
        <v>297</v>
      </c>
      <c r="N24" s="3" t="s">
        <v>298</v>
      </c>
      <c r="O24" s="3" t="s">
        <v>299</v>
      </c>
      <c r="P24" s="3" t="s">
        <v>300</v>
      </c>
      <c r="Q24" s="18" t="s">
        <v>257</v>
      </c>
      <c r="S24" s="11" t="s">
        <v>301</v>
      </c>
      <c r="T24" s="19" t="n">
        <v>290</v>
      </c>
      <c r="V24" s="12" t="s">
        <v>293</v>
      </c>
    </row>
    <row r="25" customFormat="false" ht="75" hidden="false" customHeight="true" outlineLevel="0" collapsed="false">
      <c r="A25" s="2" t="s">
        <v>294</v>
      </c>
      <c r="B25" s="11" t="s">
        <v>177</v>
      </c>
      <c r="C25" s="13" t="n">
        <f aca="false">Series!P27/1000</f>
        <v>52.344</v>
      </c>
      <c r="D25" s="11" t="s">
        <v>157</v>
      </c>
      <c r="E25" s="12" t="s">
        <v>295</v>
      </c>
      <c r="F25" s="13" t="n">
        <f aca="false">$T$31*$T$32*F23*F9/(F22*F7)</f>
        <v>68.9195795463666</v>
      </c>
      <c r="G25" s="13" t="n">
        <f aca="false">$T$31*(1-$T$32)*G23*G9/(G22*G7)</f>
        <v>49.5790376450835</v>
      </c>
      <c r="H25" s="13" t="n">
        <f aca="false">$U$12*H23*H9</f>
        <v>65.1510507168479</v>
      </c>
      <c r="I25" s="13" t="n">
        <f aca="false">$U$12*I23*I9</f>
        <v>61.240109603858</v>
      </c>
      <c r="J25" s="13" t="n">
        <f aca="false">$U$12*J23*J9</f>
        <v>53.391602046655</v>
      </c>
      <c r="K25" s="13" t="n">
        <f aca="false">$U$12*K23*K9</f>
        <v>44.8766525969897</v>
      </c>
      <c r="L25" s="17" t="s">
        <v>296</v>
      </c>
      <c r="M25" s="3" t="s">
        <v>297</v>
      </c>
      <c r="N25" s="3" t="s">
        <v>298</v>
      </c>
      <c r="O25" s="3" t="s">
        <v>299</v>
      </c>
      <c r="P25" s="3" t="s">
        <v>300</v>
      </c>
      <c r="Q25" s="18" t="s">
        <v>257</v>
      </c>
      <c r="S25" s="11" t="s">
        <v>302</v>
      </c>
      <c r="T25" s="19" t="n">
        <v>230</v>
      </c>
      <c r="V25" s="12" t="s">
        <v>303</v>
      </c>
    </row>
    <row r="26" customFormat="false" ht="75" hidden="false" customHeight="true" outlineLevel="0" collapsed="false">
      <c r="A26" s="2" t="s">
        <v>304</v>
      </c>
      <c r="B26" s="11" t="s">
        <v>176</v>
      </c>
      <c r="D26" s="11" t="s">
        <v>84</v>
      </c>
      <c r="E26" s="12" t="s">
        <v>93</v>
      </c>
      <c r="F26" s="13" t="n">
        <f aca="false">$T$13/2</f>
        <v>16.25</v>
      </c>
      <c r="G26" s="13" t="n">
        <f aca="false">$T$13/2</f>
        <v>16.25</v>
      </c>
      <c r="H26" s="27" t="n">
        <v>0</v>
      </c>
      <c r="I26" s="27" t="n">
        <v>0</v>
      </c>
      <c r="J26" s="27" t="n">
        <v>0</v>
      </c>
      <c r="K26" s="27" t="n">
        <v>0</v>
      </c>
      <c r="L26" s="17" t="s">
        <v>305</v>
      </c>
      <c r="M26" s="3" t="s">
        <v>306</v>
      </c>
      <c r="N26" s="3" t="s">
        <v>307</v>
      </c>
      <c r="O26" s="3" t="s">
        <v>308</v>
      </c>
      <c r="P26" s="3" t="s">
        <v>309</v>
      </c>
      <c r="Q26" s="18" t="s">
        <v>257</v>
      </c>
      <c r="S26" s="11" t="s">
        <v>310</v>
      </c>
      <c r="T26" s="19" t="n">
        <v>234</v>
      </c>
      <c r="V26" s="12" t="s">
        <v>303</v>
      </c>
    </row>
    <row r="27" customFormat="false" ht="75" hidden="false" customHeight="true" outlineLevel="0" collapsed="false">
      <c r="A27" s="2" t="s">
        <v>304</v>
      </c>
      <c r="B27" s="11" t="s">
        <v>177</v>
      </c>
      <c r="D27" s="11" t="s">
        <v>84</v>
      </c>
      <c r="E27" s="12" t="s">
        <v>93</v>
      </c>
      <c r="F27" s="13" t="n">
        <f aca="false">$U$13/2</f>
        <v>17.5</v>
      </c>
      <c r="G27" s="13" t="n">
        <f aca="false">$U$13/2</f>
        <v>17.5</v>
      </c>
      <c r="H27" s="27" t="n">
        <v>0</v>
      </c>
      <c r="I27" s="27" t="n">
        <v>0</v>
      </c>
      <c r="J27" s="27" t="n">
        <v>0</v>
      </c>
      <c r="K27" s="27" t="n">
        <v>0</v>
      </c>
      <c r="L27" s="17" t="s">
        <v>305</v>
      </c>
      <c r="M27" s="3" t="s">
        <v>306</v>
      </c>
      <c r="N27" s="3" t="s">
        <v>307</v>
      </c>
      <c r="O27" s="3" t="s">
        <v>308</v>
      </c>
      <c r="P27" s="3" t="s">
        <v>309</v>
      </c>
      <c r="Q27" s="18" t="s">
        <v>257</v>
      </c>
      <c r="S27" s="11" t="s">
        <v>311</v>
      </c>
      <c r="T27" s="28" t="n">
        <v>715886</v>
      </c>
      <c r="V27" s="12" t="s">
        <v>312</v>
      </c>
    </row>
    <row r="28" customFormat="false" ht="75" hidden="false" customHeight="true" outlineLevel="0" collapsed="false">
      <c r="A28" s="2" t="s">
        <v>313</v>
      </c>
      <c r="B28" s="11" t="s">
        <v>176</v>
      </c>
      <c r="C28" s="13" t="n">
        <f aca="false">Series!N27/1000</f>
        <v>41.218</v>
      </c>
      <c r="D28" s="11" t="s">
        <v>157</v>
      </c>
      <c r="E28" s="12" t="s">
        <v>314</v>
      </c>
      <c r="F28" s="13" t="n">
        <f aca="false">$T$14*F7</f>
        <v>39.7301581168832</v>
      </c>
      <c r="G28" s="13" t="n">
        <f aca="false">$T$14*G7</f>
        <v>41.4651493577922</v>
      </c>
      <c r="H28" s="13" t="n">
        <f aca="false">$T$14*H7</f>
        <v>43.0854377179097</v>
      </c>
      <c r="I28" s="13" t="n">
        <f aca="false">$T$14*I7</f>
        <v>44.1635463382409</v>
      </c>
      <c r="J28" s="13" t="n">
        <f aca="false">$T$14*J7</f>
        <v>45.2562326228756</v>
      </c>
      <c r="K28" s="13" t="n">
        <f aca="false">$T$14*K7</f>
        <v>46.6442130689273</v>
      </c>
      <c r="L28" s="17" t="s">
        <v>315</v>
      </c>
      <c r="M28" s="3" t="s">
        <v>316</v>
      </c>
      <c r="N28" s="3" t="s">
        <v>317</v>
      </c>
      <c r="O28" s="3" t="s">
        <v>318</v>
      </c>
      <c r="P28" s="3"/>
      <c r="Q28" s="18" t="s">
        <v>257</v>
      </c>
    </row>
    <row r="29" customFormat="false" ht="75" hidden="false" customHeight="true" outlineLevel="0" collapsed="false">
      <c r="A29" s="2" t="s">
        <v>313</v>
      </c>
      <c r="B29" s="11" t="s">
        <v>177</v>
      </c>
      <c r="C29" s="13" t="n">
        <f aca="false">Series!N27/1000</f>
        <v>41.218</v>
      </c>
      <c r="D29" s="11" t="s">
        <v>157</v>
      </c>
      <c r="E29" s="12" t="s">
        <v>314</v>
      </c>
      <c r="F29" s="13" t="n">
        <f aca="false">$U$14*F9</f>
        <v>39.3194623404256</v>
      </c>
      <c r="G29" s="13" t="n">
        <f aca="false">$U$14*G9</f>
        <v>40.5253657423405</v>
      </c>
      <c r="H29" s="13" t="n">
        <f aca="false">$U$14*H9</f>
        <v>41.5821014497418</v>
      </c>
      <c r="I29" s="13" t="n">
        <f aca="false">$U$14*I9</f>
        <v>42.0820254058815</v>
      </c>
      <c r="J29" s="13" t="n">
        <f aca="false">$U$14*J9</f>
        <v>42.1247194562214</v>
      </c>
      <c r="K29" s="13" t="n">
        <f aca="false">$U$14*K9</f>
        <v>42.3214156394818</v>
      </c>
      <c r="L29" s="17" t="s">
        <v>315</v>
      </c>
      <c r="M29" s="3" t="s">
        <v>316</v>
      </c>
      <c r="N29" s="3" t="s">
        <v>317</v>
      </c>
      <c r="O29" s="3" t="s">
        <v>318</v>
      </c>
      <c r="P29" s="3"/>
      <c r="Q29" s="18" t="s">
        <v>257</v>
      </c>
      <c r="S29" s="11" t="s">
        <v>319</v>
      </c>
      <c r="T29" s="19" t="n">
        <v>69.637</v>
      </c>
      <c r="V29" s="12" t="s">
        <v>320</v>
      </c>
    </row>
    <row r="30" customFormat="false" ht="75" hidden="false" customHeight="true" outlineLevel="0" collapsed="false">
      <c r="A30" s="2" t="s">
        <v>321</v>
      </c>
      <c r="B30" s="11" t="s">
        <v>176</v>
      </c>
      <c r="D30" s="11" t="s">
        <v>84</v>
      </c>
      <c r="E30" s="12" t="s">
        <v>322</v>
      </c>
      <c r="F30" s="29" t="n">
        <f aca="false">(F16+F18+F20)*F7*4*1000/$T$15</f>
        <v>3229.61629359352</v>
      </c>
      <c r="G30" s="29" t="n">
        <f aca="false">(G16+G18+G20)*G7*4*1000/$T$15</f>
        <v>3370.65162409478</v>
      </c>
      <c r="H30" s="29" t="n">
        <f aca="false">(H16+H18+H20)*H7*4*1000/$T$15</f>
        <v>3442.67744189732</v>
      </c>
      <c r="I30" s="29" t="n">
        <f aca="false">(I16+I18+I20)*I7*4*1000/$T$15</f>
        <v>3528.82209827589</v>
      </c>
      <c r="J30" s="29" t="n">
        <f aca="false">(J16+J18+J20)*J7*4*1000/$T$15</f>
        <v>3616.13156111138</v>
      </c>
      <c r="K30" s="29" t="n">
        <f aca="false">(K16+K18+K20)*K7*4*1000/$T$15</f>
        <v>3727.03606213332</v>
      </c>
      <c r="L30" s="17" t="s">
        <v>323</v>
      </c>
      <c r="M30" s="3" t="s">
        <v>324</v>
      </c>
      <c r="N30" s="3" t="s">
        <v>325</v>
      </c>
      <c r="O30" s="3" t="s">
        <v>326</v>
      </c>
      <c r="P30" s="3" t="s">
        <v>327</v>
      </c>
      <c r="Q30" s="18" t="s">
        <v>257</v>
      </c>
      <c r="S30" s="11" t="s">
        <v>328</v>
      </c>
      <c r="T30" s="28" t="n">
        <v>155122</v>
      </c>
      <c r="V30" s="12" t="s">
        <v>329</v>
      </c>
    </row>
    <row r="31" customFormat="false" ht="75" hidden="false" customHeight="true" outlineLevel="0" collapsed="false">
      <c r="A31" s="2" t="s">
        <v>321</v>
      </c>
      <c r="B31" s="11" t="s">
        <v>177</v>
      </c>
      <c r="D31" s="11" t="s">
        <v>84</v>
      </c>
      <c r="E31" s="12" t="s">
        <v>322</v>
      </c>
      <c r="F31" s="29" t="n">
        <f aca="false">(F17+F19+F21)*F9*4*1000/$U$15</f>
        <v>3229.61629359352</v>
      </c>
      <c r="G31" s="29" t="n">
        <f aca="false">(G17+G19+G21)*G9*4*1000/$U$15</f>
        <v>3370.65162409478</v>
      </c>
      <c r="H31" s="29" t="n">
        <f aca="false">(H17+H19+H21)*H9*4*1000/$U$15</f>
        <v>3442.67744189732</v>
      </c>
      <c r="I31" s="29" t="n">
        <f aca="false">(I17+I19+I21)*I9*4*1000/$U$15</f>
        <v>3528.82209827589</v>
      </c>
      <c r="J31" s="29" t="n">
        <f aca="false">(J17+J19+J21)*J9*4*1000/$U$15</f>
        <v>3616.13156111138</v>
      </c>
      <c r="K31" s="29" t="n">
        <f aca="false">(K17+K19+K21)*K9*4*1000/$U$15</f>
        <v>3727.03606213332</v>
      </c>
      <c r="L31" s="17" t="s">
        <v>323</v>
      </c>
      <c r="M31" s="3" t="s">
        <v>324</v>
      </c>
      <c r="N31" s="3" t="s">
        <v>325</v>
      </c>
      <c r="O31" s="3" t="s">
        <v>326</v>
      </c>
      <c r="P31" s="3" t="s">
        <v>327</v>
      </c>
      <c r="Q31" s="18" t="s">
        <v>257</v>
      </c>
      <c r="S31" s="11" t="s">
        <v>330</v>
      </c>
      <c r="T31" s="13" t="n">
        <f aca="false">(T23+T24)/2-T30/1000</f>
        <v>129.878</v>
      </c>
    </row>
    <row r="32" customFormat="false" ht="75" hidden="false" customHeight="true" outlineLevel="0" collapsed="false">
      <c r="A32" s="2" t="s">
        <v>331</v>
      </c>
      <c r="B32" s="11" t="s">
        <v>176</v>
      </c>
      <c r="D32" s="11" t="s">
        <v>157</v>
      </c>
      <c r="E32" s="12" t="s">
        <v>332</v>
      </c>
      <c r="F32" s="13" t="n">
        <f aca="false">$T$16</f>
        <v>0</v>
      </c>
      <c r="G32" s="13" t="n">
        <f aca="false">$T$16</f>
        <v>0</v>
      </c>
      <c r="H32" s="13" t="n">
        <f aca="false">$T$16</f>
        <v>0</v>
      </c>
      <c r="I32" s="13" t="n">
        <f aca="false">$T$16</f>
        <v>0</v>
      </c>
      <c r="J32" s="13" t="n">
        <f aca="false">$T$16</f>
        <v>0</v>
      </c>
      <c r="K32" s="13" t="n">
        <f aca="false">$T$16</f>
        <v>0</v>
      </c>
      <c r="L32" s="17" t="s">
        <v>333</v>
      </c>
      <c r="M32" s="3" t="s">
        <v>334</v>
      </c>
      <c r="N32" s="3" t="s">
        <v>335</v>
      </c>
      <c r="O32" s="3" t="s">
        <v>336</v>
      </c>
      <c r="P32" s="3"/>
      <c r="Q32" s="18" t="s">
        <v>337</v>
      </c>
      <c r="S32" s="11" t="s">
        <v>338</v>
      </c>
      <c r="T32" s="21" t="n">
        <f aca="false">AVERAGE(Series!P16/(Series!P16+Series!P17),Series!P20/(Series!P20+Series!P21),Series!P24/(Series!P24+Series!P25))</f>
        <v>0.563294329697589</v>
      </c>
    </row>
    <row r="33" customFormat="false" ht="75" hidden="false" customHeight="true" outlineLevel="0" collapsed="false">
      <c r="A33" s="2" t="s">
        <v>331</v>
      </c>
      <c r="B33" s="11" t="s">
        <v>177</v>
      </c>
      <c r="D33" s="11" t="s">
        <v>157</v>
      </c>
      <c r="E33" s="12" t="s">
        <v>332</v>
      </c>
      <c r="F33" s="13" t="n">
        <f aca="false">$U$16</f>
        <v>0</v>
      </c>
      <c r="G33" s="13" t="n">
        <f aca="false">$U$16</f>
        <v>0</v>
      </c>
      <c r="H33" s="13" t="n">
        <f aca="false">$U$16</f>
        <v>0</v>
      </c>
      <c r="I33" s="13" t="n">
        <f aca="false">$U$16</f>
        <v>0</v>
      </c>
      <c r="J33" s="13" t="n">
        <f aca="false">$U$16</f>
        <v>0</v>
      </c>
      <c r="K33" s="13" t="n">
        <f aca="false">$U$16</f>
        <v>0</v>
      </c>
      <c r="L33" s="17" t="s">
        <v>333</v>
      </c>
      <c r="M33" s="3" t="s">
        <v>334</v>
      </c>
      <c r="N33" s="3" t="s">
        <v>335</v>
      </c>
      <c r="O33" s="3" t="s">
        <v>336</v>
      </c>
      <c r="P33" s="3"/>
      <c r="Q33" s="18" t="s">
        <v>337</v>
      </c>
      <c r="S33" s="11" t="s">
        <v>339</v>
      </c>
      <c r="T33" s="30" t="n">
        <v>2508</v>
      </c>
      <c r="V33" s="12" t="s">
        <v>340</v>
      </c>
    </row>
    <row r="34" customFormat="false" ht="15" hidden="false" customHeight="false" outlineLevel="0" collapsed="false">
      <c r="S34" s="11" t="s">
        <v>341</v>
      </c>
      <c r="T34" s="30" t="n">
        <v>3155</v>
      </c>
      <c r="V34" s="12" t="s">
        <v>342</v>
      </c>
    </row>
    <row r="35" customFormat="false" ht="15" hidden="false" customHeight="false" outlineLevel="0" collapsed="false">
      <c r="A35" s="12" t="s">
        <v>343</v>
      </c>
      <c r="S35" s="11" t="s">
        <v>344</v>
      </c>
      <c r="T35" s="29" t="n">
        <f aca="false">(Series!F22+Series!F23+Series!F24+Series!F25+Series!H22+Series!H23+Series!H24+Series!H25+Series!J22+Series!J23+Series!J24+Series!J25)/((T33+T34)/2)</f>
        <v>329.22337983401</v>
      </c>
    </row>
    <row r="36" customFormat="false" ht="15" hidden="false" customHeight="false" outlineLevel="0" collapsed="false">
      <c r="A36" s="12" t="s">
        <v>345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U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2"/>
    <col collapsed="false" customWidth="true" hidden="false" outlineLevel="0" max="3" min="3" style="0" width="9"/>
    <col collapsed="false" customWidth="true" hidden="false" outlineLevel="0" max="4" min="4" style="0" width="12"/>
    <col collapsed="false" customWidth="true" hidden="false" outlineLevel="0" max="5" min="5" style="0" width="9"/>
    <col collapsed="false" customWidth="true" hidden="false" outlineLevel="0" max="6" min="6" style="0" width="12"/>
    <col collapsed="false" customWidth="true" hidden="false" outlineLevel="0" max="7" min="7" style="0" width="9"/>
    <col collapsed="false" customWidth="true" hidden="false" outlineLevel="0" max="8" min="8" style="0" width="12"/>
    <col collapsed="false" customWidth="true" hidden="false" outlineLevel="0" max="9" min="9" style="0" width="9"/>
    <col collapsed="false" customWidth="true" hidden="false" outlineLevel="0" max="10" min="10" style="0" width="12"/>
    <col collapsed="false" customWidth="true" hidden="false" outlineLevel="0" max="11" min="11" style="0" width="9"/>
    <col collapsed="false" customWidth="true" hidden="false" outlineLevel="0" max="12" min="12" style="0" width="12"/>
    <col collapsed="false" customWidth="true" hidden="false" outlineLevel="0" max="13" min="13" style="0" width="9"/>
    <col collapsed="false" customWidth="true" hidden="false" outlineLevel="0" max="14" min="14" style="0" width="12"/>
    <col collapsed="false" customWidth="true" hidden="false" outlineLevel="0" max="15" min="15" style="0" width="9"/>
    <col collapsed="false" customWidth="true" hidden="false" outlineLevel="0" max="16" min="16" style="0" width="12"/>
    <col collapsed="false" customWidth="true" hidden="false" outlineLevel="0" max="17" min="17" style="0" width="9"/>
    <col collapsed="false" customWidth="true" hidden="false" outlineLevel="0" max="18" min="18" style="0" width="12"/>
    <col collapsed="false" customWidth="true" hidden="false" outlineLevel="0" max="19" min="19" style="0" width="9"/>
    <col collapsed="false" customWidth="true" hidden="false" outlineLevel="0" max="20" min="20" style="0" width="12"/>
    <col collapsed="false" customWidth="true" hidden="false" outlineLevel="0" max="21" min="21" style="0" width="9"/>
    <col collapsed="false" customWidth="true" hidden="false" outlineLevel="0" max="22" min="22" style="0" width="12"/>
    <col collapsed="false" customWidth="true" hidden="false" outlineLevel="0" max="23" min="23" style="0" width="9"/>
    <col collapsed="false" customWidth="true" hidden="false" outlineLevel="0" max="24" min="24" style="0" width="12"/>
    <col collapsed="false" customWidth="true" hidden="false" outlineLevel="0" max="25" min="25" style="0" width="9"/>
    <col collapsed="false" customWidth="true" hidden="false" outlineLevel="0" max="26" min="26" style="0" width="12"/>
    <col collapsed="false" customWidth="true" hidden="false" outlineLevel="0" max="27" min="27" style="0" width="9"/>
    <col collapsed="false" customWidth="true" hidden="false" outlineLevel="0" max="28" min="28" style="0" width="12"/>
    <col collapsed="false" customWidth="true" hidden="false" outlineLevel="0" max="29" min="29" style="0" width="9"/>
    <col collapsed="false" customWidth="true" hidden="false" outlineLevel="0" max="30" min="30" style="0" width="12"/>
    <col collapsed="false" customWidth="true" hidden="false" outlineLevel="0" max="31" min="31" style="0" width="9"/>
    <col collapsed="false" customWidth="true" hidden="false" outlineLevel="0" max="33" min="32" style="0" width="10"/>
    <col collapsed="false" customWidth="true" hidden="false" outlineLevel="0" max="34" min="34" style="0" width="9"/>
    <col collapsed="false" customWidth="true" hidden="false" outlineLevel="0" max="47" min="35" style="0" width="11"/>
  </cols>
  <sheetData>
    <row r="1" customFormat="false" ht="16.15" hidden="false" customHeight="false" outlineLevel="0" collapsed="false">
      <c r="A1" s="4" t="s">
        <v>346</v>
      </c>
    </row>
    <row r="2" customFormat="false" ht="15" hidden="false" customHeight="false" outlineLevel="0" collapsed="false">
      <c r="A2" s="12" t="s">
        <v>347</v>
      </c>
    </row>
    <row r="4" customFormat="false" ht="35.05" hidden="false" customHeight="false" outlineLevel="0" collapsed="false">
      <c r="A4" s="5" t="s">
        <v>348</v>
      </c>
      <c r="B4" s="5" t="s">
        <v>349</v>
      </c>
      <c r="C4" s="5" t="s">
        <v>350</v>
      </c>
      <c r="D4" s="5" t="s">
        <v>351</v>
      </c>
      <c r="E4" s="5" t="s">
        <v>350</v>
      </c>
      <c r="F4" s="5" t="s">
        <v>352</v>
      </c>
      <c r="G4" s="5" t="s">
        <v>350</v>
      </c>
      <c r="H4" s="5" t="s">
        <v>353</v>
      </c>
      <c r="I4" s="5" t="s">
        <v>350</v>
      </c>
      <c r="J4" s="5" t="s">
        <v>354</v>
      </c>
      <c r="K4" s="5" t="s">
        <v>350</v>
      </c>
      <c r="L4" s="5" t="s">
        <v>355</v>
      </c>
      <c r="M4" s="5" t="s">
        <v>350</v>
      </c>
      <c r="N4" s="5" t="s">
        <v>356</v>
      </c>
      <c r="O4" s="5" t="s">
        <v>350</v>
      </c>
      <c r="P4" s="5" t="s">
        <v>357</v>
      </c>
      <c r="Q4" s="5" t="s">
        <v>350</v>
      </c>
      <c r="R4" s="5" t="s">
        <v>358</v>
      </c>
      <c r="S4" s="5" t="s">
        <v>350</v>
      </c>
      <c r="T4" s="5" t="s">
        <v>359</v>
      </c>
      <c r="U4" s="5" t="s">
        <v>350</v>
      </c>
      <c r="V4" s="5" t="s">
        <v>360</v>
      </c>
      <c r="W4" s="5" t="s">
        <v>350</v>
      </c>
      <c r="X4" s="5" t="s">
        <v>240</v>
      </c>
      <c r="Y4" s="5" t="s">
        <v>350</v>
      </c>
      <c r="Z4" s="5" t="s">
        <v>361</v>
      </c>
      <c r="AA4" s="5" t="s">
        <v>350</v>
      </c>
      <c r="AB4" s="5" t="s">
        <v>362</v>
      </c>
      <c r="AC4" s="5" t="s">
        <v>350</v>
      </c>
      <c r="AD4" s="5" t="s">
        <v>363</v>
      </c>
      <c r="AE4" s="5" t="s">
        <v>350</v>
      </c>
      <c r="AF4" s="5" t="s">
        <v>364</v>
      </c>
      <c r="AG4" s="5" t="s">
        <v>365</v>
      </c>
      <c r="AH4" s="5" t="s">
        <v>366</v>
      </c>
      <c r="AI4" s="5" t="s">
        <v>367</v>
      </c>
      <c r="AJ4" s="5" t="s">
        <v>368</v>
      </c>
      <c r="AK4" s="5" t="s">
        <v>369</v>
      </c>
      <c r="AL4" s="5" t="s">
        <v>370</v>
      </c>
      <c r="AM4" s="5" t="s">
        <v>371</v>
      </c>
      <c r="AN4" s="5" t="s">
        <v>50</v>
      </c>
      <c r="AO4" s="5" t="s">
        <v>262</v>
      </c>
      <c r="AP4" s="5" t="s">
        <v>274</v>
      </c>
      <c r="AQ4" s="5" t="s">
        <v>280</v>
      </c>
      <c r="AR4" s="5" t="s">
        <v>372</v>
      </c>
      <c r="AS4" s="5" t="s">
        <v>373</v>
      </c>
      <c r="AT4" s="5" t="s">
        <v>374</v>
      </c>
      <c r="AU4" s="5" t="s">
        <v>375</v>
      </c>
    </row>
    <row r="5" customFormat="false" ht="22.35" hidden="false" customHeight="false" outlineLevel="0" collapsed="false">
      <c r="A5" s="6" t="s">
        <v>126</v>
      </c>
      <c r="B5" s="6" t="s">
        <v>376</v>
      </c>
      <c r="C5" s="6" t="s">
        <v>199</v>
      </c>
      <c r="D5" s="6" t="s">
        <v>376</v>
      </c>
      <c r="E5" s="6" t="s">
        <v>199</v>
      </c>
      <c r="F5" s="6" t="s">
        <v>376</v>
      </c>
      <c r="G5" s="6" t="s">
        <v>199</v>
      </c>
      <c r="H5" s="6" t="s">
        <v>376</v>
      </c>
      <c r="I5" s="6" t="s">
        <v>199</v>
      </c>
      <c r="J5" s="6" t="s">
        <v>376</v>
      </c>
      <c r="K5" s="6" t="s">
        <v>199</v>
      </c>
      <c r="L5" s="6" t="s">
        <v>376</v>
      </c>
      <c r="M5" s="6" t="s">
        <v>199</v>
      </c>
      <c r="N5" s="6" t="s">
        <v>376</v>
      </c>
      <c r="O5" s="6" t="s">
        <v>199</v>
      </c>
      <c r="P5" s="6" t="s">
        <v>376</v>
      </c>
      <c r="Q5" s="6" t="s">
        <v>199</v>
      </c>
      <c r="R5" s="6" t="s">
        <v>376</v>
      </c>
      <c r="S5" s="6" t="s">
        <v>199</v>
      </c>
      <c r="T5" s="6" t="s">
        <v>376</v>
      </c>
      <c r="U5" s="6" t="s">
        <v>199</v>
      </c>
      <c r="V5" s="6" t="s">
        <v>376</v>
      </c>
      <c r="W5" s="6" t="s">
        <v>199</v>
      </c>
      <c r="X5" s="6" t="s">
        <v>376</v>
      </c>
      <c r="Y5" s="6" t="s">
        <v>199</v>
      </c>
      <c r="Z5" s="6" t="s">
        <v>376</v>
      </c>
      <c r="AA5" s="6" t="s">
        <v>199</v>
      </c>
      <c r="AB5" s="6" t="s">
        <v>376</v>
      </c>
      <c r="AC5" s="6" t="s">
        <v>199</v>
      </c>
      <c r="AD5" s="6" t="s">
        <v>376</v>
      </c>
      <c r="AE5" s="6" t="s">
        <v>199</v>
      </c>
      <c r="AF5" s="6" t="s">
        <v>376</v>
      </c>
      <c r="AG5" s="6" t="s">
        <v>376</v>
      </c>
      <c r="AH5" s="6" t="s">
        <v>199</v>
      </c>
      <c r="AI5" s="6" t="s">
        <v>377</v>
      </c>
      <c r="AJ5" s="6" t="s">
        <v>377</v>
      </c>
      <c r="AK5" s="6" t="s">
        <v>377</v>
      </c>
      <c r="AL5" s="6" t="s">
        <v>377</v>
      </c>
      <c r="AM5" s="6" t="s">
        <v>377</v>
      </c>
      <c r="AN5" s="6" t="s">
        <v>377</v>
      </c>
      <c r="AO5" s="6" t="s">
        <v>377</v>
      </c>
      <c r="AP5" s="6" t="s">
        <v>377</v>
      </c>
      <c r="AQ5" s="6" t="s">
        <v>377</v>
      </c>
      <c r="AR5" s="6" t="s">
        <v>377</v>
      </c>
      <c r="AS5" s="6" t="s">
        <v>377</v>
      </c>
      <c r="AT5" s="6" t="s">
        <v>377</v>
      </c>
      <c r="AU5" s="6" t="s">
        <v>377</v>
      </c>
    </row>
    <row r="6" customFormat="false" ht="15" hidden="false" customHeight="false" outlineLevel="0" collapsed="false">
      <c r="A6" s="11" t="s">
        <v>378</v>
      </c>
      <c r="B6" s="28" t="n">
        <v>58972</v>
      </c>
      <c r="C6" s="12" t="s">
        <v>379</v>
      </c>
      <c r="D6" s="28" t="n">
        <v>52579</v>
      </c>
      <c r="E6" s="12" t="s">
        <v>380</v>
      </c>
      <c r="F6" s="28" t="n">
        <v>11044</v>
      </c>
      <c r="G6" s="12" t="s">
        <v>381</v>
      </c>
      <c r="H6" s="28" t="n">
        <v>59014</v>
      </c>
      <c r="I6" s="12" t="s">
        <v>382</v>
      </c>
      <c r="J6" s="28" t="n">
        <v>5828</v>
      </c>
      <c r="K6" s="12" t="s">
        <v>383</v>
      </c>
      <c r="L6" s="28" t="n">
        <v>-23307</v>
      </c>
      <c r="M6" s="12" t="s">
        <v>384</v>
      </c>
      <c r="N6" s="28" t="n">
        <v>14540</v>
      </c>
      <c r="O6" s="12" t="s">
        <v>385</v>
      </c>
      <c r="P6" s="28" t="n">
        <v>-1595</v>
      </c>
      <c r="Q6" s="12" t="s">
        <v>386</v>
      </c>
      <c r="R6" s="28" t="n">
        <v>124281</v>
      </c>
      <c r="S6" s="12" t="s">
        <v>387</v>
      </c>
      <c r="X6" s="30" t="n">
        <v>335</v>
      </c>
      <c r="Y6" s="12" t="s">
        <v>388</v>
      </c>
      <c r="AN6" s="21" t="n">
        <f aca="false">D6/B6</f>
        <v>0.891592620226548</v>
      </c>
      <c r="AO6" s="21" t="n">
        <f aca="false">F6/B6</f>
        <v>0.187275317099641</v>
      </c>
      <c r="AP6" s="21" t="n">
        <f aca="false">H6/B6</f>
        <v>1.00071220240114</v>
      </c>
      <c r="AQ6" s="21" t="n">
        <f aca="false">J6/B6</f>
        <v>0.0988265617581225</v>
      </c>
      <c r="AR6" s="21" t="n">
        <f aca="false">L6/B6</f>
        <v>-0.395221461032354</v>
      </c>
      <c r="AS6" s="25" t="str">
        <f aca="false">IF(L6&lt;=0,"n/m",P6/L6)</f>
        <v>n/m</v>
      </c>
      <c r="AT6" s="21" t="n">
        <f aca="false">N6/B6</f>
        <v>0.246557688394492</v>
      </c>
    </row>
    <row r="7" customFormat="false" ht="15" hidden="false" customHeight="false" outlineLevel="0" collapsed="false">
      <c r="A7" s="11" t="s">
        <v>389</v>
      </c>
      <c r="B7" s="28" t="n">
        <v>70615</v>
      </c>
      <c r="C7" s="12" t="s">
        <v>390</v>
      </c>
      <c r="D7" s="28" t="n">
        <v>63340</v>
      </c>
      <c r="E7" s="12" t="s">
        <v>391</v>
      </c>
      <c r="F7" s="28" t="n">
        <v>11203</v>
      </c>
      <c r="G7" s="12" t="s">
        <v>392</v>
      </c>
      <c r="H7" s="28" t="n">
        <v>55521</v>
      </c>
      <c r="I7" s="12" t="s">
        <v>393</v>
      </c>
      <c r="J7" s="28" t="n">
        <v>6527</v>
      </c>
      <c r="K7" s="12" t="s">
        <v>394</v>
      </c>
      <c r="L7" s="28" t="n">
        <v>-9911</v>
      </c>
      <c r="M7" s="12" t="s">
        <v>395</v>
      </c>
      <c r="N7" s="28" t="n">
        <v>17558</v>
      </c>
      <c r="O7" s="12" t="s">
        <v>396</v>
      </c>
      <c r="P7" s="28" t="n">
        <v>-1480</v>
      </c>
      <c r="Q7" s="12" t="s">
        <v>397</v>
      </c>
      <c r="R7" s="28" t="n">
        <v>865328</v>
      </c>
      <c r="S7" s="12" t="s">
        <v>398</v>
      </c>
      <c r="X7" s="30" t="n">
        <v>470</v>
      </c>
      <c r="Y7" s="12" t="s">
        <v>399</v>
      </c>
      <c r="AJ7" s="14" t="n">
        <f aca="false">B7/B6-1</f>
        <v>0.197432679915892</v>
      </c>
      <c r="AN7" s="21" t="n">
        <f aca="false">D7/B7</f>
        <v>0.896976563053176</v>
      </c>
      <c r="AO7" s="21" t="n">
        <f aca="false">F7/B7</f>
        <v>0.158649012249522</v>
      </c>
      <c r="AP7" s="21" t="n">
        <f aca="false">H7/B7</f>
        <v>0.786249380443249</v>
      </c>
      <c r="AQ7" s="21" t="n">
        <f aca="false">J7/B7</f>
        <v>0.0924307866600581</v>
      </c>
      <c r="AR7" s="21" t="n">
        <f aca="false">L7/B7</f>
        <v>-0.140352616299653</v>
      </c>
      <c r="AS7" s="25" t="str">
        <f aca="false">IF(L7&lt;=0,"n/m",P7/L7)</f>
        <v>n/m</v>
      </c>
      <c r="AT7" s="21" t="n">
        <f aca="false">N7/B7</f>
        <v>0.248644055795511</v>
      </c>
      <c r="AU7" s="29" t="n">
        <f aca="false">X7-X6</f>
        <v>135</v>
      </c>
    </row>
    <row r="8" customFormat="false" ht="15" hidden="false" customHeight="false" outlineLevel="0" collapsed="false">
      <c r="A8" s="11" t="s">
        <v>400</v>
      </c>
      <c r="B8" s="28" t="n">
        <v>83018</v>
      </c>
      <c r="C8" s="12" t="s">
        <v>401</v>
      </c>
      <c r="D8" s="28" t="n">
        <v>74912</v>
      </c>
      <c r="E8" s="12" t="s">
        <v>402</v>
      </c>
      <c r="F8" s="28" t="n">
        <v>14255</v>
      </c>
      <c r="G8" s="12" t="s">
        <v>403</v>
      </c>
      <c r="H8" s="28" t="n">
        <v>60995</v>
      </c>
      <c r="I8" s="12" t="s">
        <v>404</v>
      </c>
      <c r="J8" s="28" t="n">
        <v>9111</v>
      </c>
      <c r="K8" s="12" t="s">
        <v>405</v>
      </c>
      <c r="L8" s="28" t="n">
        <v>-9449</v>
      </c>
      <c r="M8" s="12" t="s">
        <v>406</v>
      </c>
      <c r="N8" s="28" t="n">
        <v>19762</v>
      </c>
      <c r="O8" s="12" t="s">
        <v>407</v>
      </c>
      <c r="P8" s="28" t="n">
        <v>2865</v>
      </c>
      <c r="Q8" s="12" t="s">
        <v>408</v>
      </c>
      <c r="R8" s="28" t="n">
        <v>876220</v>
      </c>
      <c r="S8" s="12" t="s">
        <v>409</v>
      </c>
      <c r="X8" s="30" t="n">
        <v>613</v>
      </c>
      <c r="Y8" s="12" t="s">
        <v>410</v>
      </c>
      <c r="AF8" s="19" t="n">
        <v>74</v>
      </c>
      <c r="AG8" s="19" t="n">
        <v>75</v>
      </c>
      <c r="AH8" s="12" t="s">
        <v>411</v>
      </c>
      <c r="AJ8" s="14" t="n">
        <f aca="false">B8/B7-1</f>
        <v>0.175642568859308</v>
      </c>
      <c r="AL8" s="13" t="n">
        <f aca="false">(AF8+AG8)/2</f>
        <v>74.5</v>
      </c>
      <c r="AM8" s="14" t="n">
        <f aca="false">(B8/1000-AL8)/AL8</f>
        <v>0.114335570469799</v>
      </c>
      <c r="AN8" s="21" t="n">
        <f aca="false">D8/B8</f>
        <v>0.902358524657303</v>
      </c>
      <c r="AO8" s="21" t="n">
        <f aca="false">F8/B8</f>
        <v>0.171709749692838</v>
      </c>
      <c r="AP8" s="21" t="n">
        <f aca="false">H8/B8</f>
        <v>0.73472018116553</v>
      </c>
      <c r="AQ8" s="21" t="n">
        <f aca="false">J8/B8</f>
        <v>0.109747283721603</v>
      </c>
      <c r="AR8" s="21" t="n">
        <f aca="false">L8/B8</f>
        <v>-0.113818689922667</v>
      </c>
      <c r="AS8" s="25" t="str">
        <f aca="false">IF(L8&lt;=0,"n/m",P8/L8)</f>
        <v>n/m</v>
      </c>
      <c r="AT8" s="21" t="n">
        <f aca="false">N8/B8</f>
        <v>0.238044761377051</v>
      </c>
      <c r="AU8" s="29" t="n">
        <f aca="false">X8-X7</f>
        <v>143</v>
      </c>
    </row>
    <row r="9" customFormat="false" ht="15" hidden="false" customHeight="false" outlineLevel="0" collapsed="false">
      <c r="A9" s="11" t="s">
        <v>412</v>
      </c>
      <c r="B9" s="28" t="n">
        <v>95545</v>
      </c>
      <c r="C9" s="12" t="s">
        <v>413</v>
      </c>
      <c r="D9" s="28" t="n">
        <v>85987</v>
      </c>
      <c r="E9" s="12" t="s">
        <v>414</v>
      </c>
      <c r="F9" s="28" t="n">
        <v>15405</v>
      </c>
      <c r="G9" s="12" t="s">
        <v>415</v>
      </c>
      <c r="H9" s="28" t="n">
        <v>69418</v>
      </c>
      <c r="I9" s="12" t="s">
        <v>416</v>
      </c>
      <c r="J9" s="28" t="n">
        <v>11093</v>
      </c>
      <c r="K9" s="12" t="s">
        <v>417</v>
      </c>
      <c r="L9" s="28" t="n">
        <v>-9929</v>
      </c>
      <c r="M9" s="12" t="s">
        <v>418</v>
      </c>
      <c r="N9" s="28" t="n">
        <v>21669</v>
      </c>
      <c r="O9" s="12" t="s">
        <v>419</v>
      </c>
      <c r="P9" s="28" t="n">
        <v>10110</v>
      </c>
      <c r="Q9" s="12" t="s">
        <v>420</v>
      </c>
      <c r="R9" s="28" t="n">
        <v>886812</v>
      </c>
      <c r="S9" s="12" t="s">
        <v>421</v>
      </c>
      <c r="X9" s="30" t="n">
        <v>793</v>
      </c>
      <c r="Y9" s="12" t="s">
        <v>422</v>
      </c>
      <c r="AF9" s="19" t="n">
        <v>87</v>
      </c>
      <c r="AG9" s="19" t="n">
        <v>88</v>
      </c>
      <c r="AH9" s="12" t="s">
        <v>423</v>
      </c>
      <c r="AJ9" s="14" t="n">
        <f aca="false">B9/B8-1</f>
        <v>0.150894986629406</v>
      </c>
      <c r="AL9" s="13" t="n">
        <f aca="false">(AF9+AG9)/2</f>
        <v>87.5</v>
      </c>
      <c r="AM9" s="14" t="n">
        <f aca="false">(B9/1000-AL9)/AL9</f>
        <v>0.0919428571428572</v>
      </c>
      <c r="AN9" s="21" t="n">
        <f aca="false">D9/B9</f>
        <v>0.89996336804647</v>
      </c>
      <c r="AO9" s="21" t="n">
        <f aca="false">F9/B9</f>
        <v>0.161232926893087</v>
      </c>
      <c r="AP9" s="21" t="n">
        <f aca="false">H9/B9</f>
        <v>0.726547700036632</v>
      </c>
      <c r="AQ9" s="21" t="n">
        <f aca="false">J9/B9</f>
        <v>0.116102360144435</v>
      </c>
      <c r="AR9" s="21" t="n">
        <f aca="false">L9/B9</f>
        <v>-0.103919619027683</v>
      </c>
      <c r="AS9" s="25" t="str">
        <f aca="false">IF(L9&lt;=0,"n/m",P9/L9)</f>
        <v>n/m</v>
      </c>
      <c r="AT9" s="21" t="n">
        <f aca="false">N9/B9</f>
        <v>0.226793657438903</v>
      </c>
      <c r="AU9" s="29" t="n">
        <f aca="false">X9-X8</f>
        <v>180</v>
      </c>
    </row>
    <row r="10" customFormat="false" ht="15" hidden="false" customHeight="false" outlineLevel="0" collapsed="false">
      <c r="A10" s="11" t="s">
        <v>424</v>
      </c>
      <c r="B10" s="28" t="n">
        <v>108497</v>
      </c>
      <c r="C10" s="12" t="s">
        <v>425</v>
      </c>
      <c r="D10" s="28" t="n">
        <v>96329</v>
      </c>
      <c r="E10" s="12" t="s">
        <v>426</v>
      </c>
      <c r="F10" s="28" t="n">
        <v>19153</v>
      </c>
      <c r="G10" s="12" t="s">
        <v>427</v>
      </c>
      <c r="H10" s="28" t="n">
        <v>108595</v>
      </c>
      <c r="I10" s="12" t="s">
        <v>428</v>
      </c>
      <c r="J10" s="28" t="n">
        <v>12411</v>
      </c>
      <c r="K10" s="12" t="s">
        <v>429</v>
      </c>
      <c r="L10" s="28" t="n">
        <v>-43830</v>
      </c>
      <c r="M10" s="12" t="s">
        <v>430</v>
      </c>
      <c r="N10" s="28" t="n">
        <v>23666</v>
      </c>
      <c r="O10" s="12" t="s">
        <v>431</v>
      </c>
      <c r="P10" s="28" t="n">
        <v>-16192</v>
      </c>
      <c r="Q10" s="12" t="s">
        <v>432</v>
      </c>
      <c r="R10" s="28" t="n">
        <v>849576</v>
      </c>
      <c r="S10" s="12" t="s">
        <v>433</v>
      </c>
      <c r="X10" s="30" t="n">
        <v>960</v>
      </c>
      <c r="Y10" s="12" t="s">
        <v>434</v>
      </c>
      <c r="AF10" s="19" t="n">
        <v>100</v>
      </c>
      <c r="AG10" s="19" t="n">
        <v>102</v>
      </c>
      <c r="AH10" s="12" t="s">
        <v>435</v>
      </c>
      <c r="AI10" s="21" t="n">
        <f aca="false">B10/B6-1</f>
        <v>0.839805331343689</v>
      </c>
      <c r="AJ10" s="14" t="n">
        <f aca="false">B10/B9-1</f>
        <v>0.135559160604951</v>
      </c>
      <c r="AK10" s="14" t="str">
        <f aca="false">IF(V10="","",AI10-(V10-1))</f>
        <v/>
      </c>
      <c r="AL10" s="13" t="n">
        <f aca="false">(AF10+AG10)/2</f>
        <v>101</v>
      </c>
      <c r="AM10" s="14" t="n">
        <f aca="false">(B10/1000-AL10)/AL10</f>
        <v>0.0742277227722772</v>
      </c>
      <c r="AN10" s="21" t="n">
        <f aca="false">D10/B10</f>
        <v>0.887849433624893</v>
      </c>
      <c r="AO10" s="21" t="n">
        <f aca="false">F10/B10</f>
        <v>0.176530226642211</v>
      </c>
      <c r="AP10" s="21" t="n">
        <f aca="false">H10/B10</f>
        <v>1.00090325078113</v>
      </c>
      <c r="AQ10" s="21" t="n">
        <f aca="false">J10/B10</f>
        <v>0.114390259638515</v>
      </c>
      <c r="AR10" s="21" t="n">
        <f aca="false">L10/B10</f>
        <v>-0.403974303436961</v>
      </c>
      <c r="AS10" s="25" t="str">
        <f aca="false">IF(L10&lt;=0,"n/m",P10/L10)</f>
        <v>n/m</v>
      </c>
      <c r="AT10" s="21" t="n">
        <f aca="false">N10/B10</f>
        <v>0.218125846797607</v>
      </c>
      <c r="AU10" s="29" t="n">
        <f aca="false">X10-X9</f>
        <v>167</v>
      </c>
    </row>
    <row r="11" customFormat="false" ht="15" hidden="false" customHeight="false" outlineLevel="0" collapsed="false">
      <c r="A11" s="11" t="s">
        <v>436</v>
      </c>
      <c r="B11" s="28" t="n">
        <v>123718</v>
      </c>
      <c r="C11" s="12" t="s">
        <v>437</v>
      </c>
      <c r="D11" s="28" t="n">
        <v>109903</v>
      </c>
      <c r="E11" s="12" t="s">
        <v>438</v>
      </c>
      <c r="F11" s="28" t="n">
        <v>23963</v>
      </c>
      <c r="G11" s="12" t="s">
        <v>439</v>
      </c>
      <c r="H11" s="28" t="n">
        <v>86665</v>
      </c>
      <c r="I11" s="12" t="s">
        <v>440</v>
      </c>
      <c r="J11" s="28" t="n">
        <v>14633</v>
      </c>
      <c r="K11" s="12" t="s">
        <v>441</v>
      </c>
      <c r="L11" s="28" t="n">
        <v>-15358</v>
      </c>
      <c r="M11" s="12" t="s">
        <v>442</v>
      </c>
      <c r="N11" s="28" t="n">
        <v>30822</v>
      </c>
      <c r="O11" s="12" t="s">
        <v>443</v>
      </c>
      <c r="P11" s="28" t="n">
        <v>-19295</v>
      </c>
      <c r="Q11" s="12" t="s">
        <v>444</v>
      </c>
      <c r="R11" s="28" t="n">
        <v>834620</v>
      </c>
      <c r="S11" s="12" t="s">
        <v>445</v>
      </c>
      <c r="X11" s="30" t="n">
        <v>1160</v>
      </c>
      <c r="Y11" s="12" t="s">
        <v>446</v>
      </c>
      <c r="AF11" s="19" t="n">
        <v>117</v>
      </c>
      <c r="AG11" s="19" t="n">
        <v>119</v>
      </c>
      <c r="AH11" s="12" t="s">
        <v>447</v>
      </c>
      <c r="AI11" s="21" t="n">
        <f aca="false">B11/B7-1</f>
        <v>0.752007363874531</v>
      </c>
      <c r="AJ11" s="14" t="n">
        <f aca="false">B11/B10-1</f>
        <v>0.140289593260643</v>
      </c>
      <c r="AK11" s="14" t="str">
        <f aca="false">IF(V11="","",AI11-(V11-1))</f>
        <v/>
      </c>
      <c r="AL11" s="13" t="n">
        <f aca="false">(AF11+AG11)/2</f>
        <v>118</v>
      </c>
      <c r="AM11" s="14" t="n">
        <f aca="false">(B11/1000-AL11)/AL11</f>
        <v>0.0484576271186441</v>
      </c>
      <c r="AN11" s="21" t="n">
        <f aca="false">D11/B11</f>
        <v>0.888334761312016</v>
      </c>
      <c r="AO11" s="21" t="n">
        <f aca="false">F11/B11</f>
        <v>0.193690489661973</v>
      </c>
      <c r="AP11" s="21" t="n">
        <f aca="false">H11/B11</f>
        <v>0.700504372847928</v>
      </c>
      <c r="AQ11" s="21" t="n">
        <f aca="false">J11/B11</f>
        <v>0.11827704941884</v>
      </c>
      <c r="AR11" s="21" t="n">
        <f aca="false">L11/B11</f>
        <v>-0.124137150616725</v>
      </c>
      <c r="AS11" s="25" t="str">
        <f aca="false">IF(L11&lt;=0,"n/m",P11/L11)</f>
        <v>n/m</v>
      </c>
      <c r="AT11" s="21" t="n">
        <f aca="false">N11/B11</f>
        <v>0.249131088443072</v>
      </c>
      <c r="AU11" s="29" t="n">
        <f aca="false">X11-X10</f>
        <v>200</v>
      </c>
    </row>
    <row r="12" customFormat="false" ht="15" hidden="false" customHeight="false" outlineLevel="0" collapsed="false">
      <c r="A12" s="11" t="s">
        <v>448</v>
      </c>
      <c r="B12" s="28" t="n">
        <v>136893</v>
      </c>
      <c r="C12" s="12" t="s">
        <v>449</v>
      </c>
      <c r="D12" s="28" t="n">
        <v>121746</v>
      </c>
      <c r="E12" s="12" t="s">
        <v>450</v>
      </c>
      <c r="F12" s="28" t="n">
        <v>26259</v>
      </c>
      <c r="G12" s="12" t="s">
        <v>451</v>
      </c>
      <c r="H12" s="28" t="n">
        <v>82432</v>
      </c>
      <c r="I12" s="12" t="s">
        <v>452</v>
      </c>
      <c r="J12" s="28" t="n">
        <v>15240</v>
      </c>
      <c r="K12" s="12" t="s">
        <v>453</v>
      </c>
      <c r="L12" s="28" t="n">
        <v>-2185</v>
      </c>
      <c r="M12" s="12" t="s">
        <v>454</v>
      </c>
      <c r="N12" s="28" t="n">
        <v>26054</v>
      </c>
      <c r="O12" s="12" t="s">
        <v>455</v>
      </c>
      <c r="P12" s="28" t="n">
        <v>13959</v>
      </c>
      <c r="Q12" s="12" t="s">
        <v>456</v>
      </c>
      <c r="R12" s="28" t="n">
        <v>852568</v>
      </c>
      <c r="S12" s="12" t="s">
        <v>457</v>
      </c>
      <c r="X12" s="30" t="n">
        <v>1323</v>
      </c>
      <c r="Y12" s="12" t="s">
        <v>458</v>
      </c>
      <c r="AF12" s="19" t="n">
        <v>130</v>
      </c>
      <c r="AG12" s="19" t="n">
        <v>131</v>
      </c>
      <c r="AH12" s="12" t="s">
        <v>459</v>
      </c>
      <c r="AI12" s="21" t="n">
        <f aca="false">B12/B8-1</f>
        <v>0.648955648172686</v>
      </c>
      <c r="AJ12" s="14" t="n">
        <f aca="false">B12/B11-1</f>
        <v>0.106492183837437</v>
      </c>
      <c r="AK12" s="14" t="str">
        <f aca="false">IF(V12="","",AI12-(V12-1))</f>
        <v/>
      </c>
      <c r="AL12" s="13" t="n">
        <f aca="false">(AF12+AG12)/2</f>
        <v>130.5</v>
      </c>
      <c r="AM12" s="14" t="n">
        <f aca="false">(B12/1000-AL12)/AL12</f>
        <v>0.0489885057471264</v>
      </c>
      <c r="AN12" s="21" t="n">
        <f aca="false">D12/B12</f>
        <v>0.889351537332077</v>
      </c>
      <c r="AO12" s="21" t="n">
        <f aca="false">F12/B12</f>
        <v>0.191821349521159</v>
      </c>
      <c r="AP12" s="21" t="n">
        <f aca="false">H12/B12</f>
        <v>0.602163733719036</v>
      </c>
      <c r="AQ12" s="21" t="n">
        <f aca="false">J12/B12</f>
        <v>0.111327825381868</v>
      </c>
      <c r="AR12" s="21" t="n">
        <f aca="false">L12/B12</f>
        <v>-0.0159613712899856</v>
      </c>
      <c r="AS12" s="25" t="str">
        <f aca="false">IF(L12&lt;=0,"n/m",P12/L12)</f>
        <v>n/m</v>
      </c>
      <c r="AT12" s="21" t="n">
        <f aca="false">N12/B12</f>
        <v>0.190323829560314</v>
      </c>
      <c r="AU12" s="29" t="n">
        <f aca="false">X12-X11</f>
        <v>163</v>
      </c>
    </row>
    <row r="13" customFormat="false" ht="15" hidden="false" customHeight="false" outlineLevel="0" collapsed="false">
      <c r="A13" s="11" t="s">
        <v>460</v>
      </c>
      <c r="B13" s="28" t="n">
        <v>149921</v>
      </c>
      <c r="C13" s="12" t="s">
        <v>461</v>
      </c>
      <c r="D13" s="28" t="n">
        <v>134929</v>
      </c>
      <c r="E13" s="12" t="s">
        <v>462</v>
      </c>
      <c r="F13" s="28" t="n">
        <v>24715</v>
      </c>
      <c r="G13" s="12" t="s">
        <v>463</v>
      </c>
      <c r="H13" s="28" t="n">
        <v>80919</v>
      </c>
      <c r="I13" s="12" t="s">
        <v>464</v>
      </c>
      <c r="J13" s="28" t="n">
        <v>15017</v>
      </c>
      <c r="K13" s="12" t="s">
        <v>465</v>
      </c>
      <c r="L13" s="28" t="n">
        <v>14278</v>
      </c>
      <c r="M13" s="12" t="s">
        <v>466</v>
      </c>
      <c r="N13" s="28" t="n">
        <v>24378</v>
      </c>
      <c r="O13" s="12" t="s">
        <v>467</v>
      </c>
      <c r="P13" s="28" t="n">
        <v>29665</v>
      </c>
      <c r="Q13" s="12" t="s">
        <v>468</v>
      </c>
      <c r="R13" s="28" t="n">
        <v>885894</v>
      </c>
      <c r="S13" s="12" t="s">
        <v>469</v>
      </c>
      <c r="X13" s="30" t="n">
        <v>1474</v>
      </c>
      <c r="Y13" s="12" t="s">
        <v>470</v>
      </c>
      <c r="Z13" s="30" t="n">
        <v>527</v>
      </c>
      <c r="AA13" s="12" t="s">
        <v>471</v>
      </c>
      <c r="AF13" s="19" t="n">
        <v>140</v>
      </c>
      <c r="AG13" s="19" t="n">
        <v>142</v>
      </c>
      <c r="AH13" s="12" t="s">
        <v>472</v>
      </c>
      <c r="AI13" s="21" t="n">
        <f aca="false">B13/B9-1</f>
        <v>0.569114030038202</v>
      </c>
      <c r="AJ13" s="14" t="n">
        <f aca="false">B13/B12-1</f>
        <v>0.0951692197555756</v>
      </c>
      <c r="AK13" s="14" t="str">
        <f aca="false">IF(V13="","",AI13-(V13-1))</f>
        <v/>
      </c>
      <c r="AL13" s="13" t="n">
        <f aca="false">(AF13+AG13)/2</f>
        <v>141</v>
      </c>
      <c r="AM13" s="14" t="n">
        <f aca="false">(B13/1000-AL13)/AL13</f>
        <v>0.0632695035460992</v>
      </c>
      <c r="AN13" s="21" t="n">
        <f aca="false">D13/B13</f>
        <v>0.900000667017963</v>
      </c>
      <c r="AO13" s="21" t="n">
        <f aca="false">F13/B13</f>
        <v>0.164853489504472</v>
      </c>
      <c r="AP13" s="21" t="n">
        <f aca="false">H13/B13</f>
        <v>0.539744265313065</v>
      </c>
      <c r="AQ13" s="21" t="n">
        <f aca="false">J13/B13</f>
        <v>0.100166087472736</v>
      </c>
      <c r="AR13" s="21" t="n">
        <f aca="false">L13/B13</f>
        <v>0.0952368247276899</v>
      </c>
      <c r="AS13" s="25" t="n">
        <f aca="false">IF(L13&lt;=0,"n/m",P13/L13)</f>
        <v>2.07767194284914</v>
      </c>
      <c r="AT13" s="21" t="n">
        <f aca="false">N13/B13</f>
        <v>0.162605638969857</v>
      </c>
      <c r="AU13" s="29" t="n">
        <f aca="false">X13-X12</f>
        <v>151</v>
      </c>
    </row>
    <row r="14" customFormat="false" ht="15" hidden="false" customHeight="false" outlineLevel="0" collapsed="false">
      <c r="A14" s="11" t="s">
        <v>473</v>
      </c>
      <c r="B14" s="28" t="n">
        <v>162256</v>
      </c>
      <c r="C14" s="12" t="s">
        <v>474</v>
      </c>
      <c r="D14" s="28" t="n">
        <v>146719</v>
      </c>
      <c r="E14" s="12" t="s">
        <v>475</v>
      </c>
      <c r="F14" s="28" t="n">
        <v>28519</v>
      </c>
      <c r="G14" s="12" t="s">
        <v>476</v>
      </c>
      <c r="H14" s="28" t="n">
        <v>102652</v>
      </c>
      <c r="I14" s="12" t="s">
        <v>477</v>
      </c>
      <c r="J14" s="28" t="n">
        <v>15841</v>
      </c>
      <c r="K14" s="12" t="s">
        <v>478</v>
      </c>
      <c r="L14" s="28" t="n">
        <v>-293</v>
      </c>
      <c r="M14" s="12" t="s">
        <v>479</v>
      </c>
      <c r="N14" s="28" t="n">
        <v>22459</v>
      </c>
      <c r="O14" s="12" t="s">
        <v>480</v>
      </c>
      <c r="P14" s="28" t="n">
        <v>38682</v>
      </c>
      <c r="Q14" s="12" t="s">
        <v>481</v>
      </c>
      <c r="R14" s="28" t="n">
        <v>935565</v>
      </c>
      <c r="S14" s="12" t="s">
        <v>482</v>
      </c>
      <c r="X14" s="30" t="n">
        <v>1683</v>
      </c>
      <c r="Y14" s="12" t="s">
        <v>483</v>
      </c>
      <c r="Z14" s="30" t="n">
        <v>588</v>
      </c>
      <c r="AA14" s="12" t="s">
        <v>484</v>
      </c>
      <c r="AF14" s="19" t="n">
        <v>154</v>
      </c>
      <c r="AG14" s="19" t="n">
        <v>156</v>
      </c>
      <c r="AH14" s="12" t="s">
        <v>485</v>
      </c>
      <c r="AI14" s="21" t="n">
        <f aca="false">B14/B10-1</f>
        <v>0.495488354516715</v>
      </c>
      <c r="AJ14" s="14" t="n">
        <f aca="false">B14/B13-1</f>
        <v>0.0822766657106075</v>
      </c>
      <c r="AK14" s="14" t="str">
        <f aca="false">IF(V14="","",AI14-(V14-1))</f>
        <v/>
      </c>
      <c r="AL14" s="13" t="n">
        <f aca="false">(AF14+AG14)/2</f>
        <v>155</v>
      </c>
      <c r="AM14" s="14" t="n">
        <f aca="false">(B14/1000-AL14)/AL14</f>
        <v>0.0468129032258065</v>
      </c>
      <c r="AN14" s="21" t="n">
        <f aca="false">D14/B14</f>
        <v>0.904243910856918</v>
      </c>
      <c r="AO14" s="21" t="n">
        <f aca="false">F14/B14</f>
        <v>0.175765457055517</v>
      </c>
      <c r="AP14" s="21" t="n">
        <f aca="false">H14/B14</f>
        <v>0.632654570555172</v>
      </c>
      <c r="AQ14" s="21" t="n">
        <f aca="false">J14/B14</f>
        <v>0.0976296716300168</v>
      </c>
      <c r="AR14" s="21" t="n">
        <f aca="false">L14/B14</f>
        <v>-0.00180578838378858</v>
      </c>
      <c r="AS14" s="25" t="str">
        <f aca="false">IF(L14&lt;=0,"n/m",P14/L14)</f>
        <v>n/m</v>
      </c>
      <c r="AT14" s="21" t="n">
        <f aca="false">N14/B14</f>
        <v>0.138417069322552</v>
      </c>
      <c r="AU14" s="29" t="n">
        <f aca="false">X14-X13</f>
        <v>209</v>
      </c>
    </row>
    <row r="15" customFormat="false" ht="15" hidden="false" customHeight="false" outlineLevel="0" collapsed="false">
      <c r="A15" s="11" t="s">
        <v>486</v>
      </c>
      <c r="B15" s="28" t="n">
        <v>175679</v>
      </c>
      <c r="C15" s="12" t="s">
        <v>487</v>
      </c>
      <c r="D15" s="28" t="n">
        <v>158008</v>
      </c>
      <c r="E15" s="12" t="s">
        <v>488</v>
      </c>
      <c r="F15" s="28" t="n">
        <v>27908</v>
      </c>
      <c r="G15" s="12" t="s">
        <v>489</v>
      </c>
      <c r="H15" s="28" t="n">
        <v>98831</v>
      </c>
      <c r="I15" s="12" t="s">
        <v>490</v>
      </c>
      <c r="J15" s="28" t="n">
        <v>14652</v>
      </c>
      <c r="K15" s="12" t="s">
        <v>491</v>
      </c>
      <c r="L15" s="28" t="n">
        <v>16617</v>
      </c>
      <c r="M15" s="12" t="s">
        <v>492</v>
      </c>
      <c r="N15" s="28" t="n">
        <v>28784</v>
      </c>
      <c r="O15" s="12" t="s">
        <v>493</v>
      </c>
      <c r="P15" s="28" t="n">
        <v>45932</v>
      </c>
      <c r="Q15" s="12" t="s">
        <v>494</v>
      </c>
      <c r="R15" s="28" t="n">
        <v>989377</v>
      </c>
      <c r="S15" s="12" t="s">
        <v>495</v>
      </c>
      <c r="X15" s="30" t="n">
        <v>1892</v>
      </c>
      <c r="Y15" s="12" t="s">
        <v>496</v>
      </c>
      <c r="Z15" s="30" t="n">
        <v>677</v>
      </c>
      <c r="AA15" s="12" t="s">
        <v>497</v>
      </c>
      <c r="AF15" s="19" t="n">
        <v>168</v>
      </c>
      <c r="AG15" s="19" t="n">
        <v>170</v>
      </c>
      <c r="AH15" s="12" t="s">
        <v>498</v>
      </c>
      <c r="AI15" s="21" t="n">
        <f aca="false">B15/B11-1</f>
        <v>0.419995473577006</v>
      </c>
      <c r="AJ15" s="14" t="n">
        <f aca="false">B15/B14-1</f>
        <v>0.0827272951385465</v>
      </c>
      <c r="AK15" s="14" t="str">
        <f aca="false">IF(V15="","",AI15-(V15-1))</f>
        <v/>
      </c>
      <c r="AL15" s="13" t="n">
        <f aca="false">(AF15+AG15)/2</f>
        <v>169</v>
      </c>
      <c r="AM15" s="14" t="n">
        <f aca="false">(B15/1000-AL15)/AL15</f>
        <v>0.0395207100591716</v>
      </c>
      <c r="AN15" s="21" t="n">
        <f aca="false">D15/B15</f>
        <v>0.89941313418223</v>
      </c>
      <c r="AO15" s="21" t="n">
        <f aca="false">F15/B15</f>
        <v>0.15885791699634</v>
      </c>
      <c r="AP15" s="21" t="n">
        <f aca="false">H15/B15</f>
        <v>0.56256581606225</v>
      </c>
      <c r="AQ15" s="21" t="n">
        <f aca="false">J15/B15</f>
        <v>0.083402114083072</v>
      </c>
      <c r="AR15" s="21" t="n">
        <f aca="false">L15/B15</f>
        <v>0.0945872870405683</v>
      </c>
      <c r="AS15" s="25" t="n">
        <f aca="false">IF(L15&lt;=0,"n/m",P15/L15)</f>
        <v>2.7641571884215</v>
      </c>
      <c r="AT15" s="21" t="n">
        <f aca="false">N15/B15</f>
        <v>0.163844284177392</v>
      </c>
      <c r="AU15" s="29" t="n">
        <f aca="false">X15-X14</f>
        <v>209</v>
      </c>
    </row>
    <row r="16" customFormat="false" ht="15" hidden="false" customHeight="false" outlineLevel="0" collapsed="false">
      <c r="A16" s="11" t="s">
        <v>499</v>
      </c>
      <c r="B16" s="28" t="n">
        <v>189190</v>
      </c>
      <c r="C16" s="12" t="s">
        <v>500</v>
      </c>
      <c r="D16" s="28" t="n">
        <v>168866</v>
      </c>
      <c r="E16" s="12" t="s">
        <v>501</v>
      </c>
      <c r="F16" s="28" t="n">
        <v>28051</v>
      </c>
      <c r="G16" s="12" t="s">
        <v>502</v>
      </c>
      <c r="H16" s="28" t="n">
        <v>101504</v>
      </c>
      <c r="I16" s="12" t="s">
        <v>503</v>
      </c>
      <c r="J16" s="28" t="n">
        <v>15234</v>
      </c>
      <c r="K16" s="12" t="s">
        <v>504</v>
      </c>
      <c r="L16" s="28" t="n">
        <v>24077</v>
      </c>
      <c r="M16" s="12" t="s">
        <v>505</v>
      </c>
      <c r="N16" s="28" t="n">
        <v>26598</v>
      </c>
      <c r="O16" s="12" t="s">
        <v>506</v>
      </c>
      <c r="P16" s="28" t="n">
        <v>64890</v>
      </c>
      <c r="Q16" s="12" t="s">
        <v>507</v>
      </c>
      <c r="R16" s="28" t="n">
        <v>1054270</v>
      </c>
      <c r="S16" s="12" t="s">
        <v>508</v>
      </c>
      <c r="X16" s="30" t="n">
        <v>2077</v>
      </c>
      <c r="Y16" s="12" t="s">
        <v>509</v>
      </c>
      <c r="Z16" s="30" t="n">
        <v>749</v>
      </c>
      <c r="AA16" s="12" t="s">
        <v>510</v>
      </c>
      <c r="AF16" s="19" t="n">
        <v>181</v>
      </c>
      <c r="AG16" s="19" t="n">
        <v>183</v>
      </c>
      <c r="AH16" s="12" t="s">
        <v>511</v>
      </c>
      <c r="AI16" s="21" t="n">
        <f aca="false">B16/B12-1</f>
        <v>0.382028299474772</v>
      </c>
      <c r="AJ16" s="14" t="n">
        <f aca="false">B16/B15-1</f>
        <v>0.0769073139077523</v>
      </c>
      <c r="AK16" s="14" t="str">
        <f aca="false">IF(V16="","",AI16-(V16-1))</f>
        <v/>
      </c>
      <c r="AL16" s="13" t="n">
        <f aca="false">(AF16+AG16)/2</f>
        <v>182</v>
      </c>
      <c r="AM16" s="14" t="n">
        <f aca="false">(B16/1000-AL16)/AL16</f>
        <v>0.0395054945054945</v>
      </c>
      <c r="AN16" s="21" t="n">
        <f aca="false">D16/B16</f>
        <v>0.892573603255986</v>
      </c>
      <c r="AO16" s="21" t="n">
        <f aca="false">F16/B16</f>
        <v>0.148268935990274</v>
      </c>
      <c r="AP16" s="21" t="n">
        <f aca="false">H16/B16</f>
        <v>0.536518843490671</v>
      </c>
      <c r="AQ16" s="21" t="n">
        <f aca="false">J16/B16</f>
        <v>0.0805222263333157</v>
      </c>
      <c r="AR16" s="21" t="n">
        <f aca="false">L16/B16</f>
        <v>0.127263597441725</v>
      </c>
      <c r="AS16" s="25" t="n">
        <f aca="false">IF(L16&lt;=0,"n/m",P16/L16)</f>
        <v>2.69510321053287</v>
      </c>
      <c r="AT16" s="21" t="n">
        <f aca="false">N16/B16</f>
        <v>0.140588826047888</v>
      </c>
      <c r="AU16" s="29" t="n">
        <f aca="false">X16-X15</f>
        <v>185</v>
      </c>
    </row>
    <row r="17" customFormat="false" ht="15" hidden="false" customHeight="false" outlineLevel="0" collapsed="false">
      <c r="A17" s="11" t="s">
        <v>512</v>
      </c>
      <c r="B17" s="28" t="n">
        <v>202570</v>
      </c>
      <c r="C17" s="12" t="s">
        <v>513</v>
      </c>
      <c r="D17" s="28" t="n">
        <v>181764</v>
      </c>
      <c r="E17" s="12" t="s">
        <v>514</v>
      </c>
      <c r="F17" s="28" t="n">
        <v>33285</v>
      </c>
      <c r="G17" s="12" t="s">
        <v>515</v>
      </c>
      <c r="H17" s="28" t="n">
        <v>110020</v>
      </c>
      <c r="I17" s="12" t="s">
        <v>516</v>
      </c>
      <c r="J17" s="28" t="n">
        <v>17259</v>
      </c>
      <c r="K17" s="12" t="s">
        <v>517</v>
      </c>
      <c r="L17" s="28" t="n">
        <v>21200</v>
      </c>
      <c r="M17" s="12" t="s">
        <v>518</v>
      </c>
      <c r="N17" s="28" t="n">
        <v>22345</v>
      </c>
      <c r="O17" s="12" t="s">
        <v>519</v>
      </c>
      <c r="P17" s="28" t="n">
        <v>55441</v>
      </c>
      <c r="Q17" s="12" t="s">
        <v>520</v>
      </c>
      <c r="R17" s="28" t="n">
        <v>1116128</v>
      </c>
      <c r="S17" s="12" t="s">
        <v>521</v>
      </c>
      <c r="V17" s="22" t="n">
        <v>1.1</v>
      </c>
      <c r="W17" s="12" t="s">
        <v>522</v>
      </c>
      <c r="X17" s="30" t="n">
        <v>2295</v>
      </c>
      <c r="Y17" s="12" t="s">
        <v>523</v>
      </c>
      <c r="Z17" s="30" t="n">
        <v>833</v>
      </c>
      <c r="AA17" s="12" t="s">
        <v>524</v>
      </c>
      <c r="AF17" s="19" t="n">
        <v>196</v>
      </c>
      <c r="AG17" s="19" t="n">
        <v>198</v>
      </c>
      <c r="AH17" s="12" t="s">
        <v>525</v>
      </c>
      <c r="AI17" s="21" t="n">
        <f aca="false">B17/B13-1</f>
        <v>0.351178287231275</v>
      </c>
      <c r="AJ17" s="14" t="n">
        <f aca="false">B17/B16-1</f>
        <v>0.0707225540461969</v>
      </c>
      <c r="AK17" s="14" t="n">
        <f aca="false">IF(V17="","",AI17-(V17-1))</f>
        <v>0.251178287231275</v>
      </c>
      <c r="AL17" s="13" t="n">
        <f aca="false">(AF17+AG17)/2</f>
        <v>197</v>
      </c>
      <c r="AM17" s="14" t="n">
        <f aca="false">(B17/1000-AL17)/AL17</f>
        <v>0.0282741116751269</v>
      </c>
      <c r="AN17" s="21" t="n">
        <f aca="false">D17/B17</f>
        <v>0.897289825739251</v>
      </c>
      <c r="AO17" s="21" t="n">
        <f aca="false">F17/B17</f>
        <v>0.164313570617564</v>
      </c>
      <c r="AP17" s="21" t="n">
        <f aca="false">H17/B17</f>
        <v>0.543120896480229</v>
      </c>
      <c r="AQ17" s="21" t="n">
        <f aca="false">J17/B17</f>
        <v>0.085200177716345</v>
      </c>
      <c r="AR17" s="21" t="n">
        <f aca="false">L17/B17</f>
        <v>0.104655180925112</v>
      </c>
      <c r="AS17" s="25" t="n">
        <f aca="false">IF(L17&lt;=0,"n/m",P17/L17)</f>
        <v>2.61514150943396</v>
      </c>
      <c r="AT17" s="21" t="n">
        <f aca="false">N17/B17</f>
        <v>0.110307548008096</v>
      </c>
      <c r="AU17" s="29" t="n">
        <f aca="false">X17-X16</f>
        <v>218</v>
      </c>
    </row>
    <row r="18" customFormat="false" ht="15" hidden="false" customHeight="false" outlineLevel="0" collapsed="false">
      <c r="A18" s="11" t="s">
        <v>526</v>
      </c>
      <c r="B18" s="28" t="n">
        <v>216913</v>
      </c>
      <c r="C18" s="12" t="s">
        <v>527</v>
      </c>
      <c r="D18" s="28" t="n">
        <v>194703</v>
      </c>
      <c r="E18" s="12" t="s">
        <v>528</v>
      </c>
      <c r="F18" s="28" t="n">
        <v>34797</v>
      </c>
      <c r="G18" s="12" t="s">
        <v>529</v>
      </c>
      <c r="H18" s="28" t="n">
        <v>120806</v>
      </c>
      <c r="I18" s="12" t="s">
        <v>530</v>
      </c>
      <c r="J18" s="28" t="n">
        <v>17579</v>
      </c>
      <c r="K18" s="12" t="s">
        <v>531</v>
      </c>
      <c r="L18" s="28" t="n">
        <v>21521</v>
      </c>
      <c r="M18" s="12" t="s">
        <v>532</v>
      </c>
      <c r="N18" s="28" t="n">
        <v>26543</v>
      </c>
      <c r="O18" s="12" t="s">
        <v>533</v>
      </c>
      <c r="P18" s="28" t="n">
        <v>89894</v>
      </c>
      <c r="Q18" s="12" t="s">
        <v>534</v>
      </c>
      <c r="R18" s="28" t="n">
        <v>1224544</v>
      </c>
      <c r="S18" s="12" t="s">
        <v>535</v>
      </c>
      <c r="V18" s="22" t="n">
        <v>1.1</v>
      </c>
      <c r="W18" s="12" t="s">
        <v>536</v>
      </c>
      <c r="X18" s="30" t="n">
        <v>2491</v>
      </c>
      <c r="Y18" s="12" t="s">
        <v>537</v>
      </c>
      <c r="Z18" s="30" t="n">
        <v>911</v>
      </c>
      <c r="AA18" s="12" t="s">
        <v>538</v>
      </c>
      <c r="AF18" s="19" t="n">
        <v>207</v>
      </c>
      <c r="AG18" s="19" t="n">
        <v>211</v>
      </c>
      <c r="AH18" s="12" t="s">
        <v>539</v>
      </c>
      <c r="AI18" s="21" t="n">
        <f aca="false">B18/B14-1</f>
        <v>0.336856572330145</v>
      </c>
      <c r="AJ18" s="14" t="n">
        <f aca="false">B18/B17-1</f>
        <v>0.070805153774004</v>
      </c>
      <c r="AK18" s="14" t="n">
        <f aca="false">IF(V18="","",AI18-(V18-1))</f>
        <v>0.236856572330145</v>
      </c>
      <c r="AL18" s="13" t="n">
        <f aca="false">(AF18+AG18)/2</f>
        <v>209</v>
      </c>
      <c r="AM18" s="14" t="n">
        <f aca="false">(B18/1000-AL18)/AL18</f>
        <v>0.0378612440191388</v>
      </c>
      <c r="AN18" s="21" t="n">
        <f aca="false">D18/B18</f>
        <v>0.89760871870289</v>
      </c>
      <c r="AO18" s="21" t="n">
        <f aca="false">F18/B18</f>
        <v>0.160419154223122</v>
      </c>
      <c r="AP18" s="21" t="n">
        <f aca="false">H18/B18</f>
        <v>0.556932963907189</v>
      </c>
      <c r="AQ18" s="21" t="n">
        <f aca="false">J18/B18</f>
        <v>0.0810417079658665</v>
      </c>
      <c r="AR18" s="21" t="n">
        <f aca="false">L18/B18</f>
        <v>0.0992148926067133</v>
      </c>
      <c r="AS18" s="25" t="n">
        <f aca="false">IF(L18&lt;=0,"n/m",P18/L18)</f>
        <v>4.1770363830677</v>
      </c>
      <c r="AT18" s="21" t="n">
        <f aca="false">N18/B18</f>
        <v>0.122367031943683</v>
      </c>
      <c r="AU18" s="29" t="n">
        <f aca="false">X18-X17</f>
        <v>196</v>
      </c>
    </row>
    <row r="19" customFormat="false" ht="15" hidden="false" customHeight="false" outlineLevel="0" collapsed="false">
      <c r="A19" s="11" t="s">
        <v>540</v>
      </c>
      <c r="B19" s="28" t="n">
        <v>236106</v>
      </c>
      <c r="C19" s="12" t="s">
        <v>541</v>
      </c>
      <c r="D19" s="28" t="n">
        <v>214215</v>
      </c>
      <c r="E19" s="12" t="s">
        <v>542</v>
      </c>
      <c r="F19" s="28" t="n">
        <v>36878</v>
      </c>
      <c r="G19" s="12" t="s">
        <v>543</v>
      </c>
      <c r="H19" s="28" t="n">
        <v>120738</v>
      </c>
      <c r="I19" s="12" t="s">
        <v>544</v>
      </c>
      <c r="J19" s="28" t="n">
        <v>18182</v>
      </c>
      <c r="K19" s="12" t="s">
        <v>545</v>
      </c>
      <c r="L19" s="28" t="n">
        <v>38417</v>
      </c>
      <c r="M19" s="12" t="s">
        <v>546</v>
      </c>
      <c r="N19" s="28" t="n">
        <v>36623</v>
      </c>
      <c r="O19" s="12" t="s">
        <v>547</v>
      </c>
      <c r="P19" s="28" t="n">
        <v>50821</v>
      </c>
      <c r="Q19" s="12" t="s">
        <v>548</v>
      </c>
      <c r="R19" s="28" t="n">
        <v>1290242</v>
      </c>
      <c r="S19" s="12" t="s">
        <v>549</v>
      </c>
      <c r="V19" s="22" t="n">
        <v>1.1</v>
      </c>
      <c r="W19" s="12" t="s">
        <v>550</v>
      </c>
      <c r="X19" s="30" t="n">
        <v>2713</v>
      </c>
      <c r="Y19" s="12" t="s">
        <v>551</v>
      </c>
      <c r="Z19" s="30" t="n">
        <v>1009</v>
      </c>
      <c r="AA19" s="12" t="s">
        <v>552</v>
      </c>
      <c r="AF19" s="19" t="n">
        <v>226</v>
      </c>
      <c r="AG19" s="19" t="n">
        <v>230</v>
      </c>
      <c r="AH19" s="12" t="s">
        <v>553</v>
      </c>
      <c r="AI19" s="21" t="n">
        <f aca="false">B19/B15-1</f>
        <v>0.343962568092942</v>
      </c>
      <c r="AJ19" s="14" t="n">
        <f aca="false">B19/B18-1</f>
        <v>0.0884824791506271</v>
      </c>
      <c r="AK19" s="14" t="n">
        <f aca="false">IF(V19="","",AI19-(V19-1))</f>
        <v>0.243962568092942</v>
      </c>
      <c r="AL19" s="13" t="n">
        <f aca="false">(AF19+AG19)/2</f>
        <v>228</v>
      </c>
      <c r="AM19" s="14" t="n">
        <f aca="false">(B19/1000-AL19)/AL19</f>
        <v>0.0355526315789473</v>
      </c>
      <c r="AN19" s="21" t="n">
        <f aca="false">D19/B19</f>
        <v>0.907283169423903</v>
      </c>
      <c r="AO19" s="21" t="n">
        <f aca="false">F19/B19</f>
        <v>0.15619255758007</v>
      </c>
      <c r="AP19" s="21" t="n">
        <f aca="false">H19/B19</f>
        <v>0.511372010876471</v>
      </c>
      <c r="AQ19" s="21" t="n">
        <f aca="false">J19/B19</f>
        <v>0.0770077846391028</v>
      </c>
      <c r="AR19" s="21" t="n">
        <f aca="false">L19/B19</f>
        <v>0.162710816328259</v>
      </c>
      <c r="AS19" s="25" t="n">
        <f aca="false">IF(L19&lt;=0,"n/m",P19/L19)</f>
        <v>1.32287789259963</v>
      </c>
      <c r="AT19" s="21" t="n">
        <f aca="false">N19/B19</f>
        <v>0.15511253420074</v>
      </c>
      <c r="AU19" s="29" t="n">
        <f aca="false">X19-X18</f>
        <v>222</v>
      </c>
    </row>
    <row r="20" customFormat="false" ht="15" hidden="false" customHeight="false" outlineLevel="0" collapsed="false">
      <c r="A20" s="11" t="s">
        <v>129</v>
      </c>
      <c r="B20" s="28" t="n">
        <v>251000</v>
      </c>
      <c r="C20" s="12" t="s">
        <v>554</v>
      </c>
      <c r="D20" s="28" t="n">
        <v>226909</v>
      </c>
      <c r="E20" s="12" t="s">
        <v>555</v>
      </c>
      <c r="F20" s="28" t="n">
        <v>42973</v>
      </c>
      <c r="G20" s="12" t="s">
        <v>556</v>
      </c>
      <c r="H20" s="28" t="n">
        <v>130339</v>
      </c>
      <c r="I20" s="12" t="s">
        <v>557</v>
      </c>
      <c r="J20" s="28" t="n">
        <v>21417</v>
      </c>
      <c r="K20" s="12" t="s">
        <v>558</v>
      </c>
      <c r="L20" s="28" t="n">
        <v>32180</v>
      </c>
      <c r="M20" s="12" t="s">
        <v>559</v>
      </c>
      <c r="N20" s="28" t="n">
        <v>35374</v>
      </c>
      <c r="O20" s="12" t="s">
        <v>560</v>
      </c>
      <c r="P20" s="28" t="n">
        <v>82412</v>
      </c>
      <c r="Q20" s="12" t="s">
        <v>561</v>
      </c>
      <c r="R20" s="28" t="n">
        <v>1337155</v>
      </c>
      <c r="S20" s="12" t="s">
        <v>562</v>
      </c>
      <c r="T20" s="28" t="n">
        <v>50667</v>
      </c>
      <c r="U20" s="12" t="s">
        <v>563</v>
      </c>
      <c r="V20" s="22" t="n">
        <v>1.11</v>
      </c>
      <c r="W20" s="12" t="s">
        <v>564</v>
      </c>
      <c r="X20" s="30" t="n">
        <v>2907</v>
      </c>
      <c r="Y20" s="12" t="s">
        <v>565</v>
      </c>
      <c r="Z20" s="30" t="n">
        <v>1080</v>
      </c>
      <c r="AA20" s="12" t="s">
        <v>566</v>
      </c>
      <c r="AB20" s="19" t="n">
        <v>548</v>
      </c>
      <c r="AC20" s="12" t="s">
        <v>567</v>
      </c>
      <c r="AF20" s="19" t="n">
        <v>243</v>
      </c>
      <c r="AG20" s="19" t="n">
        <v>247</v>
      </c>
      <c r="AH20" s="12" t="s">
        <v>568</v>
      </c>
      <c r="AI20" s="21" t="n">
        <f aca="false">B20/B16-1</f>
        <v>0.326708599820287</v>
      </c>
      <c r="AJ20" s="14" t="n">
        <f aca="false">B20/B19-1</f>
        <v>0.0630818361244525</v>
      </c>
      <c r="AK20" s="14" t="n">
        <f aca="false">IF(V20="","",AI20-(V20-1))</f>
        <v>0.216708599820286</v>
      </c>
      <c r="AL20" s="13" t="n">
        <f aca="false">(AF20+AG20)/2</f>
        <v>245</v>
      </c>
      <c r="AM20" s="14" t="n">
        <f aca="false">(B20/1000-AL20)/AL20</f>
        <v>0.0244897959183673</v>
      </c>
      <c r="AN20" s="21" t="n">
        <f aca="false">D20/B20</f>
        <v>0.904019920318725</v>
      </c>
      <c r="AO20" s="21" t="n">
        <f aca="false">F20/B20</f>
        <v>0.171207171314741</v>
      </c>
      <c r="AP20" s="21" t="n">
        <f aca="false">H20/B20</f>
        <v>0.519278884462151</v>
      </c>
      <c r="AQ20" s="21" t="n">
        <f aca="false">J20/B20</f>
        <v>0.0853266932270916</v>
      </c>
      <c r="AR20" s="21" t="n">
        <f aca="false">L20/B20</f>
        <v>0.128207171314741</v>
      </c>
      <c r="AS20" s="25" t="n">
        <f aca="false">IF(L20&lt;=0,"n/m",P20/L20)</f>
        <v>2.56096954630205</v>
      </c>
      <c r="AT20" s="21" t="n">
        <f aca="false">N20/B20</f>
        <v>0.140932270916335</v>
      </c>
      <c r="AU20" s="29" t="n">
        <f aca="false">X20-X19</f>
        <v>194</v>
      </c>
    </row>
    <row r="21" customFormat="false" ht="15" hidden="false" customHeight="false" outlineLevel="0" collapsed="false">
      <c r="A21" s="11" t="s">
        <v>133</v>
      </c>
      <c r="B21" s="28" t="n">
        <v>267976</v>
      </c>
      <c r="C21" s="12" t="s">
        <v>569</v>
      </c>
      <c r="D21" s="28" t="n">
        <v>239080</v>
      </c>
      <c r="E21" s="12" t="s">
        <v>570</v>
      </c>
      <c r="F21" s="28" t="n">
        <v>48066</v>
      </c>
      <c r="G21" s="12" t="s">
        <v>571</v>
      </c>
      <c r="H21" s="28" t="n">
        <v>127791</v>
      </c>
      <c r="I21" s="12" t="s">
        <v>572</v>
      </c>
      <c r="J21" s="28" t="n">
        <v>22958</v>
      </c>
      <c r="K21" s="12" t="s">
        <v>573</v>
      </c>
      <c r="L21" s="28" t="n">
        <v>40265</v>
      </c>
      <c r="M21" s="12" t="s">
        <v>574</v>
      </c>
      <c r="N21" s="28" t="n">
        <v>30669</v>
      </c>
      <c r="O21" s="12" t="s">
        <v>575</v>
      </c>
      <c r="P21" s="28" t="n">
        <v>72703</v>
      </c>
      <c r="Q21" s="12" t="s">
        <v>576</v>
      </c>
      <c r="R21" s="28" t="n">
        <v>1411602</v>
      </c>
      <c r="S21" s="12" t="s">
        <v>577</v>
      </c>
      <c r="T21" s="28" t="n">
        <v>50004</v>
      </c>
      <c r="U21" s="12" t="s">
        <v>578</v>
      </c>
      <c r="V21" s="22" t="n">
        <v>1.12</v>
      </c>
      <c r="W21" s="12" t="s">
        <v>579</v>
      </c>
      <c r="X21" s="30" t="n">
        <v>3201</v>
      </c>
      <c r="Y21" s="12" t="s">
        <v>580</v>
      </c>
      <c r="Z21" s="30" t="n">
        <v>1207</v>
      </c>
      <c r="AA21" s="12" t="s">
        <v>581</v>
      </c>
      <c r="AB21" s="19" t="n">
        <v>614</v>
      </c>
      <c r="AC21" s="12" t="s">
        <v>582</v>
      </c>
      <c r="AD21" s="19" t="n">
        <v>516</v>
      </c>
      <c r="AE21" s="12" t="s">
        <v>583</v>
      </c>
      <c r="AF21" s="19" t="n">
        <v>260</v>
      </c>
      <c r="AG21" s="19" t="n">
        <v>262</v>
      </c>
      <c r="AH21" s="12" t="s">
        <v>584</v>
      </c>
      <c r="AI21" s="21" t="n">
        <f aca="false">B21/B17-1</f>
        <v>0.322880979414523</v>
      </c>
      <c r="AJ21" s="14" t="n">
        <f aca="false">B21/B20-1</f>
        <v>0.0676334661354581</v>
      </c>
      <c r="AK21" s="14" t="n">
        <f aca="false">IF(V21="","",AI21-(V21-1))</f>
        <v>0.202880979414523</v>
      </c>
      <c r="AL21" s="13" t="n">
        <f aca="false">(AF21+AG21)/2</f>
        <v>261</v>
      </c>
      <c r="AM21" s="14" t="n">
        <f aca="false">(B21/1000-AL21)/AL21</f>
        <v>0.026727969348659</v>
      </c>
      <c r="AN21" s="21" t="n">
        <f aca="false">D21/B21</f>
        <v>0.89216944801027</v>
      </c>
      <c r="AO21" s="21" t="n">
        <f aca="false">F21/B21</f>
        <v>0.179366808967967</v>
      </c>
      <c r="AP21" s="21" t="n">
        <f aca="false">H21/B21</f>
        <v>0.47687479475774</v>
      </c>
      <c r="AQ21" s="21" t="n">
        <f aca="false">J21/B21</f>
        <v>0.0856718512105562</v>
      </c>
      <c r="AR21" s="21" t="n">
        <f aca="false">L21/B21</f>
        <v>0.150255993074007</v>
      </c>
      <c r="AS21" s="25" t="n">
        <f aca="false">IF(L21&lt;=0,"n/m",P21/L21)</f>
        <v>1.80561281509996</v>
      </c>
      <c r="AT21" s="21" t="n">
        <f aca="false">N21/B21</f>
        <v>0.114446816132788</v>
      </c>
      <c r="AU21" s="29" t="n">
        <f aca="false">X21-X20</f>
        <v>294</v>
      </c>
    </row>
    <row r="22" customFormat="false" ht="15" hidden="false" customHeight="false" outlineLevel="0" collapsed="false">
      <c r="A22" s="11" t="s">
        <v>137</v>
      </c>
      <c r="B22" s="28" t="n">
        <v>282250</v>
      </c>
      <c r="C22" s="12" t="s">
        <v>585</v>
      </c>
      <c r="D22" s="28" t="n">
        <v>254579</v>
      </c>
      <c r="E22" s="12" t="s">
        <v>586</v>
      </c>
      <c r="F22" s="28" t="n">
        <v>53844</v>
      </c>
      <c r="G22" s="12" t="s">
        <v>587</v>
      </c>
      <c r="H22" s="28" t="n">
        <v>135882</v>
      </c>
      <c r="I22" s="12" t="s">
        <v>588</v>
      </c>
      <c r="J22" s="28" t="n">
        <v>24099</v>
      </c>
      <c r="K22" s="12" t="s">
        <v>589</v>
      </c>
      <c r="L22" s="28" t="n">
        <v>40754</v>
      </c>
      <c r="M22" s="12" t="s">
        <v>590</v>
      </c>
      <c r="N22" s="28" t="n">
        <v>30958</v>
      </c>
      <c r="O22" s="12" t="s">
        <v>591</v>
      </c>
      <c r="P22" s="28" t="n">
        <v>109532</v>
      </c>
      <c r="Q22" s="12" t="s">
        <v>592</v>
      </c>
      <c r="R22" s="28" t="n">
        <v>1527605</v>
      </c>
      <c r="S22" s="12" t="s">
        <v>593</v>
      </c>
      <c r="T22" s="28" t="n">
        <v>60730</v>
      </c>
      <c r="U22" s="12" t="s">
        <v>594</v>
      </c>
      <c r="V22" s="22" t="n">
        <v>1.12</v>
      </c>
      <c r="W22" s="12" t="s">
        <v>595</v>
      </c>
      <c r="X22" s="30" t="n">
        <v>3444</v>
      </c>
      <c r="Y22" s="12" t="s">
        <v>596</v>
      </c>
      <c r="Z22" s="30" t="n">
        <v>1328</v>
      </c>
      <c r="AA22" s="12" t="s">
        <v>597</v>
      </c>
      <c r="AB22" s="19" t="n">
        <v>660</v>
      </c>
      <c r="AC22" s="12" t="s">
        <v>598</v>
      </c>
      <c r="AD22" s="19" t="n">
        <v>568</v>
      </c>
      <c r="AE22" s="12" t="s">
        <v>599</v>
      </c>
      <c r="AF22" s="19" t="n">
        <v>274</v>
      </c>
      <c r="AG22" s="19" t="n">
        <v>276</v>
      </c>
      <c r="AH22" s="12" t="s">
        <v>600</v>
      </c>
      <c r="AI22" s="21" t="n">
        <f aca="false">B22/B18-1</f>
        <v>0.301212928685694</v>
      </c>
      <c r="AJ22" s="14" t="n">
        <f aca="false">B22/B21-1</f>
        <v>0.0532659641161894</v>
      </c>
      <c r="AK22" s="14" t="n">
        <f aca="false">IF(V22="","",AI22-(V22-1))</f>
        <v>0.181212928685694</v>
      </c>
      <c r="AL22" s="13" t="n">
        <f aca="false">(AF22+AG22)/2</f>
        <v>275</v>
      </c>
      <c r="AM22" s="14" t="n">
        <f aca="false">(B22/1000-AL22)/AL22</f>
        <v>0.0263636363636364</v>
      </c>
      <c r="AN22" s="21" t="n">
        <f aca="false">D22/B22</f>
        <v>0.901962798937113</v>
      </c>
      <c r="AO22" s="21" t="n">
        <f aca="false">F22/B22</f>
        <v>0.190767050487157</v>
      </c>
      <c r="AP22" s="21" t="n">
        <f aca="false">H22/B22</f>
        <v>0.481424269264836</v>
      </c>
      <c r="AQ22" s="21" t="n">
        <f aca="false">J22/B22</f>
        <v>0.0853817537643933</v>
      </c>
      <c r="AR22" s="21" t="n">
        <f aca="false">L22/B22</f>
        <v>0.144389725420726</v>
      </c>
      <c r="AS22" s="25" t="n">
        <f aca="false">IF(L22&lt;=0,"n/m",P22/L22)</f>
        <v>2.68763802326152</v>
      </c>
      <c r="AT22" s="21" t="n">
        <f aca="false">N22/B22</f>
        <v>0.109682905225864</v>
      </c>
      <c r="AU22" s="29" t="n">
        <f aca="false">X22-X21</f>
        <v>243</v>
      </c>
    </row>
    <row r="23" customFormat="false" ht="15" hidden="false" customHeight="false" outlineLevel="0" collapsed="false">
      <c r="A23" s="11" t="s">
        <v>141</v>
      </c>
      <c r="B23" s="28" t="n">
        <v>299014</v>
      </c>
      <c r="C23" s="12" t="s">
        <v>601</v>
      </c>
      <c r="D23" s="28" t="n">
        <v>270113</v>
      </c>
      <c r="E23" s="12" t="s">
        <v>602</v>
      </c>
      <c r="F23" s="28" t="n">
        <v>59233</v>
      </c>
      <c r="G23" s="12" t="s">
        <v>603</v>
      </c>
      <c r="H23" s="28" t="n">
        <v>139223</v>
      </c>
      <c r="I23" s="12" t="s">
        <v>604</v>
      </c>
      <c r="J23" s="28" t="n">
        <v>26563</v>
      </c>
      <c r="K23" s="12" t="s">
        <v>605</v>
      </c>
      <c r="L23" s="28" t="n">
        <v>45094</v>
      </c>
      <c r="M23" s="12" t="s">
        <v>606</v>
      </c>
      <c r="N23" s="28" t="n">
        <v>56645</v>
      </c>
      <c r="O23" s="12" t="s">
        <v>607</v>
      </c>
      <c r="P23" s="28" t="n">
        <v>64093</v>
      </c>
      <c r="Q23" s="12" t="s">
        <v>608</v>
      </c>
      <c r="R23" s="28" t="n">
        <v>1590515</v>
      </c>
      <c r="S23" s="12" t="s">
        <v>609</v>
      </c>
      <c r="T23" s="28" t="n">
        <v>60102</v>
      </c>
      <c r="U23" s="12" t="s">
        <v>610</v>
      </c>
      <c r="V23" s="22" t="n">
        <v>1.11</v>
      </c>
      <c r="W23" s="12" t="s">
        <v>611</v>
      </c>
      <c r="X23" s="30" t="n">
        <v>3702</v>
      </c>
      <c r="Y23" s="12" t="s">
        <v>612</v>
      </c>
      <c r="Z23" s="30" t="n">
        <v>1472</v>
      </c>
      <c r="AA23" s="12" t="s">
        <v>613</v>
      </c>
      <c r="AB23" s="19" t="n">
        <v>699</v>
      </c>
      <c r="AC23" s="12" t="s">
        <v>614</v>
      </c>
      <c r="AD23" s="19" t="n">
        <v>588</v>
      </c>
      <c r="AE23" s="12" t="s">
        <v>615</v>
      </c>
      <c r="AF23" s="19" t="n">
        <v>292</v>
      </c>
      <c r="AG23" s="19" t="n">
        <v>294</v>
      </c>
      <c r="AH23" s="12" t="s">
        <v>616</v>
      </c>
      <c r="AI23" s="21" t="n">
        <f aca="false">B23/B19-1</f>
        <v>0.266439649987717</v>
      </c>
      <c r="AJ23" s="14" t="n">
        <f aca="false">B23/B22-1</f>
        <v>0.0593941541186891</v>
      </c>
      <c r="AK23" s="14" t="n">
        <f aca="false">IF(V23="","",AI23-(V23-1))</f>
        <v>0.156439649987717</v>
      </c>
      <c r="AL23" s="13" t="n">
        <f aca="false">(AF23+AG23)/2</f>
        <v>293</v>
      </c>
      <c r="AM23" s="14" t="n">
        <f aca="false">(B23/1000-AL23)/AL23</f>
        <v>0.0205255972696246</v>
      </c>
      <c r="AN23" s="21" t="n">
        <f aca="false">D23/B23</f>
        <v>0.903345662744888</v>
      </c>
      <c r="AO23" s="21" t="n">
        <f aca="false">F23/B23</f>
        <v>0.19809440360652</v>
      </c>
      <c r="AP23" s="21" t="n">
        <f aca="false">H23/B23</f>
        <v>0.465606961546951</v>
      </c>
      <c r="AQ23" s="21" t="n">
        <f aca="false">J23/B23</f>
        <v>0.0888353053703171</v>
      </c>
      <c r="AR23" s="21" t="n">
        <f aca="false">L23/B23</f>
        <v>0.1508089922211</v>
      </c>
      <c r="AS23" s="25" t="n">
        <f aca="false">IF(L23&lt;=0,"n/m",P23/L23)</f>
        <v>1.42131990952233</v>
      </c>
      <c r="AT23" s="21" t="n">
        <f aca="false">N23/B23</f>
        <v>0.189439290468005</v>
      </c>
      <c r="AU23" s="29" t="n">
        <f aca="false">X23-X22</f>
        <v>258</v>
      </c>
    </row>
    <row r="24" customFormat="false" ht="15" hidden="false" customHeight="false" outlineLevel="0" collapsed="false">
      <c r="A24" s="11" t="s">
        <v>145</v>
      </c>
      <c r="B24" s="28" t="n">
        <v>316855</v>
      </c>
      <c r="C24" s="12" t="s">
        <v>617</v>
      </c>
      <c r="D24" s="28" t="n">
        <v>284031</v>
      </c>
      <c r="E24" s="12" t="s">
        <v>618</v>
      </c>
      <c r="F24" s="28" t="n">
        <v>57772</v>
      </c>
      <c r="G24" s="12" t="s">
        <v>619</v>
      </c>
      <c r="H24" s="28" t="n">
        <v>151804</v>
      </c>
      <c r="I24" s="12" t="s">
        <v>620</v>
      </c>
      <c r="J24" s="28" t="n">
        <v>26971</v>
      </c>
      <c r="K24" s="12" t="s">
        <v>621</v>
      </c>
      <c r="L24" s="28" t="n">
        <v>47484</v>
      </c>
      <c r="M24" s="12" t="s">
        <v>622</v>
      </c>
      <c r="N24" s="28" t="n">
        <v>49862</v>
      </c>
      <c r="O24" s="12" t="s">
        <v>623</v>
      </c>
      <c r="P24" s="28" t="n">
        <v>92301</v>
      </c>
      <c r="Q24" s="12" t="s">
        <v>624</v>
      </c>
      <c r="R24" s="28" t="n">
        <v>1527246</v>
      </c>
      <c r="S24" s="12" t="s">
        <v>625</v>
      </c>
      <c r="T24" s="28" t="n">
        <v>211740</v>
      </c>
      <c r="U24" s="12" t="s">
        <v>626</v>
      </c>
      <c r="V24" s="22" t="n">
        <v>1.11</v>
      </c>
      <c r="W24" s="12" t="s">
        <v>627</v>
      </c>
      <c r="X24" s="30" t="n">
        <v>3993</v>
      </c>
      <c r="Y24" s="12" t="s">
        <v>628</v>
      </c>
      <c r="Z24" s="30" t="n">
        <v>1603</v>
      </c>
      <c r="AA24" s="12" t="s">
        <v>629</v>
      </c>
      <c r="AB24" s="19" t="n">
        <v>747</v>
      </c>
      <c r="AC24" s="12" t="s">
        <v>630</v>
      </c>
      <c r="AF24" s="19" t="n">
        <v>311</v>
      </c>
      <c r="AG24" s="19" t="n">
        <v>313</v>
      </c>
      <c r="AH24" s="12" t="s">
        <v>631</v>
      </c>
      <c r="AI24" s="21" t="n">
        <f aca="false">B24/B20-1</f>
        <v>0.262370517928287</v>
      </c>
      <c r="AJ24" s="14" t="n">
        <f aca="false">B24/B23-1</f>
        <v>0.0596661025905141</v>
      </c>
      <c r="AK24" s="14" t="n">
        <f aca="false">IF(V24="","",AI24-(V24-1))</f>
        <v>0.152370517928287</v>
      </c>
      <c r="AL24" s="13" t="n">
        <f aca="false">(AF24+AG24)/2</f>
        <v>312</v>
      </c>
      <c r="AM24" s="14" t="n">
        <f aca="false">(B24/1000-AL24)/AL24</f>
        <v>0.0155608974358975</v>
      </c>
      <c r="AN24" s="21" t="n">
        <f aca="false">D24/B24</f>
        <v>0.896406873806631</v>
      </c>
      <c r="AO24" s="21" t="n">
        <f aca="false">F24/B24</f>
        <v>0.182329456691547</v>
      </c>
      <c r="AP24" s="21" t="n">
        <f aca="false">H24/B24</f>
        <v>0.479096116520175</v>
      </c>
      <c r="AQ24" s="21" t="n">
        <f aca="false">J24/B24</f>
        <v>0.0851209543797636</v>
      </c>
      <c r="AR24" s="21" t="n">
        <f aca="false">L24/B24</f>
        <v>0.149860346215146</v>
      </c>
      <c r="AS24" s="25" t="n">
        <f aca="false">IF(L24&lt;=0,"n/m",P24/L24)</f>
        <v>1.94383371240839</v>
      </c>
      <c r="AT24" s="21" t="n">
        <f aca="false">N24/B24</f>
        <v>0.157365356393303</v>
      </c>
      <c r="AU24" s="29" t="n">
        <f aca="false">X24-X23</f>
        <v>291</v>
      </c>
    </row>
    <row r="25" customFormat="false" ht="15" hidden="false" customHeight="false" outlineLevel="0" collapsed="false">
      <c r="A25" s="11" t="s">
        <v>149</v>
      </c>
      <c r="B25" s="28" t="n">
        <v>333878</v>
      </c>
      <c r="C25" s="12" t="s">
        <v>632</v>
      </c>
      <c r="D25" s="28" t="n">
        <v>298736</v>
      </c>
      <c r="E25" s="12" t="s">
        <v>633</v>
      </c>
      <c r="F25" s="28" t="n">
        <v>67700</v>
      </c>
      <c r="G25" s="12" t="s">
        <v>634</v>
      </c>
      <c r="H25" s="28" t="n">
        <v>159858</v>
      </c>
      <c r="I25" s="12" t="s">
        <v>635</v>
      </c>
      <c r="J25" s="28" t="n">
        <v>29247</v>
      </c>
      <c r="K25" s="12" t="s">
        <v>636</v>
      </c>
      <c r="L25" s="28" t="n">
        <v>41931</v>
      </c>
      <c r="M25" s="12" t="s">
        <v>637</v>
      </c>
      <c r="N25" s="28" t="n">
        <v>39546</v>
      </c>
      <c r="O25" s="12" t="s">
        <v>638</v>
      </c>
      <c r="P25" s="28" t="n">
        <v>56734</v>
      </c>
      <c r="Q25" s="12" t="s">
        <v>639</v>
      </c>
      <c r="R25" s="28" t="n">
        <v>1503149</v>
      </c>
      <c r="S25" s="12" t="s">
        <v>640</v>
      </c>
      <c r="T25" s="28" t="n">
        <v>162308</v>
      </c>
      <c r="U25" s="12" t="s">
        <v>641</v>
      </c>
      <c r="V25" s="22" t="n">
        <v>1.1</v>
      </c>
      <c r="W25" s="12" t="s">
        <v>642</v>
      </c>
      <c r="X25" s="30" t="n">
        <v>4281</v>
      </c>
      <c r="Y25" s="12" t="s">
        <v>643</v>
      </c>
      <c r="Z25" s="30" t="n">
        <v>1756</v>
      </c>
      <c r="AA25" s="12" t="s">
        <v>644</v>
      </c>
      <c r="AB25" s="19" t="n">
        <v>839</v>
      </c>
      <c r="AC25" s="12" t="s">
        <v>645</v>
      </c>
      <c r="AD25" s="19" t="n">
        <v>676</v>
      </c>
      <c r="AE25" s="12" t="s">
        <v>646</v>
      </c>
      <c r="AF25" s="19" t="n">
        <v>328</v>
      </c>
      <c r="AG25" s="19" t="n">
        <v>330</v>
      </c>
      <c r="AH25" s="12" t="s">
        <v>647</v>
      </c>
      <c r="AI25" s="21" t="n">
        <f aca="false">B25/B21-1</f>
        <v>0.24592500820969</v>
      </c>
      <c r="AJ25" s="14" t="n">
        <f aca="false">B25/B24-1</f>
        <v>0.0537248899338814</v>
      </c>
      <c r="AK25" s="14" t="n">
        <f aca="false">IF(V25="","",AI25-(V25-1))</f>
        <v>0.14592500820969</v>
      </c>
      <c r="AL25" s="13" t="n">
        <f aca="false">(AF25+AG25)/2</f>
        <v>329</v>
      </c>
      <c r="AM25" s="14" t="n">
        <f aca="false">(B25/1000-AL25)/AL25</f>
        <v>0.0148267477203647</v>
      </c>
      <c r="AN25" s="21" t="n">
        <f aca="false">D25/B25</f>
        <v>0.894745985060411</v>
      </c>
      <c r="AO25" s="21" t="n">
        <f aca="false">F25/B25</f>
        <v>0.202768675983443</v>
      </c>
      <c r="AP25" s="21" t="n">
        <f aca="false">H25/B25</f>
        <v>0.478791654436651</v>
      </c>
      <c r="AQ25" s="21" t="n">
        <f aca="false">J25/B25</f>
        <v>0.0875978650884455</v>
      </c>
      <c r="AR25" s="21" t="n">
        <f aca="false">L25/B25</f>
        <v>0.125587789551872</v>
      </c>
      <c r="AS25" s="25" t="n">
        <f aca="false">IF(L25&lt;=0,"n/m",P25/L25)</f>
        <v>1.35303236269109</v>
      </c>
      <c r="AT25" s="21" t="n">
        <f aca="false">N25/B25</f>
        <v>0.118444461749501</v>
      </c>
      <c r="AU25" s="29" t="n">
        <f aca="false">X25-X24</f>
        <v>288</v>
      </c>
    </row>
    <row r="26" customFormat="false" ht="15" hidden="false" customHeight="false" outlineLevel="0" collapsed="false">
      <c r="A26" s="11" t="s">
        <v>153</v>
      </c>
      <c r="B26" s="28" t="n">
        <v>351265</v>
      </c>
      <c r="C26" s="12" t="s">
        <v>648</v>
      </c>
      <c r="D26" s="28" t="n">
        <v>314190</v>
      </c>
      <c r="E26" s="12" t="s">
        <v>649</v>
      </c>
      <c r="F26" s="28" t="n">
        <v>78413</v>
      </c>
      <c r="G26" s="12" t="s">
        <v>650</v>
      </c>
      <c r="H26" s="28" t="n">
        <v>158181</v>
      </c>
      <c r="I26" s="12" t="s">
        <v>651</v>
      </c>
      <c r="J26" s="28" t="n">
        <v>28559</v>
      </c>
      <c r="K26" s="12" t="s">
        <v>652</v>
      </c>
      <c r="L26" s="28" t="n">
        <v>49037</v>
      </c>
      <c r="M26" s="12" t="s">
        <v>653</v>
      </c>
      <c r="N26" s="28" t="n">
        <v>29283</v>
      </c>
      <c r="O26" s="12" t="s">
        <v>654</v>
      </c>
      <c r="P26" s="28" t="n">
        <v>102778</v>
      </c>
      <c r="Q26" s="12" t="s">
        <v>655</v>
      </c>
      <c r="R26" s="28" t="n">
        <v>997135</v>
      </c>
      <c r="S26" s="12" t="s">
        <v>656</v>
      </c>
      <c r="T26" s="28" t="n">
        <v>215141</v>
      </c>
      <c r="U26" s="12" t="s">
        <v>657</v>
      </c>
      <c r="V26" s="22" t="n">
        <v>1.1</v>
      </c>
      <c r="W26" s="12" t="s">
        <v>658</v>
      </c>
      <c r="X26" s="30" t="n">
        <v>4547</v>
      </c>
      <c r="Y26" s="12" t="s">
        <v>659</v>
      </c>
      <c r="Z26" s="30" t="n">
        <v>1844</v>
      </c>
      <c r="AA26" s="12" t="s">
        <v>660</v>
      </c>
      <c r="AB26" s="19" t="n">
        <v>880</v>
      </c>
      <c r="AC26" s="12" t="s">
        <v>661</v>
      </c>
      <c r="AD26" s="19" t="n">
        <v>716</v>
      </c>
      <c r="AE26" s="12" t="s">
        <v>662</v>
      </c>
      <c r="AF26" s="19" t="n">
        <v>338</v>
      </c>
      <c r="AG26" s="19" t="n">
        <v>340</v>
      </c>
      <c r="AH26" s="12" t="s">
        <v>663</v>
      </c>
      <c r="AI26" s="21" t="n">
        <f aca="false">B26/B22-1</f>
        <v>0.244517271922055</v>
      </c>
      <c r="AJ26" s="14" t="n">
        <f aca="false">B26/B25-1</f>
        <v>0.0520759079663828</v>
      </c>
      <c r="AK26" s="14" t="n">
        <f aca="false">IF(V26="","",AI26-(V26-1))</f>
        <v>0.144517271922055</v>
      </c>
      <c r="AL26" s="13" t="n">
        <f aca="false">(AF26+AG26)/2</f>
        <v>339</v>
      </c>
      <c r="AM26" s="14" t="n">
        <f aca="false">(B26/1000-AL26)/AL26</f>
        <v>0.0361799410029498</v>
      </c>
      <c r="AN26" s="21" t="n">
        <f aca="false">D26/B26</f>
        <v>0.894452905925726</v>
      </c>
      <c r="AO26" s="21" t="n">
        <f aca="false">F26/B26</f>
        <v>0.223230324683643</v>
      </c>
      <c r="AP26" s="21" t="n">
        <f aca="false">H26/B26</f>
        <v>0.450318135880318</v>
      </c>
      <c r="AQ26" s="21" t="n">
        <f aca="false">J26/B26</f>
        <v>0.0813032895392368</v>
      </c>
      <c r="AR26" s="21" t="n">
        <f aca="false">L26/B26</f>
        <v>0.139601155822527</v>
      </c>
      <c r="AS26" s="25" t="n">
        <f aca="false">IF(L26&lt;=0,"n/m",P26/L26)</f>
        <v>2.09592756489997</v>
      </c>
      <c r="AT26" s="21" t="n">
        <f aca="false">N26/B26</f>
        <v>0.0833644114842071</v>
      </c>
      <c r="AU26" s="29" t="n">
        <f aca="false">X26-X25</f>
        <v>266</v>
      </c>
    </row>
    <row r="27" customFormat="false" ht="15" hidden="false" customHeight="false" outlineLevel="0" collapsed="false">
      <c r="A27" s="11" t="s">
        <v>157</v>
      </c>
      <c r="B27" s="28" t="n">
        <v>364621</v>
      </c>
      <c r="C27" s="12" t="s">
        <v>213</v>
      </c>
      <c r="D27" s="28" t="n">
        <v>324222</v>
      </c>
      <c r="E27" s="12" t="s">
        <v>252</v>
      </c>
      <c r="F27" s="28" t="n">
        <v>83003</v>
      </c>
      <c r="G27" s="12" t="s">
        <v>263</v>
      </c>
      <c r="H27" s="28" t="n">
        <v>149444</v>
      </c>
      <c r="I27" s="12" t="s">
        <v>275</v>
      </c>
      <c r="J27" s="28" t="n">
        <v>30665</v>
      </c>
      <c r="K27" s="12" t="s">
        <v>281</v>
      </c>
      <c r="L27" s="28" t="n">
        <v>61110</v>
      </c>
      <c r="M27" s="12" t="s">
        <v>286</v>
      </c>
      <c r="N27" s="28" t="n">
        <v>41218</v>
      </c>
      <c r="O27" s="12" t="s">
        <v>314</v>
      </c>
      <c r="P27" s="28" t="n">
        <v>52344</v>
      </c>
      <c r="Q27" s="12" t="s">
        <v>295</v>
      </c>
      <c r="R27" s="28" t="n">
        <v>853402</v>
      </c>
      <c r="S27" s="12" t="s">
        <v>664</v>
      </c>
      <c r="T27" s="28" t="n">
        <v>219353</v>
      </c>
      <c r="U27" s="12" t="s">
        <v>665</v>
      </c>
      <c r="V27" s="22" t="n">
        <v>1.09</v>
      </c>
      <c r="W27" s="12" t="s">
        <v>229</v>
      </c>
      <c r="X27" s="30" t="n">
        <v>4834</v>
      </c>
      <c r="Y27" s="12" t="s">
        <v>241</v>
      </c>
      <c r="Z27" s="30" t="n">
        <v>2019</v>
      </c>
      <c r="AA27" s="12" t="s">
        <v>666</v>
      </c>
      <c r="AB27" s="19" t="n">
        <v>937</v>
      </c>
      <c r="AC27" s="12" t="s">
        <v>667</v>
      </c>
      <c r="AD27" s="19" t="n">
        <v>750</v>
      </c>
      <c r="AE27" s="12" t="s">
        <v>668</v>
      </c>
      <c r="AF27" s="19" t="n">
        <v>354</v>
      </c>
      <c r="AG27" s="19" t="n">
        <v>356</v>
      </c>
      <c r="AH27" s="12" t="s">
        <v>669</v>
      </c>
      <c r="AI27" s="21" t="n">
        <f aca="false">B27/B23-1</f>
        <v>0.21941113125138</v>
      </c>
      <c r="AJ27" s="14" t="n">
        <f aca="false">B27/B26-1</f>
        <v>0.0380225755483752</v>
      </c>
      <c r="AK27" s="14" t="n">
        <f aca="false">IF(V27="","",AI27-(V27-1))</f>
        <v>0.129411131251379</v>
      </c>
      <c r="AL27" s="13" t="n">
        <f aca="false">(AF27+AG27)/2</f>
        <v>355</v>
      </c>
      <c r="AM27" s="14" t="n">
        <f aca="false">(B27/1000-AL27)/AL27</f>
        <v>0.0271014084507042</v>
      </c>
      <c r="AN27" s="21" t="n">
        <f aca="false">D27/B27</f>
        <v>0.889202761223298</v>
      </c>
      <c r="AO27" s="21" t="n">
        <f aca="false">F27/B27</f>
        <v>0.227641852773154</v>
      </c>
      <c r="AP27" s="21" t="n">
        <f aca="false">H27/B27</f>
        <v>0.409861198340194</v>
      </c>
      <c r="AQ27" s="21" t="n">
        <f aca="false">J27/B27</f>
        <v>0.0841010254483423</v>
      </c>
      <c r="AR27" s="21" t="n">
        <f aca="false">L27/B27</f>
        <v>0.167598684661608</v>
      </c>
      <c r="AS27" s="25" t="n">
        <f aca="false">IF(L27&lt;=0,"n/m",P27/L27)</f>
        <v>0.856553755522828</v>
      </c>
      <c r="AT27" s="21" t="n">
        <f aca="false">N27/B27</f>
        <v>0.113043406715466</v>
      </c>
      <c r="AU27" s="29" t="n">
        <f aca="false">X27-X26</f>
        <v>287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2"/>
    <col collapsed="false" customWidth="true" hidden="false" outlineLevel="0" max="3" min="3" style="0" width="24"/>
    <col collapsed="false" customWidth="true" hidden="false" outlineLevel="0" max="4" min="4" style="0" width="36"/>
    <col collapsed="false" customWidth="true" hidden="false" outlineLevel="0" max="6" min="5" style="0" width="16"/>
    <col collapsed="false" customWidth="true" hidden="false" outlineLevel="0" max="7" min="7" style="0" width="12"/>
    <col collapsed="false" customWidth="true" hidden="false" outlineLevel="0" max="8" min="8" style="0" width="9"/>
  </cols>
  <sheetData>
    <row r="1" customFormat="false" ht="16.15" hidden="false" customHeight="false" outlineLevel="0" collapsed="false">
      <c r="A1" s="4" t="s">
        <v>670</v>
      </c>
    </row>
    <row r="3" customFormat="false" ht="15" hidden="false" customHeight="false" outlineLevel="0" collapsed="false">
      <c r="A3" s="31" t="s">
        <v>671</v>
      </c>
      <c r="B3" s="31" t="s">
        <v>672</v>
      </c>
      <c r="C3" s="31" t="s">
        <v>673</v>
      </c>
      <c r="D3" s="31" t="s">
        <v>674</v>
      </c>
      <c r="E3" s="31" t="s">
        <v>675</v>
      </c>
      <c r="F3" s="31" t="s">
        <v>676</v>
      </c>
      <c r="G3" s="31" t="s">
        <v>677</v>
      </c>
      <c r="H3" s="31" t="s">
        <v>678</v>
      </c>
    </row>
    <row r="4" customFormat="false" ht="15" hidden="false" customHeight="false" outlineLevel="0" collapsed="false">
      <c r="A4" s="11" t="s">
        <v>679</v>
      </c>
      <c r="B4" s="11" t="s">
        <v>680</v>
      </c>
      <c r="C4" s="11" t="s">
        <v>681</v>
      </c>
      <c r="D4" s="11" t="s">
        <v>379</v>
      </c>
      <c r="E4" s="32" t="n">
        <f aca="false">Series!B6</f>
        <v>58972</v>
      </c>
      <c r="F4" s="33" t="n">
        <v>58972</v>
      </c>
      <c r="G4" s="11" t="n">
        <f aca="false">E4-F4</f>
        <v>0</v>
      </c>
      <c r="H4" s="11" t="str">
        <f aca="false">IF(ABS(G4)&lt;=0.000001,"PASS","FAIL")</f>
        <v>PASS</v>
      </c>
    </row>
    <row r="5" customFormat="false" ht="15" hidden="false" customHeight="false" outlineLevel="0" collapsed="false">
      <c r="A5" s="11" t="s">
        <v>682</v>
      </c>
      <c r="B5" s="11" t="s">
        <v>680</v>
      </c>
      <c r="C5" s="11" t="s">
        <v>683</v>
      </c>
      <c r="D5" s="11" t="s">
        <v>390</v>
      </c>
      <c r="E5" s="32" t="n">
        <f aca="false">Series!B7</f>
        <v>70615</v>
      </c>
      <c r="F5" s="33" t="n">
        <v>70615</v>
      </c>
      <c r="G5" s="11" t="n">
        <f aca="false">E5-F5</f>
        <v>0</v>
      </c>
      <c r="H5" s="11" t="str">
        <f aca="false">IF(ABS(G5)&lt;=0.000001,"PASS","FAIL")</f>
        <v>PASS</v>
      </c>
    </row>
    <row r="6" customFormat="false" ht="15" hidden="false" customHeight="false" outlineLevel="0" collapsed="false">
      <c r="A6" s="11" t="s">
        <v>684</v>
      </c>
      <c r="B6" s="11" t="s">
        <v>680</v>
      </c>
      <c r="C6" s="11" t="s">
        <v>685</v>
      </c>
      <c r="D6" s="11" t="s">
        <v>401</v>
      </c>
      <c r="E6" s="32" t="n">
        <f aca="false">Series!B8</f>
        <v>83018</v>
      </c>
      <c r="F6" s="33" t="n">
        <v>83018</v>
      </c>
      <c r="G6" s="11" t="n">
        <f aca="false">E6-F6</f>
        <v>0</v>
      </c>
      <c r="H6" s="11" t="str">
        <f aca="false">IF(ABS(G6)&lt;=0.000001,"PASS","FAIL")</f>
        <v>PASS</v>
      </c>
    </row>
    <row r="7" customFormat="false" ht="15" hidden="false" customHeight="false" outlineLevel="0" collapsed="false">
      <c r="A7" s="11" t="s">
        <v>686</v>
      </c>
      <c r="B7" s="11" t="s">
        <v>680</v>
      </c>
      <c r="C7" s="11" t="s">
        <v>687</v>
      </c>
      <c r="D7" s="11" t="s">
        <v>413</v>
      </c>
      <c r="E7" s="32" t="n">
        <f aca="false">Series!B9</f>
        <v>95545</v>
      </c>
      <c r="F7" s="33" t="n">
        <v>95545</v>
      </c>
      <c r="G7" s="11" t="n">
        <f aca="false">E7-F7</f>
        <v>0</v>
      </c>
      <c r="H7" s="11" t="str">
        <f aca="false">IF(ABS(G7)&lt;=0.000001,"PASS","FAIL")</f>
        <v>PASS</v>
      </c>
    </row>
    <row r="8" customFormat="false" ht="15" hidden="false" customHeight="false" outlineLevel="0" collapsed="false">
      <c r="A8" s="11" t="s">
        <v>688</v>
      </c>
      <c r="B8" s="11" t="s">
        <v>680</v>
      </c>
      <c r="C8" s="11" t="s">
        <v>689</v>
      </c>
      <c r="D8" s="11" t="s">
        <v>425</v>
      </c>
      <c r="E8" s="32" t="n">
        <f aca="false">Series!B10</f>
        <v>108497</v>
      </c>
      <c r="F8" s="33" t="n">
        <v>108497</v>
      </c>
      <c r="G8" s="11" t="n">
        <f aca="false">E8-F8</f>
        <v>0</v>
      </c>
      <c r="H8" s="11" t="str">
        <f aca="false">IF(ABS(G8)&lt;=0.000001,"PASS","FAIL")</f>
        <v>PASS</v>
      </c>
    </row>
    <row r="9" customFormat="false" ht="15" hidden="false" customHeight="false" outlineLevel="0" collapsed="false">
      <c r="A9" s="11" t="s">
        <v>690</v>
      </c>
      <c r="B9" s="11" t="s">
        <v>680</v>
      </c>
      <c r="C9" s="11" t="s">
        <v>691</v>
      </c>
      <c r="D9" s="11" t="s">
        <v>437</v>
      </c>
      <c r="E9" s="32" t="n">
        <f aca="false">Series!B11</f>
        <v>123718</v>
      </c>
      <c r="F9" s="33" t="n">
        <v>123718</v>
      </c>
      <c r="G9" s="11" t="n">
        <f aca="false">E9-F9</f>
        <v>0</v>
      </c>
      <c r="H9" s="11" t="str">
        <f aca="false">IF(ABS(G9)&lt;=0.000001,"PASS","FAIL")</f>
        <v>PASS</v>
      </c>
    </row>
    <row r="10" customFormat="false" ht="15" hidden="false" customHeight="false" outlineLevel="0" collapsed="false">
      <c r="A10" s="11" t="s">
        <v>692</v>
      </c>
      <c r="B10" s="11" t="s">
        <v>680</v>
      </c>
      <c r="C10" s="11" t="s">
        <v>693</v>
      </c>
      <c r="D10" s="11" t="s">
        <v>449</v>
      </c>
      <c r="E10" s="32" t="n">
        <f aca="false">Series!B12</f>
        <v>136893</v>
      </c>
      <c r="F10" s="33" t="n">
        <v>136893</v>
      </c>
      <c r="G10" s="11" t="n">
        <f aca="false">E10-F10</f>
        <v>0</v>
      </c>
      <c r="H10" s="11" t="str">
        <f aca="false">IF(ABS(G10)&lt;=0.000001,"PASS","FAIL")</f>
        <v>PASS</v>
      </c>
    </row>
    <row r="11" customFormat="false" ht="15" hidden="false" customHeight="false" outlineLevel="0" collapsed="false">
      <c r="A11" s="11" t="s">
        <v>694</v>
      </c>
      <c r="B11" s="11" t="s">
        <v>680</v>
      </c>
      <c r="C11" s="11" t="s">
        <v>695</v>
      </c>
      <c r="D11" s="11" t="s">
        <v>461</v>
      </c>
      <c r="E11" s="32" t="n">
        <f aca="false">Series!B13</f>
        <v>149921</v>
      </c>
      <c r="F11" s="33" t="n">
        <v>149921</v>
      </c>
      <c r="G11" s="11" t="n">
        <f aca="false">E11-F11</f>
        <v>0</v>
      </c>
      <c r="H11" s="11" t="str">
        <f aca="false">IF(ABS(G11)&lt;=0.000001,"PASS","FAIL")</f>
        <v>PASS</v>
      </c>
    </row>
    <row r="12" customFormat="false" ht="15" hidden="false" customHeight="false" outlineLevel="0" collapsed="false">
      <c r="A12" s="11" t="s">
        <v>696</v>
      </c>
      <c r="B12" s="11" t="s">
        <v>680</v>
      </c>
      <c r="C12" s="11" t="s">
        <v>697</v>
      </c>
      <c r="D12" s="11" t="s">
        <v>474</v>
      </c>
      <c r="E12" s="32" t="n">
        <f aca="false">Series!B14</f>
        <v>162256</v>
      </c>
      <c r="F12" s="33" t="n">
        <v>162256</v>
      </c>
      <c r="G12" s="11" t="n">
        <f aca="false">E12-F12</f>
        <v>0</v>
      </c>
      <c r="H12" s="11" t="str">
        <f aca="false">IF(ABS(G12)&lt;=0.000001,"PASS","FAIL")</f>
        <v>PASS</v>
      </c>
    </row>
    <row r="13" customFormat="false" ht="15" hidden="false" customHeight="false" outlineLevel="0" collapsed="false">
      <c r="A13" s="11" t="s">
        <v>698</v>
      </c>
      <c r="B13" s="11" t="s">
        <v>680</v>
      </c>
      <c r="C13" s="11" t="s">
        <v>699</v>
      </c>
      <c r="D13" s="11" t="s">
        <v>487</v>
      </c>
      <c r="E13" s="32" t="n">
        <f aca="false">Series!B15</f>
        <v>175679</v>
      </c>
      <c r="F13" s="33" t="n">
        <v>175679</v>
      </c>
      <c r="G13" s="11" t="n">
        <f aca="false">E13-F13</f>
        <v>0</v>
      </c>
      <c r="H13" s="11" t="str">
        <f aca="false">IF(ABS(G13)&lt;=0.000001,"PASS","FAIL")</f>
        <v>PASS</v>
      </c>
    </row>
    <row r="14" customFormat="false" ht="15" hidden="false" customHeight="false" outlineLevel="0" collapsed="false">
      <c r="A14" s="11" t="s">
        <v>700</v>
      </c>
      <c r="B14" s="11" t="s">
        <v>680</v>
      </c>
      <c r="C14" s="11" t="s">
        <v>701</v>
      </c>
      <c r="D14" s="11" t="s">
        <v>500</v>
      </c>
      <c r="E14" s="32" t="n">
        <f aca="false">Series!B16</f>
        <v>189190</v>
      </c>
      <c r="F14" s="33" t="n">
        <v>189190</v>
      </c>
      <c r="G14" s="11" t="n">
        <f aca="false">E14-F14</f>
        <v>0</v>
      </c>
      <c r="H14" s="11" t="str">
        <f aca="false">IF(ABS(G14)&lt;=0.000001,"PASS","FAIL")</f>
        <v>PASS</v>
      </c>
    </row>
    <row r="15" customFormat="false" ht="15" hidden="false" customHeight="false" outlineLevel="0" collapsed="false">
      <c r="A15" s="11" t="s">
        <v>702</v>
      </c>
      <c r="B15" s="11" t="s">
        <v>680</v>
      </c>
      <c r="C15" s="11" t="s">
        <v>703</v>
      </c>
      <c r="D15" s="11" t="s">
        <v>513</v>
      </c>
      <c r="E15" s="32" t="n">
        <f aca="false">Series!B17</f>
        <v>202570</v>
      </c>
      <c r="F15" s="33" t="n">
        <v>202570</v>
      </c>
      <c r="G15" s="11" t="n">
        <f aca="false">E15-F15</f>
        <v>0</v>
      </c>
      <c r="H15" s="11" t="str">
        <f aca="false">IF(ABS(G15)&lt;=0.000001,"PASS","FAIL")</f>
        <v>PASS</v>
      </c>
    </row>
    <row r="16" customFormat="false" ht="15" hidden="false" customHeight="false" outlineLevel="0" collapsed="false">
      <c r="A16" s="11" t="s">
        <v>704</v>
      </c>
      <c r="B16" s="11" t="s">
        <v>680</v>
      </c>
      <c r="C16" s="11" t="s">
        <v>705</v>
      </c>
      <c r="D16" s="11" t="s">
        <v>527</v>
      </c>
      <c r="E16" s="32" t="n">
        <f aca="false">Series!B18</f>
        <v>216913</v>
      </c>
      <c r="F16" s="33" t="n">
        <v>216913</v>
      </c>
      <c r="G16" s="11" t="n">
        <f aca="false">E16-F16</f>
        <v>0</v>
      </c>
      <c r="H16" s="11" t="str">
        <f aca="false">IF(ABS(G16)&lt;=0.000001,"PASS","FAIL")</f>
        <v>PASS</v>
      </c>
    </row>
    <row r="17" customFormat="false" ht="15" hidden="false" customHeight="false" outlineLevel="0" collapsed="false">
      <c r="A17" s="11" t="s">
        <v>706</v>
      </c>
      <c r="B17" s="11" t="s">
        <v>680</v>
      </c>
      <c r="C17" s="11" t="s">
        <v>707</v>
      </c>
      <c r="D17" s="11" t="s">
        <v>541</v>
      </c>
      <c r="E17" s="32" t="n">
        <f aca="false">Series!B19</f>
        <v>236106</v>
      </c>
      <c r="F17" s="33" t="n">
        <v>236106</v>
      </c>
      <c r="G17" s="11" t="n">
        <f aca="false">E17-F17</f>
        <v>0</v>
      </c>
      <c r="H17" s="11" t="str">
        <f aca="false">IF(ABS(G17)&lt;=0.000001,"PASS","FAIL")</f>
        <v>PASS</v>
      </c>
    </row>
    <row r="18" customFormat="false" ht="15" hidden="false" customHeight="false" outlineLevel="0" collapsed="false">
      <c r="A18" s="11" t="s">
        <v>708</v>
      </c>
      <c r="B18" s="11" t="s">
        <v>680</v>
      </c>
      <c r="C18" s="11" t="s">
        <v>709</v>
      </c>
      <c r="D18" s="11" t="s">
        <v>554</v>
      </c>
      <c r="E18" s="32" t="n">
        <f aca="false">Series!B20</f>
        <v>251000</v>
      </c>
      <c r="F18" s="33" t="n">
        <v>251000</v>
      </c>
      <c r="G18" s="11" t="n">
        <f aca="false">E18-F18</f>
        <v>0</v>
      </c>
      <c r="H18" s="11" t="str">
        <f aca="false">IF(ABS(G18)&lt;=0.000001,"PASS","FAIL")</f>
        <v>PASS</v>
      </c>
    </row>
    <row r="19" customFormat="false" ht="15" hidden="false" customHeight="false" outlineLevel="0" collapsed="false">
      <c r="A19" s="11" t="s">
        <v>710</v>
      </c>
      <c r="B19" s="11" t="s">
        <v>680</v>
      </c>
      <c r="C19" s="11" t="s">
        <v>711</v>
      </c>
      <c r="D19" s="11" t="s">
        <v>569</v>
      </c>
      <c r="E19" s="32" t="n">
        <f aca="false">Series!B21</f>
        <v>267976</v>
      </c>
      <c r="F19" s="33" t="n">
        <v>267976</v>
      </c>
      <c r="G19" s="11" t="n">
        <f aca="false">E19-F19</f>
        <v>0</v>
      </c>
      <c r="H19" s="11" t="str">
        <f aca="false">IF(ABS(G19)&lt;=0.000001,"PASS","FAIL")</f>
        <v>PASS</v>
      </c>
    </row>
    <row r="20" customFormat="false" ht="15" hidden="false" customHeight="false" outlineLevel="0" collapsed="false">
      <c r="A20" s="11" t="s">
        <v>712</v>
      </c>
      <c r="B20" s="11" t="s">
        <v>680</v>
      </c>
      <c r="C20" s="11" t="s">
        <v>713</v>
      </c>
      <c r="D20" s="11" t="s">
        <v>585</v>
      </c>
      <c r="E20" s="32" t="n">
        <f aca="false">Series!B22</f>
        <v>282250</v>
      </c>
      <c r="F20" s="33" t="n">
        <v>282250</v>
      </c>
      <c r="G20" s="11" t="n">
        <f aca="false">E20-F20</f>
        <v>0</v>
      </c>
      <c r="H20" s="11" t="str">
        <f aca="false">IF(ABS(G20)&lt;=0.000001,"PASS","FAIL")</f>
        <v>PASS</v>
      </c>
    </row>
    <row r="21" customFormat="false" ht="15" hidden="false" customHeight="false" outlineLevel="0" collapsed="false">
      <c r="A21" s="11" t="s">
        <v>714</v>
      </c>
      <c r="B21" s="11" t="s">
        <v>680</v>
      </c>
      <c r="C21" s="11" t="s">
        <v>715</v>
      </c>
      <c r="D21" s="11" t="s">
        <v>601</v>
      </c>
      <c r="E21" s="32" t="n">
        <f aca="false">Series!B23</f>
        <v>299014</v>
      </c>
      <c r="F21" s="33" t="n">
        <v>299014</v>
      </c>
      <c r="G21" s="11" t="n">
        <f aca="false">E21-F21</f>
        <v>0</v>
      </c>
      <c r="H21" s="11" t="str">
        <f aca="false">IF(ABS(G21)&lt;=0.000001,"PASS","FAIL")</f>
        <v>PASS</v>
      </c>
    </row>
    <row r="22" customFormat="false" ht="15" hidden="false" customHeight="false" outlineLevel="0" collapsed="false">
      <c r="A22" s="11" t="s">
        <v>716</v>
      </c>
      <c r="B22" s="11" t="s">
        <v>680</v>
      </c>
      <c r="C22" s="11" t="s">
        <v>717</v>
      </c>
      <c r="D22" s="11" t="s">
        <v>617</v>
      </c>
      <c r="E22" s="32" t="n">
        <f aca="false">Series!B24</f>
        <v>316855</v>
      </c>
      <c r="F22" s="33" t="n">
        <v>316855</v>
      </c>
      <c r="G22" s="11" t="n">
        <f aca="false">E22-F22</f>
        <v>0</v>
      </c>
      <c r="H22" s="11" t="str">
        <f aca="false">IF(ABS(G22)&lt;=0.000001,"PASS","FAIL")</f>
        <v>PASS</v>
      </c>
    </row>
    <row r="23" customFormat="false" ht="15" hidden="false" customHeight="false" outlineLevel="0" collapsed="false">
      <c r="A23" s="11" t="s">
        <v>718</v>
      </c>
      <c r="B23" s="11" t="s">
        <v>680</v>
      </c>
      <c r="C23" s="11" t="s">
        <v>719</v>
      </c>
      <c r="D23" s="11" t="s">
        <v>632</v>
      </c>
      <c r="E23" s="32" t="n">
        <f aca="false">Series!B25</f>
        <v>333878</v>
      </c>
      <c r="F23" s="33" t="n">
        <v>333878</v>
      </c>
      <c r="G23" s="11" t="n">
        <f aca="false">E23-F23</f>
        <v>0</v>
      </c>
      <c r="H23" s="11" t="str">
        <f aca="false">IF(ABS(G23)&lt;=0.000001,"PASS","FAIL")</f>
        <v>PASS</v>
      </c>
    </row>
    <row r="24" customFormat="false" ht="15" hidden="false" customHeight="false" outlineLevel="0" collapsed="false">
      <c r="A24" s="11" t="s">
        <v>720</v>
      </c>
      <c r="B24" s="11" t="s">
        <v>680</v>
      </c>
      <c r="C24" s="11" t="s">
        <v>721</v>
      </c>
      <c r="D24" s="11" t="s">
        <v>648</v>
      </c>
      <c r="E24" s="32" t="n">
        <f aca="false">Series!B26</f>
        <v>351265</v>
      </c>
      <c r="F24" s="33" t="n">
        <v>351265</v>
      </c>
      <c r="G24" s="11" t="n">
        <f aca="false">E24-F24</f>
        <v>0</v>
      </c>
      <c r="H24" s="11" t="str">
        <f aca="false">IF(ABS(G24)&lt;=0.000001,"PASS","FAIL")</f>
        <v>PASS</v>
      </c>
    </row>
    <row r="25" customFormat="false" ht="15" hidden="false" customHeight="false" outlineLevel="0" collapsed="false">
      <c r="A25" s="11" t="s">
        <v>722</v>
      </c>
      <c r="B25" s="11" t="s">
        <v>680</v>
      </c>
      <c r="C25" s="11" t="s">
        <v>723</v>
      </c>
      <c r="D25" s="11" t="s">
        <v>213</v>
      </c>
      <c r="E25" s="32" t="n">
        <f aca="false">Series!B27</f>
        <v>364621</v>
      </c>
      <c r="F25" s="33" t="n">
        <v>364621</v>
      </c>
      <c r="G25" s="11" t="n">
        <f aca="false">E25-F25</f>
        <v>0</v>
      </c>
      <c r="H25" s="11" t="str">
        <f aca="false">IF(ABS(G25)&lt;=0.000001,"PASS","FAIL")</f>
        <v>PASS</v>
      </c>
    </row>
    <row r="26" customFormat="false" ht="15" hidden="false" customHeight="false" outlineLevel="0" collapsed="false">
      <c r="A26" s="11" t="s">
        <v>724</v>
      </c>
      <c r="B26" s="11" t="s">
        <v>680</v>
      </c>
      <c r="C26" s="11" t="s">
        <v>725</v>
      </c>
      <c r="D26" s="11" t="s">
        <v>380</v>
      </c>
      <c r="E26" s="32" t="n">
        <f aca="false">Series!D6</f>
        <v>52579</v>
      </c>
      <c r="F26" s="33" t="n">
        <v>52579</v>
      </c>
      <c r="G26" s="11" t="n">
        <f aca="false">E26-F26</f>
        <v>0</v>
      </c>
      <c r="H26" s="11" t="str">
        <f aca="false">IF(ABS(G26)&lt;=0.000001,"PASS","FAIL")</f>
        <v>PASS</v>
      </c>
    </row>
    <row r="27" customFormat="false" ht="15" hidden="false" customHeight="false" outlineLevel="0" collapsed="false">
      <c r="A27" s="11" t="s">
        <v>726</v>
      </c>
      <c r="B27" s="11" t="s">
        <v>680</v>
      </c>
      <c r="C27" s="11" t="s">
        <v>727</v>
      </c>
      <c r="D27" s="11" t="s">
        <v>391</v>
      </c>
      <c r="E27" s="32" t="n">
        <f aca="false">Series!D7</f>
        <v>63340</v>
      </c>
      <c r="F27" s="33" t="n">
        <v>63340</v>
      </c>
      <c r="G27" s="11" t="n">
        <f aca="false">E27-F27</f>
        <v>0</v>
      </c>
      <c r="H27" s="11" t="str">
        <f aca="false">IF(ABS(G27)&lt;=0.000001,"PASS","FAIL")</f>
        <v>PASS</v>
      </c>
    </row>
    <row r="28" customFormat="false" ht="15" hidden="false" customHeight="false" outlineLevel="0" collapsed="false">
      <c r="A28" s="11" t="s">
        <v>728</v>
      </c>
      <c r="B28" s="11" t="s">
        <v>680</v>
      </c>
      <c r="C28" s="11" t="s">
        <v>729</v>
      </c>
      <c r="D28" s="11" t="s">
        <v>402</v>
      </c>
      <c r="E28" s="32" t="n">
        <f aca="false">Series!D8</f>
        <v>74912</v>
      </c>
      <c r="F28" s="33" t="n">
        <v>74912</v>
      </c>
      <c r="G28" s="11" t="n">
        <f aca="false">E28-F28</f>
        <v>0</v>
      </c>
      <c r="H28" s="11" t="str">
        <f aca="false">IF(ABS(G28)&lt;=0.000001,"PASS","FAIL")</f>
        <v>PASS</v>
      </c>
    </row>
    <row r="29" customFormat="false" ht="15" hidden="false" customHeight="false" outlineLevel="0" collapsed="false">
      <c r="A29" s="11" t="s">
        <v>730</v>
      </c>
      <c r="B29" s="11" t="s">
        <v>680</v>
      </c>
      <c r="C29" s="11" t="s">
        <v>731</v>
      </c>
      <c r="D29" s="11" t="s">
        <v>414</v>
      </c>
      <c r="E29" s="32" t="n">
        <f aca="false">Series!D9</f>
        <v>85987</v>
      </c>
      <c r="F29" s="33" t="n">
        <v>85987</v>
      </c>
      <c r="G29" s="11" t="n">
        <f aca="false">E29-F29</f>
        <v>0</v>
      </c>
      <c r="H29" s="11" t="str">
        <f aca="false">IF(ABS(G29)&lt;=0.000001,"PASS","FAIL")</f>
        <v>PASS</v>
      </c>
    </row>
    <row r="30" customFormat="false" ht="15" hidden="false" customHeight="false" outlineLevel="0" collapsed="false">
      <c r="A30" s="11" t="s">
        <v>732</v>
      </c>
      <c r="B30" s="11" t="s">
        <v>680</v>
      </c>
      <c r="C30" s="11" t="s">
        <v>733</v>
      </c>
      <c r="D30" s="11" t="s">
        <v>426</v>
      </c>
      <c r="E30" s="32" t="n">
        <f aca="false">Series!D10</f>
        <v>96329</v>
      </c>
      <c r="F30" s="33" t="n">
        <v>96329</v>
      </c>
      <c r="G30" s="11" t="n">
        <f aca="false">E30-F30</f>
        <v>0</v>
      </c>
      <c r="H30" s="11" t="str">
        <f aca="false">IF(ABS(G30)&lt;=0.000001,"PASS","FAIL")</f>
        <v>PASS</v>
      </c>
    </row>
    <row r="31" customFormat="false" ht="15" hidden="false" customHeight="false" outlineLevel="0" collapsed="false">
      <c r="A31" s="11" t="s">
        <v>734</v>
      </c>
      <c r="B31" s="11" t="s">
        <v>680</v>
      </c>
      <c r="C31" s="11" t="s">
        <v>735</v>
      </c>
      <c r="D31" s="11" t="s">
        <v>438</v>
      </c>
      <c r="E31" s="32" t="n">
        <f aca="false">Series!D11</f>
        <v>109903</v>
      </c>
      <c r="F31" s="33" t="n">
        <v>109903</v>
      </c>
      <c r="G31" s="11" t="n">
        <f aca="false">E31-F31</f>
        <v>0</v>
      </c>
      <c r="H31" s="11" t="str">
        <f aca="false">IF(ABS(G31)&lt;=0.000001,"PASS","FAIL")</f>
        <v>PASS</v>
      </c>
    </row>
    <row r="32" customFormat="false" ht="15" hidden="false" customHeight="false" outlineLevel="0" collapsed="false">
      <c r="A32" s="11" t="s">
        <v>736</v>
      </c>
      <c r="B32" s="11" t="s">
        <v>680</v>
      </c>
      <c r="C32" s="11" t="s">
        <v>737</v>
      </c>
      <c r="D32" s="11" t="s">
        <v>450</v>
      </c>
      <c r="E32" s="32" t="n">
        <f aca="false">Series!D12</f>
        <v>121746</v>
      </c>
      <c r="F32" s="33" t="n">
        <v>121746</v>
      </c>
      <c r="G32" s="11" t="n">
        <f aca="false">E32-F32</f>
        <v>0</v>
      </c>
      <c r="H32" s="11" t="str">
        <f aca="false">IF(ABS(G32)&lt;=0.000001,"PASS","FAIL")</f>
        <v>PASS</v>
      </c>
    </row>
    <row r="33" customFormat="false" ht="15" hidden="false" customHeight="false" outlineLevel="0" collapsed="false">
      <c r="A33" s="11" t="s">
        <v>738</v>
      </c>
      <c r="B33" s="11" t="s">
        <v>680</v>
      </c>
      <c r="C33" s="11" t="s">
        <v>739</v>
      </c>
      <c r="D33" s="11" t="s">
        <v>462</v>
      </c>
      <c r="E33" s="32" t="n">
        <f aca="false">Series!D13</f>
        <v>134929</v>
      </c>
      <c r="F33" s="33" t="n">
        <v>134929</v>
      </c>
      <c r="G33" s="11" t="n">
        <f aca="false">E33-F33</f>
        <v>0</v>
      </c>
      <c r="H33" s="11" t="str">
        <f aca="false">IF(ABS(G33)&lt;=0.000001,"PASS","FAIL")</f>
        <v>PASS</v>
      </c>
    </row>
    <row r="34" customFormat="false" ht="15" hidden="false" customHeight="false" outlineLevel="0" collapsed="false">
      <c r="A34" s="11" t="s">
        <v>740</v>
      </c>
      <c r="B34" s="11" t="s">
        <v>680</v>
      </c>
      <c r="C34" s="11" t="s">
        <v>741</v>
      </c>
      <c r="D34" s="11" t="s">
        <v>475</v>
      </c>
      <c r="E34" s="32" t="n">
        <f aca="false">Series!D14</f>
        <v>146719</v>
      </c>
      <c r="F34" s="33" t="n">
        <v>146719</v>
      </c>
      <c r="G34" s="11" t="n">
        <f aca="false">E34-F34</f>
        <v>0</v>
      </c>
      <c r="H34" s="11" t="str">
        <f aca="false">IF(ABS(G34)&lt;=0.000001,"PASS","FAIL")</f>
        <v>PASS</v>
      </c>
    </row>
    <row r="35" customFormat="false" ht="15" hidden="false" customHeight="false" outlineLevel="0" collapsed="false">
      <c r="A35" s="11" t="s">
        <v>742</v>
      </c>
      <c r="B35" s="11" t="s">
        <v>680</v>
      </c>
      <c r="C35" s="11" t="s">
        <v>743</v>
      </c>
      <c r="D35" s="11" t="s">
        <v>488</v>
      </c>
      <c r="E35" s="32" t="n">
        <f aca="false">Series!D15</f>
        <v>158008</v>
      </c>
      <c r="F35" s="33" t="n">
        <v>158008</v>
      </c>
      <c r="G35" s="11" t="n">
        <f aca="false">E35-F35</f>
        <v>0</v>
      </c>
      <c r="H35" s="11" t="str">
        <f aca="false">IF(ABS(G35)&lt;=0.000001,"PASS","FAIL")</f>
        <v>PASS</v>
      </c>
    </row>
    <row r="36" customFormat="false" ht="15" hidden="false" customHeight="false" outlineLevel="0" collapsed="false">
      <c r="A36" s="11" t="s">
        <v>744</v>
      </c>
      <c r="B36" s="11" t="s">
        <v>680</v>
      </c>
      <c r="C36" s="11" t="s">
        <v>745</v>
      </c>
      <c r="D36" s="11" t="s">
        <v>501</v>
      </c>
      <c r="E36" s="32" t="n">
        <f aca="false">Series!D16</f>
        <v>168866</v>
      </c>
      <c r="F36" s="33" t="n">
        <v>168866</v>
      </c>
      <c r="G36" s="11" t="n">
        <f aca="false">E36-F36</f>
        <v>0</v>
      </c>
      <c r="H36" s="11" t="str">
        <f aca="false">IF(ABS(G36)&lt;=0.000001,"PASS","FAIL")</f>
        <v>PASS</v>
      </c>
    </row>
    <row r="37" customFormat="false" ht="15" hidden="false" customHeight="false" outlineLevel="0" collapsed="false">
      <c r="A37" s="11" t="s">
        <v>746</v>
      </c>
      <c r="B37" s="11" t="s">
        <v>680</v>
      </c>
      <c r="C37" s="11" t="s">
        <v>747</v>
      </c>
      <c r="D37" s="11" t="s">
        <v>514</v>
      </c>
      <c r="E37" s="32" t="n">
        <f aca="false">Series!D17</f>
        <v>181764</v>
      </c>
      <c r="F37" s="33" t="n">
        <v>181764</v>
      </c>
      <c r="G37" s="11" t="n">
        <f aca="false">E37-F37</f>
        <v>0</v>
      </c>
      <c r="H37" s="11" t="str">
        <f aca="false">IF(ABS(G37)&lt;=0.000001,"PASS","FAIL")</f>
        <v>PASS</v>
      </c>
    </row>
    <row r="38" customFormat="false" ht="15" hidden="false" customHeight="false" outlineLevel="0" collapsed="false">
      <c r="A38" s="11" t="s">
        <v>748</v>
      </c>
      <c r="B38" s="11" t="s">
        <v>680</v>
      </c>
      <c r="C38" s="11" t="s">
        <v>749</v>
      </c>
      <c r="D38" s="11" t="s">
        <v>528</v>
      </c>
      <c r="E38" s="32" t="n">
        <f aca="false">Series!D18</f>
        <v>194703</v>
      </c>
      <c r="F38" s="33" t="n">
        <v>194703</v>
      </c>
      <c r="G38" s="11" t="n">
        <f aca="false">E38-F38</f>
        <v>0</v>
      </c>
      <c r="H38" s="11" t="str">
        <f aca="false">IF(ABS(G38)&lt;=0.000001,"PASS","FAIL")</f>
        <v>PASS</v>
      </c>
    </row>
    <row r="39" customFormat="false" ht="15" hidden="false" customHeight="false" outlineLevel="0" collapsed="false">
      <c r="A39" s="11" t="s">
        <v>750</v>
      </c>
      <c r="B39" s="11" t="s">
        <v>680</v>
      </c>
      <c r="C39" s="11" t="s">
        <v>751</v>
      </c>
      <c r="D39" s="11" t="s">
        <v>542</v>
      </c>
      <c r="E39" s="32" t="n">
        <f aca="false">Series!D19</f>
        <v>214215</v>
      </c>
      <c r="F39" s="33" t="n">
        <v>214215</v>
      </c>
      <c r="G39" s="11" t="n">
        <f aca="false">E39-F39</f>
        <v>0</v>
      </c>
      <c r="H39" s="11" t="str">
        <f aca="false">IF(ABS(G39)&lt;=0.000001,"PASS","FAIL")</f>
        <v>PASS</v>
      </c>
    </row>
    <row r="40" customFormat="false" ht="15" hidden="false" customHeight="false" outlineLevel="0" collapsed="false">
      <c r="A40" s="11" t="s">
        <v>752</v>
      </c>
      <c r="B40" s="11" t="s">
        <v>680</v>
      </c>
      <c r="C40" s="11" t="s">
        <v>753</v>
      </c>
      <c r="D40" s="11" t="s">
        <v>555</v>
      </c>
      <c r="E40" s="32" t="n">
        <f aca="false">Series!D20</f>
        <v>226909</v>
      </c>
      <c r="F40" s="33" t="n">
        <v>226909</v>
      </c>
      <c r="G40" s="11" t="n">
        <f aca="false">E40-F40</f>
        <v>0</v>
      </c>
      <c r="H40" s="11" t="str">
        <f aca="false">IF(ABS(G40)&lt;=0.000001,"PASS","FAIL")</f>
        <v>PASS</v>
      </c>
    </row>
    <row r="41" customFormat="false" ht="15" hidden="false" customHeight="false" outlineLevel="0" collapsed="false">
      <c r="A41" s="11" t="s">
        <v>754</v>
      </c>
      <c r="B41" s="11" t="s">
        <v>680</v>
      </c>
      <c r="C41" s="11" t="s">
        <v>755</v>
      </c>
      <c r="D41" s="11" t="s">
        <v>570</v>
      </c>
      <c r="E41" s="32" t="n">
        <f aca="false">Series!D21</f>
        <v>239080</v>
      </c>
      <c r="F41" s="33" t="n">
        <v>239080</v>
      </c>
      <c r="G41" s="11" t="n">
        <f aca="false">E41-F41</f>
        <v>0</v>
      </c>
      <c r="H41" s="11" t="str">
        <f aca="false">IF(ABS(G41)&lt;=0.000001,"PASS","FAIL")</f>
        <v>PASS</v>
      </c>
    </row>
    <row r="42" customFormat="false" ht="15" hidden="false" customHeight="false" outlineLevel="0" collapsed="false">
      <c r="A42" s="11" t="s">
        <v>756</v>
      </c>
      <c r="B42" s="11" t="s">
        <v>680</v>
      </c>
      <c r="C42" s="11" t="s">
        <v>757</v>
      </c>
      <c r="D42" s="11" t="s">
        <v>586</v>
      </c>
      <c r="E42" s="32" t="n">
        <f aca="false">Series!D22</f>
        <v>254579</v>
      </c>
      <c r="F42" s="33" t="n">
        <v>254579</v>
      </c>
      <c r="G42" s="11" t="n">
        <f aca="false">E42-F42</f>
        <v>0</v>
      </c>
      <c r="H42" s="11" t="str">
        <f aca="false">IF(ABS(G42)&lt;=0.000001,"PASS","FAIL")</f>
        <v>PASS</v>
      </c>
    </row>
    <row r="43" customFormat="false" ht="15" hidden="false" customHeight="false" outlineLevel="0" collapsed="false">
      <c r="A43" s="11" t="s">
        <v>758</v>
      </c>
      <c r="B43" s="11" t="s">
        <v>680</v>
      </c>
      <c r="C43" s="11" t="s">
        <v>759</v>
      </c>
      <c r="D43" s="11" t="s">
        <v>602</v>
      </c>
      <c r="E43" s="32" t="n">
        <f aca="false">Series!D23</f>
        <v>270113</v>
      </c>
      <c r="F43" s="33" t="n">
        <v>270113</v>
      </c>
      <c r="G43" s="11" t="n">
        <f aca="false">E43-F43</f>
        <v>0</v>
      </c>
      <c r="H43" s="11" t="str">
        <f aca="false">IF(ABS(G43)&lt;=0.000001,"PASS","FAIL")</f>
        <v>PASS</v>
      </c>
    </row>
    <row r="44" customFormat="false" ht="15" hidden="false" customHeight="false" outlineLevel="0" collapsed="false">
      <c r="A44" s="11" t="s">
        <v>760</v>
      </c>
      <c r="B44" s="11" t="s">
        <v>680</v>
      </c>
      <c r="C44" s="11" t="s">
        <v>761</v>
      </c>
      <c r="D44" s="11" t="s">
        <v>618</v>
      </c>
      <c r="E44" s="32" t="n">
        <f aca="false">Series!D24</f>
        <v>284031</v>
      </c>
      <c r="F44" s="33" t="n">
        <v>284031</v>
      </c>
      <c r="G44" s="11" t="n">
        <f aca="false">E44-F44</f>
        <v>0</v>
      </c>
      <c r="H44" s="11" t="str">
        <f aca="false">IF(ABS(G44)&lt;=0.000001,"PASS","FAIL")</f>
        <v>PASS</v>
      </c>
    </row>
    <row r="45" customFormat="false" ht="15" hidden="false" customHeight="false" outlineLevel="0" collapsed="false">
      <c r="A45" s="11" t="s">
        <v>762</v>
      </c>
      <c r="B45" s="11" t="s">
        <v>680</v>
      </c>
      <c r="C45" s="11" t="s">
        <v>763</v>
      </c>
      <c r="D45" s="11" t="s">
        <v>633</v>
      </c>
      <c r="E45" s="32" t="n">
        <f aca="false">Series!D25</f>
        <v>298736</v>
      </c>
      <c r="F45" s="33" t="n">
        <v>298736</v>
      </c>
      <c r="G45" s="11" t="n">
        <f aca="false">E45-F45</f>
        <v>0</v>
      </c>
      <c r="H45" s="11" t="str">
        <f aca="false">IF(ABS(G45)&lt;=0.000001,"PASS","FAIL")</f>
        <v>PASS</v>
      </c>
    </row>
    <row r="46" customFormat="false" ht="15" hidden="false" customHeight="false" outlineLevel="0" collapsed="false">
      <c r="A46" s="11" t="s">
        <v>764</v>
      </c>
      <c r="B46" s="11" t="s">
        <v>680</v>
      </c>
      <c r="C46" s="11" t="s">
        <v>765</v>
      </c>
      <c r="D46" s="11" t="s">
        <v>649</v>
      </c>
      <c r="E46" s="32" t="n">
        <f aca="false">Series!D26</f>
        <v>314190</v>
      </c>
      <c r="F46" s="33" t="n">
        <v>314190</v>
      </c>
      <c r="G46" s="11" t="n">
        <f aca="false">E46-F46</f>
        <v>0</v>
      </c>
      <c r="H46" s="11" t="str">
        <f aca="false">IF(ABS(G46)&lt;=0.000001,"PASS","FAIL")</f>
        <v>PASS</v>
      </c>
    </row>
    <row r="47" customFormat="false" ht="15" hidden="false" customHeight="false" outlineLevel="0" collapsed="false">
      <c r="A47" s="11" t="s">
        <v>766</v>
      </c>
      <c r="B47" s="11" t="s">
        <v>680</v>
      </c>
      <c r="C47" s="11" t="s">
        <v>767</v>
      </c>
      <c r="D47" s="11" t="s">
        <v>252</v>
      </c>
      <c r="E47" s="32" t="n">
        <f aca="false">Series!D27</f>
        <v>324222</v>
      </c>
      <c r="F47" s="33" t="n">
        <v>324222</v>
      </c>
      <c r="G47" s="11" t="n">
        <f aca="false">E47-F47</f>
        <v>0</v>
      </c>
      <c r="H47" s="11" t="str">
        <f aca="false">IF(ABS(G47)&lt;=0.000001,"PASS","FAIL")</f>
        <v>PASS</v>
      </c>
    </row>
    <row r="48" customFormat="false" ht="15" hidden="false" customHeight="false" outlineLevel="0" collapsed="false">
      <c r="A48" s="11" t="s">
        <v>768</v>
      </c>
      <c r="B48" s="11" t="s">
        <v>680</v>
      </c>
      <c r="C48" s="11" t="s">
        <v>769</v>
      </c>
      <c r="D48" s="11" t="s">
        <v>381</v>
      </c>
      <c r="E48" s="32" t="n">
        <f aca="false">Series!F6</f>
        <v>11044</v>
      </c>
      <c r="F48" s="33" t="n">
        <v>11044</v>
      </c>
      <c r="G48" s="11" t="n">
        <f aca="false">E48-F48</f>
        <v>0</v>
      </c>
      <c r="H48" s="11" t="str">
        <f aca="false">IF(ABS(G48)&lt;=0.000001,"PASS","FAIL")</f>
        <v>PASS</v>
      </c>
    </row>
    <row r="49" customFormat="false" ht="15" hidden="false" customHeight="false" outlineLevel="0" collapsed="false">
      <c r="A49" s="11" t="s">
        <v>770</v>
      </c>
      <c r="B49" s="11" t="s">
        <v>680</v>
      </c>
      <c r="C49" s="11" t="s">
        <v>771</v>
      </c>
      <c r="D49" s="11" t="s">
        <v>392</v>
      </c>
      <c r="E49" s="32" t="n">
        <f aca="false">Series!F7</f>
        <v>11203</v>
      </c>
      <c r="F49" s="33" t="n">
        <v>11203</v>
      </c>
      <c r="G49" s="11" t="n">
        <f aca="false">E49-F49</f>
        <v>0</v>
      </c>
      <c r="H49" s="11" t="str">
        <f aca="false">IF(ABS(G49)&lt;=0.000001,"PASS","FAIL")</f>
        <v>PASS</v>
      </c>
    </row>
    <row r="50" customFormat="false" ht="15" hidden="false" customHeight="false" outlineLevel="0" collapsed="false">
      <c r="A50" s="11" t="s">
        <v>772</v>
      </c>
      <c r="B50" s="11" t="s">
        <v>680</v>
      </c>
      <c r="C50" s="11" t="s">
        <v>773</v>
      </c>
      <c r="D50" s="11" t="s">
        <v>403</v>
      </c>
      <c r="E50" s="32" t="n">
        <f aca="false">Series!F8</f>
        <v>14255</v>
      </c>
      <c r="F50" s="33" t="n">
        <v>14255</v>
      </c>
      <c r="G50" s="11" t="n">
        <f aca="false">E50-F50</f>
        <v>0</v>
      </c>
      <c r="H50" s="11" t="str">
        <f aca="false">IF(ABS(G50)&lt;=0.000001,"PASS","FAIL")</f>
        <v>PASS</v>
      </c>
    </row>
    <row r="51" customFormat="false" ht="15" hidden="false" customHeight="false" outlineLevel="0" collapsed="false">
      <c r="A51" s="11" t="s">
        <v>774</v>
      </c>
      <c r="B51" s="11" t="s">
        <v>680</v>
      </c>
      <c r="C51" s="11" t="s">
        <v>775</v>
      </c>
      <c r="D51" s="11" t="s">
        <v>415</v>
      </c>
      <c r="E51" s="32" t="n">
        <f aca="false">Series!F9</f>
        <v>15405</v>
      </c>
      <c r="F51" s="33" t="n">
        <v>15405</v>
      </c>
      <c r="G51" s="11" t="n">
        <f aca="false">E51-F51</f>
        <v>0</v>
      </c>
      <c r="H51" s="11" t="str">
        <f aca="false">IF(ABS(G51)&lt;=0.000001,"PASS","FAIL")</f>
        <v>PASS</v>
      </c>
    </row>
    <row r="52" customFormat="false" ht="15" hidden="false" customHeight="false" outlineLevel="0" collapsed="false">
      <c r="A52" s="11" t="s">
        <v>776</v>
      </c>
      <c r="B52" s="11" t="s">
        <v>680</v>
      </c>
      <c r="C52" s="11" t="s">
        <v>777</v>
      </c>
      <c r="D52" s="11" t="s">
        <v>427</v>
      </c>
      <c r="E52" s="32" t="n">
        <f aca="false">Series!F10</f>
        <v>19153</v>
      </c>
      <c r="F52" s="33" t="n">
        <v>19153</v>
      </c>
      <c r="G52" s="11" t="n">
        <f aca="false">E52-F52</f>
        <v>0</v>
      </c>
      <c r="H52" s="11" t="str">
        <f aca="false">IF(ABS(G52)&lt;=0.000001,"PASS","FAIL")</f>
        <v>PASS</v>
      </c>
    </row>
    <row r="53" customFormat="false" ht="15" hidden="false" customHeight="false" outlineLevel="0" collapsed="false">
      <c r="A53" s="11" t="s">
        <v>778</v>
      </c>
      <c r="B53" s="11" t="s">
        <v>680</v>
      </c>
      <c r="C53" s="11" t="s">
        <v>779</v>
      </c>
      <c r="D53" s="11" t="s">
        <v>439</v>
      </c>
      <c r="E53" s="32" t="n">
        <f aca="false">Series!F11</f>
        <v>23963</v>
      </c>
      <c r="F53" s="33" t="n">
        <v>23963</v>
      </c>
      <c r="G53" s="11" t="n">
        <f aca="false">E53-F53</f>
        <v>0</v>
      </c>
      <c r="H53" s="11" t="str">
        <f aca="false">IF(ABS(G53)&lt;=0.000001,"PASS","FAIL")</f>
        <v>PASS</v>
      </c>
    </row>
    <row r="54" customFormat="false" ht="15" hidden="false" customHeight="false" outlineLevel="0" collapsed="false">
      <c r="A54" s="11" t="s">
        <v>780</v>
      </c>
      <c r="B54" s="11" t="s">
        <v>680</v>
      </c>
      <c r="C54" s="11" t="s">
        <v>781</v>
      </c>
      <c r="D54" s="11" t="s">
        <v>451</v>
      </c>
      <c r="E54" s="32" t="n">
        <f aca="false">Series!F12</f>
        <v>26259</v>
      </c>
      <c r="F54" s="33" t="n">
        <v>26259</v>
      </c>
      <c r="G54" s="11" t="n">
        <f aca="false">E54-F54</f>
        <v>0</v>
      </c>
      <c r="H54" s="11" t="str">
        <f aca="false">IF(ABS(G54)&lt;=0.000001,"PASS","FAIL")</f>
        <v>PASS</v>
      </c>
    </row>
    <row r="55" customFormat="false" ht="15" hidden="false" customHeight="false" outlineLevel="0" collapsed="false">
      <c r="A55" s="11" t="s">
        <v>782</v>
      </c>
      <c r="B55" s="11" t="s">
        <v>680</v>
      </c>
      <c r="C55" s="11" t="s">
        <v>783</v>
      </c>
      <c r="D55" s="11" t="s">
        <v>463</v>
      </c>
      <c r="E55" s="32" t="n">
        <f aca="false">Series!F13</f>
        <v>24715</v>
      </c>
      <c r="F55" s="33" t="n">
        <v>24715</v>
      </c>
      <c r="G55" s="11" t="n">
        <f aca="false">E55-F55</f>
        <v>0</v>
      </c>
      <c r="H55" s="11" t="str">
        <f aca="false">IF(ABS(G55)&lt;=0.000001,"PASS","FAIL")</f>
        <v>PASS</v>
      </c>
    </row>
    <row r="56" customFormat="false" ht="15" hidden="false" customHeight="false" outlineLevel="0" collapsed="false">
      <c r="A56" s="11" t="s">
        <v>784</v>
      </c>
      <c r="B56" s="11" t="s">
        <v>680</v>
      </c>
      <c r="C56" s="11" t="s">
        <v>785</v>
      </c>
      <c r="D56" s="11" t="s">
        <v>476</v>
      </c>
      <c r="E56" s="32" t="n">
        <f aca="false">Series!F14</f>
        <v>28519</v>
      </c>
      <c r="F56" s="33" t="n">
        <v>28519</v>
      </c>
      <c r="G56" s="11" t="n">
        <f aca="false">E56-F56</f>
        <v>0</v>
      </c>
      <c r="H56" s="11" t="str">
        <f aca="false">IF(ABS(G56)&lt;=0.000001,"PASS","FAIL")</f>
        <v>PASS</v>
      </c>
    </row>
    <row r="57" customFormat="false" ht="15" hidden="false" customHeight="false" outlineLevel="0" collapsed="false">
      <c r="A57" s="11" t="s">
        <v>786</v>
      </c>
      <c r="B57" s="11" t="s">
        <v>680</v>
      </c>
      <c r="C57" s="11" t="s">
        <v>787</v>
      </c>
      <c r="D57" s="11" t="s">
        <v>489</v>
      </c>
      <c r="E57" s="32" t="n">
        <f aca="false">Series!F15</f>
        <v>27908</v>
      </c>
      <c r="F57" s="33" t="n">
        <v>27908</v>
      </c>
      <c r="G57" s="11" t="n">
        <f aca="false">E57-F57</f>
        <v>0</v>
      </c>
      <c r="H57" s="11" t="str">
        <f aca="false">IF(ABS(G57)&lt;=0.000001,"PASS","FAIL")</f>
        <v>PASS</v>
      </c>
    </row>
    <row r="58" customFormat="false" ht="15" hidden="false" customHeight="false" outlineLevel="0" collapsed="false">
      <c r="A58" s="11" t="s">
        <v>788</v>
      </c>
      <c r="B58" s="11" t="s">
        <v>680</v>
      </c>
      <c r="C58" s="11" t="s">
        <v>789</v>
      </c>
      <c r="D58" s="11" t="s">
        <v>502</v>
      </c>
      <c r="E58" s="32" t="n">
        <f aca="false">Series!F16</f>
        <v>28051</v>
      </c>
      <c r="F58" s="33" t="n">
        <v>28051</v>
      </c>
      <c r="G58" s="11" t="n">
        <f aca="false">E58-F58</f>
        <v>0</v>
      </c>
      <c r="H58" s="11" t="str">
        <f aca="false">IF(ABS(G58)&lt;=0.000001,"PASS","FAIL")</f>
        <v>PASS</v>
      </c>
    </row>
    <row r="59" customFormat="false" ht="15" hidden="false" customHeight="false" outlineLevel="0" collapsed="false">
      <c r="A59" s="11" t="s">
        <v>790</v>
      </c>
      <c r="B59" s="11" t="s">
        <v>680</v>
      </c>
      <c r="C59" s="11" t="s">
        <v>791</v>
      </c>
      <c r="D59" s="11" t="s">
        <v>515</v>
      </c>
      <c r="E59" s="32" t="n">
        <f aca="false">Series!F17</f>
        <v>33285</v>
      </c>
      <c r="F59" s="33" t="n">
        <v>33285</v>
      </c>
      <c r="G59" s="11" t="n">
        <f aca="false">E59-F59</f>
        <v>0</v>
      </c>
      <c r="H59" s="11" t="str">
        <f aca="false">IF(ABS(G59)&lt;=0.000001,"PASS","FAIL")</f>
        <v>PASS</v>
      </c>
    </row>
    <row r="60" customFormat="false" ht="15" hidden="false" customHeight="false" outlineLevel="0" collapsed="false">
      <c r="A60" s="11" t="s">
        <v>792</v>
      </c>
      <c r="B60" s="11" t="s">
        <v>680</v>
      </c>
      <c r="C60" s="11" t="s">
        <v>793</v>
      </c>
      <c r="D60" s="11" t="s">
        <v>529</v>
      </c>
      <c r="E60" s="32" t="n">
        <f aca="false">Series!F18</f>
        <v>34797</v>
      </c>
      <c r="F60" s="33" t="n">
        <v>34797</v>
      </c>
      <c r="G60" s="11" t="n">
        <f aca="false">E60-F60</f>
        <v>0</v>
      </c>
      <c r="H60" s="11" t="str">
        <f aca="false">IF(ABS(G60)&lt;=0.000001,"PASS","FAIL")</f>
        <v>PASS</v>
      </c>
    </row>
    <row r="61" customFormat="false" ht="15" hidden="false" customHeight="false" outlineLevel="0" collapsed="false">
      <c r="A61" s="11" t="s">
        <v>794</v>
      </c>
      <c r="B61" s="11" t="s">
        <v>680</v>
      </c>
      <c r="C61" s="11" t="s">
        <v>795</v>
      </c>
      <c r="D61" s="11" t="s">
        <v>543</v>
      </c>
      <c r="E61" s="32" t="n">
        <f aca="false">Series!F19</f>
        <v>36878</v>
      </c>
      <c r="F61" s="33" t="n">
        <v>36878</v>
      </c>
      <c r="G61" s="11" t="n">
        <f aca="false">E61-F61</f>
        <v>0</v>
      </c>
      <c r="H61" s="11" t="str">
        <f aca="false">IF(ABS(G61)&lt;=0.000001,"PASS","FAIL")</f>
        <v>PASS</v>
      </c>
    </row>
    <row r="62" customFormat="false" ht="15" hidden="false" customHeight="false" outlineLevel="0" collapsed="false">
      <c r="A62" s="11" t="s">
        <v>796</v>
      </c>
      <c r="B62" s="11" t="s">
        <v>680</v>
      </c>
      <c r="C62" s="11" t="s">
        <v>797</v>
      </c>
      <c r="D62" s="11" t="s">
        <v>556</v>
      </c>
      <c r="E62" s="32" t="n">
        <f aca="false">Series!F20</f>
        <v>42973</v>
      </c>
      <c r="F62" s="33" t="n">
        <v>42973</v>
      </c>
      <c r="G62" s="11" t="n">
        <f aca="false">E62-F62</f>
        <v>0</v>
      </c>
      <c r="H62" s="11" t="str">
        <f aca="false">IF(ABS(G62)&lt;=0.000001,"PASS","FAIL")</f>
        <v>PASS</v>
      </c>
    </row>
    <row r="63" customFormat="false" ht="15" hidden="false" customHeight="false" outlineLevel="0" collapsed="false">
      <c r="A63" s="11" t="s">
        <v>798</v>
      </c>
      <c r="B63" s="11" t="s">
        <v>680</v>
      </c>
      <c r="C63" s="11" t="s">
        <v>799</v>
      </c>
      <c r="D63" s="11" t="s">
        <v>571</v>
      </c>
      <c r="E63" s="32" t="n">
        <f aca="false">Series!F21</f>
        <v>48066</v>
      </c>
      <c r="F63" s="33" t="n">
        <v>48066</v>
      </c>
      <c r="G63" s="11" t="n">
        <f aca="false">E63-F63</f>
        <v>0</v>
      </c>
      <c r="H63" s="11" t="str">
        <f aca="false">IF(ABS(G63)&lt;=0.000001,"PASS","FAIL")</f>
        <v>PASS</v>
      </c>
    </row>
    <row r="64" customFormat="false" ht="15" hidden="false" customHeight="false" outlineLevel="0" collapsed="false">
      <c r="A64" s="11" t="s">
        <v>800</v>
      </c>
      <c r="B64" s="11" t="s">
        <v>680</v>
      </c>
      <c r="C64" s="11" t="s">
        <v>801</v>
      </c>
      <c r="D64" s="11" t="s">
        <v>587</v>
      </c>
      <c r="E64" s="32" t="n">
        <f aca="false">Series!F22</f>
        <v>53844</v>
      </c>
      <c r="F64" s="33" t="n">
        <v>53844</v>
      </c>
      <c r="G64" s="11" t="n">
        <f aca="false">E64-F64</f>
        <v>0</v>
      </c>
      <c r="H64" s="11" t="str">
        <f aca="false">IF(ABS(G64)&lt;=0.000001,"PASS","FAIL")</f>
        <v>PASS</v>
      </c>
    </row>
    <row r="65" customFormat="false" ht="15" hidden="false" customHeight="false" outlineLevel="0" collapsed="false">
      <c r="A65" s="11" t="s">
        <v>802</v>
      </c>
      <c r="B65" s="11" t="s">
        <v>680</v>
      </c>
      <c r="C65" s="11" t="s">
        <v>803</v>
      </c>
      <c r="D65" s="11" t="s">
        <v>603</v>
      </c>
      <c r="E65" s="32" t="n">
        <f aca="false">Series!F23</f>
        <v>59233</v>
      </c>
      <c r="F65" s="33" t="n">
        <v>59233</v>
      </c>
      <c r="G65" s="11" t="n">
        <f aca="false">E65-F65</f>
        <v>0</v>
      </c>
      <c r="H65" s="11" t="str">
        <f aca="false">IF(ABS(G65)&lt;=0.000001,"PASS","FAIL")</f>
        <v>PASS</v>
      </c>
    </row>
    <row r="66" customFormat="false" ht="15" hidden="false" customHeight="false" outlineLevel="0" collapsed="false">
      <c r="A66" s="11" t="s">
        <v>804</v>
      </c>
      <c r="B66" s="11" t="s">
        <v>680</v>
      </c>
      <c r="C66" s="11" t="s">
        <v>805</v>
      </c>
      <c r="D66" s="11" t="s">
        <v>619</v>
      </c>
      <c r="E66" s="32" t="n">
        <f aca="false">Series!F24</f>
        <v>57772</v>
      </c>
      <c r="F66" s="33" t="n">
        <v>57772</v>
      </c>
      <c r="G66" s="11" t="n">
        <f aca="false">E66-F66</f>
        <v>0</v>
      </c>
      <c r="H66" s="11" t="str">
        <f aca="false">IF(ABS(G66)&lt;=0.000001,"PASS","FAIL")</f>
        <v>PASS</v>
      </c>
    </row>
    <row r="67" customFormat="false" ht="15" hidden="false" customHeight="false" outlineLevel="0" collapsed="false">
      <c r="A67" s="11" t="s">
        <v>806</v>
      </c>
      <c r="B67" s="11" t="s">
        <v>680</v>
      </c>
      <c r="C67" s="11" t="s">
        <v>807</v>
      </c>
      <c r="D67" s="11" t="s">
        <v>634</v>
      </c>
      <c r="E67" s="32" t="n">
        <f aca="false">Series!F25</f>
        <v>67700</v>
      </c>
      <c r="F67" s="33" t="n">
        <v>67700</v>
      </c>
      <c r="G67" s="11" t="n">
        <f aca="false">E67-F67</f>
        <v>0</v>
      </c>
      <c r="H67" s="11" t="str">
        <f aca="false">IF(ABS(G67)&lt;=0.000001,"PASS","FAIL")</f>
        <v>PASS</v>
      </c>
    </row>
    <row r="68" customFormat="false" ht="15" hidden="false" customHeight="false" outlineLevel="0" collapsed="false">
      <c r="A68" s="11" t="s">
        <v>808</v>
      </c>
      <c r="B68" s="11" t="s">
        <v>680</v>
      </c>
      <c r="C68" s="11" t="s">
        <v>809</v>
      </c>
      <c r="D68" s="11" t="s">
        <v>650</v>
      </c>
      <c r="E68" s="32" t="n">
        <f aca="false">Series!F26</f>
        <v>78413</v>
      </c>
      <c r="F68" s="33" t="n">
        <v>78413</v>
      </c>
      <c r="G68" s="11" t="n">
        <f aca="false">E68-F68</f>
        <v>0</v>
      </c>
      <c r="H68" s="11" t="str">
        <f aca="false">IF(ABS(G68)&lt;=0.000001,"PASS","FAIL")</f>
        <v>PASS</v>
      </c>
    </row>
    <row r="69" customFormat="false" ht="15" hidden="false" customHeight="false" outlineLevel="0" collapsed="false">
      <c r="A69" s="11" t="s">
        <v>810</v>
      </c>
      <c r="B69" s="11" t="s">
        <v>680</v>
      </c>
      <c r="C69" s="11" t="s">
        <v>811</v>
      </c>
      <c r="D69" s="11" t="s">
        <v>263</v>
      </c>
      <c r="E69" s="32" t="n">
        <f aca="false">Series!F27</f>
        <v>83003</v>
      </c>
      <c r="F69" s="33" t="n">
        <v>83003</v>
      </c>
      <c r="G69" s="11" t="n">
        <f aca="false">E69-F69</f>
        <v>0</v>
      </c>
      <c r="H69" s="11" t="str">
        <f aca="false">IF(ABS(G69)&lt;=0.000001,"PASS","FAIL")</f>
        <v>PASS</v>
      </c>
    </row>
    <row r="70" customFormat="false" ht="15" hidden="false" customHeight="false" outlineLevel="0" collapsed="false">
      <c r="A70" s="11" t="s">
        <v>812</v>
      </c>
      <c r="B70" s="11" t="s">
        <v>680</v>
      </c>
      <c r="C70" s="11" t="s">
        <v>813</v>
      </c>
      <c r="D70" s="11" t="s">
        <v>382</v>
      </c>
      <c r="E70" s="32" t="n">
        <f aca="false">Series!H6</f>
        <v>59014</v>
      </c>
      <c r="F70" s="33" t="n">
        <v>59014</v>
      </c>
      <c r="G70" s="11" t="n">
        <f aca="false">E70-F70</f>
        <v>0</v>
      </c>
      <c r="H70" s="11" t="str">
        <f aca="false">IF(ABS(G70)&lt;=0.000001,"PASS","FAIL")</f>
        <v>PASS</v>
      </c>
    </row>
    <row r="71" customFormat="false" ht="15" hidden="false" customHeight="false" outlineLevel="0" collapsed="false">
      <c r="A71" s="11" t="s">
        <v>814</v>
      </c>
      <c r="B71" s="11" t="s">
        <v>680</v>
      </c>
      <c r="C71" s="11" t="s">
        <v>815</v>
      </c>
      <c r="D71" s="11" t="s">
        <v>393</v>
      </c>
      <c r="E71" s="32" t="n">
        <f aca="false">Series!H7</f>
        <v>55521</v>
      </c>
      <c r="F71" s="33" t="n">
        <v>55521</v>
      </c>
      <c r="G71" s="11" t="n">
        <f aca="false">E71-F71</f>
        <v>0</v>
      </c>
      <c r="H71" s="11" t="str">
        <f aca="false">IF(ABS(G71)&lt;=0.000001,"PASS","FAIL")</f>
        <v>PASS</v>
      </c>
    </row>
    <row r="72" customFormat="false" ht="15" hidden="false" customHeight="false" outlineLevel="0" collapsed="false">
      <c r="A72" s="11" t="s">
        <v>816</v>
      </c>
      <c r="B72" s="11" t="s">
        <v>680</v>
      </c>
      <c r="C72" s="11" t="s">
        <v>817</v>
      </c>
      <c r="D72" s="11" t="s">
        <v>404</v>
      </c>
      <c r="E72" s="32" t="n">
        <f aca="false">Series!H8</f>
        <v>60995</v>
      </c>
      <c r="F72" s="33" t="n">
        <v>60995</v>
      </c>
      <c r="G72" s="11" t="n">
        <f aca="false">E72-F72</f>
        <v>0</v>
      </c>
      <c r="H72" s="11" t="str">
        <f aca="false">IF(ABS(G72)&lt;=0.000001,"PASS","FAIL")</f>
        <v>PASS</v>
      </c>
    </row>
    <row r="73" customFormat="false" ht="15" hidden="false" customHeight="false" outlineLevel="0" collapsed="false">
      <c r="A73" s="11" t="s">
        <v>818</v>
      </c>
      <c r="B73" s="11" t="s">
        <v>680</v>
      </c>
      <c r="C73" s="11" t="s">
        <v>819</v>
      </c>
      <c r="D73" s="11" t="s">
        <v>416</v>
      </c>
      <c r="E73" s="32" t="n">
        <f aca="false">Series!H9</f>
        <v>69418</v>
      </c>
      <c r="F73" s="33" t="n">
        <v>69418</v>
      </c>
      <c r="G73" s="11" t="n">
        <f aca="false">E73-F73</f>
        <v>0</v>
      </c>
      <c r="H73" s="11" t="str">
        <f aca="false">IF(ABS(G73)&lt;=0.000001,"PASS","FAIL")</f>
        <v>PASS</v>
      </c>
    </row>
    <row r="74" customFormat="false" ht="15" hidden="false" customHeight="false" outlineLevel="0" collapsed="false">
      <c r="A74" s="11" t="s">
        <v>820</v>
      </c>
      <c r="B74" s="11" t="s">
        <v>680</v>
      </c>
      <c r="C74" s="11" t="s">
        <v>821</v>
      </c>
      <c r="D74" s="11" t="s">
        <v>428</v>
      </c>
      <c r="E74" s="32" t="n">
        <f aca="false">Series!H10</f>
        <v>108595</v>
      </c>
      <c r="F74" s="33" t="n">
        <v>108595</v>
      </c>
      <c r="G74" s="11" t="n">
        <f aca="false">E74-F74</f>
        <v>0</v>
      </c>
      <c r="H74" s="11" t="str">
        <f aca="false">IF(ABS(G74)&lt;=0.000001,"PASS","FAIL")</f>
        <v>PASS</v>
      </c>
    </row>
    <row r="75" customFormat="false" ht="15" hidden="false" customHeight="false" outlineLevel="0" collapsed="false">
      <c r="A75" s="11" t="s">
        <v>822</v>
      </c>
      <c r="B75" s="11" t="s">
        <v>680</v>
      </c>
      <c r="C75" s="11" t="s">
        <v>823</v>
      </c>
      <c r="D75" s="11" t="s">
        <v>440</v>
      </c>
      <c r="E75" s="32" t="n">
        <f aca="false">Series!H11</f>
        <v>86665</v>
      </c>
      <c r="F75" s="33" t="n">
        <v>86665</v>
      </c>
      <c r="G75" s="11" t="n">
        <f aca="false">E75-F75</f>
        <v>0</v>
      </c>
      <c r="H75" s="11" t="str">
        <f aca="false">IF(ABS(G75)&lt;=0.000001,"PASS","FAIL")</f>
        <v>PASS</v>
      </c>
    </row>
    <row r="76" customFormat="false" ht="15" hidden="false" customHeight="false" outlineLevel="0" collapsed="false">
      <c r="A76" s="11" t="s">
        <v>824</v>
      </c>
      <c r="B76" s="11" t="s">
        <v>680</v>
      </c>
      <c r="C76" s="11" t="s">
        <v>825</v>
      </c>
      <c r="D76" s="11" t="s">
        <v>452</v>
      </c>
      <c r="E76" s="32" t="n">
        <f aca="false">Series!H12</f>
        <v>82432</v>
      </c>
      <c r="F76" s="33" t="n">
        <v>82432</v>
      </c>
      <c r="G76" s="11" t="n">
        <f aca="false">E76-F76</f>
        <v>0</v>
      </c>
      <c r="H76" s="11" t="str">
        <f aca="false">IF(ABS(G76)&lt;=0.000001,"PASS","FAIL")</f>
        <v>PASS</v>
      </c>
    </row>
    <row r="77" customFormat="false" ht="15" hidden="false" customHeight="false" outlineLevel="0" collapsed="false">
      <c r="A77" s="11" t="s">
        <v>826</v>
      </c>
      <c r="B77" s="11" t="s">
        <v>680</v>
      </c>
      <c r="C77" s="11" t="s">
        <v>827</v>
      </c>
      <c r="D77" s="11" t="s">
        <v>464</v>
      </c>
      <c r="E77" s="32" t="n">
        <f aca="false">Series!H13</f>
        <v>80919</v>
      </c>
      <c r="F77" s="33" t="n">
        <v>80919</v>
      </c>
      <c r="G77" s="11" t="n">
        <f aca="false">E77-F77</f>
        <v>0</v>
      </c>
      <c r="H77" s="11" t="str">
        <f aca="false">IF(ABS(G77)&lt;=0.000001,"PASS","FAIL")</f>
        <v>PASS</v>
      </c>
    </row>
    <row r="78" customFormat="false" ht="15" hidden="false" customHeight="false" outlineLevel="0" collapsed="false">
      <c r="A78" s="11" t="s">
        <v>828</v>
      </c>
      <c r="B78" s="11" t="s">
        <v>680</v>
      </c>
      <c r="C78" s="11" t="s">
        <v>829</v>
      </c>
      <c r="D78" s="11" t="s">
        <v>477</v>
      </c>
      <c r="E78" s="32" t="n">
        <f aca="false">Series!H14</f>
        <v>102652</v>
      </c>
      <c r="F78" s="33" t="n">
        <v>102652</v>
      </c>
      <c r="G78" s="11" t="n">
        <f aca="false">E78-F78</f>
        <v>0</v>
      </c>
      <c r="H78" s="11" t="str">
        <f aca="false">IF(ABS(G78)&lt;=0.000001,"PASS","FAIL")</f>
        <v>PASS</v>
      </c>
    </row>
    <row r="79" customFormat="false" ht="15" hidden="false" customHeight="false" outlineLevel="0" collapsed="false">
      <c r="A79" s="11" t="s">
        <v>830</v>
      </c>
      <c r="B79" s="11" t="s">
        <v>680</v>
      </c>
      <c r="C79" s="11" t="s">
        <v>831</v>
      </c>
      <c r="D79" s="11" t="s">
        <v>490</v>
      </c>
      <c r="E79" s="32" t="n">
        <f aca="false">Series!H15</f>
        <v>98831</v>
      </c>
      <c r="F79" s="33" t="n">
        <v>98831</v>
      </c>
      <c r="G79" s="11" t="n">
        <f aca="false">E79-F79</f>
        <v>0</v>
      </c>
      <c r="H79" s="11" t="str">
        <f aca="false">IF(ABS(G79)&lt;=0.000001,"PASS","FAIL")</f>
        <v>PASS</v>
      </c>
    </row>
    <row r="80" customFormat="false" ht="15" hidden="false" customHeight="false" outlineLevel="0" collapsed="false">
      <c r="A80" s="11" t="s">
        <v>832</v>
      </c>
      <c r="B80" s="11" t="s">
        <v>680</v>
      </c>
      <c r="C80" s="11" t="s">
        <v>833</v>
      </c>
      <c r="D80" s="11" t="s">
        <v>503</v>
      </c>
      <c r="E80" s="32" t="n">
        <f aca="false">Series!H16</f>
        <v>101504</v>
      </c>
      <c r="F80" s="33" t="n">
        <v>101504</v>
      </c>
      <c r="G80" s="11" t="n">
        <f aca="false">E80-F80</f>
        <v>0</v>
      </c>
      <c r="H80" s="11" t="str">
        <f aca="false">IF(ABS(G80)&lt;=0.000001,"PASS","FAIL")</f>
        <v>PASS</v>
      </c>
    </row>
    <row r="81" customFormat="false" ht="15" hidden="false" customHeight="false" outlineLevel="0" collapsed="false">
      <c r="A81" s="11" t="s">
        <v>834</v>
      </c>
      <c r="B81" s="11" t="s">
        <v>680</v>
      </c>
      <c r="C81" s="11" t="s">
        <v>835</v>
      </c>
      <c r="D81" s="11" t="s">
        <v>516</v>
      </c>
      <c r="E81" s="32" t="n">
        <f aca="false">Series!H17</f>
        <v>110020</v>
      </c>
      <c r="F81" s="33" t="n">
        <v>110020</v>
      </c>
      <c r="G81" s="11" t="n">
        <f aca="false">E81-F81</f>
        <v>0</v>
      </c>
      <c r="H81" s="11" t="str">
        <f aca="false">IF(ABS(G81)&lt;=0.000001,"PASS","FAIL")</f>
        <v>PASS</v>
      </c>
    </row>
    <row r="82" customFormat="false" ht="15" hidden="false" customHeight="false" outlineLevel="0" collapsed="false">
      <c r="A82" s="11" t="s">
        <v>836</v>
      </c>
      <c r="B82" s="11" t="s">
        <v>680</v>
      </c>
      <c r="C82" s="11" t="s">
        <v>837</v>
      </c>
      <c r="D82" s="11" t="s">
        <v>530</v>
      </c>
      <c r="E82" s="32" t="n">
        <f aca="false">Series!H18</f>
        <v>120806</v>
      </c>
      <c r="F82" s="33" t="n">
        <v>120806</v>
      </c>
      <c r="G82" s="11" t="n">
        <f aca="false">E82-F82</f>
        <v>0</v>
      </c>
      <c r="H82" s="11" t="str">
        <f aca="false">IF(ABS(G82)&lt;=0.000001,"PASS","FAIL")</f>
        <v>PASS</v>
      </c>
    </row>
    <row r="83" customFormat="false" ht="15" hidden="false" customHeight="false" outlineLevel="0" collapsed="false">
      <c r="A83" s="11" t="s">
        <v>838</v>
      </c>
      <c r="B83" s="11" t="s">
        <v>680</v>
      </c>
      <c r="C83" s="11" t="s">
        <v>839</v>
      </c>
      <c r="D83" s="11" t="s">
        <v>544</v>
      </c>
      <c r="E83" s="32" t="n">
        <f aca="false">Series!H19</f>
        <v>120738</v>
      </c>
      <c r="F83" s="33" t="n">
        <v>120738</v>
      </c>
      <c r="G83" s="11" t="n">
        <f aca="false">E83-F83</f>
        <v>0</v>
      </c>
      <c r="H83" s="11" t="str">
        <f aca="false">IF(ABS(G83)&lt;=0.000001,"PASS","FAIL")</f>
        <v>PASS</v>
      </c>
    </row>
    <row r="84" customFormat="false" ht="15" hidden="false" customHeight="false" outlineLevel="0" collapsed="false">
      <c r="A84" s="11" t="s">
        <v>840</v>
      </c>
      <c r="B84" s="11" t="s">
        <v>680</v>
      </c>
      <c r="C84" s="11" t="s">
        <v>841</v>
      </c>
      <c r="D84" s="11" t="s">
        <v>557</v>
      </c>
      <c r="E84" s="32" t="n">
        <f aca="false">Series!H20</f>
        <v>130339</v>
      </c>
      <c r="F84" s="33" t="n">
        <v>130339</v>
      </c>
      <c r="G84" s="11" t="n">
        <f aca="false">E84-F84</f>
        <v>0</v>
      </c>
      <c r="H84" s="11" t="str">
        <f aca="false">IF(ABS(G84)&lt;=0.000001,"PASS","FAIL")</f>
        <v>PASS</v>
      </c>
    </row>
    <row r="85" customFormat="false" ht="15" hidden="false" customHeight="false" outlineLevel="0" collapsed="false">
      <c r="A85" s="11" t="s">
        <v>842</v>
      </c>
      <c r="B85" s="11" t="s">
        <v>680</v>
      </c>
      <c r="C85" s="11" t="s">
        <v>843</v>
      </c>
      <c r="D85" s="11" t="s">
        <v>572</v>
      </c>
      <c r="E85" s="32" t="n">
        <f aca="false">Series!H21</f>
        <v>127791</v>
      </c>
      <c r="F85" s="33" t="n">
        <v>127791</v>
      </c>
      <c r="G85" s="11" t="n">
        <f aca="false">E85-F85</f>
        <v>0</v>
      </c>
      <c r="H85" s="11" t="str">
        <f aca="false">IF(ABS(G85)&lt;=0.000001,"PASS","FAIL")</f>
        <v>PASS</v>
      </c>
    </row>
    <row r="86" customFormat="false" ht="15" hidden="false" customHeight="false" outlineLevel="0" collapsed="false">
      <c r="A86" s="11" t="s">
        <v>844</v>
      </c>
      <c r="B86" s="11" t="s">
        <v>680</v>
      </c>
      <c r="C86" s="11" t="s">
        <v>845</v>
      </c>
      <c r="D86" s="11" t="s">
        <v>588</v>
      </c>
      <c r="E86" s="32" t="n">
        <f aca="false">Series!H22</f>
        <v>135882</v>
      </c>
      <c r="F86" s="33" t="n">
        <v>135882</v>
      </c>
      <c r="G86" s="11" t="n">
        <f aca="false">E86-F86</f>
        <v>0</v>
      </c>
      <c r="H86" s="11" t="str">
        <f aca="false">IF(ABS(G86)&lt;=0.000001,"PASS","FAIL")</f>
        <v>PASS</v>
      </c>
    </row>
    <row r="87" customFormat="false" ht="15" hidden="false" customHeight="false" outlineLevel="0" collapsed="false">
      <c r="A87" s="11" t="s">
        <v>846</v>
      </c>
      <c r="B87" s="11" t="s">
        <v>680</v>
      </c>
      <c r="C87" s="11" t="s">
        <v>847</v>
      </c>
      <c r="D87" s="11" t="s">
        <v>604</v>
      </c>
      <c r="E87" s="32" t="n">
        <f aca="false">Series!H23</f>
        <v>139223</v>
      </c>
      <c r="F87" s="33" t="n">
        <v>139223</v>
      </c>
      <c r="G87" s="11" t="n">
        <f aca="false">E87-F87</f>
        <v>0</v>
      </c>
      <c r="H87" s="11" t="str">
        <f aca="false">IF(ABS(G87)&lt;=0.000001,"PASS","FAIL")</f>
        <v>PASS</v>
      </c>
    </row>
    <row r="88" customFormat="false" ht="15" hidden="false" customHeight="false" outlineLevel="0" collapsed="false">
      <c r="A88" s="11" t="s">
        <v>848</v>
      </c>
      <c r="B88" s="11" t="s">
        <v>680</v>
      </c>
      <c r="C88" s="11" t="s">
        <v>849</v>
      </c>
      <c r="D88" s="11" t="s">
        <v>620</v>
      </c>
      <c r="E88" s="32" t="n">
        <f aca="false">Series!H24</f>
        <v>151804</v>
      </c>
      <c r="F88" s="33" t="n">
        <v>151804</v>
      </c>
      <c r="G88" s="11" t="n">
        <f aca="false">E88-F88</f>
        <v>0</v>
      </c>
      <c r="H88" s="11" t="str">
        <f aca="false">IF(ABS(G88)&lt;=0.000001,"PASS","FAIL")</f>
        <v>PASS</v>
      </c>
    </row>
    <row r="89" customFormat="false" ht="15" hidden="false" customHeight="false" outlineLevel="0" collapsed="false">
      <c r="A89" s="11" t="s">
        <v>850</v>
      </c>
      <c r="B89" s="11" t="s">
        <v>680</v>
      </c>
      <c r="C89" s="11" t="s">
        <v>851</v>
      </c>
      <c r="D89" s="11" t="s">
        <v>635</v>
      </c>
      <c r="E89" s="32" t="n">
        <f aca="false">Series!H25</f>
        <v>159858</v>
      </c>
      <c r="F89" s="33" t="n">
        <v>159858</v>
      </c>
      <c r="G89" s="11" t="n">
        <f aca="false">E89-F89</f>
        <v>0</v>
      </c>
      <c r="H89" s="11" t="str">
        <f aca="false">IF(ABS(G89)&lt;=0.000001,"PASS","FAIL")</f>
        <v>PASS</v>
      </c>
    </row>
    <row r="90" customFormat="false" ht="15" hidden="false" customHeight="false" outlineLevel="0" collapsed="false">
      <c r="A90" s="11" t="s">
        <v>852</v>
      </c>
      <c r="B90" s="11" t="s">
        <v>680</v>
      </c>
      <c r="C90" s="11" t="s">
        <v>853</v>
      </c>
      <c r="D90" s="11" t="s">
        <v>651</v>
      </c>
      <c r="E90" s="32" t="n">
        <f aca="false">Series!H26</f>
        <v>158181</v>
      </c>
      <c r="F90" s="33" t="n">
        <v>158181</v>
      </c>
      <c r="G90" s="11" t="n">
        <f aca="false">E90-F90</f>
        <v>0</v>
      </c>
      <c r="H90" s="11" t="str">
        <f aca="false">IF(ABS(G90)&lt;=0.000001,"PASS","FAIL")</f>
        <v>PASS</v>
      </c>
    </row>
    <row r="91" customFormat="false" ht="15" hidden="false" customHeight="false" outlineLevel="0" collapsed="false">
      <c r="A91" s="11" t="s">
        <v>854</v>
      </c>
      <c r="B91" s="11" t="s">
        <v>680</v>
      </c>
      <c r="C91" s="11" t="s">
        <v>855</v>
      </c>
      <c r="D91" s="11" t="s">
        <v>275</v>
      </c>
      <c r="E91" s="32" t="n">
        <f aca="false">Series!H27</f>
        <v>149444</v>
      </c>
      <c r="F91" s="33" t="n">
        <v>149444</v>
      </c>
      <c r="G91" s="11" t="n">
        <f aca="false">E91-F91</f>
        <v>0</v>
      </c>
      <c r="H91" s="11" t="str">
        <f aca="false">IF(ABS(G91)&lt;=0.000001,"PASS","FAIL")</f>
        <v>PASS</v>
      </c>
    </row>
    <row r="92" customFormat="false" ht="15" hidden="false" customHeight="false" outlineLevel="0" collapsed="false">
      <c r="A92" s="11" t="s">
        <v>856</v>
      </c>
      <c r="B92" s="11" t="s">
        <v>680</v>
      </c>
      <c r="C92" s="11" t="s">
        <v>857</v>
      </c>
      <c r="D92" s="11" t="s">
        <v>383</v>
      </c>
      <c r="E92" s="32" t="n">
        <f aca="false">Series!J6</f>
        <v>5828</v>
      </c>
      <c r="F92" s="33" t="n">
        <v>5828</v>
      </c>
      <c r="G92" s="11" t="n">
        <f aca="false">E92-F92</f>
        <v>0</v>
      </c>
      <c r="H92" s="11" t="str">
        <f aca="false">IF(ABS(G92)&lt;=0.000001,"PASS","FAIL")</f>
        <v>PASS</v>
      </c>
    </row>
    <row r="93" customFormat="false" ht="15" hidden="false" customHeight="false" outlineLevel="0" collapsed="false">
      <c r="A93" s="11" t="s">
        <v>858</v>
      </c>
      <c r="B93" s="11" t="s">
        <v>680</v>
      </c>
      <c r="C93" s="11" t="s">
        <v>859</v>
      </c>
      <c r="D93" s="11" t="s">
        <v>394</v>
      </c>
      <c r="E93" s="32" t="n">
        <f aca="false">Series!J7</f>
        <v>6527</v>
      </c>
      <c r="F93" s="33" t="n">
        <v>6527</v>
      </c>
      <c r="G93" s="11" t="n">
        <f aca="false">E93-F93</f>
        <v>0</v>
      </c>
      <c r="H93" s="11" t="str">
        <f aca="false">IF(ABS(G93)&lt;=0.000001,"PASS","FAIL")</f>
        <v>PASS</v>
      </c>
    </row>
    <row r="94" customFormat="false" ht="15" hidden="false" customHeight="false" outlineLevel="0" collapsed="false">
      <c r="A94" s="11" t="s">
        <v>860</v>
      </c>
      <c r="B94" s="11" t="s">
        <v>680</v>
      </c>
      <c r="C94" s="11" t="s">
        <v>861</v>
      </c>
      <c r="D94" s="11" t="s">
        <v>405</v>
      </c>
      <c r="E94" s="32" t="n">
        <f aca="false">Series!J8</f>
        <v>9111</v>
      </c>
      <c r="F94" s="33" t="n">
        <v>9111</v>
      </c>
      <c r="G94" s="11" t="n">
        <f aca="false">E94-F94</f>
        <v>0</v>
      </c>
      <c r="H94" s="11" t="str">
        <f aca="false">IF(ABS(G94)&lt;=0.000001,"PASS","FAIL")</f>
        <v>PASS</v>
      </c>
    </row>
    <row r="95" customFormat="false" ht="15" hidden="false" customHeight="false" outlineLevel="0" collapsed="false">
      <c r="A95" s="11" t="s">
        <v>862</v>
      </c>
      <c r="B95" s="11" t="s">
        <v>680</v>
      </c>
      <c r="C95" s="11" t="s">
        <v>863</v>
      </c>
      <c r="D95" s="11" t="s">
        <v>417</v>
      </c>
      <c r="E95" s="32" t="n">
        <f aca="false">Series!J9</f>
        <v>11093</v>
      </c>
      <c r="F95" s="33" t="n">
        <v>11093</v>
      </c>
      <c r="G95" s="11" t="n">
        <f aca="false">E95-F95</f>
        <v>0</v>
      </c>
      <c r="H95" s="11" t="str">
        <f aca="false">IF(ABS(G95)&lt;=0.000001,"PASS","FAIL")</f>
        <v>PASS</v>
      </c>
    </row>
    <row r="96" customFormat="false" ht="15" hidden="false" customHeight="false" outlineLevel="0" collapsed="false">
      <c r="A96" s="11" t="s">
        <v>864</v>
      </c>
      <c r="B96" s="11" t="s">
        <v>680</v>
      </c>
      <c r="C96" s="11" t="s">
        <v>865</v>
      </c>
      <c r="D96" s="11" t="s">
        <v>429</v>
      </c>
      <c r="E96" s="32" t="n">
        <f aca="false">Series!J10</f>
        <v>12411</v>
      </c>
      <c r="F96" s="33" t="n">
        <v>12411</v>
      </c>
      <c r="G96" s="11" t="n">
        <f aca="false">E96-F96</f>
        <v>0</v>
      </c>
      <c r="H96" s="11" t="str">
        <f aca="false">IF(ABS(G96)&lt;=0.000001,"PASS","FAIL")</f>
        <v>PASS</v>
      </c>
    </row>
    <row r="97" customFormat="false" ht="15" hidden="false" customHeight="false" outlineLevel="0" collapsed="false">
      <c r="A97" s="11" t="s">
        <v>866</v>
      </c>
      <c r="B97" s="11" t="s">
        <v>680</v>
      </c>
      <c r="C97" s="11" t="s">
        <v>867</v>
      </c>
      <c r="D97" s="11" t="s">
        <v>441</v>
      </c>
      <c r="E97" s="32" t="n">
        <f aca="false">Series!J11</f>
        <v>14633</v>
      </c>
      <c r="F97" s="33" t="n">
        <v>14633</v>
      </c>
      <c r="G97" s="11" t="n">
        <f aca="false">E97-F97</f>
        <v>0</v>
      </c>
      <c r="H97" s="11" t="str">
        <f aca="false">IF(ABS(G97)&lt;=0.000001,"PASS","FAIL")</f>
        <v>PASS</v>
      </c>
    </row>
    <row r="98" customFormat="false" ht="15" hidden="false" customHeight="false" outlineLevel="0" collapsed="false">
      <c r="A98" s="11" t="s">
        <v>868</v>
      </c>
      <c r="B98" s="11" t="s">
        <v>680</v>
      </c>
      <c r="C98" s="11" t="s">
        <v>869</v>
      </c>
      <c r="D98" s="11" t="s">
        <v>453</v>
      </c>
      <c r="E98" s="32" t="n">
        <f aca="false">Series!J12</f>
        <v>15240</v>
      </c>
      <c r="F98" s="33" t="n">
        <v>15240</v>
      </c>
      <c r="G98" s="11" t="n">
        <f aca="false">E98-F98</f>
        <v>0</v>
      </c>
      <c r="H98" s="11" t="str">
        <f aca="false">IF(ABS(G98)&lt;=0.000001,"PASS","FAIL")</f>
        <v>PASS</v>
      </c>
    </row>
    <row r="99" customFormat="false" ht="15" hidden="false" customHeight="false" outlineLevel="0" collapsed="false">
      <c r="A99" s="11" t="s">
        <v>870</v>
      </c>
      <c r="B99" s="11" t="s">
        <v>680</v>
      </c>
      <c r="C99" s="11" t="s">
        <v>871</v>
      </c>
      <c r="D99" s="11" t="s">
        <v>465</v>
      </c>
      <c r="E99" s="32" t="n">
        <f aca="false">Series!J13</f>
        <v>15017</v>
      </c>
      <c r="F99" s="33" t="n">
        <v>15017</v>
      </c>
      <c r="G99" s="11" t="n">
        <f aca="false">E99-F99</f>
        <v>0</v>
      </c>
      <c r="H99" s="11" t="str">
        <f aca="false">IF(ABS(G99)&lt;=0.000001,"PASS","FAIL")</f>
        <v>PASS</v>
      </c>
    </row>
    <row r="100" customFormat="false" ht="15" hidden="false" customHeight="false" outlineLevel="0" collapsed="false">
      <c r="A100" s="11" t="s">
        <v>872</v>
      </c>
      <c r="B100" s="11" t="s">
        <v>680</v>
      </c>
      <c r="C100" s="11" t="s">
        <v>873</v>
      </c>
      <c r="D100" s="11" t="s">
        <v>478</v>
      </c>
      <c r="E100" s="32" t="n">
        <f aca="false">Series!J14</f>
        <v>15841</v>
      </c>
      <c r="F100" s="33" t="n">
        <v>15841</v>
      </c>
      <c r="G100" s="11" t="n">
        <f aca="false">E100-F100</f>
        <v>0</v>
      </c>
      <c r="H100" s="11" t="str">
        <f aca="false">IF(ABS(G100)&lt;=0.000001,"PASS","FAIL")</f>
        <v>PASS</v>
      </c>
    </row>
    <row r="101" customFormat="false" ht="15" hidden="false" customHeight="false" outlineLevel="0" collapsed="false">
      <c r="A101" s="11" t="s">
        <v>874</v>
      </c>
      <c r="B101" s="11" t="s">
        <v>680</v>
      </c>
      <c r="C101" s="11" t="s">
        <v>875</v>
      </c>
      <c r="D101" s="11" t="s">
        <v>491</v>
      </c>
      <c r="E101" s="32" t="n">
        <f aca="false">Series!J15</f>
        <v>14652</v>
      </c>
      <c r="F101" s="33" t="n">
        <v>14652</v>
      </c>
      <c r="G101" s="11" t="n">
        <f aca="false">E101-F101</f>
        <v>0</v>
      </c>
      <c r="H101" s="11" t="str">
        <f aca="false">IF(ABS(G101)&lt;=0.000001,"PASS","FAIL")</f>
        <v>PASS</v>
      </c>
    </row>
    <row r="102" customFormat="false" ht="15" hidden="false" customHeight="false" outlineLevel="0" collapsed="false">
      <c r="A102" s="11" t="s">
        <v>876</v>
      </c>
      <c r="B102" s="11" t="s">
        <v>680</v>
      </c>
      <c r="C102" s="11" t="s">
        <v>877</v>
      </c>
      <c r="D102" s="11" t="s">
        <v>504</v>
      </c>
      <c r="E102" s="32" t="n">
        <f aca="false">Series!J16</f>
        <v>15234</v>
      </c>
      <c r="F102" s="33" t="n">
        <v>15234</v>
      </c>
      <c r="G102" s="11" t="n">
        <f aca="false">E102-F102</f>
        <v>0</v>
      </c>
      <c r="H102" s="11" t="str">
        <f aca="false">IF(ABS(G102)&lt;=0.000001,"PASS","FAIL")</f>
        <v>PASS</v>
      </c>
    </row>
    <row r="103" customFormat="false" ht="15" hidden="false" customHeight="false" outlineLevel="0" collapsed="false">
      <c r="A103" s="11" t="s">
        <v>878</v>
      </c>
      <c r="B103" s="11" t="s">
        <v>680</v>
      </c>
      <c r="C103" s="11" t="s">
        <v>879</v>
      </c>
      <c r="D103" s="11" t="s">
        <v>517</v>
      </c>
      <c r="E103" s="32" t="n">
        <f aca="false">Series!J17</f>
        <v>17259</v>
      </c>
      <c r="F103" s="33" t="n">
        <v>17259</v>
      </c>
      <c r="G103" s="11" t="n">
        <f aca="false">E103-F103</f>
        <v>0</v>
      </c>
      <c r="H103" s="11" t="str">
        <f aca="false">IF(ABS(G103)&lt;=0.000001,"PASS","FAIL")</f>
        <v>PASS</v>
      </c>
    </row>
    <row r="104" customFormat="false" ht="15" hidden="false" customHeight="false" outlineLevel="0" collapsed="false">
      <c r="A104" s="11" t="s">
        <v>880</v>
      </c>
      <c r="B104" s="11" t="s">
        <v>680</v>
      </c>
      <c r="C104" s="11" t="s">
        <v>881</v>
      </c>
      <c r="D104" s="11" t="s">
        <v>531</v>
      </c>
      <c r="E104" s="32" t="n">
        <f aca="false">Series!J18</f>
        <v>17579</v>
      </c>
      <c r="F104" s="33" t="n">
        <v>17579</v>
      </c>
      <c r="G104" s="11" t="n">
        <f aca="false">E104-F104</f>
        <v>0</v>
      </c>
      <c r="H104" s="11" t="str">
        <f aca="false">IF(ABS(G104)&lt;=0.000001,"PASS","FAIL")</f>
        <v>PASS</v>
      </c>
    </row>
    <row r="105" customFormat="false" ht="15" hidden="false" customHeight="false" outlineLevel="0" collapsed="false">
      <c r="A105" s="11" t="s">
        <v>882</v>
      </c>
      <c r="B105" s="11" t="s">
        <v>680</v>
      </c>
      <c r="C105" s="11" t="s">
        <v>883</v>
      </c>
      <c r="D105" s="11" t="s">
        <v>545</v>
      </c>
      <c r="E105" s="32" t="n">
        <f aca="false">Series!J19</f>
        <v>18182</v>
      </c>
      <c r="F105" s="33" t="n">
        <v>18182</v>
      </c>
      <c r="G105" s="11" t="n">
        <f aca="false">E105-F105</f>
        <v>0</v>
      </c>
      <c r="H105" s="11" t="str">
        <f aca="false">IF(ABS(G105)&lt;=0.000001,"PASS","FAIL")</f>
        <v>PASS</v>
      </c>
    </row>
    <row r="106" customFormat="false" ht="15" hidden="false" customHeight="false" outlineLevel="0" collapsed="false">
      <c r="A106" s="11" t="s">
        <v>884</v>
      </c>
      <c r="B106" s="11" t="s">
        <v>680</v>
      </c>
      <c r="C106" s="11" t="s">
        <v>885</v>
      </c>
      <c r="D106" s="11" t="s">
        <v>558</v>
      </c>
      <c r="E106" s="32" t="n">
        <f aca="false">Series!J20</f>
        <v>21417</v>
      </c>
      <c r="F106" s="33" t="n">
        <v>21417</v>
      </c>
      <c r="G106" s="11" t="n">
        <f aca="false">E106-F106</f>
        <v>0</v>
      </c>
      <c r="H106" s="11" t="str">
        <f aca="false">IF(ABS(G106)&lt;=0.000001,"PASS","FAIL")</f>
        <v>PASS</v>
      </c>
    </row>
    <row r="107" customFormat="false" ht="15" hidden="false" customHeight="false" outlineLevel="0" collapsed="false">
      <c r="A107" s="11" t="s">
        <v>886</v>
      </c>
      <c r="B107" s="11" t="s">
        <v>680</v>
      </c>
      <c r="C107" s="11" t="s">
        <v>887</v>
      </c>
      <c r="D107" s="11" t="s">
        <v>573</v>
      </c>
      <c r="E107" s="32" t="n">
        <f aca="false">Series!J21</f>
        <v>22958</v>
      </c>
      <c r="F107" s="33" t="n">
        <v>22958</v>
      </c>
      <c r="G107" s="11" t="n">
        <f aca="false">E107-F107</f>
        <v>0</v>
      </c>
      <c r="H107" s="11" t="str">
        <f aca="false">IF(ABS(G107)&lt;=0.000001,"PASS","FAIL")</f>
        <v>PASS</v>
      </c>
    </row>
    <row r="108" customFormat="false" ht="15" hidden="false" customHeight="false" outlineLevel="0" collapsed="false">
      <c r="A108" s="11" t="s">
        <v>888</v>
      </c>
      <c r="B108" s="11" t="s">
        <v>680</v>
      </c>
      <c r="C108" s="11" t="s">
        <v>889</v>
      </c>
      <c r="D108" s="11" t="s">
        <v>589</v>
      </c>
      <c r="E108" s="32" t="n">
        <f aca="false">Series!J22</f>
        <v>24099</v>
      </c>
      <c r="F108" s="33" t="n">
        <v>24099</v>
      </c>
      <c r="G108" s="11" t="n">
        <f aca="false">E108-F108</f>
        <v>0</v>
      </c>
      <c r="H108" s="11" t="str">
        <f aca="false">IF(ABS(G108)&lt;=0.000001,"PASS","FAIL")</f>
        <v>PASS</v>
      </c>
    </row>
    <row r="109" customFormat="false" ht="15" hidden="false" customHeight="false" outlineLevel="0" collapsed="false">
      <c r="A109" s="11" t="s">
        <v>890</v>
      </c>
      <c r="B109" s="11" t="s">
        <v>680</v>
      </c>
      <c r="C109" s="11" t="s">
        <v>891</v>
      </c>
      <c r="D109" s="11" t="s">
        <v>605</v>
      </c>
      <c r="E109" s="32" t="n">
        <f aca="false">Series!J23</f>
        <v>26563</v>
      </c>
      <c r="F109" s="33" t="n">
        <v>26563</v>
      </c>
      <c r="G109" s="11" t="n">
        <f aca="false">E109-F109</f>
        <v>0</v>
      </c>
      <c r="H109" s="11" t="str">
        <f aca="false">IF(ABS(G109)&lt;=0.000001,"PASS","FAIL")</f>
        <v>PASS</v>
      </c>
    </row>
    <row r="110" customFormat="false" ht="15" hidden="false" customHeight="false" outlineLevel="0" collapsed="false">
      <c r="A110" s="11" t="s">
        <v>892</v>
      </c>
      <c r="B110" s="11" t="s">
        <v>680</v>
      </c>
      <c r="C110" s="11" t="s">
        <v>893</v>
      </c>
      <c r="D110" s="11" t="s">
        <v>621</v>
      </c>
      <c r="E110" s="32" t="n">
        <f aca="false">Series!J24</f>
        <v>26971</v>
      </c>
      <c r="F110" s="33" t="n">
        <v>26971</v>
      </c>
      <c r="G110" s="11" t="n">
        <f aca="false">E110-F110</f>
        <v>0</v>
      </c>
      <c r="H110" s="11" t="str">
        <f aca="false">IF(ABS(G110)&lt;=0.000001,"PASS","FAIL")</f>
        <v>PASS</v>
      </c>
    </row>
    <row r="111" customFormat="false" ht="15" hidden="false" customHeight="false" outlineLevel="0" collapsed="false">
      <c r="A111" s="11" t="s">
        <v>894</v>
      </c>
      <c r="B111" s="11" t="s">
        <v>680</v>
      </c>
      <c r="C111" s="11" t="s">
        <v>895</v>
      </c>
      <c r="D111" s="11" t="s">
        <v>636</v>
      </c>
      <c r="E111" s="32" t="n">
        <f aca="false">Series!J25</f>
        <v>29247</v>
      </c>
      <c r="F111" s="33" t="n">
        <v>29247</v>
      </c>
      <c r="G111" s="11" t="n">
        <f aca="false">E111-F111</f>
        <v>0</v>
      </c>
      <c r="H111" s="11" t="str">
        <f aca="false">IF(ABS(G111)&lt;=0.000001,"PASS","FAIL")</f>
        <v>PASS</v>
      </c>
    </row>
    <row r="112" customFormat="false" ht="15" hidden="false" customHeight="false" outlineLevel="0" collapsed="false">
      <c r="A112" s="11" t="s">
        <v>896</v>
      </c>
      <c r="B112" s="11" t="s">
        <v>680</v>
      </c>
      <c r="C112" s="11" t="s">
        <v>897</v>
      </c>
      <c r="D112" s="11" t="s">
        <v>652</v>
      </c>
      <c r="E112" s="32" t="n">
        <f aca="false">Series!J26</f>
        <v>28559</v>
      </c>
      <c r="F112" s="33" t="n">
        <v>28559</v>
      </c>
      <c r="G112" s="11" t="n">
        <f aca="false">E112-F112</f>
        <v>0</v>
      </c>
      <c r="H112" s="11" t="str">
        <f aca="false">IF(ABS(G112)&lt;=0.000001,"PASS","FAIL")</f>
        <v>PASS</v>
      </c>
    </row>
    <row r="113" customFormat="false" ht="15" hidden="false" customHeight="false" outlineLevel="0" collapsed="false">
      <c r="A113" s="11" t="s">
        <v>898</v>
      </c>
      <c r="B113" s="11" t="s">
        <v>680</v>
      </c>
      <c r="C113" s="11" t="s">
        <v>899</v>
      </c>
      <c r="D113" s="11" t="s">
        <v>281</v>
      </c>
      <c r="E113" s="32" t="n">
        <f aca="false">Series!J27</f>
        <v>30665</v>
      </c>
      <c r="F113" s="33" t="n">
        <v>30665</v>
      </c>
      <c r="G113" s="11" t="n">
        <f aca="false">E113-F113</f>
        <v>0</v>
      </c>
      <c r="H113" s="11" t="str">
        <f aca="false">IF(ABS(G113)&lt;=0.000001,"PASS","FAIL")</f>
        <v>PASS</v>
      </c>
    </row>
    <row r="114" customFormat="false" ht="15" hidden="false" customHeight="false" outlineLevel="0" collapsed="false">
      <c r="A114" s="11" t="s">
        <v>900</v>
      </c>
      <c r="B114" s="11" t="s">
        <v>680</v>
      </c>
      <c r="C114" s="11" t="s">
        <v>901</v>
      </c>
      <c r="D114" s="11" t="s">
        <v>384</v>
      </c>
      <c r="E114" s="32" t="n">
        <f aca="false">Series!L6</f>
        <v>-23307</v>
      </c>
      <c r="F114" s="33" t="n">
        <v>-23307</v>
      </c>
      <c r="G114" s="11" t="n">
        <f aca="false">E114-F114</f>
        <v>0</v>
      </c>
      <c r="H114" s="11" t="str">
        <f aca="false">IF(ABS(G114)&lt;=0.000001,"PASS","FAIL")</f>
        <v>PASS</v>
      </c>
    </row>
    <row r="115" customFormat="false" ht="15" hidden="false" customHeight="false" outlineLevel="0" collapsed="false">
      <c r="A115" s="11" t="s">
        <v>902</v>
      </c>
      <c r="B115" s="11" t="s">
        <v>680</v>
      </c>
      <c r="C115" s="11" t="s">
        <v>903</v>
      </c>
      <c r="D115" s="11" t="s">
        <v>395</v>
      </c>
      <c r="E115" s="32" t="n">
        <f aca="false">Series!L7</f>
        <v>-9911</v>
      </c>
      <c r="F115" s="33" t="n">
        <v>-9911</v>
      </c>
      <c r="G115" s="11" t="n">
        <f aca="false">E115-F115</f>
        <v>0</v>
      </c>
      <c r="H115" s="11" t="str">
        <f aca="false">IF(ABS(G115)&lt;=0.000001,"PASS","FAIL")</f>
        <v>PASS</v>
      </c>
    </row>
    <row r="116" customFormat="false" ht="15" hidden="false" customHeight="false" outlineLevel="0" collapsed="false">
      <c r="A116" s="11" t="s">
        <v>904</v>
      </c>
      <c r="B116" s="11" t="s">
        <v>680</v>
      </c>
      <c r="C116" s="11" t="s">
        <v>905</v>
      </c>
      <c r="D116" s="11" t="s">
        <v>406</v>
      </c>
      <c r="E116" s="32" t="n">
        <f aca="false">Series!L8</f>
        <v>-9449</v>
      </c>
      <c r="F116" s="33" t="n">
        <v>-9449</v>
      </c>
      <c r="G116" s="11" t="n">
        <f aca="false">E116-F116</f>
        <v>0</v>
      </c>
      <c r="H116" s="11" t="str">
        <f aca="false">IF(ABS(G116)&lt;=0.000001,"PASS","FAIL")</f>
        <v>PASS</v>
      </c>
    </row>
    <row r="117" customFormat="false" ht="15" hidden="false" customHeight="false" outlineLevel="0" collapsed="false">
      <c r="A117" s="11" t="s">
        <v>906</v>
      </c>
      <c r="B117" s="11" t="s">
        <v>680</v>
      </c>
      <c r="C117" s="11" t="s">
        <v>907</v>
      </c>
      <c r="D117" s="11" t="s">
        <v>418</v>
      </c>
      <c r="E117" s="32" t="n">
        <f aca="false">Series!L9</f>
        <v>-9929</v>
      </c>
      <c r="F117" s="33" t="n">
        <v>-9929</v>
      </c>
      <c r="G117" s="11" t="n">
        <f aca="false">E117-F117</f>
        <v>0</v>
      </c>
      <c r="H117" s="11" t="str">
        <f aca="false">IF(ABS(G117)&lt;=0.000001,"PASS","FAIL")</f>
        <v>PASS</v>
      </c>
    </row>
    <row r="118" customFormat="false" ht="15" hidden="false" customHeight="false" outlineLevel="0" collapsed="false">
      <c r="A118" s="11" t="s">
        <v>908</v>
      </c>
      <c r="B118" s="11" t="s">
        <v>680</v>
      </c>
      <c r="C118" s="11" t="s">
        <v>909</v>
      </c>
      <c r="D118" s="11" t="s">
        <v>430</v>
      </c>
      <c r="E118" s="32" t="n">
        <f aca="false">Series!L10</f>
        <v>-43830</v>
      </c>
      <c r="F118" s="33" t="n">
        <v>-43830</v>
      </c>
      <c r="G118" s="11" t="n">
        <f aca="false">E118-F118</f>
        <v>0</v>
      </c>
      <c r="H118" s="11" t="str">
        <f aca="false">IF(ABS(G118)&lt;=0.000001,"PASS","FAIL")</f>
        <v>PASS</v>
      </c>
    </row>
    <row r="119" customFormat="false" ht="15" hidden="false" customHeight="false" outlineLevel="0" collapsed="false">
      <c r="A119" s="11" t="s">
        <v>910</v>
      </c>
      <c r="B119" s="11" t="s">
        <v>680</v>
      </c>
      <c r="C119" s="11" t="s">
        <v>911</v>
      </c>
      <c r="D119" s="11" t="s">
        <v>442</v>
      </c>
      <c r="E119" s="32" t="n">
        <f aca="false">Series!L11</f>
        <v>-15358</v>
      </c>
      <c r="F119" s="33" t="n">
        <v>-15358</v>
      </c>
      <c r="G119" s="11" t="n">
        <f aca="false">E119-F119</f>
        <v>0</v>
      </c>
      <c r="H119" s="11" t="str">
        <f aca="false">IF(ABS(G119)&lt;=0.000001,"PASS","FAIL")</f>
        <v>PASS</v>
      </c>
    </row>
    <row r="120" customFormat="false" ht="15" hidden="false" customHeight="false" outlineLevel="0" collapsed="false">
      <c r="A120" s="11" t="s">
        <v>912</v>
      </c>
      <c r="B120" s="11" t="s">
        <v>680</v>
      </c>
      <c r="C120" s="11" t="s">
        <v>913</v>
      </c>
      <c r="D120" s="11" t="s">
        <v>454</v>
      </c>
      <c r="E120" s="32" t="n">
        <f aca="false">Series!L12</f>
        <v>-2185</v>
      </c>
      <c r="F120" s="33" t="n">
        <v>-2185</v>
      </c>
      <c r="G120" s="11" t="n">
        <f aca="false">E120-F120</f>
        <v>0</v>
      </c>
      <c r="H120" s="11" t="str">
        <f aca="false">IF(ABS(G120)&lt;=0.000001,"PASS","FAIL")</f>
        <v>PASS</v>
      </c>
    </row>
    <row r="121" customFormat="false" ht="15" hidden="false" customHeight="false" outlineLevel="0" collapsed="false">
      <c r="A121" s="11" t="s">
        <v>914</v>
      </c>
      <c r="B121" s="11" t="s">
        <v>680</v>
      </c>
      <c r="C121" s="11" t="s">
        <v>915</v>
      </c>
      <c r="D121" s="11" t="s">
        <v>466</v>
      </c>
      <c r="E121" s="32" t="n">
        <f aca="false">Series!L13</f>
        <v>14278</v>
      </c>
      <c r="F121" s="33" t="n">
        <v>14278</v>
      </c>
      <c r="G121" s="11" t="n">
        <f aca="false">E121-F121</f>
        <v>0</v>
      </c>
      <c r="H121" s="11" t="str">
        <f aca="false">IF(ABS(G121)&lt;=0.000001,"PASS","FAIL")</f>
        <v>PASS</v>
      </c>
    </row>
    <row r="122" customFormat="false" ht="15" hidden="false" customHeight="false" outlineLevel="0" collapsed="false">
      <c r="A122" s="11" t="s">
        <v>916</v>
      </c>
      <c r="B122" s="11" t="s">
        <v>680</v>
      </c>
      <c r="C122" s="11" t="s">
        <v>917</v>
      </c>
      <c r="D122" s="11" t="s">
        <v>479</v>
      </c>
      <c r="E122" s="32" t="n">
        <f aca="false">Series!L14</f>
        <v>-293</v>
      </c>
      <c r="F122" s="33" t="n">
        <v>-293</v>
      </c>
      <c r="G122" s="11" t="n">
        <f aca="false">E122-F122</f>
        <v>0</v>
      </c>
      <c r="H122" s="11" t="str">
        <f aca="false">IF(ABS(G122)&lt;=0.000001,"PASS","FAIL")</f>
        <v>PASS</v>
      </c>
    </row>
    <row r="123" customFormat="false" ht="15" hidden="false" customHeight="false" outlineLevel="0" collapsed="false">
      <c r="A123" s="11" t="s">
        <v>918</v>
      </c>
      <c r="B123" s="11" t="s">
        <v>680</v>
      </c>
      <c r="C123" s="11" t="s">
        <v>919</v>
      </c>
      <c r="D123" s="11" t="s">
        <v>492</v>
      </c>
      <c r="E123" s="32" t="n">
        <f aca="false">Series!L15</f>
        <v>16617</v>
      </c>
      <c r="F123" s="33" t="n">
        <v>16617</v>
      </c>
      <c r="G123" s="11" t="n">
        <f aca="false">E123-F123</f>
        <v>0</v>
      </c>
      <c r="H123" s="11" t="str">
        <f aca="false">IF(ABS(G123)&lt;=0.000001,"PASS","FAIL")</f>
        <v>PASS</v>
      </c>
    </row>
    <row r="124" customFormat="false" ht="15" hidden="false" customHeight="false" outlineLevel="0" collapsed="false">
      <c r="A124" s="11" t="s">
        <v>920</v>
      </c>
      <c r="B124" s="11" t="s">
        <v>680</v>
      </c>
      <c r="C124" s="11" t="s">
        <v>921</v>
      </c>
      <c r="D124" s="11" t="s">
        <v>505</v>
      </c>
      <c r="E124" s="32" t="n">
        <f aca="false">Series!L16</f>
        <v>24077</v>
      </c>
      <c r="F124" s="33" t="n">
        <v>24077</v>
      </c>
      <c r="G124" s="11" t="n">
        <f aca="false">E124-F124</f>
        <v>0</v>
      </c>
      <c r="H124" s="11" t="str">
        <f aca="false">IF(ABS(G124)&lt;=0.000001,"PASS","FAIL")</f>
        <v>PASS</v>
      </c>
    </row>
    <row r="125" customFormat="false" ht="15" hidden="false" customHeight="false" outlineLevel="0" collapsed="false">
      <c r="A125" s="11" t="s">
        <v>922</v>
      </c>
      <c r="B125" s="11" t="s">
        <v>680</v>
      </c>
      <c r="C125" s="11" t="s">
        <v>923</v>
      </c>
      <c r="D125" s="11" t="s">
        <v>518</v>
      </c>
      <c r="E125" s="32" t="n">
        <f aca="false">Series!L17</f>
        <v>21200</v>
      </c>
      <c r="F125" s="33" t="n">
        <v>21200</v>
      </c>
      <c r="G125" s="11" t="n">
        <f aca="false">E125-F125</f>
        <v>0</v>
      </c>
      <c r="H125" s="11" t="str">
        <f aca="false">IF(ABS(G125)&lt;=0.000001,"PASS","FAIL")</f>
        <v>PASS</v>
      </c>
    </row>
    <row r="126" customFormat="false" ht="15" hidden="false" customHeight="false" outlineLevel="0" collapsed="false">
      <c r="A126" s="11" t="s">
        <v>924</v>
      </c>
      <c r="B126" s="11" t="s">
        <v>680</v>
      </c>
      <c r="C126" s="11" t="s">
        <v>925</v>
      </c>
      <c r="D126" s="11" t="s">
        <v>532</v>
      </c>
      <c r="E126" s="32" t="n">
        <f aca="false">Series!L18</f>
        <v>21521</v>
      </c>
      <c r="F126" s="33" t="n">
        <v>21521</v>
      </c>
      <c r="G126" s="11" t="n">
        <f aca="false">E126-F126</f>
        <v>0</v>
      </c>
      <c r="H126" s="11" t="str">
        <f aca="false">IF(ABS(G126)&lt;=0.000001,"PASS","FAIL")</f>
        <v>PASS</v>
      </c>
    </row>
    <row r="127" customFormat="false" ht="15" hidden="false" customHeight="false" outlineLevel="0" collapsed="false">
      <c r="A127" s="11" t="s">
        <v>926</v>
      </c>
      <c r="B127" s="11" t="s">
        <v>680</v>
      </c>
      <c r="C127" s="11" t="s">
        <v>927</v>
      </c>
      <c r="D127" s="11" t="s">
        <v>546</v>
      </c>
      <c r="E127" s="32" t="n">
        <f aca="false">Series!L19</f>
        <v>38417</v>
      </c>
      <c r="F127" s="33" t="n">
        <v>38417</v>
      </c>
      <c r="G127" s="11" t="n">
        <f aca="false">E127-F127</f>
        <v>0</v>
      </c>
      <c r="H127" s="11" t="str">
        <f aca="false">IF(ABS(G127)&lt;=0.000001,"PASS","FAIL")</f>
        <v>PASS</v>
      </c>
    </row>
    <row r="128" customFormat="false" ht="15" hidden="false" customHeight="false" outlineLevel="0" collapsed="false">
      <c r="A128" s="11" t="s">
        <v>928</v>
      </c>
      <c r="B128" s="11" t="s">
        <v>680</v>
      </c>
      <c r="C128" s="11" t="s">
        <v>929</v>
      </c>
      <c r="D128" s="11" t="s">
        <v>559</v>
      </c>
      <c r="E128" s="32" t="n">
        <f aca="false">Series!L20</f>
        <v>32180</v>
      </c>
      <c r="F128" s="33" t="n">
        <v>32180</v>
      </c>
      <c r="G128" s="11" t="n">
        <f aca="false">E128-F128</f>
        <v>0</v>
      </c>
      <c r="H128" s="11" t="str">
        <f aca="false">IF(ABS(G128)&lt;=0.000001,"PASS","FAIL")</f>
        <v>PASS</v>
      </c>
    </row>
    <row r="129" customFormat="false" ht="15" hidden="false" customHeight="false" outlineLevel="0" collapsed="false">
      <c r="A129" s="11" t="s">
        <v>930</v>
      </c>
      <c r="B129" s="11" t="s">
        <v>680</v>
      </c>
      <c r="C129" s="11" t="s">
        <v>931</v>
      </c>
      <c r="D129" s="11" t="s">
        <v>574</v>
      </c>
      <c r="E129" s="32" t="n">
        <f aca="false">Series!L21</f>
        <v>40265</v>
      </c>
      <c r="F129" s="33" t="n">
        <v>40265</v>
      </c>
      <c r="G129" s="11" t="n">
        <f aca="false">E129-F129</f>
        <v>0</v>
      </c>
      <c r="H129" s="11" t="str">
        <f aca="false">IF(ABS(G129)&lt;=0.000001,"PASS","FAIL")</f>
        <v>PASS</v>
      </c>
    </row>
    <row r="130" customFormat="false" ht="15" hidden="false" customHeight="false" outlineLevel="0" collapsed="false">
      <c r="A130" s="11" t="s">
        <v>932</v>
      </c>
      <c r="B130" s="11" t="s">
        <v>680</v>
      </c>
      <c r="C130" s="11" t="s">
        <v>933</v>
      </c>
      <c r="D130" s="11" t="s">
        <v>590</v>
      </c>
      <c r="E130" s="32" t="n">
        <f aca="false">Series!L22</f>
        <v>40754</v>
      </c>
      <c r="F130" s="33" t="n">
        <v>40754</v>
      </c>
      <c r="G130" s="11" t="n">
        <f aca="false">E130-F130</f>
        <v>0</v>
      </c>
      <c r="H130" s="11" t="str">
        <f aca="false">IF(ABS(G130)&lt;=0.000001,"PASS","FAIL")</f>
        <v>PASS</v>
      </c>
    </row>
    <row r="131" customFormat="false" ht="15" hidden="false" customHeight="false" outlineLevel="0" collapsed="false">
      <c r="A131" s="11" t="s">
        <v>934</v>
      </c>
      <c r="B131" s="11" t="s">
        <v>680</v>
      </c>
      <c r="C131" s="11" t="s">
        <v>935</v>
      </c>
      <c r="D131" s="11" t="s">
        <v>606</v>
      </c>
      <c r="E131" s="32" t="n">
        <f aca="false">Series!L23</f>
        <v>45094</v>
      </c>
      <c r="F131" s="33" t="n">
        <v>45094</v>
      </c>
      <c r="G131" s="11" t="n">
        <f aca="false">E131-F131</f>
        <v>0</v>
      </c>
      <c r="H131" s="11" t="str">
        <f aca="false">IF(ABS(G131)&lt;=0.000001,"PASS","FAIL")</f>
        <v>PASS</v>
      </c>
    </row>
    <row r="132" customFormat="false" ht="15" hidden="false" customHeight="false" outlineLevel="0" collapsed="false">
      <c r="A132" s="11" t="s">
        <v>936</v>
      </c>
      <c r="B132" s="11" t="s">
        <v>680</v>
      </c>
      <c r="C132" s="11" t="s">
        <v>937</v>
      </c>
      <c r="D132" s="11" t="s">
        <v>622</v>
      </c>
      <c r="E132" s="32" t="n">
        <f aca="false">Series!L24</f>
        <v>47484</v>
      </c>
      <c r="F132" s="33" t="n">
        <v>47484</v>
      </c>
      <c r="G132" s="11" t="n">
        <f aca="false">E132-F132</f>
        <v>0</v>
      </c>
      <c r="H132" s="11" t="str">
        <f aca="false">IF(ABS(G132)&lt;=0.000001,"PASS","FAIL")</f>
        <v>PASS</v>
      </c>
    </row>
    <row r="133" customFormat="false" ht="15" hidden="false" customHeight="false" outlineLevel="0" collapsed="false">
      <c r="A133" s="11" t="s">
        <v>938</v>
      </c>
      <c r="B133" s="11" t="s">
        <v>680</v>
      </c>
      <c r="C133" s="11" t="s">
        <v>939</v>
      </c>
      <c r="D133" s="11" t="s">
        <v>637</v>
      </c>
      <c r="E133" s="32" t="n">
        <f aca="false">Series!L25</f>
        <v>41931</v>
      </c>
      <c r="F133" s="33" t="n">
        <v>41931</v>
      </c>
      <c r="G133" s="11" t="n">
        <f aca="false">E133-F133</f>
        <v>0</v>
      </c>
      <c r="H133" s="11" t="str">
        <f aca="false">IF(ABS(G133)&lt;=0.000001,"PASS","FAIL")</f>
        <v>PASS</v>
      </c>
    </row>
    <row r="134" customFormat="false" ht="15" hidden="false" customHeight="false" outlineLevel="0" collapsed="false">
      <c r="A134" s="11" t="s">
        <v>940</v>
      </c>
      <c r="B134" s="11" t="s">
        <v>680</v>
      </c>
      <c r="C134" s="11" t="s">
        <v>941</v>
      </c>
      <c r="D134" s="11" t="s">
        <v>653</v>
      </c>
      <c r="E134" s="32" t="n">
        <f aca="false">Series!L26</f>
        <v>49037</v>
      </c>
      <c r="F134" s="33" t="n">
        <v>49037</v>
      </c>
      <c r="G134" s="11" t="n">
        <f aca="false">E134-F134</f>
        <v>0</v>
      </c>
      <c r="H134" s="11" t="str">
        <f aca="false">IF(ABS(G134)&lt;=0.000001,"PASS","FAIL")</f>
        <v>PASS</v>
      </c>
    </row>
    <row r="135" customFormat="false" ht="15" hidden="false" customHeight="false" outlineLevel="0" collapsed="false">
      <c r="A135" s="11" t="s">
        <v>942</v>
      </c>
      <c r="B135" s="11" t="s">
        <v>680</v>
      </c>
      <c r="C135" s="11" t="s">
        <v>943</v>
      </c>
      <c r="D135" s="11" t="s">
        <v>286</v>
      </c>
      <c r="E135" s="32" t="n">
        <f aca="false">Series!L27</f>
        <v>61110</v>
      </c>
      <c r="F135" s="33" t="n">
        <v>61110</v>
      </c>
      <c r="G135" s="11" t="n">
        <f aca="false">E135-F135</f>
        <v>0</v>
      </c>
      <c r="H135" s="11" t="str">
        <f aca="false">IF(ABS(G135)&lt;=0.000001,"PASS","FAIL")</f>
        <v>PASS</v>
      </c>
    </row>
    <row r="136" customFormat="false" ht="15" hidden="false" customHeight="false" outlineLevel="0" collapsed="false">
      <c r="A136" s="11" t="s">
        <v>944</v>
      </c>
      <c r="B136" s="11" t="s">
        <v>680</v>
      </c>
      <c r="C136" s="11" t="s">
        <v>945</v>
      </c>
      <c r="D136" s="11" t="s">
        <v>385</v>
      </c>
      <c r="E136" s="32" t="n">
        <f aca="false">Series!N6</f>
        <v>14540</v>
      </c>
      <c r="F136" s="33" t="n">
        <v>14540</v>
      </c>
      <c r="G136" s="11" t="n">
        <f aca="false">E136-F136</f>
        <v>0</v>
      </c>
      <c r="H136" s="11" t="str">
        <f aca="false">IF(ABS(G136)&lt;=0.000001,"PASS","FAIL")</f>
        <v>PASS</v>
      </c>
    </row>
    <row r="137" customFormat="false" ht="15" hidden="false" customHeight="false" outlineLevel="0" collapsed="false">
      <c r="A137" s="11" t="s">
        <v>946</v>
      </c>
      <c r="B137" s="11" t="s">
        <v>680</v>
      </c>
      <c r="C137" s="11" t="s">
        <v>947</v>
      </c>
      <c r="D137" s="11" t="s">
        <v>396</v>
      </c>
      <c r="E137" s="32" t="n">
        <f aca="false">Series!N7</f>
        <v>17558</v>
      </c>
      <c r="F137" s="33" t="n">
        <v>17558</v>
      </c>
      <c r="G137" s="11" t="n">
        <f aca="false">E137-F137</f>
        <v>0</v>
      </c>
      <c r="H137" s="11" t="str">
        <f aca="false">IF(ABS(G137)&lt;=0.000001,"PASS","FAIL")</f>
        <v>PASS</v>
      </c>
    </row>
    <row r="138" customFormat="false" ht="15" hidden="false" customHeight="false" outlineLevel="0" collapsed="false">
      <c r="A138" s="11" t="s">
        <v>948</v>
      </c>
      <c r="B138" s="11" t="s">
        <v>680</v>
      </c>
      <c r="C138" s="11" t="s">
        <v>949</v>
      </c>
      <c r="D138" s="11" t="s">
        <v>407</v>
      </c>
      <c r="E138" s="32" t="n">
        <f aca="false">Series!N8</f>
        <v>19762</v>
      </c>
      <c r="F138" s="33" t="n">
        <v>19762</v>
      </c>
      <c r="G138" s="11" t="n">
        <f aca="false">E138-F138</f>
        <v>0</v>
      </c>
      <c r="H138" s="11" t="str">
        <f aca="false">IF(ABS(G138)&lt;=0.000001,"PASS","FAIL")</f>
        <v>PASS</v>
      </c>
    </row>
    <row r="139" customFormat="false" ht="15" hidden="false" customHeight="false" outlineLevel="0" collapsed="false">
      <c r="A139" s="11" t="s">
        <v>950</v>
      </c>
      <c r="B139" s="11" t="s">
        <v>680</v>
      </c>
      <c r="C139" s="11" t="s">
        <v>951</v>
      </c>
      <c r="D139" s="11" t="s">
        <v>419</v>
      </c>
      <c r="E139" s="32" t="n">
        <f aca="false">Series!N9</f>
        <v>21669</v>
      </c>
      <c r="F139" s="33" t="n">
        <v>21669</v>
      </c>
      <c r="G139" s="11" t="n">
        <f aca="false">E139-F139</f>
        <v>0</v>
      </c>
      <c r="H139" s="11" t="str">
        <f aca="false">IF(ABS(G139)&lt;=0.000001,"PASS","FAIL")</f>
        <v>PASS</v>
      </c>
    </row>
    <row r="140" customFormat="false" ht="15" hidden="false" customHeight="false" outlineLevel="0" collapsed="false">
      <c r="A140" s="11" t="s">
        <v>952</v>
      </c>
      <c r="B140" s="11" t="s">
        <v>680</v>
      </c>
      <c r="C140" s="11" t="s">
        <v>953</v>
      </c>
      <c r="D140" s="11" t="s">
        <v>431</v>
      </c>
      <c r="E140" s="32" t="n">
        <f aca="false">Series!N10</f>
        <v>23666</v>
      </c>
      <c r="F140" s="33" t="n">
        <v>23666</v>
      </c>
      <c r="G140" s="11" t="n">
        <f aca="false">E140-F140</f>
        <v>0</v>
      </c>
      <c r="H140" s="11" t="str">
        <f aca="false">IF(ABS(G140)&lt;=0.000001,"PASS","FAIL")</f>
        <v>PASS</v>
      </c>
    </row>
    <row r="141" customFormat="false" ht="15" hidden="false" customHeight="false" outlineLevel="0" collapsed="false">
      <c r="A141" s="11" t="s">
        <v>954</v>
      </c>
      <c r="B141" s="11" t="s">
        <v>680</v>
      </c>
      <c r="C141" s="11" t="s">
        <v>955</v>
      </c>
      <c r="D141" s="11" t="s">
        <v>443</v>
      </c>
      <c r="E141" s="32" t="n">
        <f aca="false">Series!N11</f>
        <v>30822</v>
      </c>
      <c r="F141" s="33" t="n">
        <v>30822</v>
      </c>
      <c r="G141" s="11" t="n">
        <f aca="false">E141-F141</f>
        <v>0</v>
      </c>
      <c r="H141" s="11" t="str">
        <f aca="false">IF(ABS(G141)&lt;=0.000001,"PASS","FAIL")</f>
        <v>PASS</v>
      </c>
    </row>
    <row r="142" customFormat="false" ht="15" hidden="false" customHeight="false" outlineLevel="0" collapsed="false">
      <c r="A142" s="11" t="s">
        <v>956</v>
      </c>
      <c r="B142" s="11" t="s">
        <v>680</v>
      </c>
      <c r="C142" s="11" t="s">
        <v>957</v>
      </c>
      <c r="D142" s="11" t="s">
        <v>455</v>
      </c>
      <c r="E142" s="32" t="n">
        <f aca="false">Series!N12</f>
        <v>26054</v>
      </c>
      <c r="F142" s="33" t="n">
        <v>26054</v>
      </c>
      <c r="G142" s="11" t="n">
        <f aca="false">E142-F142</f>
        <v>0</v>
      </c>
      <c r="H142" s="11" t="str">
        <f aca="false">IF(ABS(G142)&lt;=0.000001,"PASS","FAIL")</f>
        <v>PASS</v>
      </c>
    </row>
    <row r="143" customFormat="false" ht="15" hidden="false" customHeight="false" outlineLevel="0" collapsed="false">
      <c r="A143" s="11" t="s">
        <v>958</v>
      </c>
      <c r="B143" s="11" t="s">
        <v>680</v>
      </c>
      <c r="C143" s="11" t="s">
        <v>959</v>
      </c>
      <c r="D143" s="11" t="s">
        <v>467</v>
      </c>
      <c r="E143" s="32" t="n">
        <f aca="false">Series!N13</f>
        <v>24378</v>
      </c>
      <c r="F143" s="33" t="n">
        <v>24378</v>
      </c>
      <c r="G143" s="11" t="n">
        <f aca="false">E143-F143</f>
        <v>0</v>
      </c>
      <c r="H143" s="11" t="str">
        <f aca="false">IF(ABS(G143)&lt;=0.000001,"PASS","FAIL")</f>
        <v>PASS</v>
      </c>
    </row>
    <row r="144" customFormat="false" ht="15" hidden="false" customHeight="false" outlineLevel="0" collapsed="false">
      <c r="A144" s="11" t="s">
        <v>960</v>
      </c>
      <c r="B144" s="11" t="s">
        <v>680</v>
      </c>
      <c r="C144" s="11" t="s">
        <v>961</v>
      </c>
      <c r="D144" s="11" t="s">
        <v>480</v>
      </c>
      <c r="E144" s="32" t="n">
        <f aca="false">Series!N14</f>
        <v>22459</v>
      </c>
      <c r="F144" s="33" t="n">
        <v>22459</v>
      </c>
      <c r="G144" s="11" t="n">
        <f aca="false">E144-F144</f>
        <v>0</v>
      </c>
      <c r="H144" s="11" t="str">
        <f aca="false">IF(ABS(G144)&lt;=0.000001,"PASS","FAIL")</f>
        <v>PASS</v>
      </c>
    </row>
    <row r="145" customFormat="false" ht="15" hidden="false" customHeight="false" outlineLevel="0" collapsed="false">
      <c r="A145" s="11" t="s">
        <v>962</v>
      </c>
      <c r="B145" s="11" t="s">
        <v>680</v>
      </c>
      <c r="C145" s="11" t="s">
        <v>963</v>
      </c>
      <c r="D145" s="11" t="s">
        <v>493</v>
      </c>
      <c r="E145" s="32" t="n">
        <f aca="false">Series!N15</f>
        <v>28784</v>
      </c>
      <c r="F145" s="33" t="n">
        <v>28784</v>
      </c>
      <c r="G145" s="11" t="n">
        <f aca="false">E145-F145</f>
        <v>0</v>
      </c>
      <c r="H145" s="11" t="str">
        <f aca="false">IF(ABS(G145)&lt;=0.000001,"PASS","FAIL")</f>
        <v>PASS</v>
      </c>
    </row>
    <row r="146" customFormat="false" ht="15" hidden="false" customHeight="false" outlineLevel="0" collapsed="false">
      <c r="A146" s="11" t="s">
        <v>964</v>
      </c>
      <c r="B146" s="11" t="s">
        <v>680</v>
      </c>
      <c r="C146" s="11" t="s">
        <v>965</v>
      </c>
      <c r="D146" s="11" t="s">
        <v>506</v>
      </c>
      <c r="E146" s="32" t="n">
        <f aca="false">Series!N16</f>
        <v>26598</v>
      </c>
      <c r="F146" s="33" t="n">
        <v>26598</v>
      </c>
      <c r="G146" s="11" t="n">
        <f aca="false">E146-F146</f>
        <v>0</v>
      </c>
      <c r="H146" s="11" t="str">
        <f aca="false">IF(ABS(G146)&lt;=0.000001,"PASS","FAIL")</f>
        <v>PASS</v>
      </c>
    </row>
    <row r="147" customFormat="false" ht="15" hidden="false" customHeight="false" outlineLevel="0" collapsed="false">
      <c r="A147" s="11" t="s">
        <v>966</v>
      </c>
      <c r="B147" s="11" t="s">
        <v>680</v>
      </c>
      <c r="C147" s="11" t="s">
        <v>967</v>
      </c>
      <c r="D147" s="11" t="s">
        <v>519</v>
      </c>
      <c r="E147" s="32" t="n">
        <f aca="false">Series!N17</f>
        <v>22345</v>
      </c>
      <c r="F147" s="33" t="n">
        <v>22345</v>
      </c>
      <c r="G147" s="11" t="n">
        <f aca="false">E147-F147</f>
        <v>0</v>
      </c>
      <c r="H147" s="11" t="str">
        <f aca="false">IF(ABS(G147)&lt;=0.000001,"PASS","FAIL")</f>
        <v>PASS</v>
      </c>
    </row>
    <row r="148" customFormat="false" ht="15" hidden="false" customHeight="false" outlineLevel="0" collapsed="false">
      <c r="A148" s="11" t="s">
        <v>968</v>
      </c>
      <c r="B148" s="11" t="s">
        <v>680</v>
      </c>
      <c r="C148" s="11" t="s">
        <v>969</v>
      </c>
      <c r="D148" s="11" t="s">
        <v>533</v>
      </c>
      <c r="E148" s="32" t="n">
        <f aca="false">Series!N18</f>
        <v>26543</v>
      </c>
      <c r="F148" s="33" t="n">
        <v>26543</v>
      </c>
      <c r="G148" s="11" t="n">
        <f aca="false">E148-F148</f>
        <v>0</v>
      </c>
      <c r="H148" s="11" t="str">
        <f aca="false">IF(ABS(G148)&lt;=0.000001,"PASS","FAIL")</f>
        <v>PASS</v>
      </c>
    </row>
    <row r="149" customFormat="false" ht="15" hidden="false" customHeight="false" outlineLevel="0" collapsed="false">
      <c r="A149" s="11" t="s">
        <v>970</v>
      </c>
      <c r="B149" s="11" t="s">
        <v>680</v>
      </c>
      <c r="C149" s="11" t="s">
        <v>971</v>
      </c>
      <c r="D149" s="11" t="s">
        <v>547</v>
      </c>
      <c r="E149" s="32" t="n">
        <f aca="false">Series!N19</f>
        <v>36623</v>
      </c>
      <c r="F149" s="33" t="n">
        <v>36623</v>
      </c>
      <c r="G149" s="11" t="n">
        <f aca="false">E149-F149</f>
        <v>0</v>
      </c>
      <c r="H149" s="11" t="str">
        <f aca="false">IF(ABS(G149)&lt;=0.000001,"PASS","FAIL")</f>
        <v>PASS</v>
      </c>
    </row>
    <row r="150" customFormat="false" ht="15" hidden="false" customHeight="false" outlineLevel="0" collapsed="false">
      <c r="A150" s="11" t="s">
        <v>972</v>
      </c>
      <c r="B150" s="11" t="s">
        <v>680</v>
      </c>
      <c r="C150" s="11" t="s">
        <v>973</v>
      </c>
      <c r="D150" s="11" t="s">
        <v>560</v>
      </c>
      <c r="E150" s="32" t="n">
        <f aca="false">Series!N20</f>
        <v>35374</v>
      </c>
      <c r="F150" s="33" t="n">
        <v>35374</v>
      </c>
      <c r="G150" s="11" t="n">
        <f aca="false">E150-F150</f>
        <v>0</v>
      </c>
      <c r="H150" s="11" t="str">
        <f aca="false">IF(ABS(G150)&lt;=0.000001,"PASS","FAIL")</f>
        <v>PASS</v>
      </c>
    </row>
    <row r="151" customFormat="false" ht="15" hidden="false" customHeight="false" outlineLevel="0" collapsed="false">
      <c r="A151" s="11" t="s">
        <v>974</v>
      </c>
      <c r="B151" s="11" t="s">
        <v>680</v>
      </c>
      <c r="C151" s="11" t="s">
        <v>975</v>
      </c>
      <c r="D151" s="11" t="s">
        <v>575</v>
      </c>
      <c r="E151" s="32" t="n">
        <f aca="false">Series!N21</f>
        <v>30669</v>
      </c>
      <c r="F151" s="33" t="n">
        <v>30669</v>
      </c>
      <c r="G151" s="11" t="n">
        <f aca="false">E151-F151</f>
        <v>0</v>
      </c>
      <c r="H151" s="11" t="str">
        <f aca="false">IF(ABS(G151)&lt;=0.000001,"PASS","FAIL")</f>
        <v>PASS</v>
      </c>
    </row>
    <row r="152" customFormat="false" ht="15" hidden="false" customHeight="false" outlineLevel="0" collapsed="false">
      <c r="A152" s="11" t="s">
        <v>976</v>
      </c>
      <c r="B152" s="11" t="s">
        <v>680</v>
      </c>
      <c r="C152" s="11" t="s">
        <v>977</v>
      </c>
      <c r="D152" s="11" t="s">
        <v>591</v>
      </c>
      <c r="E152" s="32" t="n">
        <f aca="false">Series!N22</f>
        <v>30958</v>
      </c>
      <c r="F152" s="33" t="n">
        <v>30958</v>
      </c>
      <c r="G152" s="11" t="n">
        <f aca="false">E152-F152</f>
        <v>0</v>
      </c>
      <c r="H152" s="11" t="str">
        <f aca="false">IF(ABS(G152)&lt;=0.000001,"PASS","FAIL")</f>
        <v>PASS</v>
      </c>
    </row>
    <row r="153" customFormat="false" ht="15" hidden="false" customHeight="false" outlineLevel="0" collapsed="false">
      <c r="A153" s="11" t="s">
        <v>978</v>
      </c>
      <c r="B153" s="11" t="s">
        <v>680</v>
      </c>
      <c r="C153" s="11" t="s">
        <v>979</v>
      </c>
      <c r="D153" s="11" t="s">
        <v>607</v>
      </c>
      <c r="E153" s="32" t="n">
        <f aca="false">Series!N23</f>
        <v>56645</v>
      </c>
      <c r="F153" s="33" t="n">
        <v>56645</v>
      </c>
      <c r="G153" s="11" t="n">
        <f aca="false">E153-F153</f>
        <v>0</v>
      </c>
      <c r="H153" s="11" t="str">
        <f aca="false">IF(ABS(G153)&lt;=0.000001,"PASS","FAIL")</f>
        <v>PASS</v>
      </c>
    </row>
    <row r="154" customFormat="false" ht="15" hidden="false" customHeight="false" outlineLevel="0" collapsed="false">
      <c r="A154" s="11" t="s">
        <v>980</v>
      </c>
      <c r="B154" s="11" t="s">
        <v>680</v>
      </c>
      <c r="C154" s="11" t="s">
        <v>981</v>
      </c>
      <c r="D154" s="11" t="s">
        <v>623</v>
      </c>
      <c r="E154" s="32" t="n">
        <f aca="false">Series!N24</f>
        <v>49862</v>
      </c>
      <c r="F154" s="33" t="n">
        <v>49862</v>
      </c>
      <c r="G154" s="11" t="n">
        <f aca="false">E154-F154</f>
        <v>0</v>
      </c>
      <c r="H154" s="11" t="str">
        <f aca="false">IF(ABS(G154)&lt;=0.000001,"PASS","FAIL")</f>
        <v>PASS</v>
      </c>
    </row>
    <row r="155" customFormat="false" ht="15" hidden="false" customHeight="false" outlineLevel="0" collapsed="false">
      <c r="A155" s="11" t="s">
        <v>982</v>
      </c>
      <c r="B155" s="11" t="s">
        <v>680</v>
      </c>
      <c r="C155" s="11" t="s">
        <v>983</v>
      </c>
      <c r="D155" s="11" t="s">
        <v>638</v>
      </c>
      <c r="E155" s="32" t="n">
        <f aca="false">Series!N25</f>
        <v>39546</v>
      </c>
      <c r="F155" s="33" t="n">
        <v>39546</v>
      </c>
      <c r="G155" s="11" t="n">
        <f aca="false">E155-F155</f>
        <v>0</v>
      </c>
      <c r="H155" s="11" t="str">
        <f aca="false">IF(ABS(G155)&lt;=0.000001,"PASS","FAIL")</f>
        <v>PASS</v>
      </c>
    </row>
    <row r="156" customFormat="false" ht="15" hidden="false" customHeight="false" outlineLevel="0" collapsed="false">
      <c r="A156" s="11" t="s">
        <v>984</v>
      </c>
      <c r="B156" s="11" t="s">
        <v>680</v>
      </c>
      <c r="C156" s="11" t="s">
        <v>985</v>
      </c>
      <c r="D156" s="11" t="s">
        <v>654</v>
      </c>
      <c r="E156" s="32" t="n">
        <f aca="false">Series!N26</f>
        <v>29283</v>
      </c>
      <c r="F156" s="33" t="n">
        <v>29283</v>
      </c>
      <c r="G156" s="11" t="n">
        <f aca="false">E156-F156</f>
        <v>0</v>
      </c>
      <c r="H156" s="11" t="str">
        <f aca="false">IF(ABS(G156)&lt;=0.000001,"PASS","FAIL")</f>
        <v>PASS</v>
      </c>
    </row>
    <row r="157" customFormat="false" ht="15" hidden="false" customHeight="false" outlineLevel="0" collapsed="false">
      <c r="A157" s="11" t="s">
        <v>986</v>
      </c>
      <c r="B157" s="11" t="s">
        <v>680</v>
      </c>
      <c r="C157" s="11" t="s">
        <v>987</v>
      </c>
      <c r="D157" s="11" t="s">
        <v>314</v>
      </c>
      <c r="E157" s="32" t="n">
        <f aca="false">Series!N27</f>
        <v>41218</v>
      </c>
      <c r="F157" s="33" t="n">
        <v>41218</v>
      </c>
      <c r="G157" s="11" t="n">
        <f aca="false">E157-F157</f>
        <v>0</v>
      </c>
      <c r="H157" s="11" t="str">
        <f aca="false">IF(ABS(G157)&lt;=0.000001,"PASS","FAIL")</f>
        <v>PASS</v>
      </c>
    </row>
    <row r="158" customFormat="false" ht="15" hidden="false" customHeight="false" outlineLevel="0" collapsed="false">
      <c r="A158" s="11" t="s">
        <v>988</v>
      </c>
      <c r="B158" s="11" t="s">
        <v>680</v>
      </c>
      <c r="C158" s="11" t="s">
        <v>989</v>
      </c>
      <c r="D158" s="11" t="s">
        <v>386</v>
      </c>
      <c r="E158" s="32" t="n">
        <f aca="false">Series!P6</f>
        <v>-1595</v>
      </c>
      <c r="F158" s="33" t="n">
        <v>-1595</v>
      </c>
      <c r="G158" s="11" t="n">
        <f aca="false">E158-F158</f>
        <v>0</v>
      </c>
      <c r="H158" s="11" t="str">
        <f aca="false">IF(ABS(G158)&lt;=0.000001,"PASS","FAIL")</f>
        <v>PASS</v>
      </c>
    </row>
    <row r="159" customFormat="false" ht="15" hidden="false" customHeight="false" outlineLevel="0" collapsed="false">
      <c r="A159" s="11" t="s">
        <v>990</v>
      </c>
      <c r="B159" s="11" t="s">
        <v>680</v>
      </c>
      <c r="C159" s="11" t="s">
        <v>991</v>
      </c>
      <c r="D159" s="11" t="s">
        <v>397</v>
      </c>
      <c r="E159" s="32" t="n">
        <f aca="false">Series!P7</f>
        <v>-1480</v>
      </c>
      <c r="F159" s="33" t="n">
        <v>-1480</v>
      </c>
      <c r="G159" s="11" t="n">
        <f aca="false">E159-F159</f>
        <v>0</v>
      </c>
      <c r="H159" s="11" t="str">
        <f aca="false">IF(ABS(G159)&lt;=0.000001,"PASS","FAIL")</f>
        <v>PASS</v>
      </c>
    </row>
    <row r="160" customFormat="false" ht="15" hidden="false" customHeight="false" outlineLevel="0" collapsed="false">
      <c r="A160" s="11" t="s">
        <v>992</v>
      </c>
      <c r="B160" s="11" t="s">
        <v>680</v>
      </c>
      <c r="C160" s="11" t="s">
        <v>993</v>
      </c>
      <c r="D160" s="11" t="s">
        <v>408</v>
      </c>
      <c r="E160" s="32" t="n">
        <f aca="false">Series!P8</f>
        <v>2865</v>
      </c>
      <c r="F160" s="33" t="n">
        <v>2865</v>
      </c>
      <c r="G160" s="11" t="n">
        <f aca="false">E160-F160</f>
        <v>0</v>
      </c>
      <c r="H160" s="11" t="str">
        <f aca="false">IF(ABS(G160)&lt;=0.000001,"PASS","FAIL")</f>
        <v>PASS</v>
      </c>
    </row>
    <row r="161" customFormat="false" ht="15" hidden="false" customHeight="false" outlineLevel="0" collapsed="false">
      <c r="A161" s="11" t="s">
        <v>994</v>
      </c>
      <c r="B161" s="11" t="s">
        <v>680</v>
      </c>
      <c r="C161" s="11" t="s">
        <v>995</v>
      </c>
      <c r="D161" s="11" t="s">
        <v>420</v>
      </c>
      <c r="E161" s="32" t="n">
        <f aca="false">Series!P9</f>
        <v>10110</v>
      </c>
      <c r="F161" s="33" t="n">
        <v>10110</v>
      </c>
      <c r="G161" s="11" t="n">
        <f aca="false">E161-F161</f>
        <v>0</v>
      </c>
      <c r="H161" s="11" t="str">
        <f aca="false">IF(ABS(G161)&lt;=0.000001,"PASS","FAIL")</f>
        <v>PASS</v>
      </c>
    </row>
    <row r="162" customFormat="false" ht="15" hidden="false" customHeight="false" outlineLevel="0" collapsed="false">
      <c r="A162" s="11" t="s">
        <v>996</v>
      </c>
      <c r="B162" s="11" t="s">
        <v>680</v>
      </c>
      <c r="C162" s="11" t="s">
        <v>997</v>
      </c>
      <c r="D162" s="11" t="s">
        <v>432</v>
      </c>
      <c r="E162" s="32" t="n">
        <f aca="false">Series!P10</f>
        <v>-16192</v>
      </c>
      <c r="F162" s="33" t="n">
        <v>-16192</v>
      </c>
      <c r="G162" s="11" t="n">
        <f aca="false">E162-F162</f>
        <v>0</v>
      </c>
      <c r="H162" s="11" t="str">
        <f aca="false">IF(ABS(G162)&lt;=0.000001,"PASS","FAIL")</f>
        <v>PASS</v>
      </c>
    </row>
    <row r="163" customFormat="false" ht="15" hidden="false" customHeight="false" outlineLevel="0" collapsed="false">
      <c r="A163" s="11" t="s">
        <v>998</v>
      </c>
      <c r="B163" s="11" t="s">
        <v>680</v>
      </c>
      <c r="C163" s="11" t="s">
        <v>999</v>
      </c>
      <c r="D163" s="11" t="s">
        <v>444</v>
      </c>
      <c r="E163" s="32" t="n">
        <f aca="false">Series!P11</f>
        <v>-19295</v>
      </c>
      <c r="F163" s="33" t="n">
        <v>-19295</v>
      </c>
      <c r="G163" s="11" t="n">
        <f aca="false">E163-F163</f>
        <v>0</v>
      </c>
      <c r="H163" s="11" t="str">
        <f aca="false">IF(ABS(G163)&lt;=0.000001,"PASS","FAIL")</f>
        <v>PASS</v>
      </c>
    </row>
    <row r="164" customFormat="false" ht="15" hidden="false" customHeight="false" outlineLevel="0" collapsed="false">
      <c r="A164" s="11" t="s">
        <v>1000</v>
      </c>
      <c r="B164" s="11" t="s">
        <v>680</v>
      </c>
      <c r="C164" s="11" t="s">
        <v>1001</v>
      </c>
      <c r="D164" s="11" t="s">
        <v>456</v>
      </c>
      <c r="E164" s="32" t="n">
        <f aca="false">Series!P12</f>
        <v>13959</v>
      </c>
      <c r="F164" s="33" t="n">
        <v>13959</v>
      </c>
      <c r="G164" s="11" t="n">
        <f aca="false">E164-F164</f>
        <v>0</v>
      </c>
      <c r="H164" s="11" t="str">
        <f aca="false">IF(ABS(G164)&lt;=0.000001,"PASS","FAIL")</f>
        <v>PASS</v>
      </c>
    </row>
    <row r="165" customFormat="false" ht="15" hidden="false" customHeight="false" outlineLevel="0" collapsed="false">
      <c r="A165" s="11" t="s">
        <v>1002</v>
      </c>
      <c r="B165" s="11" t="s">
        <v>680</v>
      </c>
      <c r="C165" s="11" t="s">
        <v>1003</v>
      </c>
      <c r="D165" s="11" t="s">
        <v>468</v>
      </c>
      <c r="E165" s="32" t="n">
        <f aca="false">Series!P13</f>
        <v>29665</v>
      </c>
      <c r="F165" s="33" t="n">
        <v>29665</v>
      </c>
      <c r="G165" s="11" t="n">
        <f aca="false">E165-F165</f>
        <v>0</v>
      </c>
      <c r="H165" s="11" t="str">
        <f aca="false">IF(ABS(G165)&lt;=0.000001,"PASS","FAIL")</f>
        <v>PASS</v>
      </c>
    </row>
    <row r="166" customFormat="false" ht="15" hidden="false" customHeight="false" outlineLevel="0" collapsed="false">
      <c r="A166" s="11" t="s">
        <v>1004</v>
      </c>
      <c r="B166" s="11" t="s">
        <v>680</v>
      </c>
      <c r="C166" s="11" t="s">
        <v>1005</v>
      </c>
      <c r="D166" s="11" t="s">
        <v>481</v>
      </c>
      <c r="E166" s="32" t="n">
        <f aca="false">Series!P14</f>
        <v>38682</v>
      </c>
      <c r="F166" s="33" t="n">
        <v>38682</v>
      </c>
      <c r="G166" s="11" t="n">
        <f aca="false">E166-F166</f>
        <v>0</v>
      </c>
      <c r="H166" s="11" t="str">
        <f aca="false">IF(ABS(G166)&lt;=0.000001,"PASS","FAIL")</f>
        <v>PASS</v>
      </c>
    </row>
    <row r="167" customFormat="false" ht="15" hidden="false" customHeight="false" outlineLevel="0" collapsed="false">
      <c r="A167" s="11" t="s">
        <v>1006</v>
      </c>
      <c r="B167" s="11" t="s">
        <v>680</v>
      </c>
      <c r="C167" s="11" t="s">
        <v>1007</v>
      </c>
      <c r="D167" s="11" t="s">
        <v>494</v>
      </c>
      <c r="E167" s="32" t="n">
        <f aca="false">Series!P15</f>
        <v>45932</v>
      </c>
      <c r="F167" s="33" t="n">
        <v>45932</v>
      </c>
      <c r="G167" s="11" t="n">
        <f aca="false">E167-F167</f>
        <v>0</v>
      </c>
      <c r="H167" s="11" t="str">
        <f aca="false">IF(ABS(G167)&lt;=0.000001,"PASS","FAIL")</f>
        <v>PASS</v>
      </c>
    </row>
    <row r="168" customFormat="false" ht="15" hidden="false" customHeight="false" outlineLevel="0" collapsed="false">
      <c r="A168" s="11" t="s">
        <v>1008</v>
      </c>
      <c r="B168" s="11" t="s">
        <v>680</v>
      </c>
      <c r="C168" s="11" t="s">
        <v>1009</v>
      </c>
      <c r="D168" s="11" t="s">
        <v>507</v>
      </c>
      <c r="E168" s="32" t="n">
        <f aca="false">Series!P16</f>
        <v>64890</v>
      </c>
      <c r="F168" s="33" t="n">
        <v>64890</v>
      </c>
      <c r="G168" s="11" t="n">
        <f aca="false">E168-F168</f>
        <v>0</v>
      </c>
      <c r="H168" s="11" t="str">
        <f aca="false">IF(ABS(G168)&lt;=0.000001,"PASS","FAIL")</f>
        <v>PASS</v>
      </c>
    </row>
    <row r="169" customFormat="false" ht="15" hidden="false" customHeight="false" outlineLevel="0" collapsed="false">
      <c r="A169" s="11" t="s">
        <v>1010</v>
      </c>
      <c r="B169" s="11" t="s">
        <v>680</v>
      </c>
      <c r="C169" s="11" t="s">
        <v>1011</v>
      </c>
      <c r="D169" s="11" t="s">
        <v>520</v>
      </c>
      <c r="E169" s="32" t="n">
        <f aca="false">Series!P17</f>
        <v>55441</v>
      </c>
      <c r="F169" s="33" t="n">
        <v>55441</v>
      </c>
      <c r="G169" s="11" t="n">
        <f aca="false">E169-F169</f>
        <v>0</v>
      </c>
      <c r="H169" s="11" t="str">
        <f aca="false">IF(ABS(G169)&lt;=0.000001,"PASS","FAIL")</f>
        <v>PASS</v>
      </c>
    </row>
    <row r="170" customFormat="false" ht="15" hidden="false" customHeight="false" outlineLevel="0" collapsed="false">
      <c r="A170" s="11" t="s">
        <v>1012</v>
      </c>
      <c r="B170" s="11" t="s">
        <v>680</v>
      </c>
      <c r="C170" s="11" t="s">
        <v>1013</v>
      </c>
      <c r="D170" s="11" t="s">
        <v>534</v>
      </c>
      <c r="E170" s="32" t="n">
        <f aca="false">Series!P18</f>
        <v>89894</v>
      </c>
      <c r="F170" s="33" t="n">
        <v>89894</v>
      </c>
      <c r="G170" s="11" t="n">
        <f aca="false">E170-F170</f>
        <v>0</v>
      </c>
      <c r="H170" s="11" t="str">
        <f aca="false">IF(ABS(G170)&lt;=0.000001,"PASS","FAIL")</f>
        <v>PASS</v>
      </c>
    </row>
    <row r="171" customFormat="false" ht="15" hidden="false" customHeight="false" outlineLevel="0" collapsed="false">
      <c r="A171" s="11" t="s">
        <v>1014</v>
      </c>
      <c r="B171" s="11" t="s">
        <v>680</v>
      </c>
      <c r="C171" s="11" t="s">
        <v>1015</v>
      </c>
      <c r="D171" s="11" t="s">
        <v>548</v>
      </c>
      <c r="E171" s="32" t="n">
        <f aca="false">Series!P19</f>
        <v>50821</v>
      </c>
      <c r="F171" s="33" t="n">
        <v>50821</v>
      </c>
      <c r="G171" s="11" t="n">
        <f aca="false">E171-F171</f>
        <v>0</v>
      </c>
      <c r="H171" s="11" t="str">
        <f aca="false">IF(ABS(G171)&lt;=0.000001,"PASS","FAIL")</f>
        <v>PASS</v>
      </c>
    </row>
    <row r="172" customFormat="false" ht="15" hidden="false" customHeight="false" outlineLevel="0" collapsed="false">
      <c r="A172" s="11" t="s">
        <v>1016</v>
      </c>
      <c r="B172" s="11" t="s">
        <v>680</v>
      </c>
      <c r="C172" s="11" t="s">
        <v>1017</v>
      </c>
      <c r="D172" s="11" t="s">
        <v>561</v>
      </c>
      <c r="E172" s="32" t="n">
        <f aca="false">Series!P20</f>
        <v>82412</v>
      </c>
      <c r="F172" s="33" t="n">
        <v>82412</v>
      </c>
      <c r="G172" s="11" t="n">
        <f aca="false">E172-F172</f>
        <v>0</v>
      </c>
      <c r="H172" s="11" t="str">
        <f aca="false">IF(ABS(G172)&lt;=0.000001,"PASS","FAIL")</f>
        <v>PASS</v>
      </c>
    </row>
    <row r="173" customFormat="false" ht="15" hidden="false" customHeight="false" outlineLevel="0" collapsed="false">
      <c r="A173" s="11" t="s">
        <v>1018</v>
      </c>
      <c r="B173" s="11" t="s">
        <v>680</v>
      </c>
      <c r="C173" s="11" t="s">
        <v>1019</v>
      </c>
      <c r="D173" s="11" t="s">
        <v>576</v>
      </c>
      <c r="E173" s="32" t="n">
        <f aca="false">Series!P21</f>
        <v>72703</v>
      </c>
      <c r="F173" s="33" t="n">
        <v>72703</v>
      </c>
      <c r="G173" s="11" t="n">
        <f aca="false">E173-F173</f>
        <v>0</v>
      </c>
      <c r="H173" s="11" t="str">
        <f aca="false">IF(ABS(G173)&lt;=0.000001,"PASS","FAIL")</f>
        <v>PASS</v>
      </c>
    </row>
    <row r="174" customFormat="false" ht="15" hidden="false" customHeight="false" outlineLevel="0" collapsed="false">
      <c r="A174" s="11" t="s">
        <v>1020</v>
      </c>
      <c r="B174" s="11" t="s">
        <v>680</v>
      </c>
      <c r="C174" s="11" t="s">
        <v>1021</v>
      </c>
      <c r="D174" s="11" t="s">
        <v>592</v>
      </c>
      <c r="E174" s="32" t="n">
        <f aca="false">Series!P22</f>
        <v>109532</v>
      </c>
      <c r="F174" s="33" t="n">
        <v>109532</v>
      </c>
      <c r="G174" s="11" t="n">
        <f aca="false">E174-F174</f>
        <v>0</v>
      </c>
      <c r="H174" s="11" t="str">
        <f aca="false">IF(ABS(G174)&lt;=0.000001,"PASS","FAIL")</f>
        <v>PASS</v>
      </c>
    </row>
    <row r="175" customFormat="false" ht="15" hidden="false" customHeight="false" outlineLevel="0" collapsed="false">
      <c r="A175" s="11" t="s">
        <v>1022</v>
      </c>
      <c r="B175" s="11" t="s">
        <v>680</v>
      </c>
      <c r="C175" s="11" t="s">
        <v>1023</v>
      </c>
      <c r="D175" s="11" t="s">
        <v>608</v>
      </c>
      <c r="E175" s="32" t="n">
        <f aca="false">Series!P23</f>
        <v>64093</v>
      </c>
      <c r="F175" s="33" t="n">
        <v>64093</v>
      </c>
      <c r="G175" s="11" t="n">
        <f aca="false">E175-F175</f>
        <v>0</v>
      </c>
      <c r="H175" s="11" t="str">
        <f aca="false">IF(ABS(G175)&lt;=0.000001,"PASS","FAIL")</f>
        <v>PASS</v>
      </c>
    </row>
    <row r="176" customFormat="false" ht="15" hidden="false" customHeight="false" outlineLevel="0" collapsed="false">
      <c r="A176" s="11" t="s">
        <v>1024</v>
      </c>
      <c r="B176" s="11" t="s">
        <v>680</v>
      </c>
      <c r="C176" s="11" t="s">
        <v>1025</v>
      </c>
      <c r="D176" s="11" t="s">
        <v>624</v>
      </c>
      <c r="E176" s="32" t="n">
        <f aca="false">Series!P24</f>
        <v>92301</v>
      </c>
      <c r="F176" s="33" t="n">
        <v>92301</v>
      </c>
      <c r="G176" s="11" t="n">
        <f aca="false">E176-F176</f>
        <v>0</v>
      </c>
      <c r="H176" s="11" t="str">
        <f aca="false">IF(ABS(G176)&lt;=0.000001,"PASS","FAIL")</f>
        <v>PASS</v>
      </c>
    </row>
    <row r="177" customFormat="false" ht="15" hidden="false" customHeight="false" outlineLevel="0" collapsed="false">
      <c r="A177" s="11" t="s">
        <v>1026</v>
      </c>
      <c r="B177" s="11" t="s">
        <v>680</v>
      </c>
      <c r="C177" s="11" t="s">
        <v>1027</v>
      </c>
      <c r="D177" s="11" t="s">
        <v>639</v>
      </c>
      <c r="E177" s="32" t="n">
        <f aca="false">Series!P25</f>
        <v>56734</v>
      </c>
      <c r="F177" s="33" t="n">
        <v>56734</v>
      </c>
      <c r="G177" s="11" t="n">
        <f aca="false">E177-F177</f>
        <v>0</v>
      </c>
      <c r="H177" s="11" t="str">
        <f aca="false">IF(ABS(G177)&lt;=0.000001,"PASS","FAIL")</f>
        <v>PASS</v>
      </c>
    </row>
    <row r="178" customFormat="false" ht="15" hidden="false" customHeight="false" outlineLevel="0" collapsed="false">
      <c r="A178" s="11" t="s">
        <v>1028</v>
      </c>
      <c r="B178" s="11" t="s">
        <v>680</v>
      </c>
      <c r="C178" s="11" t="s">
        <v>1029</v>
      </c>
      <c r="D178" s="11" t="s">
        <v>655</v>
      </c>
      <c r="E178" s="32" t="n">
        <f aca="false">Series!P26</f>
        <v>102778</v>
      </c>
      <c r="F178" s="33" t="n">
        <v>102778</v>
      </c>
      <c r="G178" s="11" t="n">
        <f aca="false">E178-F178</f>
        <v>0</v>
      </c>
      <c r="H178" s="11" t="str">
        <f aca="false">IF(ABS(G178)&lt;=0.000001,"PASS","FAIL")</f>
        <v>PASS</v>
      </c>
    </row>
    <row r="179" customFormat="false" ht="15" hidden="false" customHeight="false" outlineLevel="0" collapsed="false">
      <c r="A179" s="11" t="s">
        <v>1030</v>
      </c>
      <c r="B179" s="11" t="s">
        <v>680</v>
      </c>
      <c r="C179" s="11" t="s">
        <v>1031</v>
      </c>
      <c r="D179" s="11" t="s">
        <v>295</v>
      </c>
      <c r="E179" s="32" t="n">
        <f aca="false">Series!P27</f>
        <v>52344</v>
      </c>
      <c r="F179" s="33" t="n">
        <v>52344</v>
      </c>
      <c r="G179" s="11" t="n">
        <f aca="false">E179-F179</f>
        <v>0</v>
      </c>
      <c r="H179" s="11" t="str">
        <f aca="false">IF(ABS(G179)&lt;=0.000001,"PASS","FAIL")</f>
        <v>PASS</v>
      </c>
    </row>
    <row r="180" customFormat="false" ht="15" hidden="false" customHeight="false" outlineLevel="0" collapsed="false">
      <c r="A180" s="11" t="s">
        <v>1032</v>
      </c>
      <c r="B180" s="11" t="s">
        <v>680</v>
      </c>
      <c r="C180" s="11" t="s">
        <v>1033</v>
      </c>
      <c r="D180" s="11" t="s">
        <v>387</v>
      </c>
      <c r="E180" s="32" t="n">
        <f aca="false">Series!R6</f>
        <v>124281</v>
      </c>
      <c r="F180" s="33" t="n">
        <v>124281</v>
      </c>
      <c r="G180" s="11" t="n">
        <f aca="false">E180-F180</f>
        <v>0</v>
      </c>
      <c r="H180" s="11" t="str">
        <f aca="false">IF(ABS(G180)&lt;=0.000001,"PASS","FAIL")</f>
        <v>PASS</v>
      </c>
    </row>
    <row r="181" customFormat="false" ht="15" hidden="false" customHeight="false" outlineLevel="0" collapsed="false">
      <c r="A181" s="11" t="s">
        <v>1034</v>
      </c>
      <c r="B181" s="11" t="s">
        <v>680</v>
      </c>
      <c r="C181" s="11" t="s">
        <v>1035</v>
      </c>
      <c r="D181" s="11" t="s">
        <v>398</v>
      </c>
      <c r="E181" s="32" t="n">
        <f aca="false">Series!R7</f>
        <v>865328</v>
      </c>
      <c r="F181" s="33" t="n">
        <v>865328</v>
      </c>
      <c r="G181" s="11" t="n">
        <f aca="false">E181-F181</f>
        <v>0</v>
      </c>
      <c r="H181" s="11" t="str">
        <f aca="false">IF(ABS(G181)&lt;=0.000001,"PASS","FAIL")</f>
        <v>PASS</v>
      </c>
    </row>
    <row r="182" customFormat="false" ht="15" hidden="false" customHeight="false" outlineLevel="0" collapsed="false">
      <c r="A182" s="11" t="s">
        <v>1036</v>
      </c>
      <c r="B182" s="11" t="s">
        <v>680</v>
      </c>
      <c r="C182" s="11" t="s">
        <v>1037</v>
      </c>
      <c r="D182" s="11" t="s">
        <v>409</v>
      </c>
      <c r="E182" s="32" t="n">
        <f aca="false">Series!R8</f>
        <v>876220</v>
      </c>
      <c r="F182" s="33" t="n">
        <v>876220</v>
      </c>
      <c r="G182" s="11" t="n">
        <f aca="false">E182-F182</f>
        <v>0</v>
      </c>
      <c r="H182" s="11" t="str">
        <f aca="false">IF(ABS(G182)&lt;=0.000001,"PASS","FAIL")</f>
        <v>PASS</v>
      </c>
    </row>
    <row r="183" customFormat="false" ht="15" hidden="false" customHeight="false" outlineLevel="0" collapsed="false">
      <c r="A183" s="11" t="s">
        <v>1038</v>
      </c>
      <c r="B183" s="11" t="s">
        <v>680</v>
      </c>
      <c r="C183" s="11" t="s">
        <v>1039</v>
      </c>
      <c r="D183" s="11" t="s">
        <v>421</v>
      </c>
      <c r="E183" s="32" t="n">
        <f aca="false">Series!R9</f>
        <v>886812</v>
      </c>
      <c r="F183" s="33" t="n">
        <v>886812</v>
      </c>
      <c r="G183" s="11" t="n">
        <f aca="false">E183-F183</f>
        <v>0</v>
      </c>
      <c r="H183" s="11" t="str">
        <f aca="false">IF(ABS(G183)&lt;=0.000001,"PASS","FAIL")</f>
        <v>PASS</v>
      </c>
    </row>
    <row r="184" customFormat="false" ht="15" hidden="false" customHeight="false" outlineLevel="0" collapsed="false">
      <c r="A184" s="11" t="s">
        <v>1040</v>
      </c>
      <c r="B184" s="11" t="s">
        <v>680</v>
      </c>
      <c r="C184" s="11" t="s">
        <v>1041</v>
      </c>
      <c r="D184" s="11" t="s">
        <v>433</v>
      </c>
      <c r="E184" s="32" t="n">
        <f aca="false">Series!R10</f>
        <v>849576</v>
      </c>
      <c r="F184" s="33" t="n">
        <v>849576</v>
      </c>
      <c r="G184" s="11" t="n">
        <f aca="false">E184-F184</f>
        <v>0</v>
      </c>
      <c r="H184" s="11" t="str">
        <f aca="false">IF(ABS(G184)&lt;=0.000001,"PASS","FAIL")</f>
        <v>PASS</v>
      </c>
    </row>
    <row r="185" customFormat="false" ht="15" hidden="false" customHeight="false" outlineLevel="0" collapsed="false">
      <c r="A185" s="11" t="s">
        <v>1042</v>
      </c>
      <c r="B185" s="11" t="s">
        <v>680</v>
      </c>
      <c r="C185" s="11" t="s">
        <v>1043</v>
      </c>
      <c r="D185" s="11" t="s">
        <v>445</v>
      </c>
      <c r="E185" s="32" t="n">
        <f aca="false">Series!R11</f>
        <v>834620</v>
      </c>
      <c r="F185" s="33" t="n">
        <v>834620</v>
      </c>
      <c r="G185" s="11" t="n">
        <f aca="false">E185-F185</f>
        <v>0</v>
      </c>
      <c r="H185" s="11" t="str">
        <f aca="false">IF(ABS(G185)&lt;=0.000001,"PASS","FAIL")</f>
        <v>PASS</v>
      </c>
    </row>
    <row r="186" customFormat="false" ht="15" hidden="false" customHeight="false" outlineLevel="0" collapsed="false">
      <c r="A186" s="11" t="s">
        <v>1044</v>
      </c>
      <c r="B186" s="11" t="s">
        <v>680</v>
      </c>
      <c r="C186" s="11" t="s">
        <v>1045</v>
      </c>
      <c r="D186" s="11" t="s">
        <v>457</v>
      </c>
      <c r="E186" s="32" t="n">
        <f aca="false">Series!R12</f>
        <v>852568</v>
      </c>
      <c r="F186" s="33" t="n">
        <v>852568</v>
      </c>
      <c r="G186" s="11" t="n">
        <f aca="false">E186-F186</f>
        <v>0</v>
      </c>
      <c r="H186" s="11" t="str">
        <f aca="false">IF(ABS(G186)&lt;=0.000001,"PASS","FAIL")</f>
        <v>PASS</v>
      </c>
    </row>
    <row r="187" customFormat="false" ht="15" hidden="false" customHeight="false" outlineLevel="0" collapsed="false">
      <c r="A187" s="11" t="s">
        <v>1046</v>
      </c>
      <c r="B187" s="11" t="s">
        <v>680</v>
      </c>
      <c r="C187" s="11" t="s">
        <v>1047</v>
      </c>
      <c r="D187" s="11" t="s">
        <v>469</v>
      </c>
      <c r="E187" s="32" t="n">
        <f aca="false">Series!R13</f>
        <v>885894</v>
      </c>
      <c r="F187" s="33" t="n">
        <v>885894</v>
      </c>
      <c r="G187" s="11" t="n">
        <f aca="false">E187-F187</f>
        <v>0</v>
      </c>
      <c r="H187" s="11" t="str">
        <f aca="false">IF(ABS(G187)&lt;=0.000001,"PASS","FAIL")</f>
        <v>PASS</v>
      </c>
    </row>
    <row r="188" customFormat="false" ht="15" hidden="false" customHeight="false" outlineLevel="0" collapsed="false">
      <c r="A188" s="11" t="s">
        <v>1048</v>
      </c>
      <c r="B188" s="11" t="s">
        <v>680</v>
      </c>
      <c r="C188" s="11" t="s">
        <v>1049</v>
      </c>
      <c r="D188" s="11" t="s">
        <v>482</v>
      </c>
      <c r="E188" s="32" t="n">
        <f aca="false">Series!R14</f>
        <v>935565</v>
      </c>
      <c r="F188" s="33" t="n">
        <v>935565</v>
      </c>
      <c r="G188" s="11" t="n">
        <f aca="false">E188-F188</f>
        <v>0</v>
      </c>
      <c r="H188" s="11" t="str">
        <f aca="false">IF(ABS(G188)&lt;=0.000001,"PASS","FAIL")</f>
        <v>PASS</v>
      </c>
    </row>
    <row r="189" customFormat="false" ht="15" hidden="false" customHeight="false" outlineLevel="0" collapsed="false">
      <c r="A189" s="11" t="s">
        <v>1050</v>
      </c>
      <c r="B189" s="11" t="s">
        <v>680</v>
      </c>
      <c r="C189" s="11" t="s">
        <v>1051</v>
      </c>
      <c r="D189" s="11" t="s">
        <v>495</v>
      </c>
      <c r="E189" s="32" t="n">
        <f aca="false">Series!R15</f>
        <v>989377</v>
      </c>
      <c r="F189" s="33" t="n">
        <v>989377</v>
      </c>
      <c r="G189" s="11" t="n">
        <f aca="false">E189-F189</f>
        <v>0</v>
      </c>
      <c r="H189" s="11" t="str">
        <f aca="false">IF(ABS(G189)&lt;=0.000001,"PASS","FAIL")</f>
        <v>PASS</v>
      </c>
    </row>
    <row r="190" customFormat="false" ht="15" hidden="false" customHeight="false" outlineLevel="0" collapsed="false">
      <c r="A190" s="11" t="s">
        <v>1052</v>
      </c>
      <c r="B190" s="11" t="s">
        <v>680</v>
      </c>
      <c r="C190" s="11" t="s">
        <v>1053</v>
      </c>
      <c r="D190" s="11" t="s">
        <v>508</v>
      </c>
      <c r="E190" s="32" t="n">
        <f aca="false">Series!R16</f>
        <v>1054270</v>
      </c>
      <c r="F190" s="33" t="n">
        <v>1054270</v>
      </c>
      <c r="G190" s="11" t="n">
        <f aca="false">E190-F190</f>
        <v>0</v>
      </c>
      <c r="H190" s="11" t="str">
        <f aca="false">IF(ABS(G190)&lt;=0.000001,"PASS","FAIL")</f>
        <v>PASS</v>
      </c>
    </row>
    <row r="191" customFormat="false" ht="15" hidden="false" customHeight="false" outlineLevel="0" collapsed="false">
      <c r="A191" s="11" t="s">
        <v>1054</v>
      </c>
      <c r="B191" s="11" t="s">
        <v>680</v>
      </c>
      <c r="C191" s="11" t="s">
        <v>1055</v>
      </c>
      <c r="D191" s="11" t="s">
        <v>521</v>
      </c>
      <c r="E191" s="32" t="n">
        <f aca="false">Series!R17</f>
        <v>1116128</v>
      </c>
      <c r="F191" s="33" t="n">
        <v>1116128</v>
      </c>
      <c r="G191" s="11" t="n">
        <f aca="false">E191-F191</f>
        <v>0</v>
      </c>
      <c r="H191" s="11" t="str">
        <f aca="false">IF(ABS(G191)&lt;=0.000001,"PASS","FAIL")</f>
        <v>PASS</v>
      </c>
    </row>
    <row r="192" customFormat="false" ht="15" hidden="false" customHeight="false" outlineLevel="0" collapsed="false">
      <c r="A192" s="11" t="s">
        <v>1056</v>
      </c>
      <c r="B192" s="11" t="s">
        <v>680</v>
      </c>
      <c r="C192" s="11" t="s">
        <v>1057</v>
      </c>
      <c r="D192" s="11" t="s">
        <v>535</v>
      </c>
      <c r="E192" s="32" t="n">
        <f aca="false">Series!R18</f>
        <v>1224544</v>
      </c>
      <c r="F192" s="33" t="n">
        <v>1224544</v>
      </c>
      <c r="G192" s="11" t="n">
        <f aca="false">E192-F192</f>
        <v>0</v>
      </c>
      <c r="H192" s="11" t="str">
        <f aca="false">IF(ABS(G192)&lt;=0.000001,"PASS","FAIL")</f>
        <v>PASS</v>
      </c>
    </row>
    <row r="193" customFormat="false" ht="15" hidden="false" customHeight="false" outlineLevel="0" collapsed="false">
      <c r="A193" s="11" t="s">
        <v>1058</v>
      </c>
      <c r="B193" s="11" t="s">
        <v>680</v>
      </c>
      <c r="C193" s="11" t="s">
        <v>1059</v>
      </c>
      <c r="D193" s="11" t="s">
        <v>549</v>
      </c>
      <c r="E193" s="32" t="n">
        <f aca="false">Series!R19</f>
        <v>1290242</v>
      </c>
      <c r="F193" s="33" t="n">
        <v>1290242</v>
      </c>
      <c r="G193" s="11" t="n">
        <f aca="false">E193-F193</f>
        <v>0</v>
      </c>
      <c r="H193" s="11" t="str">
        <f aca="false">IF(ABS(G193)&lt;=0.000001,"PASS","FAIL")</f>
        <v>PASS</v>
      </c>
    </row>
    <row r="194" customFormat="false" ht="15" hidden="false" customHeight="false" outlineLevel="0" collapsed="false">
      <c r="A194" s="11" t="s">
        <v>1060</v>
      </c>
      <c r="B194" s="11" t="s">
        <v>680</v>
      </c>
      <c r="C194" s="11" t="s">
        <v>1061</v>
      </c>
      <c r="D194" s="11" t="s">
        <v>562</v>
      </c>
      <c r="E194" s="32" t="n">
        <f aca="false">Series!R20</f>
        <v>1337155</v>
      </c>
      <c r="F194" s="33" t="n">
        <v>1337155</v>
      </c>
      <c r="G194" s="11" t="n">
        <f aca="false">E194-F194</f>
        <v>0</v>
      </c>
      <c r="H194" s="11" t="str">
        <f aca="false">IF(ABS(G194)&lt;=0.000001,"PASS","FAIL")</f>
        <v>PASS</v>
      </c>
    </row>
    <row r="195" customFormat="false" ht="15" hidden="false" customHeight="false" outlineLevel="0" collapsed="false">
      <c r="A195" s="11" t="s">
        <v>1062</v>
      </c>
      <c r="B195" s="11" t="s">
        <v>680</v>
      </c>
      <c r="C195" s="11" t="s">
        <v>1063</v>
      </c>
      <c r="D195" s="11" t="s">
        <v>577</v>
      </c>
      <c r="E195" s="32" t="n">
        <f aca="false">Series!R21</f>
        <v>1411602</v>
      </c>
      <c r="F195" s="33" t="n">
        <v>1411602</v>
      </c>
      <c r="G195" s="11" t="n">
        <f aca="false">E195-F195</f>
        <v>0</v>
      </c>
      <c r="H195" s="11" t="str">
        <f aca="false">IF(ABS(G195)&lt;=0.000001,"PASS","FAIL")</f>
        <v>PASS</v>
      </c>
    </row>
    <row r="196" customFormat="false" ht="15" hidden="false" customHeight="false" outlineLevel="0" collapsed="false">
      <c r="A196" s="11" t="s">
        <v>1064</v>
      </c>
      <c r="B196" s="11" t="s">
        <v>680</v>
      </c>
      <c r="C196" s="11" t="s">
        <v>1065</v>
      </c>
      <c r="D196" s="11" t="s">
        <v>593</v>
      </c>
      <c r="E196" s="32" t="n">
        <f aca="false">Series!R22</f>
        <v>1527605</v>
      </c>
      <c r="F196" s="33" t="n">
        <v>1527605</v>
      </c>
      <c r="G196" s="11" t="n">
        <f aca="false">E196-F196</f>
        <v>0</v>
      </c>
      <c r="H196" s="11" t="str">
        <f aca="false">IF(ABS(G196)&lt;=0.000001,"PASS","FAIL")</f>
        <v>PASS</v>
      </c>
    </row>
    <row r="197" customFormat="false" ht="15" hidden="false" customHeight="false" outlineLevel="0" collapsed="false">
      <c r="A197" s="11" t="s">
        <v>1066</v>
      </c>
      <c r="B197" s="11" t="s">
        <v>680</v>
      </c>
      <c r="C197" s="11" t="s">
        <v>1067</v>
      </c>
      <c r="D197" s="11" t="s">
        <v>609</v>
      </c>
      <c r="E197" s="32" t="n">
        <f aca="false">Series!R23</f>
        <v>1590515</v>
      </c>
      <c r="F197" s="33" t="n">
        <v>1590515</v>
      </c>
      <c r="G197" s="11" t="n">
        <f aca="false">E197-F197</f>
        <v>0</v>
      </c>
      <c r="H197" s="11" t="str">
        <f aca="false">IF(ABS(G197)&lt;=0.000001,"PASS","FAIL")</f>
        <v>PASS</v>
      </c>
    </row>
    <row r="198" customFormat="false" ht="15" hidden="false" customHeight="false" outlineLevel="0" collapsed="false">
      <c r="A198" s="11" t="s">
        <v>1068</v>
      </c>
      <c r="B198" s="11" t="s">
        <v>680</v>
      </c>
      <c r="C198" s="11" t="s">
        <v>1069</v>
      </c>
      <c r="D198" s="11" t="s">
        <v>625</v>
      </c>
      <c r="E198" s="32" t="n">
        <f aca="false">Series!R24</f>
        <v>1527246</v>
      </c>
      <c r="F198" s="33" t="n">
        <v>1527246</v>
      </c>
      <c r="G198" s="11" t="n">
        <f aca="false">E198-F198</f>
        <v>0</v>
      </c>
      <c r="H198" s="11" t="str">
        <f aca="false">IF(ABS(G198)&lt;=0.000001,"PASS","FAIL")</f>
        <v>PASS</v>
      </c>
    </row>
    <row r="199" customFormat="false" ht="15" hidden="false" customHeight="false" outlineLevel="0" collapsed="false">
      <c r="A199" s="11" t="s">
        <v>1070</v>
      </c>
      <c r="B199" s="11" t="s">
        <v>680</v>
      </c>
      <c r="C199" s="11" t="s">
        <v>1071</v>
      </c>
      <c r="D199" s="11" t="s">
        <v>640</v>
      </c>
      <c r="E199" s="32" t="n">
        <f aca="false">Series!R25</f>
        <v>1503149</v>
      </c>
      <c r="F199" s="33" t="n">
        <v>1503149</v>
      </c>
      <c r="G199" s="11" t="n">
        <f aca="false">E199-F199</f>
        <v>0</v>
      </c>
      <c r="H199" s="11" t="str">
        <f aca="false">IF(ABS(G199)&lt;=0.000001,"PASS","FAIL")</f>
        <v>PASS</v>
      </c>
    </row>
    <row r="200" customFormat="false" ht="15" hidden="false" customHeight="false" outlineLevel="0" collapsed="false">
      <c r="A200" s="11" t="s">
        <v>1072</v>
      </c>
      <c r="B200" s="11" t="s">
        <v>680</v>
      </c>
      <c r="C200" s="11" t="s">
        <v>1073</v>
      </c>
      <c r="D200" s="11" t="s">
        <v>656</v>
      </c>
      <c r="E200" s="32" t="n">
        <f aca="false">Series!R26</f>
        <v>997135</v>
      </c>
      <c r="F200" s="33" t="n">
        <v>997135</v>
      </c>
      <c r="G200" s="11" t="n">
        <f aca="false">E200-F200</f>
        <v>0</v>
      </c>
      <c r="H200" s="11" t="str">
        <f aca="false">IF(ABS(G200)&lt;=0.000001,"PASS","FAIL")</f>
        <v>PASS</v>
      </c>
    </row>
    <row r="201" customFormat="false" ht="15" hidden="false" customHeight="false" outlineLevel="0" collapsed="false">
      <c r="A201" s="11" t="s">
        <v>1074</v>
      </c>
      <c r="B201" s="11" t="s">
        <v>680</v>
      </c>
      <c r="C201" s="11" t="s">
        <v>1075</v>
      </c>
      <c r="D201" s="11" t="s">
        <v>664</v>
      </c>
      <c r="E201" s="32" t="n">
        <f aca="false">Series!R27</f>
        <v>853402</v>
      </c>
      <c r="F201" s="33" t="n">
        <v>853402</v>
      </c>
      <c r="G201" s="11" t="n">
        <f aca="false">E201-F201</f>
        <v>0</v>
      </c>
      <c r="H201" s="11" t="str">
        <f aca="false">IF(ABS(G201)&lt;=0.000001,"PASS","FAIL")</f>
        <v>PASS</v>
      </c>
    </row>
    <row r="202" customFormat="false" ht="15" hidden="false" customHeight="false" outlineLevel="0" collapsed="false">
      <c r="A202" s="11" t="s">
        <v>1076</v>
      </c>
      <c r="B202" s="11" t="s">
        <v>680</v>
      </c>
      <c r="C202" s="11" t="s">
        <v>1077</v>
      </c>
      <c r="D202" s="11" t="s">
        <v>563</v>
      </c>
      <c r="E202" s="32" t="n">
        <f aca="false">Series!T20</f>
        <v>50667</v>
      </c>
      <c r="F202" s="33" t="n">
        <v>50667</v>
      </c>
      <c r="G202" s="11" t="n">
        <f aca="false">E202-F202</f>
        <v>0</v>
      </c>
      <c r="H202" s="11" t="str">
        <f aca="false">IF(ABS(G202)&lt;=0.000001,"PASS","FAIL")</f>
        <v>PASS</v>
      </c>
    </row>
    <row r="203" customFormat="false" ht="15" hidden="false" customHeight="false" outlineLevel="0" collapsed="false">
      <c r="A203" s="11" t="s">
        <v>1078</v>
      </c>
      <c r="B203" s="11" t="s">
        <v>680</v>
      </c>
      <c r="C203" s="11" t="s">
        <v>1079</v>
      </c>
      <c r="D203" s="11" t="s">
        <v>578</v>
      </c>
      <c r="E203" s="32" t="n">
        <f aca="false">Series!T21</f>
        <v>50004</v>
      </c>
      <c r="F203" s="33" t="n">
        <v>50004</v>
      </c>
      <c r="G203" s="11" t="n">
        <f aca="false">E203-F203</f>
        <v>0</v>
      </c>
      <c r="H203" s="11" t="str">
        <f aca="false">IF(ABS(G203)&lt;=0.000001,"PASS","FAIL")</f>
        <v>PASS</v>
      </c>
    </row>
    <row r="204" customFormat="false" ht="15" hidden="false" customHeight="false" outlineLevel="0" collapsed="false">
      <c r="A204" s="11" t="s">
        <v>1080</v>
      </c>
      <c r="B204" s="11" t="s">
        <v>680</v>
      </c>
      <c r="C204" s="11" t="s">
        <v>1081</v>
      </c>
      <c r="D204" s="11" t="s">
        <v>594</v>
      </c>
      <c r="E204" s="32" t="n">
        <f aca="false">Series!T22</f>
        <v>60730</v>
      </c>
      <c r="F204" s="33" t="n">
        <v>60730</v>
      </c>
      <c r="G204" s="11" t="n">
        <f aca="false">E204-F204</f>
        <v>0</v>
      </c>
      <c r="H204" s="11" t="str">
        <f aca="false">IF(ABS(G204)&lt;=0.000001,"PASS","FAIL")</f>
        <v>PASS</v>
      </c>
    </row>
    <row r="205" customFormat="false" ht="15" hidden="false" customHeight="false" outlineLevel="0" collapsed="false">
      <c r="A205" s="11" t="s">
        <v>1082</v>
      </c>
      <c r="B205" s="11" t="s">
        <v>680</v>
      </c>
      <c r="C205" s="11" t="s">
        <v>1083</v>
      </c>
      <c r="D205" s="11" t="s">
        <v>610</v>
      </c>
      <c r="E205" s="32" t="n">
        <f aca="false">Series!T23</f>
        <v>60102</v>
      </c>
      <c r="F205" s="33" t="n">
        <v>60102</v>
      </c>
      <c r="G205" s="11" t="n">
        <f aca="false">E205-F205</f>
        <v>0</v>
      </c>
      <c r="H205" s="11" t="str">
        <f aca="false">IF(ABS(G205)&lt;=0.000001,"PASS","FAIL")</f>
        <v>PASS</v>
      </c>
    </row>
    <row r="206" customFormat="false" ht="15" hidden="false" customHeight="false" outlineLevel="0" collapsed="false">
      <c r="A206" s="11" t="s">
        <v>1084</v>
      </c>
      <c r="B206" s="11" t="s">
        <v>680</v>
      </c>
      <c r="C206" s="11" t="s">
        <v>1085</v>
      </c>
      <c r="D206" s="11" t="s">
        <v>626</v>
      </c>
      <c r="E206" s="32" t="n">
        <f aca="false">Series!T24</f>
        <v>211740</v>
      </c>
      <c r="F206" s="33" t="n">
        <v>211740</v>
      </c>
      <c r="G206" s="11" t="n">
        <f aca="false">E206-F206</f>
        <v>0</v>
      </c>
      <c r="H206" s="11" t="str">
        <f aca="false">IF(ABS(G206)&lt;=0.000001,"PASS","FAIL")</f>
        <v>PASS</v>
      </c>
    </row>
    <row r="207" customFormat="false" ht="15" hidden="false" customHeight="false" outlineLevel="0" collapsed="false">
      <c r="A207" s="11" t="s">
        <v>1086</v>
      </c>
      <c r="B207" s="11" t="s">
        <v>680</v>
      </c>
      <c r="C207" s="11" t="s">
        <v>1087</v>
      </c>
      <c r="D207" s="11" t="s">
        <v>641</v>
      </c>
      <c r="E207" s="32" t="n">
        <f aca="false">Series!T25</f>
        <v>162308</v>
      </c>
      <c r="F207" s="33" t="n">
        <v>162308</v>
      </c>
      <c r="G207" s="11" t="n">
        <f aca="false">E207-F207</f>
        <v>0</v>
      </c>
      <c r="H207" s="11" t="str">
        <f aca="false">IF(ABS(G207)&lt;=0.000001,"PASS","FAIL")</f>
        <v>PASS</v>
      </c>
    </row>
    <row r="208" customFormat="false" ht="15" hidden="false" customHeight="false" outlineLevel="0" collapsed="false">
      <c r="A208" s="11" t="s">
        <v>1088</v>
      </c>
      <c r="B208" s="11" t="s">
        <v>680</v>
      </c>
      <c r="C208" s="11" t="s">
        <v>1089</v>
      </c>
      <c r="D208" s="11" t="s">
        <v>657</v>
      </c>
      <c r="E208" s="32" t="n">
        <f aca="false">Series!T26</f>
        <v>215141</v>
      </c>
      <c r="F208" s="33" t="n">
        <v>215141</v>
      </c>
      <c r="G208" s="11" t="n">
        <f aca="false">E208-F208</f>
        <v>0</v>
      </c>
      <c r="H208" s="11" t="str">
        <f aca="false">IF(ABS(G208)&lt;=0.000001,"PASS","FAIL")</f>
        <v>PASS</v>
      </c>
    </row>
    <row r="209" customFormat="false" ht="15" hidden="false" customHeight="false" outlineLevel="0" collapsed="false">
      <c r="A209" s="11" t="s">
        <v>1090</v>
      </c>
      <c r="B209" s="11" t="s">
        <v>680</v>
      </c>
      <c r="C209" s="11" t="s">
        <v>1091</v>
      </c>
      <c r="D209" s="11" t="s">
        <v>665</v>
      </c>
      <c r="E209" s="32" t="n">
        <f aca="false">Series!T27</f>
        <v>219353</v>
      </c>
      <c r="F209" s="33" t="n">
        <v>219353</v>
      </c>
      <c r="G209" s="11" t="n">
        <f aca="false">E209-F209</f>
        <v>0</v>
      </c>
      <c r="H209" s="11" t="str">
        <f aca="false">IF(ABS(G209)&lt;=0.000001,"PASS","FAIL")</f>
        <v>PASS</v>
      </c>
    </row>
    <row r="210" customFormat="false" ht="15" hidden="false" customHeight="false" outlineLevel="0" collapsed="false">
      <c r="A210" s="11" t="s">
        <v>1092</v>
      </c>
      <c r="B210" s="11" t="s">
        <v>680</v>
      </c>
      <c r="C210" s="11" t="s">
        <v>1093</v>
      </c>
      <c r="D210" s="11" t="s">
        <v>522</v>
      </c>
      <c r="E210" s="21" t="n">
        <f aca="false">Series!V17</f>
        <v>1.1</v>
      </c>
      <c r="F210" s="33" t="n">
        <v>1.1</v>
      </c>
      <c r="G210" s="34" t="n">
        <f aca="false">E210-F210</f>
        <v>0</v>
      </c>
      <c r="H210" s="11" t="str">
        <f aca="false">IF(ABS(G210)&lt;=0.000001,"PASS","FAIL")</f>
        <v>PASS</v>
      </c>
    </row>
    <row r="211" customFormat="false" ht="15" hidden="false" customHeight="false" outlineLevel="0" collapsed="false">
      <c r="A211" s="11" t="s">
        <v>1094</v>
      </c>
      <c r="B211" s="11" t="s">
        <v>680</v>
      </c>
      <c r="C211" s="11" t="s">
        <v>1095</v>
      </c>
      <c r="D211" s="11" t="s">
        <v>536</v>
      </c>
      <c r="E211" s="21" t="n">
        <f aca="false">Series!V18</f>
        <v>1.1</v>
      </c>
      <c r="F211" s="33" t="n">
        <v>1.1</v>
      </c>
      <c r="G211" s="34" t="n">
        <f aca="false">E211-F211</f>
        <v>0</v>
      </c>
      <c r="H211" s="11" t="str">
        <f aca="false">IF(ABS(G211)&lt;=0.000001,"PASS","FAIL")</f>
        <v>PASS</v>
      </c>
    </row>
    <row r="212" customFormat="false" ht="15" hidden="false" customHeight="false" outlineLevel="0" collapsed="false">
      <c r="A212" s="11" t="s">
        <v>1096</v>
      </c>
      <c r="B212" s="11" t="s">
        <v>680</v>
      </c>
      <c r="C212" s="11" t="s">
        <v>1097</v>
      </c>
      <c r="D212" s="11" t="s">
        <v>550</v>
      </c>
      <c r="E212" s="21" t="n">
        <f aca="false">Series!V19</f>
        <v>1.1</v>
      </c>
      <c r="F212" s="33" t="n">
        <v>1.1</v>
      </c>
      <c r="G212" s="34" t="n">
        <f aca="false">E212-F212</f>
        <v>0</v>
      </c>
      <c r="H212" s="11" t="str">
        <f aca="false">IF(ABS(G212)&lt;=0.000001,"PASS","FAIL")</f>
        <v>PASS</v>
      </c>
    </row>
    <row r="213" customFormat="false" ht="15" hidden="false" customHeight="false" outlineLevel="0" collapsed="false">
      <c r="A213" s="11" t="s">
        <v>1098</v>
      </c>
      <c r="B213" s="11" t="s">
        <v>680</v>
      </c>
      <c r="C213" s="11" t="s">
        <v>1099</v>
      </c>
      <c r="D213" s="11" t="s">
        <v>564</v>
      </c>
      <c r="E213" s="21" t="n">
        <f aca="false">Series!V20</f>
        <v>1.11</v>
      </c>
      <c r="F213" s="33" t="n">
        <v>1.11</v>
      </c>
      <c r="G213" s="34" t="n">
        <f aca="false">E213-F213</f>
        <v>0</v>
      </c>
      <c r="H213" s="11" t="str">
        <f aca="false">IF(ABS(G213)&lt;=0.000001,"PASS","FAIL")</f>
        <v>PASS</v>
      </c>
    </row>
    <row r="214" customFormat="false" ht="15" hidden="false" customHeight="false" outlineLevel="0" collapsed="false">
      <c r="A214" s="11" t="s">
        <v>1100</v>
      </c>
      <c r="B214" s="11" t="s">
        <v>680</v>
      </c>
      <c r="C214" s="11" t="s">
        <v>1101</v>
      </c>
      <c r="D214" s="11" t="s">
        <v>579</v>
      </c>
      <c r="E214" s="21" t="n">
        <f aca="false">Series!V21</f>
        <v>1.12</v>
      </c>
      <c r="F214" s="33" t="n">
        <v>1.12</v>
      </c>
      <c r="G214" s="34" t="n">
        <f aca="false">E214-F214</f>
        <v>0</v>
      </c>
      <c r="H214" s="11" t="str">
        <f aca="false">IF(ABS(G214)&lt;=0.000001,"PASS","FAIL")</f>
        <v>PASS</v>
      </c>
    </row>
    <row r="215" customFormat="false" ht="15" hidden="false" customHeight="false" outlineLevel="0" collapsed="false">
      <c r="A215" s="11" t="s">
        <v>1102</v>
      </c>
      <c r="B215" s="11" t="s">
        <v>680</v>
      </c>
      <c r="C215" s="11" t="s">
        <v>1103</v>
      </c>
      <c r="D215" s="11" t="s">
        <v>595</v>
      </c>
      <c r="E215" s="21" t="n">
        <f aca="false">Series!V22</f>
        <v>1.12</v>
      </c>
      <c r="F215" s="33" t="n">
        <v>1.12</v>
      </c>
      <c r="G215" s="34" t="n">
        <f aca="false">E215-F215</f>
        <v>0</v>
      </c>
      <c r="H215" s="11" t="str">
        <f aca="false">IF(ABS(G215)&lt;=0.000001,"PASS","FAIL")</f>
        <v>PASS</v>
      </c>
    </row>
    <row r="216" customFormat="false" ht="15" hidden="false" customHeight="false" outlineLevel="0" collapsed="false">
      <c r="A216" s="11" t="s">
        <v>1104</v>
      </c>
      <c r="B216" s="11" t="s">
        <v>680</v>
      </c>
      <c r="C216" s="11" t="s">
        <v>1105</v>
      </c>
      <c r="D216" s="11" t="s">
        <v>611</v>
      </c>
      <c r="E216" s="21" t="n">
        <f aca="false">Series!V23</f>
        <v>1.11</v>
      </c>
      <c r="F216" s="33" t="n">
        <v>1.11</v>
      </c>
      <c r="G216" s="34" t="n">
        <f aca="false">E216-F216</f>
        <v>0</v>
      </c>
      <c r="H216" s="11" t="str">
        <f aca="false">IF(ABS(G216)&lt;=0.000001,"PASS","FAIL")</f>
        <v>PASS</v>
      </c>
    </row>
    <row r="217" customFormat="false" ht="15" hidden="false" customHeight="false" outlineLevel="0" collapsed="false">
      <c r="A217" s="11" t="s">
        <v>1106</v>
      </c>
      <c r="B217" s="11" t="s">
        <v>680</v>
      </c>
      <c r="C217" s="11" t="s">
        <v>1107</v>
      </c>
      <c r="D217" s="11" t="s">
        <v>627</v>
      </c>
      <c r="E217" s="21" t="n">
        <f aca="false">Series!V24</f>
        <v>1.11</v>
      </c>
      <c r="F217" s="33" t="n">
        <v>1.11</v>
      </c>
      <c r="G217" s="34" t="n">
        <f aca="false">E217-F217</f>
        <v>0</v>
      </c>
      <c r="H217" s="11" t="str">
        <f aca="false">IF(ABS(G217)&lt;=0.000001,"PASS","FAIL")</f>
        <v>PASS</v>
      </c>
    </row>
    <row r="218" customFormat="false" ht="15" hidden="false" customHeight="false" outlineLevel="0" collapsed="false">
      <c r="A218" s="11" t="s">
        <v>1108</v>
      </c>
      <c r="B218" s="11" t="s">
        <v>680</v>
      </c>
      <c r="C218" s="11" t="s">
        <v>1109</v>
      </c>
      <c r="D218" s="11" t="s">
        <v>642</v>
      </c>
      <c r="E218" s="21" t="n">
        <f aca="false">Series!V25</f>
        <v>1.1</v>
      </c>
      <c r="F218" s="33" t="n">
        <v>1.1</v>
      </c>
      <c r="G218" s="34" t="n">
        <f aca="false">E218-F218</f>
        <v>0</v>
      </c>
      <c r="H218" s="11" t="str">
        <f aca="false">IF(ABS(G218)&lt;=0.000001,"PASS","FAIL")</f>
        <v>PASS</v>
      </c>
    </row>
    <row r="219" customFormat="false" ht="15" hidden="false" customHeight="false" outlineLevel="0" collapsed="false">
      <c r="A219" s="11" t="s">
        <v>1110</v>
      </c>
      <c r="B219" s="11" t="s">
        <v>680</v>
      </c>
      <c r="C219" s="11" t="s">
        <v>1111</v>
      </c>
      <c r="D219" s="11" t="s">
        <v>658</v>
      </c>
      <c r="E219" s="21" t="n">
        <f aca="false">Series!V26</f>
        <v>1.1</v>
      </c>
      <c r="F219" s="33" t="n">
        <v>1.1</v>
      </c>
      <c r="G219" s="34" t="n">
        <f aca="false">E219-F219</f>
        <v>0</v>
      </c>
      <c r="H219" s="11" t="str">
        <f aca="false">IF(ABS(G219)&lt;=0.000001,"PASS","FAIL")</f>
        <v>PASS</v>
      </c>
    </row>
    <row r="220" customFormat="false" ht="15" hidden="false" customHeight="false" outlineLevel="0" collapsed="false">
      <c r="A220" s="11" t="s">
        <v>1112</v>
      </c>
      <c r="B220" s="11" t="s">
        <v>680</v>
      </c>
      <c r="C220" s="11" t="s">
        <v>1113</v>
      </c>
      <c r="D220" s="11" t="s">
        <v>229</v>
      </c>
      <c r="E220" s="21" t="n">
        <f aca="false">Series!V27</f>
        <v>1.09</v>
      </c>
      <c r="F220" s="33" t="n">
        <v>1.09</v>
      </c>
      <c r="G220" s="34" t="n">
        <f aca="false">E220-F220</f>
        <v>0</v>
      </c>
      <c r="H220" s="11" t="str">
        <f aca="false">IF(ABS(G220)&lt;=0.000001,"PASS","FAIL")</f>
        <v>PASS</v>
      </c>
    </row>
    <row r="221" customFormat="false" ht="15" hidden="false" customHeight="false" outlineLevel="0" collapsed="false">
      <c r="A221" s="11" t="s">
        <v>1114</v>
      </c>
      <c r="B221" s="11" t="s">
        <v>680</v>
      </c>
      <c r="C221" s="11" t="s">
        <v>1115</v>
      </c>
      <c r="D221" s="11" t="s">
        <v>388</v>
      </c>
      <c r="E221" s="29" t="n">
        <f aca="false">Series!X6</f>
        <v>335</v>
      </c>
      <c r="F221" s="33" t="n">
        <v>335</v>
      </c>
      <c r="G221" s="11" t="n">
        <f aca="false">E221-F221</f>
        <v>0</v>
      </c>
      <c r="H221" s="11" t="str">
        <f aca="false">IF(ABS(G221)&lt;=0.000001,"PASS","FAIL")</f>
        <v>PASS</v>
      </c>
    </row>
    <row r="222" customFormat="false" ht="15" hidden="false" customHeight="false" outlineLevel="0" collapsed="false">
      <c r="A222" s="11" t="s">
        <v>1116</v>
      </c>
      <c r="B222" s="11" t="s">
        <v>680</v>
      </c>
      <c r="C222" s="11" t="s">
        <v>1117</v>
      </c>
      <c r="D222" s="11" t="s">
        <v>399</v>
      </c>
      <c r="E222" s="29" t="n">
        <f aca="false">Series!X7</f>
        <v>470</v>
      </c>
      <c r="F222" s="33" t="n">
        <v>470</v>
      </c>
      <c r="G222" s="11" t="n">
        <f aca="false">E222-F222</f>
        <v>0</v>
      </c>
      <c r="H222" s="11" t="str">
        <f aca="false">IF(ABS(G222)&lt;=0.000001,"PASS","FAIL")</f>
        <v>PASS</v>
      </c>
    </row>
    <row r="223" customFormat="false" ht="15" hidden="false" customHeight="false" outlineLevel="0" collapsed="false">
      <c r="A223" s="11" t="s">
        <v>1118</v>
      </c>
      <c r="B223" s="11" t="s">
        <v>680</v>
      </c>
      <c r="C223" s="11" t="s">
        <v>1119</v>
      </c>
      <c r="D223" s="11" t="s">
        <v>410</v>
      </c>
      <c r="E223" s="29" t="n">
        <f aca="false">Series!X8</f>
        <v>613</v>
      </c>
      <c r="F223" s="33" t="n">
        <v>613</v>
      </c>
      <c r="G223" s="11" t="n">
        <f aca="false">E223-F223</f>
        <v>0</v>
      </c>
      <c r="H223" s="11" t="str">
        <f aca="false">IF(ABS(G223)&lt;=0.000001,"PASS","FAIL")</f>
        <v>PASS</v>
      </c>
    </row>
    <row r="224" customFormat="false" ht="15" hidden="false" customHeight="false" outlineLevel="0" collapsed="false">
      <c r="A224" s="11" t="s">
        <v>1120</v>
      </c>
      <c r="B224" s="11" t="s">
        <v>680</v>
      </c>
      <c r="C224" s="11" t="s">
        <v>1121</v>
      </c>
      <c r="D224" s="11" t="s">
        <v>422</v>
      </c>
      <c r="E224" s="29" t="n">
        <f aca="false">Series!X9</f>
        <v>793</v>
      </c>
      <c r="F224" s="33" t="n">
        <v>793</v>
      </c>
      <c r="G224" s="11" t="n">
        <f aca="false">E224-F224</f>
        <v>0</v>
      </c>
      <c r="H224" s="11" t="str">
        <f aca="false">IF(ABS(G224)&lt;=0.000001,"PASS","FAIL")</f>
        <v>PASS</v>
      </c>
    </row>
    <row r="225" customFormat="false" ht="15" hidden="false" customHeight="false" outlineLevel="0" collapsed="false">
      <c r="A225" s="11" t="s">
        <v>1122</v>
      </c>
      <c r="B225" s="11" t="s">
        <v>680</v>
      </c>
      <c r="C225" s="11" t="s">
        <v>1123</v>
      </c>
      <c r="D225" s="11" t="s">
        <v>434</v>
      </c>
      <c r="E225" s="29" t="n">
        <f aca="false">Series!X10</f>
        <v>960</v>
      </c>
      <c r="F225" s="33" t="n">
        <v>960</v>
      </c>
      <c r="G225" s="11" t="n">
        <f aca="false">E225-F225</f>
        <v>0</v>
      </c>
      <c r="H225" s="11" t="str">
        <f aca="false">IF(ABS(G225)&lt;=0.000001,"PASS","FAIL")</f>
        <v>PASS</v>
      </c>
    </row>
    <row r="226" customFormat="false" ht="15" hidden="false" customHeight="false" outlineLevel="0" collapsed="false">
      <c r="A226" s="11" t="s">
        <v>1124</v>
      </c>
      <c r="B226" s="11" t="s">
        <v>680</v>
      </c>
      <c r="C226" s="11" t="s">
        <v>1125</v>
      </c>
      <c r="D226" s="11" t="s">
        <v>446</v>
      </c>
      <c r="E226" s="29" t="n">
        <f aca="false">Series!X11</f>
        <v>1160</v>
      </c>
      <c r="F226" s="33" t="n">
        <v>1160</v>
      </c>
      <c r="G226" s="11" t="n">
        <f aca="false">E226-F226</f>
        <v>0</v>
      </c>
      <c r="H226" s="11" t="str">
        <f aca="false">IF(ABS(G226)&lt;=0.000001,"PASS","FAIL")</f>
        <v>PASS</v>
      </c>
    </row>
    <row r="227" customFormat="false" ht="15" hidden="false" customHeight="false" outlineLevel="0" collapsed="false">
      <c r="A227" s="11" t="s">
        <v>1126</v>
      </c>
      <c r="B227" s="11" t="s">
        <v>680</v>
      </c>
      <c r="C227" s="11" t="s">
        <v>1127</v>
      </c>
      <c r="D227" s="11" t="s">
        <v>458</v>
      </c>
      <c r="E227" s="29" t="n">
        <f aca="false">Series!X12</f>
        <v>1323</v>
      </c>
      <c r="F227" s="33" t="n">
        <v>1323</v>
      </c>
      <c r="G227" s="11" t="n">
        <f aca="false">E227-F227</f>
        <v>0</v>
      </c>
      <c r="H227" s="11" t="str">
        <f aca="false">IF(ABS(G227)&lt;=0.000001,"PASS","FAIL")</f>
        <v>PASS</v>
      </c>
    </row>
    <row r="228" customFormat="false" ht="15" hidden="false" customHeight="false" outlineLevel="0" collapsed="false">
      <c r="A228" s="11" t="s">
        <v>1128</v>
      </c>
      <c r="B228" s="11" t="s">
        <v>680</v>
      </c>
      <c r="C228" s="11" t="s">
        <v>1129</v>
      </c>
      <c r="D228" s="11" t="s">
        <v>470</v>
      </c>
      <c r="E228" s="29" t="n">
        <f aca="false">Series!X13</f>
        <v>1474</v>
      </c>
      <c r="F228" s="33" t="n">
        <v>1474</v>
      </c>
      <c r="G228" s="11" t="n">
        <f aca="false">E228-F228</f>
        <v>0</v>
      </c>
      <c r="H228" s="11" t="str">
        <f aca="false">IF(ABS(G228)&lt;=0.000001,"PASS","FAIL")</f>
        <v>PASS</v>
      </c>
    </row>
    <row r="229" customFormat="false" ht="15" hidden="false" customHeight="false" outlineLevel="0" collapsed="false">
      <c r="A229" s="11" t="s">
        <v>1130</v>
      </c>
      <c r="B229" s="11" t="s">
        <v>680</v>
      </c>
      <c r="C229" s="11" t="s">
        <v>1131</v>
      </c>
      <c r="D229" s="11" t="s">
        <v>483</v>
      </c>
      <c r="E229" s="29" t="n">
        <f aca="false">Series!X14</f>
        <v>1683</v>
      </c>
      <c r="F229" s="33" t="n">
        <v>1683</v>
      </c>
      <c r="G229" s="11" t="n">
        <f aca="false">E229-F229</f>
        <v>0</v>
      </c>
      <c r="H229" s="11" t="str">
        <f aca="false">IF(ABS(G229)&lt;=0.000001,"PASS","FAIL")</f>
        <v>PASS</v>
      </c>
    </row>
    <row r="230" customFormat="false" ht="15" hidden="false" customHeight="false" outlineLevel="0" collapsed="false">
      <c r="A230" s="11" t="s">
        <v>1132</v>
      </c>
      <c r="B230" s="11" t="s">
        <v>680</v>
      </c>
      <c r="C230" s="11" t="s">
        <v>1133</v>
      </c>
      <c r="D230" s="11" t="s">
        <v>496</v>
      </c>
      <c r="E230" s="29" t="n">
        <f aca="false">Series!X15</f>
        <v>1892</v>
      </c>
      <c r="F230" s="33" t="n">
        <v>1892</v>
      </c>
      <c r="G230" s="11" t="n">
        <f aca="false">E230-F230</f>
        <v>0</v>
      </c>
      <c r="H230" s="11" t="str">
        <f aca="false">IF(ABS(G230)&lt;=0.000001,"PASS","FAIL")</f>
        <v>PASS</v>
      </c>
    </row>
    <row r="231" customFormat="false" ht="15" hidden="false" customHeight="false" outlineLevel="0" collapsed="false">
      <c r="A231" s="11" t="s">
        <v>1134</v>
      </c>
      <c r="B231" s="11" t="s">
        <v>680</v>
      </c>
      <c r="C231" s="11" t="s">
        <v>1135</v>
      </c>
      <c r="D231" s="11" t="s">
        <v>509</v>
      </c>
      <c r="E231" s="29" t="n">
        <f aca="false">Series!X16</f>
        <v>2077</v>
      </c>
      <c r="F231" s="33" t="n">
        <v>2077</v>
      </c>
      <c r="G231" s="11" t="n">
        <f aca="false">E231-F231</f>
        <v>0</v>
      </c>
      <c r="H231" s="11" t="str">
        <f aca="false">IF(ABS(G231)&lt;=0.000001,"PASS","FAIL")</f>
        <v>PASS</v>
      </c>
    </row>
    <row r="232" customFormat="false" ht="15" hidden="false" customHeight="false" outlineLevel="0" collapsed="false">
      <c r="A232" s="11" t="s">
        <v>1136</v>
      </c>
      <c r="B232" s="11" t="s">
        <v>680</v>
      </c>
      <c r="C232" s="11" t="s">
        <v>1137</v>
      </c>
      <c r="D232" s="11" t="s">
        <v>523</v>
      </c>
      <c r="E232" s="29" t="n">
        <f aca="false">Series!X17</f>
        <v>2295</v>
      </c>
      <c r="F232" s="33" t="n">
        <v>2295</v>
      </c>
      <c r="G232" s="11" t="n">
        <f aca="false">E232-F232</f>
        <v>0</v>
      </c>
      <c r="H232" s="11" t="str">
        <f aca="false">IF(ABS(G232)&lt;=0.000001,"PASS","FAIL")</f>
        <v>PASS</v>
      </c>
    </row>
    <row r="233" customFormat="false" ht="15" hidden="false" customHeight="false" outlineLevel="0" collapsed="false">
      <c r="A233" s="11" t="s">
        <v>1138</v>
      </c>
      <c r="B233" s="11" t="s">
        <v>680</v>
      </c>
      <c r="C233" s="11" t="s">
        <v>1139</v>
      </c>
      <c r="D233" s="11" t="s">
        <v>537</v>
      </c>
      <c r="E233" s="29" t="n">
        <f aca="false">Series!X18</f>
        <v>2491</v>
      </c>
      <c r="F233" s="33" t="n">
        <v>2491</v>
      </c>
      <c r="G233" s="11" t="n">
        <f aca="false">E233-F233</f>
        <v>0</v>
      </c>
      <c r="H233" s="11" t="str">
        <f aca="false">IF(ABS(G233)&lt;=0.000001,"PASS","FAIL")</f>
        <v>PASS</v>
      </c>
    </row>
    <row r="234" customFormat="false" ht="15" hidden="false" customHeight="false" outlineLevel="0" collapsed="false">
      <c r="A234" s="11" t="s">
        <v>1140</v>
      </c>
      <c r="B234" s="11" t="s">
        <v>680</v>
      </c>
      <c r="C234" s="11" t="s">
        <v>1141</v>
      </c>
      <c r="D234" s="11" t="s">
        <v>551</v>
      </c>
      <c r="E234" s="29" t="n">
        <f aca="false">Series!X19</f>
        <v>2713</v>
      </c>
      <c r="F234" s="33" t="n">
        <v>2713</v>
      </c>
      <c r="G234" s="11" t="n">
        <f aca="false">E234-F234</f>
        <v>0</v>
      </c>
      <c r="H234" s="11" t="str">
        <f aca="false">IF(ABS(G234)&lt;=0.000001,"PASS","FAIL")</f>
        <v>PASS</v>
      </c>
    </row>
    <row r="235" customFormat="false" ht="15" hidden="false" customHeight="false" outlineLevel="0" collapsed="false">
      <c r="A235" s="11" t="s">
        <v>1142</v>
      </c>
      <c r="B235" s="11" t="s">
        <v>680</v>
      </c>
      <c r="C235" s="11" t="s">
        <v>1143</v>
      </c>
      <c r="D235" s="11" t="s">
        <v>565</v>
      </c>
      <c r="E235" s="29" t="n">
        <f aca="false">Series!X20</f>
        <v>2907</v>
      </c>
      <c r="F235" s="33" t="n">
        <v>2907</v>
      </c>
      <c r="G235" s="11" t="n">
        <f aca="false">E235-F235</f>
        <v>0</v>
      </c>
      <c r="H235" s="11" t="str">
        <f aca="false">IF(ABS(G235)&lt;=0.000001,"PASS","FAIL")</f>
        <v>PASS</v>
      </c>
    </row>
    <row r="236" customFormat="false" ht="15" hidden="false" customHeight="false" outlineLevel="0" collapsed="false">
      <c r="A236" s="11" t="s">
        <v>1144</v>
      </c>
      <c r="B236" s="11" t="s">
        <v>680</v>
      </c>
      <c r="C236" s="11" t="s">
        <v>1145</v>
      </c>
      <c r="D236" s="11" t="s">
        <v>580</v>
      </c>
      <c r="E236" s="29" t="n">
        <f aca="false">Series!X21</f>
        <v>3201</v>
      </c>
      <c r="F236" s="33" t="n">
        <v>3201</v>
      </c>
      <c r="G236" s="11" t="n">
        <f aca="false">E236-F236</f>
        <v>0</v>
      </c>
      <c r="H236" s="11" t="str">
        <f aca="false">IF(ABS(G236)&lt;=0.000001,"PASS","FAIL")</f>
        <v>PASS</v>
      </c>
    </row>
    <row r="237" customFormat="false" ht="15" hidden="false" customHeight="false" outlineLevel="0" collapsed="false">
      <c r="A237" s="11" t="s">
        <v>1146</v>
      </c>
      <c r="B237" s="11" t="s">
        <v>680</v>
      </c>
      <c r="C237" s="11" t="s">
        <v>1147</v>
      </c>
      <c r="D237" s="11" t="s">
        <v>596</v>
      </c>
      <c r="E237" s="29" t="n">
        <f aca="false">Series!X22</f>
        <v>3444</v>
      </c>
      <c r="F237" s="33" t="n">
        <v>3444</v>
      </c>
      <c r="G237" s="11" t="n">
        <f aca="false">E237-F237</f>
        <v>0</v>
      </c>
      <c r="H237" s="11" t="str">
        <f aca="false">IF(ABS(G237)&lt;=0.000001,"PASS","FAIL")</f>
        <v>PASS</v>
      </c>
    </row>
    <row r="238" customFormat="false" ht="15" hidden="false" customHeight="false" outlineLevel="0" collapsed="false">
      <c r="A238" s="11" t="s">
        <v>1148</v>
      </c>
      <c r="B238" s="11" t="s">
        <v>680</v>
      </c>
      <c r="C238" s="11" t="s">
        <v>1149</v>
      </c>
      <c r="D238" s="11" t="s">
        <v>612</v>
      </c>
      <c r="E238" s="29" t="n">
        <f aca="false">Series!X23</f>
        <v>3702</v>
      </c>
      <c r="F238" s="33" t="n">
        <v>3702</v>
      </c>
      <c r="G238" s="11" t="n">
        <f aca="false">E238-F238</f>
        <v>0</v>
      </c>
      <c r="H238" s="11" t="str">
        <f aca="false">IF(ABS(G238)&lt;=0.000001,"PASS","FAIL")</f>
        <v>PASS</v>
      </c>
    </row>
    <row r="239" customFormat="false" ht="15" hidden="false" customHeight="false" outlineLevel="0" collapsed="false">
      <c r="A239" s="11" t="s">
        <v>1150</v>
      </c>
      <c r="B239" s="11" t="s">
        <v>680</v>
      </c>
      <c r="C239" s="11" t="s">
        <v>1151</v>
      </c>
      <c r="D239" s="11" t="s">
        <v>628</v>
      </c>
      <c r="E239" s="29" t="n">
        <f aca="false">Series!X24</f>
        <v>3993</v>
      </c>
      <c r="F239" s="33" t="n">
        <v>3993</v>
      </c>
      <c r="G239" s="11" t="n">
        <f aca="false">E239-F239</f>
        <v>0</v>
      </c>
      <c r="H239" s="11" t="str">
        <f aca="false">IF(ABS(G239)&lt;=0.000001,"PASS","FAIL")</f>
        <v>PASS</v>
      </c>
    </row>
    <row r="240" customFormat="false" ht="15" hidden="false" customHeight="false" outlineLevel="0" collapsed="false">
      <c r="A240" s="11" t="s">
        <v>1152</v>
      </c>
      <c r="B240" s="11" t="s">
        <v>680</v>
      </c>
      <c r="C240" s="11" t="s">
        <v>1153</v>
      </c>
      <c r="D240" s="11" t="s">
        <v>643</v>
      </c>
      <c r="E240" s="29" t="n">
        <f aca="false">Series!X25</f>
        <v>4281</v>
      </c>
      <c r="F240" s="33" t="n">
        <v>4281</v>
      </c>
      <c r="G240" s="11" t="n">
        <f aca="false">E240-F240</f>
        <v>0</v>
      </c>
      <c r="H240" s="11" t="str">
        <f aca="false">IF(ABS(G240)&lt;=0.000001,"PASS","FAIL")</f>
        <v>PASS</v>
      </c>
    </row>
    <row r="241" customFormat="false" ht="15" hidden="false" customHeight="false" outlineLevel="0" collapsed="false">
      <c r="A241" s="11" t="s">
        <v>1154</v>
      </c>
      <c r="B241" s="11" t="s">
        <v>680</v>
      </c>
      <c r="C241" s="11" t="s">
        <v>1155</v>
      </c>
      <c r="D241" s="11" t="s">
        <v>659</v>
      </c>
      <c r="E241" s="29" t="n">
        <f aca="false">Series!X26</f>
        <v>4547</v>
      </c>
      <c r="F241" s="33" t="n">
        <v>4547</v>
      </c>
      <c r="G241" s="11" t="n">
        <f aca="false">E241-F241</f>
        <v>0</v>
      </c>
      <c r="H241" s="11" t="str">
        <f aca="false">IF(ABS(G241)&lt;=0.000001,"PASS","FAIL")</f>
        <v>PASS</v>
      </c>
    </row>
    <row r="242" customFormat="false" ht="15" hidden="false" customHeight="false" outlineLevel="0" collapsed="false">
      <c r="A242" s="11" t="s">
        <v>1156</v>
      </c>
      <c r="B242" s="11" t="s">
        <v>680</v>
      </c>
      <c r="C242" s="11" t="s">
        <v>1157</v>
      </c>
      <c r="D242" s="11" t="s">
        <v>241</v>
      </c>
      <c r="E242" s="29" t="n">
        <f aca="false">Series!X27</f>
        <v>4834</v>
      </c>
      <c r="F242" s="33" t="n">
        <v>4834</v>
      </c>
      <c r="G242" s="11" t="n">
        <f aca="false">E242-F242</f>
        <v>0</v>
      </c>
      <c r="H242" s="11" t="str">
        <f aca="false">IF(ABS(G242)&lt;=0.000001,"PASS","FAIL")</f>
        <v>PASS</v>
      </c>
    </row>
    <row r="243" customFormat="false" ht="15" hidden="false" customHeight="false" outlineLevel="0" collapsed="false">
      <c r="A243" s="11" t="s">
        <v>1158</v>
      </c>
      <c r="B243" s="11" t="s">
        <v>680</v>
      </c>
      <c r="C243" s="11" t="s">
        <v>1159</v>
      </c>
      <c r="D243" s="11" t="s">
        <v>471</v>
      </c>
      <c r="E243" s="29" t="n">
        <f aca="false">Series!Z13</f>
        <v>527</v>
      </c>
      <c r="F243" s="33" t="n">
        <v>527</v>
      </c>
      <c r="G243" s="11" t="n">
        <f aca="false">E243-F243</f>
        <v>0</v>
      </c>
      <c r="H243" s="11" t="str">
        <f aca="false">IF(ABS(G243)&lt;=0.000001,"PASS","FAIL")</f>
        <v>PASS</v>
      </c>
    </row>
    <row r="244" customFormat="false" ht="15" hidden="false" customHeight="false" outlineLevel="0" collapsed="false">
      <c r="A244" s="11" t="s">
        <v>1160</v>
      </c>
      <c r="B244" s="11" t="s">
        <v>680</v>
      </c>
      <c r="C244" s="11" t="s">
        <v>1161</v>
      </c>
      <c r="D244" s="11" t="s">
        <v>484</v>
      </c>
      <c r="E244" s="29" t="n">
        <f aca="false">Series!Z14</f>
        <v>588</v>
      </c>
      <c r="F244" s="33" t="n">
        <v>588</v>
      </c>
      <c r="G244" s="11" t="n">
        <f aca="false">E244-F244</f>
        <v>0</v>
      </c>
      <c r="H244" s="11" t="str">
        <f aca="false">IF(ABS(G244)&lt;=0.000001,"PASS","FAIL")</f>
        <v>PASS</v>
      </c>
    </row>
    <row r="245" customFormat="false" ht="15" hidden="false" customHeight="false" outlineLevel="0" collapsed="false">
      <c r="A245" s="11" t="s">
        <v>1162</v>
      </c>
      <c r="B245" s="11" t="s">
        <v>680</v>
      </c>
      <c r="C245" s="11" t="s">
        <v>1163</v>
      </c>
      <c r="D245" s="11" t="s">
        <v>497</v>
      </c>
      <c r="E245" s="29" t="n">
        <f aca="false">Series!Z15</f>
        <v>677</v>
      </c>
      <c r="F245" s="33" t="n">
        <v>677</v>
      </c>
      <c r="G245" s="11" t="n">
        <f aca="false">E245-F245</f>
        <v>0</v>
      </c>
      <c r="H245" s="11" t="str">
        <f aca="false">IF(ABS(G245)&lt;=0.000001,"PASS","FAIL")</f>
        <v>PASS</v>
      </c>
    </row>
    <row r="246" customFormat="false" ht="15" hidden="false" customHeight="false" outlineLevel="0" collapsed="false">
      <c r="A246" s="11" t="s">
        <v>1164</v>
      </c>
      <c r="B246" s="11" t="s">
        <v>680</v>
      </c>
      <c r="C246" s="11" t="s">
        <v>1165</v>
      </c>
      <c r="D246" s="11" t="s">
        <v>510</v>
      </c>
      <c r="E246" s="29" t="n">
        <f aca="false">Series!Z16</f>
        <v>749</v>
      </c>
      <c r="F246" s="33" t="n">
        <v>749</v>
      </c>
      <c r="G246" s="11" t="n">
        <f aca="false">E246-F246</f>
        <v>0</v>
      </c>
      <c r="H246" s="11" t="str">
        <f aca="false">IF(ABS(G246)&lt;=0.000001,"PASS","FAIL")</f>
        <v>PASS</v>
      </c>
    </row>
    <row r="247" customFormat="false" ht="15" hidden="false" customHeight="false" outlineLevel="0" collapsed="false">
      <c r="A247" s="11" t="s">
        <v>1166</v>
      </c>
      <c r="B247" s="11" t="s">
        <v>680</v>
      </c>
      <c r="C247" s="11" t="s">
        <v>1167</v>
      </c>
      <c r="D247" s="11" t="s">
        <v>524</v>
      </c>
      <c r="E247" s="29" t="n">
        <f aca="false">Series!Z17</f>
        <v>833</v>
      </c>
      <c r="F247" s="33" t="n">
        <v>833</v>
      </c>
      <c r="G247" s="11" t="n">
        <f aca="false">E247-F247</f>
        <v>0</v>
      </c>
      <c r="H247" s="11" t="str">
        <f aca="false">IF(ABS(G247)&lt;=0.000001,"PASS","FAIL")</f>
        <v>PASS</v>
      </c>
    </row>
    <row r="248" customFormat="false" ht="15" hidden="false" customHeight="false" outlineLevel="0" collapsed="false">
      <c r="A248" s="11" t="s">
        <v>1168</v>
      </c>
      <c r="B248" s="11" t="s">
        <v>680</v>
      </c>
      <c r="C248" s="11" t="s">
        <v>1169</v>
      </c>
      <c r="D248" s="11" t="s">
        <v>538</v>
      </c>
      <c r="E248" s="29" t="n">
        <f aca="false">Series!Z18</f>
        <v>911</v>
      </c>
      <c r="F248" s="33" t="n">
        <v>911</v>
      </c>
      <c r="G248" s="11" t="n">
        <f aca="false">E248-F248</f>
        <v>0</v>
      </c>
      <c r="H248" s="11" t="str">
        <f aca="false">IF(ABS(G248)&lt;=0.000001,"PASS","FAIL")</f>
        <v>PASS</v>
      </c>
    </row>
    <row r="249" customFormat="false" ht="15" hidden="false" customHeight="false" outlineLevel="0" collapsed="false">
      <c r="A249" s="11" t="s">
        <v>1170</v>
      </c>
      <c r="B249" s="11" t="s">
        <v>680</v>
      </c>
      <c r="C249" s="11" t="s">
        <v>1171</v>
      </c>
      <c r="D249" s="11" t="s">
        <v>552</v>
      </c>
      <c r="E249" s="29" t="n">
        <f aca="false">Series!Z19</f>
        <v>1009</v>
      </c>
      <c r="F249" s="33" t="n">
        <v>1009</v>
      </c>
      <c r="G249" s="11" t="n">
        <f aca="false">E249-F249</f>
        <v>0</v>
      </c>
      <c r="H249" s="11" t="str">
        <f aca="false">IF(ABS(G249)&lt;=0.000001,"PASS","FAIL")</f>
        <v>PASS</v>
      </c>
    </row>
    <row r="250" customFormat="false" ht="15" hidden="false" customHeight="false" outlineLevel="0" collapsed="false">
      <c r="A250" s="11" t="s">
        <v>1172</v>
      </c>
      <c r="B250" s="11" t="s">
        <v>680</v>
      </c>
      <c r="C250" s="11" t="s">
        <v>1173</v>
      </c>
      <c r="D250" s="11" t="s">
        <v>566</v>
      </c>
      <c r="E250" s="29" t="n">
        <f aca="false">Series!Z20</f>
        <v>1080</v>
      </c>
      <c r="F250" s="33" t="n">
        <v>1080</v>
      </c>
      <c r="G250" s="11" t="n">
        <f aca="false">E250-F250</f>
        <v>0</v>
      </c>
      <c r="H250" s="11" t="str">
        <f aca="false">IF(ABS(G250)&lt;=0.000001,"PASS","FAIL")</f>
        <v>PASS</v>
      </c>
    </row>
    <row r="251" customFormat="false" ht="15" hidden="false" customHeight="false" outlineLevel="0" collapsed="false">
      <c r="A251" s="11" t="s">
        <v>1174</v>
      </c>
      <c r="B251" s="11" t="s">
        <v>680</v>
      </c>
      <c r="C251" s="11" t="s">
        <v>1175</v>
      </c>
      <c r="D251" s="11" t="s">
        <v>581</v>
      </c>
      <c r="E251" s="29" t="n">
        <f aca="false">Series!Z21</f>
        <v>1207</v>
      </c>
      <c r="F251" s="33" t="n">
        <v>1207</v>
      </c>
      <c r="G251" s="11" t="n">
        <f aca="false">E251-F251</f>
        <v>0</v>
      </c>
      <c r="H251" s="11" t="str">
        <f aca="false">IF(ABS(G251)&lt;=0.000001,"PASS","FAIL")</f>
        <v>PASS</v>
      </c>
    </row>
    <row r="252" customFormat="false" ht="15" hidden="false" customHeight="false" outlineLevel="0" collapsed="false">
      <c r="A252" s="11" t="s">
        <v>1176</v>
      </c>
      <c r="B252" s="11" t="s">
        <v>680</v>
      </c>
      <c r="C252" s="11" t="s">
        <v>1177</v>
      </c>
      <c r="D252" s="11" t="s">
        <v>597</v>
      </c>
      <c r="E252" s="29" t="n">
        <f aca="false">Series!Z22</f>
        <v>1328</v>
      </c>
      <c r="F252" s="33" t="n">
        <v>1328</v>
      </c>
      <c r="G252" s="11" t="n">
        <f aca="false">E252-F252</f>
        <v>0</v>
      </c>
      <c r="H252" s="11" t="str">
        <f aca="false">IF(ABS(G252)&lt;=0.000001,"PASS","FAIL")</f>
        <v>PASS</v>
      </c>
    </row>
    <row r="253" customFormat="false" ht="15" hidden="false" customHeight="false" outlineLevel="0" collapsed="false">
      <c r="A253" s="11" t="s">
        <v>1178</v>
      </c>
      <c r="B253" s="11" t="s">
        <v>680</v>
      </c>
      <c r="C253" s="11" t="s">
        <v>1179</v>
      </c>
      <c r="D253" s="11" t="s">
        <v>613</v>
      </c>
      <c r="E253" s="29" t="n">
        <f aca="false">Series!Z23</f>
        <v>1472</v>
      </c>
      <c r="F253" s="33" t="n">
        <v>1472</v>
      </c>
      <c r="G253" s="11" t="n">
        <f aca="false">E253-F253</f>
        <v>0</v>
      </c>
      <c r="H253" s="11" t="str">
        <f aca="false">IF(ABS(G253)&lt;=0.000001,"PASS","FAIL")</f>
        <v>PASS</v>
      </c>
    </row>
    <row r="254" customFormat="false" ht="15" hidden="false" customHeight="false" outlineLevel="0" collapsed="false">
      <c r="A254" s="11" t="s">
        <v>1180</v>
      </c>
      <c r="B254" s="11" t="s">
        <v>680</v>
      </c>
      <c r="C254" s="11" t="s">
        <v>1181</v>
      </c>
      <c r="D254" s="11" t="s">
        <v>629</v>
      </c>
      <c r="E254" s="29" t="n">
        <f aca="false">Series!Z24</f>
        <v>1603</v>
      </c>
      <c r="F254" s="33" t="n">
        <v>1603</v>
      </c>
      <c r="G254" s="11" t="n">
        <f aca="false">E254-F254</f>
        <v>0</v>
      </c>
      <c r="H254" s="11" t="str">
        <f aca="false">IF(ABS(G254)&lt;=0.000001,"PASS","FAIL")</f>
        <v>PASS</v>
      </c>
    </row>
    <row r="255" customFormat="false" ht="15" hidden="false" customHeight="false" outlineLevel="0" collapsed="false">
      <c r="A255" s="11" t="s">
        <v>1182</v>
      </c>
      <c r="B255" s="11" t="s">
        <v>680</v>
      </c>
      <c r="C255" s="11" t="s">
        <v>1183</v>
      </c>
      <c r="D255" s="11" t="s">
        <v>644</v>
      </c>
      <c r="E255" s="29" t="n">
        <f aca="false">Series!Z25</f>
        <v>1756</v>
      </c>
      <c r="F255" s="33" t="n">
        <v>1756</v>
      </c>
      <c r="G255" s="11" t="n">
        <f aca="false">E255-F255</f>
        <v>0</v>
      </c>
      <c r="H255" s="11" t="str">
        <f aca="false">IF(ABS(G255)&lt;=0.000001,"PASS","FAIL")</f>
        <v>PASS</v>
      </c>
    </row>
    <row r="256" customFormat="false" ht="15" hidden="false" customHeight="false" outlineLevel="0" collapsed="false">
      <c r="A256" s="11" t="s">
        <v>1184</v>
      </c>
      <c r="B256" s="11" t="s">
        <v>680</v>
      </c>
      <c r="C256" s="11" t="s">
        <v>1185</v>
      </c>
      <c r="D256" s="11" t="s">
        <v>660</v>
      </c>
      <c r="E256" s="29" t="n">
        <f aca="false">Series!Z26</f>
        <v>1844</v>
      </c>
      <c r="F256" s="33" t="n">
        <v>1844</v>
      </c>
      <c r="G256" s="11" t="n">
        <f aca="false">E256-F256</f>
        <v>0</v>
      </c>
      <c r="H256" s="11" t="str">
        <f aca="false">IF(ABS(G256)&lt;=0.000001,"PASS","FAIL")</f>
        <v>PASS</v>
      </c>
    </row>
    <row r="257" customFormat="false" ht="15" hidden="false" customHeight="false" outlineLevel="0" collapsed="false">
      <c r="A257" s="11" t="s">
        <v>1186</v>
      </c>
      <c r="B257" s="11" t="s">
        <v>680</v>
      </c>
      <c r="C257" s="11" t="s">
        <v>1187</v>
      </c>
      <c r="D257" s="11" t="s">
        <v>666</v>
      </c>
      <c r="E257" s="29" t="n">
        <f aca="false">Series!Z27</f>
        <v>2019</v>
      </c>
      <c r="F257" s="33" t="n">
        <v>2019</v>
      </c>
      <c r="G257" s="11" t="n">
        <f aca="false">E257-F257</f>
        <v>0</v>
      </c>
      <c r="H257" s="11" t="str">
        <f aca="false">IF(ABS(G257)&lt;=0.000001,"PASS","FAIL")</f>
        <v>PASS</v>
      </c>
    </row>
    <row r="258" customFormat="false" ht="15" hidden="false" customHeight="false" outlineLevel="0" collapsed="false">
      <c r="A258" s="11" t="s">
        <v>1188</v>
      </c>
      <c r="B258" s="11" t="s">
        <v>680</v>
      </c>
      <c r="C258" s="11" t="s">
        <v>1189</v>
      </c>
      <c r="D258" s="11" t="s">
        <v>567</v>
      </c>
      <c r="E258" s="13" t="n">
        <f aca="false">Series!AB20</f>
        <v>548</v>
      </c>
      <c r="F258" s="33" t="n">
        <v>548</v>
      </c>
      <c r="G258" s="11" t="n">
        <f aca="false">E258-F258</f>
        <v>0</v>
      </c>
      <c r="H258" s="11" t="str">
        <f aca="false">IF(ABS(G258)&lt;=0.000001,"PASS","FAIL")</f>
        <v>PASS</v>
      </c>
    </row>
    <row r="259" customFormat="false" ht="15" hidden="false" customHeight="false" outlineLevel="0" collapsed="false">
      <c r="A259" s="11" t="s">
        <v>1190</v>
      </c>
      <c r="B259" s="11" t="s">
        <v>680</v>
      </c>
      <c r="C259" s="11" t="s">
        <v>1191</v>
      </c>
      <c r="D259" s="11" t="s">
        <v>582</v>
      </c>
      <c r="E259" s="13" t="n">
        <f aca="false">Series!AB21</f>
        <v>614</v>
      </c>
      <c r="F259" s="33" t="n">
        <v>614</v>
      </c>
      <c r="G259" s="11" t="n">
        <f aca="false">E259-F259</f>
        <v>0</v>
      </c>
      <c r="H259" s="11" t="str">
        <f aca="false">IF(ABS(G259)&lt;=0.000001,"PASS","FAIL")</f>
        <v>PASS</v>
      </c>
    </row>
    <row r="260" customFormat="false" ht="15" hidden="false" customHeight="false" outlineLevel="0" collapsed="false">
      <c r="A260" s="11" t="s">
        <v>1192</v>
      </c>
      <c r="B260" s="11" t="s">
        <v>680</v>
      </c>
      <c r="C260" s="11" t="s">
        <v>1193</v>
      </c>
      <c r="D260" s="11" t="s">
        <v>598</v>
      </c>
      <c r="E260" s="13" t="n">
        <f aca="false">Series!AB22</f>
        <v>660</v>
      </c>
      <c r="F260" s="33" t="n">
        <v>660</v>
      </c>
      <c r="G260" s="11" t="n">
        <f aca="false">E260-F260</f>
        <v>0</v>
      </c>
      <c r="H260" s="11" t="str">
        <f aca="false">IF(ABS(G260)&lt;=0.000001,"PASS","FAIL")</f>
        <v>PASS</v>
      </c>
    </row>
    <row r="261" customFormat="false" ht="15" hidden="false" customHeight="false" outlineLevel="0" collapsed="false">
      <c r="A261" s="11" t="s">
        <v>1194</v>
      </c>
      <c r="B261" s="11" t="s">
        <v>680</v>
      </c>
      <c r="C261" s="11" t="s">
        <v>1195</v>
      </c>
      <c r="D261" s="11" t="s">
        <v>614</v>
      </c>
      <c r="E261" s="13" t="n">
        <f aca="false">Series!AB23</f>
        <v>699</v>
      </c>
      <c r="F261" s="33" t="n">
        <v>699</v>
      </c>
      <c r="G261" s="11" t="n">
        <f aca="false">E261-F261</f>
        <v>0</v>
      </c>
      <c r="H261" s="11" t="str">
        <f aca="false">IF(ABS(G261)&lt;=0.000001,"PASS","FAIL")</f>
        <v>PASS</v>
      </c>
    </row>
    <row r="262" customFormat="false" ht="15" hidden="false" customHeight="false" outlineLevel="0" collapsed="false">
      <c r="A262" s="11" t="s">
        <v>1196</v>
      </c>
      <c r="B262" s="11" t="s">
        <v>680</v>
      </c>
      <c r="C262" s="11" t="s">
        <v>1197</v>
      </c>
      <c r="D262" s="11" t="s">
        <v>630</v>
      </c>
      <c r="E262" s="13" t="n">
        <f aca="false">Series!AB24</f>
        <v>747</v>
      </c>
      <c r="F262" s="33" t="n">
        <v>747</v>
      </c>
      <c r="G262" s="11" t="n">
        <f aca="false">E262-F262</f>
        <v>0</v>
      </c>
      <c r="H262" s="11" t="str">
        <f aca="false">IF(ABS(G262)&lt;=0.000001,"PASS","FAIL")</f>
        <v>PASS</v>
      </c>
    </row>
    <row r="263" customFormat="false" ht="15" hidden="false" customHeight="false" outlineLevel="0" collapsed="false">
      <c r="A263" s="11" t="s">
        <v>1198</v>
      </c>
      <c r="B263" s="11" t="s">
        <v>680</v>
      </c>
      <c r="C263" s="11" t="s">
        <v>1199</v>
      </c>
      <c r="D263" s="11" t="s">
        <v>645</v>
      </c>
      <c r="E263" s="13" t="n">
        <f aca="false">Series!AB25</f>
        <v>839</v>
      </c>
      <c r="F263" s="33" t="n">
        <v>839</v>
      </c>
      <c r="G263" s="11" t="n">
        <f aca="false">E263-F263</f>
        <v>0</v>
      </c>
      <c r="H263" s="11" t="str">
        <f aca="false">IF(ABS(G263)&lt;=0.000001,"PASS","FAIL")</f>
        <v>PASS</v>
      </c>
    </row>
    <row r="264" customFormat="false" ht="15" hidden="false" customHeight="false" outlineLevel="0" collapsed="false">
      <c r="A264" s="11" t="s">
        <v>1200</v>
      </c>
      <c r="B264" s="11" t="s">
        <v>680</v>
      </c>
      <c r="C264" s="11" t="s">
        <v>1201</v>
      </c>
      <c r="D264" s="11" t="s">
        <v>661</v>
      </c>
      <c r="E264" s="13" t="n">
        <f aca="false">Series!AB26</f>
        <v>880</v>
      </c>
      <c r="F264" s="33" t="n">
        <v>880</v>
      </c>
      <c r="G264" s="11" t="n">
        <f aca="false">E264-F264</f>
        <v>0</v>
      </c>
      <c r="H264" s="11" t="str">
        <f aca="false">IF(ABS(G264)&lt;=0.000001,"PASS","FAIL")</f>
        <v>PASS</v>
      </c>
    </row>
    <row r="265" customFormat="false" ht="15" hidden="false" customHeight="false" outlineLevel="0" collapsed="false">
      <c r="A265" s="11" t="s">
        <v>1202</v>
      </c>
      <c r="B265" s="11" t="s">
        <v>680</v>
      </c>
      <c r="C265" s="11" t="s">
        <v>1203</v>
      </c>
      <c r="D265" s="11" t="s">
        <v>667</v>
      </c>
      <c r="E265" s="13" t="n">
        <f aca="false">Series!AB27</f>
        <v>937</v>
      </c>
      <c r="F265" s="33" t="n">
        <v>937</v>
      </c>
      <c r="G265" s="11" t="n">
        <f aca="false">E265-F265</f>
        <v>0</v>
      </c>
      <c r="H265" s="11" t="str">
        <f aca="false">IF(ABS(G265)&lt;=0.000001,"PASS","FAIL")</f>
        <v>PASS</v>
      </c>
    </row>
    <row r="266" customFormat="false" ht="15" hidden="false" customHeight="false" outlineLevel="0" collapsed="false">
      <c r="A266" s="11" t="s">
        <v>1204</v>
      </c>
      <c r="B266" s="11" t="s">
        <v>680</v>
      </c>
      <c r="C266" s="11" t="s">
        <v>1205</v>
      </c>
      <c r="D266" s="11" t="s">
        <v>583</v>
      </c>
      <c r="E266" s="13" t="n">
        <f aca="false">Series!AD21</f>
        <v>516</v>
      </c>
      <c r="F266" s="33" t="n">
        <v>516</v>
      </c>
      <c r="G266" s="11" t="n">
        <f aca="false">E266-F266</f>
        <v>0</v>
      </c>
      <c r="H266" s="11" t="str">
        <f aca="false">IF(ABS(G266)&lt;=0.000001,"PASS","FAIL")</f>
        <v>PASS</v>
      </c>
    </row>
    <row r="267" customFormat="false" ht="15" hidden="false" customHeight="false" outlineLevel="0" collapsed="false">
      <c r="A267" s="11" t="s">
        <v>1206</v>
      </c>
      <c r="B267" s="11" t="s">
        <v>680</v>
      </c>
      <c r="C267" s="11" t="s">
        <v>1207</v>
      </c>
      <c r="D267" s="11" t="s">
        <v>599</v>
      </c>
      <c r="E267" s="13" t="n">
        <f aca="false">Series!AD22</f>
        <v>568</v>
      </c>
      <c r="F267" s="33" t="n">
        <v>568</v>
      </c>
      <c r="G267" s="11" t="n">
        <f aca="false">E267-F267</f>
        <v>0</v>
      </c>
      <c r="H267" s="11" t="str">
        <f aca="false">IF(ABS(G267)&lt;=0.000001,"PASS","FAIL")</f>
        <v>PASS</v>
      </c>
    </row>
    <row r="268" customFormat="false" ht="15" hidden="false" customHeight="false" outlineLevel="0" collapsed="false">
      <c r="A268" s="11" t="s">
        <v>1208</v>
      </c>
      <c r="B268" s="11" t="s">
        <v>680</v>
      </c>
      <c r="C268" s="11" t="s">
        <v>1209</v>
      </c>
      <c r="D268" s="11" t="s">
        <v>615</v>
      </c>
      <c r="E268" s="13" t="n">
        <f aca="false">Series!AD23</f>
        <v>588</v>
      </c>
      <c r="F268" s="33" t="n">
        <v>588</v>
      </c>
      <c r="G268" s="11" t="n">
        <f aca="false">E268-F268</f>
        <v>0</v>
      </c>
      <c r="H268" s="11" t="str">
        <f aca="false">IF(ABS(G268)&lt;=0.000001,"PASS","FAIL")</f>
        <v>PASS</v>
      </c>
    </row>
    <row r="269" customFormat="false" ht="15" hidden="false" customHeight="false" outlineLevel="0" collapsed="false">
      <c r="A269" s="11" t="s">
        <v>1210</v>
      </c>
      <c r="B269" s="11" t="s">
        <v>680</v>
      </c>
      <c r="C269" s="11" t="s">
        <v>1211</v>
      </c>
      <c r="D269" s="11" t="s">
        <v>646</v>
      </c>
      <c r="E269" s="13" t="n">
        <f aca="false">Series!AD25</f>
        <v>676</v>
      </c>
      <c r="F269" s="33" t="n">
        <v>676</v>
      </c>
      <c r="G269" s="11" t="n">
        <f aca="false">E269-F269</f>
        <v>0</v>
      </c>
      <c r="H269" s="11" t="str">
        <f aca="false">IF(ABS(G269)&lt;=0.000001,"PASS","FAIL")</f>
        <v>PASS</v>
      </c>
    </row>
    <row r="270" customFormat="false" ht="15" hidden="false" customHeight="false" outlineLevel="0" collapsed="false">
      <c r="A270" s="11" t="s">
        <v>1212</v>
      </c>
      <c r="B270" s="11" t="s">
        <v>680</v>
      </c>
      <c r="C270" s="11" t="s">
        <v>1213</v>
      </c>
      <c r="D270" s="11" t="s">
        <v>662</v>
      </c>
      <c r="E270" s="13" t="n">
        <f aca="false">Series!AD26</f>
        <v>716</v>
      </c>
      <c r="F270" s="33" t="n">
        <v>716</v>
      </c>
      <c r="G270" s="11" t="n">
        <f aca="false">E270-F270</f>
        <v>0</v>
      </c>
      <c r="H270" s="11" t="str">
        <f aca="false">IF(ABS(G270)&lt;=0.000001,"PASS","FAIL")</f>
        <v>PASS</v>
      </c>
    </row>
    <row r="271" customFormat="false" ht="15" hidden="false" customHeight="false" outlineLevel="0" collapsed="false">
      <c r="A271" s="11" t="s">
        <v>1214</v>
      </c>
      <c r="B271" s="11" t="s">
        <v>680</v>
      </c>
      <c r="C271" s="11" t="s">
        <v>1215</v>
      </c>
      <c r="D271" s="11" t="s">
        <v>668</v>
      </c>
      <c r="E271" s="13" t="n">
        <f aca="false">Series!AD27</f>
        <v>750</v>
      </c>
      <c r="F271" s="33" t="n">
        <v>750</v>
      </c>
      <c r="G271" s="11" t="n">
        <f aca="false">E271-F271</f>
        <v>0</v>
      </c>
      <c r="H271" s="11" t="str">
        <f aca="false">IF(ABS(G271)&lt;=0.000001,"PASS","FAIL")</f>
        <v>PASS</v>
      </c>
    </row>
    <row r="272" customFormat="false" ht="15" hidden="false" customHeight="false" outlineLevel="0" collapsed="false">
      <c r="A272" s="11" t="s">
        <v>1216</v>
      </c>
      <c r="B272" s="11" t="s">
        <v>1217</v>
      </c>
      <c r="C272" s="11" t="s">
        <v>1218</v>
      </c>
      <c r="D272" s="11" t="s">
        <v>1219</v>
      </c>
      <c r="E272" s="13" t="n">
        <f aca="false">Series!AF8</f>
        <v>74</v>
      </c>
      <c r="F272" s="33" t="n">
        <v>74</v>
      </c>
      <c r="G272" s="11" t="n">
        <f aca="false">E272-F272</f>
        <v>0</v>
      </c>
      <c r="H272" s="11" t="str">
        <f aca="false">IF(ABS(G272)&lt;=0.000001,"PASS","FAIL")</f>
        <v>PASS</v>
      </c>
    </row>
    <row r="273" customFormat="false" ht="15" hidden="false" customHeight="false" outlineLevel="0" collapsed="false">
      <c r="A273" s="11" t="s">
        <v>1220</v>
      </c>
      <c r="B273" s="11" t="s">
        <v>1217</v>
      </c>
      <c r="C273" s="11" t="s">
        <v>1221</v>
      </c>
      <c r="D273" s="11" t="s">
        <v>1222</v>
      </c>
      <c r="E273" s="13" t="n">
        <f aca="false">Series!AG8</f>
        <v>75</v>
      </c>
      <c r="F273" s="33" t="n">
        <v>75</v>
      </c>
      <c r="G273" s="11" t="n">
        <f aca="false">E273-F273</f>
        <v>0</v>
      </c>
      <c r="H273" s="11" t="str">
        <f aca="false">IF(ABS(G273)&lt;=0.000001,"PASS","FAIL")</f>
        <v>PASS</v>
      </c>
    </row>
    <row r="274" customFormat="false" ht="15" hidden="false" customHeight="false" outlineLevel="0" collapsed="false">
      <c r="A274" s="11" t="s">
        <v>1223</v>
      </c>
      <c r="B274" s="11" t="s">
        <v>1217</v>
      </c>
      <c r="C274" s="11" t="s">
        <v>1224</v>
      </c>
      <c r="D274" s="11" t="s">
        <v>1225</v>
      </c>
      <c r="E274" s="13" t="n">
        <f aca="false">Series!AF9</f>
        <v>87</v>
      </c>
      <c r="F274" s="33" t="n">
        <v>87</v>
      </c>
      <c r="G274" s="11" t="n">
        <f aca="false">E274-F274</f>
        <v>0</v>
      </c>
      <c r="H274" s="11" t="str">
        <f aca="false">IF(ABS(G274)&lt;=0.000001,"PASS","FAIL")</f>
        <v>PASS</v>
      </c>
    </row>
    <row r="275" customFormat="false" ht="15" hidden="false" customHeight="false" outlineLevel="0" collapsed="false">
      <c r="A275" s="11" t="s">
        <v>1226</v>
      </c>
      <c r="B275" s="11" t="s">
        <v>1217</v>
      </c>
      <c r="C275" s="11" t="s">
        <v>1227</v>
      </c>
      <c r="D275" s="11" t="s">
        <v>1228</v>
      </c>
      <c r="E275" s="13" t="n">
        <f aca="false">Series!AG9</f>
        <v>88</v>
      </c>
      <c r="F275" s="33" t="n">
        <v>88</v>
      </c>
      <c r="G275" s="11" t="n">
        <f aca="false">E275-F275</f>
        <v>0</v>
      </c>
      <c r="H275" s="11" t="str">
        <f aca="false">IF(ABS(G275)&lt;=0.000001,"PASS","FAIL")</f>
        <v>PASS</v>
      </c>
    </row>
    <row r="276" customFormat="false" ht="15" hidden="false" customHeight="false" outlineLevel="0" collapsed="false">
      <c r="A276" s="11" t="s">
        <v>1229</v>
      </c>
      <c r="B276" s="11" t="s">
        <v>1217</v>
      </c>
      <c r="C276" s="11" t="s">
        <v>1230</v>
      </c>
      <c r="D276" s="11" t="s">
        <v>1231</v>
      </c>
      <c r="E276" s="13" t="n">
        <f aca="false">Series!AF10</f>
        <v>100</v>
      </c>
      <c r="F276" s="33" t="n">
        <v>100</v>
      </c>
      <c r="G276" s="11" t="n">
        <f aca="false">E276-F276</f>
        <v>0</v>
      </c>
      <c r="H276" s="11" t="str">
        <f aca="false">IF(ABS(G276)&lt;=0.000001,"PASS","FAIL")</f>
        <v>PASS</v>
      </c>
    </row>
    <row r="277" customFormat="false" ht="15" hidden="false" customHeight="false" outlineLevel="0" collapsed="false">
      <c r="A277" s="11" t="s">
        <v>1232</v>
      </c>
      <c r="B277" s="11" t="s">
        <v>1217</v>
      </c>
      <c r="C277" s="11" t="s">
        <v>1233</v>
      </c>
      <c r="D277" s="11" t="s">
        <v>1234</v>
      </c>
      <c r="E277" s="13" t="n">
        <f aca="false">Series!AG10</f>
        <v>102</v>
      </c>
      <c r="F277" s="33" t="n">
        <v>102</v>
      </c>
      <c r="G277" s="11" t="n">
        <f aca="false">E277-F277</f>
        <v>0</v>
      </c>
      <c r="H277" s="11" t="str">
        <f aca="false">IF(ABS(G277)&lt;=0.000001,"PASS","FAIL")</f>
        <v>PASS</v>
      </c>
    </row>
    <row r="278" customFormat="false" ht="15" hidden="false" customHeight="false" outlineLevel="0" collapsed="false">
      <c r="A278" s="11" t="s">
        <v>1235</v>
      </c>
      <c r="B278" s="11" t="s">
        <v>1217</v>
      </c>
      <c r="C278" s="11" t="s">
        <v>1236</v>
      </c>
      <c r="D278" s="11" t="s">
        <v>1237</v>
      </c>
      <c r="E278" s="13" t="n">
        <f aca="false">Series!AF11</f>
        <v>117</v>
      </c>
      <c r="F278" s="33" t="n">
        <v>117</v>
      </c>
      <c r="G278" s="11" t="n">
        <f aca="false">E278-F278</f>
        <v>0</v>
      </c>
      <c r="H278" s="11" t="str">
        <f aca="false">IF(ABS(G278)&lt;=0.000001,"PASS","FAIL")</f>
        <v>PASS</v>
      </c>
    </row>
    <row r="279" customFormat="false" ht="15" hidden="false" customHeight="false" outlineLevel="0" collapsed="false">
      <c r="A279" s="11" t="s">
        <v>1238</v>
      </c>
      <c r="B279" s="11" t="s">
        <v>1217</v>
      </c>
      <c r="C279" s="11" t="s">
        <v>1239</v>
      </c>
      <c r="D279" s="11" t="s">
        <v>1240</v>
      </c>
      <c r="E279" s="13" t="n">
        <f aca="false">Series!AG11</f>
        <v>119</v>
      </c>
      <c r="F279" s="33" t="n">
        <v>119</v>
      </c>
      <c r="G279" s="11" t="n">
        <f aca="false">E279-F279</f>
        <v>0</v>
      </c>
      <c r="H279" s="11" t="str">
        <f aca="false">IF(ABS(G279)&lt;=0.000001,"PASS","FAIL")</f>
        <v>PASS</v>
      </c>
    </row>
    <row r="280" customFormat="false" ht="15" hidden="false" customHeight="false" outlineLevel="0" collapsed="false">
      <c r="A280" s="11" t="s">
        <v>1241</v>
      </c>
      <c r="B280" s="11" t="s">
        <v>1217</v>
      </c>
      <c r="C280" s="11" t="s">
        <v>1242</v>
      </c>
      <c r="D280" s="11" t="s">
        <v>1243</v>
      </c>
      <c r="E280" s="13" t="n">
        <f aca="false">Series!AF12</f>
        <v>130</v>
      </c>
      <c r="F280" s="33" t="n">
        <v>130</v>
      </c>
      <c r="G280" s="11" t="n">
        <f aca="false">E280-F280</f>
        <v>0</v>
      </c>
      <c r="H280" s="11" t="str">
        <f aca="false">IF(ABS(G280)&lt;=0.000001,"PASS","FAIL")</f>
        <v>PASS</v>
      </c>
    </row>
    <row r="281" customFormat="false" ht="15" hidden="false" customHeight="false" outlineLevel="0" collapsed="false">
      <c r="A281" s="11" t="s">
        <v>1244</v>
      </c>
      <c r="B281" s="11" t="s">
        <v>1217</v>
      </c>
      <c r="C281" s="11" t="s">
        <v>1245</v>
      </c>
      <c r="D281" s="11" t="s">
        <v>1246</v>
      </c>
      <c r="E281" s="13" t="n">
        <f aca="false">Series!AG12</f>
        <v>131</v>
      </c>
      <c r="F281" s="33" t="n">
        <v>131</v>
      </c>
      <c r="G281" s="11" t="n">
        <f aca="false">E281-F281</f>
        <v>0</v>
      </c>
      <c r="H281" s="11" t="str">
        <f aca="false">IF(ABS(G281)&lt;=0.000001,"PASS","FAIL")</f>
        <v>PASS</v>
      </c>
    </row>
    <row r="282" customFormat="false" ht="15" hidden="false" customHeight="false" outlineLevel="0" collapsed="false">
      <c r="A282" s="11" t="s">
        <v>1247</v>
      </c>
      <c r="B282" s="11" t="s">
        <v>1217</v>
      </c>
      <c r="C282" s="11" t="s">
        <v>1248</v>
      </c>
      <c r="D282" s="11" t="s">
        <v>1249</v>
      </c>
      <c r="E282" s="13" t="n">
        <f aca="false">Series!AF13</f>
        <v>140</v>
      </c>
      <c r="F282" s="33" t="n">
        <v>140</v>
      </c>
      <c r="G282" s="11" t="n">
        <f aca="false">E282-F282</f>
        <v>0</v>
      </c>
      <c r="H282" s="11" t="str">
        <f aca="false">IF(ABS(G282)&lt;=0.000001,"PASS","FAIL")</f>
        <v>PASS</v>
      </c>
    </row>
    <row r="283" customFormat="false" ht="15" hidden="false" customHeight="false" outlineLevel="0" collapsed="false">
      <c r="A283" s="11" t="s">
        <v>1250</v>
      </c>
      <c r="B283" s="11" t="s">
        <v>1217</v>
      </c>
      <c r="C283" s="11" t="s">
        <v>1251</v>
      </c>
      <c r="D283" s="11" t="s">
        <v>1252</v>
      </c>
      <c r="E283" s="13" t="n">
        <f aca="false">Series!AG13</f>
        <v>142</v>
      </c>
      <c r="F283" s="33" t="n">
        <v>142</v>
      </c>
      <c r="G283" s="11" t="n">
        <f aca="false">E283-F283</f>
        <v>0</v>
      </c>
      <c r="H283" s="11" t="str">
        <f aca="false">IF(ABS(G283)&lt;=0.000001,"PASS","FAIL")</f>
        <v>PASS</v>
      </c>
    </row>
    <row r="284" customFormat="false" ht="15" hidden="false" customHeight="false" outlineLevel="0" collapsed="false">
      <c r="A284" s="11" t="s">
        <v>1253</v>
      </c>
      <c r="B284" s="11" t="s">
        <v>1217</v>
      </c>
      <c r="C284" s="11" t="s">
        <v>1254</v>
      </c>
      <c r="D284" s="11" t="s">
        <v>1255</v>
      </c>
      <c r="E284" s="13" t="n">
        <f aca="false">Series!AF14</f>
        <v>154</v>
      </c>
      <c r="F284" s="33" t="n">
        <v>154</v>
      </c>
      <c r="G284" s="11" t="n">
        <f aca="false">E284-F284</f>
        <v>0</v>
      </c>
      <c r="H284" s="11" t="str">
        <f aca="false">IF(ABS(G284)&lt;=0.000001,"PASS","FAIL")</f>
        <v>PASS</v>
      </c>
    </row>
    <row r="285" customFormat="false" ht="15" hidden="false" customHeight="false" outlineLevel="0" collapsed="false">
      <c r="A285" s="11" t="s">
        <v>1256</v>
      </c>
      <c r="B285" s="11" t="s">
        <v>1217</v>
      </c>
      <c r="C285" s="11" t="s">
        <v>1257</v>
      </c>
      <c r="D285" s="11" t="s">
        <v>1258</v>
      </c>
      <c r="E285" s="13" t="n">
        <f aca="false">Series!AG14</f>
        <v>156</v>
      </c>
      <c r="F285" s="33" t="n">
        <v>156</v>
      </c>
      <c r="G285" s="11" t="n">
        <f aca="false">E285-F285</f>
        <v>0</v>
      </c>
      <c r="H285" s="11" t="str">
        <f aca="false">IF(ABS(G285)&lt;=0.000001,"PASS","FAIL")</f>
        <v>PASS</v>
      </c>
    </row>
    <row r="286" customFormat="false" ht="15" hidden="false" customHeight="false" outlineLevel="0" collapsed="false">
      <c r="A286" s="11" t="s">
        <v>1259</v>
      </c>
      <c r="B286" s="11" t="s">
        <v>1217</v>
      </c>
      <c r="C286" s="11" t="s">
        <v>1260</v>
      </c>
      <c r="D286" s="11" t="s">
        <v>1261</v>
      </c>
      <c r="E286" s="13" t="n">
        <f aca="false">Series!AF15</f>
        <v>168</v>
      </c>
      <c r="F286" s="33" t="n">
        <v>168</v>
      </c>
      <c r="G286" s="11" t="n">
        <f aca="false">E286-F286</f>
        <v>0</v>
      </c>
      <c r="H286" s="11" t="str">
        <f aca="false">IF(ABS(G286)&lt;=0.000001,"PASS","FAIL")</f>
        <v>PASS</v>
      </c>
    </row>
    <row r="287" customFormat="false" ht="15" hidden="false" customHeight="false" outlineLevel="0" collapsed="false">
      <c r="A287" s="11" t="s">
        <v>1262</v>
      </c>
      <c r="B287" s="11" t="s">
        <v>1217</v>
      </c>
      <c r="C287" s="11" t="s">
        <v>1263</v>
      </c>
      <c r="D287" s="11" t="s">
        <v>1264</v>
      </c>
      <c r="E287" s="13" t="n">
        <f aca="false">Series!AG15</f>
        <v>170</v>
      </c>
      <c r="F287" s="33" t="n">
        <v>170</v>
      </c>
      <c r="G287" s="11" t="n">
        <f aca="false">E287-F287</f>
        <v>0</v>
      </c>
      <c r="H287" s="11" t="str">
        <f aca="false">IF(ABS(G287)&lt;=0.000001,"PASS","FAIL")</f>
        <v>PASS</v>
      </c>
    </row>
    <row r="288" customFormat="false" ht="15" hidden="false" customHeight="false" outlineLevel="0" collapsed="false">
      <c r="A288" s="11" t="s">
        <v>1265</v>
      </c>
      <c r="B288" s="11" t="s">
        <v>1217</v>
      </c>
      <c r="C288" s="11" t="s">
        <v>1266</v>
      </c>
      <c r="D288" s="11" t="s">
        <v>1267</v>
      </c>
      <c r="E288" s="13" t="n">
        <f aca="false">Series!AF16</f>
        <v>181</v>
      </c>
      <c r="F288" s="33" t="n">
        <v>181</v>
      </c>
      <c r="G288" s="11" t="n">
        <f aca="false">E288-F288</f>
        <v>0</v>
      </c>
      <c r="H288" s="11" t="str">
        <f aca="false">IF(ABS(G288)&lt;=0.000001,"PASS","FAIL")</f>
        <v>PASS</v>
      </c>
    </row>
    <row r="289" customFormat="false" ht="15" hidden="false" customHeight="false" outlineLevel="0" collapsed="false">
      <c r="A289" s="11" t="s">
        <v>1268</v>
      </c>
      <c r="B289" s="11" t="s">
        <v>1217</v>
      </c>
      <c r="C289" s="11" t="s">
        <v>1269</v>
      </c>
      <c r="D289" s="11" t="s">
        <v>1270</v>
      </c>
      <c r="E289" s="13" t="n">
        <f aca="false">Series!AG16</f>
        <v>183</v>
      </c>
      <c r="F289" s="33" t="n">
        <v>183</v>
      </c>
      <c r="G289" s="11" t="n">
        <f aca="false">E289-F289</f>
        <v>0</v>
      </c>
      <c r="H289" s="11" t="str">
        <f aca="false">IF(ABS(G289)&lt;=0.000001,"PASS","FAIL")</f>
        <v>PASS</v>
      </c>
    </row>
    <row r="290" customFormat="false" ht="15" hidden="false" customHeight="false" outlineLevel="0" collapsed="false">
      <c r="A290" s="11" t="s">
        <v>1271</v>
      </c>
      <c r="B290" s="11" t="s">
        <v>1217</v>
      </c>
      <c r="C290" s="11" t="s">
        <v>1272</v>
      </c>
      <c r="D290" s="11" t="s">
        <v>1273</v>
      </c>
      <c r="E290" s="13" t="n">
        <f aca="false">Series!AF17</f>
        <v>196</v>
      </c>
      <c r="F290" s="33" t="n">
        <v>196</v>
      </c>
      <c r="G290" s="11" t="n">
        <f aca="false">E290-F290</f>
        <v>0</v>
      </c>
      <c r="H290" s="11" t="str">
        <f aca="false">IF(ABS(G290)&lt;=0.000001,"PASS","FAIL")</f>
        <v>PASS</v>
      </c>
    </row>
    <row r="291" customFormat="false" ht="15" hidden="false" customHeight="false" outlineLevel="0" collapsed="false">
      <c r="A291" s="11" t="s">
        <v>1274</v>
      </c>
      <c r="B291" s="11" t="s">
        <v>1217</v>
      </c>
      <c r="C291" s="11" t="s">
        <v>1275</v>
      </c>
      <c r="D291" s="11" t="s">
        <v>1276</v>
      </c>
      <c r="E291" s="13" t="n">
        <f aca="false">Series!AG17</f>
        <v>198</v>
      </c>
      <c r="F291" s="33" t="n">
        <v>198</v>
      </c>
      <c r="G291" s="11" t="n">
        <f aca="false">E291-F291</f>
        <v>0</v>
      </c>
      <c r="H291" s="11" t="str">
        <f aca="false">IF(ABS(G291)&lt;=0.000001,"PASS","FAIL")</f>
        <v>PASS</v>
      </c>
    </row>
    <row r="292" customFormat="false" ht="15" hidden="false" customHeight="false" outlineLevel="0" collapsed="false">
      <c r="A292" s="11" t="s">
        <v>1277</v>
      </c>
      <c r="B292" s="11" t="s">
        <v>1217</v>
      </c>
      <c r="C292" s="11" t="s">
        <v>1278</v>
      </c>
      <c r="D292" s="11" t="s">
        <v>1279</v>
      </c>
      <c r="E292" s="13" t="n">
        <f aca="false">Series!AF18</f>
        <v>207</v>
      </c>
      <c r="F292" s="33" t="n">
        <v>207</v>
      </c>
      <c r="G292" s="11" t="n">
        <f aca="false">E292-F292</f>
        <v>0</v>
      </c>
      <c r="H292" s="11" t="str">
        <f aca="false">IF(ABS(G292)&lt;=0.000001,"PASS","FAIL")</f>
        <v>PASS</v>
      </c>
    </row>
    <row r="293" customFormat="false" ht="15" hidden="false" customHeight="false" outlineLevel="0" collapsed="false">
      <c r="A293" s="11" t="s">
        <v>1280</v>
      </c>
      <c r="B293" s="11" t="s">
        <v>1217</v>
      </c>
      <c r="C293" s="11" t="s">
        <v>1281</v>
      </c>
      <c r="D293" s="11" t="s">
        <v>1282</v>
      </c>
      <c r="E293" s="13" t="n">
        <f aca="false">Series!AG18</f>
        <v>211</v>
      </c>
      <c r="F293" s="33" t="n">
        <v>211</v>
      </c>
      <c r="G293" s="11" t="n">
        <f aca="false">E293-F293</f>
        <v>0</v>
      </c>
      <c r="H293" s="11" t="str">
        <f aca="false">IF(ABS(G293)&lt;=0.000001,"PASS","FAIL")</f>
        <v>PASS</v>
      </c>
    </row>
    <row r="294" customFormat="false" ht="15" hidden="false" customHeight="false" outlineLevel="0" collapsed="false">
      <c r="A294" s="11" t="s">
        <v>1283</v>
      </c>
      <c r="B294" s="11" t="s">
        <v>1217</v>
      </c>
      <c r="C294" s="11" t="s">
        <v>1284</v>
      </c>
      <c r="D294" s="11" t="s">
        <v>1285</v>
      </c>
      <c r="E294" s="13" t="n">
        <f aca="false">Series!AF19</f>
        <v>226</v>
      </c>
      <c r="F294" s="33" t="n">
        <v>226</v>
      </c>
      <c r="G294" s="11" t="n">
        <f aca="false">E294-F294</f>
        <v>0</v>
      </c>
      <c r="H294" s="11" t="str">
        <f aca="false">IF(ABS(G294)&lt;=0.000001,"PASS","FAIL")</f>
        <v>PASS</v>
      </c>
    </row>
    <row r="295" customFormat="false" ht="15" hidden="false" customHeight="false" outlineLevel="0" collapsed="false">
      <c r="A295" s="11" t="s">
        <v>1286</v>
      </c>
      <c r="B295" s="11" t="s">
        <v>1217</v>
      </c>
      <c r="C295" s="11" t="s">
        <v>1287</v>
      </c>
      <c r="D295" s="11" t="s">
        <v>1288</v>
      </c>
      <c r="E295" s="13" t="n">
        <f aca="false">Series!AG19</f>
        <v>230</v>
      </c>
      <c r="F295" s="33" t="n">
        <v>230</v>
      </c>
      <c r="G295" s="11" t="n">
        <f aca="false">E295-F295</f>
        <v>0</v>
      </c>
      <c r="H295" s="11" t="str">
        <f aca="false">IF(ABS(G295)&lt;=0.000001,"PASS","FAIL")</f>
        <v>PASS</v>
      </c>
    </row>
    <row r="296" customFormat="false" ht="15" hidden="false" customHeight="false" outlineLevel="0" collapsed="false">
      <c r="A296" s="11" t="s">
        <v>1289</v>
      </c>
      <c r="B296" s="11" t="s">
        <v>1217</v>
      </c>
      <c r="C296" s="11" t="s">
        <v>1290</v>
      </c>
      <c r="D296" s="11" t="s">
        <v>1291</v>
      </c>
      <c r="E296" s="13" t="n">
        <f aca="false">Series!AF20</f>
        <v>243</v>
      </c>
      <c r="F296" s="33" t="n">
        <v>243</v>
      </c>
      <c r="G296" s="11" t="n">
        <f aca="false">E296-F296</f>
        <v>0</v>
      </c>
      <c r="H296" s="11" t="str">
        <f aca="false">IF(ABS(G296)&lt;=0.000001,"PASS","FAIL")</f>
        <v>PASS</v>
      </c>
    </row>
    <row r="297" customFormat="false" ht="15" hidden="false" customHeight="false" outlineLevel="0" collapsed="false">
      <c r="A297" s="11" t="s">
        <v>1292</v>
      </c>
      <c r="B297" s="11" t="s">
        <v>1217</v>
      </c>
      <c r="C297" s="11" t="s">
        <v>1293</v>
      </c>
      <c r="D297" s="11" t="s">
        <v>1294</v>
      </c>
      <c r="E297" s="13" t="n">
        <f aca="false">Series!AG20</f>
        <v>247</v>
      </c>
      <c r="F297" s="33" t="n">
        <v>247</v>
      </c>
      <c r="G297" s="11" t="n">
        <f aca="false">E297-F297</f>
        <v>0</v>
      </c>
      <c r="H297" s="11" t="str">
        <f aca="false">IF(ABS(G297)&lt;=0.000001,"PASS","FAIL")</f>
        <v>PASS</v>
      </c>
    </row>
    <row r="298" customFormat="false" ht="15" hidden="false" customHeight="false" outlineLevel="0" collapsed="false">
      <c r="A298" s="11" t="s">
        <v>1295</v>
      </c>
      <c r="B298" s="11" t="s">
        <v>1217</v>
      </c>
      <c r="C298" s="11" t="s">
        <v>1296</v>
      </c>
      <c r="D298" s="11" t="s">
        <v>1297</v>
      </c>
      <c r="E298" s="13" t="n">
        <f aca="false">Series!AF21</f>
        <v>260</v>
      </c>
      <c r="F298" s="33" t="n">
        <v>260</v>
      </c>
      <c r="G298" s="11" t="n">
        <f aca="false">E298-F298</f>
        <v>0</v>
      </c>
      <c r="H298" s="11" t="str">
        <f aca="false">IF(ABS(G298)&lt;=0.000001,"PASS","FAIL")</f>
        <v>PASS</v>
      </c>
    </row>
    <row r="299" customFormat="false" ht="15" hidden="false" customHeight="false" outlineLevel="0" collapsed="false">
      <c r="A299" s="11" t="s">
        <v>1298</v>
      </c>
      <c r="B299" s="11" t="s">
        <v>1217</v>
      </c>
      <c r="C299" s="11" t="s">
        <v>1299</v>
      </c>
      <c r="D299" s="11" t="s">
        <v>1300</v>
      </c>
      <c r="E299" s="13" t="n">
        <f aca="false">Series!AG21</f>
        <v>262</v>
      </c>
      <c r="F299" s="33" t="n">
        <v>262</v>
      </c>
      <c r="G299" s="11" t="n">
        <f aca="false">E299-F299</f>
        <v>0</v>
      </c>
      <c r="H299" s="11" t="str">
        <f aca="false">IF(ABS(G299)&lt;=0.000001,"PASS","FAIL")</f>
        <v>PASS</v>
      </c>
    </row>
    <row r="300" customFormat="false" ht="15" hidden="false" customHeight="false" outlineLevel="0" collapsed="false">
      <c r="A300" s="11" t="s">
        <v>1301</v>
      </c>
      <c r="B300" s="11" t="s">
        <v>1217</v>
      </c>
      <c r="C300" s="11" t="s">
        <v>1302</v>
      </c>
      <c r="D300" s="11" t="s">
        <v>1303</v>
      </c>
      <c r="E300" s="13" t="n">
        <f aca="false">Series!AF22</f>
        <v>274</v>
      </c>
      <c r="F300" s="33" t="n">
        <v>274</v>
      </c>
      <c r="G300" s="11" t="n">
        <f aca="false">E300-F300</f>
        <v>0</v>
      </c>
      <c r="H300" s="11" t="str">
        <f aca="false">IF(ABS(G300)&lt;=0.000001,"PASS","FAIL")</f>
        <v>PASS</v>
      </c>
    </row>
    <row r="301" customFormat="false" ht="15" hidden="false" customHeight="false" outlineLevel="0" collapsed="false">
      <c r="A301" s="11" t="s">
        <v>1304</v>
      </c>
      <c r="B301" s="11" t="s">
        <v>1217</v>
      </c>
      <c r="C301" s="11" t="s">
        <v>1305</v>
      </c>
      <c r="D301" s="11" t="s">
        <v>1306</v>
      </c>
      <c r="E301" s="13" t="n">
        <f aca="false">Series!AG22</f>
        <v>276</v>
      </c>
      <c r="F301" s="33" t="n">
        <v>276</v>
      </c>
      <c r="G301" s="11" t="n">
        <f aca="false">E301-F301</f>
        <v>0</v>
      </c>
      <c r="H301" s="11" t="str">
        <f aca="false">IF(ABS(G301)&lt;=0.000001,"PASS","FAIL")</f>
        <v>PASS</v>
      </c>
    </row>
    <row r="302" customFormat="false" ht="15" hidden="false" customHeight="false" outlineLevel="0" collapsed="false">
      <c r="A302" s="11" t="s">
        <v>1307</v>
      </c>
      <c r="B302" s="11" t="s">
        <v>1217</v>
      </c>
      <c r="C302" s="11" t="s">
        <v>1308</v>
      </c>
      <c r="D302" s="11" t="s">
        <v>1309</v>
      </c>
      <c r="E302" s="13" t="n">
        <f aca="false">Series!AF23</f>
        <v>292</v>
      </c>
      <c r="F302" s="33" t="n">
        <v>292</v>
      </c>
      <c r="G302" s="11" t="n">
        <f aca="false">E302-F302</f>
        <v>0</v>
      </c>
      <c r="H302" s="11" t="str">
        <f aca="false">IF(ABS(G302)&lt;=0.000001,"PASS","FAIL")</f>
        <v>PASS</v>
      </c>
    </row>
    <row r="303" customFormat="false" ht="15" hidden="false" customHeight="false" outlineLevel="0" collapsed="false">
      <c r="A303" s="11" t="s">
        <v>1310</v>
      </c>
      <c r="B303" s="11" t="s">
        <v>1217</v>
      </c>
      <c r="C303" s="11" t="s">
        <v>1311</v>
      </c>
      <c r="D303" s="11" t="s">
        <v>1312</v>
      </c>
      <c r="E303" s="13" t="n">
        <f aca="false">Series!AG23</f>
        <v>294</v>
      </c>
      <c r="F303" s="33" t="n">
        <v>294</v>
      </c>
      <c r="G303" s="11" t="n">
        <f aca="false">E303-F303</f>
        <v>0</v>
      </c>
      <c r="H303" s="11" t="str">
        <f aca="false">IF(ABS(G303)&lt;=0.000001,"PASS","FAIL")</f>
        <v>PASS</v>
      </c>
    </row>
    <row r="304" customFormat="false" ht="15" hidden="false" customHeight="false" outlineLevel="0" collapsed="false">
      <c r="A304" s="11" t="s">
        <v>1313</v>
      </c>
      <c r="B304" s="11" t="s">
        <v>1217</v>
      </c>
      <c r="C304" s="11" t="s">
        <v>1314</v>
      </c>
      <c r="D304" s="11" t="s">
        <v>1315</v>
      </c>
      <c r="E304" s="13" t="n">
        <f aca="false">Series!AF24</f>
        <v>311</v>
      </c>
      <c r="F304" s="33" t="n">
        <v>311</v>
      </c>
      <c r="G304" s="11" t="n">
        <f aca="false">E304-F304</f>
        <v>0</v>
      </c>
      <c r="H304" s="11" t="str">
        <f aca="false">IF(ABS(G304)&lt;=0.000001,"PASS","FAIL")</f>
        <v>PASS</v>
      </c>
    </row>
    <row r="305" customFormat="false" ht="15" hidden="false" customHeight="false" outlineLevel="0" collapsed="false">
      <c r="A305" s="11" t="s">
        <v>1316</v>
      </c>
      <c r="B305" s="11" t="s">
        <v>1217</v>
      </c>
      <c r="C305" s="11" t="s">
        <v>1317</v>
      </c>
      <c r="D305" s="11" t="s">
        <v>1318</v>
      </c>
      <c r="E305" s="13" t="n">
        <f aca="false">Series!AG24</f>
        <v>313</v>
      </c>
      <c r="F305" s="33" t="n">
        <v>313</v>
      </c>
      <c r="G305" s="11" t="n">
        <f aca="false">E305-F305</f>
        <v>0</v>
      </c>
      <c r="H305" s="11" t="str">
        <f aca="false">IF(ABS(G305)&lt;=0.000001,"PASS","FAIL")</f>
        <v>PASS</v>
      </c>
    </row>
    <row r="306" customFormat="false" ht="15" hidden="false" customHeight="false" outlineLevel="0" collapsed="false">
      <c r="A306" s="11" t="s">
        <v>1319</v>
      </c>
      <c r="B306" s="11" t="s">
        <v>1217</v>
      </c>
      <c r="C306" s="11" t="s">
        <v>1320</v>
      </c>
      <c r="D306" s="11" t="s">
        <v>1321</v>
      </c>
      <c r="E306" s="13" t="n">
        <f aca="false">Series!AF25</f>
        <v>328</v>
      </c>
      <c r="F306" s="33" t="n">
        <v>328</v>
      </c>
      <c r="G306" s="11" t="n">
        <f aca="false">E306-F306</f>
        <v>0</v>
      </c>
      <c r="H306" s="11" t="str">
        <f aca="false">IF(ABS(G306)&lt;=0.000001,"PASS","FAIL")</f>
        <v>PASS</v>
      </c>
    </row>
    <row r="307" customFormat="false" ht="15" hidden="false" customHeight="false" outlineLevel="0" collapsed="false">
      <c r="A307" s="11" t="s">
        <v>1322</v>
      </c>
      <c r="B307" s="11" t="s">
        <v>1217</v>
      </c>
      <c r="C307" s="11" t="s">
        <v>1323</v>
      </c>
      <c r="D307" s="11" t="s">
        <v>1324</v>
      </c>
      <c r="E307" s="13" t="n">
        <f aca="false">Series!AG25</f>
        <v>330</v>
      </c>
      <c r="F307" s="33" t="n">
        <v>330</v>
      </c>
      <c r="G307" s="11" t="n">
        <f aca="false">E307-F307</f>
        <v>0</v>
      </c>
      <c r="H307" s="11" t="str">
        <f aca="false">IF(ABS(G307)&lt;=0.000001,"PASS","FAIL")</f>
        <v>PASS</v>
      </c>
    </row>
    <row r="308" customFormat="false" ht="15" hidden="false" customHeight="false" outlineLevel="0" collapsed="false">
      <c r="A308" s="11" t="s">
        <v>1325</v>
      </c>
      <c r="B308" s="11" t="s">
        <v>1217</v>
      </c>
      <c r="C308" s="11" t="s">
        <v>1326</v>
      </c>
      <c r="D308" s="11" t="s">
        <v>1327</v>
      </c>
      <c r="E308" s="13" t="n">
        <f aca="false">Series!AF26</f>
        <v>338</v>
      </c>
      <c r="F308" s="33" t="n">
        <v>338</v>
      </c>
      <c r="G308" s="11" t="n">
        <f aca="false">E308-F308</f>
        <v>0</v>
      </c>
      <c r="H308" s="11" t="str">
        <f aca="false">IF(ABS(G308)&lt;=0.000001,"PASS","FAIL")</f>
        <v>PASS</v>
      </c>
    </row>
    <row r="309" customFormat="false" ht="15" hidden="false" customHeight="false" outlineLevel="0" collapsed="false">
      <c r="A309" s="11" t="s">
        <v>1328</v>
      </c>
      <c r="B309" s="11" t="s">
        <v>1217</v>
      </c>
      <c r="C309" s="11" t="s">
        <v>1329</v>
      </c>
      <c r="D309" s="11" t="s">
        <v>1330</v>
      </c>
      <c r="E309" s="13" t="n">
        <f aca="false">Series!AG26</f>
        <v>340</v>
      </c>
      <c r="F309" s="33" t="n">
        <v>340</v>
      </c>
      <c r="G309" s="11" t="n">
        <f aca="false">E309-F309</f>
        <v>0</v>
      </c>
      <c r="H309" s="11" t="str">
        <f aca="false">IF(ABS(G309)&lt;=0.000001,"PASS","FAIL")</f>
        <v>PASS</v>
      </c>
    </row>
    <row r="310" customFormat="false" ht="15" hidden="false" customHeight="false" outlineLevel="0" collapsed="false">
      <c r="A310" s="11" t="s">
        <v>1331</v>
      </c>
      <c r="B310" s="11" t="s">
        <v>1217</v>
      </c>
      <c r="C310" s="11" t="s">
        <v>1332</v>
      </c>
      <c r="D310" s="11" t="s">
        <v>1333</v>
      </c>
      <c r="E310" s="13" t="n">
        <f aca="false">Series!AF27</f>
        <v>354</v>
      </c>
      <c r="F310" s="33" t="n">
        <v>354</v>
      </c>
      <c r="G310" s="11" t="n">
        <f aca="false">E310-F310</f>
        <v>0</v>
      </c>
      <c r="H310" s="11" t="str">
        <f aca="false">IF(ABS(G310)&lt;=0.000001,"PASS","FAIL")</f>
        <v>PASS</v>
      </c>
    </row>
    <row r="311" customFormat="false" ht="15" hidden="false" customHeight="false" outlineLevel="0" collapsed="false">
      <c r="A311" s="11" t="s">
        <v>1334</v>
      </c>
      <c r="B311" s="11" t="s">
        <v>1217</v>
      </c>
      <c r="C311" s="11" t="s">
        <v>1335</v>
      </c>
      <c r="D311" s="11" t="s">
        <v>1336</v>
      </c>
      <c r="E311" s="13" t="n">
        <f aca="false">Series!AG27</f>
        <v>356</v>
      </c>
      <c r="F311" s="33" t="n">
        <v>356</v>
      </c>
      <c r="G311" s="11" t="n">
        <f aca="false">E311-F311</f>
        <v>0</v>
      </c>
      <c r="H311" s="11" t="str">
        <f aca="false">IF(ABS(G311)&lt;=0.000001,"PASS","FAIL")</f>
        <v>PASS</v>
      </c>
    </row>
    <row r="312" customFormat="false" ht="15" hidden="false" customHeight="false" outlineLevel="0" collapsed="false">
      <c r="A312" s="11" t="s">
        <v>1337</v>
      </c>
      <c r="B312" s="11" t="s">
        <v>1217</v>
      </c>
      <c r="C312" s="11" t="s">
        <v>1338</v>
      </c>
      <c r="D312" s="11" t="s">
        <v>1339</v>
      </c>
      <c r="E312" s="13" t="n">
        <f aca="false">Proposed_Assumptions!T19</f>
        <v>1466</v>
      </c>
      <c r="F312" s="33" t="n">
        <v>1466</v>
      </c>
      <c r="G312" s="11" t="n">
        <f aca="false">E312-F312</f>
        <v>0</v>
      </c>
      <c r="H312" s="11" t="str">
        <f aca="false">IF(ABS(G312)&lt;=0.000001,"PASS","FAIL")</f>
        <v>PASS</v>
      </c>
    </row>
    <row r="313" customFormat="false" ht="15" hidden="false" customHeight="false" outlineLevel="0" collapsed="false">
      <c r="A313" s="11" t="s">
        <v>1340</v>
      </c>
      <c r="B313" s="11" t="s">
        <v>1217</v>
      </c>
      <c r="C313" s="11" t="s">
        <v>1341</v>
      </c>
      <c r="D313" s="11" t="s">
        <v>1342</v>
      </c>
      <c r="E313" s="13" t="n">
        <f aca="false">Proposed_Assumptions!T20</f>
        <v>1474</v>
      </c>
      <c r="F313" s="33" t="n">
        <v>1474</v>
      </c>
      <c r="G313" s="11" t="n">
        <f aca="false">E313-F313</f>
        <v>0</v>
      </c>
      <c r="H313" s="11" t="str">
        <f aca="false">IF(ABS(G313)&lt;=0.000001,"PASS","FAIL")</f>
        <v>PASS</v>
      </c>
    </row>
    <row r="314" customFormat="false" ht="15" hidden="false" customHeight="false" outlineLevel="0" collapsed="false">
      <c r="A314" s="11" t="s">
        <v>1343</v>
      </c>
      <c r="B314" s="11" t="s">
        <v>1217</v>
      </c>
      <c r="C314" s="11" t="s">
        <v>1344</v>
      </c>
      <c r="D314" s="11" t="s">
        <v>1345</v>
      </c>
      <c r="E314" s="13" t="n">
        <f aca="false">Proposed_Assumptions!T21</f>
        <v>368</v>
      </c>
      <c r="F314" s="33" t="n">
        <v>368</v>
      </c>
      <c r="G314" s="11" t="n">
        <f aca="false">E314-F314</f>
        <v>0</v>
      </c>
      <c r="H314" s="11" t="str">
        <f aca="false">IF(ABS(G314)&lt;=0.000001,"PASS","FAIL")</f>
        <v>PASS</v>
      </c>
    </row>
    <row r="315" customFormat="false" ht="15" hidden="false" customHeight="false" outlineLevel="0" collapsed="false">
      <c r="A315" s="11" t="s">
        <v>1346</v>
      </c>
      <c r="B315" s="11" t="s">
        <v>1217</v>
      </c>
      <c r="C315" s="11" t="s">
        <v>1347</v>
      </c>
      <c r="D315" s="11" t="s">
        <v>1348</v>
      </c>
      <c r="E315" s="13" t="n">
        <f aca="false">Proposed_Assumptions!T22</f>
        <v>370</v>
      </c>
      <c r="F315" s="33" t="n">
        <v>370</v>
      </c>
      <c r="G315" s="11" t="n">
        <f aca="false">E315-F315</f>
        <v>0</v>
      </c>
      <c r="H315" s="11" t="str">
        <f aca="false">IF(ABS(G315)&lt;=0.000001,"PASS","FAIL")</f>
        <v>PASS</v>
      </c>
    </row>
    <row r="316" customFormat="false" ht="15" hidden="false" customHeight="false" outlineLevel="0" collapsed="false">
      <c r="A316" s="11" t="s">
        <v>1349</v>
      </c>
      <c r="B316" s="11" t="s">
        <v>1217</v>
      </c>
      <c r="C316" s="11" t="s">
        <v>1350</v>
      </c>
      <c r="D316" s="11" t="s">
        <v>1351</v>
      </c>
      <c r="E316" s="13" t="n">
        <f aca="false">Proposed_Assumptions!T23</f>
        <v>280</v>
      </c>
      <c r="F316" s="33" t="n">
        <v>280</v>
      </c>
      <c r="G316" s="11" t="n">
        <f aca="false">E316-F316</f>
        <v>0</v>
      </c>
      <c r="H316" s="11" t="str">
        <f aca="false">IF(ABS(G316)&lt;=0.000001,"PASS","FAIL")</f>
        <v>PASS</v>
      </c>
    </row>
    <row r="317" customFormat="false" ht="15" hidden="false" customHeight="false" outlineLevel="0" collapsed="false">
      <c r="A317" s="11" t="s">
        <v>1352</v>
      </c>
      <c r="B317" s="11" t="s">
        <v>1217</v>
      </c>
      <c r="C317" s="11" t="s">
        <v>1353</v>
      </c>
      <c r="D317" s="11" t="s">
        <v>1354</v>
      </c>
      <c r="E317" s="13" t="n">
        <f aca="false">Proposed_Assumptions!T24</f>
        <v>290</v>
      </c>
      <c r="F317" s="33" t="n">
        <v>290</v>
      </c>
      <c r="G317" s="11" t="n">
        <f aca="false">E317-F317</f>
        <v>0</v>
      </c>
      <c r="H317" s="11" t="str">
        <f aca="false">IF(ABS(G317)&lt;=0.000001,"PASS","FAIL")</f>
        <v>PASS</v>
      </c>
    </row>
    <row r="318" customFormat="false" ht="15" hidden="false" customHeight="false" outlineLevel="0" collapsed="false">
      <c r="A318" s="11" t="s">
        <v>1355</v>
      </c>
      <c r="B318" s="11" t="s">
        <v>1217</v>
      </c>
      <c r="C318" s="11" t="s">
        <v>1356</v>
      </c>
      <c r="D318" s="11" t="s">
        <v>1357</v>
      </c>
      <c r="E318" s="13" t="n">
        <f aca="false">Proposed_Assumptions!T25</f>
        <v>230</v>
      </c>
      <c r="F318" s="33" t="n">
        <v>230</v>
      </c>
      <c r="G318" s="11" t="n">
        <f aca="false">E318-F318</f>
        <v>0</v>
      </c>
      <c r="H318" s="11" t="str">
        <f aca="false">IF(ABS(G318)&lt;=0.000001,"PASS","FAIL")</f>
        <v>PASS</v>
      </c>
    </row>
    <row r="319" customFormat="false" ht="15" hidden="false" customHeight="false" outlineLevel="0" collapsed="false">
      <c r="A319" s="11" t="s">
        <v>1358</v>
      </c>
      <c r="B319" s="11" t="s">
        <v>1217</v>
      </c>
      <c r="C319" s="11" t="s">
        <v>1359</v>
      </c>
      <c r="D319" s="11" t="s">
        <v>1360</v>
      </c>
      <c r="E319" s="13" t="n">
        <f aca="false">Proposed_Assumptions!T26</f>
        <v>234</v>
      </c>
      <c r="F319" s="33" t="n">
        <v>234</v>
      </c>
      <c r="G319" s="11" t="n">
        <f aca="false">E319-F319</f>
        <v>0</v>
      </c>
      <c r="H319" s="11" t="str">
        <f aca="false">IF(ABS(G319)&lt;=0.000001,"PASS","FAIL")</f>
        <v>PASS</v>
      </c>
    </row>
    <row r="320" customFormat="false" ht="15" hidden="false" customHeight="false" outlineLevel="0" collapsed="false">
      <c r="A320" s="11" t="s">
        <v>1361</v>
      </c>
      <c r="B320" s="11" t="s">
        <v>680</v>
      </c>
      <c r="C320" s="11" t="s">
        <v>1362</v>
      </c>
      <c r="D320" s="11" t="s">
        <v>312</v>
      </c>
      <c r="E320" s="32" t="n">
        <f aca="false">Proposed_Assumptions!T27</f>
        <v>715886</v>
      </c>
      <c r="F320" s="33" t="n">
        <v>715886</v>
      </c>
      <c r="G320" s="11" t="n">
        <f aca="false">E320-F320</f>
        <v>0</v>
      </c>
      <c r="H320" s="11" t="str">
        <f aca="false">IF(ABS(G320)&lt;=0.000001,"PASS","FAIL")</f>
        <v>PASS</v>
      </c>
    </row>
    <row r="321" customFormat="false" ht="15" hidden="false" customHeight="false" outlineLevel="0" collapsed="false">
      <c r="A321" s="11" t="s">
        <v>1363</v>
      </c>
      <c r="B321" s="11" t="s">
        <v>1364</v>
      </c>
      <c r="C321" s="11" t="s">
        <v>1365</v>
      </c>
      <c r="D321" s="11" t="s">
        <v>216</v>
      </c>
      <c r="E321" s="13" t="n">
        <f aca="false">Proposed_Assumptions!F7</f>
        <v>378.38245825603</v>
      </c>
      <c r="F321" s="33" t="n">
        <v>378.38245825603</v>
      </c>
      <c r="G321" s="11" t="n">
        <f aca="false">E321-F321</f>
        <v>0</v>
      </c>
      <c r="H321" s="11" t="str">
        <f aca="false">IF(ABS(G321)&lt;=0.000001,"PASS","FAIL")</f>
        <v>PASS</v>
      </c>
    </row>
    <row r="322" customFormat="false" ht="15" hidden="false" customHeight="false" outlineLevel="0" collapsed="false">
      <c r="A322" s="11" t="s">
        <v>1366</v>
      </c>
      <c r="B322" s="11" t="s">
        <v>1364</v>
      </c>
      <c r="C322" s="11" t="s">
        <v>1367</v>
      </c>
      <c r="D322" s="11" t="s">
        <v>225</v>
      </c>
      <c r="E322" s="13" t="n">
        <f aca="false">Proposed_Assumptions!F9</f>
        <v>374.471069908815</v>
      </c>
      <c r="F322" s="33" t="n">
        <v>374.471069908815</v>
      </c>
      <c r="G322" s="11" t="n">
        <f aca="false">E322-F322</f>
        <v>0</v>
      </c>
      <c r="H322" s="11" t="str">
        <f aca="false">IF(ABS(G322)&lt;=0.000001,"PASS","FAIL")</f>
        <v>PASS</v>
      </c>
    </row>
    <row r="323" customFormat="false" ht="15" hidden="false" customHeight="false" outlineLevel="0" collapsed="false">
      <c r="A323" s="11" t="s">
        <v>1368</v>
      </c>
      <c r="B323" s="11" t="s">
        <v>1364</v>
      </c>
      <c r="C323" s="11" t="s">
        <v>1369</v>
      </c>
      <c r="D323" s="11" t="s">
        <v>1370</v>
      </c>
      <c r="E323" s="21" t="n">
        <f aca="false">Proposed_Assumptions!F10</f>
        <v>1.085</v>
      </c>
      <c r="F323" s="33" t="n">
        <v>1.085</v>
      </c>
      <c r="G323" s="34" t="n">
        <f aca="false">E323-F323</f>
        <v>0</v>
      </c>
      <c r="H323" s="11" t="str">
        <f aca="false">IF(ABS(G323)&lt;=0.000001,"PASS","FAIL")</f>
        <v>PASS</v>
      </c>
    </row>
    <row r="324" customFormat="false" ht="15" hidden="false" customHeight="false" outlineLevel="0" collapsed="false">
      <c r="A324" s="11" t="s">
        <v>1371</v>
      </c>
      <c r="B324" s="11" t="s">
        <v>1364</v>
      </c>
      <c r="C324" s="11" t="s">
        <v>1372</v>
      </c>
      <c r="D324" s="11" t="s">
        <v>1373</v>
      </c>
      <c r="E324" s="21" t="n">
        <f aca="false">Proposed_Assumptions!F11</f>
        <v>1.07</v>
      </c>
      <c r="F324" s="33" t="n">
        <v>1.07</v>
      </c>
      <c r="G324" s="34" t="n">
        <f aca="false">E324-F324</f>
        <v>0</v>
      </c>
      <c r="H324" s="11" t="str">
        <f aca="false">IF(ABS(G324)&lt;=0.000001,"PASS","FAIL")</f>
        <v>PASS</v>
      </c>
    </row>
    <row r="325" customFormat="false" ht="15" hidden="false" customHeight="false" outlineLevel="0" collapsed="false">
      <c r="A325" s="11" t="s">
        <v>1374</v>
      </c>
      <c r="B325" s="11" t="s">
        <v>1364</v>
      </c>
      <c r="C325" s="11" t="s">
        <v>1375</v>
      </c>
      <c r="D325" s="11" t="s">
        <v>1376</v>
      </c>
      <c r="E325" s="23" t="n">
        <f aca="false">Proposed_Assumptions!F12</f>
        <v>5110.5</v>
      </c>
      <c r="F325" s="33" t="n">
        <v>5110.5</v>
      </c>
      <c r="G325" s="11" t="n">
        <f aca="false">E325-F325</f>
        <v>0</v>
      </c>
      <c r="H325" s="11" t="str">
        <f aca="false">IF(ABS(G325)&lt;=0.000001,"PASS","FAIL")</f>
        <v>PASS</v>
      </c>
    </row>
    <row r="326" customFormat="false" ht="15" hidden="false" customHeight="false" outlineLevel="0" collapsed="false">
      <c r="A326" s="11" t="s">
        <v>1377</v>
      </c>
      <c r="B326" s="11" t="s">
        <v>1364</v>
      </c>
      <c r="C326" s="11" t="s">
        <v>1378</v>
      </c>
      <c r="D326" s="11" t="s">
        <v>1379</v>
      </c>
      <c r="E326" s="23" t="n">
        <f aca="false">Proposed_Assumptions!F13</f>
        <v>5028</v>
      </c>
      <c r="F326" s="33" t="n">
        <v>5028</v>
      </c>
      <c r="G326" s="11" t="n">
        <f aca="false">E326-F326</f>
        <v>0</v>
      </c>
      <c r="H326" s="11" t="str">
        <f aca="false">IF(ABS(G326)&lt;=0.000001,"PASS","FAIL")</f>
        <v>PASS</v>
      </c>
    </row>
    <row r="327" customFormat="false" ht="15" hidden="false" customHeight="false" outlineLevel="0" collapsed="false">
      <c r="A327" s="11" t="s">
        <v>1380</v>
      </c>
      <c r="B327" s="11" t="s">
        <v>1364</v>
      </c>
      <c r="C327" s="11" t="s">
        <v>1381</v>
      </c>
      <c r="D327" s="11" t="s">
        <v>320</v>
      </c>
      <c r="E327" s="13" t="n">
        <f aca="false">Proposed_Assumptions!T29</f>
        <v>69.637</v>
      </c>
      <c r="F327" s="33" t="n">
        <v>69.637</v>
      </c>
      <c r="G327" s="11" t="n">
        <f aca="false">E327-F327</f>
        <v>0</v>
      </c>
      <c r="H327" s="11" t="str">
        <f aca="false">IF(ABS(G327)&lt;=0.000001,"PASS","FAIL")</f>
        <v>PASS</v>
      </c>
    </row>
    <row r="328" customFormat="false" ht="15" hidden="false" customHeight="false" outlineLevel="0" collapsed="false">
      <c r="A328" s="11" t="s">
        <v>1382</v>
      </c>
      <c r="B328" s="11" t="s">
        <v>1383</v>
      </c>
      <c r="C328" s="11" t="s">
        <v>1384</v>
      </c>
      <c r="D328" s="11" t="s">
        <v>1385</v>
      </c>
      <c r="E328" s="29" t="n">
        <f aca="false">Proposed_Assumptions!T33</f>
        <v>2508</v>
      </c>
      <c r="F328" s="33" t="n">
        <v>2508</v>
      </c>
      <c r="G328" s="11" t="n">
        <f aca="false">E328-F328</f>
        <v>0</v>
      </c>
      <c r="H328" s="11" t="str">
        <f aca="false">IF(ABS(G328)&lt;=0.000001,"PASS","FAIL")</f>
        <v>PASS</v>
      </c>
    </row>
    <row r="329" customFormat="false" ht="15" hidden="false" customHeight="false" outlineLevel="0" collapsed="false">
      <c r="A329" s="11" t="s">
        <v>1386</v>
      </c>
      <c r="B329" s="11" t="s">
        <v>1383</v>
      </c>
      <c r="C329" s="11" t="s">
        <v>1387</v>
      </c>
      <c r="D329" s="11" t="s">
        <v>1388</v>
      </c>
      <c r="E329" s="29" t="n">
        <f aca="false">Proposed_Assumptions!T34</f>
        <v>3155</v>
      </c>
      <c r="F329" s="33" t="n">
        <v>3155</v>
      </c>
      <c r="G329" s="11" t="n">
        <f aca="false">E329-F329</f>
        <v>0</v>
      </c>
      <c r="H329" s="11" t="str">
        <f aca="false">IF(ABS(G329)&lt;=0.000001,"PASS","FAIL")</f>
        <v>PASS</v>
      </c>
    </row>
    <row r="330" customFormat="false" ht="15" hidden="false" customHeight="false" outlineLevel="0" collapsed="false">
      <c r="A330" s="11" t="s">
        <v>1389</v>
      </c>
      <c r="B330" s="11" t="s">
        <v>680</v>
      </c>
      <c r="C330" s="11" t="s">
        <v>1390</v>
      </c>
      <c r="D330" s="11" t="s">
        <v>329</v>
      </c>
      <c r="E330" s="32" t="n">
        <f aca="false">Proposed_Assumptions!T30</f>
        <v>155122</v>
      </c>
      <c r="F330" s="33" t="n">
        <v>155122</v>
      </c>
      <c r="G330" s="11" t="n">
        <f aca="false">E330-F330</f>
        <v>0</v>
      </c>
      <c r="H330" s="11" t="str">
        <f aca="false">IF(ABS(G330)&lt;=0.000001,"PASS","FAIL")</f>
        <v>PASS</v>
      </c>
    </row>
    <row r="332" customFormat="false" ht="15" hidden="false" customHeight="false" outlineLevel="0" collapsed="false">
      <c r="A332" s="11" t="s">
        <v>1391</v>
      </c>
      <c r="B332" s="11" t="str">
        <f aca="false">COUNTIF(H4:H330,"PASS")&amp;" PASS / "&amp;COUNTIF(H4:H330,"FAIL")&amp;" FAIL"</f>
        <v>327 PASS / 0 FAIL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2026-10-28T22:29:16Z</dcterms:created>
  <dc:creator>openpyxl</dc:creator>
  <dc:description/>
  <dc:language>en-US</dc:language>
  <cp:lastModifiedBy/>
  <dcterms:modified xsi:type="dcterms:W3CDTF">2026-10-28T22:29:16Z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