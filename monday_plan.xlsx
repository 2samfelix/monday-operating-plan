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Definitions" sheetId="2" state="visible" r:id="rId4"/>
    <sheet name="Historical_Drivers" sheetId="3" state="visible" r:id="rId5"/>
    <sheet name="Cash_Bridge" sheetId="4" state="visible" r:id="rId6"/>
    <sheet name="Assumptions" sheetId="5" state="visible" r:id="rId7"/>
    <sheet name="Revenue_Build" sheetId="6" state="visible" r:id="rId8"/>
    <sheet name="Opex" sheetId="7" state="visible" r:id="rId9"/>
    <sheet name="PnL" sheetId="8" state="visible" r:id="rId10"/>
    <sheet name="Cash_FCF" sheetId="9" state="visible" r:id="rId11"/>
    <sheet name="Scenarios" sheetId="10" state="visible" r:id="rId12"/>
    <sheet name="Management_Response" sheetId="11" state="visible" r:id="rId13"/>
    <sheet name="Recommendation" sheetId="12" state="visible" r:id="rId14"/>
    <sheet name="Backtest" sheetId="13" state="visible" r:id="rId15"/>
    <sheet name="Trigger_History" sheetId="14" state="visible" r:id="rId16"/>
    <sheet name="Method_Changes" sheetId="15" state="visible" r:id="rId17"/>
    <sheet name="Checks" sheetId="16" state="visible" r:id="rId18"/>
    <sheet name="Scorecard"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<sst xmlns="http://schemas.openxmlformats.org/spreadsheetml/2006/main" count="3509" uniqueCount="1846">
  <si>
    <t xml:space="preserve">monday.com Operating Plan, Q3 2026-Q4 2027 (Phase 3b) - DRAFT FOR OWNER REVIEW, NOT FROZEN</t>
  </si>
  <si>
    <t xml:space="preserve">Management question</t>
  </si>
  <si>
    <t xml:space="preserve">If growth decelerates faster than guided after the July 2026 restructuring, how should management adjust hiring and operating spend to protect margin and cash generation without damaging long-term growth?</t>
  </si>
  <si>
    <t xml:space="preserve">Information cutoff</t>
  </si>
  <si>
    <t xml:space="preserve">October 28, 2026. Inputs: monday_sourcebook.xlsx (Row IDs), monday_analysis.xlsx (cells), locked Q3 call monday_q3_call.xlsx (release q3-2026-call-locked; cells), monday_driver_audit.xlsx (evidence). None is modified.</t>
  </si>
  <si>
    <t xml:space="preserve">Labels</t>
  </si>
  <si>
    <t xml:space="preserve">Sourced = blue copy with Row ID/reference; Derived = black formula; Assumed = orange on light-orange fill (Assumptions sheet and Management_Response elasticities). Column B of every model table states the label of the row.</t>
  </si>
  <si>
    <t xml:space="preserve">Base is not guidance</t>
  </si>
  <si>
    <t xml:space="preserve">Base is a BEAT-ADJUSTED central estimate, not guidance: FY2026 Base revenue and non-GAAP operating income sit above the top of the guided ranges (see Scenarios, As guided). Adjusted FCF is held at the guide midpoint on the guide basis.</t>
  </si>
  <si>
    <t xml:space="preserve">Cash questions (resolved)</t>
  </si>
  <si>
    <t xml:space="preserve">Adjusted FCF as defined by the company has no severance add-back; the FY2026 FCF outlook excludes restructuring (6-K Jul 22, 2026). The plan deducts severance once, separately (no double count), and shows reported-basis FCF as a memo. The H1 2026 cash bridge (Cash_Bridge) explains the earlier -$67M: mostly a transfer into marketable securities. Ending cash is labeled BEFORE UNMODELED ITEMS (new buybacks, M&amp;A beyond run-rate, FX) and is not a headline figure.</t>
  </si>
  <si>
    <t xml:space="preserve">Cases</t>
  </si>
  <si>
    <t xml:space="preserve">Base = central estimate (Q3 2026 = locked call MID). Downside = faster deceleration (2.6 vs 1.3 pp/yr) with opex DOLLARS held at Base before any response. Sensitivity = Base with Q3 2026 at the locked call LOW. Management response is modeled on the Downside.</t>
  </si>
  <si>
    <t xml:space="preserve">Not modeled as separate drivers</t>
  </si>
  <si>
    <t xml:space="preserve">Restructuring SAVINGS: no savings amount, exit timing or headcount base is disclosed, so savings are expressed only through the opex-ratio assumptions (P4-P6) and the locked Q3 call. INTEREST INCOME: financial income, net ($17.3M in H1 2026 per the interim MD&amp;A) is received through operating cash flow, so it is already inside adjusted FCF and the guide-anchored conversion (P7); it is not added again.</t>
  </si>
  <si>
    <t xml:space="preserve">Headcount</t>
  </si>
  <si>
    <t xml:space="preserve">No implied-headcount memo (ruling 4). Hiring decisions are stated in dollars. Fact: 3,155 employees at Dec 31, 2025 (AN-0051) and a ~20% workforce reduction announced July 22, 2026; no quarterly path is modeled.</t>
  </si>
  <si>
    <t xml:space="preserve">Status</t>
  </si>
  <si>
    <t xml:space="preserve">DRAFT. Not frozen, tagged or released. Review gates are reported in Checks.</t>
  </si>
  <si>
    <t xml:space="preserve">Sheets</t>
  </si>
  <si>
    <t xml:space="preserve">README, Definitions, Historical_Drivers, Cash_Bridge, Assumptions, Revenue_Build, Opex, PnL, Cash_FCF, Scenarios, Management_Response, Recommendation, Backtest, Trigger_History, Method_Changes, Checks, Scorecard.</t>
  </si>
  <si>
    <t xml:space="preserve">Definitions (company definitions per source-book Definitions sheet; plan conventions)</t>
  </si>
  <si>
    <t xml:space="preserve">Non-GAAP operating income</t>
  </si>
  <si>
    <t xml:space="preserve">GAAP operating income excluding SBC, restructuring (from Q2 2026) and the 2024 foundation contribution (company definition). Plan: gross profit (non-GAAP) - R&amp;D - S&amp;M - G&amp;A (non-GAAP).</t>
  </si>
  <si>
    <t xml:space="preserve">Adjusted FCF</t>
  </si>
  <si>
    <t xml:space="preserve">Company definition (verbatim in Cash_Bridge): OCF - PP&amp;E - capitalized software + HQ build-out add-back; no add-back for restructuring or severance. Guide basis = excluding restructuring (6-K Jul 22, 2026). Reported basis = guide basis less severance paid. Plan: Q3/Q4 2026 tied to the FY2026 guide (low confidence); 2027 = op. income x annual conversion (P7).</t>
  </si>
  <si>
    <t xml:space="preserve">Breakeven revenue loss</t>
  </si>
  <si>
    <t xml:space="preserve">FY2027 revenue loss at which the gross profit lost (loss x Downside gross margin) equals the operating income a lever saves. One-year view only.</t>
  </si>
  <si>
    <t xml:space="preserve">Forecast band</t>
  </si>
  <si>
    <t xml:space="preserve">Base quarterly revenue x (1 +/- backtest error at that horizon). Horizons 5-6 (Q3-Q4 2027) are beyond the tested horizon; the h4 error is used as a floor.</t>
  </si>
  <si>
    <t xml:space="preserve">False alarm (trigger history)</t>
  </si>
  <si>
    <t xml:space="preserve">A trigger firing after which YoY revenue growth over the next 4 quarters slowed no faster than the Base pace (4 x P1 Base).</t>
  </si>
  <si>
    <t xml:space="preserve">Sequential growth</t>
  </si>
  <si>
    <t xml:space="preserve">Quarter revenue / prior quarter revenue - 1.</t>
  </si>
  <si>
    <t xml:space="preserve">Annual deceleration (P1)</t>
  </si>
  <si>
    <t xml:space="preserve">Reduction, in percentage points, of a quarter's sequential growth vs the same quarter one year earlier.</t>
  </si>
  <si>
    <t xml:space="preserve">NDR</t>
  </si>
  <si>
    <t xml:space="preserve">Company definition (source book); measurement basis not disclosed. INDICATOR ONLY in this plan.</t>
  </si>
  <si>
    <t xml:space="preserve">Cash + marketable securities</t>
  </si>
  <si>
    <t xml:space="preserve">Balance-sheet cash and cash equivalents plus marketable securities; restricted cash excluded.</t>
  </si>
  <si>
    <t xml:space="preserve">Sign convention</t>
  </si>
  <si>
    <t xml:space="preserve">Expenses positive in opex lines and subtracted in operating income; cash outflows negative in Cash_FCF (severance, buybacks).</t>
  </si>
  <si>
    <t xml:space="preserve">Growth cost (elasticity)</t>
  </si>
  <si>
    <t xml:space="preserve">ASSUMED annualized revenue lost per $1 of quarterly spend cut, starting the following quarter and cumulative. Not observable in public data.</t>
  </si>
  <si>
    <t xml:space="preserve">Historical drivers (Sourced copies from monday_sourcebook.xlsx; Row ID row beneath each value row)</t>
  </si>
  <si>
    <t xml:space="preserve">USD thousands unless stated. Blue = Sourced; grey row below = source-book Row IDs.</t>
  </si>
  <si>
    <t xml:space="preserve">Metric</t>
  </si>
  <si>
    <t xml:space="preserve">Label</t>
  </si>
  <si>
    <t xml:space="preserve">Q1 2023</t>
  </si>
  <si>
    <t xml:space="preserve">Q2 2023</t>
  </si>
  <si>
    <t xml:space="preserve">Q3 2023</t>
  </si>
  <si>
    <t xml:space="preserve">Q4 2023</t>
  </si>
  <si>
    <t xml:space="preserve">Q1 2024</t>
  </si>
  <si>
    <t xml:space="preserve">Q2 2024</t>
  </si>
  <si>
    <t xml:space="preserve">Q3 2024</t>
  </si>
  <si>
    <t xml:space="preserve">Q4 2024</t>
  </si>
  <si>
    <t xml:space="preserve">Q1 2025</t>
  </si>
  <si>
    <t xml:space="preserve">Q2 2025</t>
  </si>
  <si>
    <t xml:space="preserve">Q3 2025</t>
  </si>
  <si>
    <t xml:space="preserve">Q4 2025</t>
  </si>
  <si>
    <t xml:space="preserve">Q1 2026</t>
  </si>
  <si>
    <t xml:space="preserve">Q2 2026</t>
  </si>
  <si>
    <t xml:space="preserve">Revenue</t>
  </si>
  <si>
    <t xml:space="preserve">Sourced</t>
  </si>
  <si>
    <t xml:space="preserve">  Row ID</t>
  </si>
  <si>
    <t xml:space="preserve">Row ID</t>
  </si>
  <si>
    <t xml:space="preserve">QA-0015</t>
  </si>
  <si>
    <t xml:space="preserve">QA-0016</t>
  </si>
  <si>
    <t xml:space="preserve">QA-0018</t>
  </si>
  <si>
    <t xml:space="preserve">QA-0020</t>
  </si>
  <si>
    <t xml:space="preserve">QA-0022</t>
  </si>
  <si>
    <t xml:space="preserve">QA-0023</t>
  </si>
  <si>
    <t xml:space="preserve">QA-0025</t>
  </si>
  <si>
    <t xml:space="preserve">QA-0027</t>
  </si>
  <si>
    <t xml:space="preserve">QA-0029</t>
  </si>
  <si>
    <t xml:space="preserve">QA-0030</t>
  </si>
  <si>
    <t xml:space="preserve">QA-0032</t>
  </si>
  <si>
    <t xml:space="preserve">QA-0034</t>
  </si>
  <si>
    <t xml:space="preserve">QA-0036</t>
  </si>
  <si>
    <t xml:space="preserve">QA-0037</t>
  </si>
  <si>
    <t xml:space="preserve">Gross profit (non-GAAP)</t>
  </si>
  <si>
    <t xml:space="preserve">QA-0489</t>
  </si>
  <si>
    <t xml:space="preserve">QA-0490</t>
  </si>
  <si>
    <t xml:space="preserve">QA-0492</t>
  </si>
  <si>
    <t xml:space="preserve">QA-0494</t>
  </si>
  <si>
    <t xml:space="preserve">QA-0496</t>
  </si>
  <si>
    <t xml:space="preserve">QA-0497</t>
  </si>
  <si>
    <t xml:space="preserve">QA-0499</t>
  </si>
  <si>
    <t xml:space="preserve">QA-0501</t>
  </si>
  <si>
    <t xml:space="preserve">QA-0503</t>
  </si>
  <si>
    <t xml:space="preserve">QA-0504</t>
  </si>
  <si>
    <t xml:space="preserve">QA-0506</t>
  </si>
  <si>
    <t xml:space="preserve">QA-0508</t>
  </si>
  <si>
    <t xml:space="preserve">QA-0510</t>
  </si>
  <si>
    <t xml:space="preserve">QA-0511</t>
  </si>
  <si>
    <t xml:space="preserve">R&amp;D (non-GAAP)</t>
  </si>
  <si>
    <t xml:space="preserve">QA-0565</t>
  </si>
  <si>
    <t xml:space="preserve">QA-0566</t>
  </si>
  <si>
    <t xml:space="preserve">QA-0568</t>
  </si>
  <si>
    <t xml:space="preserve">QA-0570</t>
  </si>
  <si>
    <t xml:space="preserve">QA-0572</t>
  </si>
  <si>
    <t xml:space="preserve">QA-0573</t>
  </si>
  <si>
    <t xml:space="preserve">QA-0575</t>
  </si>
  <si>
    <t xml:space="preserve">QA-0577</t>
  </si>
  <si>
    <t xml:space="preserve">QA-0579</t>
  </si>
  <si>
    <t xml:space="preserve">QA-0580</t>
  </si>
  <si>
    <t xml:space="preserve">QA-0582</t>
  </si>
  <si>
    <t xml:space="preserve">QA-0584</t>
  </si>
  <si>
    <t xml:space="preserve">QA-0586</t>
  </si>
  <si>
    <t xml:space="preserve">QA-0587</t>
  </si>
  <si>
    <t xml:space="preserve">S&amp;M (non-GAAP)</t>
  </si>
  <si>
    <t xml:space="preserve">QA-0603</t>
  </si>
  <si>
    <t xml:space="preserve">QA-0604</t>
  </si>
  <si>
    <t xml:space="preserve">QA-0606</t>
  </si>
  <si>
    <t xml:space="preserve">QA-0608</t>
  </si>
  <si>
    <t xml:space="preserve">QA-0610</t>
  </si>
  <si>
    <t xml:space="preserve">QA-0611</t>
  </si>
  <si>
    <t xml:space="preserve">QA-0613</t>
  </si>
  <si>
    <t xml:space="preserve">QA-0615</t>
  </si>
  <si>
    <t xml:space="preserve">QA-0617</t>
  </si>
  <si>
    <t xml:space="preserve">QA-0618</t>
  </si>
  <si>
    <t xml:space="preserve">QA-0620</t>
  </si>
  <si>
    <t xml:space="preserve">QA-0622</t>
  </si>
  <si>
    <t xml:space="preserve">QA-0624</t>
  </si>
  <si>
    <t xml:space="preserve">QA-0625</t>
  </si>
  <si>
    <t xml:space="preserve">G&amp;A (non-GAAP)</t>
  </si>
  <si>
    <t xml:space="preserve">QA-0641</t>
  </si>
  <si>
    <t xml:space="preserve">QA-0642</t>
  </si>
  <si>
    <t xml:space="preserve">QA-0644</t>
  </si>
  <si>
    <t xml:space="preserve">QA-0646</t>
  </si>
  <si>
    <t xml:space="preserve">QA-0648</t>
  </si>
  <si>
    <t xml:space="preserve">QA-0649</t>
  </si>
  <si>
    <t xml:space="preserve">QA-0651</t>
  </si>
  <si>
    <t xml:space="preserve">QA-0653</t>
  </si>
  <si>
    <t xml:space="preserve">QA-0655</t>
  </si>
  <si>
    <t xml:space="preserve">QA-0656</t>
  </si>
  <si>
    <t xml:space="preserve">QA-0658</t>
  </si>
  <si>
    <t xml:space="preserve">QA-0660</t>
  </si>
  <si>
    <t xml:space="preserve">QA-0662</t>
  </si>
  <si>
    <t xml:space="preserve">QA-0663</t>
  </si>
  <si>
    <t xml:space="preserve">Operating income (non-GAAP)</t>
  </si>
  <si>
    <t xml:space="preserve">QA-0679</t>
  </si>
  <si>
    <t xml:space="preserve">QA-0680</t>
  </si>
  <si>
    <t xml:space="preserve">QA-0682</t>
  </si>
  <si>
    <t xml:space="preserve">QA-0684</t>
  </si>
  <si>
    <t xml:space="preserve">QA-0686</t>
  </si>
  <si>
    <t xml:space="preserve">QA-0687</t>
  </si>
  <si>
    <t xml:space="preserve">QA-0689</t>
  </si>
  <si>
    <t xml:space="preserve">QA-0691</t>
  </si>
  <si>
    <t xml:space="preserve">QA-0693</t>
  </si>
  <si>
    <t xml:space="preserve">QA-0694</t>
  </si>
  <si>
    <t xml:space="preserve">QA-0696</t>
  </si>
  <si>
    <t xml:space="preserve">QA-0698</t>
  </si>
  <si>
    <t xml:space="preserve">QA-0700</t>
  </si>
  <si>
    <t xml:space="preserve">QA-0701</t>
  </si>
  <si>
    <t xml:space="preserve">Operating income (GAAP)</t>
  </si>
  <si>
    <t xml:space="preserve">QA-0321</t>
  </si>
  <si>
    <t xml:space="preserve">QA-0322</t>
  </si>
  <si>
    <t xml:space="preserve">QA-0324</t>
  </si>
  <si>
    <t xml:space="preserve">QA-0326</t>
  </si>
  <si>
    <t xml:space="preserve">QA-0328</t>
  </si>
  <si>
    <t xml:space="preserve">QA-0329</t>
  </si>
  <si>
    <t xml:space="preserve">QA-0331</t>
  </si>
  <si>
    <t xml:space="preserve">QA-0333</t>
  </si>
  <si>
    <t xml:space="preserve">QA-0335</t>
  </si>
  <si>
    <t xml:space="preserve">QA-0336</t>
  </si>
  <si>
    <t xml:space="preserve">QA-0338</t>
  </si>
  <si>
    <t xml:space="preserve">QA-0340</t>
  </si>
  <si>
    <t xml:space="preserve">QA-0342</t>
  </si>
  <si>
    <t xml:space="preserve">QA-0343</t>
  </si>
  <si>
    <t xml:space="preserve">SBC total</t>
  </si>
  <si>
    <t xml:space="preserve">QA-0847</t>
  </si>
  <si>
    <t xml:space="preserve">QA-0848</t>
  </si>
  <si>
    <t xml:space="preserve">QA-0850</t>
  </si>
  <si>
    <t xml:space="preserve">QA-0852</t>
  </si>
  <si>
    <t xml:space="preserve">QA-0854</t>
  </si>
  <si>
    <t xml:space="preserve">QA-0855</t>
  </si>
  <si>
    <t xml:space="preserve">QA-0857</t>
  </si>
  <si>
    <t xml:space="preserve">QA-0859</t>
  </si>
  <si>
    <t xml:space="preserve">QA-0861</t>
  </si>
  <si>
    <t xml:space="preserve">QA-0862</t>
  </si>
  <si>
    <t xml:space="preserve">QA-0864</t>
  </si>
  <si>
    <t xml:space="preserve">QA-0866</t>
  </si>
  <si>
    <t xml:space="preserve">QA-0868</t>
  </si>
  <si>
    <t xml:space="preserve">QA-0869</t>
  </si>
  <si>
    <t xml:space="preserve">Restructuring charges (GAAP line)</t>
  </si>
  <si>
    <t xml:space="preserve">Not disclosed</t>
  </si>
  <si>
    <t xml:space="preserve">QA-0267</t>
  </si>
  <si>
    <t xml:space="preserve">Adjusted FCF / FCF</t>
  </si>
  <si>
    <t xml:space="preserve">QA-1081</t>
  </si>
  <si>
    <t xml:space="preserve">QA-1082</t>
  </si>
  <si>
    <t xml:space="preserve">QA-1084</t>
  </si>
  <si>
    <t xml:space="preserve">QA-1086</t>
  </si>
  <si>
    <t xml:space="preserve">QA-1088</t>
  </si>
  <si>
    <t xml:space="preserve">QA-1089</t>
  </si>
  <si>
    <t xml:space="preserve">QA-1091</t>
  </si>
  <si>
    <t xml:space="preserve">QA-1093</t>
  </si>
  <si>
    <t xml:space="preserve">QA-1095</t>
  </si>
  <si>
    <t xml:space="preserve">QA-1096</t>
  </si>
  <si>
    <t xml:space="preserve">QA-1098</t>
  </si>
  <si>
    <t xml:space="preserve">QA-1100</t>
  </si>
  <si>
    <t xml:space="preserve">QA-1102</t>
  </si>
  <si>
    <t xml:space="preserve">QA-1103</t>
  </si>
  <si>
    <t xml:space="preserve">Cash and cash equivalents</t>
  </si>
  <si>
    <t xml:space="preserve">QA-1220</t>
  </si>
  <si>
    <t xml:space="preserve">QA-1221</t>
  </si>
  <si>
    <t xml:space="preserve">QA-1222</t>
  </si>
  <si>
    <t xml:space="preserve">QA-1223</t>
  </si>
  <si>
    <t xml:space="preserve">QA-1224</t>
  </si>
  <si>
    <t xml:space="preserve">QA-1225</t>
  </si>
  <si>
    <t xml:space="preserve">QA-1226</t>
  </si>
  <si>
    <t xml:space="preserve">QA-1227</t>
  </si>
  <si>
    <t xml:space="preserve">QA-1228</t>
  </si>
  <si>
    <t xml:space="preserve">QA-1229</t>
  </si>
  <si>
    <t xml:space="preserve">QA-1230</t>
  </si>
  <si>
    <t xml:space="preserve">QA-1231</t>
  </si>
  <si>
    <t xml:space="preserve">QA-1232</t>
  </si>
  <si>
    <t xml:space="preserve">QA-1233</t>
  </si>
  <si>
    <t xml:space="preserve">Marketable securities</t>
  </si>
  <si>
    <t xml:space="preserve">QA-1237</t>
  </si>
  <si>
    <t xml:space="preserve">QA-1238</t>
  </si>
  <si>
    <t xml:space="preserve">QA-1239</t>
  </si>
  <si>
    <t xml:space="preserve">QA-1240</t>
  </si>
  <si>
    <t xml:space="preserve">QA-1241</t>
  </si>
  <si>
    <t xml:space="preserve">QA-1242</t>
  </si>
  <si>
    <t xml:space="preserve">QA-1243</t>
  </si>
  <si>
    <t xml:space="preserve">QA-1244</t>
  </si>
  <si>
    <t xml:space="preserve">NDR all customers</t>
  </si>
  <si>
    <t xml:space="preserve">QA-1310</t>
  </si>
  <si>
    <t xml:space="preserve">QA-1311</t>
  </si>
  <si>
    <t xml:space="preserve">QA-1312</t>
  </si>
  <si>
    <t xml:space="preserve">QA-1313</t>
  </si>
  <si>
    <t xml:space="preserve">QA-1314</t>
  </si>
  <si>
    <t xml:space="preserve">QA-1315</t>
  </si>
  <si>
    <t xml:space="preserve">QA-1316</t>
  </si>
  <si>
    <t xml:space="preserve">QA-1317</t>
  </si>
  <si>
    <t xml:space="preserve">QA-1318</t>
  </si>
  <si>
    <t xml:space="preserve">QA-1319</t>
  </si>
  <si>
    <t xml:space="preserve">QA-1320</t>
  </si>
  <si>
    <t xml:space="preserve">Customers &gt;$50k ARR</t>
  </si>
  <si>
    <t xml:space="preserve">QA-1413</t>
  </si>
  <si>
    <t xml:space="preserve">QA-1414</t>
  </si>
  <si>
    <t xml:space="preserve">QA-1415</t>
  </si>
  <si>
    <t xml:space="preserve">QA-1416</t>
  </si>
  <si>
    <t xml:space="preserve">QA-1417</t>
  </si>
  <si>
    <t xml:space="preserve">QA-1418</t>
  </si>
  <si>
    <t xml:space="preserve">QA-1419</t>
  </si>
  <si>
    <t xml:space="preserve">QA-1420</t>
  </si>
  <si>
    <t xml:space="preserve">QA-1421</t>
  </si>
  <si>
    <t xml:space="preserve">QA-1422</t>
  </si>
  <si>
    <t xml:space="preserve">QA-1423</t>
  </si>
  <si>
    <t xml:space="preserve">QA-1424</t>
  </si>
  <si>
    <t xml:space="preserve">QA-1425</t>
  </si>
  <si>
    <t xml:space="preserve">QA-1426</t>
  </si>
  <si>
    <t xml:space="preserve">Derived history</t>
  </si>
  <si>
    <t xml:space="preserve">Revenue sequential growth</t>
  </si>
  <si>
    <t xml:space="preserve">Derived</t>
  </si>
  <si>
    <t xml:space="preserve">Gross margin (non-GAAP)</t>
  </si>
  <si>
    <t xml:space="preserve">Operating margin (non-GAAP)</t>
  </si>
  <si>
    <t xml:space="preserve">Point inputs (Sourced)</t>
  </si>
  <si>
    <t xml:space="preserve">Input</t>
  </si>
  <si>
    <t xml:space="preserve">Value</t>
  </si>
  <si>
    <t xml:space="preserve">Reference</t>
  </si>
  <si>
    <t xml:space="preserve">Unit</t>
  </si>
  <si>
    <t xml:space="preserve">FY 2026 Adjusted free cash flow guidance low</t>
  </si>
  <si>
    <t xml:space="preserve">GH-0098:low</t>
  </si>
  <si>
    <t xml:space="preserve">USD m</t>
  </si>
  <si>
    <t xml:space="preserve">FY 2026 Adjusted free cash flow guidance high</t>
  </si>
  <si>
    <t xml:space="preserve">GH-0098:high</t>
  </si>
  <si>
    <t xml:space="preserve">FY 2026 Non-GAAP operating income (loss) guidance low</t>
  </si>
  <si>
    <t xml:space="preserve">GH-0099:low</t>
  </si>
  <si>
    <t xml:space="preserve">FY 2026 Non-GAAP operating income (loss) guidance high</t>
  </si>
  <si>
    <t xml:space="preserve">GH-0099:high</t>
  </si>
  <si>
    <t xml:space="preserve">FY 2026 Revenue guidance low</t>
  </si>
  <si>
    <t xml:space="preserve">GH-0100:low</t>
  </si>
  <si>
    <t xml:space="preserve">FY 2026 Revenue guidance high</t>
  </si>
  <si>
    <t xml:space="preserve">GH-0100:high</t>
  </si>
  <si>
    <t xml:space="preserve">Q3 2026 Non-GAAP operating income (loss) guidance low</t>
  </si>
  <si>
    <t xml:space="preserve">GH-0101:low</t>
  </si>
  <si>
    <t xml:space="preserve">Q3 2026 Non-GAAP operating income (loss) guidance high</t>
  </si>
  <si>
    <t xml:space="preserve">GH-0101:high</t>
  </si>
  <si>
    <t xml:space="preserve">Q3 2026 Revenue guidance low</t>
  </si>
  <si>
    <t xml:space="preserve">GH-0102:low</t>
  </si>
  <si>
    <t xml:space="preserve">Q3 2026 Revenue guidance high</t>
  </si>
  <si>
    <t xml:space="preserve">GH-0102:high</t>
  </si>
  <si>
    <t xml:space="preserve">Locked Q3 call: revenue MID (USD m)</t>
  </si>
  <si>
    <t xml:space="preserve">monday_q3_call.xlsx Revenue!D55</t>
  </si>
  <si>
    <t xml:space="preserve">as stated</t>
  </si>
  <si>
    <t xml:space="preserve">Locked Q3 call: revenue LOW (USD m)</t>
  </si>
  <si>
    <t xml:space="preserve">monday_q3_call.xlsx Revenue!C55</t>
  </si>
  <si>
    <t xml:space="preserve">Locked Q3 call: non-GAAP op. income MID (USD m)</t>
  </si>
  <si>
    <t xml:space="preserve">monday_q3_call.xlsx OpIncome_Margin!D90</t>
  </si>
  <si>
    <t xml:space="preserve">Locked Q3 call: non-GAAP op. income LOW (USD m)</t>
  </si>
  <si>
    <t xml:space="preserve">monday_q3_call.xlsx OpIncome_Margin!C90</t>
  </si>
  <si>
    <t xml:space="preserve">Locked Q3 call: NDR MID</t>
  </si>
  <si>
    <t xml:space="preserve">monday_q3_call.xlsx NDR!D37</t>
  </si>
  <si>
    <t xml:space="preserve">Locked Q3 call: customers &gt;$50k MID</t>
  </si>
  <si>
    <t xml:space="preserve">monday_q3_call.xlsx Customers_50K!D35</t>
  </si>
  <si>
    <t xml:space="preserve">H1 2026 revenue (USD k)</t>
  </si>
  <si>
    <t xml:space="preserve">QA-0038</t>
  </si>
  <si>
    <t xml:space="preserve">USD k</t>
  </si>
  <si>
    <t xml:space="preserve">H1 2026 adjusted FCF (USD k)</t>
  </si>
  <si>
    <t xml:space="preserve">QA-1104</t>
  </si>
  <si>
    <t xml:space="preserve">H1 2026 restructuring charges (USD k)</t>
  </si>
  <si>
    <t xml:space="preserve">QA-0268</t>
  </si>
  <si>
    <t xml:space="preserve">Analysis: average quarter share of FY adj. FCF 2023-2025, Q1</t>
  </si>
  <si>
    <t xml:space="preserve">monday_analysis.xlsx Cash_Conversion!C41</t>
  </si>
  <si>
    <t xml:space="preserve">share</t>
  </si>
  <si>
    <t xml:space="preserve">Analysis: average quarter share of FY adj. FCF 2023-2025, Q2</t>
  </si>
  <si>
    <t xml:space="preserve">monday_analysis.xlsx Cash_Conversion!D41</t>
  </si>
  <si>
    <t xml:space="preserve">Analysis: average quarter share of FY adj. FCF 2023-2025, Q3</t>
  </si>
  <si>
    <t xml:space="preserve">monday_analysis.xlsx Cash_Conversion!E41</t>
  </si>
  <si>
    <t xml:space="preserve">Analysis: average quarter share of FY adj. FCF 2023-2025, Q4</t>
  </si>
  <si>
    <t xml:space="preserve">monday_analysis.xlsx Cash_Conversion!F41</t>
  </si>
  <si>
    <t xml:space="preserve">Analysis: last-8 revenue beat vs guidance midpoint, minimum</t>
  </si>
  <si>
    <t xml:space="preserve">monday_analysis.xlsx Guidance_Accuracy!I68</t>
  </si>
  <si>
    <t xml:space="preserve">Analysis: last-8 revenue beat vs guidance midpoint, median</t>
  </si>
  <si>
    <t xml:space="preserve">monday_analysis.xlsx Guidance_Accuracy!G68</t>
  </si>
  <si>
    <t xml:space="preserve">Employees, Dec 31, 2025 (fact; ~20% reduction announced July 22, 2026; no quarterly path)</t>
  </si>
  <si>
    <t xml:space="preserve">AN-0051</t>
  </si>
  <si>
    <t xml:space="preserve">employees</t>
  </si>
  <si>
    <t xml:space="preserve">Mean Q3 share of H2 adjusted FCF, 2023-2025</t>
  </si>
  <si>
    <t xml:space="preserve">H2 2026 adjusted FCF implied by FY guide midpoint (USD m)</t>
  </si>
  <si>
    <t xml:space="preserve">FY2025 revenue (USD m) = sum of 2025 quarters</t>
  </si>
  <si>
    <t xml:space="preserve">FY2025 non-GAAP operating income (USD m)</t>
  </si>
  <si>
    <t xml:space="preserve">Cash questions resolved from primary sources: adjusted FCF definition, severance treatment, H1 2026 cash bridge</t>
  </si>
  <si>
    <t xml:space="preserve">USD thousands unless stated. Quotes are verbatim from SEC filings (Source IDs as in the source book Sources sheet).</t>
  </si>
  <si>
    <t xml:space="preserve">A. Quotes</t>
  </si>
  <si>
    <t xml:space="preserve">ER-2026Q2 (6-K Ex. 99.1, Aug 10, 2026), Non-GAAP Financial Measures</t>
  </si>
  <si>
    <t xml:space="preserve">"adjusted free cash flow, which is defined as free cash flow plus costs associated with the build-out of our corporate headquarters, and adjusted free cash flow margin. Certain of these non-GAAP financial measures exclude share-based compensation and restructuring costs."</t>
  </si>
  <si>
    <t xml:space="preserve">H1MDA-2026 (6-K Ex. 99.3) and 20F-FY2025 Item 5</t>
  </si>
  <si>
    <t xml:space="preserve">"We define adjusted free cash flow as net cash provided by operating activities, less cash used for purchases of property and equipment and capitalized software development costs, plus costs associated with the build-out [and expansion] of our corporate headquarters."</t>
  </si>
  <si>
    <t xml:space="preserve">6K-20260722-RESTR (6-K, Jul 22, 2026)</t>
  </si>
  <si>
    <t xml:space="preserve">"Full-year 2026 projections for Non-GAAP Operating Margin and Adjusted Free Cash Flow Margin continue to incorporate an estimated adverse foreign currency exchange impact of approximately 100 to 200 basis points and exclude any estimated restructuring charges from the Plan."</t>
  </si>
  <si>
    <t xml:space="preserve">6K-20260722-RESTR</t>
  </si>
  <si>
    <t xml:space="preserve">"...approximately $30 - $35 million of future net charges related to severance payments, employee benefits, and related costs..."</t>
  </si>
  <si>
    <t xml:space="preserve">H1MDA-2026</t>
  </si>
  <si>
    <t xml:space="preserve">"...the related severance and employee costs are expected to be recognized in subsequent periods as employees are notified." "...a portion of up to approximately $5 million potentially recognized in the first quarter of 2027..."</t>
  </si>
  <si>
    <t xml:space="preserve">B. Reconciliation of net cash provided by operating activities to adjusted free cash flow (ER-2026Q2)</t>
  </si>
  <si>
    <t xml:space="preserve">Line</t>
  </si>
  <si>
    <t xml:space="preserve">6M 2026</t>
  </si>
  <si>
    <t xml:space="preserve">Net cash provided by operating activities</t>
  </si>
  <si>
    <t xml:space="preserve">QA-0965</t>
  </si>
  <si>
    <t xml:space="preserve">QA-0966</t>
  </si>
  <si>
    <t xml:space="preserve">Purchase of property and equipment</t>
  </si>
  <si>
    <t xml:space="preserve">QA-1003</t>
  </si>
  <si>
    <t xml:space="preserve">QA-1004</t>
  </si>
  <si>
    <t xml:space="preserve">Capitalized software development costs</t>
  </si>
  <si>
    <t xml:space="preserve">QA-1041</t>
  </si>
  <si>
    <t xml:space="preserve">QA-1042</t>
  </si>
  <si>
    <t xml:space="preserve">Purchase of PP&amp;E related to build-out of corporate headquarters (add-back)</t>
  </si>
  <si>
    <t xml:space="preserve">QA-1065</t>
  </si>
  <si>
    <t xml:space="preserve">QA-1066</t>
  </si>
  <si>
    <t xml:space="preserve">Line for restructuring / severance payments in the reconciliation</t>
  </si>
  <si>
    <t xml:space="preserve">NONE</t>
  </si>
  <si>
    <t xml:space="preserve">Sourced (absence)</t>
  </si>
  <si>
    <t xml:space="preserve">Adjusted free cash flow (Derived = sum of lines above)</t>
  </si>
  <si>
    <t xml:space="preserve">Adjusted free cash flow as reported</t>
  </si>
  <si>
    <t xml:space="preserve">C. Answer</t>
  </si>
  <si>
    <t xml:space="preserve">(1) The company definition of adjusted FCF does NOT exclude restructuring or severance payments: severance is paid through operating cash flow and the reconciliation has no add-back for it (only the HQ build-out). Reported adjusted FCF in H2 2026 will therefore be reduced by severance paid.</t>
  </si>
  <si>
    <t xml:space="preserve">(2) The FY2026 adjusted FCF outlook EXCLUDES restructuring: the Jul 22, 2026 6-K states the FY2026 adjusted FCF margin projection excludes any estimated restructuring charges from the Plan; the Aug 10 dollar guide ($280-290M, margin 19%-20%) is the same margin and does not restate a change.</t>
  </si>
  <si>
    <t xml:space="preserve">(3) Decision: the plan ties guide-basis adjusted FCF to the guide and deducts severance cash ONCE, as a separate line. This is NOT a double count. Reported-basis adjusted FCF (guide basis less severance) is shown as a memo line in Cash_FCF. Residual uncertainty: the Aug 10 release does not repeat the exclusion wording, and up to ~$5M of charges may fall in Q1 2027.</t>
  </si>
  <si>
    <t xml:space="preserve">D. Bridge of cash + marketable securities, Dec 31, 2025 -&gt; Jun 30, 2026 (USD k)</t>
  </si>
  <si>
    <t xml:space="preserve">Item</t>
  </si>
  <si>
    <t xml:space="preserve">H1 2026</t>
  </si>
  <si>
    <t xml:space="preserve">Note</t>
  </si>
  <si>
    <t xml:space="preserve">Class</t>
  </si>
  <si>
    <t xml:space="preserve">Opening cash + marketable securities, Dec 31, 2025</t>
  </si>
  <si>
    <t xml:space="preserve">Historical_Drivers (QA-1231 + QA-1242)</t>
  </si>
  <si>
    <t xml:space="preserve">balance</t>
  </si>
  <si>
    <t xml:space="preserve">Adjusted free cash flow</t>
  </si>
  <si>
    <t xml:space="preserve">Includes interest income (financial income, net $17.3M H1 2026 per H1MDA-2026 is inside operating cash flow) and FX effects on operating items</t>
  </si>
  <si>
    <t xml:space="preserve">FCF</t>
  </si>
  <si>
    <t xml:space="preserve">Derived (link)</t>
  </si>
  <si>
    <t xml:space="preserve">Less: HQ build-out add-back (cash was spent)</t>
  </si>
  <si>
    <t xml:space="preserve">One-off renovation of vacated Israel office</t>
  </si>
  <si>
    <t xml:space="preserve">other: one-off</t>
  </si>
  <si>
    <t xml:space="preserve">Share repurchases</t>
  </si>
  <si>
    <t xml:space="preserve">QA-1202</t>
  </si>
  <si>
    <t xml:space="preserve">$870M authorization fully used</t>
  </si>
  <si>
    <t xml:space="preserve">buyback</t>
  </si>
  <si>
    <t xml:space="preserve">Acquisition of a business operation (OneAI)</t>
  </si>
  <si>
    <t xml:space="preserve">H1FS-2026 cash flow statement (6-K Ex. 99.2, acc. 0001178913-26-003971)</t>
  </si>
  <si>
    <t xml:space="preserve">Not in source book; primary source</t>
  </si>
  <si>
    <t xml:space="preserve">Purchase of securities of privately held companies (monday ventures)</t>
  </si>
  <si>
    <t xml:space="preserve">$50M corporate venture fund</t>
  </si>
  <si>
    <t xml:space="preserve">other: recurring</t>
  </si>
  <si>
    <t xml:space="preserve">Investment in affiliated company (monday ventures)</t>
  </si>
  <si>
    <t xml:space="preserve">Proceeds from exercise of share options and ESPP</t>
  </si>
  <si>
    <t xml:space="preserve">Repayment of tax advance relating to exercises of share options and RSUs, net (taxes on equity awards)</t>
  </si>
  <si>
    <t xml:space="preserve">Accretion of discount on marketable securities (non-cash increase in securities)</t>
  </si>
  <si>
    <t xml:space="preserve">Deducted in operating cash flow; adds to securities balance</t>
  </si>
  <si>
    <t xml:space="preserve">Effect of exchange rates on cash (separate line)</t>
  </si>
  <si>
    <t xml:space="preserve">No separate FX line in the statement; FX is inside operating items</t>
  </si>
  <si>
    <t xml:space="preserve">FX</t>
  </si>
  <si>
    <t xml:space="preserve">Fair-value changes and other (Derived residual)</t>
  </si>
  <si>
    <t xml:space="preserve">balance less items</t>
  </si>
  <si>
    <t xml:space="preserve">other: residual</t>
  </si>
  <si>
    <t xml:space="preserve">Closing cash + marketable securities, Jun 30, 2026</t>
  </si>
  <si>
    <t xml:space="preserve">Historical_Drivers (QA-1233 + QA-1244)</t>
  </si>
  <si>
    <t xml:space="preserve">Total other cash flows H1 2026 (all items except FCF and buybacks)</t>
  </si>
  <si>
    <t xml:space="preserve">Run-rate per quarter (USD m) -&gt; Assumptions P12</t>
  </si>
  <si>
    <t xml:space="preserve">Sensitivity: run-rate excluding one-offs (OneAI, HQ) (USD m / quarter)</t>
  </si>
  <si>
    <t xml:space="preserve">E. Why the analysis workbook showed about -$67M (cash and equivalents only)</t>
  </si>
  <si>
    <t xml:space="preserve">Purchase of marketable securities</t>
  </si>
  <si>
    <t xml:space="preserve">Transfer from cash into securities: no change in cash + securities</t>
  </si>
  <si>
    <t xml:space="preserve">transfer</t>
  </si>
  <si>
    <t xml:space="preserve">Maturities of marketable securities</t>
  </si>
  <si>
    <t xml:space="preserve">Explained: net securities purchases + OneAI + ventures + options + tax advances</t>
  </si>
  <si>
    <t xml:space="preserve">Analysis workbook residual (monday_analysis.xlsx Cash_Conversion!H53)</t>
  </si>
  <si>
    <t xml:space="preserve">monday_analysis.xlsx Cash_Conversion!H53</t>
  </si>
  <si>
    <t xml:space="preserve">Conclusion: about -$57M of the -$67M was a transfer into marketable securities (still liquidity). In cash + securities terms, H1 2026 other flows were only about -$12.9M (-$6.4M/quarter); the earlier "-$34M/quarter" estimate was wrong.</t>
  </si>
  <si>
    <t xml:space="preserve">F. Cash flow statement totals (for internal checks)</t>
  </si>
  <si>
    <t xml:space="preserve">Net cash used in investing activities</t>
  </si>
  <si>
    <t xml:space="preserve">total</t>
  </si>
  <si>
    <t xml:space="preserve">Net cash used in financing activities</t>
  </si>
  <si>
    <t xml:space="preserve">Purchase of property and equipment (investing)</t>
  </si>
  <si>
    <t xml:space="preserve">Capitalized software development costs (investing)</t>
  </si>
  <si>
    <t xml:space="preserve">Assumptions (owner-approved rulings of Oct 28, 2026; orange = Assumed, black = Derived)</t>
  </si>
  <si>
    <t xml:space="preserve">Each parameter: Base and Downside value, current level, forecast path, rationale, evidence IDs, sensitivity.</t>
  </si>
  <si>
    <t xml:space="preserve">ID</t>
  </si>
  <si>
    <t xml:space="preserve">Parameter</t>
  </si>
  <si>
    <t xml:space="preserve">Base</t>
  </si>
  <si>
    <t xml:space="preserve">Downside</t>
  </si>
  <si>
    <t xml:space="preserve">Current level</t>
  </si>
  <si>
    <t xml:space="preserve">Forecast path</t>
  </si>
  <si>
    <t xml:space="preserve">Rationale</t>
  </si>
  <si>
    <t xml:space="preserve">Evidence IDs</t>
  </si>
  <si>
    <t xml:space="preserve">Sensitivity</t>
  </si>
  <si>
    <t xml:space="preserve">P1</t>
  </si>
  <si>
    <t xml:space="preserve">Annual deceleration of same-quarter sequential revenue growth</t>
  </si>
  <si>
    <t xml:space="preserve">pp / year</t>
  </si>
  <si>
    <t xml:space="preserve">Avg QoQ fell ~1.6 pp 2024-&gt;2025 and ~1.1 pp H1 2025-&gt;H1 2026</t>
  </si>
  <si>
    <t xml:space="preserve">2027 quarter seq growth = same quarter 2026 seq - P1</t>
  </si>
  <si>
    <t xml:space="preserve">Method B (ruling 1); Downside = faster deceleration (ruling 2).</t>
  </si>
  <si>
    <t xml:space="preserve">Historical_Drivers revenue rows; monday_driver_audit.xlsx Revenue_Backtest</t>
  </si>
  <si>
    <t xml:space="preserve">Downside (+1.3 pp/yr) lowers FY2027 revenue by $79.7M and op. income by $79.0M (opex dollars held).</t>
  </si>
  <si>
    <t xml:space="preserve">Assumed</t>
  </si>
  <si>
    <t xml:space="preserve">P2</t>
  </si>
  <si>
    <t xml:space="preserve">Q4 2026 sequential revenue growth</t>
  </si>
  <si>
    <t xml:space="preserve">%</t>
  </si>
  <si>
    <t xml:space="preserve">Q2 2026 seq 3.8%; Q3 2026 call seq ~3.8%</t>
  </si>
  <si>
    <t xml:space="preserve">Base: guidance-implied Q4/Q3 step; Downside: Base - (P1 Downside - P1 Base)</t>
  </si>
  <si>
    <t xml:space="preserve">FY guide covers Q4 implicitly (FY mid - H1 actual - Q3 guide mid).</t>
  </si>
  <si>
    <t xml:space="preserve">GH-0100, GH-0102, QA H1 2026 revenue</t>
  </si>
  <si>
    <t xml:space="preserve">+/-0.5 pp = about +/-$1.9M Q4 2026 revenue and about +/-$8.5M FY2027 revenue (Q4 is the 2027 base).</t>
  </si>
  <si>
    <t xml:space="preserve">P3</t>
  </si>
  <si>
    <t xml:space="preserve">Non-GAAP gross margin change per quarter</t>
  </si>
  <si>
    <t xml:space="preserve">pp / quarter</t>
  </si>
  <si>
    <t xml:space="preserve">Q2 2026 88.9%</t>
  </si>
  <si>
    <t xml:space="preserve">Q3 2026 = Q2 + Base step (both cases, so Q3 matches the call); later quarters + case step</t>
  </si>
  <si>
    <t xml:space="preserve">Company expects a modest mid-term decline from AI compute (FY2025 20-F).</t>
  </si>
  <si>
    <t xml:space="preserve">Historical_Drivers GP rows; source-book Definitions</t>
  </si>
  <si>
    <t xml:space="preserve">Downside step (-0.25 vs -0.10 pp/q) lowers FY2027 op. income by $8.5M (rate effect in Scenarios bridge).</t>
  </si>
  <si>
    <t xml:space="preserve">P4</t>
  </si>
  <si>
    <t xml:space="preserve">R&amp;D % of revenue: 2027 change vs Q3 2026 (Base only; Downside holds Base dollars)</t>
  </si>
  <si>
    <t xml:space="preserve">pp</t>
  </si>
  <si>
    <t xml:space="preserve">Q2 2026 22.8%</t>
  </si>
  <si>
    <t xml:space="preserve">Q3 2026 from the locked call; Q4 2026 held; 2027 = Q3 + P4</t>
  </si>
  <si>
    <t xml:space="preserve">Restructuring (~20% workforce) net of continued hiring in strategic areas.</t>
  </si>
  <si>
    <t xml:space="preserve">Historical_Drivers R&amp;D rows; audit Proposed_Assumptions</t>
  </si>
  <si>
    <t xml:space="preserve">each 1 pp = about $17.1M of FY2027 op. income.</t>
  </si>
  <si>
    <t xml:space="preserve">P5</t>
  </si>
  <si>
    <t xml:space="preserve">S&amp;M % of revenue: 2027 change vs Q3 2026 (Base only)</t>
  </si>
  <si>
    <t xml:space="preserve">Q2 2026 41.0% (post-commission-change basis)</t>
  </si>
  <si>
    <t xml:space="preserve">as P4</t>
  </si>
  <si>
    <t xml:space="preserve">Ratios use only post-2025 commission-change quarters.</t>
  </si>
  <si>
    <t xml:space="preserve">Historical_Drivers S&amp;M rows (2025-2026); AN-0348..AN-0350</t>
  </si>
  <si>
    <t xml:space="preserve">P6</t>
  </si>
  <si>
    <t xml:space="preserve">G&amp;A % of revenue: 2027 change vs Q3 2026 (Base only)</t>
  </si>
  <si>
    <t xml:space="preserve">Q2 2026 8.4%</t>
  </si>
  <si>
    <t xml:space="preserve">Stable 8.1%-8.9%.</t>
  </si>
  <si>
    <t xml:space="preserve">Historical_Drivers G&amp;A rows</t>
  </si>
  <si>
    <t xml:space="preserve">P7</t>
  </si>
  <si>
    <t xml:space="preserve">2027 adjusted FCF / non-GAAP operating income (annual conversion)</t>
  </si>
  <si>
    <t xml:space="preserve">x</t>
  </si>
  <si>
    <t xml:space="preserve">FY2026 guide-implied 285/232 = 1.23x; Q2 2026 0.86x</t>
  </si>
  <si>
    <t xml:space="preserve">2027 FCF = 2027 op. income x P7, phased by 2023-2025 quarterly shares</t>
  </si>
  <si>
    <t xml:space="preserve">Ruling 3: anchored to the FY2026 guide; historical 2-4x ratios no longer representative.</t>
  </si>
  <si>
    <t xml:space="preserve">GH-0098, GH-0099; analysis Cash_Conversion!C41:F41</t>
  </si>
  <si>
    <t xml:space="preserve">FY2027 Base FCF range: $404.0M at 1.23x, $371.4M at 1.13x, $328.5M at 1.00x (Cash_FCF).</t>
  </si>
  <si>
    <t xml:space="preserve">P8</t>
  </si>
  <si>
    <t xml:space="preserve">Severance cash, H2 2026 (split evenly Q3/Q4), outside adjusted FCF</t>
  </si>
  <si>
    <t xml:space="preserve">~$30-35M severance-related estimate (6-K Jul 22, 2026)</t>
  </si>
  <si>
    <t xml:space="preserve">-P8/2 in Q3 and Q4 2026</t>
  </si>
  <si>
    <t xml:space="preserve">UNRESOLVED whether the FY FCF guide includes it; modeled as a separate cash item (adjusted FCF tied to the guide is assumed to exclude it).</t>
  </si>
  <si>
    <t xml:space="preserve">Annual restructuring rows (6K-20260722-RESTR)</t>
  </si>
  <si>
    <t xml:space="preserve">Guide excludes restructuring (6-K Jul 22, 2026): severance is deducted once; +/-$2.5M changes 2026 cash by -/+$2.5M.</t>
  </si>
  <si>
    <t xml:space="preserve">P9</t>
  </si>
  <si>
    <t xml:space="preserve">SBC % of revenue (GAAP bridge)</t>
  </si>
  <si>
    <t xml:space="preserve">Q2 2026 11.3%</t>
  </si>
  <si>
    <t xml:space="preserve">flat</t>
  </si>
  <si>
    <t xml:space="preserve">Recent quarters ~8%-12%.</t>
  </si>
  <si>
    <t xml:space="preserve">Historical_Drivers SBC rows</t>
  </si>
  <si>
    <t xml:space="preserve">+/-1 pp = about +/-$17.1M FY2027 GAAP op. income (no non-GAAP or cash effect).</t>
  </si>
  <si>
    <t xml:space="preserve">P10</t>
  </si>
  <si>
    <t xml:space="preserve">Restructuring charges (GAAP, net), H2 2026, split evenly Q3/Q4</t>
  </si>
  <si>
    <t xml:space="preserve">Plan estimate ~$45-55M net (incl. ~$15M SBC credit)</t>
  </si>
  <si>
    <t xml:space="preserve">Q3, Q4 2026 = P10/2; 2027 = 0</t>
  </si>
  <si>
    <t xml:space="preserve">Midpoint of the disclosed range; excluded from non-GAAP.</t>
  </si>
  <si>
    <t xml:space="preserve">+/-$5M changes FY2026 GAAP op. income by -/+$5M (no non-GAAP effect; cash portion is P8).</t>
  </si>
  <si>
    <t xml:space="preserve">P11</t>
  </si>
  <si>
    <t xml:space="preserve">Share repurchases per quarter</t>
  </si>
  <si>
    <t xml:space="preserve">$870M authorization fully used by Q2 2026</t>
  </si>
  <si>
    <t xml:space="preserve">none</t>
  </si>
  <si>
    <t xml:space="preserve">FLAG: no new program disclosed.</t>
  </si>
  <si>
    <t xml:space="preserve">QA repurchase rows (ER-2026Q2)</t>
  </si>
  <si>
    <t xml:space="preserve">A new program reduces cash one-for-one.</t>
  </si>
  <si>
    <t xml:space="preserve">P12</t>
  </si>
  <si>
    <t xml:space="preserve">Other cash flows per quarter (acquisitions, venture investments, option proceeds, tax advances, securities accretion / fair value)</t>
  </si>
  <si>
    <t xml:space="preserve">H1 2026: -$12.9M in total (Cash_Bridge)</t>
  </si>
  <si>
    <t xml:space="preserve">H1 2026 quarterly run-rate held flat Q3 2026-Q4 2027</t>
  </si>
  <si>
    <t xml:space="preserve">ASSUMED persistence of the H1 2026 run-rate from the primary-source cash bridge. Interest income is NOT separate: it is inside operating cash flow and therefore inside adjusted FCF.</t>
  </si>
  <si>
    <t xml:space="preserve">H1FS-2026 cash flow statement; QA-1202, QA-1231..1233, QA-1242..1244; Cash_Bridge</t>
  </si>
  <si>
    <t xml:space="preserve">Excluding one-offs (OneAI, HQ) the run-rate is $1.6M/quarter instead of $-6.4M: about $48.3M more cash by end 2027.</t>
  </si>
  <si>
    <t xml:space="preserve">Derived (Assumed persistence)</t>
  </si>
  <si>
    <t xml:space="preserve">P13</t>
  </si>
  <si>
    <t xml:space="preserve">NDR indicator (NOT a driver): change per quarter after Q3 2026</t>
  </si>
  <si>
    <t xml:space="preserve">Q2 2026 109%; locked Q3 call MID 108.5%</t>
  </si>
  <si>
    <t xml:space="preserve">Base: Q3 call MID then -0.25 pp/q; Downside: linear to 105% by Q4 2027</t>
  </si>
  <si>
    <t xml:space="preserve">Ruling 1-2: narrative indicator only; never used in any calculation.</t>
  </si>
  <si>
    <t xml:space="preserve">QA NDR rows; locked call NDR!D37</t>
  </si>
  <si>
    <t xml:space="preserve">n/a (no model effect)</t>
  </si>
  <si>
    <t xml:space="preserve">P15</t>
  </si>
  <si>
    <t xml:space="preserve">NDR indicator Downside endpoint, Q4 2027 (NOT a driver)</t>
  </si>
  <si>
    <t xml:space="preserve">Q2 2026 109%</t>
  </si>
  <si>
    <t xml:space="preserve">Downside NDR reaches this level by Q4 2027</t>
  </si>
  <si>
    <t xml:space="preserve">Ruling 2: weakening toward ~105%, documented indicator only.</t>
  </si>
  <si>
    <t xml:space="preserve">Owner ruling; QA NDR rows</t>
  </si>
  <si>
    <t xml:space="preserve">P14</t>
  </si>
  <si>
    <t xml:space="preserve">Net adds of customers &gt;$50k ARR per quarter (indicator and trigger): Base = last-8 median, Downside = last-8 minimum</t>
  </si>
  <si>
    <t xml:space="preserve">customers</t>
  </si>
  <si>
    <t xml:space="preserve">Last-8 median 276.5, min 194</t>
  </si>
  <si>
    <t xml:space="preserve">Q3 call MID then + P14 per quarter</t>
  </si>
  <si>
    <t xml:space="preserve">Evidence-supported trigger metric; indicator only.</t>
  </si>
  <si>
    <t xml:space="preserve">QA-1405..QA-1426; Trigger_History</t>
  </si>
  <si>
    <t xml:space="preserve">P16</t>
  </si>
  <si>
    <t xml:space="preserve">Trigger fire-rate tolerance: a trigger firing in more than this share of evaluable quarters is flagged as firing too often</t>
  </si>
  <si>
    <t xml:space="preserve">n/a</t>
  </si>
  <si>
    <t xml:space="preserve">Applied in Trigger_History</t>
  </si>
  <si>
    <t xml:space="preserve">A trigger meant to signal a regime change should be rare; one quarter in four is the tolerance.</t>
  </si>
  <si>
    <t xml:space="preserve">Trigger_History</t>
  </si>
  <si>
    <t xml:space="preserve">At 15% or 35% the flags in Trigger_History change only if a fire rate lies between.</t>
  </si>
  <si>
    <t xml:space="preserve">Management-response levers (applied to the Downside from the response start quarter L0; see Management_Response)</t>
  </si>
  <si>
    <t xml:space="preserve">L0</t>
  </si>
  <si>
    <t xml:space="preserve">Response start quarter in 2027 (1 = Q1 ... 4 = Q4): earliest action consistent with the two-consecutive-quarter trigger rule</t>
  </si>
  <si>
    <t xml:space="preserve">quarter</t>
  </si>
  <si>
    <t xml:space="preserve">Levers active from this quarter through Q4 2027</t>
  </si>
  <si>
    <t xml:space="preserve">T2 (beat) can first fire on Q3+Q4 2026 actuals; Q4 2026 is reported in Feb 2027 (Q1 2027), so savings can start in Q2 2027 at the earliest. T1 cannot fire before Q4 2026+Q1 2027 (reported May 2027), i.e. action from Q3 2027.</t>
  </si>
  <si>
    <t xml:space="preserve">Reporting calendar in Sources (Q4 results in February, Q1 in May); Recommendation triggers</t>
  </si>
  <si>
    <t xml:space="preserve">Start Q3 2027 instead of Q2: FY2027 saving falls by about one third (3 to 2 active quarters).</t>
  </si>
  <si>
    <t xml:space="preserve">L1</t>
  </si>
  <si>
    <t xml:space="preserve">Lever 1: cut R&amp;D + G&amp;A dollars vs Downside (slow hiring / opex growth)</t>
  </si>
  <si>
    <t xml:space="preserve">From L0 to Q4 2027</t>
  </si>
  <si>
    <t xml:space="preserve">Moderate slowdown equivalent to pausing net hiring growth; size is a choice, not a forecast.</t>
  </si>
  <si>
    <t xml:space="preserve">Opex rows</t>
  </si>
  <si>
    <t xml:space="preserve">Each 1% = about $5M of full-year 2027 op. income.</t>
  </si>
  <si>
    <t xml:space="preserve">L2</t>
  </si>
  <si>
    <t xml:space="preserve">Lever 2: cut S&amp;M dollars vs Downside</t>
  </si>
  <si>
    <t xml:space="preserve">Largest discretionary line (advertising, partner commissions).</t>
  </si>
  <si>
    <t xml:space="preserve">Each 1% = about $6.5M of 2027 op. income before growth cost.</t>
  </si>
  <si>
    <t xml:space="preserve">E1</t>
  </si>
  <si>
    <t xml:space="preserve">ILLUSTRATIVE ONLY - growth cost: annualized revenue lost per $1 of quarterly S&amp;M cut (not used for the recommendation; see breakeven)</t>
  </si>
  <si>
    <t xml:space="preserve">NOT observable in the data</t>
  </si>
  <si>
    <t xml:space="preserve">starts the quarter after the cut, cumulative</t>
  </si>
  <si>
    <t xml:space="preserve">ASSUMED RANGE 0 / 0.3 / 0.6: the public data cannot prove the growth cost of cutting spend.</t>
  </si>
  <si>
    <t xml:space="preserve">none (no evidence exists)</t>
  </si>
  <si>
    <t xml:space="preserve">See Management_Response low/mid/high columns.</t>
  </si>
  <si>
    <t xml:space="preserve">E2</t>
  </si>
  <si>
    <t xml:space="preserve">ILLUSTRATIVE ONLY - growth cost: annualized revenue lost per $1 of quarterly R&amp;D+G&amp;A cut</t>
  </si>
  <si>
    <t xml:space="preserve">as E1</t>
  </si>
  <si>
    <t xml:space="preserve">ASSUMED RANGE 0 / 0.1 / 0.2; effects of R&amp;D cuts mostly fall beyond 2027.</t>
  </si>
  <si>
    <t xml:space="preserve">See Management_Response.</t>
  </si>
  <si>
    <t xml:space="preserve">Revenue build (Method B: guidance for the quarters it covers, then sequential-deceleration trend)</t>
  </si>
  <si>
    <t xml:space="preserve">USD millions. Q1-Q2 2026 actual; Q3 2026 = locked call; Q4 2026 = guidance-implied step; 2027 = same-quarter 2026 sequential growth less the annual deceleration.</t>
  </si>
  <si>
    <t xml:space="preserve">BASE</t>
  </si>
  <si>
    <t xml:space="preserve">Q1 2026A</t>
  </si>
  <si>
    <t xml:space="preserve">Q2 2026A</t>
  </si>
  <si>
    <t xml:space="preserve">Q3 2026</t>
  </si>
  <si>
    <t xml:space="preserve">Q4 2026</t>
  </si>
  <si>
    <t xml:space="preserve">Q1 2027</t>
  </si>
  <si>
    <t xml:space="preserve">Q2 2027</t>
  </si>
  <si>
    <t xml:space="preserve">Q3 2027</t>
  </si>
  <si>
    <t xml:space="preserve">Q4 2027</t>
  </si>
  <si>
    <t xml:space="preserve">FY2026</t>
  </si>
  <si>
    <t xml:space="preserve">FY2027</t>
  </si>
  <si>
    <t xml:space="preserve">Sequential revenue growth</t>
  </si>
  <si>
    <t xml:space="preserve">Derived (Assumed P1/P2)</t>
  </si>
  <si>
    <t xml:space="preserve">Sourced (Q1-Q3) / Derived</t>
  </si>
  <si>
    <t xml:space="preserve">Q3 2026 = locked call MID</t>
  </si>
  <si>
    <t xml:space="preserve">Revenue YoY growth</t>
  </si>
  <si>
    <t xml:space="preserve">FY2026 revenue minus FY guide midpoint (USD m)</t>
  </si>
  <si>
    <t xml:space="preserve">NDR all customers - INDICATOR ONLY (not used in any calculation)</t>
  </si>
  <si>
    <t xml:space="preserve">Derived (Assumed P13)</t>
  </si>
  <si>
    <t xml:space="preserve">Narrative indicator per ruling 1</t>
  </si>
  <si>
    <t xml:space="preserve">Customers &gt;$50k ARR - INDICATOR (trigger metric)</t>
  </si>
  <si>
    <t xml:space="preserve">Derived (Assumed P14)</t>
  </si>
  <si>
    <t xml:space="preserve">DOWNSIDE (before management response)</t>
  </si>
  <si>
    <t xml:space="preserve">SENSITIVITY: Base with Q3 2026 at the locked call LOW</t>
  </si>
  <si>
    <t xml:space="preserve">Q3 2026 = locked call LOW</t>
  </si>
  <si>
    <t xml:space="preserve">FORECAST BAND around Base revenue from backtest errors by horizon (origin = Q2 2026 actual)</t>
  </si>
  <si>
    <t xml:space="preserve">Horizon (quarters ahead of the last actual)</t>
  </si>
  <si>
    <t xml:space="preserve">Within tested horizon (1-4)?</t>
  </si>
  <si>
    <t xml:space="preserve">Text</t>
  </si>
  <si>
    <t xml:space="preserve">tested</t>
  </si>
  <si>
    <t xml:space="preserve">BEYOND</t>
  </si>
  <si>
    <t xml:space="preserve">Q3 2027 (h5) and Q4 2027 (h6) lie BEYOND the tested horizon: h4 error used as a floor; true band is wider</t>
  </si>
  <si>
    <t xml:space="preserve">Backtest mean absolute error used</t>
  </si>
  <si>
    <t xml:space="preserve">Derived (link to Backtest)</t>
  </si>
  <si>
    <t xml:space="preserve">Backtest max absolute error used</t>
  </si>
  <si>
    <t xml:space="preserve">Memo: backtest bias at that horizon</t>
  </si>
  <si>
    <t xml:space="preserve">Band low (mean abs. error)</t>
  </si>
  <si>
    <t xml:space="preserve">FY = sum of quarter bands (errors compound along the path, so they are treated as fully correlated)</t>
  </si>
  <si>
    <t xml:space="preserve">Band high (mean abs. error)</t>
  </si>
  <si>
    <t xml:space="preserve">Band low (max abs. error)</t>
  </si>
  <si>
    <t xml:space="preserve">Band high (max abs. error)</t>
  </si>
  <si>
    <t xml:space="preserve">Base - Downside FY2027 revenue gap, % of Base</t>
  </si>
  <si>
    <t xml:space="preserve">Gap / average 4-quarter-ahead backtest miss (x)</t>
  </si>
  <si>
    <t xml:space="preserve">Below ~1.0x the Downside is within normal 4-quarter forecast error</t>
  </si>
  <si>
    <t xml:space="preserve">VARIANT (not used in the plan): BASE with 2027 deceleration applied to a SMOOTHED base (average sequential growth of the last 4 quarters, Q1-Q4 2026)</t>
  </si>
  <si>
    <t xml:space="preserve">Sequential revenue growth (smoothed 2027 rule)</t>
  </si>
  <si>
    <t xml:space="preserve">Revenue (smoothed 2027 rule)</t>
  </si>
  <si>
    <t xml:space="preserve">VARIANT (not used in the plan): SENSITIVITY: Base with Q3 2026 at the locked call LOW with 2027 deceleration applied to a SMOOTHED base (average sequential growth of the last 4 quarters, Q1-Q4 2026)</t>
  </si>
  <si>
    <t xml:space="preserve">Non-GAAP gross margin and operating expenses</t>
  </si>
  <si>
    <t xml:space="preserve">USD millions. Base ratios; Downside holds Base opex DOLLARS (before any management response).</t>
  </si>
  <si>
    <t xml:space="preserve">Derived (Assumed P3)</t>
  </si>
  <si>
    <t xml:space="preserve">Sourced / Derived</t>
  </si>
  <si>
    <t xml:space="preserve">Q3 2026 total opex implied by the locked call (GP - call op. income)</t>
  </si>
  <si>
    <t xml:space="preserve">R&amp;D % of revenue (non-GAAP)</t>
  </si>
  <si>
    <t xml:space="preserve">Derived (Assumed P4-P6)</t>
  </si>
  <si>
    <t xml:space="preserve">S&amp;M % of revenue (non-GAAP)</t>
  </si>
  <si>
    <t xml:space="preserve">G&amp;A % of revenue (non-GAAP)</t>
  </si>
  <si>
    <t xml:space="preserve">Total operating expenses (non-GAAP)</t>
  </si>
  <si>
    <t xml:space="preserve">P&amp;L: non-GAAP with GAAP bridge (SBC, restructuring)</t>
  </si>
  <si>
    <t xml:space="preserve">USD millions.</t>
  </si>
  <si>
    <t xml:space="preserve">Less: share-based compensation</t>
  </si>
  <si>
    <t xml:space="preserve">Sourced / Derived (Assumed P9)</t>
  </si>
  <si>
    <t xml:space="preserve">Less: restructuring charges (GAAP)</t>
  </si>
  <si>
    <t xml:space="preserve">Sourced / Derived (Assumed P10)</t>
  </si>
  <si>
    <t xml:space="preserve">Q1 2026 = H1 less Q2 (Derived; line first reported Q2 2026); Q2 2026: Israel office impairment; H2 2026: plan estimate midpoint</t>
  </si>
  <si>
    <t xml:space="preserve">Operating margin (GAAP)</t>
  </si>
  <si>
    <t xml:space="preserve">Check: bridge vs reported GAAP op. income (Q1-Q2 2026 actual)</t>
  </si>
  <si>
    <t xml:space="preserve">Should be 0</t>
  </si>
  <si>
    <t xml:space="preserve">Adjusted free cash flow and cash</t>
  </si>
  <si>
    <t xml:space="preserve">USD millions. Q3/Q4 2026 adjusted FCF = LOW CONFIDENCE, tied to the FY2026 guide; severance cash shown separately (UNRESOLVED whether the guide includes it).</t>
  </si>
  <si>
    <t xml:space="preserve">Adjusted FCF, guide basis (excludes restructuring/severance cash)</t>
  </si>
  <si>
    <t xml:space="preserve">Sourced / Derived (Assumed P7)</t>
  </si>
  <si>
    <t xml:space="preserve">Q3-Q4 2026 LOW CONFIDENCE (FY guide less H1, split by 2023-2025 Q3 share; scaled by op. income vs Base). Guide excludes restructuring (6-K Jul 22, 2026).</t>
  </si>
  <si>
    <t xml:space="preserve">Confidence flag</t>
  </si>
  <si>
    <t xml:space="preserve">LOW CONF.</t>
  </si>
  <si>
    <t xml:space="preserve">Adjusted FCF / non-GAAP operating income</t>
  </si>
  <si>
    <t xml:space="preserve">Severance cash (outflow; excluded from the FY FCF guide, included in reported adjusted FCF)</t>
  </si>
  <si>
    <t xml:space="preserve">Derived (Assumed P8)</t>
  </si>
  <si>
    <t xml:space="preserve">Counted once: not double-counted (Cash_Bridge)</t>
  </si>
  <si>
    <t xml:space="preserve">Memo: adjusted FCF, reported basis (company definition has no severance add-back)</t>
  </si>
  <si>
    <t xml:space="preserve">What the company will report = guide basis less severance paid</t>
  </si>
  <si>
    <t xml:space="preserve">Share repurchases (outflow)</t>
  </si>
  <si>
    <t xml:space="preserve">Derived (Assumed P11)</t>
  </si>
  <si>
    <t xml:space="preserve">FLAG: authorization exhausted; none assumed</t>
  </si>
  <si>
    <t xml:space="preserve">Other cash flows (H1 2026 run-rate from Cash_Bridge)</t>
  </si>
  <si>
    <t xml:space="preserve">Derived (Assumed P12)</t>
  </si>
  <si>
    <t xml:space="preserve">Net change in cash + marketable securities (forecast quarters)</t>
  </si>
  <si>
    <t xml:space="preserve">Ending cash + marketable securities BEFORE UNMODELED ITEMS (new buybacks, M&amp;A beyond run-rate, FX)</t>
  </si>
  <si>
    <t xml:space="preserve">Sourced (Q1-Q2) / Derived</t>
  </si>
  <si>
    <t xml:space="preserve">FY columns = year-end balance; not a headline figure</t>
  </si>
  <si>
    <t xml:space="preserve">FY2026 adjusted FCF minus FY guide midpoint</t>
  </si>
  <si>
    <t xml:space="preserve">FCF CONVERSION BY YEAR (adjusted FCF / non-GAAP operating income)</t>
  </si>
  <si>
    <t xml:space="preserve">Year / case</t>
  </si>
  <si>
    <t xml:space="preserve">Adj. FCF (USD m)</t>
  </si>
  <si>
    <t xml:space="preserve">Non-GAAP op. income (USD m)</t>
  </si>
  <si>
    <t xml:space="preserve">Conversion</t>
  </si>
  <si>
    <t xml:space="preserve">FY2023 actual</t>
  </si>
  <si>
    <t xml:space="preserve">Derived (sum of quarters)</t>
  </si>
  <si>
    <t xml:space="preserve">FY2024 actual</t>
  </si>
  <si>
    <t xml:space="preserve">FY2025 actual</t>
  </si>
  <si>
    <t xml:space="preserve">FY2026 Base</t>
  </si>
  <si>
    <t xml:space="preserve">FCF held at the guide midpoint; op. income beat-adjusted</t>
  </si>
  <si>
    <t xml:space="preserve">FY2027 Base</t>
  </si>
  <si>
    <t xml:space="preserve">P7 Base</t>
  </si>
  <si>
    <t xml:space="preserve">FY2027 Downside</t>
  </si>
  <si>
    <t xml:space="preserve">P7 Downside</t>
  </si>
  <si>
    <t xml:space="preserve">Memo: FY2026 guide midpoints (FCF / op. income)</t>
  </si>
  <si>
    <t xml:space="preserve">Conversion fell from 3.33x (FY2023) to 2.23x and 1.84x as operating income grew faster than cash flow; in 2026 interest income also fell after the $735M buyback (financial income $17.3M in H1 2026 vs $31.7M in H1 2025). FY2026 Base is 1.13x because FCF is held at the guide midpoint ($285.0M) while operating income is beat-adjusted to $252.1M (guide midpoint $232.0M; guide ratio 1.23x). Applying 1.23x in FY2027 assumes the 2026 operating-income beat starts converting to cash at the guide ratio in 2027; holding the FY2026 Base ratio instead gives $371.4M. Present FY2027 Base FCF as a range: $328.5M-$404.0M.</t>
  </si>
  <si>
    <t xml:space="preserve">FY2027 BASE ADJUSTED FCF AS A RANGE (same Base op. income, three conversions)</t>
  </si>
  <si>
    <t xml:space="preserve">Conversion basis</t>
  </si>
  <si>
    <t xml:space="preserve">FY2027 adj. FCF (USD m)</t>
  </si>
  <si>
    <t xml:space="preserve">vs Base plan (USD m)</t>
  </si>
  <si>
    <t xml:space="preserve">High: FY2026 guide ratio (P7 Base)</t>
  </si>
  <si>
    <t xml:space="preserve">plan value</t>
  </si>
  <si>
    <t xml:space="preserve">Mid: FY2026 Base ratio</t>
  </si>
  <si>
    <t xml:space="preserve">guide FCF on beat-adjusted op. income</t>
  </si>
  <si>
    <t xml:space="preserve">Low: Downside ratio (P7 Downside)</t>
  </si>
  <si>
    <t xml:space="preserve">Scenarios: Base vs Downside (before response) vs Q3-LOW sensitivity, with bridges</t>
  </si>
  <si>
    <t xml:space="preserve">USD millions. All values are links / formulas.</t>
  </si>
  <si>
    <t xml:space="preserve">Base FY2026</t>
  </si>
  <si>
    <t xml:space="preserve">Base FY2027</t>
  </si>
  <si>
    <t xml:space="preserve">Downside FY2026</t>
  </si>
  <si>
    <t xml:space="preserve">Downside FY2027</t>
  </si>
  <si>
    <t xml:space="preserve">Q3-LOW FY2026</t>
  </si>
  <si>
    <t xml:space="preserve">Q3-LOW FY2027</t>
  </si>
  <si>
    <t xml:space="preserve">Derived (links)</t>
  </si>
  <si>
    <t xml:space="preserve">Adjusted FCF, guide basis (excl. severance)</t>
  </si>
  <si>
    <t xml:space="preserve">Adjusted FCF, reported basis (incl. severance)</t>
  </si>
  <si>
    <t xml:space="preserve">Memo: ending cash + securities, before unmodeled items (not a headline)</t>
  </si>
  <si>
    <t xml:space="preserve">Bridge: Base -&gt; Downside FY2027 non-GAAP operating income</t>
  </si>
  <si>
    <t xml:space="preserve">Component</t>
  </si>
  <si>
    <t xml:space="preserve">Formula note</t>
  </si>
  <si>
    <t xml:space="preserve">Base FY2027 operating income</t>
  </si>
  <si>
    <t xml:space="preserve">Revenue volume effect (lower revenue x Base gross margin)</t>
  </si>
  <si>
    <t xml:space="preserve">dRev x GM Base</t>
  </si>
  <si>
    <t xml:space="preserve">Gross margin rate effect</t>
  </si>
  <si>
    <t xml:space="preserve">Rev Downside x dGM</t>
  </si>
  <si>
    <t xml:space="preserve">Operating expense effect (dollars held at Base)</t>
  </si>
  <si>
    <t xml:space="preserve">should be 0</t>
  </si>
  <si>
    <t xml:space="preserve">Downside FY2027 operating income</t>
  </si>
  <si>
    <t xml:space="preserve">start + components</t>
  </si>
  <si>
    <t xml:space="preserve">Bridge check: end - Downside op. income (should be 0)</t>
  </si>
  <si>
    <t xml:space="preserve">Bridge: Base -&gt; Downside FY2027 adjusted FCF</t>
  </si>
  <si>
    <t xml:space="preserve">Base FY2027 adjusted FCF</t>
  </si>
  <si>
    <t xml:space="preserve">Lower operating income x Base conversion</t>
  </si>
  <si>
    <t xml:space="preserve">Lower conversion x Downside operating income</t>
  </si>
  <si>
    <t xml:space="preserve">Downside FY2027 adjusted FCF</t>
  </si>
  <si>
    <t xml:space="preserve">FCF bridge check (should be 0)</t>
  </si>
  <si>
    <t xml:space="preserve">Q3 2026 at the call LOW: effect on 2027 vs Base (ruling 5)</t>
  </si>
  <si>
    <t xml:space="preserve">FY2027 revenue (Q3-LOW minus Base)</t>
  </si>
  <si>
    <t xml:space="preserve">FY2027 non-GAAP operating income (Q3-LOW minus Base)</t>
  </si>
  <si>
    <t xml:space="preserve">FY2027 adjusted FCF (Q3-LOW minus Base)</t>
  </si>
  <si>
    <t xml:space="preserve">Cash + securities, end 2027 (Q3-LOW minus Base)</t>
  </si>
  <si>
    <t xml:space="preserve">FY2027 operating margin (Q3-LOW minus Base, pp)</t>
  </si>
  <si>
    <t xml:space="preserve">AS GUIDED vs Base, FY2026 (Base is a beat-adjusted central estimate, NOT guidance)</t>
  </si>
  <si>
    <t xml:space="preserve">Metric (USD m)</t>
  </si>
  <si>
    <t xml:space="preserve">Guide low</t>
  </si>
  <si>
    <t xml:space="preserve">Guide mid</t>
  </si>
  <si>
    <t xml:space="preserve">Guide high</t>
  </si>
  <si>
    <t xml:space="preserve">Base - guide mid</t>
  </si>
  <si>
    <t xml:space="preserve">Base - guide high (gap above top)</t>
  </si>
  <si>
    <t xml:space="preserve">Adjusted FCF, guide basis</t>
  </si>
  <si>
    <t xml:space="preserve">Q3 2026 at call LOW: FY2027 revenue effect split into level shift and same-quarter rule effect (item 5)</t>
  </si>
  <si>
    <t xml:space="preserve">Component (USD m)</t>
  </si>
  <si>
    <t xml:space="preserve">Plan rule (same-quarter)</t>
  </si>
  <si>
    <t xml:space="preserve">Smoothed variant</t>
  </si>
  <si>
    <t xml:space="preserve">Base FY2027 revenue</t>
  </si>
  <si>
    <t xml:space="preserve">smoothed variant changes Base too</t>
  </si>
  <si>
    <t xml:space="preserve">Q3-LOW FY2027 revenue</t>
  </si>
  <si>
    <t xml:space="preserve">Total effect</t>
  </si>
  <si>
    <t xml:space="preserve">Level shift (all later quarters scaled by LOW/MID)</t>
  </si>
  <si>
    <t xml:space="preserve">what the effect would be if later growth were unchanged</t>
  </si>
  <si>
    <t xml:space="preserve">Effect of the deceleration rule (total - level)</t>
  </si>
  <si>
    <t xml:space="preserve">weak Q3 2026 growth carried into Q3 2027</t>
  </si>
  <si>
    <t xml:space="preserve">Management response on the Downside: Lever 1 (slow hiring / R&amp;D+G&amp;A growth) and Lever 2 (reduce S&amp;M), from the response start quarter</t>
  </si>
  <si>
    <t xml:space="preserve">USD millions. Decision basis = BREAKEVEN revenue loss. Growth-cost elasticities appear only as labeled ILLUSTRATIVE cases: the data cannot prove the growth cost of cutting spend.</t>
  </si>
  <si>
    <t xml:space="preserve">Response start quarter in 2027 (Assumptions L0; 1 = Q1 ... 4 = Q4)</t>
  </si>
  <si>
    <t xml:space="preserve">Derived (Assumed L0)</t>
  </si>
  <si>
    <t xml:space="preserve">Quarter index within 2027</t>
  </si>
  <si>
    <t xml:space="preserve">Lever active (1 = yes)</t>
  </si>
  <si>
    <t xml:space="preserve">Lever 1 saving: R&amp;D + G&amp;A dollars x L1 (active quarters)</t>
  </si>
  <si>
    <t xml:space="preserve">Derived (Assumed L1)</t>
  </si>
  <si>
    <t xml:space="preserve">Lever 2 saving: S&amp;M dollars x L2 (active quarters)</t>
  </si>
  <si>
    <t xml:space="preserve">Derived (Assumed L2)</t>
  </si>
  <si>
    <t xml:space="preserve">Total saving (Lever 1 + Lever 2)</t>
  </si>
  <si>
    <t xml:space="preserve">BREAKEVEN: FY2027 revenue loss that would wipe out the FY2027 operating income saved (lost revenue x Downside gross margin = saving)</t>
  </si>
  <si>
    <t xml:space="preserve">Measure</t>
  </si>
  <si>
    <t xml:space="preserve">Lever 1</t>
  </si>
  <si>
    <t xml:space="preserve">Lever 2</t>
  </si>
  <si>
    <t xml:space="preserve">Both</t>
  </si>
  <si>
    <t xml:space="preserve">FY2027 operating income saved (USD m)</t>
  </si>
  <si>
    <t xml:space="preserve">Downside FY2027 non-GAAP gross margin</t>
  </si>
  <si>
    <t xml:space="preserve">Breakeven FY2027 revenue loss (USD m)</t>
  </si>
  <si>
    <t xml:space="preserve">Breakeven as % of Downside FY2027 revenue</t>
  </si>
  <si>
    <t xml:space="preserve">Breakeven as points of FY2027 YoY growth</t>
  </si>
  <si>
    <t xml:space="preserve">Quarters with lever active in FY2027</t>
  </si>
  <si>
    <t xml:space="preserve">Reading: a lever pays in FY2027 only if it costs less revenue than the breakeven. The breakeven is a ONE-YEAR view: revenue lost from lower customer acquisition recurs and compounds after 2027, while the saving can be reversed, so a lever near its breakeven destroys value over several years.</t>
  </si>
  <si>
    <t xml:space="preserve">ILLUSTRATIVE ONLY (Assumed elasticities with NO evidence; not the decision basis): annualized revenue lost per $1 of quarterly cut, from the next quarter, cumulative</t>
  </si>
  <si>
    <t xml:space="preserve">Case</t>
  </si>
  <si>
    <t xml:space="preserve">S&amp;M elasticity</t>
  </si>
  <si>
    <t xml:space="preserve">R&amp;D+G&amp;A elasticity</t>
  </si>
  <si>
    <t xml:space="preserve">Low (no growth cost)</t>
  </si>
  <si>
    <t xml:space="preserve">Assumed (illustrative)</t>
  </si>
  <si>
    <t xml:space="preserve">Mid</t>
  </si>
  <si>
    <t xml:space="preserve">High</t>
  </si>
  <si>
    <t xml:space="preserve">Downside AFTER response - ILLUSTRATIVE growth-cost case: Low</t>
  </si>
  <si>
    <t xml:space="preserve">Revenue foregone (ILLUSTRATIVE growth cost)</t>
  </si>
  <si>
    <t xml:space="preserve">Derived (Assumed illustrative elasticity)</t>
  </si>
  <si>
    <t xml:space="preserve">Gross profit (Downside gross margin)</t>
  </si>
  <si>
    <t xml:space="preserve">Operating expenses after levers</t>
  </si>
  <si>
    <t xml:space="preserve">Adjusted FCF (Downside conversion P7)</t>
  </si>
  <si>
    <t xml:space="preserve">Ending cash + securities, end 2027 (before unmodeled items)</t>
  </si>
  <si>
    <t xml:space="preserve">Downside AFTER response - ILLUSTRATIVE growth-cost case: Mid</t>
  </si>
  <si>
    <t xml:space="preserve">Downside AFTER response - ILLUSTRATIVE growth-cost case: High</t>
  </si>
  <si>
    <t xml:space="preserve">RESULT vs Downside before response (FY2027), levers from the start quarter</t>
  </si>
  <si>
    <t xml:space="preserve">Mid (illustrative)</t>
  </si>
  <si>
    <t xml:space="preserve">High (illustrative)</t>
  </si>
  <si>
    <t xml:space="preserve">Operating income preserved (USD m)</t>
  </si>
  <si>
    <t xml:space="preserve">Operating margin preserved (pp)</t>
  </si>
  <si>
    <t xml:space="preserve">Cash preserved by end 2027 (USD m)</t>
  </si>
  <si>
    <t xml:space="preserve">ILLUSTRATIVE FY2027 revenue lost (USD m)</t>
  </si>
  <si>
    <t xml:space="preserve">ILLUSTRATIVE revenue lost / breakeven (both levers)</t>
  </si>
  <si>
    <t xml:space="preserve">FY2027 operating margin after response</t>
  </si>
  <si>
    <t xml:space="preserve">Memo: Base FY2027 operating margin</t>
  </si>
  <si>
    <t xml:space="preserve">Memo: Downside FY2027 margin before response</t>
  </si>
  <si>
    <t xml:space="preserve">Recommendation: trigger metrics and actions (derived from model outputs; not a forecast)</t>
  </si>
  <si>
    <t xml:space="preserve">Thresholds and effects link to model cells. Lever decisions use the BREAKEVEN revenue loss; the growth cost of cutting spend is not provable from the data.</t>
  </si>
  <si>
    <t xml:space="preserve">Trigger metric</t>
  </si>
  <si>
    <t xml:space="preserve">Rule</t>
  </si>
  <si>
    <t xml:space="preserve">Evidence</t>
  </si>
  <si>
    <t xml:space="preserve">T1 threshold: sequential revenue growth on the Downside path</t>
  </si>
  <si>
    <t xml:space="preserve">TRIGGER if actual sequential growth is at or below the Downside path for two consecutive quarters.</t>
  </si>
  <si>
    <t xml:space="preserve">Revenue_Build Downside seq row; Trigger_History T1</t>
  </si>
  <si>
    <t xml:space="preserve">Memo: Base path sequential growth</t>
  </si>
  <si>
    <t xml:space="preserve">T2 threshold: revenue beat vs guidance midpoint</t>
  </si>
  <si>
    <t xml:space="preserve">TRIGGER if the beat vs the guidance midpoint is below the last-8 minimum for two consecutive quarters.</t>
  </si>
  <si>
    <t xml:space="preserve">Trigger_History derivation (= analysis Guidance_Accuracy!I68)</t>
  </si>
  <si>
    <t xml:space="preserve">T3 threshold: quarterly net adds of customers &gt;$50k ARR</t>
  </si>
  <si>
    <t xml:space="preserve">TRIGGER if net adds are at or below the last-8 minimum for two consecutive quarters.</t>
  </si>
  <si>
    <t xml:space="preserve">Trigger_History derivation</t>
  </si>
  <si>
    <t xml:space="preserve">Trigger history, last 20 quarters (Trigger_History)</t>
  </si>
  <si>
    <t xml:space="preserve">Trigger</t>
  </si>
  <si>
    <t xml:space="preserve">Evaluable</t>
  </si>
  <si>
    <t xml:space="preserve">Fires</t>
  </si>
  <si>
    <t xml:space="preserve">Fire rate</t>
  </si>
  <si>
    <t xml:space="preserve">Confirmed</t>
  </si>
  <si>
    <t xml:space="preserve">False alarms</t>
  </si>
  <si>
    <t xml:space="preserve">Not evaluable / fires last 8</t>
  </si>
  <si>
    <t xml:space="preserve">Flag</t>
  </si>
  <si>
    <t xml:space="preserve">T1</t>
  </si>
  <si>
    <t xml:space="preserve">T2</t>
  </si>
  <si>
    <t xml:space="preserve">T3</t>
  </si>
  <si>
    <t xml:space="preserve">Actions (applied to the Downside from the response start quarter)</t>
  </si>
  <si>
    <t xml:space="preserve">Action</t>
  </si>
  <si>
    <t xml:space="preserve">Start quarter (2027)</t>
  </si>
  <si>
    <t xml:space="preserve">FY2027 op. income saved (USD m)</t>
  </si>
  <si>
    <t xml:space="preserve">Breakeven revenue loss (USD m)</t>
  </si>
  <si>
    <t xml:space="preserve">Breakeven % of revenue</t>
  </si>
  <si>
    <t xml:space="preserve">Breakeven growth pts</t>
  </si>
  <si>
    <t xml:space="preserve">When</t>
  </si>
  <si>
    <t xml:space="preserve">Condition</t>
  </si>
  <si>
    <t xml:space="preserve">Lever 1: hold R&amp;D+G&amp;A dollars below plan</t>
  </si>
  <si>
    <t xml:space="preserve">On T1 or T2 (two consecutive quarters)</t>
  </si>
  <si>
    <t xml:space="preserve">Act if the expected revenue cost is below the breakeven</t>
  </si>
  <si>
    <t xml:space="preserve">Lever 2: reduce S&amp;M dollars</t>
  </si>
  <si>
    <t xml:space="preserve">CONDITIONAL: only if T3 also fires</t>
  </si>
  <si>
    <t xml:space="preserve">Not automatic: a one-year view ignores multi-year effects of cutting customer acquisition spend</t>
  </si>
  <si>
    <t xml:space="preserve">Both levers</t>
  </si>
  <si>
    <t xml:space="preserve">T1/T2 plus T3</t>
  </si>
  <si>
    <t xml:space="preserve">As above</t>
  </si>
  <si>
    <t xml:space="preserve">Recommendation (text derived from the cells above)</t>
  </si>
  <si>
    <t xml:space="preserve">1. HOLD the Base plan; do not act on the forecast alone. Base FY2027 revenue $1,706.2M, non-GAAP margin 19.3%. The Downside (faster deceleration, opex dollars unchanged) gives $1,626.5M and 15.3%, falling to 12.9% in Q4 2027. The Base-Downside revenue gap (4.7% of Base) is only 1.13x the average 4-quarter-ahead backtest miss, so the two cases cannot be told apart in advance: act on the triggers.</t>
  </si>
  <si>
    <t xml:space="preserve">2. TRIGGERS (two consecutive quarters each; NDR is NOT a trigger): T1 sequential growth at or below the Downside path (3.07%, 2.61%, 1.20%, 1.17%, 0.47% for Q4 2026-Q4 2027; Base 4.37%, 3.91%, 2.50%, 2.47%, 3.07%); T2 beat vs guidance midpoint below 1.48%; T3 net adds of customers &gt;$50k at or below 194. History (last 20 quarters): T1 5 fires, all 2022-2023 and all confirmed, none in the last 8; T2 never fired (untested); T3 4 fires, all 2021-2022. Compare actuals on the guide basis: reported FY2026 adjusted FCF will include severance ($252.5M vs guide low $280.0M) and is not a miss if all severance is paid in 2026.</t>
  </si>
  <si>
    <t xml:space="preserve">3. ACTIONS from Q2 2027 at the earliest (T2 can first fire on Q3+Q4 2026 results, reported February 2027). Lever 1 on T1 or T2: hold R&amp;D+G&amp;A 5% below plan, saving $19.3M in FY2027; it pays only if it costs less than $21.9M of FY2027 revenue (1.3%, 1.5 growth points). Lever 2 (S&amp;M 10% below plan) saves $51.2M, breakeven $58.2M (3.6%, 3.9 points).</t>
  </si>
  <si>
    <t xml:space="preserve">4. Lever 2 is CONDITIONAL, not automatic: use it only if T3 also fires. The breakeven is a one-year view and ignores the multi-year effect of cutting customer acquisition spend: revenue lost from customers not acquired recurs and compounds after 2027, while the saving can be reversed. The data cannot prove the growth cost; the illustrative mid case ($4.2M of FY2027 revenue) is 5% of the two-lever breakeven, but it rests on an assumed elasticity.</t>
  </si>
  <si>
    <t xml:space="preserve">5. Q3 2026 at the call LOW lowers FY2027 revenue by $26.7M: $17.6M level shift and $9.1M from carrying weak Q3 growth into Q3 2027 under the same-quarter rule. With a smoothed base the effect is $28.7M ($11.1M rule effect). Not a trigger by itself.</t>
  </si>
  <si>
    <t xml:space="preserve">Revenue backtest by horizon (1-4 quarters ahead): Method B (guidance-anchored first step, then same-quarter sequential trend less estimated deceleration) vs pure trend</t>
  </si>
  <si>
    <t xml:space="preserve">Targets: Q3 2024-Q2 2026 (8 per horizon). Deceleration at origin t = mean QoQ of quarters t-7..t-4 minus mean QoQ of t-3..t (data available at t). Only data available at the origin is used.</t>
  </si>
  <si>
    <t xml:space="preserve">Quarter</t>
  </si>
  <si>
    <t xml:space="preserve">Revenue (USD m)</t>
  </si>
  <si>
    <t xml:space="preserve">GH Row ID</t>
  </si>
  <si>
    <t xml:space="preserve">QoQ growth</t>
  </si>
  <si>
    <t xml:space="preserve">Guide midpoint</t>
  </si>
  <si>
    <t xml:space="preserve">% beat</t>
  </si>
  <si>
    <t xml:space="preserve">Q1 2021</t>
  </si>
  <si>
    <t xml:space="preserve">QA-0001</t>
  </si>
  <si>
    <t xml:space="preserve">Q2 2021</t>
  </si>
  <si>
    <t xml:space="preserve">QA-0002</t>
  </si>
  <si>
    <t xml:space="preserve">Q3 2021</t>
  </si>
  <si>
    <t xml:space="preserve">QA-0004</t>
  </si>
  <si>
    <t xml:space="preserve">GH-0004</t>
  </si>
  <si>
    <t xml:space="preserve">Q4 2021</t>
  </si>
  <si>
    <t xml:space="preserve">QA-0006</t>
  </si>
  <si>
    <t xml:space="preserve">GH-0008</t>
  </si>
  <si>
    <t xml:space="preserve">Q1 2022</t>
  </si>
  <si>
    <t xml:space="preserve">QA-0008</t>
  </si>
  <si>
    <t xml:space="preserve">GH-0012</t>
  </si>
  <si>
    <t xml:space="preserve">Q2 2022</t>
  </si>
  <si>
    <t xml:space="preserve">QA-0009</t>
  </si>
  <si>
    <t xml:space="preserve">GH-0016</t>
  </si>
  <si>
    <t xml:space="preserve">Q3 2022</t>
  </si>
  <si>
    <t xml:space="preserve">QA-0011</t>
  </si>
  <si>
    <t xml:space="preserve">GH-0020</t>
  </si>
  <si>
    <t xml:space="preserve">Q4 2022</t>
  </si>
  <si>
    <t xml:space="preserve">QA-0013</t>
  </si>
  <si>
    <t xml:space="preserve">GH-0024</t>
  </si>
  <si>
    <t xml:space="preserve">GH-0028</t>
  </si>
  <si>
    <t xml:space="preserve">GH-0032</t>
  </si>
  <si>
    <t xml:space="preserve">GH-0036</t>
  </si>
  <si>
    <t xml:space="preserve">GH-0040</t>
  </si>
  <si>
    <t xml:space="preserve">GH-0046</t>
  </si>
  <si>
    <t xml:space="preserve">GH-0052</t>
  </si>
  <si>
    <t xml:space="preserve">GH-0058</t>
  </si>
  <si>
    <t xml:space="preserve">GH-0064</t>
  </si>
  <si>
    <t xml:space="preserve">GH-0069</t>
  </si>
  <si>
    <t xml:space="preserve">GH-0074</t>
  </si>
  <si>
    <t xml:space="preserve">GH-0079</t>
  </si>
  <si>
    <t xml:space="preserve">GH-0084</t>
  </si>
  <si>
    <t xml:space="preserve">GH-0089</t>
  </si>
  <si>
    <t xml:space="preserve">GH-0094</t>
  </si>
  <si>
    <t xml:space="preserve">Horizon 1 quarter(s) ahead</t>
  </si>
  <si>
    <t xml:space="preserve">Target</t>
  </si>
  <si>
    <t xml:space="preserve">Origin</t>
  </si>
  <si>
    <t xml:space="preserve">Decel. d_t</t>
  </si>
  <si>
    <t xml:space="preserve">B step 1</t>
  </si>
  <si>
    <t xml:space="preserve">Trend step 1</t>
  </si>
  <si>
    <t xml:space="preserve">Actual</t>
  </si>
  <si>
    <t xml:space="preserve">B error %</t>
  </si>
  <si>
    <t xml:space="preserve">Trend error %</t>
  </si>
  <si>
    <t xml:space="preserve">Horizon 2 quarter(s) ahead</t>
  </si>
  <si>
    <t xml:space="preserve">B step 2</t>
  </si>
  <si>
    <t xml:space="preserve">Trend step 2</t>
  </si>
  <si>
    <t xml:space="preserve">Horizon 3 quarter(s) ahead</t>
  </si>
  <si>
    <t xml:space="preserve">B step 3</t>
  </si>
  <si>
    <t xml:space="preserve">Trend step 3</t>
  </si>
  <si>
    <t xml:space="preserve">Horizon 4 quarter(s) ahead</t>
  </si>
  <si>
    <t xml:space="preserve">B step 4</t>
  </si>
  <si>
    <t xml:space="preserve">Trend step 4</t>
  </si>
  <si>
    <t xml:space="preserve">Summary by horizon (Derived)</t>
  </si>
  <si>
    <t xml:space="preserve">Horizon</t>
  </si>
  <si>
    <t xml:space="preserve">Test points</t>
  </si>
  <si>
    <t xml:space="preserve">B: mean abs. error</t>
  </si>
  <si>
    <t xml:space="preserve">B: bias</t>
  </si>
  <si>
    <t xml:space="preserve">B: max abs.</t>
  </si>
  <si>
    <t xml:space="preserve">Trend: mean abs. error</t>
  </si>
  <si>
    <t xml:space="preserve">Trend: bias</t>
  </si>
  <si>
    <t xml:space="preserve">Trend: max abs.</t>
  </si>
  <si>
    <t xml:space="preserve">Accuracy degrades with horizon. Method B mean absolute error: h1 1.04% (bias +0.74%, max 1.47%, n=8); h2 1.07% (bias +0.71%, max 3.24%, n=8); h3 2.39% (bias -0.06%, max 5.90%, n=8); h4 4.13% (bias -1.76%, max 9.64%, n=8). Pure trend: h1 0.95%; h2 1.83%; h3 3.48%; h4 5.47%. Beyond two quarters the bias turns negative (under-forecast) and the worst miss exceeds 5%; Q3-Q4 2027 (h5-h6) are beyond the tested horizon.</t>
  </si>
  <si>
    <t xml:space="preserve">Trigger history test: how often each Recommendation trigger would have fired, and how many were false alarms</t>
  </si>
  <si>
    <t xml:space="preserve">Each trigger fires on the 2nd consecutive quarter its condition holds. Outcome = change in YoY revenue growth over the next 4 quarters: "Confirmed" if growth slowed faster than the Base pace (4 x P1 Base), else "False alarm" (growth recovered to the Base pace or better); "Not evaluable" if 4 later quarters are not yet reported.</t>
  </si>
  <si>
    <t xml:space="preserve">Seq. growth</t>
  </si>
  <si>
    <t xml:space="preserve">YoY growth</t>
  </si>
  <si>
    <t xml:space="preserve">Beat vs guide mid</t>
  </si>
  <si>
    <t xml:space="preserve">Customers &gt;$50k</t>
  </si>
  <si>
    <t xml:space="preserve">Net adds</t>
  </si>
  <si>
    <t xml:space="preserve">T1 cond.</t>
  </si>
  <si>
    <t xml:space="preserve">T1 fires</t>
  </si>
  <si>
    <t xml:space="preserve">T2 cond.</t>
  </si>
  <si>
    <t xml:space="preserve">T2 fires</t>
  </si>
  <si>
    <t xml:space="preserve">T3 cond.</t>
  </si>
  <si>
    <t xml:space="preserve">T3 fires</t>
  </si>
  <si>
    <t xml:space="preserve">YoY change next 4q</t>
  </si>
  <si>
    <t xml:space="preserve">T1 outcome</t>
  </si>
  <si>
    <t xml:space="preserve">T2 outcome</t>
  </si>
  <si>
    <t xml:space="preserve">T3 outcome</t>
  </si>
  <si>
    <t xml:space="preserve">QA-1405</t>
  </si>
  <si>
    <t xml:space="preserve">QA-1406</t>
  </si>
  <si>
    <t xml:space="preserve">QA-1407</t>
  </si>
  <si>
    <t xml:space="preserve">QA-1408</t>
  </si>
  <si>
    <t xml:space="preserve">QA-1409</t>
  </si>
  <si>
    <t xml:space="preserve">QA-1410</t>
  </si>
  <si>
    <t xml:space="preserve">QA-1411</t>
  </si>
  <si>
    <t xml:space="preserve">QA-1412</t>
  </si>
  <si>
    <t xml:space="preserve">Summary: last 20 quarters (Q3 2021 - Q2 2026); fires are counted only where the condition can be computed</t>
  </si>
  <si>
    <t xml:space="preserve">Evaluable quarters</t>
  </si>
  <si>
    <t xml:space="preserve">Not evaluable</t>
  </si>
  <si>
    <t xml:space="preserve">Fires, last 8 quarters</t>
  </si>
  <si>
    <t xml:space="preserve">T1 seq. growth &lt;= same quarter last year - P1 Downside</t>
  </si>
  <si>
    <t xml:space="preserve">T2 beat &lt; last-8 minimum</t>
  </si>
  <si>
    <t xml:space="preserve">T3 net adds &lt;= last-8 minimum</t>
  </si>
  <si>
    <t xml:space="preserve">Derivation of thresholds (last 8 quarters)</t>
  </si>
  <si>
    <t xml:space="preserve">Revenue beat vs guidance midpoint: MIN</t>
  </si>
  <si>
    <t xml:space="preserve">Derived = T2 threshold (1.48%)</t>
  </si>
  <si>
    <t xml:space="preserve">Revenue beat vs guidance midpoint: MEDIAN</t>
  </si>
  <si>
    <t xml:space="preserve">Net adds of customers &gt;$50k: MIN</t>
  </si>
  <si>
    <t xml:space="preserve">Derived = T3 threshold (194) = P14 Downside</t>
  </si>
  <si>
    <t xml:space="preserve">Net adds of customers &gt;$50k: MEDIAN</t>
  </si>
  <si>
    <t xml:space="preserve">Derived = P14 Base</t>
  </si>
  <si>
    <t xml:space="preserve">T1 fired in 5 of 16 evaluable quarters (31%): all in Q3 2022-Q3 2023, during the post-IPO normalization from ~80% to ~35% YoY growth; 5 confirmed, 0 false alarms, 0 fires in the last 8 quarters. Over the full window it FIRES TOO OFTEN; in the current regime it has not fired. T2 never fired (19 evaluable quarters): the threshold is the last-8 minimum, so it is untested. T3 fired 4 times (20%), all in 2021-2022 when the &gt;$50k customer base was at most a third of today's: 2 confirmed, 2 not evaluable, 0 false alarms, 0 fires in the last 8 quarters. Caveat: an absolute net-adds threshold becomes easier to clear as the base grows; the history contains no slowdown comparable to the Downside in the current regime.</t>
  </si>
  <si>
    <t xml:space="preserve">Method changes and owner rulings applied (vs PHASE3_DESIGN.md and the Phase 3a audit proposals)</t>
  </si>
  <si>
    <t xml:space="preserve">#</t>
  </si>
  <si>
    <t xml:space="preserve">Ruling / change</t>
  </si>
  <si>
    <t xml:space="preserve">What was applied</t>
  </si>
  <si>
    <t xml:space="preserve">Reason</t>
  </si>
  <si>
    <t xml:space="preserve">Date</t>
  </si>
  <si>
    <t xml:space="preserve">R1</t>
  </si>
  <si>
    <t xml:space="preserve">Revenue method B</t>
  </si>
  <si>
    <t xml:space="preserve">Guidance for quarters it covers (Q3 2026 locked call; Q4 2026 via FY guide), then same-quarter sequential growth less annual deceleration. NDR shown only as an indicator.</t>
  </si>
  <si>
    <t xml:space="preserve">Backtest: method A biased high in 8/8 quarters.</t>
  </si>
  <si>
    <t xml:space="preserve">2026-10-28</t>
  </si>
  <si>
    <t xml:space="preserve">R2</t>
  </si>
  <si>
    <t xml:space="preserve">Downside definition</t>
  </si>
  <si>
    <t xml:space="preserve">Deceleration 2.6 pp/yr (Base 1.3); opex dollars held at Base before response; NDR toward 105% shown as an indicator only.</t>
  </si>
  <si>
    <t xml:space="preserve">Owner ruling.</t>
  </si>
  <si>
    <t xml:space="preserve">R3</t>
  </si>
  <si>
    <t xml:space="preserve">Annual conversion anchored to the FY2026 guide (Base 1.23x, Downside 1.0x); Q3/Q4 2026 LOW CONFIDENCE tied to the FY guide; severance $32.5M (Downside $35M) split evenly Q3/Q4 2026, UNRESOLVED whether in the guide.</t>
  </si>
  <si>
    <t xml:space="preserve">R4</t>
  </si>
  <si>
    <t xml:space="preserve">Implied-headcount memo removed; hiring stated in dollars; ~20% reduction recorded as a fact with no quarterly path.</t>
  </si>
  <si>
    <t xml:space="preserve">R5</t>
  </si>
  <si>
    <t xml:space="preserve">Base = locked call MID; sensitivity with Q3 at the locked call LOW and its 2027 effect (Scenarios).</t>
  </si>
  <si>
    <t xml:space="preserve">R6</t>
  </si>
  <si>
    <t xml:space="preserve">Restructuring savings and interest income</t>
  </si>
  <si>
    <t xml:space="preserve">Not modeled as separate drivers; documented in README.</t>
  </si>
  <si>
    <t xml:space="preserve">Owner ruling; no disclosed savings amount; interest income not in source book.</t>
  </si>
  <si>
    <t xml:space="preserve">R7</t>
  </si>
  <si>
    <t xml:space="preserve">Backtest horizons</t>
  </si>
  <si>
    <t xml:space="preserve">Extended to 2-, 3- and 4-quarters ahead (8 test points each).</t>
  </si>
  <si>
    <t xml:space="preserve">D1</t>
  </si>
  <si>
    <t xml:space="preserve">Design decision: Downside Q3 2026</t>
  </si>
  <si>
    <t xml:space="preserve">Downside Q3 2026 = locked call MID (audit had proposed LOW); Downside diverges from Q4 2026. Q3 at LOW is the separate sensitivity (R5).</t>
  </si>
  <si>
    <t xml:space="preserve">Keeps the Q3 effect and the deceleration effect separate.</t>
  </si>
  <si>
    <t xml:space="preserve">D2</t>
  </si>
  <si>
    <t xml:space="preserve">Design decision: Q3 2026 gross margin</t>
  </si>
  <si>
    <t xml:space="preserve">Q3 2026 gross margin uses the Base step in all cases so Q3 op. income equals the locked call.</t>
  </si>
  <si>
    <t xml:space="preserve">Q3 is locked.</t>
  </si>
  <si>
    <t xml:space="preserve">D3</t>
  </si>
  <si>
    <t xml:space="preserve">Design decision: GAAP restructuring</t>
  </si>
  <si>
    <t xml:space="preserve">H2 2026 GAAP restructuring charges Assumed at $50M net (midpoint of $45-55M), split evenly Q3/Q4.</t>
  </si>
  <si>
    <t xml:space="preserve">Needed for the GAAP bridge.</t>
  </si>
  <si>
    <t xml:space="preserve">C1</t>
  </si>
  <si>
    <t xml:space="preserve">Cash questions (item 1)</t>
  </si>
  <si>
    <t xml:space="preserve">Quoted the adjusted FCF definition and reconciliation (no severance add-back) and the Jul 22 6-K exclusion of restructuring from the FY2026 outlook; severance deducted once (not double-counted); reported-basis FCF memo added; H1 2026 cash + securities bridge built from the primary cash flow statement (Cash_Bridge); Other cash flows (P12) now Assumed at the H1 2026 run-rate instead of nil; ending cash labeled before unmodeled items and removed as a headline.</t>
  </si>
  <si>
    <t xml:space="preserve">Owner request; resolves the UNRESOLVED flag from the first draft.</t>
  </si>
  <si>
    <t xml:space="preserve">2026-10-29</t>
  </si>
  <si>
    <t xml:space="preserve">C2</t>
  </si>
  <si>
    <t xml:space="preserve">FCF conversion (item 2)</t>
  </si>
  <si>
    <t xml:space="preserve">Added conversion by year (FY2023-FY2025 actual, FY2026 Base, FY2027 Base and Downside) with the explanation of 1.13x vs 1.23x; FY2027 Base FCF shown as a range at 1.23x / FY2026 Base ratio / 1.0x.</t>
  </si>
  <si>
    <t xml:space="preserve">Owner request.</t>
  </si>
  <si>
    <t xml:space="preserve">C3</t>
  </si>
  <si>
    <t xml:space="preserve">As guided (item 3)</t>
  </si>
  <si>
    <t xml:space="preserve">Added FY2026 guide low/mid/high vs Base with the gap above the top of the range; README states Base is a beat-adjusted central estimate, not guidance.</t>
  </si>
  <si>
    <t xml:space="preserve">C4</t>
  </si>
  <si>
    <t xml:space="preserve">Management response (item 4)</t>
  </si>
  <si>
    <t xml:space="preserve">Decision basis changed to breakeven revenue loss per lever (USD, % of revenue, growth points, using the Downside gross margin). Response start quarter L0 = Q2 2027 (earliest action under the two-consecutive-quarter rule) replaces a full-year Q1 2027 start. Elasticity cases kept only as ILLUSTRATIVE. Lever 2 made conditional on T3.</t>
  </si>
  <si>
    <t xml:space="preserve">C5</t>
  </si>
  <si>
    <t xml:space="preserve">Q3-LOW split (item 5)</t>
  </si>
  <si>
    <t xml:space="preserve">FY2027 effect split into level shift and the same-quarter rule effect; added a smoothed-base variant (average of the last 4 quarters of sequential growth). Base rule NOT changed: the same-quarter rule is the one that was backtested (h1-h4); the smoothed rule is untested.</t>
  </si>
  <si>
    <t xml:space="preserve">C6</t>
  </si>
  <si>
    <t xml:space="preserve">Forecast band (item 6)</t>
  </si>
  <si>
    <t xml:space="preserve">Added FY2026 / FY2027 revenue bands from backtest errors by horizon, flagged Q3-Q4 2027 as beyond the tested horizon, and compared the Base-Downside gap with the average 4-quarter miss.</t>
  </si>
  <si>
    <t xml:space="preserve">C7</t>
  </si>
  <si>
    <t xml:space="preserve">Trigger history (item 7)</t>
  </si>
  <si>
    <t xml:space="preserve">Added Trigger_History: fires, confirmed and false alarms over the last 20 quarters for T1-T3, and the derivation of 1.48% and 194. P14 Base/Downside are now formulas (last-8 median / minimum) instead of typed numbers.</t>
  </si>
  <si>
    <t xml:space="preserve">C9</t>
  </si>
  <si>
    <t xml:space="preserve">PRE-REGISTERED trigger 1 definition (revision 2, item 2), written before any test was computed</t>
  </si>
  <si>
    <t xml:space="preserve">Revenue trigger: actual quarterly revenue is more than the average 1-quarter-ahead backtest miss (1.04%, linked to the Backtest sheet) below the Base path, for two consecutive quarters.</t>
  </si>
  <si>
    <t xml:space="preserve">Owner instruction: replace the absolute-threshold T1; test only on the 8 backtest quarters; do not tune the threshold to history.</t>
  </si>
  <si>
    <t xml:space="preserve">C8</t>
  </si>
  <si>
    <t xml:space="preserve">Undisclosed values (item 8)</t>
  </si>
  <si>
    <t xml:space="preserve">Marketable securities (and the Q1 2026 restructuring line) show "Not disclosed" instead of blank; liquidity is "n/a" where securities are not disclosed; N() blank-to-zero conversions removed; Q1 2026 restructuring now Derived as H1 less Q2; Checks row added.</t>
  </si>
  <si>
    <t xml:space="preserve">Checks: input tie-outs (source book, analysis, locked call) and internal model checks</t>
  </si>
  <si>
    <t xml:space="preserve">Check ID</t>
  </si>
  <si>
    <t xml:space="preserve">Type</t>
  </si>
  <si>
    <t xml:space="preserve">Cell / item</t>
  </si>
  <si>
    <t xml:space="preserve">Expected</t>
  </si>
  <si>
    <t xml:space="preserve">Difference</t>
  </si>
  <si>
    <t xml:space="preserve">PL-0001</t>
  </si>
  <si>
    <t xml:space="preserve">Source book QA</t>
  </si>
  <si>
    <t xml:space="preserve">Historical_Drivers!C6</t>
  </si>
  <si>
    <t xml:space="preserve">PL-0002</t>
  </si>
  <si>
    <t xml:space="preserve">Historical_Drivers!D6</t>
  </si>
  <si>
    <t xml:space="preserve">PL-0003</t>
  </si>
  <si>
    <t xml:space="preserve">Historical_Drivers!E6</t>
  </si>
  <si>
    <t xml:space="preserve">PL-0004</t>
  </si>
  <si>
    <t xml:space="preserve">Historical_Drivers!F6</t>
  </si>
  <si>
    <t xml:space="preserve">PL-0005</t>
  </si>
  <si>
    <t xml:space="preserve">Historical_Drivers!G6</t>
  </si>
  <si>
    <t xml:space="preserve">PL-0006</t>
  </si>
  <si>
    <t xml:space="preserve">Historical_Drivers!H6</t>
  </si>
  <si>
    <t xml:space="preserve">PL-0007</t>
  </si>
  <si>
    <t xml:space="preserve">Historical_Drivers!I6</t>
  </si>
  <si>
    <t xml:space="preserve">PL-0008</t>
  </si>
  <si>
    <t xml:space="preserve">Historical_Drivers!J6</t>
  </si>
  <si>
    <t xml:space="preserve">PL-0009</t>
  </si>
  <si>
    <t xml:space="preserve">Historical_Drivers!K6</t>
  </si>
  <si>
    <t xml:space="preserve">PL-0010</t>
  </si>
  <si>
    <t xml:space="preserve">Historical_Drivers!L6</t>
  </si>
  <si>
    <t xml:space="preserve">PL-0011</t>
  </si>
  <si>
    <t xml:space="preserve">Historical_Drivers!M6</t>
  </si>
  <si>
    <t xml:space="preserve">PL-0012</t>
  </si>
  <si>
    <t xml:space="preserve">Historical_Drivers!N6</t>
  </si>
  <si>
    <t xml:space="preserve">PL-0013</t>
  </si>
  <si>
    <t xml:space="preserve">Historical_Drivers!O6</t>
  </si>
  <si>
    <t xml:space="preserve">PL-0014</t>
  </si>
  <si>
    <t xml:space="preserve">Historical_Drivers!P6</t>
  </si>
  <si>
    <t xml:space="preserve">PL-0015</t>
  </si>
  <si>
    <t xml:space="preserve">Historical_Drivers!C8</t>
  </si>
  <si>
    <t xml:space="preserve">PL-0016</t>
  </si>
  <si>
    <t xml:space="preserve">Historical_Drivers!D8</t>
  </si>
  <si>
    <t xml:space="preserve">PL-0017</t>
  </si>
  <si>
    <t xml:space="preserve">Historical_Drivers!E8</t>
  </si>
  <si>
    <t xml:space="preserve">PL-0018</t>
  </si>
  <si>
    <t xml:space="preserve">Historical_Drivers!F8</t>
  </si>
  <si>
    <t xml:space="preserve">PL-0019</t>
  </si>
  <si>
    <t xml:space="preserve">Historical_Drivers!G8</t>
  </si>
  <si>
    <t xml:space="preserve">PL-0020</t>
  </si>
  <si>
    <t xml:space="preserve">Historical_Drivers!H8</t>
  </si>
  <si>
    <t xml:space="preserve">PL-0021</t>
  </si>
  <si>
    <t xml:space="preserve">Historical_Drivers!I8</t>
  </si>
  <si>
    <t xml:space="preserve">PL-0022</t>
  </si>
  <si>
    <t xml:space="preserve">Historical_Drivers!J8</t>
  </si>
  <si>
    <t xml:space="preserve">PL-0023</t>
  </si>
  <si>
    <t xml:space="preserve">Historical_Drivers!K8</t>
  </si>
  <si>
    <t xml:space="preserve">PL-0024</t>
  </si>
  <si>
    <t xml:space="preserve">Historical_Drivers!L8</t>
  </si>
  <si>
    <t xml:space="preserve">PL-0025</t>
  </si>
  <si>
    <t xml:space="preserve">Historical_Drivers!M8</t>
  </si>
  <si>
    <t xml:space="preserve">PL-0026</t>
  </si>
  <si>
    <t xml:space="preserve">Historical_Drivers!N8</t>
  </si>
  <si>
    <t xml:space="preserve">PL-0027</t>
  </si>
  <si>
    <t xml:space="preserve">Historical_Drivers!O8</t>
  </si>
  <si>
    <t xml:space="preserve">PL-0028</t>
  </si>
  <si>
    <t xml:space="preserve">Historical_Drivers!P8</t>
  </si>
  <si>
    <t xml:space="preserve">PL-0029</t>
  </si>
  <si>
    <t xml:space="preserve">Historical_Drivers!C10</t>
  </si>
  <si>
    <t xml:space="preserve">PL-0030</t>
  </si>
  <si>
    <t xml:space="preserve">Historical_Drivers!D10</t>
  </si>
  <si>
    <t xml:space="preserve">PL-0031</t>
  </si>
  <si>
    <t xml:space="preserve">Historical_Drivers!E10</t>
  </si>
  <si>
    <t xml:space="preserve">PL-0032</t>
  </si>
  <si>
    <t xml:space="preserve">Historical_Drivers!F10</t>
  </si>
  <si>
    <t xml:space="preserve">PL-0033</t>
  </si>
  <si>
    <t xml:space="preserve">Historical_Drivers!G10</t>
  </si>
  <si>
    <t xml:space="preserve">PL-0034</t>
  </si>
  <si>
    <t xml:space="preserve">Historical_Drivers!H10</t>
  </si>
  <si>
    <t xml:space="preserve">PL-0035</t>
  </si>
  <si>
    <t xml:space="preserve">Historical_Drivers!I10</t>
  </si>
  <si>
    <t xml:space="preserve">PL-0036</t>
  </si>
  <si>
    <t xml:space="preserve">Historical_Drivers!J10</t>
  </si>
  <si>
    <t xml:space="preserve">PL-0037</t>
  </si>
  <si>
    <t xml:space="preserve">Historical_Drivers!K10</t>
  </si>
  <si>
    <t xml:space="preserve">PL-0038</t>
  </si>
  <si>
    <t xml:space="preserve">Historical_Drivers!L10</t>
  </si>
  <si>
    <t xml:space="preserve">PL-0039</t>
  </si>
  <si>
    <t xml:space="preserve">Historical_Drivers!M10</t>
  </si>
  <si>
    <t xml:space="preserve">PL-0040</t>
  </si>
  <si>
    <t xml:space="preserve">Historical_Drivers!N10</t>
  </si>
  <si>
    <t xml:space="preserve">PL-0041</t>
  </si>
  <si>
    <t xml:space="preserve">Historical_Drivers!O10</t>
  </si>
  <si>
    <t xml:space="preserve">PL-0042</t>
  </si>
  <si>
    <t xml:space="preserve">Historical_Drivers!P10</t>
  </si>
  <si>
    <t xml:space="preserve">PL-0043</t>
  </si>
  <si>
    <t xml:space="preserve">Historical_Drivers!C12</t>
  </si>
  <si>
    <t xml:space="preserve">PL-0044</t>
  </si>
  <si>
    <t xml:space="preserve">Historical_Drivers!D12</t>
  </si>
  <si>
    <t xml:space="preserve">PL-0045</t>
  </si>
  <si>
    <t xml:space="preserve">Historical_Drivers!E12</t>
  </si>
  <si>
    <t xml:space="preserve">PL-0046</t>
  </si>
  <si>
    <t xml:space="preserve">Historical_Drivers!F12</t>
  </si>
  <si>
    <t xml:space="preserve">PL-0047</t>
  </si>
  <si>
    <t xml:space="preserve">Historical_Drivers!G12</t>
  </si>
  <si>
    <t xml:space="preserve">PL-0048</t>
  </si>
  <si>
    <t xml:space="preserve">Historical_Drivers!H12</t>
  </si>
  <si>
    <t xml:space="preserve">PL-0049</t>
  </si>
  <si>
    <t xml:space="preserve">Historical_Drivers!I12</t>
  </si>
  <si>
    <t xml:space="preserve">PL-0050</t>
  </si>
  <si>
    <t xml:space="preserve">Historical_Drivers!J12</t>
  </si>
  <si>
    <t xml:space="preserve">PL-0051</t>
  </si>
  <si>
    <t xml:space="preserve">Historical_Drivers!K12</t>
  </si>
  <si>
    <t xml:space="preserve">PL-0052</t>
  </si>
  <si>
    <t xml:space="preserve">Historical_Drivers!L12</t>
  </si>
  <si>
    <t xml:space="preserve">PL-0053</t>
  </si>
  <si>
    <t xml:space="preserve">Historical_Drivers!M12</t>
  </si>
  <si>
    <t xml:space="preserve">PL-0054</t>
  </si>
  <si>
    <t xml:space="preserve">Historical_Drivers!N12</t>
  </si>
  <si>
    <t xml:space="preserve">PL-0055</t>
  </si>
  <si>
    <t xml:space="preserve">Historical_Drivers!O12</t>
  </si>
  <si>
    <t xml:space="preserve">PL-0056</t>
  </si>
  <si>
    <t xml:space="preserve">Historical_Drivers!P12</t>
  </si>
  <si>
    <t xml:space="preserve">PL-0057</t>
  </si>
  <si>
    <t xml:space="preserve">Historical_Drivers!C14</t>
  </si>
  <si>
    <t xml:space="preserve">PL-0058</t>
  </si>
  <si>
    <t xml:space="preserve">Historical_Drivers!D14</t>
  </si>
  <si>
    <t xml:space="preserve">PL-0059</t>
  </si>
  <si>
    <t xml:space="preserve">Historical_Drivers!E14</t>
  </si>
  <si>
    <t xml:space="preserve">PL-0060</t>
  </si>
  <si>
    <t xml:space="preserve">Historical_Drivers!F14</t>
  </si>
  <si>
    <t xml:space="preserve">PL-0061</t>
  </si>
  <si>
    <t xml:space="preserve">Historical_Drivers!G14</t>
  </si>
  <si>
    <t xml:space="preserve">PL-0062</t>
  </si>
  <si>
    <t xml:space="preserve">Historical_Drivers!H14</t>
  </si>
  <si>
    <t xml:space="preserve">PL-0063</t>
  </si>
  <si>
    <t xml:space="preserve">Historical_Drivers!I14</t>
  </si>
  <si>
    <t xml:space="preserve">PL-0064</t>
  </si>
  <si>
    <t xml:space="preserve">Historical_Drivers!J14</t>
  </si>
  <si>
    <t xml:space="preserve">PL-0065</t>
  </si>
  <si>
    <t xml:space="preserve">Historical_Drivers!K14</t>
  </si>
  <si>
    <t xml:space="preserve">PL-0066</t>
  </si>
  <si>
    <t xml:space="preserve">Historical_Drivers!L14</t>
  </si>
  <si>
    <t xml:space="preserve">PL-0067</t>
  </si>
  <si>
    <t xml:space="preserve">Historical_Drivers!M14</t>
  </si>
  <si>
    <t xml:space="preserve">PL-0068</t>
  </si>
  <si>
    <t xml:space="preserve">Historical_Drivers!N14</t>
  </si>
  <si>
    <t xml:space="preserve">PL-0069</t>
  </si>
  <si>
    <t xml:space="preserve">Historical_Drivers!O14</t>
  </si>
  <si>
    <t xml:space="preserve">PL-0070</t>
  </si>
  <si>
    <t xml:space="preserve">Historical_Drivers!P14</t>
  </si>
  <si>
    <t xml:space="preserve">PL-0071</t>
  </si>
  <si>
    <t xml:space="preserve">Historical_Drivers!C16</t>
  </si>
  <si>
    <t xml:space="preserve">PL-0072</t>
  </si>
  <si>
    <t xml:space="preserve">Historical_Drivers!D16</t>
  </si>
  <si>
    <t xml:space="preserve">PL-0073</t>
  </si>
  <si>
    <t xml:space="preserve">Historical_Drivers!E16</t>
  </si>
  <si>
    <t xml:space="preserve">PL-0074</t>
  </si>
  <si>
    <t xml:space="preserve">Historical_Drivers!F16</t>
  </si>
  <si>
    <t xml:space="preserve">PL-0075</t>
  </si>
  <si>
    <t xml:space="preserve">Historical_Drivers!G16</t>
  </si>
  <si>
    <t xml:space="preserve">PL-0076</t>
  </si>
  <si>
    <t xml:space="preserve">Historical_Drivers!H16</t>
  </si>
  <si>
    <t xml:space="preserve">PL-0077</t>
  </si>
  <si>
    <t xml:space="preserve">Historical_Drivers!I16</t>
  </si>
  <si>
    <t xml:space="preserve">PL-0078</t>
  </si>
  <si>
    <t xml:space="preserve">Historical_Drivers!J16</t>
  </si>
  <si>
    <t xml:space="preserve">PL-0079</t>
  </si>
  <si>
    <t xml:space="preserve">Historical_Drivers!K16</t>
  </si>
  <si>
    <t xml:space="preserve">PL-0080</t>
  </si>
  <si>
    <t xml:space="preserve">Historical_Drivers!L16</t>
  </si>
  <si>
    <t xml:space="preserve">PL-0081</t>
  </si>
  <si>
    <t xml:space="preserve">Historical_Drivers!M16</t>
  </si>
  <si>
    <t xml:space="preserve">PL-0082</t>
  </si>
  <si>
    <t xml:space="preserve">Historical_Drivers!N16</t>
  </si>
  <si>
    <t xml:space="preserve">PL-0083</t>
  </si>
  <si>
    <t xml:space="preserve">Historical_Drivers!O16</t>
  </si>
  <si>
    <t xml:space="preserve">PL-0084</t>
  </si>
  <si>
    <t xml:space="preserve">Historical_Drivers!P16</t>
  </si>
  <si>
    <t xml:space="preserve">PL-0085</t>
  </si>
  <si>
    <t xml:space="preserve">Historical_Drivers!C18</t>
  </si>
  <si>
    <t xml:space="preserve">PL-0086</t>
  </si>
  <si>
    <t xml:space="preserve">Historical_Drivers!D18</t>
  </si>
  <si>
    <t xml:space="preserve">PL-0087</t>
  </si>
  <si>
    <t xml:space="preserve">Historical_Drivers!E18</t>
  </si>
  <si>
    <t xml:space="preserve">PL-0088</t>
  </si>
  <si>
    <t xml:space="preserve">Historical_Drivers!F18</t>
  </si>
  <si>
    <t xml:space="preserve">PL-0089</t>
  </si>
  <si>
    <t xml:space="preserve">Historical_Drivers!G18</t>
  </si>
  <si>
    <t xml:space="preserve">PL-0090</t>
  </si>
  <si>
    <t xml:space="preserve">Historical_Drivers!H18</t>
  </si>
  <si>
    <t xml:space="preserve">PL-0091</t>
  </si>
  <si>
    <t xml:space="preserve">Historical_Drivers!I18</t>
  </si>
  <si>
    <t xml:space="preserve">PL-0092</t>
  </si>
  <si>
    <t xml:space="preserve">Historical_Drivers!J18</t>
  </si>
  <si>
    <t xml:space="preserve">PL-0093</t>
  </si>
  <si>
    <t xml:space="preserve">Historical_Drivers!K18</t>
  </si>
  <si>
    <t xml:space="preserve">PL-0094</t>
  </si>
  <si>
    <t xml:space="preserve">Historical_Drivers!L18</t>
  </si>
  <si>
    <t xml:space="preserve">PL-0095</t>
  </si>
  <si>
    <t xml:space="preserve">Historical_Drivers!M18</t>
  </si>
  <si>
    <t xml:space="preserve">PL-0096</t>
  </si>
  <si>
    <t xml:space="preserve">Historical_Drivers!N18</t>
  </si>
  <si>
    <t xml:space="preserve">PL-0097</t>
  </si>
  <si>
    <t xml:space="preserve">Historical_Drivers!O18</t>
  </si>
  <si>
    <t xml:space="preserve">PL-0098</t>
  </si>
  <si>
    <t xml:space="preserve">Historical_Drivers!P18</t>
  </si>
  <si>
    <t xml:space="preserve">PL-0099</t>
  </si>
  <si>
    <t xml:space="preserve">Historical_Drivers!C20</t>
  </si>
  <si>
    <t xml:space="preserve">PL-0100</t>
  </si>
  <si>
    <t xml:space="preserve">Historical_Drivers!D20</t>
  </si>
  <si>
    <t xml:space="preserve">PL-0101</t>
  </si>
  <si>
    <t xml:space="preserve">Historical_Drivers!E20</t>
  </si>
  <si>
    <t xml:space="preserve">PL-0102</t>
  </si>
  <si>
    <t xml:space="preserve">Historical_Drivers!F20</t>
  </si>
  <si>
    <t xml:space="preserve">PL-0103</t>
  </si>
  <si>
    <t xml:space="preserve">Historical_Drivers!G20</t>
  </si>
  <si>
    <t xml:space="preserve">PL-0104</t>
  </si>
  <si>
    <t xml:space="preserve">Historical_Drivers!H20</t>
  </si>
  <si>
    <t xml:space="preserve">PL-0105</t>
  </si>
  <si>
    <t xml:space="preserve">Historical_Drivers!I20</t>
  </si>
  <si>
    <t xml:space="preserve">PL-0106</t>
  </si>
  <si>
    <t xml:space="preserve">Historical_Drivers!J20</t>
  </si>
  <si>
    <t xml:space="preserve">PL-0107</t>
  </si>
  <si>
    <t xml:space="preserve">Historical_Drivers!K20</t>
  </si>
  <si>
    <t xml:space="preserve">PL-0108</t>
  </si>
  <si>
    <t xml:space="preserve">Historical_Drivers!L20</t>
  </si>
  <si>
    <t xml:space="preserve">PL-0109</t>
  </si>
  <si>
    <t xml:space="preserve">Historical_Drivers!M20</t>
  </si>
  <si>
    <t xml:space="preserve">PL-0110</t>
  </si>
  <si>
    <t xml:space="preserve">Historical_Drivers!N20</t>
  </si>
  <si>
    <t xml:space="preserve">PL-0111</t>
  </si>
  <si>
    <t xml:space="preserve">Historical_Drivers!O20</t>
  </si>
  <si>
    <t xml:space="preserve">PL-0112</t>
  </si>
  <si>
    <t xml:space="preserve">Historical_Drivers!P20</t>
  </si>
  <si>
    <t xml:space="preserve">PL-0113</t>
  </si>
  <si>
    <t xml:space="preserve">Historical_Drivers!P22</t>
  </si>
  <si>
    <t xml:space="preserve">PL-0114</t>
  </si>
  <si>
    <t xml:space="preserve">Historical_Drivers!C24</t>
  </si>
  <si>
    <t xml:space="preserve">PL-0115</t>
  </si>
  <si>
    <t xml:space="preserve">Historical_Drivers!D24</t>
  </si>
  <si>
    <t xml:space="preserve">PL-0116</t>
  </si>
  <si>
    <t xml:space="preserve">Historical_Drivers!E24</t>
  </si>
  <si>
    <t xml:space="preserve">PL-0117</t>
  </si>
  <si>
    <t xml:space="preserve">Historical_Drivers!F24</t>
  </si>
  <si>
    <t xml:space="preserve">PL-0118</t>
  </si>
  <si>
    <t xml:space="preserve">Historical_Drivers!G24</t>
  </si>
  <si>
    <t xml:space="preserve">PL-0119</t>
  </si>
  <si>
    <t xml:space="preserve">Historical_Drivers!H24</t>
  </si>
  <si>
    <t xml:space="preserve">PL-0120</t>
  </si>
  <si>
    <t xml:space="preserve">Historical_Drivers!I24</t>
  </si>
  <si>
    <t xml:space="preserve">PL-0121</t>
  </si>
  <si>
    <t xml:space="preserve">Historical_Drivers!J24</t>
  </si>
  <si>
    <t xml:space="preserve">PL-0122</t>
  </si>
  <si>
    <t xml:space="preserve">Historical_Drivers!K24</t>
  </si>
  <si>
    <t xml:space="preserve">PL-0123</t>
  </si>
  <si>
    <t xml:space="preserve">Historical_Drivers!L24</t>
  </si>
  <si>
    <t xml:space="preserve">PL-0124</t>
  </si>
  <si>
    <t xml:space="preserve">Historical_Drivers!M24</t>
  </si>
  <si>
    <t xml:space="preserve">PL-0125</t>
  </si>
  <si>
    <t xml:space="preserve">Historical_Drivers!N24</t>
  </si>
  <si>
    <t xml:space="preserve">PL-0126</t>
  </si>
  <si>
    <t xml:space="preserve">Historical_Drivers!O24</t>
  </si>
  <si>
    <t xml:space="preserve">PL-0127</t>
  </si>
  <si>
    <t xml:space="preserve">Historical_Drivers!P24</t>
  </si>
  <si>
    <t xml:space="preserve">PL-0128</t>
  </si>
  <si>
    <t xml:space="preserve">Historical_Drivers!C26</t>
  </si>
  <si>
    <t xml:space="preserve">PL-0129</t>
  </si>
  <si>
    <t xml:space="preserve">Historical_Drivers!D26</t>
  </si>
  <si>
    <t xml:space="preserve">PL-0130</t>
  </si>
  <si>
    <t xml:space="preserve">Historical_Drivers!E26</t>
  </si>
  <si>
    <t xml:space="preserve">PL-0131</t>
  </si>
  <si>
    <t xml:space="preserve">Historical_Drivers!F26</t>
  </si>
  <si>
    <t xml:space="preserve">PL-0132</t>
  </si>
  <si>
    <t xml:space="preserve">Historical_Drivers!G26</t>
  </si>
  <si>
    <t xml:space="preserve">PL-0133</t>
  </si>
  <si>
    <t xml:space="preserve">Historical_Drivers!H26</t>
  </si>
  <si>
    <t xml:space="preserve">PL-0134</t>
  </si>
  <si>
    <t xml:space="preserve">Historical_Drivers!I26</t>
  </si>
  <si>
    <t xml:space="preserve">PL-0135</t>
  </si>
  <si>
    <t xml:space="preserve">Historical_Drivers!J26</t>
  </si>
  <si>
    <t xml:space="preserve">PL-0136</t>
  </si>
  <si>
    <t xml:space="preserve">Historical_Drivers!K26</t>
  </si>
  <si>
    <t xml:space="preserve">PL-0137</t>
  </si>
  <si>
    <t xml:space="preserve">Historical_Drivers!L26</t>
  </si>
  <si>
    <t xml:space="preserve">PL-0138</t>
  </si>
  <si>
    <t xml:space="preserve">Historical_Drivers!M26</t>
  </si>
  <si>
    <t xml:space="preserve">PL-0139</t>
  </si>
  <si>
    <t xml:space="preserve">Historical_Drivers!N26</t>
  </si>
  <si>
    <t xml:space="preserve">PL-0140</t>
  </si>
  <si>
    <t xml:space="preserve">Historical_Drivers!O26</t>
  </si>
  <si>
    <t xml:space="preserve">PL-0141</t>
  </si>
  <si>
    <t xml:space="preserve">Historical_Drivers!P26</t>
  </si>
  <si>
    <t xml:space="preserve">PL-0142</t>
  </si>
  <si>
    <t xml:space="preserve">Historical_Drivers!I28</t>
  </si>
  <si>
    <t xml:space="preserve">PL-0143</t>
  </si>
  <si>
    <t xml:space="preserve">Historical_Drivers!J28</t>
  </si>
  <si>
    <t xml:space="preserve">PL-0144</t>
  </si>
  <si>
    <t xml:space="preserve">Historical_Drivers!K28</t>
  </si>
  <si>
    <t xml:space="preserve">PL-0145</t>
  </si>
  <si>
    <t xml:space="preserve">Historical_Drivers!L28</t>
  </si>
  <si>
    <t xml:space="preserve">PL-0146</t>
  </si>
  <si>
    <t xml:space="preserve">Historical_Drivers!M28</t>
  </si>
  <si>
    <t xml:space="preserve">PL-0147</t>
  </si>
  <si>
    <t xml:space="preserve">Historical_Drivers!N28</t>
  </si>
  <si>
    <t xml:space="preserve">PL-0148</t>
  </si>
  <si>
    <t xml:space="preserve">Historical_Drivers!O28</t>
  </si>
  <si>
    <t xml:space="preserve">PL-0149</t>
  </si>
  <si>
    <t xml:space="preserve">Historical_Drivers!P28</t>
  </si>
  <si>
    <t xml:space="preserve">PL-0150</t>
  </si>
  <si>
    <t xml:space="preserve">Historical_Drivers!F30</t>
  </si>
  <si>
    <t xml:space="preserve">PL-0151</t>
  </si>
  <si>
    <t xml:space="preserve">Historical_Drivers!G30</t>
  </si>
  <si>
    <t xml:space="preserve">PL-0152</t>
  </si>
  <si>
    <t xml:space="preserve">Historical_Drivers!H30</t>
  </si>
  <si>
    <t xml:space="preserve">PL-0153</t>
  </si>
  <si>
    <t xml:space="preserve">Historical_Drivers!I30</t>
  </si>
  <si>
    <t xml:space="preserve">PL-0154</t>
  </si>
  <si>
    <t xml:space="preserve">Historical_Drivers!J30</t>
  </si>
  <si>
    <t xml:space="preserve">PL-0155</t>
  </si>
  <si>
    <t xml:space="preserve">Historical_Drivers!K30</t>
  </si>
  <si>
    <t xml:space="preserve">PL-0156</t>
  </si>
  <si>
    <t xml:space="preserve">Historical_Drivers!L30</t>
  </si>
  <si>
    <t xml:space="preserve">PL-0157</t>
  </si>
  <si>
    <t xml:space="preserve">Historical_Drivers!M30</t>
  </si>
  <si>
    <t xml:space="preserve">PL-0158</t>
  </si>
  <si>
    <t xml:space="preserve">Historical_Drivers!N30</t>
  </si>
  <si>
    <t xml:space="preserve">PL-0159</t>
  </si>
  <si>
    <t xml:space="preserve">Historical_Drivers!O30</t>
  </si>
  <si>
    <t xml:space="preserve">PL-0160</t>
  </si>
  <si>
    <t xml:space="preserve">Historical_Drivers!P30</t>
  </si>
  <si>
    <t xml:space="preserve">PL-0161</t>
  </si>
  <si>
    <t xml:space="preserve">Historical_Drivers!C32</t>
  </si>
  <si>
    <t xml:space="preserve">PL-0162</t>
  </si>
  <si>
    <t xml:space="preserve">Historical_Drivers!D32</t>
  </si>
  <si>
    <t xml:space="preserve">PL-0163</t>
  </si>
  <si>
    <t xml:space="preserve">Historical_Drivers!E32</t>
  </si>
  <si>
    <t xml:space="preserve">PL-0164</t>
  </si>
  <si>
    <t xml:space="preserve">Historical_Drivers!F32</t>
  </si>
  <si>
    <t xml:space="preserve">PL-0165</t>
  </si>
  <si>
    <t xml:space="preserve">Historical_Drivers!G32</t>
  </si>
  <si>
    <t xml:space="preserve">PL-0166</t>
  </si>
  <si>
    <t xml:space="preserve">Historical_Drivers!H32</t>
  </si>
  <si>
    <t xml:space="preserve">PL-0167</t>
  </si>
  <si>
    <t xml:space="preserve">Historical_Drivers!I32</t>
  </si>
  <si>
    <t xml:space="preserve">PL-0168</t>
  </si>
  <si>
    <t xml:space="preserve">Historical_Drivers!J32</t>
  </si>
  <si>
    <t xml:space="preserve">PL-0169</t>
  </si>
  <si>
    <t xml:space="preserve">Historical_Drivers!K32</t>
  </si>
  <si>
    <t xml:space="preserve">PL-0170</t>
  </si>
  <si>
    <t xml:space="preserve">Historical_Drivers!L32</t>
  </si>
  <si>
    <t xml:space="preserve">PL-0171</t>
  </si>
  <si>
    <t xml:space="preserve">Historical_Drivers!M32</t>
  </si>
  <si>
    <t xml:space="preserve">PL-0172</t>
  </si>
  <si>
    <t xml:space="preserve">Historical_Drivers!N32</t>
  </si>
  <si>
    <t xml:space="preserve">PL-0173</t>
  </si>
  <si>
    <t xml:space="preserve">Historical_Drivers!O32</t>
  </si>
  <si>
    <t xml:space="preserve">PL-0174</t>
  </si>
  <si>
    <t xml:space="preserve">Historical_Drivers!P32</t>
  </si>
  <si>
    <t xml:space="preserve">PL-0175</t>
  </si>
  <si>
    <t xml:space="preserve">Source book GH</t>
  </si>
  <si>
    <t xml:space="preserve">Historical_Drivers!C42</t>
  </si>
  <si>
    <t xml:space="preserve">PL-0176</t>
  </si>
  <si>
    <t xml:space="preserve">Historical_Drivers!C43</t>
  </si>
  <si>
    <t xml:space="preserve">PL-0177</t>
  </si>
  <si>
    <t xml:space="preserve">Historical_Drivers!C44</t>
  </si>
  <si>
    <t xml:space="preserve">PL-0178</t>
  </si>
  <si>
    <t xml:space="preserve">Historical_Drivers!C45</t>
  </si>
  <si>
    <t xml:space="preserve">PL-0179</t>
  </si>
  <si>
    <t xml:space="preserve">Historical_Drivers!C46</t>
  </si>
  <si>
    <t xml:space="preserve">PL-0180</t>
  </si>
  <si>
    <t xml:space="preserve">Historical_Drivers!C47</t>
  </si>
  <si>
    <t xml:space="preserve">PL-0181</t>
  </si>
  <si>
    <t xml:space="preserve">Historical_Drivers!C48</t>
  </si>
  <si>
    <t xml:space="preserve">PL-0182</t>
  </si>
  <si>
    <t xml:space="preserve">Historical_Drivers!C49</t>
  </si>
  <si>
    <t xml:space="preserve">PL-0183</t>
  </si>
  <si>
    <t xml:space="preserve">Historical_Drivers!C50</t>
  </si>
  <si>
    <t xml:space="preserve">PL-0184</t>
  </si>
  <si>
    <t xml:space="preserve">Historical_Drivers!C51</t>
  </si>
  <si>
    <t xml:space="preserve">PL-0185</t>
  </si>
  <si>
    <t xml:space="preserve">Locked Q3 call</t>
  </si>
  <si>
    <t xml:space="preserve">Historical_Drivers!C52</t>
  </si>
  <si>
    <t xml:space="preserve">PL-0186</t>
  </si>
  <si>
    <t xml:space="preserve">Historical_Drivers!C53</t>
  </si>
  <si>
    <t xml:space="preserve">PL-0187</t>
  </si>
  <si>
    <t xml:space="preserve">Historical_Drivers!C54</t>
  </si>
  <si>
    <t xml:space="preserve">PL-0188</t>
  </si>
  <si>
    <t xml:space="preserve">Historical_Drivers!C55</t>
  </si>
  <si>
    <t xml:space="preserve">PL-0189</t>
  </si>
  <si>
    <t xml:space="preserve">Historical_Drivers!C56</t>
  </si>
  <si>
    <t xml:space="preserve">PL-0190</t>
  </si>
  <si>
    <t xml:space="preserve">Historical_Drivers!C57</t>
  </si>
  <si>
    <t xml:space="preserve">PL-0191</t>
  </si>
  <si>
    <t xml:space="preserve">Historical_Drivers!C58</t>
  </si>
  <si>
    <t xml:space="preserve">PL-0192</t>
  </si>
  <si>
    <t xml:space="preserve">Historical_Drivers!C59</t>
  </si>
  <si>
    <t xml:space="preserve">PL-0193</t>
  </si>
  <si>
    <t xml:space="preserve">Historical_Drivers!C60</t>
  </si>
  <si>
    <t xml:space="preserve">PL-0194</t>
  </si>
  <si>
    <t xml:space="preserve">Analysis workbook</t>
  </si>
  <si>
    <t xml:space="preserve">Historical_Drivers!C61</t>
  </si>
  <si>
    <t xml:space="preserve">PL-0195</t>
  </si>
  <si>
    <t xml:space="preserve">Historical_Drivers!C62</t>
  </si>
  <si>
    <t xml:space="preserve">PL-0196</t>
  </si>
  <si>
    <t xml:space="preserve">Historical_Drivers!C63</t>
  </si>
  <si>
    <t xml:space="preserve">PL-0197</t>
  </si>
  <si>
    <t xml:space="preserve">Historical_Drivers!C64</t>
  </si>
  <si>
    <t xml:space="preserve">PL-0198</t>
  </si>
  <si>
    <t xml:space="preserve">Historical_Drivers!C65</t>
  </si>
  <si>
    <t xml:space="preserve">PL-0199</t>
  </si>
  <si>
    <t xml:space="preserve">Historical_Drivers!C66</t>
  </si>
  <si>
    <t xml:space="preserve">PL-0200</t>
  </si>
  <si>
    <t xml:space="preserve">Source book Annual</t>
  </si>
  <si>
    <t xml:space="preserve">Historical_Drivers!C67</t>
  </si>
  <si>
    <t xml:space="preserve">PL-0201</t>
  </si>
  <si>
    <t xml:space="preserve">Cash_Bridge!B13</t>
  </si>
  <si>
    <t xml:space="preserve">PL-0202</t>
  </si>
  <si>
    <t xml:space="preserve">Cash_Bridge!D13</t>
  </si>
  <si>
    <t xml:space="preserve">PL-0203</t>
  </si>
  <si>
    <t xml:space="preserve">Cash_Bridge!B14</t>
  </si>
  <si>
    <t xml:space="preserve">PL-0204</t>
  </si>
  <si>
    <t xml:space="preserve">Cash_Bridge!D14</t>
  </si>
  <si>
    <t xml:space="preserve">PL-0205</t>
  </si>
  <si>
    <t xml:space="preserve">Cash_Bridge!B15</t>
  </si>
  <si>
    <t xml:space="preserve">PL-0206</t>
  </si>
  <si>
    <t xml:space="preserve">Cash_Bridge!D15</t>
  </si>
  <si>
    <t xml:space="preserve">PL-0207</t>
  </si>
  <si>
    <t xml:space="preserve">Cash_Bridge!B16</t>
  </si>
  <si>
    <t xml:space="preserve">PL-0208</t>
  </si>
  <si>
    <t xml:space="preserve">Cash_Bridge!D16</t>
  </si>
  <si>
    <t xml:space="preserve">PL-0209</t>
  </si>
  <si>
    <t xml:space="preserve">Cash_Bridge!B19</t>
  </si>
  <si>
    <t xml:space="preserve">PL-0210</t>
  </si>
  <si>
    <t xml:space="preserve">Cash_Bridge!D19</t>
  </si>
  <si>
    <t xml:space="preserve">PL-0211</t>
  </si>
  <si>
    <t xml:space="preserve">Cash_Bridge!B31</t>
  </si>
  <si>
    <t xml:space="preserve">PL-0212</t>
  </si>
  <si>
    <t xml:space="preserve">Cash_Bridge!B50</t>
  </si>
  <si>
    <t xml:space="preserve">PL-0213</t>
  </si>
  <si>
    <t xml:space="preserve">Source book QA (/1000)</t>
  </si>
  <si>
    <t xml:space="preserve">Backtest!B5</t>
  </si>
  <si>
    <t xml:space="preserve">PL-0214</t>
  </si>
  <si>
    <t xml:space="preserve">Backtest!B6</t>
  </si>
  <si>
    <t xml:space="preserve">PL-0215</t>
  </si>
  <si>
    <t xml:space="preserve">Backtest!B7</t>
  </si>
  <si>
    <t xml:space="preserve">PL-0216</t>
  </si>
  <si>
    <t xml:space="preserve">Backtest!D7</t>
  </si>
  <si>
    <t xml:space="preserve">GH-0004:low</t>
  </si>
  <si>
    <t xml:space="preserve">PL-0217</t>
  </si>
  <si>
    <t xml:space="preserve">Backtest!E7</t>
  </si>
  <si>
    <t xml:space="preserve">GH-0004:high</t>
  </si>
  <si>
    <t xml:space="preserve">PL-0218</t>
  </si>
  <si>
    <t xml:space="preserve">Backtest!B8</t>
  </si>
  <si>
    <t xml:space="preserve">PL-0219</t>
  </si>
  <si>
    <t xml:space="preserve">Backtest!D8</t>
  </si>
  <si>
    <t xml:space="preserve">GH-0008:low</t>
  </si>
  <si>
    <t xml:space="preserve">PL-0220</t>
  </si>
  <si>
    <t xml:space="preserve">Backtest!E8</t>
  </si>
  <si>
    <t xml:space="preserve">GH-0008:high</t>
  </si>
  <si>
    <t xml:space="preserve">PL-0221</t>
  </si>
  <si>
    <t xml:space="preserve">Backtest!B9</t>
  </si>
  <si>
    <t xml:space="preserve">PL-0222</t>
  </si>
  <si>
    <t xml:space="preserve">Backtest!D9</t>
  </si>
  <si>
    <t xml:space="preserve">GH-0012:low</t>
  </si>
  <si>
    <t xml:space="preserve">PL-0223</t>
  </si>
  <si>
    <t xml:space="preserve">Backtest!E9</t>
  </si>
  <si>
    <t xml:space="preserve">GH-0012:high</t>
  </si>
  <si>
    <t xml:space="preserve">PL-0224</t>
  </si>
  <si>
    <t xml:space="preserve">Backtest!B10</t>
  </si>
  <si>
    <t xml:space="preserve">PL-0225</t>
  </si>
  <si>
    <t xml:space="preserve">Backtest!D10</t>
  </si>
  <si>
    <t xml:space="preserve">GH-0016:low</t>
  </si>
  <si>
    <t xml:space="preserve">PL-0226</t>
  </si>
  <si>
    <t xml:space="preserve">Backtest!E10</t>
  </si>
  <si>
    <t xml:space="preserve">GH-0016:high</t>
  </si>
  <si>
    <t xml:space="preserve">PL-0227</t>
  </si>
  <si>
    <t xml:space="preserve">Backtest!B11</t>
  </si>
  <si>
    <t xml:space="preserve">PL-0228</t>
  </si>
  <si>
    <t xml:space="preserve">Backtest!D11</t>
  </si>
  <si>
    <t xml:space="preserve">GH-0020:low</t>
  </si>
  <si>
    <t xml:space="preserve">PL-0229</t>
  </si>
  <si>
    <t xml:space="preserve">Backtest!E11</t>
  </si>
  <si>
    <t xml:space="preserve">GH-0020:high</t>
  </si>
  <si>
    <t xml:space="preserve">PL-0230</t>
  </si>
  <si>
    <t xml:space="preserve">Backtest!B12</t>
  </si>
  <si>
    <t xml:space="preserve">PL-0231</t>
  </si>
  <si>
    <t xml:space="preserve">Backtest!D12</t>
  </si>
  <si>
    <t xml:space="preserve">GH-0024:low</t>
  </si>
  <si>
    <t xml:space="preserve">PL-0232</t>
  </si>
  <si>
    <t xml:space="preserve">Backtest!E12</t>
  </si>
  <si>
    <t xml:space="preserve">GH-0024:high</t>
  </si>
  <si>
    <t xml:space="preserve">PL-0233</t>
  </si>
  <si>
    <t xml:space="preserve">Backtest!B13</t>
  </si>
  <si>
    <t xml:space="preserve">PL-0234</t>
  </si>
  <si>
    <t xml:space="preserve">Backtest!D13</t>
  </si>
  <si>
    <t xml:space="preserve">GH-0028:low</t>
  </si>
  <si>
    <t xml:space="preserve">PL-0235</t>
  </si>
  <si>
    <t xml:space="preserve">Backtest!E13</t>
  </si>
  <si>
    <t xml:space="preserve">GH-0028:high</t>
  </si>
  <si>
    <t xml:space="preserve">PL-0236</t>
  </si>
  <si>
    <t xml:space="preserve">Backtest!B14</t>
  </si>
  <si>
    <t xml:space="preserve">PL-0237</t>
  </si>
  <si>
    <t xml:space="preserve">Backtest!D14</t>
  </si>
  <si>
    <t xml:space="preserve">GH-0032:low</t>
  </si>
  <si>
    <t xml:space="preserve">PL-0238</t>
  </si>
  <si>
    <t xml:space="preserve">Backtest!E14</t>
  </si>
  <si>
    <t xml:space="preserve">GH-0032:high</t>
  </si>
  <si>
    <t xml:space="preserve">PL-0239</t>
  </si>
  <si>
    <t xml:space="preserve">Backtest!B15</t>
  </si>
  <si>
    <t xml:space="preserve">PL-0240</t>
  </si>
  <si>
    <t xml:space="preserve">Backtest!D15</t>
  </si>
  <si>
    <t xml:space="preserve">GH-0036:low</t>
  </si>
  <si>
    <t xml:space="preserve">PL-0241</t>
  </si>
  <si>
    <t xml:space="preserve">Backtest!E15</t>
  </si>
  <si>
    <t xml:space="preserve">GH-0036:high</t>
  </si>
  <si>
    <t xml:space="preserve">PL-0242</t>
  </si>
  <si>
    <t xml:space="preserve">Backtest!B16</t>
  </si>
  <si>
    <t xml:space="preserve">PL-0243</t>
  </si>
  <si>
    <t xml:space="preserve">Backtest!D16</t>
  </si>
  <si>
    <t xml:space="preserve">GH-0040:low</t>
  </si>
  <si>
    <t xml:space="preserve">PL-0244</t>
  </si>
  <si>
    <t xml:space="preserve">Backtest!E16</t>
  </si>
  <si>
    <t xml:space="preserve">GH-0040:high</t>
  </si>
  <si>
    <t xml:space="preserve">PL-0245</t>
  </si>
  <si>
    <t xml:space="preserve">Backtest!B17</t>
  </si>
  <si>
    <t xml:space="preserve">PL-0246</t>
  </si>
  <si>
    <t xml:space="preserve">Backtest!D17</t>
  </si>
  <si>
    <t xml:space="preserve">GH-0046:low</t>
  </si>
  <si>
    <t xml:space="preserve">PL-0247</t>
  </si>
  <si>
    <t xml:space="preserve">Backtest!E17</t>
  </si>
  <si>
    <t xml:space="preserve">GH-0046:high</t>
  </si>
  <si>
    <t xml:space="preserve">PL-0248</t>
  </si>
  <si>
    <t xml:space="preserve">Backtest!B18</t>
  </si>
  <si>
    <t xml:space="preserve">PL-0249</t>
  </si>
  <si>
    <t xml:space="preserve">Backtest!D18</t>
  </si>
  <si>
    <t xml:space="preserve">GH-0052:low</t>
  </si>
  <si>
    <t xml:space="preserve">PL-0250</t>
  </si>
  <si>
    <t xml:space="preserve">Backtest!E18</t>
  </si>
  <si>
    <t xml:space="preserve">GH-0052:high</t>
  </si>
  <si>
    <t xml:space="preserve">PL-0251</t>
  </si>
  <si>
    <t xml:space="preserve">Backtest!B19</t>
  </si>
  <si>
    <t xml:space="preserve">PL-0252</t>
  </si>
  <si>
    <t xml:space="preserve">Backtest!D19</t>
  </si>
  <si>
    <t xml:space="preserve">GH-0058:low</t>
  </si>
  <si>
    <t xml:space="preserve">PL-0253</t>
  </si>
  <si>
    <t xml:space="preserve">Backtest!E19</t>
  </si>
  <si>
    <t xml:space="preserve">GH-0058:high</t>
  </si>
  <si>
    <t xml:space="preserve">PL-0254</t>
  </si>
  <si>
    <t xml:space="preserve">Backtest!B20</t>
  </si>
  <si>
    <t xml:space="preserve">PL-0255</t>
  </si>
  <si>
    <t xml:space="preserve">Backtest!D20</t>
  </si>
  <si>
    <t xml:space="preserve">GH-0064:low</t>
  </si>
  <si>
    <t xml:space="preserve">PL-0256</t>
  </si>
  <si>
    <t xml:space="preserve">Backtest!E20</t>
  </si>
  <si>
    <t xml:space="preserve">GH-0064:high</t>
  </si>
  <si>
    <t xml:space="preserve">PL-0257</t>
  </si>
  <si>
    <t xml:space="preserve">Backtest!B21</t>
  </si>
  <si>
    <t xml:space="preserve">PL-0258</t>
  </si>
  <si>
    <t xml:space="preserve">Backtest!D21</t>
  </si>
  <si>
    <t xml:space="preserve">GH-0069:low</t>
  </si>
  <si>
    <t xml:space="preserve">PL-0259</t>
  </si>
  <si>
    <t xml:space="preserve">Backtest!E21</t>
  </si>
  <si>
    <t xml:space="preserve">GH-0069:high</t>
  </si>
  <si>
    <t xml:space="preserve">PL-0260</t>
  </si>
  <si>
    <t xml:space="preserve">Backtest!B22</t>
  </si>
  <si>
    <t xml:space="preserve">PL-0261</t>
  </si>
  <si>
    <t xml:space="preserve">Backtest!D22</t>
  </si>
  <si>
    <t xml:space="preserve">GH-0074:low</t>
  </si>
  <si>
    <t xml:space="preserve">PL-0262</t>
  </si>
  <si>
    <t xml:space="preserve">Backtest!E22</t>
  </si>
  <si>
    <t xml:space="preserve">GH-0074:high</t>
  </si>
  <si>
    <t xml:space="preserve">PL-0263</t>
  </si>
  <si>
    <t xml:space="preserve">Backtest!B23</t>
  </si>
  <si>
    <t xml:space="preserve">PL-0264</t>
  </si>
  <si>
    <t xml:space="preserve">Backtest!D23</t>
  </si>
  <si>
    <t xml:space="preserve">GH-0079:low</t>
  </si>
  <si>
    <t xml:space="preserve">PL-0265</t>
  </si>
  <si>
    <t xml:space="preserve">Backtest!E23</t>
  </si>
  <si>
    <t xml:space="preserve">GH-0079:high</t>
  </si>
  <si>
    <t xml:space="preserve">PL-0266</t>
  </si>
  <si>
    <t xml:space="preserve">Backtest!B24</t>
  </si>
  <si>
    <t xml:space="preserve">PL-0267</t>
  </si>
  <si>
    <t xml:space="preserve">Backtest!D24</t>
  </si>
  <si>
    <t xml:space="preserve">GH-0084:low</t>
  </si>
  <si>
    <t xml:space="preserve">PL-0268</t>
  </si>
  <si>
    <t xml:space="preserve">Backtest!E24</t>
  </si>
  <si>
    <t xml:space="preserve">GH-0084:high</t>
  </si>
  <si>
    <t xml:space="preserve">PL-0269</t>
  </si>
  <si>
    <t xml:space="preserve">Backtest!B25</t>
  </si>
  <si>
    <t xml:space="preserve">PL-0270</t>
  </si>
  <si>
    <t xml:space="preserve">Backtest!D25</t>
  </si>
  <si>
    <t xml:space="preserve">GH-0089:low</t>
  </si>
  <si>
    <t xml:space="preserve">PL-0271</t>
  </si>
  <si>
    <t xml:space="preserve">Backtest!E25</t>
  </si>
  <si>
    <t xml:space="preserve">GH-0089:high</t>
  </si>
  <si>
    <t xml:space="preserve">PL-0272</t>
  </si>
  <si>
    <t xml:space="preserve">Backtest!B26</t>
  </si>
  <si>
    <t xml:space="preserve">PL-0273</t>
  </si>
  <si>
    <t xml:space="preserve">Backtest!D26</t>
  </si>
  <si>
    <t xml:space="preserve">GH-0094:low</t>
  </si>
  <si>
    <t xml:space="preserve">PL-0274</t>
  </si>
  <si>
    <t xml:space="preserve">Backtest!E26</t>
  </si>
  <si>
    <t xml:space="preserve">GH-0094:high</t>
  </si>
  <si>
    <t xml:space="preserve">PL-0275</t>
  </si>
  <si>
    <t xml:space="preserve">Trigger_History!F6</t>
  </si>
  <si>
    <t xml:space="preserve">PL-0276</t>
  </si>
  <si>
    <t xml:space="preserve">Trigger_History!F7</t>
  </si>
  <si>
    <t xml:space="preserve">PL-0277</t>
  </si>
  <si>
    <t xml:space="preserve">Trigger_History!F8</t>
  </si>
  <si>
    <t xml:space="preserve">PL-0278</t>
  </si>
  <si>
    <t xml:space="preserve">Trigger_History!F9</t>
  </si>
  <si>
    <t xml:space="preserve">PL-0279</t>
  </si>
  <si>
    <t xml:space="preserve">Trigger_History!F10</t>
  </si>
  <si>
    <t xml:space="preserve">PL-0280</t>
  </si>
  <si>
    <t xml:space="preserve">Trigger_History!F11</t>
  </si>
  <si>
    <t xml:space="preserve">PL-0281</t>
  </si>
  <si>
    <t xml:space="preserve">Trigger_History!F12</t>
  </si>
  <si>
    <t xml:space="preserve">PL-0282</t>
  </si>
  <si>
    <t xml:space="preserve">Trigger_History!F13</t>
  </si>
  <si>
    <t xml:space="preserve">PL-0283</t>
  </si>
  <si>
    <t xml:space="preserve">Trigger_History!F14</t>
  </si>
  <si>
    <t xml:space="preserve">PL-0284</t>
  </si>
  <si>
    <t xml:space="preserve">Trigger_History!F15</t>
  </si>
  <si>
    <t xml:space="preserve">PL-0285</t>
  </si>
  <si>
    <t xml:space="preserve">Trigger_History!F16</t>
  </si>
  <si>
    <t xml:space="preserve">PL-0286</t>
  </si>
  <si>
    <t xml:space="preserve">Trigger_History!F17</t>
  </si>
  <si>
    <t xml:space="preserve">PL-0287</t>
  </si>
  <si>
    <t xml:space="preserve">Trigger_History!F18</t>
  </si>
  <si>
    <t xml:space="preserve">PL-0288</t>
  </si>
  <si>
    <t xml:space="preserve">Trigger_History!F19</t>
  </si>
  <si>
    <t xml:space="preserve">PL-0289</t>
  </si>
  <si>
    <t xml:space="preserve">Trigger_History!F20</t>
  </si>
  <si>
    <t xml:space="preserve">PL-0290</t>
  </si>
  <si>
    <t xml:space="preserve">Trigger_History!F21</t>
  </si>
  <si>
    <t xml:space="preserve">PL-0291</t>
  </si>
  <si>
    <t xml:space="preserve">Trigger_History!F22</t>
  </si>
  <si>
    <t xml:space="preserve">PL-0292</t>
  </si>
  <si>
    <t xml:space="preserve">Trigger_History!F23</t>
  </si>
  <si>
    <t xml:space="preserve">PL-0293</t>
  </si>
  <si>
    <t xml:space="preserve">Trigger_History!F24</t>
  </si>
  <si>
    <t xml:space="preserve">PL-0294</t>
  </si>
  <si>
    <t xml:space="preserve">Trigger_History!F25</t>
  </si>
  <si>
    <t xml:space="preserve">PL-0295</t>
  </si>
  <si>
    <t xml:space="preserve">Trigger_History!F26</t>
  </si>
  <si>
    <t xml:space="preserve">PL-0296</t>
  </si>
  <si>
    <t xml:space="preserve">Trigger_History!F27</t>
  </si>
  <si>
    <t xml:space="preserve">PL-0297</t>
  </si>
  <si>
    <t xml:space="preserve">Internal</t>
  </si>
  <si>
    <t xml:space="preserve">Base: FY2026 revenue = sum of quarters</t>
  </si>
  <si>
    <t xml:space="preserve">Revenue_Build!K7-SUM(Revenue_Build!C7:F7)</t>
  </si>
  <si>
    <t xml:space="preserve">PL-0298</t>
  </si>
  <si>
    <t xml:space="preserve">Base: FY2027 op. income = sum of quarters</t>
  </si>
  <si>
    <t xml:space="preserve">Opex!L16-SUM(Opex!G16:J16)</t>
  </si>
  <si>
    <t xml:space="preserve">PL-0299</t>
  </si>
  <si>
    <t xml:space="preserve">Base: Q1-Q2 2026 op. income = source book</t>
  </si>
  <si>
    <t xml:space="preserve">Opex!C16+Opex!D16-(Historical_Drivers!$O$16+Historical_Drivers!$P$16)/1000</t>
  </si>
  <si>
    <t xml:space="preserve">PL-0300</t>
  </si>
  <si>
    <t xml:space="preserve">Base: GAAP bridge Q1 2026 = reported GAAP op. income</t>
  </si>
  <si>
    <t xml:space="preserve">PnL!C17</t>
  </si>
  <si>
    <t xml:space="preserve">PL-0301</t>
  </si>
  <si>
    <t xml:space="preserve">Base: GAAP bridge Q2 2026 = reported GAAP op. income</t>
  </si>
  <si>
    <t xml:space="preserve">PnL!D17</t>
  </si>
  <si>
    <t xml:space="preserve">PL-0302</t>
  </si>
  <si>
    <t xml:space="preserve">Base: cash roll Q3 2026-Q4 2027</t>
  </si>
  <si>
    <t xml:space="preserve">Cash_FCF!J15-Cash_FCF!D15-SUM(Cash_FCF!E14:J14)</t>
  </si>
  <si>
    <t xml:space="preserve">PL-0303</t>
  </si>
  <si>
    <t xml:space="preserve">Downside: FY2026 revenue = sum of quarters</t>
  </si>
  <si>
    <t xml:space="preserve">Revenue_Build!K16-SUM(Revenue_Build!C16:F16)</t>
  </si>
  <si>
    <t xml:space="preserve">PL-0304</t>
  </si>
  <si>
    <t xml:space="preserve">Downside: FY2027 op. income = sum of quarters</t>
  </si>
  <si>
    <t xml:space="preserve">Opex!L31-SUM(Opex!G31:J31)</t>
  </si>
  <si>
    <t xml:space="preserve">PL-0305</t>
  </si>
  <si>
    <t xml:space="preserve">Downside: Q1-Q2 2026 op. income = source book</t>
  </si>
  <si>
    <t xml:space="preserve">Opex!C31+Opex!D31-(Historical_Drivers!$O$16+Historical_Drivers!$P$16)/1000</t>
  </si>
  <si>
    <t xml:space="preserve">PL-0306</t>
  </si>
  <si>
    <t xml:space="preserve">Downside: GAAP bridge Q1 2026 = reported GAAP op. income</t>
  </si>
  <si>
    <t xml:space="preserve">PnL!C32</t>
  </si>
  <si>
    <t xml:space="preserve">PL-0307</t>
  </si>
  <si>
    <t xml:space="preserve">Downside: GAAP bridge Q2 2026 = reported GAAP op. income</t>
  </si>
  <si>
    <t xml:space="preserve">PnL!D32</t>
  </si>
  <si>
    <t xml:space="preserve">PL-0308</t>
  </si>
  <si>
    <t xml:space="preserve">Downside: cash roll Q3 2026-Q4 2027</t>
  </si>
  <si>
    <t xml:space="preserve">Cash_FCF!J29-Cash_FCF!D29-SUM(Cash_FCF!E28:J28)</t>
  </si>
  <si>
    <t xml:space="preserve">PL-0309</t>
  </si>
  <si>
    <t xml:space="preserve">Q3LOW: FY2026 revenue = sum of quarters</t>
  </si>
  <si>
    <t xml:space="preserve">Revenue_Build!K25-SUM(Revenue_Build!C25:F25)</t>
  </si>
  <si>
    <t xml:space="preserve">PL-0310</t>
  </si>
  <si>
    <t xml:space="preserve">Q3LOW: FY2027 op. income = sum of quarters</t>
  </si>
  <si>
    <t xml:space="preserve">Opex!L46-SUM(Opex!G46:J46)</t>
  </si>
  <si>
    <t xml:space="preserve">PL-0311</t>
  </si>
  <si>
    <t xml:space="preserve">Q3LOW: Q1-Q2 2026 op. income = source book</t>
  </si>
  <si>
    <t xml:space="preserve">Opex!C46+Opex!D46-(Historical_Drivers!$O$16+Historical_Drivers!$P$16)/1000</t>
  </si>
  <si>
    <t xml:space="preserve">PL-0312</t>
  </si>
  <si>
    <t xml:space="preserve">Q3LOW: GAAP bridge Q1 2026 = reported GAAP op. income</t>
  </si>
  <si>
    <t xml:space="preserve">PnL!C47</t>
  </si>
  <si>
    <t xml:space="preserve">PL-0313</t>
  </si>
  <si>
    <t xml:space="preserve">Q3LOW: GAAP bridge Q2 2026 = reported GAAP op. income</t>
  </si>
  <si>
    <t xml:space="preserve">PnL!D47</t>
  </si>
  <si>
    <t xml:space="preserve">PL-0314</t>
  </si>
  <si>
    <t xml:space="preserve">Q3LOW: cash roll Q3 2026-Q4 2027</t>
  </si>
  <si>
    <t xml:space="preserve">Cash_FCF!J43-Cash_FCF!D43-SUM(Cash_FCF!E42:J42)</t>
  </si>
  <si>
    <t xml:space="preserve">PL-0315</t>
  </si>
  <si>
    <t xml:space="preserve">Base Q3 2026 revenue = locked call MID</t>
  </si>
  <si>
    <t xml:space="preserve">Revenue_Build!E7-Historical_Drivers!$C$52</t>
  </si>
  <si>
    <t xml:space="preserve">PL-0316</t>
  </si>
  <si>
    <t xml:space="preserve">Base Q3 2026 op. income = locked call MID</t>
  </si>
  <si>
    <t xml:space="preserve">Opex!E16-Historical_Drivers!$C$54</t>
  </si>
  <si>
    <t xml:space="preserve">PL-0317</t>
  </si>
  <si>
    <t xml:space="preserve">Downside Q3 2026 op. income = locked call MID</t>
  </si>
  <si>
    <t xml:space="preserve">Opex!E31-Historical_Drivers!$C$54</t>
  </si>
  <si>
    <t xml:space="preserve">PL-0318</t>
  </si>
  <si>
    <t xml:space="preserve">Q3-LOW Q3 2026 op. income = locked call LOW</t>
  </si>
  <si>
    <t xml:space="preserve">Opex!E46-Historical_Drivers!$C$55</t>
  </si>
  <si>
    <t xml:space="preserve">PL-0319</t>
  </si>
  <si>
    <t xml:space="preserve">Base FY2026 adj. FCF = FY guide midpoint (by construction)</t>
  </si>
  <si>
    <t xml:space="preserve">Cash_FCF!K16</t>
  </si>
  <si>
    <t xml:space="preserve">PL-0320</t>
  </si>
  <si>
    <t xml:space="preserve">Downside opex dollars = Base opex dollars (FY2027)</t>
  </si>
  <si>
    <t xml:space="preserve">Opex!L30-Opex!L15</t>
  </si>
  <si>
    <t xml:space="preserve">PL-0321</t>
  </si>
  <si>
    <t xml:space="preserve">Scenario OI bridge reconciles</t>
  </si>
  <si>
    <t xml:space="preserve">Scenarios!B21</t>
  </si>
  <si>
    <t xml:space="preserve">PL-0322</t>
  </si>
  <si>
    <t xml:space="preserve">Scenario FCF bridge reconciles</t>
  </si>
  <si>
    <t xml:space="preserve">Scenarios!B28</t>
  </si>
  <si>
    <t xml:space="preserve">PL-0323</t>
  </si>
  <si>
    <t xml:space="preserve">Low growth-cost case: no revenue foregone</t>
  </si>
  <si>
    <t xml:space="preserve">Management_Response!L31</t>
  </si>
  <si>
    <t xml:space="preserve">PL-0324</t>
  </si>
  <si>
    <t xml:space="preserve">Low case op. income gain = lever savings</t>
  </si>
  <si>
    <t xml:space="preserve">Management_Response!C62-Management_Response!L9-Management_Response!L10</t>
  </si>
  <si>
    <t xml:space="preserve">PL-0325</t>
  </si>
  <si>
    <t xml:space="preserve">Cash bridge: CCE roll Dec 2025 -&gt; Jun 2026 = OCF + investing + financing</t>
  </si>
  <si>
    <t xml:space="preserve">Historical_Drivers!$N$26+Cash_Bridge!B58+Cash_Bridge!B54+Cash_Bridge!B55-Historical_Drivers!$P$26</t>
  </si>
  <si>
    <t xml:space="preserve">PL-0326</t>
  </si>
  <si>
    <t xml:space="preserve">Cash bridge: investing items sum to the investing total</t>
  </si>
  <si>
    <t xml:space="preserve">Cash_Bridge!B56+Cash_Bridge!B57+Cash_Bridge!B32+Cash_Bridge!B33+Cash_Bridge!B34+Cash_Bridge!B47+Cash_Bridge!B48-Cash_Bridge!B54</t>
  </si>
  <si>
    <t xml:space="preserve">PL-0327</t>
  </si>
  <si>
    <t xml:space="preserve">Cash bridge: financing items sum to the financing total</t>
  </si>
  <si>
    <t xml:space="preserve">Cash_Bridge!B35+Cash_Bridge!B36+Cash_Bridge!B31-Cash_Bridge!B55</t>
  </si>
  <si>
    <t xml:space="preserve">PL-0328</t>
  </si>
  <si>
    <t xml:space="preserve">Cash bridge: reconciliation lines = reported adjusted FCF, Q2 2026</t>
  </si>
  <si>
    <t xml:space="preserve">Cash_Bridge!B18-Cash_Bridge!B19</t>
  </si>
  <si>
    <t xml:space="preserve">PL-0329</t>
  </si>
  <si>
    <t xml:space="preserve">Cash bridge: reconciliation lines = reported adjusted FCF, 6M 2026</t>
  </si>
  <si>
    <t xml:space="preserve">Cash_Bridge!D18-Cash_Bridge!D19</t>
  </si>
  <si>
    <t xml:space="preserve">PL-0330</t>
  </si>
  <si>
    <t xml:space="preserve">Cash bridge: itemized flows explain the analysis -$67M residual</t>
  </si>
  <si>
    <t xml:space="preserve">Cash_Bridge!B49-Cash_Bridge!B50</t>
  </si>
  <si>
    <t xml:space="preserve">PL-0331</t>
  </si>
  <si>
    <t xml:space="preserve">Cash bridge: unexplained fair-value/other residual below $5M</t>
  </si>
  <si>
    <t xml:space="preserve">IF(ABS(Cash_Bridge!B39)&lt;5000,0,Cash_Bridge!B39)</t>
  </si>
  <si>
    <t xml:space="preserve">PL-0332</t>
  </si>
  <si>
    <t xml:space="preserve">No undisclosed blank summed as zero (liquidity where securities not disclosed)</t>
  </si>
  <si>
    <t xml:space="preserve">SUMPRODUCT(ISNUMBER(Historical_Drivers!C38:P38)*NOT(ISNUMBER(Historical_Drivers!C28:P28)))</t>
  </si>
  <si>
    <t xml:space="preserve">PL-0333</t>
  </si>
  <si>
    <t xml:space="preserve">Base FY2026 reported-basis FCF = guide basis + severance</t>
  </si>
  <si>
    <t xml:space="preserve">Cash_FCF!K11-Cash_FCF!K7-Cash_FCF!K10</t>
  </si>
  <si>
    <t xml:space="preserve">PL-0334</t>
  </si>
  <si>
    <t xml:space="preserve">T2 threshold (Trigger_History MIN) = analysis last-8 minimum</t>
  </si>
  <si>
    <t xml:space="preserve">Trigger_History!$E$36-Historical_Drivers!$C$65</t>
  </si>
  <si>
    <t xml:space="preserve">PL-0335</t>
  </si>
  <si>
    <t xml:space="preserve">T3 threshold (Trigger_History MIN) = P14 Downside</t>
  </si>
  <si>
    <t xml:space="preserve">Trigger_History!H38-Assumptions!$D$19</t>
  </si>
  <si>
    <t xml:space="preserve">PL-0336</t>
  </si>
  <si>
    <t xml:space="preserve">Lever savings are zero before the start quarter</t>
  </si>
  <si>
    <t xml:space="preserve">SUMPRODUCT((Management_Response!G7:J7&lt;Management_Response!$C$4)*Management_Response!G11:J11)</t>
  </si>
  <si>
    <t xml:space="preserve">PL-0337</t>
  </si>
  <si>
    <t xml:space="preserve">Breakeven x gross margin = saving (both levers)</t>
  </si>
  <si>
    <t xml:space="preserve">Management_Response!E17*Management_Response!E16-Management_Response!E15</t>
  </si>
  <si>
    <t xml:space="preserve">PL-0338</t>
  </si>
  <si>
    <t xml:space="preserve">Q3-LOW split: level + rule = total (plan rule)</t>
  </si>
  <si>
    <t xml:space="preserve">Scenarios!B49+Scenarios!B50-Scenarios!B48</t>
  </si>
  <si>
    <t xml:space="preserve">PL-0339</t>
  </si>
  <si>
    <t xml:space="preserve">Smoothed variant: Q3 2026 equals plan Q3 2026</t>
  </si>
  <si>
    <t xml:space="preserve">Revenue_Build!E48-Revenue_Build!E7</t>
  </si>
  <si>
    <t xml:space="preserve">PL-0340</t>
  </si>
  <si>
    <t xml:space="preserve">Forecast band FY2027 brackets Base</t>
  </si>
  <si>
    <t xml:space="preserve">IF(AND(Revenue_Build!L38&lt;=Revenue_Build!L7,Revenue_Build!L7&lt;=Revenue_Build!L39),0,1)</t>
  </si>
  <si>
    <t xml:space="preserve">Summary</t>
  </si>
  <si>
    <t xml:space="preserve">Review gates (results written in pass 2 from the recalculated workbook)</t>
  </si>
  <si>
    <t xml:space="preserve">Formula logic</t>
  </si>
  <si>
    <t xml:space="preserve">PASS</t>
  </si>
  <si>
    <t xml:space="preserve">All model cells are live formulas; 0 error values after LibreOffice recalculation; formulas without a cached value are only the intentional "" outcome cells in Trigger_History; 0 blue formulas; 0 unlabeled black literals. Internal checks cover FY sums, Q1-Q2 2026 ties, GAAP bridge (Q1 2026 restructuring now Derived as H1 less Q2), cash roll, Q3 = locked call, scenario bridges, cash bridge (CCE roll, investing and financing totals, reconciliation), thresholds, breakeven and band.</t>
  </si>
  <si>
    <t xml:space="preserve">Circularity</t>
  </si>
  <si>
    <t xml:space="preserve">No circular references (LibreOffice recalculation reports no circular-reference error).</t>
  </si>
  <si>
    <t xml:space="preserve">Hidden hardcodes</t>
  </si>
  <si>
    <t xml:space="preserve">Numeric literals in formulas are structural only: 0, 1, 2, 4, 5, 100, 1000, COLUMN() offsets, the 0.000001 check tolerance and a $5M tolerance on the cash-bridge residual check. The 25% fire-rate tolerance is now Assumed input P16; P14 is now a formula. H1 2026 cash-flow items not in the source book are blue Sourced values from the primary filing, tied by internal checks to the statement totals.</t>
  </si>
  <si>
    <t xml:space="preserve">Unsupported assumptions</t>
  </si>
  <si>
    <t xml:space="preserve">FLAG</t>
  </si>
  <si>
    <t xml:space="preserve">Every Assumed parameter has current level, path, rationale, evidence and sensitivity. Flags: growth-cost elasticities are ILLUSTRATIVE only (no evidence; the decision uses breakeven); P12 assumes the H1 2026 run-rate persists; severance P8 and restructuring P10 are estimates; L0 start quarter depends on the reporting calendar; no new buyback is assumed (P11).</t>
  </si>
  <si>
    <t xml:space="preserve">Sign conventions</t>
  </si>
  <si>
    <t xml:space="preserve">Revenue, opex, SBC and restructuring positive and subtracted; severance, buybacks and other outflows negative in Cash_FCF and Cash_Bridge; checked for all forecast quarters and cases.</t>
  </si>
  <si>
    <t xml:space="preserve">Reconciliation to source book</t>
  </si>
  <si>
    <t xml:space="preserve">296 input ties (source book QA/GH/AN rows, analysis workbook cells, locked call cells) re-read by ID: all PASS. The H1 2026 cash bridge closes to the source-book balances, and the itemized flows reproduce the analysis -$67M residual exactly.</t>
  </si>
  <si>
    <t xml:space="preserve">Recommendation follows from model</t>
  </si>
  <si>
    <t xml:space="preserve">Every number in the Recommendation text was regenerated from the recalculated workbook (pass 2). Thresholds, trigger history, start quarter and breakevens are live links. NDR is not a trigger; lever 2 is conditional.</t>
  </si>
  <si>
    <t xml:space="preserve">Scorecard - Q3 2026 plan vs actual (BLANK; to be completed after November 9, 2026 without changing the plan)</t>
  </si>
  <si>
    <t xml:space="preserve">Plan (Base)</t>
  </si>
  <si>
    <t xml:space="preserve">Revenue Q3 2026</t>
  </si>
  <si>
    <t xml:space="preserve">Equals locked call MID</t>
  </si>
  <si>
    <t xml:space="preserve">Derived (link); D:E blank</t>
  </si>
  <si>
    <t xml:space="preserve">Non-GAAP operating income Q3 2026</t>
  </si>
  <si>
    <t xml:space="preserve">Non-GAAP operating margin Q3 2026</t>
  </si>
  <si>
    <t xml:space="preserve">Adjusted FCF Q3 2026, reported basis</t>
  </si>
  <si>
    <t xml:space="preserve">LOW CONFIDENCE (Q3 FCF was a NO CALL); includes Assumed severance</t>
  </si>
  <si>
    <t xml:space="preserve">NDR Q3 2026 (indicator)</t>
  </si>
  <si>
    <t xml:space="preserve">indicator only</t>
  </si>
  <si>
    <t xml:space="preserve">Customers &gt;$50k ARR Q3 2026</t>
  </si>
  <si>
    <t xml:space="preserve">count</t>
  </si>
  <si>
    <t xml:space="preserve">indicator</t>
  </si>
  <si>
    <t xml:space="preserve">Cash + securities, Sep 30, 2026</t>
  </si>
  <si>
    <t xml:space="preserve">before unmodeled items; after Assumed severance and other flows</t>
  </si>
</sst>
</file>

<file path=xl/styles.xml><?xml version="1.0" encoding="utf-8"?>
<styleSheet xmlns="http://schemas.openxmlformats.org/spreadsheetml/2006/main">
  <numFmts count="13">
    <numFmt numFmtId="164" formatCode="General"/>
    <numFmt numFmtId="165" formatCode="#,##0;\(#,##0\)"/>
    <numFmt numFmtId="166" formatCode="0.0%;\-0.0%"/>
    <numFmt numFmtId="167" formatCode="#,##0"/>
    <numFmt numFmtId="168" formatCode="0.00%;\-0.00%"/>
    <numFmt numFmtId="169" formatCode="#,##0.0;\(#,##0.0\)"/>
    <numFmt numFmtId="170" formatCode="#,##0.0"/>
    <numFmt numFmtId="171" formatCode="0.00"/>
    <numFmt numFmtId="172" formatCode="0.00\x"/>
    <numFmt numFmtId="173" formatCode="0.00;\-0.00"/>
    <numFmt numFmtId="174" formatCode="0"/>
    <numFmt numFmtId="175" formatCode="0.00%"/>
    <numFmt numFmtId="176" formatCode="0.000000"/>
  </numFmts>
  <fonts count="15">
    <font>
      <sz val="11"/>
      <color theme="1"/>
      <name val="Calibri"/>
      <family val="2"/>
      <charset val="1"/>
    </font>
    <font>
      <sz val="10"/>
      <name val="Arial"/>
      <family val="0"/>
    </font>
    <font>
      <sz val="10"/>
      <name val="Arial"/>
      <family val="0"/>
    </font>
    <font>
      <sz val="10"/>
      <name val="Arial"/>
      <family val="0"/>
    </font>
    <font>
      <b val="true"/>
      <sz val="14"/>
      <name val="Calibri"/>
      <family val="0"/>
      <charset val="1"/>
    </font>
    <font>
      <b val="true"/>
      <sz val="10"/>
      <name val="Calibri"/>
      <family val="0"/>
      <charset val="1"/>
    </font>
    <font>
      <sz val="10"/>
      <color rgb="FF000000"/>
      <name val="Calibri"/>
      <family val="0"/>
      <charset val="1"/>
    </font>
    <font>
      <b val="true"/>
      <sz val="13"/>
      <name val="Calibri"/>
      <family val="0"/>
      <charset val="1"/>
    </font>
    <font>
      <i val="true"/>
      <sz val="10"/>
      <color rgb="FF808080"/>
      <name val="Calibri"/>
      <family val="0"/>
      <charset val="1"/>
    </font>
    <font>
      <b val="true"/>
      <sz val="10"/>
      <color rgb="FFFFFFFF"/>
      <name val="Calibri"/>
      <family val="0"/>
      <charset val="1"/>
    </font>
    <font>
      <sz val="10"/>
      <color rgb="FF0000FF"/>
      <name val="Calibri"/>
      <family val="0"/>
      <charset val="1"/>
    </font>
    <font>
      <b val="true"/>
      <sz val="10"/>
      <color rgb="FFC65911"/>
      <name val="Calibri"/>
      <family val="0"/>
      <charset val="1"/>
    </font>
    <font>
      <b val="true"/>
      <sz val="11"/>
      <name val="Calibri"/>
      <family val="0"/>
      <charset val="1"/>
    </font>
    <font>
      <b val="true"/>
      <sz val="10"/>
      <color rgb="FFC00000"/>
      <name val="Calibri"/>
      <family val="0"/>
      <charset val="1"/>
    </font>
    <font>
      <b val="true"/>
      <sz val="10"/>
      <color rgb="FF006100"/>
      <name val="Calibri"/>
      <family val="0"/>
      <charset val="1"/>
    </font>
  </fonts>
  <fills count="4">
    <fill>
      <patternFill patternType="none"/>
    </fill>
    <fill>
      <patternFill patternType="gray125"/>
    </fill>
    <fill>
      <patternFill patternType="solid">
        <fgColor rgb="FF1F3864"/>
        <bgColor rgb="FF333333"/>
      </patternFill>
    </fill>
    <fill>
      <patternFill patternType="solid">
        <fgColor rgb="FFFCE4D6"/>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71" fontId="11" fillId="3" borderId="0" xfId="0" applyFont="true" applyBorder="false" applyAlignment="false" applyProtection="false">
      <alignment horizontal="general" vertical="bottom" textRotation="0" wrapText="false" indent="0" shrinkToFit="false"/>
      <protection locked="true" hidden="false"/>
    </xf>
    <xf numFmtId="172" fontId="11" fillId="3" borderId="0" xfId="0" applyFont="true" applyBorder="false" applyAlignment="false" applyProtection="false">
      <alignment horizontal="general" vertical="bottom" textRotation="0" wrapText="false" indent="0" shrinkToFit="false"/>
      <protection locked="true" hidden="false"/>
    </xf>
    <xf numFmtId="169" fontId="11" fillId="3" borderId="0" xfId="0" applyFont="true" applyBorder="false" applyAlignment="false" applyProtection="false">
      <alignment horizontal="general" vertical="bottom" textRotation="0" wrapText="false" indent="0" shrinkToFit="false"/>
      <protection locked="true" hidden="false"/>
    </xf>
    <xf numFmtId="166" fontId="11" fillId="3" borderId="0" xfId="0" applyFont="true" applyBorder="false" applyAlignment="false" applyProtection="false">
      <alignment horizontal="general" vertical="bottom" textRotation="0" wrapText="false" indent="0" shrinkToFit="false"/>
      <protection locked="true" hidden="false"/>
    </xf>
    <xf numFmtId="173" fontId="11" fillId="3"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4" fontId="11" fillId="3"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75" fontId="6" fillId="0" borderId="0" xfId="0" applyFont="true" applyBorder="false" applyAlignment="false" applyProtection="false">
      <alignment horizontal="general" vertical="bottom" textRotation="0" wrapText="false" indent="0" shrinkToFit="false"/>
      <protection locked="true" hidden="false"/>
    </xf>
    <xf numFmtId="176" fontId="6"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65911"/>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40"/>
  </cols>
  <sheetData>
    <row r="1" customFormat="false" ht="17.35" hidden="false" customHeight="false" outlineLevel="0" collapsed="false">
      <c r="A1" s="1" t="s">
        <v>0</v>
      </c>
    </row>
    <row r="3" customFormat="false" ht="23.85" hidden="false" customHeight="false" outlineLevel="0" collapsed="false">
      <c r="A3" s="2" t="s">
        <v>1</v>
      </c>
      <c r="B3" s="3" t="s">
        <v>2</v>
      </c>
    </row>
    <row r="4" customFormat="false" ht="23.85" hidden="false" customHeight="false" outlineLevel="0" collapsed="false">
      <c r="A4" s="2" t="s">
        <v>3</v>
      </c>
      <c r="B4" s="3" t="s">
        <v>4</v>
      </c>
    </row>
    <row r="5" customFormat="false" ht="23.85" hidden="false" customHeight="false" outlineLevel="0" collapsed="false">
      <c r="A5" s="2" t="s">
        <v>5</v>
      </c>
      <c r="B5" s="3" t="s">
        <v>6</v>
      </c>
    </row>
    <row r="6" customFormat="false" ht="23.85" hidden="false" customHeight="false" outlineLevel="0" collapsed="false">
      <c r="A6" s="2" t="s">
        <v>7</v>
      </c>
      <c r="B6" s="3" t="s">
        <v>8</v>
      </c>
    </row>
    <row r="7" customFormat="false" ht="35.05" hidden="false" customHeight="false" outlineLevel="0" collapsed="false">
      <c r="A7" s="2" t="s">
        <v>9</v>
      </c>
      <c r="B7" s="3" t="s">
        <v>10</v>
      </c>
    </row>
    <row r="8" customFormat="false" ht="23.85" hidden="false" customHeight="false" outlineLevel="0" collapsed="false">
      <c r="A8" s="2" t="s">
        <v>11</v>
      </c>
      <c r="B8" s="3" t="s">
        <v>12</v>
      </c>
    </row>
    <row r="9" customFormat="false" ht="35.05" hidden="false" customHeight="false" outlineLevel="0" collapsed="false">
      <c r="A9" s="2" t="s">
        <v>13</v>
      </c>
      <c r="B9" s="3" t="s">
        <v>14</v>
      </c>
    </row>
    <row r="10" customFormat="false" ht="23.85" hidden="false" customHeight="false" outlineLevel="0" collapsed="false">
      <c r="A10" s="2" t="s">
        <v>15</v>
      </c>
      <c r="B10" s="3" t="s">
        <v>16</v>
      </c>
    </row>
    <row r="11" customFormat="false" ht="15" hidden="false" customHeight="false" outlineLevel="0" collapsed="false">
      <c r="A11" s="2" t="s">
        <v>17</v>
      </c>
      <c r="B11" s="3" t="s">
        <v>18</v>
      </c>
    </row>
    <row r="12" customFormat="false" ht="23.85" hidden="false" customHeight="false" outlineLevel="0" collapsed="false">
      <c r="A12" s="2" t="s">
        <v>19</v>
      </c>
      <c r="B12" s="3"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30"/>
  </cols>
  <sheetData>
    <row r="1" customFormat="false" ht="16.15" hidden="false" customHeight="false" outlineLevel="0" collapsed="false">
      <c r="A1" s="4" t="s">
        <v>21</v>
      </c>
    </row>
    <row r="3" customFormat="false" ht="23.85" hidden="false" customHeight="false" outlineLevel="0" collapsed="false">
      <c r="A3" s="2" t="s">
        <v>22</v>
      </c>
      <c r="B3" s="3" t="s">
        <v>23</v>
      </c>
    </row>
    <row r="4" customFormat="false" ht="35.05" hidden="false" customHeight="false" outlineLevel="0" collapsed="false">
      <c r="A4" s="2" t="s">
        <v>24</v>
      </c>
      <c r="B4" s="3" t="s">
        <v>25</v>
      </c>
    </row>
    <row r="5" customFormat="false" ht="15" hidden="false" customHeight="false" outlineLevel="0" collapsed="false">
      <c r="A5" s="2" t="s">
        <v>26</v>
      </c>
      <c r="B5" s="3" t="s">
        <v>27</v>
      </c>
    </row>
    <row r="6" customFormat="false" ht="15" hidden="false" customHeight="false" outlineLevel="0" collapsed="false">
      <c r="A6" s="2" t="s">
        <v>28</v>
      </c>
      <c r="B6" s="3" t="s">
        <v>29</v>
      </c>
    </row>
    <row r="7" customFormat="false" ht="15" hidden="false" customHeight="false" outlineLevel="0" collapsed="false">
      <c r="A7" s="2" t="s">
        <v>30</v>
      </c>
      <c r="B7" s="3" t="s">
        <v>31</v>
      </c>
    </row>
    <row r="8" customFormat="false" ht="15" hidden="false" customHeight="false" outlineLevel="0" collapsed="false">
      <c r="A8" s="2" t="s">
        <v>32</v>
      </c>
      <c r="B8" s="3" t="s">
        <v>33</v>
      </c>
    </row>
    <row r="9" customFormat="false" ht="15" hidden="false" customHeight="false" outlineLevel="0" collapsed="false">
      <c r="A9" s="2" t="s">
        <v>34</v>
      </c>
      <c r="B9" s="3" t="s">
        <v>35</v>
      </c>
    </row>
    <row r="10" customFormat="false" ht="15" hidden="false" customHeight="false" outlineLevel="0" collapsed="false">
      <c r="A10" s="2" t="s">
        <v>36</v>
      </c>
      <c r="B10" s="3" t="s">
        <v>37</v>
      </c>
    </row>
    <row r="11" customFormat="false" ht="15" hidden="false" customHeight="false" outlineLevel="0" collapsed="false">
      <c r="A11" s="2" t="s">
        <v>38</v>
      </c>
      <c r="B11" s="3" t="s">
        <v>39</v>
      </c>
    </row>
    <row r="12" customFormat="false" ht="15" hidden="false" customHeight="false" outlineLevel="0" collapsed="false">
      <c r="A12" s="2" t="s">
        <v>40</v>
      </c>
      <c r="B12" s="3" t="s">
        <v>41</v>
      </c>
    </row>
    <row r="13" customFormat="false" ht="15" hidden="false" customHeight="false" outlineLevel="0" collapsed="false">
      <c r="A13" s="2" t="s">
        <v>42</v>
      </c>
      <c r="B13" s="3"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16" min="3" style="0" width="11"/>
  </cols>
  <sheetData>
    <row r="1" customFormat="false" ht="16.15" hidden="false" customHeight="false" outlineLevel="0" collapsed="false">
      <c r="A1" s="4" t="s">
        <v>44</v>
      </c>
    </row>
    <row r="2" customFormat="false" ht="15" hidden="false" customHeight="false" outlineLevel="0" collapsed="false">
      <c r="A2" s="5" t="s">
        <v>45</v>
      </c>
    </row>
    <row r="4" customFormat="false" ht="15" hidden="false" customHeight="false" outlineLevel="0" collapsed="false">
      <c r="A4" s="6" t="s">
        <v>46</v>
      </c>
      <c r="B4" s="6" t="s">
        <v>47</v>
      </c>
      <c r="C4" s="6" t="s">
        <v>48</v>
      </c>
      <c r="D4" s="6" t="s">
        <v>49</v>
      </c>
      <c r="E4" s="6" t="s">
        <v>50</v>
      </c>
      <c r="F4" s="6" t="s">
        <v>51</v>
      </c>
      <c r="G4" s="6" t="s">
        <v>52</v>
      </c>
      <c r="H4" s="6" t="s">
        <v>53</v>
      </c>
      <c r="I4" s="6" t="s">
        <v>54</v>
      </c>
      <c r="J4" s="6" t="s">
        <v>55</v>
      </c>
      <c r="K4" s="6" t="s">
        <v>56</v>
      </c>
      <c r="L4" s="6" t="s">
        <v>57</v>
      </c>
      <c r="M4" s="6" t="s">
        <v>58</v>
      </c>
      <c r="N4" s="6" t="s">
        <v>59</v>
      </c>
      <c r="O4" s="6" t="s">
        <v>60</v>
      </c>
      <c r="P4" s="6" t="s">
        <v>61</v>
      </c>
    </row>
    <row r="6" customFormat="false" ht="15" hidden="false" customHeight="false" outlineLevel="0" collapsed="false">
      <c r="A6" s="2" t="s">
        <v>62</v>
      </c>
      <c r="B6" s="5" t="s">
        <v>63</v>
      </c>
      <c r="C6" s="7" t="n">
        <v>162256</v>
      </c>
      <c r="D6" s="7" t="n">
        <v>175679</v>
      </c>
      <c r="E6" s="7" t="n">
        <v>189190</v>
      </c>
      <c r="F6" s="7" t="n">
        <v>202570</v>
      </c>
      <c r="G6" s="7" t="n">
        <v>216913</v>
      </c>
      <c r="H6" s="7" t="n">
        <v>236106</v>
      </c>
      <c r="I6" s="7" t="n">
        <v>251000</v>
      </c>
      <c r="J6" s="7" t="n">
        <v>267976</v>
      </c>
      <c r="K6" s="7" t="n">
        <v>282250</v>
      </c>
      <c r="L6" s="7" t="n">
        <v>299014</v>
      </c>
      <c r="M6" s="7" t="n">
        <v>316855</v>
      </c>
      <c r="N6" s="7" t="n">
        <v>333878</v>
      </c>
      <c r="O6" s="7" t="n">
        <v>351265</v>
      </c>
      <c r="P6" s="7" t="n">
        <v>364621</v>
      </c>
    </row>
    <row r="7" customFormat="false" ht="15" hidden="false" customHeight="false" outlineLevel="0" collapsed="false">
      <c r="A7" s="5" t="s">
        <v>64</v>
      </c>
      <c r="B7" s="5" t="s">
        <v>65</v>
      </c>
      <c r="C7" s="5" t="s">
        <v>66</v>
      </c>
      <c r="D7" s="5" t="s">
        <v>67</v>
      </c>
      <c r="E7" s="5" t="s">
        <v>68</v>
      </c>
      <c r="F7" s="5" t="s">
        <v>69</v>
      </c>
      <c r="G7" s="5" t="s">
        <v>70</v>
      </c>
      <c r="H7" s="5" t="s">
        <v>71</v>
      </c>
      <c r="I7" s="5" t="s">
        <v>72</v>
      </c>
      <c r="J7" s="5" t="s">
        <v>73</v>
      </c>
      <c r="K7" s="5" t="s">
        <v>74</v>
      </c>
      <c r="L7" s="5" t="s">
        <v>75</v>
      </c>
      <c r="M7" s="5" t="s">
        <v>76</v>
      </c>
      <c r="N7" s="5" t="s">
        <v>77</v>
      </c>
      <c r="O7" s="5" t="s">
        <v>78</v>
      </c>
      <c r="P7" s="5" t="s">
        <v>79</v>
      </c>
    </row>
    <row r="8" customFormat="false" ht="15" hidden="false" customHeight="false" outlineLevel="0" collapsed="false">
      <c r="A8" s="2" t="s">
        <v>80</v>
      </c>
      <c r="B8" s="5" t="s">
        <v>63</v>
      </c>
      <c r="C8" s="7" t="n">
        <v>146719</v>
      </c>
      <c r="D8" s="7" t="n">
        <v>158008</v>
      </c>
      <c r="E8" s="7" t="n">
        <v>168866</v>
      </c>
      <c r="F8" s="7" t="n">
        <v>181764</v>
      </c>
      <c r="G8" s="7" t="n">
        <v>194703</v>
      </c>
      <c r="H8" s="7" t="n">
        <v>214215</v>
      </c>
      <c r="I8" s="7" t="n">
        <v>226909</v>
      </c>
      <c r="J8" s="7" t="n">
        <v>239080</v>
      </c>
      <c r="K8" s="7" t="n">
        <v>254579</v>
      </c>
      <c r="L8" s="7" t="n">
        <v>270113</v>
      </c>
      <c r="M8" s="7" t="n">
        <v>284031</v>
      </c>
      <c r="N8" s="7" t="n">
        <v>298736</v>
      </c>
      <c r="O8" s="7" t="n">
        <v>314190</v>
      </c>
      <c r="P8" s="7" t="n">
        <v>324222</v>
      </c>
    </row>
    <row r="9" customFormat="false" ht="15" hidden="false" customHeight="false" outlineLevel="0" collapsed="false">
      <c r="A9" s="5" t="s">
        <v>64</v>
      </c>
      <c r="B9" s="5" t="s">
        <v>65</v>
      </c>
      <c r="C9" s="5" t="s">
        <v>81</v>
      </c>
      <c r="D9" s="5" t="s">
        <v>82</v>
      </c>
      <c r="E9" s="5" t="s">
        <v>83</v>
      </c>
      <c r="F9" s="5" t="s">
        <v>84</v>
      </c>
      <c r="G9" s="5" t="s">
        <v>85</v>
      </c>
      <c r="H9" s="5" t="s">
        <v>86</v>
      </c>
      <c r="I9" s="5" t="s">
        <v>87</v>
      </c>
      <c r="J9" s="5" t="s">
        <v>88</v>
      </c>
      <c r="K9" s="5" t="s">
        <v>89</v>
      </c>
      <c r="L9" s="5" t="s">
        <v>90</v>
      </c>
      <c r="M9" s="5" t="s">
        <v>91</v>
      </c>
      <c r="N9" s="5" t="s">
        <v>92</v>
      </c>
      <c r="O9" s="5" t="s">
        <v>93</v>
      </c>
      <c r="P9" s="5" t="s">
        <v>94</v>
      </c>
    </row>
    <row r="10" customFormat="false" ht="15" hidden="false" customHeight="false" outlineLevel="0" collapsed="false">
      <c r="A10" s="2" t="s">
        <v>95</v>
      </c>
      <c r="B10" s="5" t="s">
        <v>63</v>
      </c>
      <c r="C10" s="7" t="n">
        <v>28519</v>
      </c>
      <c r="D10" s="7" t="n">
        <v>27908</v>
      </c>
      <c r="E10" s="7" t="n">
        <v>28051</v>
      </c>
      <c r="F10" s="7" t="n">
        <v>33285</v>
      </c>
      <c r="G10" s="7" t="n">
        <v>34797</v>
      </c>
      <c r="H10" s="7" t="n">
        <v>36878</v>
      </c>
      <c r="I10" s="7" t="n">
        <v>42973</v>
      </c>
      <c r="J10" s="7" t="n">
        <v>48066</v>
      </c>
      <c r="K10" s="7" t="n">
        <v>53844</v>
      </c>
      <c r="L10" s="7" t="n">
        <v>59233</v>
      </c>
      <c r="M10" s="7" t="n">
        <v>57772</v>
      </c>
      <c r="N10" s="7" t="n">
        <v>67700</v>
      </c>
      <c r="O10" s="7" t="n">
        <v>78413</v>
      </c>
      <c r="P10" s="7" t="n">
        <v>83003</v>
      </c>
    </row>
    <row r="11" customFormat="false" ht="15" hidden="false" customHeight="false" outlineLevel="0" collapsed="false">
      <c r="A11" s="5" t="s">
        <v>64</v>
      </c>
      <c r="B11" s="5" t="s">
        <v>65</v>
      </c>
      <c r="C11" s="5" t="s">
        <v>96</v>
      </c>
      <c r="D11" s="5" t="s">
        <v>97</v>
      </c>
      <c r="E11" s="5" t="s">
        <v>98</v>
      </c>
      <c r="F11" s="5" t="s">
        <v>99</v>
      </c>
      <c r="G11" s="5" t="s">
        <v>100</v>
      </c>
      <c r="H11" s="5" t="s">
        <v>101</v>
      </c>
      <c r="I11" s="5" t="s">
        <v>102</v>
      </c>
      <c r="J11" s="5" t="s">
        <v>103</v>
      </c>
      <c r="K11" s="5" t="s">
        <v>104</v>
      </c>
      <c r="L11" s="5" t="s">
        <v>105</v>
      </c>
      <c r="M11" s="5" t="s">
        <v>106</v>
      </c>
      <c r="N11" s="5" t="s">
        <v>107</v>
      </c>
      <c r="O11" s="5" t="s">
        <v>108</v>
      </c>
      <c r="P11" s="5" t="s">
        <v>109</v>
      </c>
    </row>
    <row r="12" customFormat="false" ht="15" hidden="false" customHeight="false" outlineLevel="0" collapsed="false">
      <c r="A12" s="2" t="s">
        <v>110</v>
      </c>
      <c r="B12" s="5" t="s">
        <v>63</v>
      </c>
      <c r="C12" s="7" t="n">
        <v>102652</v>
      </c>
      <c r="D12" s="7" t="n">
        <v>98831</v>
      </c>
      <c r="E12" s="7" t="n">
        <v>101504</v>
      </c>
      <c r="F12" s="7" t="n">
        <v>110020</v>
      </c>
      <c r="G12" s="7" t="n">
        <v>120806</v>
      </c>
      <c r="H12" s="7" t="n">
        <v>120738</v>
      </c>
      <c r="I12" s="7" t="n">
        <v>130339</v>
      </c>
      <c r="J12" s="7" t="n">
        <v>127791</v>
      </c>
      <c r="K12" s="7" t="n">
        <v>135882</v>
      </c>
      <c r="L12" s="7" t="n">
        <v>139223</v>
      </c>
      <c r="M12" s="7" t="n">
        <v>151804</v>
      </c>
      <c r="N12" s="7" t="n">
        <v>159858</v>
      </c>
      <c r="O12" s="7" t="n">
        <v>158181</v>
      </c>
      <c r="P12" s="7" t="n">
        <v>149444</v>
      </c>
    </row>
    <row r="13" customFormat="false" ht="15" hidden="false" customHeight="false" outlineLevel="0" collapsed="false">
      <c r="A13" s="5" t="s">
        <v>64</v>
      </c>
      <c r="B13" s="5" t="s">
        <v>65</v>
      </c>
      <c r="C13" s="5" t="s">
        <v>111</v>
      </c>
      <c r="D13" s="5" t="s">
        <v>112</v>
      </c>
      <c r="E13" s="5" t="s">
        <v>113</v>
      </c>
      <c r="F13" s="5" t="s">
        <v>114</v>
      </c>
      <c r="G13" s="5" t="s">
        <v>115</v>
      </c>
      <c r="H13" s="5" t="s">
        <v>116</v>
      </c>
      <c r="I13" s="5" t="s">
        <v>117</v>
      </c>
      <c r="J13" s="5" t="s">
        <v>118</v>
      </c>
      <c r="K13" s="5" t="s">
        <v>119</v>
      </c>
      <c r="L13" s="5" t="s">
        <v>120</v>
      </c>
      <c r="M13" s="5" t="s">
        <v>121</v>
      </c>
      <c r="N13" s="5" t="s">
        <v>122</v>
      </c>
      <c r="O13" s="5" t="s">
        <v>123</v>
      </c>
      <c r="P13" s="5" t="s">
        <v>124</v>
      </c>
    </row>
    <row r="14" customFormat="false" ht="15" hidden="false" customHeight="false" outlineLevel="0" collapsed="false">
      <c r="A14" s="2" t="s">
        <v>125</v>
      </c>
      <c r="B14" s="5" t="s">
        <v>63</v>
      </c>
      <c r="C14" s="7" t="n">
        <v>15841</v>
      </c>
      <c r="D14" s="7" t="n">
        <v>14652</v>
      </c>
      <c r="E14" s="7" t="n">
        <v>15234</v>
      </c>
      <c r="F14" s="7" t="n">
        <v>17259</v>
      </c>
      <c r="G14" s="7" t="n">
        <v>17579</v>
      </c>
      <c r="H14" s="7" t="n">
        <v>18182</v>
      </c>
      <c r="I14" s="7" t="n">
        <v>21417</v>
      </c>
      <c r="J14" s="7" t="n">
        <v>22958</v>
      </c>
      <c r="K14" s="7" t="n">
        <v>24099</v>
      </c>
      <c r="L14" s="7" t="n">
        <v>26563</v>
      </c>
      <c r="M14" s="7" t="n">
        <v>26971</v>
      </c>
      <c r="N14" s="7" t="n">
        <v>29247</v>
      </c>
      <c r="O14" s="7" t="n">
        <v>28559</v>
      </c>
      <c r="P14" s="7" t="n">
        <v>30665</v>
      </c>
    </row>
    <row r="15" customFormat="false" ht="15" hidden="false" customHeight="false" outlineLevel="0" collapsed="false">
      <c r="A15" s="5" t="s">
        <v>64</v>
      </c>
      <c r="B15" s="5" t="s">
        <v>65</v>
      </c>
      <c r="C15" s="5" t="s">
        <v>126</v>
      </c>
      <c r="D15" s="5" t="s">
        <v>127</v>
      </c>
      <c r="E15" s="5" t="s">
        <v>128</v>
      </c>
      <c r="F15" s="5" t="s">
        <v>129</v>
      </c>
      <c r="G15" s="5" t="s">
        <v>130</v>
      </c>
      <c r="H15" s="5" t="s">
        <v>131</v>
      </c>
      <c r="I15" s="5" t="s">
        <v>132</v>
      </c>
      <c r="J15" s="5" t="s">
        <v>133</v>
      </c>
      <c r="K15" s="5" t="s">
        <v>134</v>
      </c>
      <c r="L15" s="5" t="s">
        <v>135</v>
      </c>
      <c r="M15" s="5" t="s">
        <v>136</v>
      </c>
      <c r="N15" s="5" t="s">
        <v>137</v>
      </c>
      <c r="O15" s="5" t="s">
        <v>138</v>
      </c>
      <c r="P15" s="5" t="s">
        <v>139</v>
      </c>
    </row>
    <row r="16" customFormat="false" ht="15" hidden="false" customHeight="false" outlineLevel="0" collapsed="false">
      <c r="A16" s="2" t="s">
        <v>140</v>
      </c>
      <c r="B16" s="5" t="s">
        <v>63</v>
      </c>
      <c r="C16" s="7" t="n">
        <v>-293</v>
      </c>
      <c r="D16" s="7" t="n">
        <v>16617</v>
      </c>
      <c r="E16" s="7" t="n">
        <v>24077</v>
      </c>
      <c r="F16" s="7" t="n">
        <v>21200</v>
      </c>
      <c r="G16" s="7" t="n">
        <v>21521</v>
      </c>
      <c r="H16" s="7" t="n">
        <v>38417</v>
      </c>
      <c r="I16" s="7" t="n">
        <v>32180</v>
      </c>
      <c r="J16" s="7" t="n">
        <v>40265</v>
      </c>
      <c r="K16" s="7" t="n">
        <v>40754</v>
      </c>
      <c r="L16" s="7" t="n">
        <v>45094</v>
      </c>
      <c r="M16" s="7" t="n">
        <v>47484</v>
      </c>
      <c r="N16" s="7" t="n">
        <v>41931</v>
      </c>
      <c r="O16" s="7" t="n">
        <v>49037</v>
      </c>
      <c r="P16" s="7" t="n">
        <v>61110</v>
      </c>
    </row>
    <row r="17" customFormat="false" ht="15" hidden="false" customHeight="false" outlineLevel="0" collapsed="false">
      <c r="A17" s="5" t="s">
        <v>64</v>
      </c>
      <c r="B17" s="5" t="s">
        <v>65</v>
      </c>
      <c r="C17" s="5" t="s">
        <v>141</v>
      </c>
      <c r="D17" s="5" t="s">
        <v>142</v>
      </c>
      <c r="E17" s="5" t="s">
        <v>143</v>
      </c>
      <c r="F17" s="5" t="s">
        <v>144</v>
      </c>
      <c r="G17" s="5" t="s">
        <v>145</v>
      </c>
      <c r="H17" s="5" t="s">
        <v>146</v>
      </c>
      <c r="I17" s="5" t="s">
        <v>147</v>
      </c>
      <c r="J17" s="5" t="s">
        <v>148</v>
      </c>
      <c r="K17" s="5" t="s">
        <v>149</v>
      </c>
      <c r="L17" s="5" t="s">
        <v>150</v>
      </c>
      <c r="M17" s="5" t="s">
        <v>151</v>
      </c>
      <c r="N17" s="5" t="s">
        <v>152</v>
      </c>
      <c r="O17" s="5" t="s">
        <v>153</v>
      </c>
      <c r="P17" s="5" t="s">
        <v>154</v>
      </c>
    </row>
    <row r="18" customFormat="false" ht="15" hidden="false" customHeight="false" outlineLevel="0" collapsed="false">
      <c r="A18" s="2" t="s">
        <v>155</v>
      </c>
      <c r="B18" s="5" t="s">
        <v>63</v>
      </c>
      <c r="C18" s="7" t="n">
        <v>-22752</v>
      </c>
      <c r="D18" s="7" t="n">
        <v>-12167</v>
      </c>
      <c r="E18" s="7" t="n">
        <v>-2521</v>
      </c>
      <c r="F18" s="7" t="n">
        <v>-1145</v>
      </c>
      <c r="G18" s="7" t="n">
        <v>-5022</v>
      </c>
      <c r="H18" s="7" t="n">
        <v>1794</v>
      </c>
      <c r="I18" s="7" t="n">
        <v>-27402</v>
      </c>
      <c r="J18" s="7" t="n">
        <v>9596</v>
      </c>
      <c r="K18" s="7" t="n">
        <v>9796</v>
      </c>
      <c r="L18" s="7" t="n">
        <v>-11551</v>
      </c>
      <c r="M18" s="7" t="n">
        <v>-2378</v>
      </c>
      <c r="N18" s="7" t="n">
        <v>2385</v>
      </c>
      <c r="O18" s="7" t="n">
        <v>19754</v>
      </c>
      <c r="P18" s="7" t="n">
        <v>-1544</v>
      </c>
    </row>
    <row r="19" customFormat="false" ht="15" hidden="false" customHeight="false" outlineLevel="0" collapsed="false">
      <c r="A19" s="5" t="s">
        <v>64</v>
      </c>
      <c r="B19" s="5" t="s">
        <v>65</v>
      </c>
      <c r="C19" s="5" t="s">
        <v>156</v>
      </c>
      <c r="D19" s="5" t="s">
        <v>157</v>
      </c>
      <c r="E19" s="5" t="s">
        <v>158</v>
      </c>
      <c r="F19" s="5" t="s">
        <v>159</v>
      </c>
      <c r="G19" s="5" t="s">
        <v>160</v>
      </c>
      <c r="H19" s="5" t="s">
        <v>161</v>
      </c>
      <c r="I19" s="5" t="s">
        <v>162</v>
      </c>
      <c r="J19" s="5" t="s">
        <v>163</v>
      </c>
      <c r="K19" s="5" t="s">
        <v>164</v>
      </c>
      <c r="L19" s="5" t="s">
        <v>165</v>
      </c>
      <c r="M19" s="5" t="s">
        <v>166</v>
      </c>
      <c r="N19" s="5" t="s">
        <v>167</v>
      </c>
      <c r="O19" s="5" t="s">
        <v>168</v>
      </c>
      <c r="P19" s="5" t="s">
        <v>169</v>
      </c>
    </row>
    <row r="20" customFormat="false" ht="15" hidden="false" customHeight="false" outlineLevel="0" collapsed="false">
      <c r="A20" s="2" t="s">
        <v>170</v>
      </c>
      <c r="B20" s="5" t="s">
        <v>63</v>
      </c>
      <c r="C20" s="7" t="n">
        <v>22459</v>
      </c>
      <c r="D20" s="7" t="n">
        <v>28784</v>
      </c>
      <c r="E20" s="7" t="n">
        <v>26598</v>
      </c>
      <c r="F20" s="7" t="n">
        <v>22345</v>
      </c>
      <c r="G20" s="7" t="n">
        <v>26543</v>
      </c>
      <c r="H20" s="7" t="n">
        <v>36623</v>
      </c>
      <c r="I20" s="7" t="n">
        <v>35374</v>
      </c>
      <c r="J20" s="7" t="n">
        <v>30669</v>
      </c>
      <c r="K20" s="7" t="n">
        <v>30958</v>
      </c>
      <c r="L20" s="7" t="n">
        <v>56645</v>
      </c>
      <c r="M20" s="7" t="n">
        <v>49862</v>
      </c>
      <c r="N20" s="7" t="n">
        <v>39546</v>
      </c>
      <c r="O20" s="7" t="n">
        <v>29283</v>
      </c>
      <c r="P20" s="7" t="n">
        <v>41218</v>
      </c>
    </row>
    <row r="21" customFormat="false" ht="15" hidden="false" customHeight="false" outlineLevel="0" collapsed="false">
      <c r="A21" s="5" t="s">
        <v>64</v>
      </c>
      <c r="B21" s="5" t="s">
        <v>65</v>
      </c>
      <c r="C21" s="5" t="s">
        <v>171</v>
      </c>
      <c r="D21" s="5" t="s">
        <v>172</v>
      </c>
      <c r="E21" s="5" t="s">
        <v>173</v>
      </c>
      <c r="F21" s="5" t="s">
        <v>174</v>
      </c>
      <c r="G21" s="5" t="s">
        <v>175</v>
      </c>
      <c r="H21" s="5" t="s">
        <v>176</v>
      </c>
      <c r="I21" s="5" t="s">
        <v>177</v>
      </c>
      <c r="J21" s="5" t="s">
        <v>178</v>
      </c>
      <c r="K21" s="5" t="s">
        <v>179</v>
      </c>
      <c r="L21" s="5" t="s">
        <v>180</v>
      </c>
      <c r="M21" s="5" t="s">
        <v>181</v>
      </c>
      <c r="N21" s="5" t="s">
        <v>182</v>
      </c>
      <c r="O21" s="5" t="s">
        <v>183</v>
      </c>
      <c r="P21" s="5" t="s">
        <v>184</v>
      </c>
    </row>
    <row r="22" customFormat="false" ht="15" hidden="false" customHeight="false" outlineLevel="0" collapsed="false">
      <c r="A22" s="2" t="s">
        <v>185</v>
      </c>
      <c r="B22" s="5" t="s">
        <v>63</v>
      </c>
      <c r="C22" s="5" t="s">
        <v>186</v>
      </c>
      <c r="D22" s="5" t="s">
        <v>186</v>
      </c>
      <c r="E22" s="5" t="s">
        <v>186</v>
      </c>
      <c r="F22" s="5" t="s">
        <v>186</v>
      </c>
      <c r="G22" s="5" t="s">
        <v>186</v>
      </c>
      <c r="H22" s="5" t="s">
        <v>186</v>
      </c>
      <c r="I22" s="5" t="s">
        <v>186</v>
      </c>
      <c r="J22" s="5" t="s">
        <v>186</v>
      </c>
      <c r="K22" s="5" t="s">
        <v>186</v>
      </c>
      <c r="L22" s="5" t="s">
        <v>186</v>
      </c>
      <c r="M22" s="5" t="s">
        <v>186</v>
      </c>
      <c r="N22" s="5" t="s">
        <v>186</v>
      </c>
      <c r="O22" s="5" t="s">
        <v>186</v>
      </c>
      <c r="P22" s="7" t="n">
        <v>21436</v>
      </c>
    </row>
    <row r="23" customFormat="false" ht="15" hidden="false" customHeight="false" outlineLevel="0" collapsed="false">
      <c r="A23" s="5" t="s">
        <v>64</v>
      </c>
      <c r="B23" s="5" t="s">
        <v>65</v>
      </c>
      <c r="P23" s="5" t="s">
        <v>187</v>
      </c>
    </row>
    <row r="24" customFormat="false" ht="15" hidden="false" customHeight="false" outlineLevel="0" collapsed="false">
      <c r="A24" s="2" t="s">
        <v>188</v>
      </c>
      <c r="B24" s="5" t="s">
        <v>63</v>
      </c>
      <c r="C24" s="7" t="n">
        <v>38682</v>
      </c>
      <c r="D24" s="7" t="n">
        <v>45932</v>
      </c>
      <c r="E24" s="7" t="n">
        <v>64890</v>
      </c>
      <c r="F24" s="7" t="n">
        <v>55441</v>
      </c>
      <c r="G24" s="7" t="n">
        <v>89894</v>
      </c>
      <c r="H24" s="7" t="n">
        <v>50821</v>
      </c>
      <c r="I24" s="7" t="n">
        <v>82412</v>
      </c>
      <c r="J24" s="7" t="n">
        <v>72703</v>
      </c>
      <c r="K24" s="7" t="n">
        <v>109532</v>
      </c>
      <c r="L24" s="7" t="n">
        <v>64093</v>
      </c>
      <c r="M24" s="7" t="n">
        <v>92301</v>
      </c>
      <c r="N24" s="7" t="n">
        <v>56734</v>
      </c>
      <c r="O24" s="7" t="n">
        <v>102778</v>
      </c>
      <c r="P24" s="7" t="n">
        <v>52344</v>
      </c>
    </row>
    <row r="25" customFormat="false" ht="15" hidden="false" customHeight="false" outlineLevel="0" collapsed="false">
      <c r="A25" s="5" t="s">
        <v>64</v>
      </c>
      <c r="B25" s="5" t="s">
        <v>65</v>
      </c>
      <c r="C25" s="5" t="s">
        <v>189</v>
      </c>
      <c r="D25" s="5" t="s">
        <v>190</v>
      </c>
      <c r="E25" s="5" t="s">
        <v>191</v>
      </c>
      <c r="F25" s="5" t="s">
        <v>192</v>
      </c>
      <c r="G25" s="5" t="s">
        <v>193</v>
      </c>
      <c r="H25" s="5" t="s">
        <v>194</v>
      </c>
      <c r="I25" s="5" t="s">
        <v>195</v>
      </c>
      <c r="J25" s="5" t="s">
        <v>196</v>
      </c>
      <c r="K25" s="5" t="s">
        <v>197</v>
      </c>
      <c r="L25" s="5" t="s">
        <v>198</v>
      </c>
      <c r="M25" s="5" t="s">
        <v>199</v>
      </c>
      <c r="N25" s="5" t="s">
        <v>200</v>
      </c>
      <c r="O25" s="5" t="s">
        <v>201</v>
      </c>
      <c r="P25" s="5" t="s">
        <v>202</v>
      </c>
    </row>
    <row r="26" customFormat="false" ht="15" hidden="false" customHeight="false" outlineLevel="0" collapsed="false">
      <c r="A26" s="2" t="s">
        <v>203</v>
      </c>
      <c r="B26" s="5" t="s">
        <v>63</v>
      </c>
      <c r="C26" s="7" t="n">
        <v>935565</v>
      </c>
      <c r="D26" s="7" t="n">
        <v>989377</v>
      </c>
      <c r="E26" s="7" t="n">
        <v>1054270</v>
      </c>
      <c r="F26" s="7" t="n">
        <v>1116128</v>
      </c>
      <c r="G26" s="7" t="n">
        <v>1224544</v>
      </c>
      <c r="H26" s="7" t="n">
        <v>1290242</v>
      </c>
      <c r="I26" s="7" t="n">
        <v>1337155</v>
      </c>
      <c r="J26" s="7" t="n">
        <v>1411602</v>
      </c>
      <c r="K26" s="7" t="n">
        <v>1527605</v>
      </c>
      <c r="L26" s="7" t="n">
        <v>1590515</v>
      </c>
      <c r="M26" s="7" t="n">
        <v>1527246</v>
      </c>
      <c r="N26" s="7" t="n">
        <v>1503149</v>
      </c>
      <c r="O26" s="7" t="n">
        <v>997135</v>
      </c>
      <c r="P26" s="7" t="n">
        <v>853402</v>
      </c>
    </row>
    <row r="27" customFormat="false" ht="15" hidden="false" customHeight="false" outlineLevel="0" collapsed="false">
      <c r="A27" s="5" t="s">
        <v>64</v>
      </c>
      <c r="B27" s="5" t="s">
        <v>65</v>
      </c>
      <c r="C27" s="5" t="s">
        <v>204</v>
      </c>
      <c r="D27" s="5" t="s">
        <v>205</v>
      </c>
      <c r="E27" s="5" t="s">
        <v>206</v>
      </c>
      <c r="F27" s="5" t="s">
        <v>207</v>
      </c>
      <c r="G27" s="5" t="s">
        <v>208</v>
      </c>
      <c r="H27" s="5" t="s">
        <v>209</v>
      </c>
      <c r="I27" s="5" t="s">
        <v>210</v>
      </c>
      <c r="J27" s="5" t="s">
        <v>211</v>
      </c>
      <c r="K27" s="5" t="s">
        <v>212</v>
      </c>
      <c r="L27" s="5" t="s">
        <v>213</v>
      </c>
      <c r="M27" s="5" t="s">
        <v>214</v>
      </c>
      <c r="N27" s="5" t="s">
        <v>215</v>
      </c>
      <c r="O27" s="5" t="s">
        <v>216</v>
      </c>
      <c r="P27" s="5" t="s">
        <v>217</v>
      </c>
    </row>
    <row r="28" customFormat="false" ht="15" hidden="false" customHeight="false" outlineLevel="0" collapsed="false">
      <c r="A28" s="2" t="s">
        <v>218</v>
      </c>
      <c r="B28" s="5" t="s">
        <v>63</v>
      </c>
      <c r="C28" s="5" t="s">
        <v>186</v>
      </c>
      <c r="D28" s="5" t="s">
        <v>186</v>
      </c>
      <c r="E28" s="5" t="s">
        <v>186</v>
      </c>
      <c r="F28" s="5" t="s">
        <v>186</v>
      </c>
      <c r="G28" s="5" t="s">
        <v>186</v>
      </c>
      <c r="H28" s="5" t="s">
        <v>186</v>
      </c>
      <c r="I28" s="7" t="n">
        <v>50667</v>
      </c>
      <c r="J28" s="7" t="n">
        <v>50004</v>
      </c>
      <c r="K28" s="7" t="n">
        <v>60730</v>
      </c>
      <c r="L28" s="7" t="n">
        <v>60102</v>
      </c>
      <c r="M28" s="7" t="n">
        <v>211740</v>
      </c>
      <c r="N28" s="7" t="n">
        <v>162308</v>
      </c>
      <c r="O28" s="7" t="n">
        <v>215141</v>
      </c>
      <c r="P28" s="7" t="n">
        <v>219353</v>
      </c>
    </row>
    <row r="29" customFormat="false" ht="15" hidden="false" customHeight="false" outlineLevel="0" collapsed="false">
      <c r="A29" s="5" t="s">
        <v>64</v>
      </c>
      <c r="B29" s="5" t="s">
        <v>65</v>
      </c>
      <c r="I29" s="5" t="s">
        <v>219</v>
      </c>
      <c r="J29" s="5" t="s">
        <v>220</v>
      </c>
      <c r="K29" s="5" t="s">
        <v>221</v>
      </c>
      <c r="L29" s="5" t="s">
        <v>222</v>
      </c>
      <c r="M29" s="5" t="s">
        <v>223</v>
      </c>
      <c r="N29" s="5" t="s">
        <v>224</v>
      </c>
      <c r="O29" s="5" t="s">
        <v>225</v>
      </c>
      <c r="P29" s="5" t="s">
        <v>226</v>
      </c>
    </row>
    <row r="30" customFormat="false" ht="15" hidden="false" customHeight="false" outlineLevel="0" collapsed="false">
      <c r="A30" s="2" t="s">
        <v>227</v>
      </c>
      <c r="B30" s="5" t="s">
        <v>63</v>
      </c>
      <c r="F30" s="8" t="n">
        <v>1.1</v>
      </c>
      <c r="G30" s="8" t="n">
        <v>1.1</v>
      </c>
      <c r="H30" s="8" t="n">
        <v>1.1</v>
      </c>
      <c r="I30" s="8" t="n">
        <v>1.11</v>
      </c>
      <c r="J30" s="8" t="n">
        <v>1.12</v>
      </c>
      <c r="K30" s="8" t="n">
        <v>1.12</v>
      </c>
      <c r="L30" s="8" t="n">
        <v>1.11</v>
      </c>
      <c r="M30" s="8" t="n">
        <v>1.11</v>
      </c>
      <c r="N30" s="8" t="n">
        <v>1.1</v>
      </c>
      <c r="O30" s="8" t="n">
        <v>1.1</v>
      </c>
      <c r="P30" s="8" t="n">
        <v>1.09</v>
      </c>
    </row>
    <row r="31" customFormat="false" ht="15" hidden="false" customHeight="false" outlineLevel="0" collapsed="false">
      <c r="A31" s="5" t="s">
        <v>64</v>
      </c>
      <c r="B31" s="5" t="s">
        <v>65</v>
      </c>
      <c r="F31" s="5" t="s">
        <v>228</v>
      </c>
      <c r="G31" s="5" t="s">
        <v>229</v>
      </c>
      <c r="H31" s="5" t="s">
        <v>230</v>
      </c>
      <c r="I31" s="5" t="s">
        <v>231</v>
      </c>
      <c r="J31" s="5" t="s">
        <v>232</v>
      </c>
      <c r="K31" s="5" t="s">
        <v>233</v>
      </c>
      <c r="L31" s="5" t="s">
        <v>234</v>
      </c>
      <c r="M31" s="5" t="s">
        <v>235</v>
      </c>
      <c r="N31" s="5" t="s">
        <v>236</v>
      </c>
      <c r="O31" s="5" t="s">
        <v>237</v>
      </c>
      <c r="P31" s="5" t="s">
        <v>238</v>
      </c>
    </row>
    <row r="32" customFormat="false" ht="15" hidden="false" customHeight="false" outlineLevel="0" collapsed="false">
      <c r="A32" s="2" t="s">
        <v>239</v>
      </c>
      <c r="B32" s="5" t="s">
        <v>63</v>
      </c>
      <c r="C32" s="9" t="n">
        <v>1683</v>
      </c>
      <c r="D32" s="9" t="n">
        <v>1892</v>
      </c>
      <c r="E32" s="9" t="n">
        <v>2077</v>
      </c>
      <c r="F32" s="9" t="n">
        <v>2295</v>
      </c>
      <c r="G32" s="9" t="n">
        <v>2491</v>
      </c>
      <c r="H32" s="9" t="n">
        <v>2713</v>
      </c>
      <c r="I32" s="9" t="n">
        <v>2907</v>
      </c>
      <c r="J32" s="9" t="n">
        <v>3201</v>
      </c>
      <c r="K32" s="9" t="n">
        <v>3444</v>
      </c>
      <c r="L32" s="9" t="n">
        <v>3702</v>
      </c>
      <c r="M32" s="9" t="n">
        <v>3993</v>
      </c>
      <c r="N32" s="9" t="n">
        <v>4281</v>
      </c>
      <c r="O32" s="9" t="n">
        <v>4547</v>
      </c>
      <c r="P32" s="9" t="n">
        <v>4834</v>
      </c>
    </row>
    <row r="33" customFormat="false" ht="15" hidden="false" customHeight="false" outlineLevel="0" collapsed="false">
      <c r="A33" s="5" t="s">
        <v>64</v>
      </c>
      <c r="B33" s="5" t="s">
        <v>65</v>
      </c>
      <c r="C33" s="5" t="s">
        <v>240</v>
      </c>
      <c r="D33" s="5" t="s">
        <v>241</v>
      </c>
      <c r="E33" s="5" t="s">
        <v>242</v>
      </c>
      <c r="F33" s="5" t="s">
        <v>243</v>
      </c>
      <c r="G33" s="5" t="s">
        <v>244</v>
      </c>
      <c r="H33" s="5" t="s">
        <v>245</v>
      </c>
      <c r="I33" s="5" t="s">
        <v>246</v>
      </c>
      <c r="J33" s="5" t="s">
        <v>247</v>
      </c>
      <c r="K33" s="5" t="s">
        <v>248</v>
      </c>
      <c r="L33" s="5" t="s">
        <v>249</v>
      </c>
      <c r="M33" s="5" t="s">
        <v>250</v>
      </c>
      <c r="N33" s="5" t="s">
        <v>251</v>
      </c>
      <c r="O33" s="5" t="s">
        <v>252</v>
      </c>
      <c r="P33" s="5" t="s">
        <v>253</v>
      </c>
    </row>
    <row r="34" customFormat="false" ht="15" hidden="false" customHeight="false" outlineLevel="0" collapsed="false">
      <c r="A34" s="2" t="s">
        <v>254</v>
      </c>
    </row>
    <row r="35" customFormat="false" ht="15" hidden="false" customHeight="false" outlineLevel="0" collapsed="false">
      <c r="A35" s="10" t="s">
        <v>255</v>
      </c>
      <c r="B35" s="5" t="s">
        <v>256</v>
      </c>
      <c r="D35" s="11" t="n">
        <f aca="false">D6/C6-1</f>
        <v>0.0827272951385465</v>
      </c>
      <c r="E35" s="11" t="n">
        <f aca="false">E6/D6-1</f>
        <v>0.0769073139077523</v>
      </c>
      <c r="F35" s="11" t="n">
        <f aca="false">F6/E6-1</f>
        <v>0.0707225540461969</v>
      </c>
      <c r="G35" s="11" t="n">
        <f aca="false">G6/F6-1</f>
        <v>0.070805153774004</v>
      </c>
      <c r="H35" s="11" t="n">
        <f aca="false">H6/G6-1</f>
        <v>0.0884824791506271</v>
      </c>
      <c r="I35" s="11" t="n">
        <f aca="false">I6/H6-1</f>
        <v>0.0630818361244525</v>
      </c>
      <c r="J35" s="11" t="n">
        <f aca="false">J6/I6-1</f>
        <v>0.0676334661354581</v>
      </c>
      <c r="K35" s="11" t="n">
        <f aca="false">K6/J6-1</f>
        <v>0.0532659641161894</v>
      </c>
      <c r="L35" s="11" t="n">
        <f aca="false">L6/K6-1</f>
        <v>0.0593941541186891</v>
      </c>
      <c r="M35" s="11" t="n">
        <f aca="false">M6/L6-1</f>
        <v>0.0596661025905141</v>
      </c>
      <c r="N35" s="11" t="n">
        <f aca="false">N6/M6-1</f>
        <v>0.0537248899338814</v>
      </c>
      <c r="O35" s="11" t="n">
        <f aca="false">O6/N6-1</f>
        <v>0.0520759079663828</v>
      </c>
      <c r="P35" s="11" t="n">
        <f aca="false">P6/O6-1</f>
        <v>0.0380225755483752</v>
      </c>
    </row>
    <row r="36" customFormat="false" ht="15" hidden="false" customHeight="false" outlineLevel="0" collapsed="false">
      <c r="A36" s="10" t="s">
        <v>257</v>
      </c>
      <c r="B36" s="5" t="s">
        <v>256</v>
      </c>
      <c r="C36" s="12" t="n">
        <f aca="false">C8/C6</f>
        <v>0.904243910856918</v>
      </c>
      <c r="D36" s="12" t="n">
        <f aca="false">D8/D6</f>
        <v>0.89941313418223</v>
      </c>
      <c r="E36" s="12" t="n">
        <f aca="false">E8/E6</f>
        <v>0.892573603255986</v>
      </c>
      <c r="F36" s="12" t="n">
        <f aca="false">F8/F6</f>
        <v>0.897289825739251</v>
      </c>
      <c r="G36" s="12" t="n">
        <f aca="false">G8/G6</f>
        <v>0.89760871870289</v>
      </c>
      <c r="H36" s="12" t="n">
        <f aca="false">H8/H6</f>
        <v>0.907283169423903</v>
      </c>
      <c r="I36" s="12" t="n">
        <f aca="false">I8/I6</f>
        <v>0.904019920318725</v>
      </c>
      <c r="J36" s="12" t="n">
        <f aca="false">J8/J6</f>
        <v>0.89216944801027</v>
      </c>
      <c r="K36" s="12" t="n">
        <f aca="false">K8/K6</f>
        <v>0.901962798937113</v>
      </c>
      <c r="L36" s="12" t="n">
        <f aca="false">L8/L6</f>
        <v>0.903345662744888</v>
      </c>
      <c r="M36" s="12" t="n">
        <f aca="false">M8/M6</f>
        <v>0.896406873806631</v>
      </c>
      <c r="N36" s="12" t="n">
        <f aca="false">N8/N6</f>
        <v>0.894745985060411</v>
      </c>
      <c r="O36" s="12" t="n">
        <f aca="false">O8/O6</f>
        <v>0.894452905925726</v>
      </c>
      <c r="P36" s="12" t="n">
        <f aca="false">P8/P6</f>
        <v>0.889202761223298</v>
      </c>
    </row>
    <row r="37" customFormat="false" ht="15" hidden="false" customHeight="false" outlineLevel="0" collapsed="false">
      <c r="A37" s="10" t="s">
        <v>258</v>
      </c>
      <c r="B37" s="5" t="s">
        <v>256</v>
      </c>
      <c r="C37" s="12" t="n">
        <f aca="false">C16/C6</f>
        <v>-0.00180578838378858</v>
      </c>
      <c r="D37" s="12" t="n">
        <f aca="false">D16/D6</f>
        <v>0.0945872870405683</v>
      </c>
      <c r="E37" s="12" t="n">
        <f aca="false">E16/E6</f>
        <v>0.127263597441725</v>
      </c>
      <c r="F37" s="12" t="n">
        <f aca="false">F16/F6</f>
        <v>0.104655180925112</v>
      </c>
      <c r="G37" s="12" t="n">
        <f aca="false">G16/G6</f>
        <v>0.0992148926067133</v>
      </c>
      <c r="H37" s="12" t="n">
        <f aca="false">H16/H6</f>
        <v>0.162710816328259</v>
      </c>
      <c r="I37" s="12" t="n">
        <f aca="false">I16/I6</f>
        <v>0.128207171314741</v>
      </c>
      <c r="J37" s="12" t="n">
        <f aca="false">J16/J6</f>
        <v>0.150255993074007</v>
      </c>
      <c r="K37" s="12" t="n">
        <f aca="false">K16/K6</f>
        <v>0.144389725420726</v>
      </c>
      <c r="L37" s="12" t="n">
        <f aca="false">L16/L6</f>
        <v>0.1508089922211</v>
      </c>
      <c r="M37" s="12" t="n">
        <f aca="false">M16/M6</f>
        <v>0.149860346215146</v>
      </c>
      <c r="N37" s="12" t="n">
        <f aca="false">N16/N6</f>
        <v>0.125587789551872</v>
      </c>
      <c r="O37" s="12" t="n">
        <f aca="false">O16/O6</f>
        <v>0.139601155822527</v>
      </c>
      <c r="P37" s="12" t="n">
        <f aca="false">P16/P6</f>
        <v>0.167598684661608</v>
      </c>
    </row>
    <row r="38" customFormat="false" ht="15" hidden="false" customHeight="false" outlineLevel="0" collapsed="false">
      <c r="A38" s="10" t="s">
        <v>38</v>
      </c>
      <c r="B38" s="5" t="s">
        <v>256</v>
      </c>
      <c r="C38" s="13" t="str">
        <f aca="false">IF(ISNUMBER(C28),C26+C28,"n/a")</f>
        <v>n/a</v>
      </c>
      <c r="D38" s="13" t="str">
        <f aca="false">IF(ISNUMBER(D28),D26+D28,"n/a")</f>
        <v>n/a</v>
      </c>
      <c r="E38" s="13" t="str">
        <f aca="false">IF(ISNUMBER(E28),E26+E28,"n/a")</f>
        <v>n/a</v>
      </c>
      <c r="F38" s="13" t="str">
        <f aca="false">IF(ISNUMBER(F28),F26+F28,"n/a")</f>
        <v>n/a</v>
      </c>
      <c r="G38" s="13" t="str">
        <f aca="false">IF(ISNUMBER(G28),G26+G28,"n/a")</f>
        <v>n/a</v>
      </c>
      <c r="H38" s="13" t="str">
        <f aca="false">IF(ISNUMBER(H28),H26+H28,"n/a")</f>
        <v>n/a</v>
      </c>
      <c r="I38" s="13" t="n">
        <f aca="false">IF(ISNUMBER(I28),I26+I28,"n/a")</f>
        <v>1387822</v>
      </c>
      <c r="J38" s="13" t="n">
        <f aca="false">IF(ISNUMBER(J28),J26+J28,"n/a")</f>
        <v>1461606</v>
      </c>
      <c r="K38" s="13" t="n">
        <f aca="false">IF(ISNUMBER(K28),K26+K28,"n/a")</f>
        <v>1588335</v>
      </c>
      <c r="L38" s="13" t="n">
        <f aca="false">IF(ISNUMBER(L28),L26+L28,"n/a")</f>
        <v>1650617</v>
      </c>
      <c r="M38" s="13" t="n">
        <f aca="false">IF(ISNUMBER(M28),M26+M28,"n/a")</f>
        <v>1738986</v>
      </c>
      <c r="N38" s="13" t="n">
        <f aca="false">IF(ISNUMBER(N28),N26+N28,"n/a")</f>
        <v>1665457</v>
      </c>
      <c r="O38" s="13" t="n">
        <f aca="false">IF(ISNUMBER(O28),O26+O28,"n/a")</f>
        <v>1212276</v>
      </c>
      <c r="P38" s="13" t="n">
        <f aca="false">IF(ISNUMBER(P28),P26+P28,"n/a")</f>
        <v>1072755</v>
      </c>
    </row>
    <row r="40" customFormat="false" ht="15" hidden="false" customHeight="false" outlineLevel="0" collapsed="false">
      <c r="A40" s="2" t="s">
        <v>259</v>
      </c>
    </row>
    <row r="41" customFormat="false" ht="15" hidden="false" customHeight="false" outlineLevel="0" collapsed="false">
      <c r="A41" s="6" t="s">
        <v>260</v>
      </c>
      <c r="B41" s="6" t="s">
        <v>47</v>
      </c>
      <c r="C41" s="6" t="s">
        <v>261</v>
      </c>
      <c r="D41" s="6" t="s">
        <v>262</v>
      </c>
      <c r="E41" s="6" t="s">
        <v>263</v>
      </c>
    </row>
    <row r="42" customFormat="false" ht="15" hidden="false" customHeight="false" outlineLevel="0" collapsed="false">
      <c r="A42" s="10" t="s">
        <v>264</v>
      </c>
      <c r="B42" s="5" t="s">
        <v>63</v>
      </c>
      <c r="C42" s="14" t="n">
        <v>280</v>
      </c>
      <c r="D42" s="5" t="s">
        <v>265</v>
      </c>
      <c r="E42" s="10" t="s">
        <v>266</v>
      </c>
    </row>
    <row r="43" customFormat="false" ht="15" hidden="false" customHeight="false" outlineLevel="0" collapsed="false">
      <c r="A43" s="10" t="s">
        <v>267</v>
      </c>
      <c r="B43" s="5" t="s">
        <v>63</v>
      </c>
      <c r="C43" s="14" t="n">
        <v>290</v>
      </c>
      <c r="D43" s="5" t="s">
        <v>268</v>
      </c>
      <c r="E43" s="10" t="s">
        <v>266</v>
      </c>
    </row>
    <row r="44" customFormat="false" ht="15" hidden="false" customHeight="false" outlineLevel="0" collapsed="false">
      <c r="A44" s="10" t="s">
        <v>269</v>
      </c>
      <c r="B44" s="5" t="s">
        <v>63</v>
      </c>
      <c r="C44" s="14" t="n">
        <v>230</v>
      </c>
      <c r="D44" s="5" t="s">
        <v>270</v>
      </c>
      <c r="E44" s="10" t="s">
        <v>266</v>
      </c>
    </row>
    <row r="45" customFormat="false" ht="15" hidden="false" customHeight="false" outlineLevel="0" collapsed="false">
      <c r="A45" s="10" t="s">
        <v>271</v>
      </c>
      <c r="B45" s="5" t="s">
        <v>63</v>
      </c>
      <c r="C45" s="14" t="n">
        <v>234</v>
      </c>
      <c r="D45" s="5" t="s">
        <v>272</v>
      </c>
      <c r="E45" s="10" t="s">
        <v>266</v>
      </c>
    </row>
    <row r="46" customFormat="false" ht="15" hidden="false" customHeight="false" outlineLevel="0" collapsed="false">
      <c r="A46" s="10" t="s">
        <v>273</v>
      </c>
      <c r="B46" s="5" t="s">
        <v>63</v>
      </c>
      <c r="C46" s="14" t="n">
        <v>1466</v>
      </c>
      <c r="D46" s="5" t="s">
        <v>274</v>
      </c>
      <c r="E46" s="10" t="s">
        <v>266</v>
      </c>
    </row>
    <row r="47" customFormat="false" ht="15" hidden="false" customHeight="false" outlineLevel="0" collapsed="false">
      <c r="A47" s="10" t="s">
        <v>275</v>
      </c>
      <c r="B47" s="5" t="s">
        <v>63</v>
      </c>
      <c r="C47" s="14" t="n">
        <v>1474</v>
      </c>
      <c r="D47" s="5" t="s">
        <v>276</v>
      </c>
      <c r="E47" s="10" t="s">
        <v>266</v>
      </c>
    </row>
    <row r="48" customFormat="false" ht="15" hidden="false" customHeight="false" outlineLevel="0" collapsed="false">
      <c r="A48" s="10" t="s">
        <v>277</v>
      </c>
      <c r="B48" s="5" t="s">
        <v>63</v>
      </c>
      <c r="C48" s="14" t="n">
        <v>57</v>
      </c>
      <c r="D48" s="5" t="s">
        <v>278</v>
      </c>
      <c r="E48" s="10" t="s">
        <v>266</v>
      </c>
    </row>
    <row r="49" customFormat="false" ht="15" hidden="false" customHeight="false" outlineLevel="0" collapsed="false">
      <c r="A49" s="10" t="s">
        <v>279</v>
      </c>
      <c r="B49" s="5" t="s">
        <v>63</v>
      </c>
      <c r="C49" s="14" t="n">
        <v>59</v>
      </c>
      <c r="D49" s="5" t="s">
        <v>280</v>
      </c>
      <c r="E49" s="10" t="s">
        <v>266</v>
      </c>
    </row>
    <row r="50" customFormat="false" ht="15" hidden="false" customHeight="false" outlineLevel="0" collapsed="false">
      <c r="A50" s="10" t="s">
        <v>281</v>
      </c>
      <c r="B50" s="5" t="s">
        <v>63</v>
      </c>
      <c r="C50" s="14" t="n">
        <v>368</v>
      </c>
      <c r="D50" s="5" t="s">
        <v>282</v>
      </c>
      <c r="E50" s="10" t="s">
        <v>266</v>
      </c>
    </row>
    <row r="51" customFormat="false" ht="15" hidden="false" customHeight="false" outlineLevel="0" collapsed="false">
      <c r="A51" s="10" t="s">
        <v>283</v>
      </c>
      <c r="B51" s="5" t="s">
        <v>63</v>
      </c>
      <c r="C51" s="14" t="n">
        <v>370</v>
      </c>
      <c r="D51" s="5" t="s">
        <v>284</v>
      </c>
      <c r="E51" s="10" t="s">
        <v>266</v>
      </c>
    </row>
    <row r="52" customFormat="false" ht="15" hidden="false" customHeight="false" outlineLevel="0" collapsed="false">
      <c r="A52" s="10" t="s">
        <v>285</v>
      </c>
      <c r="B52" s="5" t="s">
        <v>63</v>
      </c>
      <c r="C52" s="14" t="n">
        <v>378.38245825603</v>
      </c>
      <c r="D52" s="5" t="s">
        <v>286</v>
      </c>
      <c r="E52" s="10" t="s">
        <v>287</v>
      </c>
    </row>
    <row r="53" customFormat="false" ht="15" hidden="false" customHeight="false" outlineLevel="0" collapsed="false">
      <c r="A53" s="10" t="s">
        <v>288</v>
      </c>
      <c r="B53" s="5" t="s">
        <v>63</v>
      </c>
      <c r="C53" s="14" t="n">
        <v>374.471069908815</v>
      </c>
      <c r="D53" s="5" t="s">
        <v>289</v>
      </c>
      <c r="E53" s="10" t="s">
        <v>287</v>
      </c>
    </row>
    <row r="54" customFormat="false" ht="15" hidden="false" customHeight="false" outlineLevel="0" collapsed="false">
      <c r="A54" s="10" t="s">
        <v>290</v>
      </c>
      <c r="B54" s="5" t="s">
        <v>63</v>
      </c>
      <c r="C54" s="14" t="n">
        <v>69.637</v>
      </c>
      <c r="D54" s="5" t="s">
        <v>291</v>
      </c>
      <c r="E54" s="10" t="s">
        <v>287</v>
      </c>
    </row>
    <row r="55" customFormat="false" ht="15" hidden="false" customHeight="false" outlineLevel="0" collapsed="false">
      <c r="A55" s="10" t="s">
        <v>292</v>
      </c>
      <c r="B55" s="5" t="s">
        <v>63</v>
      </c>
      <c r="C55" s="14" t="n">
        <v>62.931</v>
      </c>
      <c r="D55" s="5" t="s">
        <v>293</v>
      </c>
      <c r="E55" s="10" t="s">
        <v>287</v>
      </c>
    </row>
    <row r="56" customFormat="false" ht="15" hidden="false" customHeight="false" outlineLevel="0" collapsed="false">
      <c r="A56" s="10" t="s">
        <v>294</v>
      </c>
      <c r="B56" s="5" t="s">
        <v>63</v>
      </c>
      <c r="C56" s="8" t="n">
        <v>1.085</v>
      </c>
      <c r="D56" s="5" t="s">
        <v>295</v>
      </c>
      <c r="E56" s="10" t="s">
        <v>287</v>
      </c>
    </row>
    <row r="57" customFormat="false" ht="15" hidden="false" customHeight="false" outlineLevel="0" collapsed="false">
      <c r="A57" s="10" t="s">
        <v>296</v>
      </c>
      <c r="B57" s="5" t="s">
        <v>63</v>
      </c>
      <c r="C57" s="15" t="n">
        <v>5110.5</v>
      </c>
      <c r="D57" s="5" t="s">
        <v>297</v>
      </c>
      <c r="E57" s="10" t="s">
        <v>287</v>
      </c>
    </row>
    <row r="58" customFormat="false" ht="15" hidden="false" customHeight="false" outlineLevel="0" collapsed="false">
      <c r="A58" s="10" t="s">
        <v>298</v>
      </c>
      <c r="B58" s="5" t="s">
        <v>63</v>
      </c>
      <c r="C58" s="7" t="n">
        <v>715886</v>
      </c>
      <c r="D58" s="5" t="s">
        <v>299</v>
      </c>
      <c r="E58" s="10" t="s">
        <v>300</v>
      </c>
    </row>
    <row r="59" customFormat="false" ht="15" hidden="false" customHeight="false" outlineLevel="0" collapsed="false">
      <c r="A59" s="10" t="s">
        <v>301</v>
      </c>
      <c r="B59" s="5" t="s">
        <v>63</v>
      </c>
      <c r="C59" s="7" t="n">
        <v>155122</v>
      </c>
      <c r="D59" s="5" t="s">
        <v>302</v>
      </c>
      <c r="E59" s="10" t="s">
        <v>300</v>
      </c>
    </row>
    <row r="60" customFormat="false" ht="15" hidden="false" customHeight="false" outlineLevel="0" collapsed="false">
      <c r="A60" s="10" t="s">
        <v>303</v>
      </c>
      <c r="B60" s="5" t="s">
        <v>63</v>
      </c>
      <c r="C60" s="7" t="n">
        <v>21436</v>
      </c>
      <c r="D60" s="5" t="s">
        <v>304</v>
      </c>
      <c r="E60" s="10" t="s">
        <v>300</v>
      </c>
    </row>
    <row r="61" customFormat="false" ht="15" hidden="false" customHeight="false" outlineLevel="0" collapsed="false">
      <c r="A61" s="10" t="s">
        <v>305</v>
      </c>
      <c r="B61" s="5" t="s">
        <v>63</v>
      </c>
      <c r="C61" s="8" t="n">
        <v>0.277359826321637</v>
      </c>
      <c r="D61" s="5" t="s">
        <v>306</v>
      </c>
      <c r="E61" s="10" t="s">
        <v>307</v>
      </c>
    </row>
    <row r="62" customFormat="false" ht="15" hidden="false" customHeight="false" outlineLevel="0" collapsed="false">
      <c r="A62" s="10" t="s">
        <v>308</v>
      </c>
      <c r="B62" s="5" t="s">
        <v>63</v>
      </c>
      <c r="C62" s="8" t="n">
        <v>0.198183110711039</v>
      </c>
      <c r="D62" s="5" t="s">
        <v>309</v>
      </c>
      <c r="E62" s="10" t="s">
        <v>307</v>
      </c>
    </row>
    <row r="63" customFormat="false" ht="15" hidden="false" customHeight="false" outlineLevel="0" collapsed="false">
      <c r="A63" s="10" t="s">
        <v>310</v>
      </c>
      <c r="B63" s="5" t="s">
        <v>63</v>
      </c>
      <c r="C63" s="8" t="n">
        <v>0.293754391580101</v>
      </c>
      <c r="D63" s="5" t="s">
        <v>311</v>
      </c>
      <c r="E63" s="10" t="s">
        <v>307</v>
      </c>
    </row>
    <row r="64" customFormat="false" ht="15" hidden="false" customHeight="false" outlineLevel="0" collapsed="false">
      <c r="A64" s="10" t="s">
        <v>312</v>
      </c>
      <c r="B64" s="5" t="s">
        <v>63</v>
      </c>
      <c r="C64" s="8" t="n">
        <v>0.230702671387223</v>
      </c>
      <c r="D64" s="5" t="s">
        <v>313</v>
      </c>
      <c r="E64" s="10" t="s">
        <v>307</v>
      </c>
    </row>
    <row r="65" customFormat="false" ht="15" hidden="false" customHeight="false" outlineLevel="0" collapsed="false">
      <c r="A65" s="10" t="s">
        <v>314</v>
      </c>
      <c r="B65" s="5" t="s">
        <v>63</v>
      </c>
      <c r="C65" s="16" t="n">
        <v>0.0148267477203647</v>
      </c>
      <c r="D65" s="5" t="s">
        <v>315</v>
      </c>
      <c r="E65" s="10" t="s">
        <v>307</v>
      </c>
    </row>
    <row r="66" customFormat="false" ht="15" hidden="false" customHeight="false" outlineLevel="0" collapsed="false">
      <c r="A66" s="10" t="s">
        <v>316</v>
      </c>
      <c r="B66" s="5" t="s">
        <v>63</v>
      </c>
      <c r="C66" s="16" t="n">
        <v>0.0254267161410019</v>
      </c>
      <c r="D66" s="5" t="s">
        <v>317</v>
      </c>
      <c r="E66" s="10" t="s">
        <v>307</v>
      </c>
    </row>
    <row r="67" customFormat="false" ht="15" hidden="false" customHeight="false" outlineLevel="0" collapsed="false">
      <c r="A67" s="10" t="s">
        <v>318</v>
      </c>
      <c r="B67" s="5" t="s">
        <v>63</v>
      </c>
      <c r="C67" s="9" t="n">
        <v>3155</v>
      </c>
      <c r="D67" s="5" t="s">
        <v>319</v>
      </c>
      <c r="E67" s="10" t="s">
        <v>320</v>
      </c>
    </row>
    <row r="68" customFormat="false" ht="15" hidden="false" customHeight="false" outlineLevel="0" collapsed="false">
      <c r="A68" s="10" t="s">
        <v>321</v>
      </c>
      <c r="B68" s="5" t="s">
        <v>256</v>
      </c>
      <c r="C68" s="12" t="n">
        <f aca="false">AVERAGE(Historical_Drivers!$E$24/(Historical_Drivers!$E$24+Historical_Drivers!$F$24),Historical_Drivers!$I$24/(Historical_Drivers!$I$24+Historical_Drivers!$J$24),Historical_Drivers!$M$24/(Historical_Drivers!$M$24+Historical_Drivers!$N$24))</f>
        <v>0.563294329697589</v>
      </c>
    </row>
    <row r="69" customFormat="false" ht="15" hidden="false" customHeight="false" outlineLevel="0" collapsed="false">
      <c r="A69" s="10" t="s">
        <v>322</v>
      </c>
      <c r="B69" s="5" t="s">
        <v>256</v>
      </c>
      <c r="C69" s="17" t="n">
        <f aca="false">(Historical_Drivers!$C$42+Historical_Drivers!$C$43)/2-Historical_Drivers!$C$59/1000</f>
        <v>129.878</v>
      </c>
    </row>
    <row r="70" customFormat="false" ht="15" hidden="false" customHeight="false" outlineLevel="0" collapsed="false">
      <c r="A70" s="10" t="s">
        <v>323</v>
      </c>
      <c r="B70" s="5" t="s">
        <v>256</v>
      </c>
      <c r="C70" s="17" t="n">
        <f aca="false">(Historical_Drivers!$K$6+Historical_Drivers!$L$6+Historical_Drivers!$M$6+Historical_Drivers!$N$6)/1000</f>
        <v>1231.997</v>
      </c>
    </row>
    <row r="71" customFormat="false" ht="15" hidden="false" customHeight="false" outlineLevel="0" collapsed="false">
      <c r="A71" s="10" t="s">
        <v>324</v>
      </c>
      <c r="B71" s="5" t="s">
        <v>256</v>
      </c>
      <c r="C71" s="17" t="n">
        <f aca="false">(Historical_Drivers!$K$16+Historical_Drivers!$L$16+Historical_Drivers!$M$16+Historical_Drivers!$N$16)/1000</f>
        <v>175.263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22"/>
    <col collapsed="false" customWidth="true" hidden="false" outlineLevel="0" max="4" min="4" style="0" width="30"/>
    <col collapsed="false" customWidth="true" hidden="false" outlineLevel="0" max="5" min="5" style="0" width="16"/>
    <col collapsed="false" customWidth="true" hidden="false" outlineLevel="0" max="6" min="6" style="0" width="60"/>
  </cols>
  <sheetData>
    <row r="1" customFormat="false" ht="16.15" hidden="false" customHeight="false" outlineLevel="0" collapsed="false">
      <c r="A1" s="4" t="s">
        <v>325</v>
      </c>
    </row>
    <row r="2" customFormat="false" ht="15" hidden="false" customHeight="false" outlineLevel="0" collapsed="false">
      <c r="A2" s="5" t="s">
        <v>326</v>
      </c>
    </row>
    <row r="4" customFormat="false" ht="15" hidden="false" customHeight="false" outlineLevel="0" collapsed="false">
      <c r="A4" s="2" t="s">
        <v>327</v>
      </c>
    </row>
    <row r="5" customFormat="false" ht="42" hidden="false" customHeight="true" outlineLevel="0" collapsed="false">
      <c r="A5" s="18" t="s">
        <v>328</v>
      </c>
      <c r="B5" s="19" t="s">
        <v>329</v>
      </c>
      <c r="C5" s="19"/>
      <c r="D5" s="19"/>
      <c r="E5" s="19"/>
      <c r="F5" s="19"/>
    </row>
    <row r="6" customFormat="false" ht="42" hidden="false" customHeight="true" outlineLevel="0" collapsed="false">
      <c r="A6" s="18" t="s">
        <v>330</v>
      </c>
      <c r="B6" s="19" t="s">
        <v>331</v>
      </c>
      <c r="C6" s="19"/>
      <c r="D6" s="19"/>
      <c r="E6" s="19"/>
      <c r="F6" s="19"/>
    </row>
    <row r="7" customFormat="false" ht="42" hidden="false" customHeight="true" outlineLevel="0" collapsed="false">
      <c r="A7" s="18" t="s">
        <v>332</v>
      </c>
      <c r="B7" s="19" t="s">
        <v>333</v>
      </c>
      <c r="C7" s="19"/>
      <c r="D7" s="19"/>
      <c r="E7" s="19"/>
      <c r="F7" s="19"/>
    </row>
    <row r="8" customFormat="false" ht="42" hidden="false" customHeight="true" outlineLevel="0" collapsed="false">
      <c r="A8" s="18" t="s">
        <v>334</v>
      </c>
      <c r="B8" s="19" t="s">
        <v>335</v>
      </c>
      <c r="C8" s="19"/>
      <c r="D8" s="19"/>
      <c r="E8" s="19"/>
      <c r="F8" s="19"/>
    </row>
    <row r="9" customFormat="false" ht="42" hidden="false" customHeight="true" outlineLevel="0" collapsed="false">
      <c r="A9" s="18" t="s">
        <v>336</v>
      </c>
      <c r="B9" s="19" t="s">
        <v>337</v>
      </c>
      <c r="C9" s="19"/>
      <c r="D9" s="19"/>
      <c r="E9" s="19"/>
      <c r="F9" s="19"/>
    </row>
    <row r="11" customFormat="false" ht="15" hidden="false" customHeight="false" outlineLevel="0" collapsed="false">
      <c r="A11" s="2" t="s">
        <v>338</v>
      </c>
    </row>
    <row r="12" customFormat="false" ht="15" hidden="false" customHeight="false" outlineLevel="0" collapsed="false">
      <c r="A12" s="6" t="s">
        <v>339</v>
      </c>
      <c r="B12" s="6" t="s">
        <v>61</v>
      </c>
      <c r="C12" s="6" t="s">
        <v>65</v>
      </c>
      <c r="D12" s="6" t="s">
        <v>340</v>
      </c>
      <c r="E12" s="6" t="s">
        <v>65</v>
      </c>
      <c r="F12" s="6" t="s">
        <v>47</v>
      </c>
    </row>
    <row r="13" customFormat="false" ht="15" hidden="false" customHeight="false" outlineLevel="0" collapsed="false">
      <c r="A13" s="10" t="s">
        <v>341</v>
      </c>
      <c r="B13" s="7" t="n">
        <v>55354</v>
      </c>
      <c r="C13" s="5" t="s">
        <v>342</v>
      </c>
      <c r="D13" s="7" t="n">
        <v>160041</v>
      </c>
      <c r="E13" s="5" t="s">
        <v>343</v>
      </c>
      <c r="F13" s="5" t="s">
        <v>63</v>
      </c>
    </row>
    <row r="14" customFormat="false" ht="15" hidden="false" customHeight="false" outlineLevel="0" collapsed="false">
      <c r="A14" s="10" t="s">
        <v>344</v>
      </c>
      <c r="B14" s="7" t="n">
        <v>-3790</v>
      </c>
      <c r="C14" s="5" t="s">
        <v>345</v>
      </c>
      <c r="D14" s="7" t="n">
        <v>-6237</v>
      </c>
      <c r="E14" s="5" t="s">
        <v>346</v>
      </c>
      <c r="F14" s="5" t="s">
        <v>63</v>
      </c>
    </row>
    <row r="15" customFormat="false" ht="15" hidden="false" customHeight="false" outlineLevel="0" collapsed="false">
      <c r="A15" s="10" t="s">
        <v>347</v>
      </c>
      <c r="B15" s="7" t="n">
        <v>-1106</v>
      </c>
      <c r="C15" s="5" t="s">
        <v>348</v>
      </c>
      <c r="D15" s="7" t="n">
        <v>-1590</v>
      </c>
      <c r="E15" s="5" t="s">
        <v>349</v>
      </c>
      <c r="F15" s="5" t="s">
        <v>63</v>
      </c>
    </row>
    <row r="16" customFormat="false" ht="15" hidden="false" customHeight="false" outlineLevel="0" collapsed="false">
      <c r="A16" s="10" t="s">
        <v>350</v>
      </c>
      <c r="B16" s="7" t="n">
        <v>1886</v>
      </c>
      <c r="C16" s="5" t="s">
        <v>351</v>
      </c>
      <c r="D16" s="7" t="n">
        <v>2908</v>
      </c>
      <c r="E16" s="5" t="s">
        <v>352</v>
      </c>
      <c r="F16" s="5" t="s">
        <v>63</v>
      </c>
    </row>
    <row r="17" customFormat="false" ht="15" hidden="false" customHeight="false" outlineLevel="0" collapsed="false">
      <c r="A17" s="2" t="s">
        <v>353</v>
      </c>
      <c r="B17" s="10" t="s">
        <v>354</v>
      </c>
      <c r="D17" s="10" t="s">
        <v>354</v>
      </c>
      <c r="F17" s="5" t="s">
        <v>355</v>
      </c>
    </row>
    <row r="18" customFormat="false" ht="15" hidden="false" customHeight="false" outlineLevel="0" collapsed="false">
      <c r="A18" s="10" t="s">
        <v>356</v>
      </c>
      <c r="B18" s="13" t="n">
        <f aca="false">SUM(B13:B16)</f>
        <v>52344</v>
      </c>
      <c r="D18" s="13" t="n">
        <f aca="false">SUM(D13:D16)</f>
        <v>155122</v>
      </c>
      <c r="F18" s="5" t="s">
        <v>256</v>
      </c>
    </row>
    <row r="19" customFormat="false" ht="15" hidden="false" customHeight="false" outlineLevel="0" collapsed="false">
      <c r="A19" s="10" t="s">
        <v>357</v>
      </c>
      <c r="B19" s="7" t="n">
        <v>52344</v>
      </c>
      <c r="C19" s="5" t="s">
        <v>202</v>
      </c>
      <c r="D19" s="7" t="n">
        <v>155122</v>
      </c>
      <c r="E19" s="5" t="s">
        <v>302</v>
      </c>
      <c r="F19" s="5" t="s">
        <v>63</v>
      </c>
    </row>
    <row r="21" customFormat="false" ht="15" hidden="false" customHeight="false" outlineLevel="0" collapsed="false">
      <c r="A21" s="2" t="s">
        <v>358</v>
      </c>
    </row>
    <row r="22" customFormat="false" ht="43.5" hidden="false" customHeight="true" outlineLevel="0" collapsed="false">
      <c r="A22" s="19" t="s">
        <v>359</v>
      </c>
      <c r="B22" s="19"/>
      <c r="C22" s="19"/>
      <c r="D22" s="19"/>
      <c r="E22" s="19"/>
      <c r="F22" s="19"/>
    </row>
    <row r="23" customFormat="false" ht="43.5" hidden="false" customHeight="true" outlineLevel="0" collapsed="false">
      <c r="A23" s="19" t="s">
        <v>360</v>
      </c>
      <c r="B23" s="19"/>
      <c r="C23" s="19"/>
      <c r="D23" s="19"/>
      <c r="E23" s="19"/>
      <c r="F23" s="19"/>
    </row>
    <row r="24" customFormat="false" ht="43.5" hidden="false" customHeight="true" outlineLevel="0" collapsed="false">
      <c r="A24" s="19" t="s">
        <v>361</v>
      </c>
      <c r="B24" s="19"/>
      <c r="C24" s="19"/>
      <c r="D24" s="19"/>
      <c r="E24" s="19"/>
      <c r="F24" s="19"/>
    </row>
    <row r="26" customFormat="false" ht="15" hidden="false" customHeight="false" outlineLevel="0" collapsed="false">
      <c r="A26" s="2" t="s">
        <v>362</v>
      </c>
    </row>
    <row r="27" customFormat="false" ht="15" hidden="false" customHeight="false" outlineLevel="0" collapsed="false">
      <c r="A27" s="6" t="s">
        <v>363</v>
      </c>
      <c r="B27" s="6" t="s">
        <v>364</v>
      </c>
      <c r="C27" s="6" t="s">
        <v>262</v>
      </c>
      <c r="D27" s="6" t="s">
        <v>365</v>
      </c>
      <c r="E27" s="6" t="s">
        <v>366</v>
      </c>
      <c r="F27" s="6" t="s">
        <v>47</v>
      </c>
    </row>
    <row r="28" customFormat="false" ht="15" hidden="false" customHeight="false" outlineLevel="0" collapsed="false">
      <c r="A28" s="10" t="s">
        <v>367</v>
      </c>
      <c r="B28" s="13" t="n">
        <f aca="false">Historical_Drivers!$N$38</f>
        <v>1665457</v>
      </c>
      <c r="C28" s="5" t="s">
        <v>368</v>
      </c>
      <c r="D28" s="18"/>
      <c r="E28" s="10" t="s">
        <v>369</v>
      </c>
      <c r="F28" s="5" t="s">
        <v>256</v>
      </c>
    </row>
    <row r="29" customFormat="false" ht="46.25" hidden="false" customHeight="false" outlineLevel="0" collapsed="false">
      <c r="A29" s="10" t="s">
        <v>370</v>
      </c>
      <c r="B29" s="13" t="n">
        <f aca="false">Historical_Drivers!$C$59</f>
        <v>155122</v>
      </c>
      <c r="C29" s="5" t="s">
        <v>302</v>
      </c>
      <c r="D29" s="18" t="s">
        <v>371</v>
      </c>
      <c r="E29" s="10" t="s">
        <v>372</v>
      </c>
      <c r="F29" s="5" t="s">
        <v>373</v>
      </c>
    </row>
    <row r="30" customFormat="false" ht="23.85" hidden="false" customHeight="false" outlineLevel="0" collapsed="false">
      <c r="A30" s="10" t="s">
        <v>374</v>
      </c>
      <c r="B30" s="13" t="n">
        <f aca="false">-D16</f>
        <v>-2908</v>
      </c>
      <c r="C30" s="5" t="s">
        <v>352</v>
      </c>
      <c r="D30" s="18" t="s">
        <v>375</v>
      </c>
      <c r="E30" s="10" t="s">
        <v>376</v>
      </c>
      <c r="F30" s="5" t="s">
        <v>373</v>
      </c>
    </row>
    <row r="31" customFormat="false" ht="15" hidden="false" customHeight="false" outlineLevel="0" collapsed="false">
      <c r="A31" s="10" t="s">
        <v>377</v>
      </c>
      <c r="B31" s="7" t="n">
        <v>-734971</v>
      </c>
      <c r="C31" s="5" t="s">
        <v>378</v>
      </c>
      <c r="D31" s="18" t="s">
        <v>379</v>
      </c>
      <c r="E31" s="10" t="s">
        <v>380</v>
      </c>
      <c r="F31" s="5" t="s">
        <v>63</v>
      </c>
    </row>
    <row r="32" customFormat="false" ht="15" hidden="false" customHeight="false" outlineLevel="0" collapsed="false">
      <c r="A32" s="10" t="s">
        <v>381</v>
      </c>
      <c r="B32" s="7" t="n">
        <v>-13200</v>
      </c>
      <c r="C32" s="5" t="s">
        <v>382</v>
      </c>
      <c r="D32" s="18" t="s">
        <v>383</v>
      </c>
      <c r="E32" s="10" t="s">
        <v>376</v>
      </c>
      <c r="F32" s="5" t="s">
        <v>63</v>
      </c>
    </row>
    <row r="33" customFormat="false" ht="15" hidden="false" customHeight="false" outlineLevel="0" collapsed="false">
      <c r="A33" s="10" t="s">
        <v>384</v>
      </c>
      <c r="B33" s="7" t="n">
        <v>-6000</v>
      </c>
      <c r="C33" s="5" t="s">
        <v>382</v>
      </c>
      <c r="D33" s="18" t="s">
        <v>385</v>
      </c>
      <c r="E33" s="10" t="s">
        <v>386</v>
      </c>
      <c r="F33" s="5" t="s">
        <v>63</v>
      </c>
    </row>
    <row r="34" customFormat="false" ht="15" hidden="false" customHeight="false" outlineLevel="0" collapsed="false">
      <c r="A34" s="10" t="s">
        <v>387</v>
      </c>
      <c r="B34" s="7" t="n">
        <v>-4332</v>
      </c>
      <c r="C34" s="5" t="s">
        <v>382</v>
      </c>
      <c r="D34" s="18"/>
      <c r="E34" s="10" t="s">
        <v>386</v>
      </c>
      <c r="F34" s="5" t="s">
        <v>63</v>
      </c>
    </row>
    <row r="35" customFormat="false" ht="15" hidden="false" customHeight="false" outlineLevel="0" collapsed="false">
      <c r="A35" s="10" t="s">
        <v>388</v>
      </c>
      <c r="B35" s="7" t="n">
        <v>15369</v>
      </c>
      <c r="C35" s="5" t="s">
        <v>382</v>
      </c>
      <c r="D35" s="18"/>
      <c r="E35" s="10" t="s">
        <v>386</v>
      </c>
      <c r="F35" s="5" t="s">
        <v>63</v>
      </c>
    </row>
    <row r="36" customFormat="false" ht="15" hidden="false" customHeight="false" outlineLevel="0" collapsed="false">
      <c r="A36" s="10" t="s">
        <v>389</v>
      </c>
      <c r="B36" s="7" t="n">
        <v>-1829</v>
      </c>
      <c r="C36" s="5" t="s">
        <v>382</v>
      </c>
      <c r="D36" s="18"/>
      <c r="E36" s="10" t="s">
        <v>386</v>
      </c>
      <c r="F36" s="5" t="s">
        <v>63</v>
      </c>
    </row>
    <row r="37" customFormat="false" ht="23.85" hidden="false" customHeight="false" outlineLevel="0" collapsed="false">
      <c r="A37" s="10" t="s">
        <v>390</v>
      </c>
      <c r="B37" s="7" t="n">
        <v>1693</v>
      </c>
      <c r="C37" s="5" t="s">
        <v>382</v>
      </c>
      <c r="D37" s="18" t="s">
        <v>391</v>
      </c>
      <c r="E37" s="10" t="s">
        <v>386</v>
      </c>
      <c r="F37" s="5" t="s">
        <v>63</v>
      </c>
    </row>
    <row r="38" customFormat="false" ht="23.85" hidden="false" customHeight="false" outlineLevel="0" collapsed="false">
      <c r="A38" s="10" t="s">
        <v>392</v>
      </c>
      <c r="B38" s="7" t="n">
        <v>0</v>
      </c>
      <c r="C38" s="5" t="s">
        <v>382</v>
      </c>
      <c r="D38" s="18" t="s">
        <v>393</v>
      </c>
      <c r="E38" s="10" t="s">
        <v>394</v>
      </c>
      <c r="F38" s="5" t="s">
        <v>63</v>
      </c>
    </row>
    <row r="39" customFormat="false" ht="15" hidden="false" customHeight="false" outlineLevel="0" collapsed="false">
      <c r="A39" s="10" t="s">
        <v>395</v>
      </c>
      <c r="B39" s="13" t="n">
        <f aca="false">B40-B28-SUM(B29:B38)</f>
        <v>-1646</v>
      </c>
      <c r="C39" s="5" t="s">
        <v>396</v>
      </c>
      <c r="E39" s="10" t="s">
        <v>397</v>
      </c>
      <c r="F39" s="5" t="s">
        <v>256</v>
      </c>
    </row>
    <row r="40" customFormat="false" ht="15" hidden="false" customHeight="false" outlineLevel="0" collapsed="false">
      <c r="A40" s="10" t="s">
        <v>398</v>
      </c>
      <c r="B40" s="13" t="n">
        <f aca="false">Historical_Drivers!$P$38</f>
        <v>1072755</v>
      </c>
      <c r="C40" s="5" t="s">
        <v>399</v>
      </c>
      <c r="D40" s="18"/>
      <c r="E40" s="10" t="s">
        <v>369</v>
      </c>
      <c r="F40" s="5" t="s">
        <v>256</v>
      </c>
    </row>
    <row r="42" customFormat="false" ht="15" hidden="false" customHeight="false" outlineLevel="0" collapsed="false">
      <c r="A42" s="10" t="s">
        <v>400</v>
      </c>
      <c r="B42" s="13" t="n">
        <f aca="false">SUM(B30:B39)-B31</f>
        <v>-12853</v>
      </c>
      <c r="F42" s="5" t="s">
        <v>256</v>
      </c>
    </row>
    <row r="43" customFormat="false" ht="15" hidden="false" customHeight="false" outlineLevel="0" collapsed="false">
      <c r="A43" s="10" t="s">
        <v>401</v>
      </c>
      <c r="B43" s="17" t="n">
        <f aca="false">B42/2/1000</f>
        <v>-6.4265</v>
      </c>
      <c r="F43" s="5" t="s">
        <v>256</v>
      </c>
    </row>
    <row r="44" customFormat="false" ht="15" hidden="false" customHeight="false" outlineLevel="0" collapsed="false">
      <c r="A44" s="10" t="s">
        <v>402</v>
      </c>
      <c r="B44" s="17" t="n">
        <f aca="false">(B42-B32-B30)/2/1000</f>
        <v>1.6275</v>
      </c>
      <c r="F44" s="5" t="s">
        <v>256</v>
      </c>
    </row>
    <row r="46" customFormat="false" ht="15" hidden="false" customHeight="false" outlineLevel="0" collapsed="false">
      <c r="A46" s="2" t="s">
        <v>403</v>
      </c>
    </row>
    <row r="47" customFormat="false" ht="23.85" hidden="false" customHeight="false" outlineLevel="0" collapsed="false">
      <c r="A47" s="10" t="s">
        <v>404</v>
      </c>
      <c r="B47" s="7" t="n">
        <v>-112915</v>
      </c>
      <c r="C47" s="5" t="s">
        <v>382</v>
      </c>
      <c r="D47" s="18" t="s">
        <v>405</v>
      </c>
      <c r="E47" s="10" t="s">
        <v>406</v>
      </c>
      <c r="F47" s="5" t="s">
        <v>63</v>
      </c>
    </row>
    <row r="48" customFormat="false" ht="15" hidden="false" customHeight="false" outlineLevel="0" collapsed="false">
      <c r="A48" s="10" t="s">
        <v>407</v>
      </c>
      <c r="B48" s="7" t="n">
        <v>55917</v>
      </c>
      <c r="C48" s="5" t="s">
        <v>382</v>
      </c>
      <c r="D48" s="18"/>
      <c r="E48" s="10" t="s">
        <v>406</v>
      </c>
      <c r="F48" s="5" t="s">
        <v>63</v>
      </c>
    </row>
    <row r="49" customFormat="false" ht="15" hidden="false" customHeight="false" outlineLevel="0" collapsed="false">
      <c r="A49" s="10" t="s">
        <v>408</v>
      </c>
      <c r="B49" s="13" t="n">
        <f aca="false">B47+B48+B32+B33+B34+B35+B36</f>
        <v>-66990</v>
      </c>
      <c r="F49" s="5" t="s">
        <v>256</v>
      </c>
    </row>
    <row r="50" customFormat="false" ht="15" hidden="false" customHeight="false" outlineLevel="0" collapsed="false">
      <c r="A50" s="10" t="s">
        <v>409</v>
      </c>
      <c r="B50" s="7" t="n">
        <v>-66990</v>
      </c>
      <c r="C50" s="5" t="s">
        <v>410</v>
      </c>
      <c r="F50" s="5" t="s">
        <v>63</v>
      </c>
    </row>
    <row r="51" customFormat="false" ht="36" hidden="false" customHeight="true" outlineLevel="0" collapsed="false">
      <c r="A51" s="19" t="s">
        <v>411</v>
      </c>
      <c r="B51" s="19"/>
      <c r="C51" s="19"/>
      <c r="D51" s="19"/>
      <c r="E51" s="19"/>
      <c r="F51" s="19"/>
    </row>
    <row r="53" customFormat="false" ht="15" hidden="false" customHeight="false" outlineLevel="0" collapsed="false">
      <c r="A53" s="2" t="s">
        <v>412</v>
      </c>
    </row>
    <row r="54" customFormat="false" ht="15" hidden="false" customHeight="false" outlineLevel="0" collapsed="false">
      <c r="A54" s="10" t="s">
        <v>413</v>
      </c>
      <c r="B54" s="7" t="n">
        <v>-88357</v>
      </c>
      <c r="C54" s="5" t="s">
        <v>382</v>
      </c>
      <c r="D54" s="18"/>
      <c r="E54" s="10" t="s">
        <v>414</v>
      </c>
      <c r="F54" s="5" t="s">
        <v>63</v>
      </c>
    </row>
    <row r="55" customFormat="false" ht="15" hidden="false" customHeight="false" outlineLevel="0" collapsed="false">
      <c r="A55" s="10" t="s">
        <v>415</v>
      </c>
      <c r="B55" s="7" t="n">
        <v>-721431</v>
      </c>
      <c r="C55" s="5" t="s">
        <v>382</v>
      </c>
      <c r="D55" s="18"/>
      <c r="E55" s="10" t="s">
        <v>414</v>
      </c>
      <c r="F55" s="5" t="s">
        <v>63</v>
      </c>
    </row>
    <row r="56" customFormat="false" ht="15" hidden="false" customHeight="false" outlineLevel="0" collapsed="false">
      <c r="A56" s="10" t="s">
        <v>416</v>
      </c>
      <c r="B56" s="13" t="n">
        <f aca="false">D14</f>
        <v>-6237</v>
      </c>
      <c r="C56" s="5" t="s">
        <v>346</v>
      </c>
      <c r="D56" s="18"/>
      <c r="E56" s="10" t="s">
        <v>414</v>
      </c>
      <c r="F56" s="5" t="s">
        <v>373</v>
      </c>
    </row>
    <row r="57" customFormat="false" ht="15" hidden="false" customHeight="false" outlineLevel="0" collapsed="false">
      <c r="A57" s="10" t="s">
        <v>417</v>
      </c>
      <c r="B57" s="13" t="n">
        <f aca="false">D15</f>
        <v>-1590</v>
      </c>
      <c r="C57" s="5" t="s">
        <v>349</v>
      </c>
      <c r="D57" s="18"/>
      <c r="E57" s="10" t="s">
        <v>414</v>
      </c>
      <c r="F57" s="5" t="s">
        <v>373</v>
      </c>
    </row>
    <row r="58" customFormat="false" ht="15" hidden="false" customHeight="false" outlineLevel="0" collapsed="false">
      <c r="A58" s="10" t="s">
        <v>341</v>
      </c>
      <c r="B58" s="13" t="n">
        <f aca="false">D13</f>
        <v>160041</v>
      </c>
      <c r="C58" s="5" t="s">
        <v>343</v>
      </c>
      <c r="D58" s="18"/>
      <c r="E58" s="10" t="s">
        <v>414</v>
      </c>
      <c r="F58" s="5" t="s">
        <v>373</v>
      </c>
    </row>
  </sheetData>
  <mergeCells count="9">
    <mergeCell ref="B5:F5"/>
    <mergeCell ref="B6:F6"/>
    <mergeCell ref="B7:F7"/>
    <mergeCell ref="B8:F8"/>
    <mergeCell ref="B9:F9"/>
    <mergeCell ref="A22:F22"/>
    <mergeCell ref="A23:F23"/>
    <mergeCell ref="A24:F24"/>
    <mergeCell ref="A51:F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4" min="3" style="0" width="11"/>
    <col collapsed="false" customWidth="true" hidden="false" outlineLevel="0" max="5" min="5" style="0" width="10"/>
    <col collapsed="false" customWidth="true" hidden="false" outlineLevel="0" max="6" min="6" style="0" width="22"/>
    <col collapsed="false" customWidth="true" hidden="false" outlineLevel="0" max="7" min="7" style="0" width="40"/>
    <col collapsed="false" customWidth="true" hidden="false" outlineLevel="0" max="8" min="8" style="0" width="52"/>
    <col collapsed="false" customWidth="true" hidden="false" outlineLevel="0" max="9" min="9" style="0" width="34"/>
    <col collapsed="false" customWidth="true" hidden="false" outlineLevel="0" max="10" min="10" style="0" width="46"/>
    <col collapsed="false" customWidth="true" hidden="false" outlineLevel="0" max="11" min="11" style="0" width="12"/>
  </cols>
  <sheetData>
    <row r="1" customFormat="false" ht="16.15" hidden="false" customHeight="false" outlineLevel="0" collapsed="false">
      <c r="A1" s="4" t="s">
        <v>418</v>
      </c>
    </row>
    <row r="2" customFormat="false" ht="15" hidden="false" customHeight="false" outlineLevel="0" collapsed="false">
      <c r="A2" s="5" t="s">
        <v>419</v>
      </c>
    </row>
    <row r="4" customFormat="false" ht="15" hidden="false" customHeight="false" outlineLevel="0" collapsed="false">
      <c r="A4" s="6" t="s">
        <v>420</v>
      </c>
      <c r="B4" s="6" t="s">
        <v>421</v>
      </c>
      <c r="C4" s="6" t="s">
        <v>422</v>
      </c>
      <c r="D4" s="6" t="s">
        <v>423</v>
      </c>
      <c r="E4" s="6" t="s">
        <v>263</v>
      </c>
      <c r="F4" s="6" t="s">
        <v>424</v>
      </c>
      <c r="G4" s="6" t="s">
        <v>425</v>
      </c>
      <c r="H4" s="6" t="s">
        <v>426</v>
      </c>
      <c r="I4" s="6" t="s">
        <v>427</v>
      </c>
      <c r="J4" s="6" t="s">
        <v>428</v>
      </c>
      <c r="K4" s="6" t="s">
        <v>47</v>
      </c>
    </row>
    <row r="5" customFormat="false" ht="63.75" hidden="false" customHeight="true" outlineLevel="0" collapsed="false">
      <c r="A5" s="10" t="s">
        <v>429</v>
      </c>
      <c r="B5" s="3" t="s">
        <v>430</v>
      </c>
      <c r="C5" s="20" t="n">
        <v>1.3</v>
      </c>
      <c r="D5" s="20" t="n">
        <v>2.6</v>
      </c>
      <c r="E5" s="10" t="s">
        <v>431</v>
      </c>
      <c r="F5" s="3" t="s">
        <v>432</v>
      </c>
      <c r="G5" s="3" t="s">
        <v>433</v>
      </c>
      <c r="H5" s="3" t="s">
        <v>434</v>
      </c>
      <c r="I5" s="3" t="s">
        <v>435</v>
      </c>
      <c r="J5" s="3" t="s">
        <v>436</v>
      </c>
      <c r="K5" s="5" t="s">
        <v>437</v>
      </c>
    </row>
    <row r="6" customFormat="false" ht="63.75" hidden="false" customHeight="true" outlineLevel="0" collapsed="false">
      <c r="A6" s="10" t="s">
        <v>438</v>
      </c>
      <c r="B6" s="3" t="s">
        <v>439</v>
      </c>
      <c r="C6" s="11" t="n">
        <f aca="false">((Historical_Drivers!$C$46+Historical_Drivers!$C$47)/2*1000-Historical_Drivers!$C$58-(Historical_Drivers!$C$50+Historical_Drivers!$C$51)/2*1000)/((Historical_Drivers!$C$50+Historical_Drivers!$C$51)/2*1000)-1</f>
        <v>0.043669376693767</v>
      </c>
      <c r="D6" s="11" t="n">
        <f aca="false">C6-(D5-C5)/100</f>
        <v>0.030669376693767</v>
      </c>
      <c r="E6" s="10" t="s">
        <v>440</v>
      </c>
      <c r="F6" s="3" t="s">
        <v>441</v>
      </c>
      <c r="G6" s="3" t="s">
        <v>442</v>
      </c>
      <c r="H6" s="3" t="s">
        <v>443</v>
      </c>
      <c r="I6" s="3" t="s">
        <v>444</v>
      </c>
      <c r="J6" s="3" t="s">
        <v>445</v>
      </c>
      <c r="K6" s="5" t="s">
        <v>256</v>
      </c>
    </row>
    <row r="7" customFormat="false" ht="63.75" hidden="false" customHeight="true" outlineLevel="0" collapsed="false">
      <c r="A7" s="10" t="s">
        <v>446</v>
      </c>
      <c r="B7" s="3" t="s">
        <v>447</v>
      </c>
      <c r="C7" s="20" t="n">
        <v>-0.1</v>
      </c>
      <c r="D7" s="20" t="n">
        <v>-0.25</v>
      </c>
      <c r="E7" s="10" t="s">
        <v>448</v>
      </c>
      <c r="F7" s="3" t="s">
        <v>449</v>
      </c>
      <c r="G7" s="3" t="s">
        <v>450</v>
      </c>
      <c r="H7" s="3" t="s">
        <v>451</v>
      </c>
      <c r="I7" s="3" t="s">
        <v>452</v>
      </c>
      <c r="J7" s="3" t="s">
        <v>453</v>
      </c>
      <c r="K7" s="5" t="s">
        <v>437</v>
      </c>
    </row>
    <row r="8" customFormat="false" ht="63.75" hidden="false" customHeight="true" outlineLevel="0" collapsed="false">
      <c r="A8" s="10" t="s">
        <v>454</v>
      </c>
      <c r="B8" s="3" t="s">
        <v>455</v>
      </c>
      <c r="C8" s="20" t="n">
        <v>-0.5</v>
      </c>
      <c r="E8" s="10" t="s">
        <v>456</v>
      </c>
      <c r="F8" s="3" t="s">
        <v>457</v>
      </c>
      <c r="G8" s="3" t="s">
        <v>458</v>
      </c>
      <c r="H8" s="3" t="s">
        <v>459</v>
      </c>
      <c r="I8" s="3" t="s">
        <v>460</v>
      </c>
      <c r="J8" s="3" t="s">
        <v>461</v>
      </c>
      <c r="K8" s="5" t="s">
        <v>437</v>
      </c>
    </row>
    <row r="9" customFormat="false" ht="63.75" hidden="false" customHeight="true" outlineLevel="0" collapsed="false">
      <c r="A9" s="10" t="s">
        <v>462</v>
      </c>
      <c r="B9" s="3" t="s">
        <v>463</v>
      </c>
      <c r="C9" s="20" t="n">
        <v>-0.5</v>
      </c>
      <c r="E9" s="10" t="s">
        <v>456</v>
      </c>
      <c r="F9" s="3" t="s">
        <v>464</v>
      </c>
      <c r="G9" s="3" t="s">
        <v>465</v>
      </c>
      <c r="H9" s="3" t="s">
        <v>466</v>
      </c>
      <c r="I9" s="3" t="s">
        <v>467</v>
      </c>
      <c r="J9" s="3" t="s">
        <v>461</v>
      </c>
      <c r="K9" s="5" t="s">
        <v>437</v>
      </c>
    </row>
    <row r="10" customFormat="false" ht="63.75" hidden="false" customHeight="true" outlineLevel="0" collapsed="false">
      <c r="A10" s="10" t="s">
        <v>468</v>
      </c>
      <c r="B10" s="3" t="s">
        <v>469</v>
      </c>
      <c r="C10" s="20" t="n">
        <v>-0.2</v>
      </c>
      <c r="E10" s="10" t="s">
        <v>456</v>
      </c>
      <c r="F10" s="3" t="s">
        <v>470</v>
      </c>
      <c r="G10" s="3" t="s">
        <v>465</v>
      </c>
      <c r="H10" s="3" t="s">
        <v>471</v>
      </c>
      <c r="I10" s="3" t="s">
        <v>472</v>
      </c>
      <c r="J10" s="3" t="s">
        <v>461</v>
      </c>
      <c r="K10" s="5" t="s">
        <v>437</v>
      </c>
    </row>
    <row r="11" customFormat="false" ht="63.75" hidden="false" customHeight="true" outlineLevel="0" collapsed="false">
      <c r="A11" s="10" t="s">
        <v>473</v>
      </c>
      <c r="B11" s="3" t="s">
        <v>474</v>
      </c>
      <c r="C11" s="21" t="n">
        <v>1.23</v>
      </c>
      <c r="D11" s="21" t="n">
        <v>1</v>
      </c>
      <c r="E11" s="10" t="s">
        <v>475</v>
      </c>
      <c r="F11" s="3" t="s">
        <v>476</v>
      </c>
      <c r="G11" s="3" t="s">
        <v>477</v>
      </c>
      <c r="H11" s="3" t="s">
        <v>478</v>
      </c>
      <c r="I11" s="3" t="s">
        <v>479</v>
      </c>
      <c r="J11" s="3" t="s">
        <v>480</v>
      </c>
      <c r="K11" s="5" t="s">
        <v>437</v>
      </c>
    </row>
    <row r="12" customFormat="false" ht="63.75" hidden="false" customHeight="true" outlineLevel="0" collapsed="false">
      <c r="A12" s="10" t="s">
        <v>481</v>
      </c>
      <c r="B12" s="3" t="s">
        <v>482</v>
      </c>
      <c r="C12" s="22" t="n">
        <v>32.5</v>
      </c>
      <c r="D12" s="22" t="n">
        <v>35</v>
      </c>
      <c r="E12" s="10" t="s">
        <v>266</v>
      </c>
      <c r="F12" s="3" t="s">
        <v>483</v>
      </c>
      <c r="G12" s="3" t="s">
        <v>484</v>
      </c>
      <c r="H12" s="3" t="s">
        <v>485</v>
      </c>
      <c r="I12" s="3" t="s">
        <v>486</v>
      </c>
      <c r="J12" s="3" t="s">
        <v>487</v>
      </c>
      <c r="K12" s="5" t="s">
        <v>437</v>
      </c>
    </row>
    <row r="13" customFormat="false" ht="63.75" hidden="false" customHeight="true" outlineLevel="0" collapsed="false">
      <c r="A13" s="10" t="s">
        <v>488</v>
      </c>
      <c r="B13" s="3" t="s">
        <v>489</v>
      </c>
      <c r="C13" s="23" t="n">
        <v>0.105</v>
      </c>
      <c r="D13" s="23" t="n">
        <v>0.105</v>
      </c>
      <c r="E13" s="10" t="s">
        <v>307</v>
      </c>
      <c r="F13" s="3" t="s">
        <v>490</v>
      </c>
      <c r="G13" s="3" t="s">
        <v>491</v>
      </c>
      <c r="H13" s="3" t="s">
        <v>492</v>
      </c>
      <c r="I13" s="3" t="s">
        <v>493</v>
      </c>
      <c r="J13" s="3" t="s">
        <v>494</v>
      </c>
      <c r="K13" s="5" t="s">
        <v>437</v>
      </c>
    </row>
    <row r="14" customFormat="false" ht="63.75" hidden="false" customHeight="true" outlineLevel="0" collapsed="false">
      <c r="A14" s="10" t="s">
        <v>495</v>
      </c>
      <c r="B14" s="3" t="s">
        <v>496</v>
      </c>
      <c r="C14" s="22" t="n">
        <v>50</v>
      </c>
      <c r="D14" s="22" t="n">
        <v>50</v>
      </c>
      <c r="E14" s="10" t="s">
        <v>266</v>
      </c>
      <c r="F14" s="3" t="s">
        <v>497</v>
      </c>
      <c r="G14" s="3" t="s">
        <v>498</v>
      </c>
      <c r="H14" s="3" t="s">
        <v>499</v>
      </c>
      <c r="I14" s="3" t="s">
        <v>486</v>
      </c>
      <c r="J14" s="3" t="s">
        <v>500</v>
      </c>
      <c r="K14" s="5" t="s">
        <v>437</v>
      </c>
    </row>
    <row r="15" customFormat="false" ht="63.75" hidden="false" customHeight="true" outlineLevel="0" collapsed="false">
      <c r="A15" s="10" t="s">
        <v>501</v>
      </c>
      <c r="B15" s="3" t="s">
        <v>502</v>
      </c>
      <c r="C15" s="22" t="n">
        <v>0</v>
      </c>
      <c r="D15" s="22" t="n">
        <v>0</v>
      </c>
      <c r="E15" s="10" t="s">
        <v>266</v>
      </c>
      <c r="F15" s="3" t="s">
        <v>503</v>
      </c>
      <c r="G15" s="3" t="s">
        <v>504</v>
      </c>
      <c r="H15" s="3" t="s">
        <v>505</v>
      </c>
      <c r="I15" s="3" t="s">
        <v>506</v>
      </c>
      <c r="J15" s="3" t="s">
        <v>507</v>
      </c>
      <c r="K15" s="5" t="s">
        <v>437</v>
      </c>
    </row>
    <row r="16" customFormat="false" ht="63.75" hidden="false" customHeight="true" outlineLevel="0" collapsed="false">
      <c r="A16" s="10" t="s">
        <v>508</v>
      </c>
      <c r="B16" s="3" t="s">
        <v>509</v>
      </c>
      <c r="C16" s="17" t="n">
        <f aca="false">Cash_Bridge!$B$43</f>
        <v>-6.4265</v>
      </c>
      <c r="D16" s="17" t="n">
        <f aca="false">Cash_Bridge!$B$43</f>
        <v>-6.4265</v>
      </c>
      <c r="E16" s="10" t="s">
        <v>266</v>
      </c>
      <c r="F16" s="3" t="s">
        <v>510</v>
      </c>
      <c r="G16" s="3" t="s">
        <v>511</v>
      </c>
      <c r="H16" s="3" t="s">
        <v>512</v>
      </c>
      <c r="I16" s="3" t="s">
        <v>513</v>
      </c>
      <c r="J16" s="3" t="s">
        <v>514</v>
      </c>
      <c r="K16" s="5" t="s">
        <v>515</v>
      </c>
    </row>
    <row r="17" customFormat="false" ht="63.75" hidden="false" customHeight="true" outlineLevel="0" collapsed="false">
      <c r="A17" s="10" t="s">
        <v>516</v>
      </c>
      <c r="B17" s="3" t="s">
        <v>517</v>
      </c>
      <c r="C17" s="24" t="n">
        <v>-0.25</v>
      </c>
      <c r="D17" s="25" t="n">
        <f aca="false">(D18-Historical_Drivers!$C$56)*100/5</f>
        <v>-0.699999999999998</v>
      </c>
      <c r="E17" s="10" t="s">
        <v>448</v>
      </c>
      <c r="F17" s="3" t="s">
        <v>518</v>
      </c>
      <c r="G17" s="3" t="s">
        <v>519</v>
      </c>
      <c r="H17" s="3" t="s">
        <v>520</v>
      </c>
      <c r="I17" s="3" t="s">
        <v>521</v>
      </c>
      <c r="J17" s="3" t="s">
        <v>522</v>
      </c>
      <c r="K17" s="5" t="s">
        <v>437</v>
      </c>
    </row>
    <row r="18" customFormat="false" ht="63.75" hidden="false" customHeight="true" outlineLevel="0" collapsed="false">
      <c r="A18" s="10" t="s">
        <v>523</v>
      </c>
      <c r="B18" s="3" t="s">
        <v>524</v>
      </c>
      <c r="D18" s="23" t="n">
        <v>1.05</v>
      </c>
      <c r="E18" s="10" t="s">
        <v>307</v>
      </c>
      <c r="F18" s="3" t="s">
        <v>525</v>
      </c>
      <c r="G18" s="3" t="s">
        <v>526</v>
      </c>
      <c r="H18" s="3" t="s">
        <v>527</v>
      </c>
      <c r="I18" s="3" t="s">
        <v>528</v>
      </c>
      <c r="J18" s="3" t="s">
        <v>522</v>
      </c>
      <c r="K18" s="5" t="s">
        <v>437</v>
      </c>
    </row>
    <row r="19" customFormat="false" ht="63.75" hidden="false" customHeight="true" outlineLevel="0" collapsed="false">
      <c r="A19" s="10" t="s">
        <v>529</v>
      </c>
      <c r="B19" s="3" t="s">
        <v>530</v>
      </c>
      <c r="C19" s="26" t="n">
        <f aca="false">MEDIAN(Trigger_History!$H$20:$H$27)</f>
        <v>276.5</v>
      </c>
      <c r="D19" s="26" t="n">
        <f aca="false">MIN(Trigger_History!$H$20:$H$27)</f>
        <v>194</v>
      </c>
      <c r="E19" s="10" t="s">
        <v>531</v>
      </c>
      <c r="F19" s="3" t="s">
        <v>532</v>
      </c>
      <c r="G19" s="3" t="s">
        <v>533</v>
      </c>
      <c r="H19" s="3" t="s">
        <v>534</v>
      </c>
      <c r="I19" s="3" t="s">
        <v>535</v>
      </c>
      <c r="J19" s="3" t="s">
        <v>522</v>
      </c>
      <c r="K19" s="5" t="s">
        <v>256</v>
      </c>
    </row>
    <row r="20" customFormat="false" ht="63.75" hidden="false" customHeight="true" outlineLevel="0" collapsed="false">
      <c r="A20" s="10" t="s">
        <v>536</v>
      </c>
      <c r="B20" s="3" t="s">
        <v>537</v>
      </c>
      <c r="C20" s="23" t="n">
        <v>0.25</v>
      </c>
      <c r="E20" s="10" t="s">
        <v>307</v>
      </c>
      <c r="F20" s="3" t="s">
        <v>538</v>
      </c>
      <c r="G20" s="3" t="s">
        <v>539</v>
      </c>
      <c r="H20" s="3" t="s">
        <v>540</v>
      </c>
      <c r="I20" s="3" t="s">
        <v>541</v>
      </c>
      <c r="J20" s="3" t="s">
        <v>542</v>
      </c>
      <c r="K20" s="5" t="s">
        <v>437</v>
      </c>
    </row>
    <row r="22" customFormat="false" ht="15" hidden="false" customHeight="false" outlineLevel="0" collapsed="false">
      <c r="B22" s="2" t="s">
        <v>543</v>
      </c>
    </row>
    <row r="23" customFormat="false" ht="63.75" hidden="false" customHeight="true" outlineLevel="0" collapsed="false">
      <c r="A23" s="10" t="s">
        <v>544</v>
      </c>
      <c r="B23" s="3" t="s">
        <v>545</v>
      </c>
      <c r="C23" s="27" t="n">
        <v>2</v>
      </c>
      <c r="E23" s="10" t="s">
        <v>546</v>
      </c>
      <c r="F23" s="3" t="s">
        <v>538</v>
      </c>
      <c r="G23" s="3" t="s">
        <v>547</v>
      </c>
      <c r="H23" s="3" t="s">
        <v>548</v>
      </c>
      <c r="I23" s="3" t="s">
        <v>549</v>
      </c>
      <c r="J23" s="3" t="s">
        <v>550</v>
      </c>
      <c r="K23" s="5" t="s">
        <v>437</v>
      </c>
    </row>
    <row r="24" customFormat="false" ht="63.75" hidden="false" customHeight="true" outlineLevel="0" collapsed="false">
      <c r="A24" s="10" t="s">
        <v>551</v>
      </c>
      <c r="B24" s="3" t="s">
        <v>552</v>
      </c>
      <c r="C24" s="23" t="n">
        <v>0.05</v>
      </c>
      <c r="E24" s="10" t="s">
        <v>307</v>
      </c>
      <c r="F24" s="3" t="s">
        <v>538</v>
      </c>
      <c r="G24" s="3" t="s">
        <v>553</v>
      </c>
      <c r="H24" s="3" t="s">
        <v>554</v>
      </c>
      <c r="I24" s="3" t="s">
        <v>555</v>
      </c>
      <c r="J24" s="3" t="s">
        <v>556</v>
      </c>
      <c r="K24" s="5" t="s">
        <v>437</v>
      </c>
    </row>
    <row r="25" customFormat="false" ht="63.75" hidden="false" customHeight="true" outlineLevel="0" collapsed="false">
      <c r="A25" s="10" t="s">
        <v>557</v>
      </c>
      <c r="B25" s="3" t="s">
        <v>558</v>
      </c>
      <c r="C25" s="23" t="n">
        <v>0.1</v>
      </c>
      <c r="E25" s="10" t="s">
        <v>307</v>
      </c>
      <c r="F25" s="3" t="s">
        <v>538</v>
      </c>
      <c r="G25" s="3" t="s">
        <v>553</v>
      </c>
      <c r="H25" s="3" t="s">
        <v>559</v>
      </c>
      <c r="I25" s="3" t="s">
        <v>555</v>
      </c>
      <c r="J25" s="3" t="s">
        <v>560</v>
      </c>
      <c r="K25" s="5" t="s">
        <v>437</v>
      </c>
    </row>
    <row r="26" customFormat="false" ht="63.75" hidden="false" customHeight="true" outlineLevel="0" collapsed="false">
      <c r="A26" s="10" t="s">
        <v>561</v>
      </c>
      <c r="B26" s="3" t="s">
        <v>562</v>
      </c>
      <c r="C26" s="21" t="n">
        <v>0.3</v>
      </c>
      <c r="E26" s="10" t="s">
        <v>475</v>
      </c>
      <c r="F26" s="3" t="s">
        <v>563</v>
      </c>
      <c r="G26" s="3" t="s">
        <v>564</v>
      </c>
      <c r="H26" s="3" t="s">
        <v>565</v>
      </c>
      <c r="I26" s="3" t="s">
        <v>566</v>
      </c>
      <c r="J26" s="3" t="s">
        <v>567</v>
      </c>
      <c r="K26" s="5" t="s">
        <v>437</v>
      </c>
    </row>
    <row r="27" customFormat="false" ht="63.75" hidden="false" customHeight="true" outlineLevel="0" collapsed="false">
      <c r="A27" s="10" t="s">
        <v>568</v>
      </c>
      <c r="B27" s="3" t="s">
        <v>569</v>
      </c>
      <c r="C27" s="21" t="n">
        <v>0.1</v>
      </c>
      <c r="E27" s="10" t="s">
        <v>475</v>
      </c>
      <c r="F27" s="3" t="s">
        <v>563</v>
      </c>
      <c r="G27" s="3" t="s">
        <v>570</v>
      </c>
      <c r="H27" s="3" t="s">
        <v>571</v>
      </c>
      <c r="I27" s="3" t="s">
        <v>566</v>
      </c>
      <c r="J27" s="3" t="s">
        <v>572</v>
      </c>
      <c r="K27" s="5" t="s">
        <v>437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12" min="3" style="0" width="11"/>
    <col collapsed="false" customWidth="true" hidden="false" outlineLevel="0" max="13" min="13" style="0" width="60"/>
  </cols>
  <sheetData>
    <row r="1" customFormat="false" ht="16.15" hidden="false" customHeight="false" outlineLevel="0" collapsed="false">
      <c r="A1" s="4" t="s">
        <v>573</v>
      </c>
    </row>
    <row r="2" customFormat="false" ht="15" hidden="false" customHeight="false" outlineLevel="0" collapsed="false">
      <c r="A2" s="5" t="s">
        <v>574</v>
      </c>
    </row>
    <row r="4" customFormat="false" ht="15" hidden="false" customHeight="false" outlineLevel="0" collapsed="false">
      <c r="A4" s="28" t="s">
        <v>575</v>
      </c>
    </row>
    <row r="5" customFormat="false" ht="15" hidden="false" customHeight="false" outlineLevel="0" collapsed="false">
      <c r="A5" s="6" t="s">
        <v>339</v>
      </c>
      <c r="B5" s="6" t="s">
        <v>47</v>
      </c>
      <c r="C5" s="6" t="s">
        <v>576</v>
      </c>
      <c r="D5" s="6" t="s">
        <v>577</v>
      </c>
      <c r="E5" s="6" t="s">
        <v>578</v>
      </c>
      <c r="F5" s="6" t="s">
        <v>579</v>
      </c>
      <c r="G5" s="6" t="s">
        <v>580</v>
      </c>
      <c r="H5" s="6" t="s">
        <v>581</v>
      </c>
      <c r="I5" s="6" t="s">
        <v>582</v>
      </c>
      <c r="J5" s="6" t="s">
        <v>583</v>
      </c>
      <c r="K5" s="6" t="s">
        <v>584</v>
      </c>
      <c r="L5" s="6" t="s">
        <v>585</v>
      </c>
      <c r="M5" s="6" t="s">
        <v>365</v>
      </c>
    </row>
    <row r="6" customFormat="false" ht="15" hidden="false" customHeight="false" outlineLevel="0" collapsed="false">
      <c r="A6" s="10" t="s">
        <v>586</v>
      </c>
      <c r="B6" s="5" t="s">
        <v>587</v>
      </c>
      <c r="C6" s="11" t="n">
        <f aca="false">Historical_Drivers!$O$35</f>
        <v>0.0520759079663828</v>
      </c>
      <c r="D6" s="11" t="n">
        <f aca="false">Historical_Drivers!$P$35</f>
        <v>0.0380225755483752</v>
      </c>
      <c r="E6" s="11" t="n">
        <f aca="false">E7/D7-1</f>
        <v>0.0377418148050444</v>
      </c>
      <c r="F6" s="11" t="n">
        <f aca="false">Assumptions!$C$6</f>
        <v>0.043669376693767</v>
      </c>
      <c r="G6" s="11" t="n">
        <f aca="false">C6-Assumptions!$C$5/100</f>
        <v>0.0390759079663828</v>
      </c>
      <c r="H6" s="11" t="n">
        <f aca="false">D6-Assumptions!$C$5/100</f>
        <v>0.0250225755483752</v>
      </c>
      <c r="I6" s="11" t="n">
        <f aca="false">E6-Assumptions!$C$5/100</f>
        <v>0.0247418148050443</v>
      </c>
      <c r="J6" s="11" t="n">
        <f aca="false">F6-Assumptions!$C$5/100</f>
        <v>0.030669376693767</v>
      </c>
    </row>
    <row r="7" customFormat="false" ht="15" hidden="false" customHeight="false" outlineLevel="0" collapsed="false">
      <c r="A7" s="2" t="s">
        <v>62</v>
      </c>
      <c r="B7" s="5" t="s">
        <v>588</v>
      </c>
      <c r="C7" s="17" t="n">
        <f aca="false">Historical_Drivers!$O$6/1000</f>
        <v>351.265</v>
      </c>
      <c r="D7" s="17" t="n">
        <f aca="false">Historical_Drivers!$P$6/1000</f>
        <v>364.621</v>
      </c>
      <c r="E7" s="17" t="n">
        <f aca="false">Historical_Drivers!$C$52</f>
        <v>378.38245825603</v>
      </c>
      <c r="F7" s="17" t="n">
        <f aca="false">E7*(1+F6)</f>
        <v>394.906184359926</v>
      </c>
      <c r="G7" s="17" t="n">
        <f aca="false">F7*(1+G6)</f>
        <v>410.33750207533</v>
      </c>
      <c r="H7" s="17" t="n">
        <f aca="false">G7*(1+H6)</f>
        <v>420.605203221342</v>
      </c>
      <c r="I7" s="17" t="n">
        <f aca="false">H7*(1+I6)</f>
        <v>431.011739265482</v>
      </c>
      <c r="J7" s="17" t="n">
        <f aca="false">I7*(1+J6)</f>
        <v>444.230600656451</v>
      </c>
      <c r="K7" s="17" t="n">
        <f aca="false">SUM(C7:F7)</f>
        <v>1489.17464261596</v>
      </c>
      <c r="L7" s="17" t="n">
        <f aca="false">SUM(G7:J7)</f>
        <v>1706.1850452186</v>
      </c>
      <c r="M7" s="5" t="s">
        <v>589</v>
      </c>
    </row>
    <row r="8" customFormat="false" ht="15" hidden="false" customHeight="false" outlineLevel="0" collapsed="false">
      <c r="A8" s="10" t="s">
        <v>590</v>
      </c>
      <c r="B8" s="5" t="s">
        <v>256</v>
      </c>
      <c r="C8" s="12" t="n">
        <f aca="false">C7*1000/Historical_Drivers!$K$6-1</f>
        <v>0.244517271922055</v>
      </c>
      <c r="D8" s="12" t="n">
        <f aca="false">D7*1000/Historical_Drivers!$L$6-1</f>
        <v>0.21941113125138</v>
      </c>
      <c r="E8" s="12" t="n">
        <f aca="false">E7*1000/Historical_Drivers!$M$6-1</f>
        <v>0.194181749557463</v>
      </c>
      <c r="F8" s="12" t="n">
        <f aca="false">F7*1000/Historical_Drivers!$N$6-1</f>
        <v>0.182785880950306</v>
      </c>
      <c r="G8" s="12" t="n">
        <f aca="false">G7/C7-1</f>
        <v>0.168170760182</v>
      </c>
      <c r="H8" s="12" t="n">
        <f aca="false">H7/D7-1</f>
        <v>0.15354080873384</v>
      </c>
      <c r="I8" s="12" t="n">
        <f aca="false">I7/E7-1</f>
        <v>0.139090171494792</v>
      </c>
      <c r="J8" s="12" t="n">
        <f aca="false">J7/F7-1</f>
        <v>0.124901605115329</v>
      </c>
      <c r="K8" s="12" t="n">
        <f aca="false">K7/Historical_Drivers!$C$70-1</f>
        <v>0.208748594855309</v>
      </c>
      <c r="L8" s="12" t="n">
        <f aca="false">L7/K7-1</f>
        <v>0.145725287278218</v>
      </c>
    </row>
    <row r="9" customFormat="false" ht="15" hidden="false" customHeight="false" outlineLevel="0" collapsed="false">
      <c r="A9" s="10" t="s">
        <v>591</v>
      </c>
      <c r="B9" s="5" t="s">
        <v>256</v>
      </c>
      <c r="K9" s="17" t="n">
        <f aca="false">K7-(Historical_Drivers!$C$46+Historical_Drivers!$C$47)/2</f>
        <v>19.1746426159561</v>
      </c>
    </row>
    <row r="10" customFormat="false" ht="15" hidden="false" customHeight="false" outlineLevel="0" collapsed="false">
      <c r="A10" s="10" t="s">
        <v>592</v>
      </c>
      <c r="B10" s="5" t="s">
        <v>593</v>
      </c>
      <c r="D10" s="12" t="n">
        <f aca="false">Historical_Drivers!$P$30</f>
        <v>1.09</v>
      </c>
      <c r="E10" s="12" t="n">
        <f aca="false">Historical_Drivers!$C$56</f>
        <v>1.085</v>
      </c>
      <c r="F10" s="12" t="n">
        <f aca="false">E10+Assumptions!$C$17/100</f>
        <v>1.0825</v>
      </c>
      <c r="G10" s="12" t="n">
        <f aca="false">F10+Assumptions!$C$17/100</f>
        <v>1.08</v>
      </c>
      <c r="H10" s="12" t="n">
        <f aca="false">G10+Assumptions!$C$17/100</f>
        <v>1.0775</v>
      </c>
      <c r="I10" s="12" t="n">
        <f aca="false">H10+Assumptions!$C$17/100</f>
        <v>1.075</v>
      </c>
      <c r="J10" s="12" t="n">
        <f aca="false">I10+Assumptions!$C$17/100</f>
        <v>1.0725</v>
      </c>
      <c r="M10" s="5" t="s">
        <v>594</v>
      </c>
    </row>
    <row r="11" customFormat="false" ht="15" hidden="false" customHeight="false" outlineLevel="0" collapsed="false">
      <c r="A11" s="10" t="s">
        <v>595</v>
      </c>
      <c r="B11" s="5" t="s">
        <v>596</v>
      </c>
      <c r="D11" s="29" t="n">
        <f aca="false">Historical_Drivers!$P$32</f>
        <v>4834</v>
      </c>
      <c r="E11" s="29" t="n">
        <f aca="false">Historical_Drivers!$C$57</f>
        <v>5110.5</v>
      </c>
      <c r="F11" s="29" t="n">
        <f aca="false">E11+Assumptions!$C$19</f>
        <v>5387</v>
      </c>
      <c r="G11" s="29" t="n">
        <f aca="false">F11+Assumptions!$C$19</f>
        <v>5663.5</v>
      </c>
      <c r="H11" s="29" t="n">
        <f aca="false">G11+Assumptions!$C$19</f>
        <v>5940</v>
      </c>
      <c r="I11" s="29" t="n">
        <f aca="false">H11+Assumptions!$C$19</f>
        <v>6216.5</v>
      </c>
      <c r="J11" s="29" t="n">
        <f aca="false">I11+Assumptions!$C$19</f>
        <v>6493</v>
      </c>
    </row>
    <row r="13" customFormat="false" ht="15" hidden="false" customHeight="false" outlineLevel="0" collapsed="false">
      <c r="A13" s="28" t="s">
        <v>597</v>
      </c>
    </row>
    <row r="14" customFormat="false" ht="15" hidden="false" customHeight="false" outlineLevel="0" collapsed="false">
      <c r="A14" s="6" t="s">
        <v>339</v>
      </c>
      <c r="B14" s="6" t="s">
        <v>47</v>
      </c>
      <c r="C14" s="6" t="s">
        <v>576</v>
      </c>
      <c r="D14" s="6" t="s">
        <v>577</v>
      </c>
      <c r="E14" s="6" t="s">
        <v>578</v>
      </c>
      <c r="F14" s="6" t="s">
        <v>579</v>
      </c>
      <c r="G14" s="6" t="s">
        <v>580</v>
      </c>
      <c r="H14" s="6" t="s">
        <v>581</v>
      </c>
      <c r="I14" s="6" t="s">
        <v>582</v>
      </c>
      <c r="J14" s="6" t="s">
        <v>583</v>
      </c>
      <c r="K14" s="6" t="s">
        <v>584</v>
      </c>
      <c r="L14" s="6" t="s">
        <v>585</v>
      </c>
      <c r="M14" s="6" t="s">
        <v>365</v>
      </c>
    </row>
    <row r="15" customFormat="false" ht="15" hidden="false" customHeight="false" outlineLevel="0" collapsed="false">
      <c r="A15" s="10" t="s">
        <v>586</v>
      </c>
      <c r="B15" s="5" t="s">
        <v>587</v>
      </c>
      <c r="C15" s="11" t="n">
        <f aca="false">Historical_Drivers!$O$35</f>
        <v>0.0520759079663828</v>
      </c>
      <c r="D15" s="11" t="n">
        <f aca="false">Historical_Drivers!$P$35</f>
        <v>0.0380225755483752</v>
      </c>
      <c r="E15" s="11" t="n">
        <f aca="false">E16/D16-1</f>
        <v>0.0377418148050444</v>
      </c>
      <c r="F15" s="11" t="n">
        <f aca="false">Assumptions!$D$6</f>
        <v>0.030669376693767</v>
      </c>
      <c r="G15" s="11" t="n">
        <f aca="false">C15-Assumptions!$D$5/100</f>
        <v>0.0260759079663828</v>
      </c>
      <c r="H15" s="11" t="n">
        <f aca="false">D15-Assumptions!$D$5/100</f>
        <v>0.0120225755483752</v>
      </c>
      <c r="I15" s="11" t="n">
        <f aca="false">E15-Assumptions!$D$5/100</f>
        <v>0.0117418148050443</v>
      </c>
      <c r="J15" s="11" t="n">
        <f aca="false">F15-Assumptions!$D$5/100</f>
        <v>0.00466937669376702</v>
      </c>
    </row>
    <row r="16" customFormat="false" ht="15" hidden="false" customHeight="false" outlineLevel="0" collapsed="false">
      <c r="A16" s="2" t="s">
        <v>62</v>
      </c>
      <c r="B16" s="5" t="s">
        <v>588</v>
      </c>
      <c r="C16" s="17" t="n">
        <f aca="false">Historical_Drivers!$O$6/1000</f>
        <v>351.265</v>
      </c>
      <c r="D16" s="17" t="n">
        <f aca="false">Historical_Drivers!$P$6/1000</f>
        <v>364.621</v>
      </c>
      <c r="E16" s="17" t="n">
        <f aca="false">Historical_Drivers!$C$52</f>
        <v>378.38245825603</v>
      </c>
      <c r="F16" s="17" t="n">
        <f aca="false">E16*(1+F15)</f>
        <v>389.987212402598</v>
      </c>
      <c r="G16" s="17" t="n">
        <f aca="false">F16*(1+G15)</f>
        <v>400.156483061274</v>
      </c>
      <c r="H16" s="17" t="n">
        <f aca="false">G16*(1+H15)</f>
        <v>404.96739461005</v>
      </c>
      <c r="I16" s="17" t="n">
        <f aca="false">H16*(1+I15)</f>
        <v>409.722446759643</v>
      </c>
      <c r="J16" s="17" t="n">
        <f aca="false">I16*(1+J15)</f>
        <v>411.635595203456</v>
      </c>
      <c r="K16" s="17" t="n">
        <f aca="false">SUM(C16:F16)</f>
        <v>1484.25567065863</v>
      </c>
      <c r="L16" s="17" t="n">
        <f aca="false">SUM(G16:J16)</f>
        <v>1626.48191963442</v>
      </c>
      <c r="M16" s="5" t="s">
        <v>589</v>
      </c>
    </row>
    <row r="17" customFormat="false" ht="15" hidden="false" customHeight="false" outlineLevel="0" collapsed="false">
      <c r="A17" s="10" t="s">
        <v>590</v>
      </c>
      <c r="B17" s="5" t="s">
        <v>256</v>
      </c>
      <c r="C17" s="12" t="n">
        <f aca="false">C16*1000/Historical_Drivers!$K$6-1</f>
        <v>0.244517271922055</v>
      </c>
      <c r="D17" s="12" t="n">
        <f aca="false">D16*1000/Historical_Drivers!$L$6-1</f>
        <v>0.21941113125138</v>
      </c>
      <c r="E17" s="12" t="n">
        <f aca="false">E16*1000/Historical_Drivers!$M$6-1</f>
        <v>0.194181749557463</v>
      </c>
      <c r="F17" s="12" t="n">
        <f aca="false">F16*1000/Historical_Drivers!$N$6-1</f>
        <v>0.168053038542815</v>
      </c>
      <c r="G17" s="12" t="n">
        <f aca="false">G16/C16-1</f>
        <v>0.139186890414001</v>
      </c>
      <c r="H17" s="12" t="n">
        <f aca="false">H16/D16-1</f>
        <v>0.110652964612709</v>
      </c>
      <c r="I17" s="12" t="n">
        <f aca="false">I16/E16-1</f>
        <v>0.0828262193973246</v>
      </c>
      <c r="J17" s="12" t="n">
        <f aca="false">J16/F16-1</f>
        <v>0.0555104939659137</v>
      </c>
      <c r="K17" s="12" t="n">
        <f aca="false">K16/Historical_Drivers!$C$70-1</f>
        <v>0.204755913089584</v>
      </c>
      <c r="L17" s="12" t="n">
        <f aca="false">L16/K16-1</f>
        <v>0.0958232815190685</v>
      </c>
    </row>
    <row r="18" customFormat="false" ht="15" hidden="false" customHeight="false" outlineLevel="0" collapsed="false">
      <c r="A18" s="10" t="s">
        <v>591</v>
      </c>
      <c r="B18" s="5" t="s">
        <v>256</v>
      </c>
      <c r="K18" s="17" t="n">
        <f aca="false">K16-(Historical_Drivers!$C$46+Historical_Drivers!$C$47)/2</f>
        <v>14.2556706586279</v>
      </c>
    </row>
    <row r="19" customFormat="false" ht="15" hidden="false" customHeight="false" outlineLevel="0" collapsed="false">
      <c r="A19" s="10" t="s">
        <v>592</v>
      </c>
      <c r="B19" s="5" t="s">
        <v>593</v>
      </c>
      <c r="D19" s="12" t="n">
        <f aca="false">Historical_Drivers!$P$30</f>
        <v>1.09</v>
      </c>
      <c r="E19" s="12" t="n">
        <f aca="false">Historical_Drivers!$C$56</f>
        <v>1.085</v>
      </c>
      <c r="F19" s="12" t="n">
        <f aca="false">E19+Assumptions!$D$17/100</f>
        <v>1.078</v>
      </c>
      <c r="G19" s="12" t="n">
        <f aca="false">F19+Assumptions!$D$17/100</f>
        <v>1.071</v>
      </c>
      <c r="H19" s="12" t="n">
        <f aca="false">G19+Assumptions!$D$17/100</f>
        <v>1.064</v>
      </c>
      <c r="I19" s="12" t="n">
        <f aca="false">H19+Assumptions!$D$17/100</f>
        <v>1.057</v>
      </c>
      <c r="J19" s="12" t="n">
        <f aca="false">I19+Assumptions!$D$17/100</f>
        <v>1.05</v>
      </c>
      <c r="M19" s="5" t="s">
        <v>594</v>
      </c>
    </row>
    <row r="20" customFormat="false" ht="15" hidden="false" customHeight="false" outlineLevel="0" collapsed="false">
      <c r="A20" s="10" t="s">
        <v>595</v>
      </c>
      <c r="B20" s="5" t="s">
        <v>596</v>
      </c>
      <c r="D20" s="29" t="n">
        <f aca="false">Historical_Drivers!$P$32</f>
        <v>4834</v>
      </c>
      <c r="E20" s="29" t="n">
        <f aca="false">Historical_Drivers!$C$57</f>
        <v>5110.5</v>
      </c>
      <c r="F20" s="29" t="n">
        <f aca="false">E20+Assumptions!$D$19</f>
        <v>5304.5</v>
      </c>
      <c r="G20" s="29" t="n">
        <f aca="false">F20+Assumptions!$D$19</f>
        <v>5498.5</v>
      </c>
      <c r="H20" s="29" t="n">
        <f aca="false">G20+Assumptions!$D$19</f>
        <v>5692.5</v>
      </c>
      <c r="I20" s="29" t="n">
        <f aca="false">H20+Assumptions!$D$19</f>
        <v>5886.5</v>
      </c>
      <c r="J20" s="29" t="n">
        <f aca="false">I20+Assumptions!$D$19</f>
        <v>6080.5</v>
      </c>
    </row>
    <row r="22" customFormat="false" ht="15" hidden="false" customHeight="false" outlineLevel="0" collapsed="false">
      <c r="A22" s="28" t="s">
        <v>598</v>
      </c>
    </row>
    <row r="23" customFormat="false" ht="15" hidden="false" customHeight="false" outlineLevel="0" collapsed="false">
      <c r="A23" s="6" t="s">
        <v>339</v>
      </c>
      <c r="B23" s="6" t="s">
        <v>47</v>
      </c>
      <c r="C23" s="6" t="s">
        <v>576</v>
      </c>
      <c r="D23" s="6" t="s">
        <v>577</v>
      </c>
      <c r="E23" s="6" t="s">
        <v>578</v>
      </c>
      <c r="F23" s="6" t="s">
        <v>579</v>
      </c>
      <c r="G23" s="6" t="s">
        <v>580</v>
      </c>
      <c r="H23" s="6" t="s">
        <v>581</v>
      </c>
      <c r="I23" s="6" t="s">
        <v>582</v>
      </c>
      <c r="J23" s="6" t="s">
        <v>583</v>
      </c>
      <c r="K23" s="6" t="s">
        <v>584</v>
      </c>
      <c r="L23" s="6" t="s">
        <v>585</v>
      </c>
      <c r="M23" s="6" t="s">
        <v>365</v>
      </c>
    </row>
    <row r="24" customFormat="false" ht="15" hidden="false" customHeight="false" outlineLevel="0" collapsed="false">
      <c r="A24" s="10" t="s">
        <v>586</v>
      </c>
      <c r="B24" s="5" t="s">
        <v>587</v>
      </c>
      <c r="C24" s="11" t="n">
        <f aca="false">Historical_Drivers!$O$35</f>
        <v>0.0520759079663828</v>
      </c>
      <c r="D24" s="11" t="n">
        <f aca="false">Historical_Drivers!$P$35</f>
        <v>0.0380225755483752</v>
      </c>
      <c r="E24" s="11" t="n">
        <f aca="false">E25/D25-1</f>
        <v>0.0270145436187577</v>
      </c>
      <c r="F24" s="11" t="n">
        <f aca="false">Assumptions!$C$6</f>
        <v>0.043669376693767</v>
      </c>
      <c r="G24" s="11" t="n">
        <f aca="false">C24-Assumptions!$C$5/100</f>
        <v>0.0390759079663828</v>
      </c>
      <c r="H24" s="11" t="n">
        <f aca="false">D24-Assumptions!$C$5/100</f>
        <v>0.0250225755483752</v>
      </c>
      <c r="I24" s="11" t="n">
        <f aca="false">E24-Assumptions!$C$5/100</f>
        <v>0.0140145436187577</v>
      </c>
      <c r="J24" s="11" t="n">
        <f aca="false">F24-Assumptions!$C$5/100</f>
        <v>0.030669376693767</v>
      </c>
    </row>
    <row r="25" customFormat="false" ht="15" hidden="false" customHeight="false" outlineLevel="0" collapsed="false">
      <c r="A25" s="2" t="s">
        <v>62</v>
      </c>
      <c r="B25" s="5" t="s">
        <v>588</v>
      </c>
      <c r="C25" s="17" t="n">
        <f aca="false">Historical_Drivers!$O$6/1000</f>
        <v>351.265</v>
      </c>
      <c r="D25" s="17" t="n">
        <f aca="false">Historical_Drivers!$P$6/1000</f>
        <v>364.621</v>
      </c>
      <c r="E25" s="17" t="n">
        <f aca="false">Historical_Drivers!$C$53</f>
        <v>374.471069908815</v>
      </c>
      <c r="F25" s="17" t="n">
        <f aca="false">E25*(1+F24)</f>
        <v>390.823988121581</v>
      </c>
      <c r="G25" s="17" t="n">
        <f aca="false">F25*(1+G24)</f>
        <v>406.095790312475</v>
      </c>
      <c r="H25" s="17" t="n">
        <f aca="false">G25*(1+H24)</f>
        <v>416.257352905446</v>
      </c>
      <c r="I25" s="17" t="n">
        <f aca="false">H25*(1+I24)</f>
        <v>422.091009734368</v>
      </c>
      <c r="J25" s="17" t="n">
        <f aca="false">I25*(1+J24)</f>
        <v>435.036277910964</v>
      </c>
      <c r="K25" s="17" t="n">
        <f aca="false">SUM(C25:F25)</f>
        <v>1481.1810580304</v>
      </c>
      <c r="L25" s="17" t="n">
        <f aca="false">SUM(G25:J25)</f>
        <v>1679.48043086325</v>
      </c>
      <c r="M25" s="5" t="s">
        <v>599</v>
      </c>
    </row>
    <row r="26" customFormat="false" ht="15" hidden="false" customHeight="false" outlineLevel="0" collapsed="false">
      <c r="A26" s="10" t="s">
        <v>590</v>
      </c>
      <c r="B26" s="5" t="s">
        <v>256</v>
      </c>
      <c r="C26" s="12" t="n">
        <f aca="false">C25*1000/Historical_Drivers!$K$6-1</f>
        <v>0.244517271922055</v>
      </c>
      <c r="D26" s="12" t="n">
        <f aca="false">D25*1000/Historical_Drivers!$L$6-1</f>
        <v>0.21941113125138</v>
      </c>
      <c r="E26" s="12" t="n">
        <f aca="false">E25*1000/Historical_Drivers!$M$6-1</f>
        <v>0.181837338558063</v>
      </c>
      <c r="F26" s="12" t="n">
        <f aca="false">F25*1000/Historical_Drivers!$N$6-1</f>
        <v>0.170559270516719</v>
      </c>
      <c r="G26" s="12" t="n">
        <f aca="false">G25/C25-1</f>
        <v>0.156095228139652</v>
      </c>
      <c r="H26" s="12" t="n">
        <f aca="false">H25/D25-1</f>
        <v>0.141616508389384</v>
      </c>
      <c r="I26" s="12" t="n">
        <f aca="false">I25/E25-1</f>
        <v>0.127165871150336</v>
      </c>
      <c r="J26" s="12" t="n">
        <f aca="false">J25/F25-1</f>
        <v>0.11312583447572</v>
      </c>
      <c r="K26" s="12" t="n">
        <f aca="false">K25/Historical_Drivers!$C$70-1</f>
        <v>0.202260279879249</v>
      </c>
      <c r="L26" s="12" t="n">
        <f aca="false">L25/K25-1</f>
        <v>0.133879225471965</v>
      </c>
    </row>
    <row r="27" customFormat="false" ht="15" hidden="false" customHeight="false" outlineLevel="0" collapsed="false">
      <c r="A27" s="10" t="s">
        <v>591</v>
      </c>
      <c r="B27" s="5" t="s">
        <v>256</v>
      </c>
      <c r="K27" s="17" t="n">
        <f aca="false">K25-(Historical_Drivers!$C$46+Historical_Drivers!$C$47)/2</f>
        <v>11.1810580303959</v>
      </c>
    </row>
    <row r="28" customFormat="false" ht="15" hidden="false" customHeight="false" outlineLevel="0" collapsed="false">
      <c r="A28" s="10" t="s">
        <v>592</v>
      </c>
      <c r="B28" s="5" t="s">
        <v>593</v>
      </c>
      <c r="D28" s="12" t="n">
        <f aca="false">Historical_Drivers!$P$30</f>
        <v>1.09</v>
      </c>
      <c r="E28" s="12" t="n">
        <f aca="false">Historical_Drivers!$C$56</f>
        <v>1.085</v>
      </c>
      <c r="F28" s="12" t="n">
        <f aca="false">E28+Assumptions!$C$17/100</f>
        <v>1.0825</v>
      </c>
      <c r="G28" s="12" t="n">
        <f aca="false">F28+Assumptions!$C$17/100</f>
        <v>1.08</v>
      </c>
      <c r="H28" s="12" t="n">
        <f aca="false">G28+Assumptions!$C$17/100</f>
        <v>1.0775</v>
      </c>
      <c r="I28" s="12" t="n">
        <f aca="false">H28+Assumptions!$C$17/100</f>
        <v>1.075</v>
      </c>
      <c r="J28" s="12" t="n">
        <f aca="false">I28+Assumptions!$C$17/100</f>
        <v>1.0725</v>
      </c>
      <c r="M28" s="5" t="s">
        <v>594</v>
      </c>
    </row>
    <row r="29" customFormat="false" ht="15" hidden="false" customHeight="false" outlineLevel="0" collapsed="false">
      <c r="A29" s="10" t="s">
        <v>595</v>
      </c>
      <c r="B29" s="5" t="s">
        <v>596</v>
      </c>
      <c r="D29" s="29" t="n">
        <f aca="false">Historical_Drivers!$P$32</f>
        <v>4834</v>
      </c>
      <c r="E29" s="29" t="n">
        <f aca="false">Historical_Drivers!$C$57</f>
        <v>5110.5</v>
      </c>
      <c r="F29" s="29" t="n">
        <f aca="false">E29+Assumptions!$C$19</f>
        <v>5387</v>
      </c>
      <c r="G29" s="29" t="n">
        <f aca="false">F29+Assumptions!$C$19</f>
        <v>5663.5</v>
      </c>
      <c r="H29" s="29" t="n">
        <f aca="false">G29+Assumptions!$C$19</f>
        <v>5940</v>
      </c>
      <c r="I29" s="29" t="n">
        <f aca="false">H29+Assumptions!$C$19</f>
        <v>6216.5</v>
      </c>
      <c r="J29" s="29" t="n">
        <f aca="false">I29+Assumptions!$C$19</f>
        <v>6493</v>
      </c>
    </row>
    <row r="31" customFormat="false" ht="15" hidden="false" customHeight="false" outlineLevel="0" collapsed="false">
      <c r="A31" s="28" t="s">
        <v>600</v>
      </c>
    </row>
    <row r="32" customFormat="false" ht="15" hidden="false" customHeight="false" outlineLevel="0" collapsed="false">
      <c r="A32" s="6" t="s">
        <v>339</v>
      </c>
      <c r="B32" s="6" t="s">
        <v>47</v>
      </c>
      <c r="C32" s="6" t="s">
        <v>576</v>
      </c>
      <c r="D32" s="6" t="s">
        <v>577</v>
      </c>
      <c r="E32" s="6" t="s">
        <v>578</v>
      </c>
      <c r="F32" s="6" t="s">
        <v>579</v>
      </c>
      <c r="G32" s="6" t="s">
        <v>580</v>
      </c>
      <c r="H32" s="6" t="s">
        <v>581</v>
      </c>
      <c r="I32" s="6" t="s">
        <v>582</v>
      </c>
      <c r="J32" s="6" t="s">
        <v>583</v>
      </c>
      <c r="K32" s="6" t="s">
        <v>584</v>
      </c>
      <c r="L32" s="6" t="s">
        <v>585</v>
      </c>
      <c r="M32" s="6" t="s">
        <v>365</v>
      </c>
    </row>
    <row r="33" customFormat="false" ht="15" hidden="false" customHeight="false" outlineLevel="0" collapsed="false">
      <c r="A33" s="10" t="s">
        <v>601</v>
      </c>
      <c r="B33" s="5" t="s">
        <v>256</v>
      </c>
      <c r="E33" s="30" t="n">
        <f aca="false">COLUMN()-COLUMN($D$1)</f>
        <v>1</v>
      </c>
      <c r="F33" s="30" t="n">
        <f aca="false">COLUMN()-COLUMN($D$1)</f>
        <v>2</v>
      </c>
      <c r="G33" s="30" t="n">
        <f aca="false">COLUMN()-COLUMN($D$1)</f>
        <v>3</v>
      </c>
      <c r="H33" s="30" t="n">
        <f aca="false">COLUMN()-COLUMN($D$1)</f>
        <v>4</v>
      </c>
      <c r="I33" s="30" t="n">
        <f aca="false">COLUMN()-COLUMN($D$1)</f>
        <v>5</v>
      </c>
      <c r="J33" s="30" t="n">
        <f aca="false">COLUMN()-COLUMN($D$1)</f>
        <v>6</v>
      </c>
    </row>
    <row r="34" customFormat="false" ht="15" hidden="false" customHeight="false" outlineLevel="0" collapsed="false">
      <c r="A34" s="10" t="s">
        <v>602</v>
      </c>
      <c r="B34" s="5" t="s">
        <v>603</v>
      </c>
      <c r="E34" s="10" t="s">
        <v>604</v>
      </c>
      <c r="F34" s="10" t="s">
        <v>604</v>
      </c>
      <c r="G34" s="10" t="s">
        <v>604</v>
      </c>
      <c r="H34" s="10" t="s">
        <v>604</v>
      </c>
      <c r="I34" s="10" t="s">
        <v>605</v>
      </c>
      <c r="J34" s="10" t="s">
        <v>605</v>
      </c>
      <c r="M34" s="5" t="s">
        <v>606</v>
      </c>
    </row>
    <row r="35" customFormat="false" ht="15" hidden="false" customHeight="false" outlineLevel="0" collapsed="false">
      <c r="A35" s="10" t="s">
        <v>607</v>
      </c>
      <c r="B35" s="5" t="s">
        <v>608</v>
      </c>
      <c r="E35" s="11" t="n">
        <f aca="false">Backtest!C75</f>
        <v>0.0103572502671742</v>
      </c>
      <c r="F35" s="11" t="n">
        <f aca="false">Backtest!C76</f>
        <v>0.0106505914694062</v>
      </c>
      <c r="G35" s="11" t="n">
        <f aca="false">Backtest!C77</f>
        <v>0.0238535500131971</v>
      </c>
      <c r="H35" s="11" t="n">
        <f aca="false">Backtest!C78</f>
        <v>0.0412920445443793</v>
      </c>
      <c r="I35" s="11" t="n">
        <f aca="false">Backtest!C78</f>
        <v>0.0412920445443793</v>
      </c>
      <c r="J35" s="11" t="n">
        <f aca="false">Backtest!C78</f>
        <v>0.0412920445443793</v>
      </c>
    </row>
    <row r="36" customFormat="false" ht="15" hidden="false" customHeight="false" outlineLevel="0" collapsed="false">
      <c r="A36" s="10" t="s">
        <v>609</v>
      </c>
      <c r="B36" s="5" t="s">
        <v>608</v>
      </c>
      <c r="E36" s="11" t="n">
        <f aca="false">Backtest!E75</f>
        <v>0.0146641835026757</v>
      </c>
      <c r="F36" s="11" t="n">
        <f aca="false">Backtest!E76</f>
        <v>0.0324174874526451</v>
      </c>
      <c r="G36" s="11" t="n">
        <f aca="false">Backtest!E77</f>
        <v>0.0590329537332758</v>
      </c>
      <c r="H36" s="11" t="n">
        <f aca="false">Backtest!E78</f>
        <v>0.0963904514663955</v>
      </c>
      <c r="I36" s="11" t="n">
        <f aca="false">Backtest!E78</f>
        <v>0.0963904514663955</v>
      </c>
      <c r="J36" s="11" t="n">
        <f aca="false">Backtest!E78</f>
        <v>0.0963904514663955</v>
      </c>
    </row>
    <row r="37" customFormat="false" ht="15" hidden="false" customHeight="false" outlineLevel="0" collapsed="false">
      <c r="A37" s="10" t="s">
        <v>610</v>
      </c>
      <c r="B37" s="5" t="s">
        <v>608</v>
      </c>
      <c r="E37" s="11" t="n">
        <f aca="false">Backtest!D75</f>
        <v>0.00735518487842905</v>
      </c>
      <c r="F37" s="11" t="n">
        <f aca="false">Backtest!D76</f>
        <v>0.00714446168041118</v>
      </c>
      <c r="G37" s="11" t="n">
        <f aca="false">Backtest!D77</f>
        <v>-0.000565986650675185</v>
      </c>
      <c r="H37" s="11" t="n">
        <f aca="false">Backtest!D78</f>
        <v>-0.0175965084711015</v>
      </c>
      <c r="I37" s="11" t="n">
        <f aca="false">Backtest!D78</f>
        <v>-0.0175965084711015</v>
      </c>
      <c r="J37" s="11" t="n">
        <f aca="false">Backtest!D78</f>
        <v>-0.0175965084711015</v>
      </c>
    </row>
    <row r="38" customFormat="false" ht="15" hidden="false" customHeight="false" outlineLevel="0" collapsed="false">
      <c r="A38" s="10" t="s">
        <v>611</v>
      </c>
      <c r="B38" s="5" t="s">
        <v>256</v>
      </c>
      <c r="C38" s="17" t="n">
        <f aca="false">Revenue_Build!C7</f>
        <v>351.265</v>
      </c>
      <c r="D38" s="17" t="n">
        <f aca="false">Revenue_Build!D7</f>
        <v>364.621</v>
      </c>
      <c r="E38" s="17" t="n">
        <f aca="false">Revenue_Build!E7*(1-E35)</f>
        <v>374.463456439164</v>
      </c>
      <c r="F38" s="17" t="n">
        <f aca="false">Revenue_Build!F7*(1-F35)</f>
        <v>390.700199921567</v>
      </c>
      <c r="G38" s="17" t="n">
        <f aca="false">Revenue_Build!G7*(1-G35)</f>
        <v>400.549495947286</v>
      </c>
      <c r="H38" s="17" t="n">
        <f aca="false">Revenue_Build!H7*(1-H35)</f>
        <v>403.237554434328</v>
      </c>
      <c r="I38" s="17" t="n">
        <f aca="false">Revenue_Build!I7*(1-I35)</f>
        <v>413.214383328581</v>
      </c>
      <c r="J38" s="17" t="n">
        <f aca="false">Revenue_Build!J7*(1-J35)</f>
        <v>425.887410906168</v>
      </c>
      <c r="K38" s="17" t="n">
        <f aca="false">SUM(C38:F38)</f>
        <v>1481.04965636073</v>
      </c>
      <c r="L38" s="17" t="n">
        <f aca="false">SUM(G38:J38)</f>
        <v>1642.88884461636</v>
      </c>
      <c r="M38" s="5" t="s">
        <v>612</v>
      </c>
    </row>
    <row r="39" customFormat="false" ht="15" hidden="false" customHeight="false" outlineLevel="0" collapsed="false">
      <c r="A39" s="10" t="s">
        <v>613</v>
      </c>
      <c r="B39" s="5" t="s">
        <v>256</v>
      </c>
      <c r="C39" s="17" t="n">
        <f aca="false">Revenue_Build!C7</f>
        <v>351.265</v>
      </c>
      <c r="D39" s="17" t="n">
        <f aca="false">Revenue_Build!D7</f>
        <v>364.621</v>
      </c>
      <c r="E39" s="17" t="n">
        <f aca="false">Revenue_Build!E7*(1+E35)</f>
        <v>382.301460072896</v>
      </c>
      <c r="F39" s="17" t="n">
        <f aca="false">Revenue_Build!F7*(1+F35)</f>
        <v>399.112168798286</v>
      </c>
      <c r="G39" s="17" t="n">
        <f aca="false">Revenue_Build!G7*(1+G35)</f>
        <v>420.125508203374</v>
      </c>
      <c r="H39" s="17" t="n">
        <f aca="false">Revenue_Build!H7*(1+H35)</f>
        <v>437.972852008355</v>
      </c>
      <c r="I39" s="17" t="n">
        <f aca="false">Revenue_Build!I7*(1+I35)</f>
        <v>448.809095202383</v>
      </c>
      <c r="J39" s="17" t="n">
        <f aca="false">Revenue_Build!J7*(1+J35)</f>
        <v>462.573790406733</v>
      </c>
      <c r="K39" s="17" t="n">
        <f aca="false">SUM(C39:F39)</f>
        <v>1497.29962887118</v>
      </c>
      <c r="L39" s="17" t="n">
        <f aca="false">SUM(G39:J39)</f>
        <v>1769.48124582085</v>
      </c>
      <c r="M39" s="5" t="s">
        <v>612</v>
      </c>
    </row>
    <row r="40" customFormat="false" ht="15" hidden="false" customHeight="false" outlineLevel="0" collapsed="false">
      <c r="A40" s="10" t="s">
        <v>614</v>
      </c>
      <c r="B40" s="5" t="s">
        <v>256</v>
      </c>
      <c r="C40" s="17" t="n">
        <f aca="false">Revenue_Build!C7</f>
        <v>351.265</v>
      </c>
      <c r="D40" s="17" t="n">
        <f aca="false">Revenue_Build!D7</f>
        <v>364.621</v>
      </c>
      <c r="E40" s="17" t="n">
        <f aca="false">Revenue_Build!E7*(1-E36)</f>
        <v>372.83378845397</v>
      </c>
      <c r="F40" s="17" t="n">
        <f aca="false">Revenue_Build!F7*(1-F36)</f>
        <v>382.104318083466</v>
      </c>
      <c r="G40" s="17" t="n">
        <f aca="false">Revenue_Build!G7*(1-G36)</f>
        <v>386.114067300289</v>
      </c>
      <c r="H40" s="17" t="n">
        <f aca="false">Revenue_Build!H7*(1-H36)</f>
        <v>380.062877793721</v>
      </c>
      <c r="I40" s="17" t="n">
        <f aca="false">Revenue_Build!I7*(1-I36)</f>
        <v>389.466323130366</v>
      </c>
      <c r="J40" s="17" t="n">
        <f aca="false">Revenue_Build!J7*(1-J36)</f>
        <v>401.411012503988</v>
      </c>
      <c r="K40" s="17" t="n">
        <f aca="false">SUM(C40:F40)</f>
        <v>1470.82410653744</v>
      </c>
      <c r="L40" s="17" t="n">
        <f aca="false">SUM(G40:J40)</f>
        <v>1557.05428072836</v>
      </c>
      <c r="M40" s="5" t="s">
        <v>612</v>
      </c>
    </row>
    <row r="41" customFormat="false" ht="15" hidden="false" customHeight="false" outlineLevel="0" collapsed="false">
      <c r="A41" s="10" t="s">
        <v>615</v>
      </c>
      <c r="B41" s="5" t="s">
        <v>256</v>
      </c>
      <c r="C41" s="17" t="n">
        <f aca="false">Revenue_Build!C7</f>
        <v>351.265</v>
      </c>
      <c r="D41" s="17" t="n">
        <f aca="false">Revenue_Build!D7</f>
        <v>364.621</v>
      </c>
      <c r="E41" s="17" t="n">
        <f aca="false">Revenue_Build!E7*(1+E36)</f>
        <v>383.93112805809</v>
      </c>
      <c r="F41" s="17" t="n">
        <f aca="false">Revenue_Build!F7*(1+F36)</f>
        <v>407.708050636386</v>
      </c>
      <c r="G41" s="17" t="n">
        <f aca="false">Revenue_Build!G7*(1+G36)</f>
        <v>434.560936850371</v>
      </c>
      <c r="H41" s="17" t="n">
        <f aca="false">Revenue_Build!H7*(1+H36)</f>
        <v>461.147528648962</v>
      </c>
      <c r="I41" s="17" t="n">
        <f aca="false">Revenue_Build!I7*(1+I36)</f>
        <v>472.557155400598</v>
      </c>
      <c r="J41" s="17" t="n">
        <f aca="false">Revenue_Build!J7*(1+J36)</f>
        <v>487.050188808914</v>
      </c>
      <c r="K41" s="17" t="n">
        <f aca="false">SUM(C41:F41)</f>
        <v>1507.52517869448</v>
      </c>
      <c r="L41" s="17" t="n">
        <f aca="false">SUM(G41:J41)</f>
        <v>1855.31580970884</v>
      </c>
      <c r="M41" s="5" t="s">
        <v>612</v>
      </c>
    </row>
    <row r="42" customFormat="false" ht="15" hidden="false" customHeight="false" outlineLevel="0" collapsed="false">
      <c r="A42" s="10" t="s">
        <v>616</v>
      </c>
      <c r="B42" s="5" t="s">
        <v>256</v>
      </c>
      <c r="L42" s="11" t="n">
        <f aca="false">(Revenue_Build!L7-Revenue_Build!L16)/Revenue_Build!L7</f>
        <v>0.0467142329066477</v>
      </c>
    </row>
    <row r="43" customFormat="false" ht="15" hidden="false" customHeight="false" outlineLevel="0" collapsed="false">
      <c r="A43" s="10" t="s">
        <v>617</v>
      </c>
      <c r="B43" s="5" t="s">
        <v>256</v>
      </c>
      <c r="L43" s="31" t="n">
        <f aca="false">L42/Backtest!C78</f>
        <v>1.13131314814022</v>
      </c>
      <c r="M43" s="5" t="s">
        <v>618</v>
      </c>
    </row>
    <row r="45" customFormat="false" ht="15" hidden="false" customHeight="false" outlineLevel="0" collapsed="false">
      <c r="A45" s="28" t="s">
        <v>619</v>
      </c>
    </row>
    <row r="46" customFormat="false" ht="15" hidden="false" customHeight="false" outlineLevel="0" collapsed="false">
      <c r="A46" s="6" t="s">
        <v>339</v>
      </c>
      <c r="B46" s="6" t="s">
        <v>47</v>
      </c>
      <c r="C46" s="6" t="s">
        <v>576</v>
      </c>
      <c r="D46" s="6" t="s">
        <v>577</v>
      </c>
      <c r="E46" s="6" t="s">
        <v>578</v>
      </c>
      <c r="F46" s="6" t="s">
        <v>579</v>
      </c>
      <c r="G46" s="6" t="s">
        <v>580</v>
      </c>
      <c r="H46" s="6" t="s">
        <v>581</v>
      </c>
      <c r="I46" s="6" t="s">
        <v>582</v>
      </c>
      <c r="J46" s="6" t="s">
        <v>583</v>
      </c>
      <c r="K46" s="6" t="s">
        <v>584</v>
      </c>
      <c r="L46" s="6" t="s">
        <v>585</v>
      </c>
      <c r="M46" s="6" t="s">
        <v>365</v>
      </c>
    </row>
    <row r="47" customFormat="false" ht="15" hidden="false" customHeight="false" outlineLevel="0" collapsed="false">
      <c r="A47" s="10" t="s">
        <v>620</v>
      </c>
      <c r="B47" s="5" t="s">
        <v>256</v>
      </c>
      <c r="C47" s="11" t="n">
        <f aca="false">Revenue_Build!C6</f>
        <v>0.0520759079663828</v>
      </c>
      <c r="D47" s="11" t="n">
        <f aca="false">Revenue_Build!D6</f>
        <v>0.0380225755483752</v>
      </c>
      <c r="E47" s="11" t="n">
        <f aca="false">Revenue_Build!E6</f>
        <v>0.0377418148050444</v>
      </c>
      <c r="F47" s="11" t="n">
        <f aca="false">Revenue_Build!F6</f>
        <v>0.043669376693767</v>
      </c>
      <c r="G47" s="11" t="n">
        <f aca="false">AVERAGE($C47:$F47)-Assumptions!$C$5/100</f>
        <v>0.0298774187533923</v>
      </c>
      <c r="H47" s="11" t="n">
        <f aca="false">AVERAGE($C47:$F47)-Assumptions!$C$5/100</f>
        <v>0.0298774187533923</v>
      </c>
      <c r="I47" s="11" t="n">
        <f aca="false">AVERAGE($C47:$F47)-Assumptions!$C$5/100</f>
        <v>0.0298774187533923</v>
      </c>
      <c r="J47" s="11" t="n">
        <f aca="false">AVERAGE($C47:$F47)-Assumptions!$C$5/100</f>
        <v>0.0298774187533923</v>
      </c>
    </row>
    <row r="48" customFormat="false" ht="15" hidden="false" customHeight="false" outlineLevel="0" collapsed="false">
      <c r="A48" s="2" t="s">
        <v>621</v>
      </c>
      <c r="B48" s="5" t="s">
        <v>256</v>
      </c>
      <c r="C48" s="17" t="n">
        <f aca="false">Revenue_Build!C7</f>
        <v>351.265</v>
      </c>
      <c r="D48" s="17" t="n">
        <f aca="false">Revenue_Build!D7</f>
        <v>364.621</v>
      </c>
      <c r="E48" s="17" t="n">
        <f aca="false">Revenue_Build!E7</f>
        <v>378.38245825603</v>
      </c>
      <c r="F48" s="17" t="n">
        <f aca="false">E48*(1+F47)</f>
        <v>394.906184359926</v>
      </c>
      <c r="G48" s="17" t="n">
        <f aca="false">F48*(1+G47)</f>
        <v>406.704961798352</v>
      </c>
      <c r="H48" s="17" t="n">
        <f aca="false">G48*(1+H47)</f>
        <v>418.856256251084</v>
      </c>
      <c r="I48" s="17" t="n">
        <f aca="false">H48*(1+I47)</f>
        <v>431.370600016576</v>
      </c>
      <c r="J48" s="17" t="n">
        <f aca="false">I48*(1+J47)</f>
        <v>444.258840071173</v>
      </c>
      <c r="K48" s="17" t="n">
        <f aca="false">SUM(C48:F48)</f>
        <v>1489.17464261596</v>
      </c>
      <c r="L48" s="17" t="n">
        <f aca="false">SUM(G48:J48)</f>
        <v>1701.19065813718</v>
      </c>
    </row>
    <row r="50" customFormat="false" ht="15" hidden="false" customHeight="false" outlineLevel="0" collapsed="false">
      <c r="A50" s="28" t="s">
        <v>622</v>
      </c>
    </row>
    <row r="51" customFormat="false" ht="15" hidden="false" customHeight="false" outlineLevel="0" collapsed="false">
      <c r="A51" s="6" t="s">
        <v>339</v>
      </c>
      <c r="B51" s="6" t="s">
        <v>47</v>
      </c>
      <c r="C51" s="6" t="s">
        <v>576</v>
      </c>
      <c r="D51" s="6" t="s">
        <v>577</v>
      </c>
      <c r="E51" s="6" t="s">
        <v>578</v>
      </c>
      <c r="F51" s="6" t="s">
        <v>579</v>
      </c>
      <c r="G51" s="6" t="s">
        <v>580</v>
      </c>
      <c r="H51" s="6" t="s">
        <v>581</v>
      </c>
      <c r="I51" s="6" t="s">
        <v>582</v>
      </c>
      <c r="J51" s="6" t="s">
        <v>583</v>
      </c>
      <c r="K51" s="6" t="s">
        <v>584</v>
      </c>
      <c r="L51" s="6" t="s">
        <v>585</v>
      </c>
      <c r="M51" s="6" t="s">
        <v>365</v>
      </c>
    </row>
    <row r="52" customFormat="false" ht="15" hidden="false" customHeight="false" outlineLevel="0" collapsed="false">
      <c r="A52" s="10" t="s">
        <v>620</v>
      </c>
      <c r="B52" s="5" t="s">
        <v>256</v>
      </c>
      <c r="C52" s="11" t="n">
        <f aca="false">Revenue_Build!C24</f>
        <v>0.0520759079663828</v>
      </c>
      <c r="D52" s="11" t="n">
        <f aca="false">Revenue_Build!D24</f>
        <v>0.0380225755483752</v>
      </c>
      <c r="E52" s="11" t="n">
        <f aca="false">Revenue_Build!E24</f>
        <v>0.0270145436187577</v>
      </c>
      <c r="F52" s="11" t="n">
        <f aca="false">Revenue_Build!F24</f>
        <v>0.043669376693767</v>
      </c>
      <c r="G52" s="11" t="n">
        <f aca="false">AVERAGE($C52:$F52)-Assumptions!$C$5/100</f>
        <v>0.0271956009568207</v>
      </c>
      <c r="H52" s="11" t="n">
        <f aca="false">AVERAGE($C52:$F52)-Assumptions!$C$5/100</f>
        <v>0.0271956009568207</v>
      </c>
      <c r="I52" s="11" t="n">
        <f aca="false">AVERAGE($C52:$F52)-Assumptions!$C$5/100</f>
        <v>0.0271956009568207</v>
      </c>
      <c r="J52" s="11" t="n">
        <f aca="false">AVERAGE($C52:$F52)-Assumptions!$C$5/100</f>
        <v>0.0271956009568207</v>
      </c>
    </row>
    <row r="53" customFormat="false" ht="15" hidden="false" customHeight="false" outlineLevel="0" collapsed="false">
      <c r="A53" s="2" t="s">
        <v>621</v>
      </c>
      <c r="B53" s="5" t="s">
        <v>256</v>
      </c>
      <c r="C53" s="17" t="n">
        <f aca="false">Revenue_Build!C25</f>
        <v>351.265</v>
      </c>
      <c r="D53" s="17" t="n">
        <f aca="false">Revenue_Build!D25</f>
        <v>364.621</v>
      </c>
      <c r="E53" s="17" t="n">
        <f aca="false">Revenue_Build!E25</f>
        <v>374.471069908815</v>
      </c>
      <c r="F53" s="17" t="n">
        <f aca="false">E53*(1+F52)</f>
        <v>390.823988121581</v>
      </c>
      <c r="G53" s="17" t="n">
        <f aca="false">F53*(1+G52)</f>
        <v>401.452681346889</v>
      </c>
      <c r="H53" s="17" t="n">
        <f aca="false">G53*(1+H52)</f>
        <v>412.370428271844</v>
      </c>
      <c r="I53" s="17" t="n">
        <f aca="false">H53*(1+I52)</f>
        <v>423.585089885519</v>
      </c>
      <c r="J53" s="17" t="n">
        <f aca="false">I53*(1+J52)</f>
        <v>435.104740961304</v>
      </c>
      <c r="K53" s="17" t="n">
        <f aca="false">SUM(C53:F53)</f>
        <v>1481.1810580304</v>
      </c>
      <c r="L53" s="17" t="n">
        <f aca="false">SUM(G53:J53)</f>
        <v>1672.51294046556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12" min="3" style="0" width="11"/>
    <col collapsed="false" customWidth="true" hidden="false" outlineLevel="0" max="13" min="13" style="0" width="60"/>
  </cols>
  <sheetData>
    <row r="1" customFormat="false" ht="16.15" hidden="false" customHeight="false" outlineLevel="0" collapsed="false">
      <c r="A1" s="4" t="s">
        <v>623</v>
      </c>
    </row>
    <row r="2" customFormat="false" ht="15" hidden="false" customHeight="false" outlineLevel="0" collapsed="false">
      <c r="A2" s="5" t="s">
        <v>624</v>
      </c>
    </row>
    <row r="4" customFormat="false" ht="15" hidden="false" customHeight="false" outlineLevel="0" collapsed="false">
      <c r="A4" s="28" t="s">
        <v>575</v>
      </c>
    </row>
    <row r="5" customFormat="false" ht="15" hidden="false" customHeight="false" outlineLevel="0" collapsed="false">
      <c r="A5" s="6" t="s">
        <v>339</v>
      </c>
      <c r="B5" s="6" t="s">
        <v>47</v>
      </c>
      <c r="C5" s="6" t="s">
        <v>576</v>
      </c>
      <c r="D5" s="6" t="s">
        <v>577</v>
      </c>
      <c r="E5" s="6" t="s">
        <v>578</v>
      </c>
      <c r="F5" s="6" t="s">
        <v>579</v>
      </c>
      <c r="G5" s="6" t="s">
        <v>580</v>
      </c>
      <c r="H5" s="6" t="s">
        <v>581</v>
      </c>
      <c r="I5" s="6" t="s">
        <v>582</v>
      </c>
      <c r="J5" s="6" t="s">
        <v>583</v>
      </c>
      <c r="K5" s="6" t="s">
        <v>584</v>
      </c>
      <c r="L5" s="6" t="s">
        <v>585</v>
      </c>
      <c r="M5" s="6" t="s">
        <v>365</v>
      </c>
    </row>
    <row r="6" customFormat="false" ht="15" hidden="false" customHeight="false" outlineLevel="0" collapsed="false">
      <c r="A6" s="10" t="s">
        <v>257</v>
      </c>
      <c r="B6" s="5" t="s">
        <v>625</v>
      </c>
      <c r="C6" s="12" t="n">
        <f aca="false">Historical_Drivers!$O$36</f>
        <v>0.894452905925726</v>
      </c>
      <c r="D6" s="12" t="n">
        <f aca="false">Historical_Drivers!$P$36</f>
        <v>0.889202761223298</v>
      </c>
      <c r="E6" s="12" t="n">
        <f aca="false">D6+Assumptions!$C$7/100</f>
        <v>0.888202761223298</v>
      </c>
      <c r="F6" s="12" t="n">
        <f aca="false">E6+Assumptions!$C$7/100</f>
        <v>0.887202761223298</v>
      </c>
      <c r="G6" s="12" t="n">
        <f aca="false">F6+Assumptions!$C$7/100</f>
        <v>0.886202761223298</v>
      </c>
      <c r="H6" s="12" t="n">
        <f aca="false">G6+Assumptions!$C$7/100</f>
        <v>0.885202761223298</v>
      </c>
      <c r="I6" s="12" t="n">
        <f aca="false">H6+Assumptions!$C$7/100</f>
        <v>0.884202761223298</v>
      </c>
      <c r="J6" s="12" t="n">
        <f aca="false">I6+Assumptions!$C$7/100</f>
        <v>0.883202761223298</v>
      </c>
    </row>
    <row r="7" customFormat="false" ht="15" hidden="false" customHeight="false" outlineLevel="0" collapsed="false">
      <c r="A7" s="10" t="s">
        <v>80</v>
      </c>
      <c r="B7" s="5" t="s">
        <v>626</v>
      </c>
      <c r="C7" s="17" t="n">
        <f aca="false">Historical_Drivers!$O$8/1000</f>
        <v>314.19</v>
      </c>
      <c r="D7" s="17" t="n">
        <f aca="false">Historical_Drivers!$P$8/1000</f>
        <v>324.222</v>
      </c>
      <c r="E7" s="17" t="n">
        <f aca="false">Revenue_Build!E7*E6</f>
        <v>336.080344221465</v>
      </c>
      <c r="F7" s="17" t="n">
        <f aca="false">Revenue_Build!F7*F6</f>
        <v>350.361857188283</v>
      </c>
      <c r="G7" s="17" t="n">
        <f aca="false">Revenue_Build!G7*G6</f>
        <v>363.642227372628</v>
      </c>
      <c r="H7" s="17" t="n">
        <f aca="false">Revenue_Build!H7*H6</f>
        <v>372.320887276418</v>
      </c>
      <c r="I7" s="17" t="n">
        <f aca="false">Revenue_Build!I7*I6</f>
        <v>381.101769978195</v>
      </c>
      <c r="J7" s="17" t="n">
        <f aca="false">Revenue_Build!J7*J6</f>
        <v>392.345693119662</v>
      </c>
      <c r="K7" s="17" t="n">
        <f aca="false">SUM(C7:F7)</f>
        <v>1324.85420140975</v>
      </c>
      <c r="L7" s="17" t="n">
        <f aca="false">SUM(G7:J7)</f>
        <v>1509.4105777469</v>
      </c>
    </row>
    <row r="8" customFormat="false" ht="15" hidden="false" customHeight="false" outlineLevel="0" collapsed="false">
      <c r="A8" s="10" t="s">
        <v>627</v>
      </c>
      <c r="B8" s="5" t="s">
        <v>256</v>
      </c>
      <c r="E8" s="17" t="n">
        <f aca="false">E7-Historical_Drivers!$C$54</f>
        <v>266.443344221465</v>
      </c>
    </row>
    <row r="9" customFormat="false" ht="15" hidden="false" customHeight="false" outlineLevel="0" collapsed="false">
      <c r="A9" s="10" t="s">
        <v>628</v>
      </c>
      <c r="B9" s="5" t="s">
        <v>629</v>
      </c>
      <c r="C9" s="12" t="n">
        <f aca="false">C10/Revenue_Build!C7</f>
        <v>0.223230324683643</v>
      </c>
      <c r="D9" s="12" t="n">
        <f aca="false">D10/Revenue_Build!D7</f>
        <v>0.227641852773154</v>
      </c>
      <c r="E9" s="12" t="n">
        <f aca="false">E10/Revenue_Build!E7</f>
        <v>0.22214012672228</v>
      </c>
      <c r="F9" s="12" t="n">
        <f aca="false">E9</f>
        <v>0.22214012672228</v>
      </c>
      <c r="G9" s="12" t="n">
        <f aca="false">$E9+Assumptions!$C$8/100</f>
        <v>0.21714012672228</v>
      </c>
      <c r="H9" s="12" t="n">
        <f aca="false">$E9+Assumptions!$C$8/100</f>
        <v>0.21714012672228</v>
      </c>
      <c r="I9" s="12" t="n">
        <f aca="false">$E9+Assumptions!$C$8/100</f>
        <v>0.21714012672228</v>
      </c>
      <c r="J9" s="12" t="n">
        <f aca="false">$E9+Assumptions!$C$8/100</f>
        <v>0.21714012672228</v>
      </c>
      <c r="K9" s="12" t="n">
        <f aca="false">K10/Revenue_Build!K7</f>
        <v>0.223744366529303</v>
      </c>
      <c r="L9" s="12" t="n">
        <f aca="false">L10/Revenue_Build!L7</f>
        <v>0.21714012672228</v>
      </c>
    </row>
    <row r="10" customFormat="false" ht="15" hidden="false" customHeight="false" outlineLevel="0" collapsed="false">
      <c r="A10" s="10" t="s">
        <v>95</v>
      </c>
      <c r="B10" s="5" t="s">
        <v>626</v>
      </c>
      <c r="C10" s="17" t="n">
        <f aca="false">Historical_Drivers!$O$10/1000</f>
        <v>78.413</v>
      </c>
      <c r="D10" s="17" t="n">
        <f aca="false">Historical_Drivers!$P$10/1000</f>
        <v>83.003</v>
      </c>
      <c r="E10" s="17" t="n">
        <f aca="false">E8*Historical_Drivers!$P$10/(Historical_Drivers!$P$10+Historical_Drivers!$P$12+Historical_Drivers!$P$14)</f>
        <v>84.0539272264825</v>
      </c>
      <c r="F10" s="17" t="n">
        <f aca="false">F9*Revenue_Build!F7</f>
        <v>87.7245098371263</v>
      </c>
      <c r="G10" s="17" t="n">
        <f aca="false">G9*Revenue_Build!G7</f>
        <v>89.1007371995412</v>
      </c>
      <c r="H10" s="17" t="n">
        <f aca="false">H9*Revenue_Build!H7</f>
        <v>91.3302671275326</v>
      </c>
      <c r="I10" s="17" t="n">
        <f aca="false">I9*Revenue_Build!I7</f>
        <v>93.5899436828973</v>
      </c>
      <c r="J10" s="17" t="n">
        <f aca="false">J9*Revenue_Build!J7</f>
        <v>96.4602889204565</v>
      </c>
      <c r="K10" s="17" t="n">
        <f aca="false">SUM(C10:F10)</f>
        <v>333.194437063609</v>
      </c>
      <c r="L10" s="17" t="n">
        <f aca="false">SUM(G10:J10)</f>
        <v>370.481236930428</v>
      </c>
    </row>
    <row r="11" customFormat="false" ht="15" hidden="false" customHeight="false" outlineLevel="0" collapsed="false">
      <c r="A11" s="10" t="s">
        <v>630</v>
      </c>
      <c r="B11" s="5" t="s">
        <v>629</v>
      </c>
      <c r="C11" s="12" t="n">
        <f aca="false">C12/Revenue_Build!C7</f>
        <v>0.450318135880318</v>
      </c>
      <c r="D11" s="12" t="n">
        <f aca="false">D12/Revenue_Build!D7</f>
        <v>0.409861198340194</v>
      </c>
      <c r="E11" s="12" t="n">
        <f aca="false">E12/Revenue_Build!E7</f>
        <v>0.399955532907057</v>
      </c>
      <c r="F11" s="12" t="n">
        <f aca="false">E11</f>
        <v>0.399955532907057</v>
      </c>
      <c r="G11" s="12" t="n">
        <f aca="false">$E11+Assumptions!$C$9/100</f>
        <v>0.394955532907057</v>
      </c>
      <c r="H11" s="12" t="n">
        <f aca="false">$E11+Assumptions!$C$9/100</f>
        <v>0.394955532907057</v>
      </c>
      <c r="I11" s="12" t="n">
        <f aca="false">$E11+Assumptions!$C$9/100</f>
        <v>0.394955532907057</v>
      </c>
      <c r="J11" s="12" t="n">
        <f aca="false">$E11+Assumptions!$C$9/100</f>
        <v>0.394955532907057</v>
      </c>
      <c r="K11" s="12" t="n">
        <f aca="false">K12/Revenue_Build!K7</f>
        <v>0.414260391960981</v>
      </c>
      <c r="L11" s="12" t="n">
        <f aca="false">L12/Revenue_Build!L7</f>
        <v>0.394955532907057</v>
      </c>
    </row>
    <row r="12" customFormat="false" ht="15" hidden="false" customHeight="false" outlineLevel="0" collapsed="false">
      <c r="A12" s="10" t="s">
        <v>110</v>
      </c>
      <c r="B12" s="5" t="s">
        <v>626</v>
      </c>
      <c r="C12" s="17" t="n">
        <f aca="false">Historical_Drivers!$O$12/1000</f>
        <v>158.181</v>
      </c>
      <c r="D12" s="17" t="n">
        <f aca="false">Historical_Drivers!$P$12/1000</f>
        <v>149.444</v>
      </c>
      <c r="E12" s="17" t="n">
        <f aca="false">E8*Historical_Drivers!$P$12/(Historical_Drivers!$P$10+Historical_Drivers!$P$12+Historical_Drivers!$P$14)</f>
        <v>151.336157734473</v>
      </c>
      <c r="F12" s="17" t="n">
        <f aca="false">F11*Revenue_Build!F7</f>
        <v>157.944913413967</v>
      </c>
      <c r="G12" s="17" t="n">
        <f aca="false">G11*Revenue_Build!G7</f>
        <v>162.065066803913</v>
      </c>
      <c r="H12" s="17" t="n">
        <f aca="false">H11*Revenue_Build!H7</f>
        <v>166.120352181766</v>
      </c>
      <c r="I12" s="17" t="n">
        <f aca="false">I11*Revenue_Build!I7</f>
        <v>170.230471170796</v>
      </c>
      <c r="J12" s="17" t="n">
        <f aca="false">J11*Revenue_Build!J7</f>
        <v>175.451333615891</v>
      </c>
      <c r="K12" s="17" t="n">
        <f aca="false">SUM(C12:F12)</f>
        <v>616.90607114844</v>
      </c>
      <c r="L12" s="17" t="n">
        <f aca="false">SUM(G12:J12)</f>
        <v>673.867223772366</v>
      </c>
    </row>
    <row r="13" customFormat="false" ht="15" hidden="false" customHeight="false" outlineLevel="0" collapsed="false">
      <c r="A13" s="10" t="s">
        <v>631</v>
      </c>
      <c r="B13" s="5" t="s">
        <v>629</v>
      </c>
      <c r="C13" s="12" t="n">
        <f aca="false">C14/Revenue_Build!C7</f>
        <v>0.0813032895392368</v>
      </c>
      <c r="D13" s="12" t="n">
        <f aca="false">D14/Revenue_Build!D7</f>
        <v>0.0841010254483423</v>
      </c>
      <c r="E13" s="12" t="n">
        <f aca="false">E14/Revenue_Build!E7</f>
        <v>0.0820684431398712</v>
      </c>
      <c r="F13" s="12" t="n">
        <f aca="false">E13</f>
        <v>0.0820684431398712</v>
      </c>
      <c r="G13" s="12" t="n">
        <f aca="false">$E13+Assumptions!$C$10/100</f>
        <v>0.0800684431398712</v>
      </c>
      <c r="H13" s="12" t="n">
        <f aca="false">$E13+Assumptions!$C$10/100</f>
        <v>0.0800684431398712</v>
      </c>
      <c r="I13" s="12" t="n">
        <f aca="false">$E13+Assumptions!$C$10/100</f>
        <v>0.0800684431398712</v>
      </c>
      <c r="J13" s="12" t="n">
        <f aca="false">$E13+Assumptions!$C$10/100</f>
        <v>0.0800684431398712</v>
      </c>
      <c r="K13" s="12" t="n">
        <f aca="false">K14/Revenue_Build!K7</f>
        <v>0.082385632609026</v>
      </c>
      <c r="L13" s="12" t="n">
        <f aca="false">L14/Revenue_Build!L7</f>
        <v>0.0800684431398712</v>
      </c>
    </row>
    <row r="14" customFormat="false" ht="15" hidden="false" customHeight="false" outlineLevel="0" collapsed="false">
      <c r="A14" s="10" t="s">
        <v>125</v>
      </c>
      <c r="B14" s="5" t="s">
        <v>626</v>
      </c>
      <c r="C14" s="17" t="n">
        <f aca="false">Historical_Drivers!$O$14/1000</f>
        <v>28.559</v>
      </c>
      <c r="D14" s="17" t="n">
        <f aca="false">Historical_Drivers!$P$14/1000</f>
        <v>30.665</v>
      </c>
      <c r="E14" s="17" t="n">
        <f aca="false">E8*Historical_Drivers!$P$14/(Historical_Drivers!$P$10+Historical_Drivers!$P$12+Historical_Drivers!$P$14)</f>
        <v>31.0532592605097</v>
      </c>
      <c r="F14" s="17" t="n">
        <f aca="false">F13*Revenue_Build!F7</f>
        <v>32.4093357367261</v>
      </c>
      <c r="G14" s="17" t="n">
        <f aca="false">G13*Revenue_Build!G7</f>
        <v>32.8550849530754</v>
      </c>
      <c r="H14" s="17" t="n">
        <f aca="false">H13*Revenue_Build!H7</f>
        <v>33.677203798462</v>
      </c>
      <c r="I14" s="17" t="n">
        <f aca="false">I13*Revenue_Build!I7</f>
        <v>34.5104389379953</v>
      </c>
      <c r="J14" s="17" t="n">
        <f aca="false">J13*Revenue_Build!J7</f>
        <v>35.5688525896519</v>
      </c>
      <c r="K14" s="17" t="n">
        <f aca="false">SUM(C14:F14)</f>
        <v>122.686594997236</v>
      </c>
      <c r="L14" s="17" t="n">
        <f aca="false">SUM(G14:J14)</f>
        <v>136.611580279184</v>
      </c>
    </row>
    <row r="15" customFormat="false" ht="15" hidden="false" customHeight="false" outlineLevel="0" collapsed="false">
      <c r="A15" s="10" t="s">
        <v>632</v>
      </c>
      <c r="B15" s="5" t="s">
        <v>256</v>
      </c>
      <c r="C15" s="17" t="n">
        <f aca="false">C10+C12+C14</f>
        <v>265.153</v>
      </c>
      <c r="D15" s="17" t="n">
        <f aca="false">D10+D12+D14</f>
        <v>263.112</v>
      </c>
      <c r="E15" s="17" t="n">
        <f aca="false">E10+E12+E14</f>
        <v>266.443344221465</v>
      </c>
      <c r="F15" s="17" t="n">
        <f aca="false">F10+F12+F14</f>
        <v>278.078758987819</v>
      </c>
      <c r="G15" s="17" t="n">
        <f aca="false">G10+G12+G14</f>
        <v>284.020888956529</v>
      </c>
      <c r="H15" s="17" t="n">
        <f aca="false">H10+H12+H14</f>
        <v>291.127823107761</v>
      </c>
      <c r="I15" s="17" t="n">
        <f aca="false">I10+I12+I14</f>
        <v>298.330853791689</v>
      </c>
      <c r="J15" s="17" t="n">
        <f aca="false">J10+J12+J14</f>
        <v>307.480475125999</v>
      </c>
      <c r="K15" s="17" t="n">
        <f aca="false">K10+K12+K14</f>
        <v>1072.78710320928</v>
      </c>
      <c r="L15" s="17" t="n">
        <f aca="false">L10+L12+L14</f>
        <v>1180.96004098198</v>
      </c>
    </row>
    <row r="16" customFormat="false" ht="15" hidden="false" customHeight="false" outlineLevel="0" collapsed="false">
      <c r="A16" s="2" t="s">
        <v>140</v>
      </c>
      <c r="B16" s="5" t="s">
        <v>256</v>
      </c>
      <c r="C16" s="17" t="n">
        <f aca="false">C7-C15</f>
        <v>49.037</v>
      </c>
      <c r="D16" s="17" t="n">
        <f aca="false">D7-D15</f>
        <v>61.11</v>
      </c>
      <c r="E16" s="17" t="n">
        <f aca="false">E7-E15</f>
        <v>69.637</v>
      </c>
      <c r="F16" s="17" t="n">
        <f aca="false">F7-F15</f>
        <v>72.2830982004639</v>
      </c>
      <c r="G16" s="17" t="n">
        <f aca="false">G7-G15</f>
        <v>79.6213384160989</v>
      </c>
      <c r="H16" s="17" t="n">
        <f aca="false">H7-H15</f>
        <v>81.1930641686571</v>
      </c>
      <c r="I16" s="17" t="n">
        <f aca="false">I7-I15</f>
        <v>82.7709161865066</v>
      </c>
      <c r="J16" s="17" t="n">
        <f aca="false">J7-J15</f>
        <v>84.8652179936623</v>
      </c>
      <c r="K16" s="17" t="n">
        <f aca="false">K7-K15</f>
        <v>252.067098200464</v>
      </c>
      <c r="L16" s="17" t="n">
        <f aca="false">L7-L15</f>
        <v>328.450536764925</v>
      </c>
    </row>
    <row r="17" customFormat="false" ht="15" hidden="false" customHeight="false" outlineLevel="0" collapsed="false">
      <c r="A17" s="10" t="s">
        <v>258</v>
      </c>
      <c r="B17" s="5" t="s">
        <v>256</v>
      </c>
      <c r="C17" s="12" t="n">
        <f aca="false">C16/Revenue_Build!C7</f>
        <v>0.139601155822527</v>
      </c>
      <c r="D17" s="12" t="n">
        <f aca="false">D16/Revenue_Build!D7</f>
        <v>0.167598684661607</v>
      </c>
      <c r="E17" s="12" t="n">
        <f aca="false">E16/Revenue_Build!E7</f>
        <v>0.184038658454089</v>
      </c>
      <c r="F17" s="12" t="n">
        <f aca="false">F16/Revenue_Build!F7</f>
        <v>0.183038658454089</v>
      </c>
      <c r="G17" s="12" t="n">
        <f aca="false">G16/Revenue_Build!G7</f>
        <v>0.194038658454089</v>
      </c>
      <c r="H17" s="12" t="n">
        <f aca="false">H16/Revenue_Build!H7</f>
        <v>0.193038658454089</v>
      </c>
      <c r="I17" s="12" t="n">
        <f aca="false">I16/Revenue_Build!I7</f>
        <v>0.192038658454089</v>
      </c>
      <c r="J17" s="12" t="n">
        <f aca="false">J16/Revenue_Build!J7</f>
        <v>0.191038658454089</v>
      </c>
      <c r="K17" s="12" t="n">
        <f aca="false">K16/Revenue_Build!K7</f>
        <v>0.169266311006794</v>
      </c>
      <c r="L17" s="12" t="n">
        <f aca="false">L16/Revenue_Build!L7</f>
        <v>0.192505811538656</v>
      </c>
    </row>
    <row r="19" customFormat="false" ht="15" hidden="false" customHeight="false" outlineLevel="0" collapsed="false">
      <c r="A19" s="28" t="s">
        <v>597</v>
      </c>
    </row>
    <row r="20" customFormat="false" ht="15" hidden="false" customHeight="false" outlineLevel="0" collapsed="false">
      <c r="A20" s="6" t="s">
        <v>339</v>
      </c>
      <c r="B20" s="6" t="s">
        <v>47</v>
      </c>
      <c r="C20" s="6" t="s">
        <v>576</v>
      </c>
      <c r="D20" s="6" t="s">
        <v>577</v>
      </c>
      <c r="E20" s="6" t="s">
        <v>578</v>
      </c>
      <c r="F20" s="6" t="s">
        <v>579</v>
      </c>
      <c r="G20" s="6" t="s">
        <v>580</v>
      </c>
      <c r="H20" s="6" t="s">
        <v>581</v>
      </c>
      <c r="I20" s="6" t="s">
        <v>582</v>
      </c>
      <c r="J20" s="6" t="s">
        <v>583</v>
      </c>
      <c r="K20" s="6" t="s">
        <v>584</v>
      </c>
      <c r="L20" s="6" t="s">
        <v>585</v>
      </c>
      <c r="M20" s="6" t="s">
        <v>365</v>
      </c>
    </row>
    <row r="21" customFormat="false" ht="15" hidden="false" customHeight="false" outlineLevel="0" collapsed="false">
      <c r="A21" s="10" t="s">
        <v>257</v>
      </c>
      <c r="B21" s="5" t="s">
        <v>625</v>
      </c>
      <c r="C21" s="12" t="n">
        <f aca="false">Historical_Drivers!$O$36</f>
        <v>0.894452905925726</v>
      </c>
      <c r="D21" s="12" t="n">
        <f aca="false">Historical_Drivers!$P$36</f>
        <v>0.889202761223298</v>
      </c>
      <c r="E21" s="12" t="n">
        <f aca="false">D21+Assumptions!$C$7/100</f>
        <v>0.888202761223298</v>
      </c>
      <c r="F21" s="12" t="n">
        <f aca="false">E21+Assumptions!$D$7/100</f>
        <v>0.885702761223298</v>
      </c>
      <c r="G21" s="12" t="n">
        <f aca="false">F21+Assumptions!$D$7/100</f>
        <v>0.883202761223298</v>
      </c>
      <c r="H21" s="12" t="n">
        <f aca="false">G21+Assumptions!$D$7/100</f>
        <v>0.880702761223298</v>
      </c>
      <c r="I21" s="12" t="n">
        <f aca="false">H21+Assumptions!$D$7/100</f>
        <v>0.878202761223298</v>
      </c>
      <c r="J21" s="12" t="n">
        <f aca="false">I21+Assumptions!$D$7/100</f>
        <v>0.875702761223298</v>
      </c>
    </row>
    <row r="22" customFormat="false" ht="15" hidden="false" customHeight="false" outlineLevel="0" collapsed="false">
      <c r="A22" s="10" t="s">
        <v>80</v>
      </c>
      <c r="B22" s="5" t="s">
        <v>626</v>
      </c>
      <c r="C22" s="17" t="n">
        <f aca="false">Historical_Drivers!$O$8/1000</f>
        <v>314.19</v>
      </c>
      <c r="D22" s="17" t="n">
        <f aca="false">Historical_Drivers!$P$8/1000</f>
        <v>324.222</v>
      </c>
      <c r="E22" s="17" t="n">
        <f aca="false">Revenue_Build!E16*E21</f>
        <v>336.080344221465</v>
      </c>
      <c r="F22" s="17" t="n">
        <f aca="false">Revenue_Build!F16*F21</f>
        <v>345.412750866758</v>
      </c>
      <c r="G22" s="17" t="n">
        <f aca="false">Revenue_Build!G16*G21</f>
        <v>353.419310761121</v>
      </c>
      <c r="H22" s="17" t="n">
        <f aca="false">Revenue_Build!H16*H21</f>
        <v>356.655902638476</v>
      </c>
      <c r="I22" s="17" t="n">
        <f aca="false">Revenue_Build!I16*I21</f>
        <v>359.819384079484</v>
      </c>
      <c r="J22" s="17" t="n">
        <f aca="false">Revenue_Build!J16*J21</f>
        <v>360.470427337462</v>
      </c>
      <c r="K22" s="17" t="n">
        <f aca="false">SUM(C22:F22)</f>
        <v>1319.90509508822</v>
      </c>
      <c r="L22" s="17" t="n">
        <f aca="false">SUM(G22:J22)</f>
        <v>1430.36502481654</v>
      </c>
    </row>
    <row r="23" customFormat="false" ht="15" hidden="false" customHeight="false" outlineLevel="0" collapsed="false">
      <c r="A23" s="10" t="s">
        <v>627</v>
      </c>
      <c r="B23" s="5" t="s">
        <v>256</v>
      </c>
      <c r="E23" s="17" t="n">
        <f aca="false">E22-Historical_Drivers!$C$54</f>
        <v>266.443344221465</v>
      </c>
    </row>
    <row r="24" customFormat="false" ht="15" hidden="false" customHeight="false" outlineLevel="0" collapsed="false">
      <c r="A24" s="10" t="s">
        <v>628</v>
      </c>
      <c r="B24" s="5" t="s">
        <v>256</v>
      </c>
      <c r="C24" s="12" t="n">
        <f aca="false">C25/Revenue_Build!C16</f>
        <v>0.223230324683643</v>
      </c>
      <c r="D24" s="12" t="n">
        <f aca="false">D25/Revenue_Build!D16</f>
        <v>0.227641852773154</v>
      </c>
      <c r="E24" s="12" t="n">
        <f aca="false">E25/Revenue_Build!E16</f>
        <v>0.22214012672228</v>
      </c>
      <c r="F24" s="12" t="n">
        <f aca="false">F25/Revenue_Build!F16</f>
        <v>0.224942016166841</v>
      </c>
      <c r="G24" s="12" t="n">
        <f aca="false">G25/Revenue_Build!G16</f>
        <v>0.222664734850485</v>
      </c>
      <c r="H24" s="12" t="n">
        <f aca="false">H25/Revenue_Build!H16</f>
        <v>0.225524988784532</v>
      </c>
      <c r="I24" s="12" t="n">
        <f aca="false">I25/Revenue_Build!I16</f>
        <v>0.228422788214482</v>
      </c>
      <c r="J24" s="12" t="n">
        <f aca="false">J25/Revenue_Build!J16</f>
        <v>0.234334178201426</v>
      </c>
      <c r="K24" s="12" t="n">
        <f aca="false">K25/Revenue_Build!K16</f>
        <v>0.224485877770476</v>
      </c>
      <c r="L24" s="12" t="n">
        <f aca="false">L25/Revenue_Build!L16</f>
        <v>0.227780728736105</v>
      </c>
    </row>
    <row r="25" customFormat="false" ht="15" hidden="false" customHeight="false" outlineLevel="0" collapsed="false">
      <c r="A25" s="10" t="s">
        <v>95</v>
      </c>
      <c r="B25" s="5" t="s">
        <v>626</v>
      </c>
      <c r="C25" s="17" t="n">
        <f aca="false">Historical_Drivers!$O$10/1000</f>
        <v>78.413</v>
      </c>
      <c r="D25" s="17" t="n">
        <f aca="false">Historical_Drivers!$P$10/1000</f>
        <v>83.003</v>
      </c>
      <c r="E25" s="17" t="n">
        <f aca="false">Opex!E10</f>
        <v>84.0539272264825</v>
      </c>
      <c r="F25" s="17" t="n">
        <f aca="false">Opex!F10</f>
        <v>87.7245098371263</v>
      </c>
      <c r="G25" s="17" t="n">
        <f aca="false">Opex!G10</f>
        <v>89.1007371995412</v>
      </c>
      <c r="H25" s="17" t="n">
        <f aca="false">Opex!H10</f>
        <v>91.3302671275326</v>
      </c>
      <c r="I25" s="17" t="n">
        <f aca="false">Opex!I10</f>
        <v>93.5899436828973</v>
      </c>
      <c r="J25" s="17" t="n">
        <f aca="false">Opex!J10</f>
        <v>96.4602889204565</v>
      </c>
      <c r="K25" s="17" t="n">
        <f aca="false">SUM(C25:F25)</f>
        <v>333.194437063609</v>
      </c>
      <c r="L25" s="17" t="n">
        <f aca="false">SUM(G25:J25)</f>
        <v>370.481236930428</v>
      </c>
    </row>
    <row r="26" customFormat="false" ht="15" hidden="false" customHeight="false" outlineLevel="0" collapsed="false">
      <c r="A26" s="10" t="s">
        <v>630</v>
      </c>
      <c r="B26" s="5" t="s">
        <v>256</v>
      </c>
      <c r="C26" s="12" t="n">
        <f aca="false">C27/Revenue_Build!C16</f>
        <v>0.450318135880318</v>
      </c>
      <c r="D26" s="12" t="n">
        <f aca="false">D27/Revenue_Build!D16</f>
        <v>0.409861198340194</v>
      </c>
      <c r="E26" s="12" t="n">
        <f aca="false">E27/Revenue_Build!E16</f>
        <v>0.399955532907057</v>
      </c>
      <c r="F26" s="12" t="n">
        <f aca="false">F27/Revenue_Build!F16</f>
        <v>0.405000236907549</v>
      </c>
      <c r="G26" s="12" t="n">
        <f aca="false">G27/Revenue_Build!G16</f>
        <v>0.405004226256898</v>
      </c>
      <c r="H26" s="12" t="n">
        <f aca="false">H27/Revenue_Build!H16</f>
        <v>0.410206733659943</v>
      </c>
      <c r="I26" s="12" t="n">
        <f aca="false">I27/Revenue_Build!I16</f>
        <v>0.415477532454206</v>
      </c>
      <c r="J26" s="12" t="n">
        <f aca="false">J27/Revenue_Build!J16</f>
        <v>0.426229742180513</v>
      </c>
      <c r="K26" s="12" t="n">
        <f aca="false">K27/Revenue_Build!K16</f>
        <v>0.41563329239274</v>
      </c>
      <c r="L26" s="12" t="n">
        <f aca="false">L27/Revenue_Build!L16</f>
        <v>0.414309692372005</v>
      </c>
    </row>
    <row r="27" customFormat="false" ht="15" hidden="false" customHeight="false" outlineLevel="0" collapsed="false">
      <c r="A27" s="10" t="s">
        <v>110</v>
      </c>
      <c r="B27" s="5" t="s">
        <v>626</v>
      </c>
      <c r="C27" s="17" t="n">
        <f aca="false">Historical_Drivers!$O$12/1000</f>
        <v>158.181</v>
      </c>
      <c r="D27" s="17" t="n">
        <f aca="false">Historical_Drivers!$P$12/1000</f>
        <v>149.444</v>
      </c>
      <c r="E27" s="17" t="n">
        <f aca="false">Opex!E12</f>
        <v>151.336157734473</v>
      </c>
      <c r="F27" s="17" t="n">
        <f aca="false">Opex!F12</f>
        <v>157.944913413967</v>
      </c>
      <c r="G27" s="17" t="n">
        <f aca="false">Opex!G12</f>
        <v>162.065066803913</v>
      </c>
      <c r="H27" s="17" t="n">
        <f aca="false">Opex!H12</f>
        <v>166.120352181766</v>
      </c>
      <c r="I27" s="17" t="n">
        <f aca="false">Opex!I12</f>
        <v>170.230471170796</v>
      </c>
      <c r="J27" s="17" t="n">
        <f aca="false">Opex!J12</f>
        <v>175.451333615891</v>
      </c>
      <c r="K27" s="17" t="n">
        <f aca="false">SUM(C27:F27)</f>
        <v>616.90607114844</v>
      </c>
      <c r="L27" s="17" t="n">
        <f aca="false">SUM(G27:J27)</f>
        <v>673.867223772366</v>
      </c>
    </row>
    <row r="28" customFormat="false" ht="15" hidden="false" customHeight="false" outlineLevel="0" collapsed="false">
      <c r="A28" s="10" t="s">
        <v>631</v>
      </c>
      <c r="B28" s="5" t="s">
        <v>256</v>
      </c>
      <c r="C28" s="12" t="n">
        <f aca="false">C29/Revenue_Build!C16</f>
        <v>0.0813032895392368</v>
      </c>
      <c r="D28" s="12" t="n">
        <f aca="false">D29/Revenue_Build!D16</f>
        <v>0.0841010254483423</v>
      </c>
      <c r="E28" s="12" t="n">
        <f aca="false">E29/Revenue_Build!E16</f>
        <v>0.0820684431398712</v>
      </c>
      <c r="F28" s="12" t="n">
        <f aca="false">F29/Revenue_Build!F16</f>
        <v>0.0831035857228795</v>
      </c>
      <c r="G28" s="12" t="n">
        <f aca="false">G29/Revenue_Build!G16</f>
        <v>0.0821055920467104</v>
      </c>
      <c r="H28" s="12" t="n">
        <f aca="false">H29/Revenue_Build!H16</f>
        <v>0.0831602846221491</v>
      </c>
      <c r="I28" s="12" t="n">
        <f aca="false">I29/Revenue_Build!I16</f>
        <v>0.0842288217570863</v>
      </c>
      <c r="J28" s="12" t="n">
        <f aca="false">J29/Revenue_Build!J16</f>
        <v>0.0864085929499648</v>
      </c>
      <c r="K28" s="12" t="n">
        <f aca="false">K29/Revenue_Build!K16</f>
        <v>0.0826586668473326</v>
      </c>
      <c r="L28" s="12" t="n">
        <f aca="false">L29/Revenue_Build!L16</f>
        <v>0.0839920681749047</v>
      </c>
    </row>
    <row r="29" customFormat="false" ht="15" hidden="false" customHeight="false" outlineLevel="0" collapsed="false">
      <c r="A29" s="10" t="s">
        <v>125</v>
      </c>
      <c r="B29" s="5" t="s">
        <v>626</v>
      </c>
      <c r="C29" s="17" t="n">
        <f aca="false">Historical_Drivers!$O$14/1000</f>
        <v>28.559</v>
      </c>
      <c r="D29" s="17" t="n">
        <f aca="false">Historical_Drivers!$P$14/1000</f>
        <v>30.665</v>
      </c>
      <c r="E29" s="17" t="n">
        <f aca="false">Opex!E14</f>
        <v>31.0532592605097</v>
      </c>
      <c r="F29" s="17" t="n">
        <f aca="false">Opex!F14</f>
        <v>32.4093357367261</v>
      </c>
      <c r="G29" s="17" t="n">
        <f aca="false">Opex!G14</f>
        <v>32.8550849530754</v>
      </c>
      <c r="H29" s="17" t="n">
        <f aca="false">Opex!H14</f>
        <v>33.677203798462</v>
      </c>
      <c r="I29" s="17" t="n">
        <f aca="false">Opex!I14</f>
        <v>34.5104389379953</v>
      </c>
      <c r="J29" s="17" t="n">
        <f aca="false">Opex!J14</f>
        <v>35.5688525896519</v>
      </c>
      <c r="K29" s="17" t="n">
        <f aca="false">SUM(C29:F29)</f>
        <v>122.686594997236</v>
      </c>
      <c r="L29" s="17" t="n">
        <f aca="false">SUM(G29:J29)</f>
        <v>136.611580279184</v>
      </c>
    </row>
    <row r="30" customFormat="false" ht="15" hidden="false" customHeight="false" outlineLevel="0" collapsed="false">
      <c r="A30" s="10" t="s">
        <v>632</v>
      </c>
      <c r="B30" s="5" t="s">
        <v>256</v>
      </c>
      <c r="C30" s="17" t="n">
        <f aca="false">C25+C27+C29</f>
        <v>265.153</v>
      </c>
      <c r="D30" s="17" t="n">
        <f aca="false">D25+D27+D29</f>
        <v>263.112</v>
      </c>
      <c r="E30" s="17" t="n">
        <f aca="false">E25+E27+E29</f>
        <v>266.443344221465</v>
      </c>
      <c r="F30" s="17" t="n">
        <f aca="false">F25+F27+F29</f>
        <v>278.078758987819</v>
      </c>
      <c r="G30" s="17" t="n">
        <f aca="false">G25+G27+G29</f>
        <v>284.020888956529</v>
      </c>
      <c r="H30" s="17" t="n">
        <f aca="false">H25+H27+H29</f>
        <v>291.127823107761</v>
      </c>
      <c r="I30" s="17" t="n">
        <f aca="false">I25+I27+I29</f>
        <v>298.330853791689</v>
      </c>
      <c r="J30" s="17" t="n">
        <f aca="false">J25+J27+J29</f>
        <v>307.480475125999</v>
      </c>
      <c r="K30" s="17" t="n">
        <f aca="false">K25+K27+K29</f>
        <v>1072.78710320928</v>
      </c>
      <c r="L30" s="17" t="n">
        <f aca="false">L25+L27+L29</f>
        <v>1180.96004098198</v>
      </c>
    </row>
    <row r="31" customFormat="false" ht="15" hidden="false" customHeight="false" outlineLevel="0" collapsed="false">
      <c r="A31" s="2" t="s">
        <v>140</v>
      </c>
      <c r="B31" s="5" t="s">
        <v>256</v>
      </c>
      <c r="C31" s="17" t="n">
        <f aca="false">C22-C30</f>
        <v>49.037</v>
      </c>
      <c r="D31" s="17" t="n">
        <f aca="false">D22-D30</f>
        <v>61.11</v>
      </c>
      <c r="E31" s="17" t="n">
        <f aca="false">E22-E30</f>
        <v>69.637</v>
      </c>
      <c r="F31" s="17" t="n">
        <f aca="false">F22-F30</f>
        <v>67.3339918789384</v>
      </c>
      <c r="G31" s="17" t="n">
        <f aca="false">G22-G30</f>
        <v>69.3984218045919</v>
      </c>
      <c r="H31" s="17" t="n">
        <f aca="false">H22-H30</f>
        <v>65.5280795307156</v>
      </c>
      <c r="I31" s="17" t="n">
        <f aca="false">I22-I30</f>
        <v>61.4885302877954</v>
      </c>
      <c r="J31" s="17" t="n">
        <f aca="false">J22-J30</f>
        <v>52.9899522114627</v>
      </c>
      <c r="K31" s="17" t="n">
        <f aca="false">K22-K30</f>
        <v>247.117991878938</v>
      </c>
      <c r="L31" s="17" t="n">
        <f aca="false">L22-L30</f>
        <v>249.404983834566</v>
      </c>
    </row>
    <row r="32" customFormat="false" ht="15" hidden="false" customHeight="false" outlineLevel="0" collapsed="false">
      <c r="A32" s="10" t="s">
        <v>258</v>
      </c>
      <c r="B32" s="5" t="s">
        <v>256</v>
      </c>
      <c r="C32" s="12" t="n">
        <f aca="false">C31/Revenue_Build!C16</f>
        <v>0.139601155822527</v>
      </c>
      <c r="D32" s="12" t="n">
        <f aca="false">D31/Revenue_Build!D16</f>
        <v>0.167598684661607</v>
      </c>
      <c r="E32" s="12" t="n">
        <f aca="false">E31/Revenue_Build!E16</f>
        <v>0.184038658454089</v>
      </c>
      <c r="F32" s="12" t="n">
        <f aca="false">F31/Revenue_Build!F16</f>
        <v>0.172656922426028</v>
      </c>
      <c r="G32" s="12" t="n">
        <f aca="false">G31/Revenue_Build!G16</f>
        <v>0.173428208069205</v>
      </c>
      <c r="H32" s="12" t="n">
        <f aca="false">H31/Revenue_Build!H16</f>
        <v>0.161810754156674</v>
      </c>
      <c r="I32" s="12" t="n">
        <f aca="false">I31/Revenue_Build!I16</f>
        <v>0.150073618797524</v>
      </c>
      <c r="J32" s="12" t="n">
        <f aca="false">J31/Revenue_Build!J16</f>
        <v>0.128730247891395</v>
      </c>
      <c r="K32" s="12" t="n">
        <f aca="false">K31/Revenue_Build!K16</f>
        <v>0.166492873676731</v>
      </c>
      <c r="L32" s="12" t="n">
        <f aca="false">L31/Revenue_Build!L16</f>
        <v>0.153340151417498</v>
      </c>
    </row>
    <row r="34" customFormat="false" ht="15" hidden="false" customHeight="false" outlineLevel="0" collapsed="false">
      <c r="A34" s="28" t="s">
        <v>598</v>
      </c>
    </row>
    <row r="35" customFormat="false" ht="15" hidden="false" customHeight="false" outlineLevel="0" collapsed="false">
      <c r="A35" s="6" t="s">
        <v>339</v>
      </c>
      <c r="B35" s="6" t="s">
        <v>47</v>
      </c>
      <c r="C35" s="6" t="s">
        <v>576</v>
      </c>
      <c r="D35" s="6" t="s">
        <v>577</v>
      </c>
      <c r="E35" s="6" t="s">
        <v>578</v>
      </c>
      <c r="F35" s="6" t="s">
        <v>579</v>
      </c>
      <c r="G35" s="6" t="s">
        <v>580</v>
      </c>
      <c r="H35" s="6" t="s">
        <v>581</v>
      </c>
      <c r="I35" s="6" t="s">
        <v>582</v>
      </c>
      <c r="J35" s="6" t="s">
        <v>583</v>
      </c>
      <c r="K35" s="6" t="s">
        <v>584</v>
      </c>
      <c r="L35" s="6" t="s">
        <v>585</v>
      </c>
      <c r="M35" s="6" t="s">
        <v>365</v>
      </c>
    </row>
    <row r="36" customFormat="false" ht="15" hidden="false" customHeight="false" outlineLevel="0" collapsed="false">
      <c r="A36" s="10" t="s">
        <v>257</v>
      </c>
      <c r="B36" s="5" t="s">
        <v>625</v>
      </c>
      <c r="C36" s="12" t="n">
        <f aca="false">Historical_Drivers!$O$36</f>
        <v>0.894452905925726</v>
      </c>
      <c r="D36" s="12" t="n">
        <f aca="false">Historical_Drivers!$P$36</f>
        <v>0.889202761223298</v>
      </c>
      <c r="E36" s="12" t="n">
        <f aca="false">D36+Assumptions!$C$7/100</f>
        <v>0.888202761223298</v>
      </c>
      <c r="F36" s="12" t="n">
        <f aca="false">E36+Assumptions!$C$7/100</f>
        <v>0.887202761223298</v>
      </c>
      <c r="G36" s="12" t="n">
        <f aca="false">F36+Assumptions!$C$7/100</f>
        <v>0.886202761223298</v>
      </c>
      <c r="H36" s="12" t="n">
        <f aca="false">G36+Assumptions!$C$7/100</f>
        <v>0.885202761223298</v>
      </c>
      <c r="I36" s="12" t="n">
        <f aca="false">H36+Assumptions!$C$7/100</f>
        <v>0.884202761223298</v>
      </c>
      <c r="J36" s="12" t="n">
        <f aca="false">I36+Assumptions!$C$7/100</f>
        <v>0.883202761223298</v>
      </c>
    </row>
    <row r="37" customFormat="false" ht="15" hidden="false" customHeight="false" outlineLevel="0" collapsed="false">
      <c r="A37" s="10" t="s">
        <v>80</v>
      </c>
      <c r="B37" s="5" t="s">
        <v>626</v>
      </c>
      <c r="C37" s="17" t="n">
        <f aca="false">Historical_Drivers!$O$8/1000</f>
        <v>314.19</v>
      </c>
      <c r="D37" s="17" t="n">
        <f aca="false">Historical_Drivers!$P$8/1000</f>
        <v>324.222</v>
      </c>
      <c r="E37" s="17" t="n">
        <f aca="false">Revenue_Build!E25*E36</f>
        <v>332.606238291252</v>
      </c>
      <c r="F37" s="17" t="n">
        <f aca="false">Revenue_Build!F25*F36</f>
        <v>346.740121413768</v>
      </c>
      <c r="G37" s="17" t="n">
        <f aca="false">Revenue_Build!G25*G36</f>
        <v>359.883210696072</v>
      </c>
      <c r="H37" s="17" t="n">
        <f aca="false">Revenue_Build!H25*H36</f>
        <v>368.472158171401</v>
      </c>
      <c r="I37" s="17" t="n">
        <f aca="false">Revenue_Build!I25*I36</f>
        <v>373.214036294658</v>
      </c>
      <c r="J37" s="17" t="n">
        <f aca="false">Revenue_Build!J25*J36</f>
        <v>384.225241883269</v>
      </c>
      <c r="K37" s="17" t="n">
        <f aca="false">SUM(C37:F37)</f>
        <v>1317.75835970502</v>
      </c>
      <c r="L37" s="17" t="n">
        <f aca="false">SUM(G37:J37)</f>
        <v>1485.7946470454</v>
      </c>
    </row>
    <row r="38" customFormat="false" ht="15" hidden="false" customHeight="false" outlineLevel="0" collapsed="false">
      <c r="A38" s="10" t="s">
        <v>627</v>
      </c>
      <c r="B38" s="5" t="s">
        <v>256</v>
      </c>
      <c r="E38" s="17" t="n">
        <f aca="false">E37-Historical_Drivers!$C$55</f>
        <v>269.675238291252</v>
      </c>
    </row>
    <row r="39" customFormat="false" ht="15" hidden="false" customHeight="false" outlineLevel="0" collapsed="false">
      <c r="A39" s="10" t="s">
        <v>628</v>
      </c>
      <c r="B39" s="5" t="s">
        <v>256</v>
      </c>
      <c r="C39" s="12" t="n">
        <f aca="false">C40/Revenue_Build!C25</f>
        <v>0.223230324683643</v>
      </c>
      <c r="D39" s="12" t="n">
        <f aca="false">D40/Revenue_Build!D25</f>
        <v>0.227641852773154</v>
      </c>
      <c r="E39" s="12" t="n">
        <f aca="false">E40/Revenue_Build!E25</f>
        <v>0.22718305392891</v>
      </c>
      <c r="F39" s="12" t="n">
        <f aca="false">Opex!F9</f>
        <v>0.22214012672228</v>
      </c>
      <c r="G39" s="12" t="n">
        <f aca="false">Opex!G9</f>
        <v>0.21714012672228</v>
      </c>
      <c r="H39" s="12" t="n">
        <f aca="false">Opex!H9</f>
        <v>0.21714012672228</v>
      </c>
      <c r="I39" s="12" t="n">
        <f aca="false">Opex!I9</f>
        <v>0.21714012672228</v>
      </c>
      <c r="J39" s="12" t="n">
        <f aca="false">Opex!J9</f>
        <v>0.21714012672228</v>
      </c>
      <c r="K39" s="12" t="n">
        <f aca="false">K40/Revenue_Build!K25</f>
        <v>0.225027973258423</v>
      </c>
      <c r="L39" s="12" t="n">
        <f aca="false">L40/Revenue_Build!L25</f>
        <v>0.21714012672228</v>
      </c>
    </row>
    <row r="40" customFormat="false" ht="15" hidden="false" customHeight="false" outlineLevel="0" collapsed="false">
      <c r="A40" s="10" t="s">
        <v>95</v>
      </c>
      <c r="B40" s="5" t="s">
        <v>626</v>
      </c>
      <c r="C40" s="17" t="n">
        <f aca="false">Historical_Drivers!$O$10/1000</f>
        <v>78.413</v>
      </c>
      <c r="D40" s="17" t="n">
        <f aca="false">Historical_Drivers!$P$10/1000</f>
        <v>83.003</v>
      </c>
      <c r="E40" s="17" t="n">
        <f aca="false">E38*Historical_Drivers!$P$10/(Historical_Drivers!$P$10+Historical_Drivers!$P$12+Historical_Drivers!$P$14)</f>
        <v>85.0734812699109</v>
      </c>
      <c r="F40" s="17" t="n">
        <f aca="false">F39*Revenue_Build!F25</f>
        <v>86.8176902474351</v>
      </c>
      <c r="G40" s="17" t="n">
        <f aca="false">G39*Revenue_Build!G25</f>
        <v>88.1796913698354</v>
      </c>
      <c r="H40" s="17" t="n">
        <f aca="false">H39*Revenue_Build!H25</f>
        <v>90.3861743589695</v>
      </c>
      <c r="I40" s="17" t="n">
        <f aca="false">I39*Revenue_Build!I25</f>
        <v>91.6528953420559</v>
      </c>
      <c r="J40" s="17" t="n">
        <f aca="false">J39*Revenue_Build!J25</f>
        <v>94.4638325143759</v>
      </c>
      <c r="K40" s="17" t="n">
        <f aca="false">SUM(C40:F40)</f>
        <v>333.307171517346</v>
      </c>
      <c r="L40" s="17" t="n">
        <f aca="false">SUM(G40:J40)</f>
        <v>364.682593585237</v>
      </c>
    </row>
    <row r="41" customFormat="false" ht="15" hidden="false" customHeight="false" outlineLevel="0" collapsed="false">
      <c r="A41" s="10" t="s">
        <v>630</v>
      </c>
      <c r="B41" s="5" t="s">
        <v>256</v>
      </c>
      <c r="C41" s="12" t="n">
        <f aca="false">C42/Revenue_Build!C25</f>
        <v>0.450318135880318</v>
      </c>
      <c r="D41" s="12" t="n">
        <f aca="false">D42/Revenue_Build!D25</f>
        <v>0.409861198340194</v>
      </c>
      <c r="E41" s="12" t="n">
        <f aca="false">E42/Revenue_Build!E25</f>
        <v>0.409035147059167</v>
      </c>
      <c r="F41" s="12" t="n">
        <f aca="false">Opex!F11</f>
        <v>0.399955532907057</v>
      </c>
      <c r="G41" s="12" t="n">
        <f aca="false">Opex!G11</f>
        <v>0.394955532907057</v>
      </c>
      <c r="H41" s="12" t="n">
        <f aca="false">Opex!H11</f>
        <v>0.394955532907057</v>
      </c>
      <c r="I41" s="12" t="n">
        <f aca="false">Opex!I11</f>
        <v>0.394955532907057</v>
      </c>
      <c r="J41" s="12" t="n">
        <f aca="false">Opex!J11</f>
        <v>0.394955532907057</v>
      </c>
      <c r="K41" s="12" t="n">
        <f aca="false">K42/Revenue_Build!K25</f>
        <v>0.416633093061686</v>
      </c>
      <c r="L41" s="12" t="n">
        <f aca="false">L42/Revenue_Build!L25</f>
        <v>0.394955532907057</v>
      </c>
    </row>
    <row r="42" customFormat="false" ht="15" hidden="false" customHeight="false" outlineLevel="0" collapsed="false">
      <c r="A42" s="10" t="s">
        <v>110</v>
      </c>
      <c r="B42" s="5" t="s">
        <v>626</v>
      </c>
      <c r="C42" s="17" t="n">
        <f aca="false">Historical_Drivers!$O$12/1000</f>
        <v>158.181</v>
      </c>
      <c r="D42" s="17" t="n">
        <f aca="false">Historical_Drivers!$P$12/1000</f>
        <v>149.444</v>
      </c>
      <c r="E42" s="17" t="n">
        <f aca="false">E38*Historical_Drivers!$P$12/(Historical_Drivers!$P$10+Historical_Drivers!$P$12+Historical_Drivers!$P$14)</f>
        <v>153.171829149556</v>
      </c>
      <c r="F42" s="17" t="n">
        <f aca="false">F41*Revenue_Build!F25</f>
        <v>156.312216442028</v>
      </c>
      <c r="G42" s="17" t="n">
        <f aca="false">G41*Revenue_Build!G25</f>
        <v>160.389779274176</v>
      </c>
      <c r="H42" s="17" t="n">
        <f aca="false">H41*Revenue_Build!H25</f>
        <v>164.403144643251</v>
      </c>
      <c r="I42" s="17" t="n">
        <f aca="false">I41*Revenue_Build!I25</f>
        <v>166.707179684915</v>
      </c>
      <c r="J42" s="17" t="n">
        <f aca="false">J41*Revenue_Build!J25</f>
        <v>171.819984976227</v>
      </c>
      <c r="K42" s="17" t="n">
        <f aca="false">SUM(C42:F42)</f>
        <v>617.109045591584</v>
      </c>
      <c r="L42" s="17" t="n">
        <f aca="false">SUM(G42:J42)</f>
        <v>663.32008857857</v>
      </c>
    </row>
    <row r="43" customFormat="false" ht="15" hidden="false" customHeight="false" outlineLevel="0" collapsed="false">
      <c r="A43" s="10" t="s">
        <v>631</v>
      </c>
      <c r="B43" s="5" t="s">
        <v>256</v>
      </c>
      <c r="C43" s="12" t="n">
        <f aca="false">C44/Revenue_Build!C25</f>
        <v>0.0813032895392368</v>
      </c>
      <c r="D43" s="12" t="n">
        <f aca="false">D44/Revenue_Build!D25</f>
        <v>0.0841010254483423</v>
      </c>
      <c r="E43" s="12" t="n">
        <f aca="false">E44/Revenue_Build!E25</f>
        <v>0.0839315247488647</v>
      </c>
      <c r="F43" s="12" t="n">
        <f aca="false">Opex!F13</f>
        <v>0.0820684431398712</v>
      </c>
      <c r="G43" s="12" t="n">
        <f aca="false">Opex!G13</f>
        <v>0.0800684431398712</v>
      </c>
      <c r="H43" s="12" t="n">
        <f aca="false">Opex!H13</f>
        <v>0.0800684431398712</v>
      </c>
      <c r="I43" s="12" t="n">
        <f aca="false">Opex!I13</f>
        <v>0.0800684431398712</v>
      </c>
      <c r="J43" s="12" t="n">
        <f aca="false">Opex!J13</f>
        <v>0.0800684431398712</v>
      </c>
      <c r="K43" s="12" t="n">
        <f aca="false">K44/Revenue_Build!K25</f>
        <v>0.0828583672828205</v>
      </c>
      <c r="L43" s="12" t="n">
        <f aca="false">L44/Revenue_Build!L25</f>
        <v>0.0800684431398712</v>
      </c>
    </row>
    <row r="44" customFormat="false" ht="15" hidden="false" customHeight="false" outlineLevel="0" collapsed="false">
      <c r="A44" s="10" t="s">
        <v>125</v>
      </c>
      <c r="B44" s="5" t="s">
        <v>626</v>
      </c>
      <c r="C44" s="17" t="n">
        <f aca="false">Historical_Drivers!$O$14/1000</f>
        <v>28.559</v>
      </c>
      <c r="D44" s="17" t="n">
        <f aca="false">Historical_Drivers!$P$14/1000</f>
        <v>30.665</v>
      </c>
      <c r="E44" s="17" t="n">
        <f aca="false">E38*Historical_Drivers!$P$14/(Historical_Drivers!$P$10+Historical_Drivers!$P$12+Historical_Drivers!$P$14)</f>
        <v>31.4299278717856</v>
      </c>
      <c r="F44" s="17" t="n">
        <f aca="false">F43*Revenue_Build!F25</f>
        <v>32.0743162468537</v>
      </c>
      <c r="G44" s="17" t="n">
        <f aca="false">G43*Revenue_Build!G25</f>
        <v>32.5154576959754</v>
      </c>
      <c r="H44" s="17" t="n">
        <f aca="false">H43*Revenue_Build!H25</f>
        <v>33.329078192663</v>
      </c>
      <c r="I44" s="17" t="n">
        <f aca="false">I43*Revenue_Build!I25</f>
        <v>33.796170012767</v>
      </c>
      <c r="J44" s="17" t="n">
        <f aca="false">J43*Revenue_Build!J25</f>
        <v>34.8326774816952</v>
      </c>
      <c r="K44" s="17" t="n">
        <f aca="false">SUM(C44:F44)</f>
        <v>122.728244118639</v>
      </c>
      <c r="L44" s="17" t="n">
        <f aca="false">SUM(G44:J44)</f>
        <v>134.473383383101</v>
      </c>
    </row>
    <row r="45" customFormat="false" ht="15" hidden="false" customHeight="false" outlineLevel="0" collapsed="false">
      <c r="A45" s="10" t="s">
        <v>632</v>
      </c>
      <c r="B45" s="5" t="s">
        <v>256</v>
      </c>
      <c r="C45" s="17" t="n">
        <f aca="false">C40+C42+C44</f>
        <v>265.153</v>
      </c>
      <c r="D45" s="17" t="n">
        <f aca="false">D40+D42+D44</f>
        <v>263.112</v>
      </c>
      <c r="E45" s="17" t="n">
        <f aca="false">E40+E42+E44</f>
        <v>269.675238291252</v>
      </c>
      <c r="F45" s="17" t="n">
        <f aca="false">F40+F42+F44</f>
        <v>275.204222936317</v>
      </c>
      <c r="G45" s="17" t="n">
        <f aca="false">G40+G42+G44</f>
        <v>281.084928339987</v>
      </c>
      <c r="H45" s="17" t="n">
        <f aca="false">H40+H42+H44</f>
        <v>288.118397194884</v>
      </c>
      <c r="I45" s="17" t="n">
        <f aca="false">I40+I42+I44</f>
        <v>292.156245039738</v>
      </c>
      <c r="J45" s="17" t="n">
        <f aca="false">J40+J42+J44</f>
        <v>301.116494972298</v>
      </c>
      <c r="K45" s="17" t="n">
        <f aca="false">K40+K42+K44</f>
        <v>1073.14446122757</v>
      </c>
      <c r="L45" s="17" t="n">
        <f aca="false">L40+L42+L44</f>
        <v>1162.47606554691</v>
      </c>
    </row>
    <row r="46" customFormat="false" ht="15" hidden="false" customHeight="false" outlineLevel="0" collapsed="false">
      <c r="A46" s="2" t="s">
        <v>140</v>
      </c>
      <c r="B46" s="5" t="s">
        <v>256</v>
      </c>
      <c r="C46" s="17" t="n">
        <f aca="false">C37-C45</f>
        <v>49.037</v>
      </c>
      <c r="D46" s="17" t="n">
        <f aca="false">D37-D45</f>
        <v>61.11</v>
      </c>
      <c r="E46" s="17" t="n">
        <f aca="false">E37-E45</f>
        <v>62.931</v>
      </c>
      <c r="F46" s="17" t="n">
        <f aca="false">F37-F45</f>
        <v>71.5358984774508</v>
      </c>
      <c r="G46" s="17" t="n">
        <f aca="false">G37-G45</f>
        <v>78.7982823560855</v>
      </c>
      <c r="H46" s="17" t="n">
        <f aca="false">H37-H45</f>
        <v>80.3537609765174</v>
      </c>
      <c r="I46" s="17" t="n">
        <f aca="false">I37-I45</f>
        <v>81.0577912549197</v>
      </c>
      <c r="J46" s="17" t="n">
        <f aca="false">J37-J45</f>
        <v>83.1087469109706</v>
      </c>
      <c r="K46" s="17" t="n">
        <f aca="false">K37-K45</f>
        <v>244.613898477451</v>
      </c>
      <c r="L46" s="17" t="n">
        <f aca="false">L37-L45</f>
        <v>323.318581498493</v>
      </c>
    </row>
    <row r="47" customFormat="false" ht="15" hidden="false" customHeight="false" outlineLevel="0" collapsed="false">
      <c r="A47" s="10" t="s">
        <v>258</v>
      </c>
      <c r="B47" s="5" t="s">
        <v>256</v>
      </c>
      <c r="C47" s="12" t="n">
        <f aca="false">C46/Revenue_Build!C25</f>
        <v>0.139601155822527</v>
      </c>
      <c r="D47" s="12" t="n">
        <f aca="false">D46/Revenue_Build!D25</f>
        <v>0.167598684661607</v>
      </c>
      <c r="E47" s="12" t="n">
        <f aca="false">E46/Revenue_Build!E25</f>
        <v>0.168053035486357</v>
      </c>
      <c r="F47" s="12" t="n">
        <f aca="false">F46/Revenue_Build!F25</f>
        <v>0.183038658454089</v>
      </c>
      <c r="G47" s="12" t="n">
        <f aca="false">G46/Revenue_Build!G25</f>
        <v>0.194038658454089</v>
      </c>
      <c r="H47" s="12" t="n">
        <f aca="false">H46/Revenue_Build!H25</f>
        <v>0.193038658454089</v>
      </c>
      <c r="I47" s="12" t="n">
        <f aca="false">I46/Revenue_Build!I25</f>
        <v>0.192038658454089</v>
      </c>
      <c r="J47" s="12" t="n">
        <f aca="false">J46/Revenue_Build!J25</f>
        <v>0.191038658454089</v>
      </c>
      <c r="K47" s="12" t="n">
        <f aca="false">K46/Revenue_Build!K25</f>
        <v>0.165147871120312</v>
      </c>
      <c r="L47" s="12" t="n">
        <f aca="false">L46/Revenue_Build!L25</f>
        <v>0.192511073994657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12" min="3" style="0" width="11"/>
    <col collapsed="false" customWidth="true" hidden="false" outlineLevel="0" max="13" min="13" style="0" width="60"/>
  </cols>
  <sheetData>
    <row r="1" customFormat="false" ht="16.15" hidden="false" customHeight="false" outlineLevel="0" collapsed="false">
      <c r="A1" s="4" t="s">
        <v>633</v>
      </c>
    </row>
    <row r="2" customFormat="false" ht="15" hidden="false" customHeight="false" outlineLevel="0" collapsed="false">
      <c r="A2" s="5" t="s">
        <v>634</v>
      </c>
    </row>
    <row r="4" customFormat="false" ht="15" hidden="false" customHeight="false" outlineLevel="0" collapsed="false">
      <c r="A4" s="28" t="s">
        <v>575</v>
      </c>
    </row>
    <row r="5" customFormat="false" ht="15" hidden="false" customHeight="false" outlineLevel="0" collapsed="false">
      <c r="A5" s="6" t="s">
        <v>339</v>
      </c>
      <c r="B5" s="6" t="s">
        <v>47</v>
      </c>
      <c r="C5" s="6" t="s">
        <v>576</v>
      </c>
      <c r="D5" s="6" t="s">
        <v>577</v>
      </c>
      <c r="E5" s="6" t="s">
        <v>578</v>
      </c>
      <c r="F5" s="6" t="s">
        <v>579</v>
      </c>
      <c r="G5" s="6" t="s">
        <v>580</v>
      </c>
      <c r="H5" s="6" t="s">
        <v>581</v>
      </c>
      <c r="I5" s="6" t="s">
        <v>582</v>
      </c>
      <c r="J5" s="6" t="s">
        <v>583</v>
      </c>
      <c r="K5" s="6" t="s">
        <v>584</v>
      </c>
      <c r="L5" s="6" t="s">
        <v>585</v>
      </c>
      <c r="M5" s="6" t="s">
        <v>365</v>
      </c>
    </row>
    <row r="6" customFormat="false" ht="15" hidden="false" customHeight="false" outlineLevel="0" collapsed="false">
      <c r="A6" s="2" t="s">
        <v>62</v>
      </c>
      <c r="B6" s="5" t="s">
        <v>373</v>
      </c>
      <c r="C6" s="17" t="n">
        <f aca="false">Revenue_Build!C7</f>
        <v>351.265</v>
      </c>
      <c r="D6" s="17" t="n">
        <f aca="false">Revenue_Build!D7</f>
        <v>364.621</v>
      </c>
      <c r="E6" s="17" t="n">
        <f aca="false">Revenue_Build!E7</f>
        <v>378.38245825603</v>
      </c>
      <c r="F6" s="17" t="n">
        <f aca="false">Revenue_Build!F7</f>
        <v>394.906184359926</v>
      </c>
      <c r="G6" s="17" t="n">
        <f aca="false">Revenue_Build!G7</f>
        <v>410.33750207533</v>
      </c>
      <c r="H6" s="17" t="n">
        <f aca="false">Revenue_Build!H7</f>
        <v>420.605203221342</v>
      </c>
      <c r="I6" s="17" t="n">
        <f aca="false">Revenue_Build!I7</f>
        <v>431.011739265482</v>
      </c>
      <c r="J6" s="17" t="n">
        <f aca="false">Revenue_Build!J7</f>
        <v>444.230600656451</v>
      </c>
      <c r="K6" s="17" t="n">
        <f aca="false">Revenue_Build!K7</f>
        <v>1489.17464261596</v>
      </c>
      <c r="L6" s="17" t="n">
        <f aca="false">Revenue_Build!L7</f>
        <v>1706.1850452186</v>
      </c>
    </row>
    <row r="7" customFormat="false" ht="15" hidden="false" customHeight="false" outlineLevel="0" collapsed="false">
      <c r="A7" s="10" t="s">
        <v>80</v>
      </c>
      <c r="B7" s="5" t="s">
        <v>373</v>
      </c>
      <c r="C7" s="17" t="n">
        <f aca="false">Opex!C7</f>
        <v>314.19</v>
      </c>
      <c r="D7" s="17" t="n">
        <f aca="false">Opex!D7</f>
        <v>324.222</v>
      </c>
      <c r="E7" s="17" t="n">
        <f aca="false">Opex!E7</f>
        <v>336.080344221465</v>
      </c>
      <c r="F7" s="17" t="n">
        <f aca="false">Opex!F7</f>
        <v>350.361857188283</v>
      </c>
      <c r="G7" s="17" t="n">
        <f aca="false">Opex!G7</f>
        <v>363.642227372628</v>
      </c>
      <c r="H7" s="17" t="n">
        <f aca="false">Opex!H7</f>
        <v>372.320887276418</v>
      </c>
      <c r="I7" s="17" t="n">
        <f aca="false">Opex!I7</f>
        <v>381.101769978195</v>
      </c>
      <c r="J7" s="17" t="n">
        <f aca="false">Opex!J7</f>
        <v>392.345693119662</v>
      </c>
      <c r="K7" s="17" t="n">
        <f aca="false">Opex!K7</f>
        <v>1324.85420140975</v>
      </c>
      <c r="L7" s="17" t="n">
        <f aca="false">Opex!L7</f>
        <v>1509.4105777469</v>
      </c>
    </row>
    <row r="8" customFormat="false" ht="15" hidden="false" customHeight="false" outlineLevel="0" collapsed="false">
      <c r="A8" s="10" t="s">
        <v>95</v>
      </c>
      <c r="B8" s="5" t="s">
        <v>373</v>
      </c>
      <c r="C8" s="17" t="n">
        <f aca="false">Opex!C10</f>
        <v>78.413</v>
      </c>
      <c r="D8" s="17" t="n">
        <f aca="false">Opex!D10</f>
        <v>83.003</v>
      </c>
      <c r="E8" s="17" t="n">
        <f aca="false">Opex!E10</f>
        <v>84.0539272264825</v>
      </c>
      <c r="F8" s="17" t="n">
        <f aca="false">Opex!F10</f>
        <v>87.7245098371263</v>
      </c>
      <c r="G8" s="17" t="n">
        <f aca="false">Opex!G10</f>
        <v>89.1007371995412</v>
      </c>
      <c r="H8" s="17" t="n">
        <f aca="false">Opex!H10</f>
        <v>91.3302671275326</v>
      </c>
      <c r="I8" s="17" t="n">
        <f aca="false">Opex!I10</f>
        <v>93.5899436828973</v>
      </c>
      <c r="J8" s="17" t="n">
        <f aca="false">Opex!J10</f>
        <v>96.4602889204565</v>
      </c>
      <c r="K8" s="17" t="n">
        <f aca="false">Opex!K10</f>
        <v>333.194437063609</v>
      </c>
      <c r="L8" s="17" t="n">
        <f aca="false">Opex!L10</f>
        <v>370.481236930428</v>
      </c>
    </row>
    <row r="9" customFormat="false" ht="15" hidden="false" customHeight="false" outlineLevel="0" collapsed="false">
      <c r="A9" s="10" t="s">
        <v>110</v>
      </c>
      <c r="B9" s="5" t="s">
        <v>373</v>
      </c>
      <c r="C9" s="17" t="n">
        <f aca="false">Opex!C12</f>
        <v>158.181</v>
      </c>
      <c r="D9" s="17" t="n">
        <f aca="false">Opex!D12</f>
        <v>149.444</v>
      </c>
      <c r="E9" s="17" t="n">
        <f aca="false">Opex!E12</f>
        <v>151.336157734473</v>
      </c>
      <c r="F9" s="17" t="n">
        <f aca="false">Opex!F12</f>
        <v>157.944913413967</v>
      </c>
      <c r="G9" s="17" t="n">
        <f aca="false">Opex!G12</f>
        <v>162.065066803913</v>
      </c>
      <c r="H9" s="17" t="n">
        <f aca="false">Opex!H12</f>
        <v>166.120352181766</v>
      </c>
      <c r="I9" s="17" t="n">
        <f aca="false">Opex!I12</f>
        <v>170.230471170796</v>
      </c>
      <c r="J9" s="17" t="n">
        <f aca="false">Opex!J12</f>
        <v>175.451333615891</v>
      </c>
      <c r="K9" s="17" t="n">
        <f aca="false">Opex!K12</f>
        <v>616.90607114844</v>
      </c>
      <c r="L9" s="17" t="n">
        <f aca="false">Opex!L12</f>
        <v>673.867223772366</v>
      </c>
    </row>
    <row r="10" customFormat="false" ht="15" hidden="false" customHeight="false" outlineLevel="0" collapsed="false">
      <c r="A10" s="10" t="s">
        <v>125</v>
      </c>
      <c r="B10" s="5" t="s">
        <v>373</v>
      </c>
      <c r="C10" s="17" t="n">
        <f aca="false">Opex!C14</f>
        <v>28.559</v>
      </c>
      <c r="D10" s="17" t="n">
        <f aca="false">Opex!D14</f>
        <v>30.665</v>
      </c>
      <c r="E10" s="17" t="n">
        <f aca="false">Opex!E14</f>
        <v>31.0532592605097</v>
      </c>
      <c r="F10" s="17" t="n">
        <f aca="false">Opex!F14</f>
        <v>32.4093357367261</v>
      </c>
      <c r="G10" s="17" t="n">
        <f aca="false">Opex!G14</f>
        <v>32.8550849530754</v>
      </c>
      <c r="H10" s="17" t="n">
        <f aca="false">Opex!H14</f>
        <v>33.677203798462</v>
      </c>
      <c r="I10" s="17" t="n">
        <f aca="false">Opex!I14</f>
        <v>34.5104389379953</v>
      </c>
      <c r="J10" s="17" t="n">
        <f aca="false">Opex!J14</f>
        <v>35.5688525896519</v>
      </c>
      <c r="K10" s="17" t="n">
        <f aca="false">Opex!K14</f>
        <v>122.686594997236</v>
      </c>
      <c r="L10" s="17" t="n">
        <f aca="false">Opex!L14</f>
        <v>136.611580279184</v>
      </c>
    </row>
    <row r="11" customFormat="false" ht="15" hidden="false" customHeight="false" outlineLevel="0" collapsed="false">
      <c r="A11" s="2" t="s">
        <v>140</v>
      </c>
      <c r="B11" s="5" t="s">
        <v>373</v>
      </c>
      <c r="C11" s="17" t="n">
        <f aca="false">Opex!C16</f>
        <v>49.037</v>
      </c>
      <c r="D11" s="17" t="n">
        <f aca="false">Opex!D16</f>
        <v>61.11</v>
      </c>
      <c r="E11" s="17" t="n">
        <f aca="false">Opex!E16</f>
        <v>69.637</v>
      </c>
      <c r="F11" s="17" t="n">
        <f aca="false">Opex!F16</f>
        <v>72.2830982004639</v>
      </c>
      <c r="G11" s="17" t="n">
        <f aca="false">Opex!G16</f>
        <v>79.6213384160989</v>
      </c>
      <c r="H11" s="17" t="n">
        <f aca="false">Opex!H16</f>
        <v>81.1930641686571</v>
      </c>
      <c r="I11" s="17" t="n">
        <f aca="false">Opex!I16</f>
        <v>82.7709161865066</v>
      </c>
      <c r="J11" s="17" t="n">
        <f aca="false">Opex!J16</f>
        <v>84.8652179936623</v>
      </c>
      <c r="K11" s="17" t="n">
        <f aca="false">Opex!K16</f>
        <v>252.067098200464</v>
      </c>
      <c r="L11" s="17" t="n">
        <f aca="false">Opex!L16</f>
        <v>328.450536764925</v>
      </c>
    </row>
    <row r="12" customFormat="false" ht="15" hidden="false" customHeight="false" outlineLevel="0" collapsed="false">
      <c r="A12" s="10" t="s">
        <v>258</v>
      </c>
      <c r="B12" s="5" t="s">
        <v>256</v>
      </c>
      <c r="C12" s="12" t="n">
        <f aca="false">C11/C6</f>
        <v>0.139601155822527</v>
      </c>
      <c r="D12" s="12" t="n">
        <f aca="false">D11/D6</f>
        <v>0.167598684661607</v>
      </c>
      <c r="E12" s="12" t="n">
        <f aca="false">E11/E6</f>
        <v>0.184038658454089</v>
      </c>
      <c r="F12" s="12" t="n">
        <f aca="false">F11/F6</f>
        <v>0.183038658454089</v>
      </c>
      <c r="G12" s="12" t="n">
        <f aca="false">G11/G6</f>
        <v>0.194038658454089</v>
      </c>
      <c r="H12" s="12" t="n">
        <f aca="false">H11/H6</f>
        <v>0.193038658454089</v>
      </c>
      <c r="I12" s="12" t="n">
        <f aca="false">I11/I6</f>
        <v>0.192038658454089</v>
      </c>
      <c r="J12" s="12" t="n">
        <f aca="false">J11/J6</f>
        <v>0.191038658454089</v>
      </c>
      <c r="K12" s="12" t="n">
        <f aca="false">K11/K6</f>
        <v>0.169266311006794</v>
      </c>
      <c r="L12" s="12" t="n">
        <f aca="false">L11/L6</f>
        <v>0.192505811538656</v>
      </c>
    </row>
    <row r="13" customFormat="false" ht="15" hidden="false" customHeight="false" outlineLevel="0" collapsed="false">
      <c r="A13" s="10" t="s">
        <v>635</v>
      </c>
      <c r="B13" s="5" t="s">
        <v>636</v>
      </c>
      <c r="C13" s="17" t="n">
        <f aca="false">Historical_Drivers!$O$20/1000</f>
        <v>29.283</v>
      </c>
      <c r="D13" s="17" t="n">
        <f aca="false">Historical_Drivers!$P$20/1000</f>
        <v>41.218</v>
      </c>
      <c r="E13" s="17" t="n">
        <f aca="false">Assumptions!$C$13*E6</f>
        <v>39.7301581168832</v>
      </c>
      <c r="F13" s="17" t="n">
        <f aca="false">Assumptions!$C$13*F6</f>
        <v>41.4651493577922</v>
      </c>
      <c r="G13" s="17" t="n">
        <f aca="false">Assumptions!$C$13*G6</f>
        <v>43.0854377179097</v>
      </c>
      <c r="H13" s="17" t="n">
        <f aca="false">Assumptions!$C$13*H6</f>
        <v>44.1635463382409</v>
      </c>
      <c r="I13" s="17" t="n">
        <f aca="false">Assumptions!$C$13*I6</f>
        <v>45.2562326228756</v>
      </c>
      <c r="J13" s="17" t="n">
        <f aca="false">Assumptions!$C$13*J6</f>
        <v>46.6442130689273</v>
      </c>
      <c r="K13" s="17" t="n">
        <f aca="false">SUM(C13:F13)</f>
        <v>151.696307474675</v>
      </c>
      <c r="L13" s="17" t="n">
        <f aca="false">SUM(G13:J13)</f>
        <v>179.149429747954</v>
      </c>
    </row>
    <row r="14" customFormat="false" ht="15" hidden="false" customHeight="false" outlineLevel="0" collapsed="false">
      <c r="A14" s="10" t="s">
        <v>637</v>
      </c>
      <c r="B14" s="5" t="s">
        <v>638</v>
      </c>
      <c r="C14" s="17" t="n">
        <f aca="false">(Historical_Drivers!$C$60-Historical_Drivers!$P$22)/1000</f>
        <v>0</v>
      </c>
      <c r="D14" s="17" t="n">
        <f aca="false">Historical_Drivers!$P$22/1000</f>
        <v>21.436</v>
      </c>
      <c r="E14" s="17" t="n">
        <f aca="false">Assumptions!$C$14/2</f>
        <v>25</v>
      </c>
      <c r="F14" s="17" t="n">
        <f aca="false">Assumptions!$C$14/2</f>
        <v>25</v>
      </c>
      <c r="G14" s="17" t="n">
        <f aca="false">0*1</f>
        <v>0</v>
      </c>
      <c r="H14" s="17" t="n">
        <f aca="false">0*1</f>
        <v>0</v>
      </c>
      <c r="I14" s="17" t="n">
        <f aca="false">0*1</f>
        <v>0</v>
      </c>
      <c r="J14" s="17" t="n">
        <f aca="false">0*1</f>
        <v>0</v>
      </c>
      <c r="K14" s="17" t="n">
        <f aca="false">SUM(C14:F14)</f>
        <v>71.436</v>
      </c>
      <c r="L14" s="17" t="n">
        <f aca="false">SUM(G14:J14)</f>
        <v>0</v>
      </c>
      <c r="M14" s="5" t="s">
        <v>639</v>
      </c>
    </row>
    <row r="15" customFormat="false" ht="15" hidden="false" customHeight="false" outlineLevel="0" collapsed="false">
      <c r="A15" s="10" t="s">
        <v>155</v>
      </c>
      <c r="B15" s="5" t="s">
        <v>256</v>
      </c>
      <c r="C15" s="17" t="n">
        <f aca="false">C11-C13-C14</f>
        <v>19.754</v>
      </c>
      <c r="D15" s="17" t="n">
        <f aca="false">D11-D13-D14</f>
        <v>-1.54400000000005</v>
      </c>
      <c r="E15" s="17" t="n">
        <f aca="false">E11-E13-E14</f>
        <v>4.90684188311685</v>
      </c>
      <c r="F15" s="17" t="n">
        <f aca="false">F11-F13-F14</f>
        <v>5.81794884267164</v>
      </c>
      <c r="G15" s="17" t="n">
        <f aca="false">G11-G13-G14</f>
        <v>36.5359006981893</v>
      </c>
      <c r="H15" s="17" t="n">
        <f aca="false">H11-H13-H14</f>
        <v>37.0295178304162</v>
      </c>
      <c r="I15" s="17" t="n">
        <f aca="false">I11-I13-I14</f>
        <v>37.514683563631</v>
      </c>
      <c r="J15" s="17" t="n">
        <f aca="false">J11-J13-J14</f>
        <v>38.221004924735</v>
      </c>
      <c r="K15" s="17" t="n">
        <f aca="false">K11-K13-K14</f>
        <v>28.9347907257884</v>
      </c>
      <c r="L15" s="17" t="n">
        <f aca="false">L11-L13-L14</f>
        <v>149.301107016972</v>
      </c>
    </row>
    <row r="16" customFormat="false" ht="15" hidden="false" customHeight="false" outlineLevel="0" collapsed="false">
      <c r="A16" s="10" t="s">
        <v>640</v>
      </c>
      <c r="B16" s="5" t="s">
        <v>256</v>
      </c>
      <c r="C16" s="12" t="n">
        <f aca="false">C15/C6</f>
        <v>0.05623674433832</v>
      </c>
      <c r="D16" s="12" t="n">
        <f aca="false">D15/D6</f>
        <v>-0.00423453394072214</v>
      </c>
      <c r="E16" s="12" t="n">
        <f aca="false">E15/E6</f>
        <v>0.01296794229239</v>
      </c>
      <c r="F16" s="12" t="n">
        <f aca="false">F15/F6</f>
        <v>0.0147324834937734</v>
      </c>
      <c r="G16" s="12" t="n">
        <f aca="false">G15/G6</f>
        <v>0.0890386584540888</v>
      </c>
      <c r="H16" s="12" t="n">
        <f aca="false">H15/H6</f>
        <v>0.0880386584540886</v>
      </c>
      <c r="I16" s="12" t="n">
        <f aca="false">I15/I6</f>
        <v>0.0870386584540886</v>
      </c>
      <c r="J16" s="12" t="n">
        <f aca="false">J15/J6</f>
        <v>0.0860386584540886</v>
      </c>
      <c r="K16" s="12" t="n">
        <f aca="false">K15/K6</f>
        <v>0.0194300855640142</v>
      </c>
      <c r="L16" s="12" t="n">
        <f aca="false">L15/L6</f>
        <v>0.0875058115386556</v>
      </c>
    </row>
    <row r="17" customFormat="false" ht="15" hidden="false" customHeight="false" outlineLevel="0" collapsed="false">
      <c r="A17" s="10" t="s">
        <v>641</v>
      </c>
      <c r="B17" s="5" t="s">
        <v>256</v>
      </c>
      <c r="C17" s="17" t="n">
        <f aca="false">C15-Historical_Drivers!$O$18/1000</f>
        <v>0</v>
      </c>
      <c r="D17" s="17" t="n">
        <f aca="false">D15-Historical_Drivers!$P$18/1000</f>
        <v>-4.66293670342566E-014</v>
      </c>
      <c r="M17" s="5" t="s">
        <v>642</v>
      </c>
    </row>
    <row r="19" customFormat="false" ht="15" hidden="false" customHeight="false" outlineLevel="0" collapsed="false">
      <c r="A19" s="28" t="s">
        <v>597</v>
      </c>
    </row>
    <row r="20" customFormat="false" ht="15" hidden="false" customHeight="false" outlineLevel="0" collapsed="false">
      <c r="A20" s="6" t="s">
        <v>339</v>
      </c>
      <c r="B20" s="6" t="s">
        <v>47</v>
      </c>
      <c r="C20" s="6" t="s">
        <v>576</v>
      </c>
      <c r="D20" s="6" t="s">
        <v>577</v>
      </c>
      <c r="E20" s="6" t="s">
        <v>578</v>
      </c>
      <c r="F20" s="6" t="s">
        <v>579</v>
      </c>
      <c r="G20" s="6" t="s">
        <v>580</v>
      </c>
      <c r="H20" s="6" t="s">
        <v>581</v>
      </c>
      <c r="I20" s="6" t="s">
        <v>582</v>
      </c>
      <c r="J20" s="6" t="s">
        <v>583</v>
      </c>
      <c r="K20" s="6" t="s">
        <v>584</v>
      </c>
      <c r="L20" s="6" t="s">
        <v>585</v>
      </c>
      <c r="M20" s="6" t="s">
        <v>365</v>
      </c>
    </row>
    <row r="21" customFormat="false" ht="15" hidden="false" customHeight="false" outlineLevel="0" collapsed="false">
      <c r="A21" s="2" t="s">
        <v>62</v>
      </c>
      <c r="B21" s="5" t="s">
        <v>373</v>
      </c>
      <c r="C21" s="17" t="n">
        <f aca="false">Revenue_Build!C16</f>
        <v>351.265</v>
      </c>
      <c r="D21" s="17" t="n">
        <f aca="false">Revenue_Build!D16</f>
        <v>364.621</v>
      </c>
      <c r="E21" s="17" t="n">
        <f aca="false">Revenue_Build!E16</f>
        <v>378.38245825603</v>
      </c>
      <c r="F21" s="17" t="n">
        <f aca="false">Revenue_Build!F16</f>
        <v>389.987212402598</v>
      </c>
      <c r="G21" s="17" t="n">
        <f aca="false">Revenue_Build!G16</f>
        <v>400.156483061274</v>
      </c>
      <c r="H21" s="17" t="n">
        <f aca="false">Revenue_Build!H16</f>
        <v>404.96739461005</v>
      </c>
      <c r="I21" s="17" t="n">
        <f aca="false">Revenue_Build!I16</f>
        <v>409.722446759643</v>
      </c>
      <c r="J21" s="17" t="n">
        <f aca="false">Revenue_Build!J16</f>
        <v>411.635595203456</v>
      </c>
      <c r="K21" s="17" t="n">
        <f aca="false">Revenue_Build!K16</f>
        <v>1484.25567065863</v>
      </c>
      <c r="L21" s="17" t="n">
        <f aca="false">Revenue_Build!L16</f>
        <v>1626.48191963442</v>
      </c>
    </row>
    <row r="22" customFormat="false" ht="15" hidden="false" customHeight="false" outlineLevel="0" collapsed="false">
      <c r="A22" s="10" t="s">
        <v>80</v>
      </c>
      <c r="B22" s="5" t="s">
        <v>373</v>
      </c>
      <c r="C22" s="17" t="n">
        <f aca="false">Opex!C22</f>
        <v>314.19</v>
      </c>
      <c r="D22" s="17" t="n">
        <f aca="false">Opex!D22</f>
        <v>324.222</v>
      </c>
      <c r="E22" s="17" t="n">
        <f aca="false">Opex!E22</f>
        <v>336.080344221465</v>
      </c>
      <c r="F22" s="17" t="n">
        <f aca="false">Opex!F22</f>
        <v>345.412750866758</v>
      </c>
      <c r="G22" s="17" t="n">
        <f aca="false">Opex!G22</f>
        <v>353.419310761121</v>
      </c>
      <c r="H22" s="17" t="n">
        <f aca="false">Opex!H22</f>
        <v>356.655902638476</v>
      </c>
      <c r="I22" s="17" t="n">
        <f aca="false">Opex!I22</f>
        <v>359.819384079484</v>
      </c>
      <c r="J22" s="17" t="n">
        <f aca="false">Opex!J22</f>
        <v>360.470427337462</v>
      </c>
      <c r="K22" s="17" t="n">
        <f aca="false">Opex!K22</f>
        <v>1319.90509508822</v>
      </c>
      <c r="L22" s="17" t="n">
        <f aca="false">Opex!L22</f>
        <v>1430.36502481654</v>
      </c>
    </row>
    <row r="23" customFormat="false" ht="15" hidden="false" customHeight="false" outlineLevel="0" collapsed="false">
      <c r="A23" s="10" t="s">
        <v>95</v>
      </c>
      <c r="B23" s="5" t="s">
        <v>373</v>
      </c>
      <c r="C23" s="17" t="n">
        <f aca="false">Opex!C25</f>
        <v>78.413</v>
      </c>
      <c r="D23" s="17" t="n">
        <f aca="false">Opex!D25</f>
        <v>83.003</v>
      </c>
      <c r="E23" s="17" t="n">
        <f aca="false">Opex!E25</f>
        <v>84.0539272264825</v>
      </c>
      <c r="F23" s="17" t="n">
        <f aca="false">Opex!F25</f>
        <v>87.7245098371263</v>
      </c>
      <c r="G23" s="17" t="n">
        <f aca="false">Opex!G25</f>
        <v>89.1007371995412</v>
      </c>
      <c r="H23" s="17" t="n">
        <f aca="false">Opex!H25</f>
        <v>91.3302671275326</v>
      </c>
      <c r="I23" s="17" t="n">
        <f aca="false">Opex!I25</f>
        <v>93.5899436828973</v>
      </c>
      <c r="J23" s="17" t="n">
        <f aca="false">Opex!J25</f>
        <v>96.4602889204565</v>
      </c>
      <c r="K23" s="17" t="n">
        <f aca="false">Opex!K25</f>
        <v>333.194437063609</v>
      </c>
      <c r="L23" s="17" t="n">
        <f aca="false">Opex!L25</f>
        <v>370.481236930428</v>
      </c>
    </row>
    <row r="24" customFormat="false" ht="15" hidden="false" customHeight="false" outlineLevel="0" collapsed="false">
      <c r="A24" s="10" t="s">
        <v>110</v>
      </c>
      <c r="B24" s="5" t="s">
        <v>373</v>
      </c>
      <c r="C24" s="17" t="n">
        <f aca="false">Opex!C27</f>
        <v>158.181</v>
      </c>
      <c r="D24" s="17" t="n">
        <f aca="false">Opex!D27</f>
        <v>149.444</v>
      </c>
      <c r="E24" s="17" t="n">
        <f aca="false">Opex!E27</f>
        <v>151.336157734473</v>
      </c>
      <c r="F24" s="17" t="n">
        <f aca="false">Opex!F27</f>
        <v>157.944913413967</v>
      </c>
      <c r="G24" s="17" t="n">
        <f aca="false">Opex!G27</f>
        <v>162.065066803913</v>
      </c>
      <c r="H24" s="17" t="n">
        <f aca="false">Opex!H27</f>
        <v>166.120352181766</v>
      </c>
      <c r="I24" s="17" t="n">
        <f aca="false">Opex!I27</f>
        <v>170.230471170796</v>
      </c>
      <c r="J24" s="17" t="n">
        <f aca="false">Opex!J27</f>
        <v>175.451333615891</v>
      </c>
      <c r="K24" s="17" t="n">
        <f aca="false">Opex!K27</f>
        <v>616.90607114844</v>
      </c>
      <c r="L24" s="17" t="n">
        <f aca="false">Opex!L27</f>
        <v>673.867223772366</v>
      </c>
    </row>
    <row r="25" customFormat="false" ht="15" hidden="false" customHeight="false" outlineLevel="0" collapsed="false">
      <c r="A25" s="10" t="s">
        <v>125</v>
      </c>
      <c r="B25" s="5" t="s">
        <v>373</v>
      </c>
      <c r="C25" s="17" t="n">
        <f aca="false">Opex!C29</f>
        <v>28.559</v>
      </c>
      <c r="D25" s="17" t="n">
        <f aca="false">Opex!D29</f>
        <v>30.665</v>
      </c>
      <c r="E25" s="17" t="n">
        <f aca="false">Opex!E29</f>
        <v>31.0532592605097</v>
      </c>
      <c r="F25" s="17" t="n">
        <f aca="false">Opex!F29</f>
        <v>32.4093357367261</v>
      </c>
      <c r="G25" s="17" t="n">
        <f aca="false">Opex!G29</f>
        <v>32.8550849530754</v>
      </c>
      <c r="H25" s="17" t="n">
        <f aca="false">Opex!H29</f>
        <v>33.677203798462</v>
      </c>
      <c r="I25" s="17" t="n">
        <f aca="false">Opex!I29</f>
        <v>34.5104389379953</v>
      </c>
      <c r="J25" s="17" t="n">
        <f aca="false">Opex!J29</f>
        <v>35.5688525896519</v>
      </c>
      <c r="K25" s="17" t="n">
        <f aca="false">Opex!K29</f>
        <v>122.686594997236</v>
      </c>
      <c r="L25" s="17" t="n">
        <f aca="false">Opex!L29</f>
        <v>136.611580279184</v>
      </c>
    </row>
    <row r="26" customFormat="false" ht="15" hidden="false" customHeight="false" outlineLevel="0" collapsed="false">
      <c r="A26" s="2" t="s">
        <v>140</v>
      </c>
      <c r="B26" s="5" t="s">
        <v>373</v>
      </c>
      <c r="C26" s="17" t="n">
        <f aca="false">Opex!C31</f>
        <v>49.037</v>
      </c>
      <c r="D26" s="17" t="n">
        <f aca="false">Opex!D31</f>
        <v>61.11</v>
      </c>
      <c r="E26" s="17" t="n">
        <f aca="false">Opex!E31</f>
        <v>69.637</v>
      </c>
      <c r="F26" s="17" t="n">
        <f aca="false">Opex!F31</f>
        <v>67.3339918789384</v>
      </c>
      <c r="G26" s="17" t="n">
        <f aca="false">Opex!G31</f>
        <v>69.3984218045919</v>
      </c>
      <c r="H26" s="17" t="n">
        <f aca="false">Opex!H31</f>
        <v>65.5280795307156</v>
      </c>
      <c r="I26" s="17" t="n">
        <f aca="false">Opex!I31</f>
        <v>61.4885302877954</v>
      </c>
      <c r="J26" s="17" t="n">
        <f aca="false">Opex!J31</f>
        <v>52.9899522114627</v>
      </c>
      <c r="K26" s="17" t="n">
        <f aca="false">Opex!K31</f>
        <v>247.117991878938</v>
      </c>
      <c r="L26" s="17" t="n">
        <f aca="false">Opex!L31</f>
        <v>249.404983834566</v>
      </c>
    </row>
    <row r="27" customFormat="false" ht="15" hidden="false" customHeight="false" outlineLevel="0" collapsed="false">
      <c r="A27" s="10" t="s">
        <v>258</v>
      </c>
      <c r="B27" s="5" t="s">
        <v>256</v>
      </c>
      <c r="C27" s="12" t="n">
        <f aca="false">C26/C21</f>
        <v>0.139601155822527</v>
      </c>
      <c r="D27" s="12" t="n">
        <f aca="false">D26/D21</f>
        <v>0.167598684661607</v>
      </c>
      <c r="E27" s="12" t="n">
        <f aca="false">E26/E21</f>
        <v>0.184038658454089</v>
      </c>
      <c r="F27" s="12" t="n">
        <f aca="false">F26/F21</f>
        <v>0.172656922426028</v>
      </c>
      <c r="G27" s="12" t="n">
        <f aca="false">G26/G21</f>
        <v>0.173428208069205</v>
      </c>
      <c r="H27" s="12" t="n">
        <f aca="false">H26/H21</f>
        <v>0.161810754156674</v>
      </c>
      <c r="I27" s="12" t="n">
        <f aca="false">I26/I21</f>
        <v>0.150073618797524</v>
      </c>
      <c r="J27" s="12" t="n">
        <f aca="false">J26/J21</f>
        <v>0.128730247891395</v>
      </c>
      <c r="K27" s="12" t="n">
        <f aca="false">K26/K21</f>
        <v>0.166492873676731</v>
      </c>
      <c r="L27" s="12" t="n">
        <f aca="false">L26/L21</f>
        <v>0.153340151417498</v>
      </c>
    </row>
    <row r="28" customFormat="false" ht="15" hidden="false" customHeight="false" outlineLevel="0" collapsed="false">
      <c r="A28" s="10" t="s">
        <v>635</v>
      </c>
      <c r="B28" s="5" t="s">
        <v>636</v>
      </c>
      <c r="C28" s="17" t="n">
        <f aca="false">Historical_Drivers!$O$20/1000</f>
        <v>29.283</v>
      </c>
      <c r="D28" s="17" t="n">
        <f aca="false">Historical_Drivers!$P$20/1000</f>
        <v>41.218</v>
      </c>
      <c r="E28" s="17" t="n">
        <f aca="false">Assumptions!$D$13*E21</f>
        <v>39.7301581168832</v>
      </c>
      <c r="F28" s="17" t="n">
        <f aca="false">Assumptions!$D$13*F21</f>
        <v>40.9486573022728</v>
      </c>
      <c r="G28" s="17" t="n">
        <f aca="false">Assumptions!$D$13*G21</f>
        <v>42.0164307214338</v>
      </c>
      <c r="H28" s="17" t="n">
        <f aca="false">Assumptions!$D$13*H21</f>
        <v>42.5215764340553</v>
      </c>
      <c r="I28" s="17" t="n">
        <f aca="false">Assumptions!$D$13*I21</f>
        <v>43.0208569097625</v>
      </c>
      <c r="J28" s="17" t="n">
        <f aca="false">Assumptions!$D$13*J21</f>
        <v>43.2217374963629</v>
      </c>
      <c r="K28" s="17" t="n">
        <f aca="false">SUM(C28:F28)</f>
        <v>151.179815419156</v>
      </c>
      <c r="L28" s="17" t="n">
        <f aca="false">SUM(G28:J28)</f>
        <v>170.780601561614</v>
      </c>
    </row>
    <row r="29" customFormat="false" ht="15" hidden="false" customHeight="false" outlineLevel="0" collapsed="false">
      <c r="A29" s="10" t="s">
        <v>637</v>
      </c>
      <c r="B29" s="5" t="s">
        <v>638</v>
      </c>
      <c r="C29" s="17" t="n">
        <f aca="false">(Historical_Drivers!$C$60-Historical_Drivers!$P$22)/1000</f>
        <v>0</v>
      </c>
      <c r="D29" s="17" t="n">
        <f aca="false">Historical_Drivers!$P$22/1000</f>
        <v>21.436</v>
      </c>
      <c r="E29" s="17" t="n">
        <f aca="false">Assumptions!$D$14/2</f>
        <v>25</v>
      </c>
      <c r="F29" s="17" t="n">
        <f aca="false">Assumptions!$D$14/2</f>
        <v>25</v>
      </c>
      <c r="G29" s="17" t="n">
        <f aca="false">0*1</f>
        <v>0</v>
      </c>
      <c r="H29" s="17" t="n">
        <f aca="false">0*1</f>
        <v>0</v>
      </c>
      <c r="I29" s="17" t="n">
        <f aca="false">0*1</f>
        <v>0</v>
      </c>
      <c r="J29" s="17" t="n">
        <f aca="false">0*1</f>
        <v>0</v>
      </c>
      <c r="K29" s="17" t="n">
        <f aca="false">SUM(C29:F29)</f>
        <v>71.436</v>
      </c>
      <c r="L29" s="17" t="n">
        <f aca="false">SUM(G29:J29)</f>
        <v>0</v>
      </c>
      <c r="M29" s="5" t="s">
        <v>639</v>
      </c>
    </row>
    <row r="30" customFormat="false" ht="15" hidden="false" customHeight="false" outlineLevel="0" collapsed="false">
      <c r="A30" s="10" t="s">
        <v>155</v>
      </c>
      <c r="B30" s="5" t="s">
        <v>256</v>
      </c>
      <c r="C30" s="17" t="n">
        <f aca="false">C26-C28-C29</f>
        <v>19.754</v>
      </c>
      <c r="D30" s="17" t="n">
        <f aca="false">D26-D28-D29</f>
        <v>-1.54400000000005</v>
      </c>
      <c r="E30" s="17" t="n">
        <f aca="false">E26-E28-E29</f>
        <v>4.90684188311685</v>
      </c>
      <c r="F30" s="17" t="n">
        <f aca="false">F26-F28-F29</f>
        <v>1.38533457666561</v>
      </c>
      <c r="G30" s="17" t="n">
        <f aca="false">G26-G28-G29</f>
        <v>27.3819910831581</v>
      </c>
      <c r="H30" s="17" t="n">
        <f aca="false">H26-H28-H29</f>
        <v>23.0065030966603</v>
      </c>
      <c r="I30" s="17" t="n">
        <f aca="false">I26-I28-I29</f>
        <v>18.4676733780329</v>
      </c>
      <c r="J30" s="17" t="n">
        <f aca="false">J26-J28-J29</f>
        <v>9.76821471509986</v>
      </c>
      <c r="K30" s="17" t="n">
        <f aca="false">K26-K28-K29</f>
        <v>24.5021764597823</v>
      </c>
      <c r="L30" s="17" t="n">
        <f aca="false">L26-L28-L29</f>
        <v>78.6243822729514</v>
      </c>
    </row>
    <row r="31" customFormat="false" ht="15" hidden="false" customHeight="false" outlineLevel="0" collapsed="false">
      <c r="A31" s="10" t="s">
        <v>640</v>
      </c>
      <c r="B31" s="5" t="s">
        <v>256</v>
      </c>
      <c r="C31" s="12" t="n">
        <f aca="false">C30/C21</f>
        <v>0.05623674433832</v>
      </c>
      <c r="D31" s="12" t="n">
        <f aca="false">D30/D21</f>
        <v>-0.00423453394072214</v>
      </c>
      <c r="E31" s="12" t="n">
        <f aca="false">E30/E21</f>
        <v>0.01296794229239</v>
      </c>
      <c r="F31" s="12" t="n">
        <f aca="false">F30/F21</f>
        <v>0.0035522564140782</v>
      </c>
      <c r="G31" s="12" t="n">
        <f aca="false">G30/G21</f>
        <v>0.0684282080692049</v>
      </c>
      <c r="H31" s="12" t="n">
        <f aca="false">H30/H21</f>
        <v>0.0568107541566737</v>
      </c>
      <c r="I31" s="12" t="n">
        <f aca="false">I30/I21</f>
        <v>0.0450736187975238</v>
      </c>
      <c r="J31" s="12" t="n">
        <f aca="false">J30/J21</f>
        <v>0.0237302478913948</v>
      </c>
      <c r="K31" s="12" t="n">
        <f aca="false">K30/K21</f>
        <v>0.0165080564919854</v>
      </c>
      <c r="L31" s="12" t="n">
        <f aca="false">L30/L21</f>
        <v>0.0483401514174984</v>
      </c>
    </row>
    <row r="32" customFormat="false" ht="15" hidden="false" customHeight="false" outlineLevel="0" collapsed="false">
      <c r="A32" s="10" t="s">
        <v>641</v>
      </c>
      <c r="B32" s="5" t="s">
        <v>256</v>
      </c>
      <c r="C32" s="17" t="n">
        <f aca="false">C30-Historical_Drivers!$O$18/1000</f>
        <v>0</v>
      </c>
      <c r="D32" s="17" t="n">
        <f aca="false">D30-Historical_Drivers!$P$18/1000</f>
        <v>-4.66293670342566E-014</v>
      </c>
      <c r="M32" s="5" t="s">
        <v>642</v>
      </c>
    </row>
    <row r="34" customFormat="false" ht="15" hidden="false" customHeight="false" outlineLevel="0" collapsed="false">
      <c r="A34" s="28" t="s">
        <v>598</v>
      </c>
    </row>
    <row r="35" customFormat="false" ht="15" hidden="false" customHeight="false" outlineLevel="0" collapsed="false">
      <c r="A35" s="6" t="s">
        <v>339</v>
      </c>
      <c r="B35" s="6" t="s">
        <v>47</v>
      </c>
      <c r="C35" s="6" t="s">
        <v>576</v>
      </c>
      <c r="D35" s="6" t="s">
        <v>577</v>
      </c>
      <c r="E35" s="6" t="s">
        <v>578</v>
      </c>
      <c r="F35" s="6" t="s">
        <v>579</v>
      </c>
      <c r="G35" s="6" t="s">
        <v>580</v>
      </c>
      <c r="H35" s="6" t="s">
        <v>581</v>
      </c>
      <c r="I35" s="6" t="s">
        <v>582</v>
      </c>
      <c r="J35" s="6" t="s">
        <v>583</v>
      </c>
      <c r="K35" s="6" t="s">
        <v>584</v>
      </c>
      <c r="L35" s="6" t="s">
        <v>585</v>
      </c>
      <c r="M35" s="6" t="s">
        <v>365</v>
      </c>
    </row>
    <row r="36" customFormat="false" ht="15" hidden="false" customHeight="false" outlineLevel="0" collapsed="false">
      <c r="A36" s="2" t="s">
        <v>62</v>
      </c>
      <c r="B36" s="5" t="s">
        <v>373</v>
      </c>
      <c r="C36" s="17" t="n">
        <f aca="false">Revenue_Build!C25</f>
        <v>351.265</v>
      </c>
      <c r="D36" s="17" t="n">
        <f aca="false">Revenue_Build!D25</f>
        <v>364.621</v>
      </c>
      <c r="E36" s="17" t="n">
        <f aca="false">Revenue_Build!E25</f>
        <v>374.471069908815</v>
      </c>
      <c r="F36" s="17" t="n">
        <f aca="false">Revenue_Build!F25</f>
        <v>390.823988121581</v>
      </c>
      <c r="G36" s="17" t="n">
        <f aca="false">Revenue_Build!G25</f>
        <v>406.095790312475</v>
      </c>
      <c r="H36" s="17" t="n">
        <f aca="false">Revenue_Build!H25</f>
        <v>416.257352905446</v>
      </c>
      <c r="I36" s="17" t="n">
        <f aca="false">Revenue_Build!I25</f>
        <v>422.091009734368</v>
      </c>
      <c r="J36" s="17" t="n">
        <f aca="false">Revenue_Build!J25</f>
        <v>435.036277910964</v>
      </c>
      <c r="K36" s="17" t="n">
        <f aca="false">Revenue_Build!K25</f>
        <v>1481.1810580304</v>
      </c>
      <c r="L36" s="17" t="n">
        <f aca="false">Revenue_Build!L25</f>
        <v>1679.48043086325</v>
      </c>
    </row>
    <row r="37" customFormat="false" ht="15" hidden="false" customHeight="false" outlineLevel="0" collapsed="false">
      <c r="A37" s="10" t="s">
        <v>80</v>
      </c>
      <c r="B37" s="5" t="s">
        <v>373</v>
      </c>
      <c r="C37" s="17" t="n">
        <f aca="false">Opex!C37</f>
        <v>314.19</v>
      </c>
      <c r="D37" s="17" t="n">
        <f aca="false">Opex!D37</f>
        <v>324.222</v>
      </c>
      <c r="E37" s="17" t="n">
        <f aca="false">Opex!E37</f>
        <v>332.606238291252</v>
      </c>
      <c r="F37" s="17" t="n">
        <f aca="false">Opex!F37</f>
        <v>346.740121413768</v>
      </c>
      <c r="G37" s="17" t="n">
        <f aca="false">Opex!G37</f>
        <v>359.883210696072</v>
      </c>
      <c r="H37" s="17" t="n">
        <f aca="false">Opex!H37</f>
        <v>368.472158171401</v>
      </c>
      <c r="I37" s="17" t="n">
        <f aca="false">Opex!I37</f>
        <v>373.214036294658</v>
      </c>
      <c r="J37" s="17" t="n">
        <f aca="false">Opex!J37</f>
        <v>384.225241883269</v>
      </c>
      <c r="K37" s="17" t="n">
        <f aca="false">Opex!K37</f>
        <v>1317.75835970502</v>
      </c>
      <c r="L37" s="17" t="n">
        <f aca="false">Opex!L37</f>
        <v>1485.7946470454</v>
      </c>
    </row>
    <row r="38" customFormat="false" ht="15" hidden="false" customHeight="false" outlineLevel="0" collapsed="false">
      <c r="A38" s="10" t="s">
        <v>95</v>
      </c>
      <c r="B38" s="5" t="s">
        <v>373</v>
      </c>
      <c r="C38" s="17" t="n">
        <f aca="false">Opex!C40</f>
        <v>78.413</v>
      </c>
      <c r="D38" s="17" t="n">
        <f aca="false">Opex!D40</f>
        <v>83.003</v>
      </c>
      <c r="E38" s="17" t="n">
        <f aca="false">Opex!E40</f>
        <v>85.0734812699109</v>
      </c>
      <c r="F38" s="17" t="n">
        <f aca="false">Opex!F40</f>
        <v>86.8176902474351</v>
      </c>
      <c r="G38" s="17" t="n">
        <f aca="false">Opex!G40</f>
        <v>88.1796913698354</v>
      </c>
      <c r="H38" s="17" t="n">
        <f aca="false">Opex!H40</f>
        <v>90.3861743589695</v>
      </c>
      <c r="I38" s="17" t="n">
        <f aca="false">Opex!I40</f>
        <v>91.6528953420559</v>
      </c>
      <c r="J38" s="17" t="n">
        <f aca="false">Opex!J40</f>
        <v>94.4638325143759</v>
      </c>
      <c r="K38" s="17" t="n">
        <f aca="false">Opex!K40</f>
        <v>333.307171517346</v>
      </c>
      <c r="L38" s="17" t="n">
        <f aca="false">Opex!L40</f>
        <v>364.682593585237</v>
      </c>
    </row>
    <row r="39" customFormat="false" ht="15" hidden="false" customHeight="false" outlineLevel="0" collapsed="false">
      <c r="A39" s="10" t="s">
        <v>110</v>
      </c>
      <c r="B39" s="5" t="s">
        <v>373</v>
      </c>
      <c r="C39" s="17" t="n">
        <f aca="false">Opex!C42</f>
        <v>158.181</v>
      </c>
      <c r="D39" s="17" t="n">
        <f aca="false">Opex!D42</f>
        <v>149.444</v>
      </c>
      <c r="E39" s="17" t="n">
        <f aca="false">Opex!E42</f>
        <v>153.171829149556</v>
      </c>
      <c r="F39" s="17" t="n">
        <f aca="false">Opex!F42</f>
        <v>156.312216442028</v>
      </c>
      <c r="G39" s="17" t="n">
        <f aca="false">Opex!G42</f>
        <v>160.389779274176</v>
      </c>
      <c r="H39" s="17" t="n">
        <f aca="false">Opex!H42</f>
        <v>164.403144643251</v>
      </c>
      <c r="I39" s="17" t="n">
        <f aca="false">Opex!I42</f>
        <v>166.707179684915</v>
      </c>
      <c r="J39" s="17" t="n">
        <f aca="false">Opex!J42</f>
        <v>171.819984976227</v>
      </c>
      <c r="K39" s="17" t="n">
        <f aca="false">Opex!K42</f>
        <v>617.109045591584</v>
      </c>
      <c r="L39" s="17" t="n">
        <f aca="false">Opex!L42</f>
        <v>663.32008857857</v>
      </c>
    </row>
    <row r="40" customFormat="false" ht="15" hidden="false" customHeight="false" outlineLevel="0" collapsed="false">
      <c r="A40" s="10" t="s">
        <v>125</v>
      </c>
      <c r="B40" s="5" t="s">
        <v>373</v>
      </c>
      <c r="C40" s="17" t="n">
        <f aca="false">Opex!C44</f>
        <v>28.559</v>
      </c>
      <c r="D40" s="17" t="n">
        <f aca="false">Opex!D44</f>
        <v>30.665</v>
      </c>
      <c r="E40" s="17" t="n">
        <f aca="false">Opex!E44</f>
        <v>31.4299278717856</v>
      </c>
      <c r="F40" s="17" t="n">
        <f aca="false">Opex!F44</f>
        <v>32.0743162468537</v>
      </c>
      <c r="G40" s="17" t="n">
        <f aca="false">Opex!G44</f>
        <v>32.5154576959754</v>
      </c>
      <c r="H40" s="17" t="n">
        <f aca="false">Opex!H44</f>
        <v>33.329078192663</v>
      </c>
      <c r="I40" s="17" t="n">
        <f aca="false">Opex!I44</f>
        <v>33.796170012767</v>
      </c>
      <c r="J40" s="17" t="n">
        <f aca="false">Opex!J44</f>
        <v>34.8326774816952</v>
      </c>
      <c r="K40" s="17" t="n">
        <f aca="false">Opex!K44</f>
        <v>122.728244118639</v>
      </c>
      <c r="L40" s="17" t="n">
        <f aca="false">Opex!L44</f>
        <v>134.473383383101</v>
      </c>
    </row>
    <row r="41" customFormat="false" ht="15" hidden="false" customHeight="false" outlineLevel="0" collapsed="false">
      <c r="A41" s="2" t="s">
        <v>140</v>
      </c>
      <c r="B41" s="5" t="s">
        <v>373</v>
      </c>
      <c r="C41" s="17" t="n">
        <f aca="false">Opex!C46</f>
        <v>49.037</v>
      </c>
      <c r="D41" s="17" t="n">
        <f aca="false">Opex!D46</f>
        <v>61.11</v>
      </c>
      <c r="E41" s="17" t="n">
        <f aca="false">Opex!E46</f>
        <v>62.931</v>
      </c>
      <c r="F41" s="17" t="n">
        <f aca="false">Opex!F46</f>
        <v>71.5358984774508</v>
      </c>
      <c r="G41" s="17" t="n">
        <f aca="false">Opex!G46</f>
        <v>78.7982823560855</v>
      </c>
      <c r="H41" s="17" t="n">
        <f aca="false">Opex!H46</f>
        <v>80.3537609765174</v>
      </c>
      <c r="I41" s="17" t="n">
        <f aca="false">Opex!I46</f>
        <v>81.0577912549197</v>
      </c>
      <c r="J41" s="17" t="n">
        <f aca="false">Opex!J46</f>
        <v>83.1087469109706</v>
      </c>
      <c r="K41" s="17" t="n">
        <f aca="false">Opex!K46</f>
        <v>244.613898477451</v>
      </c>
      <c r="L41" s="17" t="n">
        <f aca="false">Opex!L46</f>
        <v>323.318581498493</v>
      </c>
    </row>
    <row r="42" customFormat="false" ht="15" hidden="false" customHeight="false" outlineLevel="0" collapsed="false">
      <c r="A42" s="10" t="s">
        <v>258</v>
      </c>
      <c r="B42" s="5" t="s">
        <v>256</v>
      </c>
      <c r="C42" s="12" t="n">
        <f aca="false">C41/C36</f>
        <v>0.139601155822527</v>
      </c>
      <c r="D42" s="12" t="n">
        <f aca="false">D41/D36</f>
        <v>0.167598684661607</v>
      </c>
      <c r="E42" s="12" t="n">
        <f aca="false">E41/E36</f>
        <v>0.168053035486357</v>
      </c>
      <c r="F42" s="12" t="n">
        <f aca="false">F41/F36</f>
        <v>0.183038658454089</v>
      </c>
      <c r="G42" s="12" t="n">
        <f aca="false">G41/G36</f>
        <v>0.194038658454089</v>
      </c>
      <c r="H42" s="12" t="n">
        <f aca="false">H41/H36</f>
        <v>0.193038658454089</v>
      </c>
      <c r="I42" s="12" t="n">
        <f aca="false">I41/I36</f>
        <v>0.192038658454089</v>
      </c>
      <c r="J42" s="12" t="n">
        <f aca="false">J41/J36</f>
        <v>0.191038658454089</v>
      </c>
      <c r="K42" s="12" t="n">
        <f aca="false">K41/K36</f>
        <v>0.165147871120312</v>
      </c>
      <c r="L42" s="12" t="n">
        <f aca="false">L41/L36</f>
        <v>0.192511073994657</v>
      </c>
    </row>
    <row r="43" customFormat="false" ht="15" hidden="false" customHeight="false" outlineLevel="0" collapsed="false">
      <c r="A43" s="10" t="s">
        <v>635</v>
      </c>
      <c r="B43" s="5" t="s">
        <v>636</v>
      </c>
      <c r="C43" s="17" t="n">
        <f aca="false">Historical_Drivers!$O$20/1000</f>
        <v>29.283</v>
      </c>
      <c r="D43" s="17" t="n">
        <f aca="false">Historical_Drivers!$P$20/1000</f>
        <v>41.218</v>
      </c>
      <c r="E43" s="17" t="n">
        <f aca="false">Assumptions!$C$13*E36</f>
        <v>39.3194623404256</v>
      </c>
      <c r="F43" s="17" t="n">
        <f aca="false">Assumptions!$C$13*F36</f>
        <v>41.036518752766</v>
      </c>
      <c r="G43" s="17" t="n">
        <f aca="false">Assumptions!$C$13*G36</f>
        <v>42.6400579828098</v>
      </c>
      <c r="H43" s="17" t="n">
        <f aca="false">Assumptions!$C$13*H36</f>
        <v>43.7070220550718</v>
      </c>
      <c r="I43" s="17" t="n">
        <f aca="false">Assumptions!$C$13*I36</f>
        <v>44.3195560221086</v>
      </c>
      <c r="J43" s="17" t="n">
        <f aca="false">Assumptions!$C$13*J36</f>
        <v>45.6788091806512</v>
      </c>
      <c r="K43" s="17" t="n">
        <f aca="false">SUM(C43:F43)</f>
        <v>150.856981093192</v>
      </c>
      <c r="L43" s="17" t="n">
        <f aca="false">SUM(G43:J43)</f>
        <v>176.345445240641</v>
      </c>
    </row>
    <row r="44" customFormat="false" ht="15" hidden="false" customHeight="false" outlineLevel="0" collapsed="false">
      <c r="A44" s="10" t="s">
        <v>637</v>
      </c>
      <c r="B44" s="5" t="s">
        <v>638</v>
      </c>
      <c r="C44" s="17" t="n">
        <f aca="false">(Historical_Drivers!$C$60-Historical_Drivers!$P$22)/1000</f>
        <v>0</v>
      </c>
      <c r="D44" s="17" t="n">
        <f aca="false">Historical_Drivers!$P$22/1000</f>
        <v>21.436</v>
      </c>
      <c r="E44" s="17" t="n">
        <f aca="false">Assumptions!$C$14/2</f>
        <v>25</v>
      </c>
      <c r="F44" s="17" t="n">
        <f aca="false">Assumptions!$C$14/2</f>
        <v>25</v>
      </c>
      <c r="G44" s="17" t="n">
        <f aca="false">0*1</f>
        <v>0</v>
      </c>
      <c r="H44" s="17" t="n">
        <f aca="false">0*1</f>
        <v>0</v>
      </c>
      <c r="I44" s="17" t="n">
        <f aca="false">0*1</f>
        <v>0</v>
      </c>
      <c r="J44" s="17" t="n">
        <f aca="false">0*1</f>
        <v>0</v>
      </c>
      <c r="K44" s="17" t="n">
        <f aca="false">SUM(C44:F44)</f>
        <v>71.436</v>
      </c>
      <c r="L44" s="17" t="n">
        <f aca="false">SUM(G44:J44)</f>
        <v>0</v>
      </c>
      <c r="M44" s="5" t="s">
        <v>639</v>
      </c>
    </row>
    <row r="45" customFormat="false" ht="15" hidden="false" customHeight="false" outlineLevel="0" collapsed="false">
      <c r="A45" s="10" t="s">
        <v>155</v>
      </c>
      <c r="B45" s="5" t="s">
        <v>256</v>
      </c>
      <c r="C45" s="17" t="n">
        <f aca="false">C41-C43-C44</f>
        <v>19.754</v>
      </c>
      <c r="D45" s="17" t="n">
        <f aca="false">D41-D43-D44</f>
        <v>-1.54400000000005</v>
      </c>
      <c r="E45" s="17" t="n">
        <f aca="false">E41-E43-E44</f>
        <v>-1.38846234042559</v>
      </c>
      <c r="F45" s="17" t="n">
        <f aca="false">F41-F43-F44</f>
        <v>5.49937972468481</v>
      </c>
      <c r="G45" s="17" t="n">
        <f aca="false">G41-G43-G44</f>
        <v>36.1582243732757</v>
      </c>
      <c r="H45" s="17" t="n">
        <f aca="false">H41-H43-H44</f>
        <v>36.6467389214456</v>
      </c>
      <c r="I45" s="17" t="n">
        <f aca="false">I41-I43-I44</f>
        <v>36.7382352328111</v>
      </c>
      <c r="J45" s="17" t="n">
        <f aca="false">J41-J43-J44</f>
        <v>37.4299377303194</v>
      </c>
      <c r="K45" s="17" t="n">
        <f aca="false">K41-K43-K44</f>
        <v>22.3209173842593</v>
      </c>
      <c r="L45" s="17" t="n">
        <f aca="false">L41-L43-L44</f>
        <v>146.973136257852</v>
      </c>
    </row>
    <row r="46" customFormat="false" ht="15" hidden="false" customHeight="false" outlineLevel="0" collapsed="false">
      <c r="A46" s="10" t="s">
        <v>640</v>
      </c>
      <c r="B46" s="5" t="s">
        <v>256</v>
      </c>
      <c r="C46" s="12" t="n">
        <f aca="false">C45/C36</f>
        <v>0.05623674433832</v>
      </c>
      <c r="D46" s="12" t="n">
        <f aca="false">D45/D36</f>
        <v>-0.00423453394072214</v>
      </c>
      <c r="E46" s="12" t="n">
        <f aca="false">E45/E36</f>
        <v>-0.00370779601415855</v>
      </c>
      <c r="F46" s="12" t="n">
        <f aca="false">F45/F36</f>
        <v>0.0140712440685038</v>
      </c>
      <c r="G46" s="12" t="n">
        <f aca="false">G45/G36</f>
        <v>0.0890386584540888</v>
      </c>
      <c r="H46" s="12" t="n">
        <f aca="false">H45/H36</f>
        <v>0.0880386584540887</v>
      </c>
      <c r="I46" s="12" t="n">
        <f aca="false">I45/I36</f>
        <v>0.0870386584540887</v>
      </c>
      <c r="J46" s="12" t="n">
        <f aca="false">J45/J36</f>
        <v>0.0860386584540887</v>
      </c>
      <c r="K46" s="12" t="n">
        <f aca="false">K45/K36</f>
        <v>0.0150696751509506</v>
      </c>
      <c r="L46" s="12" t="n">
        <f aca="false">L45/L36</f>
        <v>0.0875110739946567</v>
      </c>
    </row>
    <row r="47" customFormat="false" ht="15" hidden="false" customHeight="false" outlineLevel="0" collapsed="false">
      <c r="A47" s="10" t="s">
        <v>641</v>
      </c>
      <c r="B47" s="5" t="s">
        <v>256</v>
      </c>
      <c r="C47" s="17" t="n">
        <f aca="false">C45-Historical_Drivers!$O$18/1000</f>
        <v>0</v>
      </c>
      <c r="D47" s="17" t="n">
        <f aca="false">D45-Historical_Drivers!$P$18/1000</f>
        <v>-4.66293670342566E-014</v>
      </c>
      <c r="M47" s="5" t="s">
        <v>642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12" min="3" style="0" width="11"/>
    <col collapsed="false" customWidth="true" hidden="false" outlineLevel="0" max="13" min="13" style="0" width="60"/>
  </cols>
  <sheetData>
    <row r="1" customFormat="false" ht="16.15" hidden="false" customHeight="false" outlineLevel="0" collapsed="false">
      <c r="A1" s="4" t="s">
        <v>643</v>
      </c>
    </row>
    <row r="2" customFormat="false" ht="15" hidden="false" customHeight="false" outlineLevel="0" collapsed="false">
      <c r="A2" s="5" t="s">
        <v>644</v>
      </c>
    </row>
    <row r="4" customFormat="false" ht="15" hidden="false" customHeight="false" outlineLevel="0" collapsed="false">
      <c r="A4" s="28" t="s">
        <v>575</v>
      </c>
    </row>
    <row r="5" customFormat="false" ht="15" hidden="false" customHeight="false" outlineLevel="0" collapsed="false">
      <c r="A5" s="6" t="s">
        <v>339</v>
      </c>
      <c r="B5" s="6" t="s">
        <v>47</v>
      </c>
      <c r="C5" s="6" t="s">
        <v>576</v>
      </c>
      <c r="D5" s="6" t="s">
        <v>577</v>
      </c>
      <c r="E5" s="6" t="s">
        <v>578</v>
      </c>
      <c r="F5" s="6" t="s">
        <v>579</v>
      </c>
      <c r="G5" s="6" t="s">
        <v>580</v>
      </c>
      <c r="H5" s="6" t="s">
        <v>581</v>
      </c>
      <c r="I5" s="6" t="s">
        <v>582</v>
      </c>
      <c r="J5" s="6" t="s">
        <v>583</v>
      </c>
      <c r="K5" s="6" t="s">
        <v>584</v>
      </c>
      <c r="L5" s="6" t="s">
        <v>585</v>
      </c>
      <c r="M5" s="6" t="s">
        <v>365</v>
      </c>
    </row>
    <row r="6" customFormat="false" ht="15" hidden="false" customHeight="false" outlineLevel="0" collapsed="false">
      <c r="A6" s="2" t="s">
        <v>140</v>
      </c>
      <c r="B6" s="5" t="s">
        <v>373</v>
      </c>
      <c r="C6" s="17" t="n">
        <f aca="false">Opex!C16</f>
        <v>49.037</v>
      </c>
      <c r="D6" s="17" t="n">
        <f aca="false">Opex!D16</f>
        <v>61.11</v>
      </c>
      <c r="E6" s="17" t="n">
        <f aca="false">Opex!E16</f>
        <v>69.637</v>
      </c>
      <c r="F6" s="17" t="n">
        <f aca="false">Opex!F16</f>
        <v>72.2830982004639</v>
      </c>
      <c r="G6" s="17" t="n">
        <f aca="false">Opex!G16</f>
        <v>79.6213384160989</v>
      </c>
      <c r="H6" s="17" t="n">
        <f aca="false">Opex!H16</f>
        <v>81.1930641686571</v>
      </c>
      <c r="I6" s="17" t="n">
        <f aca="false">Opex!I16</f>
        <v>82.7709161865066</v>
      </c>
      <c r="J6" s="17" t="n">
        <f aca="false">Opex!J16</f>
        <v>84.8652179936623</v>
      </c>
      <c r="K6" s="17" t="n">
        <f aca="false">Opex!K16</f>
        <v>252.067098200464</v>
      </c>
      <c r="L6" s="17" t="n">
        <f aca="false">Opex!L16</f>
        <v>328.450536764925</v>
      </c>
    </row>
    <row r="7" customFormat="false" ht="15" hidden="false" customHeight="false" outlineLevel="0" collapsed="false">
      <c r="A7" s="2" t="s">
        <v>645</v>
      </c>
      <c r="B7" s="5" t="s">
        <v>646</v>
      </c>
      <c r="C7" s="17" t="n">
        <f aca="false">Historical_Drivers!$O$24/1000</f>
        <v>102.778</v>
      </c>
      <c r="D7" s="17" t="n">
        <f aca="false">Historical_Drivers!$P$24/1000</f>
        <v>52.344</v>
      </c>
      <c r="E7" s="17" t="n">
        <f aca="false">Historical_Drivers!$C$69*Historical_Drivers!$C$68*E6/Opex!E16</f>
        <v>73.1595409524635</v>
      </c>
      <c r="F7" s="17" t="n">
        <f aca="false">Historical_Drivers!$C$69*(1-Historical_Drivers!$C$68)*F6/Opex!F16</f>
        <v>56.7184590475365</v>
      </c>
      <c r="G7" s="17" t="n">
        <f aca="false">L6*Assumptions!$C$11*Historical_Drivers!$C$61/(Historical_Drivers!$C$61+Historical_Drivers!$C$62+Historical_Drivers!$C$63+Historical_Drivers!$C$64)</f>
        <v>112.051750113813</v>
      </c>
      <c r="H7" s="17" t="n">
        <f aca="false">L6*Assumptions!$C$11*Historical_Drivers!$C$62/(Historical_Drivers!$C$61+Historical_Drivers!$C$62+Historical_Drivers!$C$63+Historical_Drivers!$C$64)</f>
        <v>80.0648193816636</v>
      </c>
      <c r="I7" s="17" t="n">
        <f aca="false">L6*Assumptions!$C$11*Historical_Drivers!$C$63/(Historical_Drivers!$C$61+Historical_Drivers!$C$62+Historical_Drivers!$C$63+Historical_Drivers!$C$64)</f>
        <v>118.675058737592</v>
      </c>
      <c r="J7" s="17" t="n">
        <f aca="false">L6*Assumptions!$C$11*Historical_Drivers!$C$64/(Historical_Drivers!$C$61+Historical_Drivers!$C$62+Historical_Drivers!$C$63+Historical_Drivers!$C$64)</f>
        <v>93.2025319877898</v>
      </c>
      <c r="K7" s="17" t="n">
        <f aca="false">SUM(C7:F7)</f>
        <v>285</v>
      </c>
      <c r="L7" s="17" t="n">
        <f aca="false">SUM(G7:J7)</f>
        <v>403.994160220858</v>
      </c>
      <c r="M7" s="5" t="s">
        <v>647</v>
      </c>
    </row>
    <row r="8" customFormat="false" ht="15" hidden="false" customHeight="false" outlineLevel="0" collapsed="false">
      <c r="A8" s="10" t="s">
        <v>648</v>
      </c>
      <c r="B8" s="5" t="s">
        <v>603</v>
      </c>
      <c r="E8" s="32" t="s">
        <v>649</v>
      </c>
      <c r="F8" s="32" t="s">
        <v>649</v>
      </c>
    </row>
    <row r="9" customFormat="false" ht="15" hidden="false" customHeight="false" outlineLevel="0" collapsed="false">
      <c r="A9" s="10" t="s">
        <v>650</v>
      </c>
      <c r="B9" s="5" t="s">
        <v>256</v>
      </c>
      <c r="C9" s="31" t="n">
        <f aca="false">C7/C6</f>
        <v>2.09592756489997</v>
      </c>
      <c r="D9" s="31" t="n">
        <f aca="false">D7/D6</f>
        <v>0.856553755522828</v>
      </c>
      <c r="E9" s="31" t="n">
        <f aca="false">E7/E6</f>
        <v>1.05058432948667</v>
      </c>
      <c r="F9" s="31" t="n">
        <f aca="false">F7/F6</f>
        <v>0.784671112052202</v>
      </c>
      <c r="G9" s="31" t="n">
        <f aca="false">G7/G6</f>
        <v>1.40730804509004</v>
      </c>
      <c r="H9" s="31" t="n">
        <f aca="false">H7/H6</f>
        <v>0.986104172831193</v>
      </c>
      <c r="I9" s="31" t="n">
        <f aca="false">I7/I6</f>
        <v>1.43377727594779</v>
      </c>
      <c r="J9" s="31" t="n">
        <f aca="false">J7/J6</f>
        <v>1.09824182617135</v>
      </c>
      <c r="K9" s="31" t="n">
        <f aca="false">K7/K6</f>
        <v>1.13065133067603</v>
      </c>
      <c r="L9" s="31" t="n">
        <f aca="false">L7/L6</f>
        <v>1.23</v>
      </c>
    </row>
    <row r="10" customFormat="false" ht="15" hidden="false" customHeight="false" outlineLevel="0" collapsed="false">
      <c r="A10" s="10" t="s">
        <v>651</v>
      </c>
      <c r="B10" s="5" t="s">
        <v>652</v>
      </c>
      <c r="E10" s="17" t="n">
        <f aca="false">-Assumptions!$C$12/2</f>
        <v>-16.25</v>
      </c>
      <c r="F10" s="17" t="n">
        <f aca="false">-Assumptions!$C$12/2</f>
        <v>-16.25</v>
      </c>
      <c r="G10" s="17" t="n">
        <f aca="false">0*1</f>
        <v>0</v>
      </c>
      <c r="H10" s="17" t="n">
        <f aca="false">0*1</f>
        <v>0</v>
      </c>
      <c r="I10" s="17" t="n">
        <f aca="false">0*1</f>
        <v>0</v>
      </c>
      <c r="J10" s="17" t="n">
        <f aca="false">0*1</f>
        <v>0</v>
      </c>
      <c r="K10" s="17" t="n">
        <f aca="false">SUM(C10:F10)</f>
        <v>-32.5</v>
      </c>
      <c r="L10" s="17" t="n">
        <f aca="false">SUM(G10:J10)</f>
        <v>0</v>
      </c>
      <c r="M10" s="5" t="s">
        <v>653</v>
      </c>
    </row>
    <row r="11" customFormat="false" ht="15" hidden="false" customHeight="false" outlineLevel="0" collapsed="false">
      <c r="A11" s="10" t="s">
        <v>654</v>
      </c>
      <c r="B11" s="5" t="s">
        <v>256</v>
      </c>
      <c r="C11" s="17" t="n">
        <f aca="false">C7</f>
        <v>102.778</v>
      </c>
      <c r="D11" s="17" t="n">
        <f aca="false">D7</f>
        <v>52.344</v>
      </c>
      <c r="E11" s="17" t="n">
        <f aca="false">E7+E10</f>
        <v>56.9095409524635</v>
      </c>
      <c r="F11" s="17" t="n">
        <f aca="false">F7+F10</f>
        <v>40.4684590475365</v>
      </c>
      <c r="G11" s="17" t="n">
        <f aca="false">G7+G10</f>
        <v>112.051750113813</v>
      </c>
      <c r="H11" s="17" t="n">
        <f aca="false">H7+H10</f>
        <v>80.0648193816636</v>
      </c>
      <c r="I11" s="17" t="n">
        <f aca="false">I7+I10</f>
        <v>118.675058737592</v>
      </c>
      <c r="J11" s="17" t="n">
        <f aca="false">J7+J10</f>
        <v>93.2025319877898</v>
      </c>
      <c r="K11" s="17" t="n">
        <f aca="false">SUM(C11:F11)</f>
        <v>252.5</v>
      </c>
      <c r="L11" s="17" t="n">
        <f aca="false">SUM(G11:J11)</f>
        <v>403.994160220858</v>
      </c>
      <c r="M11" s="5" t="s">
        <v>655</v>
      </c>
    </row>
    <row r="12" customFormat="false" ht="15" hidden="false" customHeight="false" outlineLevel="0" collapsed="false">
      <c r="A12" s="10" t="s">
        <v>656</v>
      </c>
      <c r="B12" s="5" t="s">
        <v>657</v>
      </c>
      <c r="E12" s="17" t="n">
        <f aca="false">-Assumptions!$C$15</f>
        <v>-0</v>
      </c>
      <c r="F12" s="17" t="n">
        <f aca="false">-Assumptions!$C$15</f>
        <v>-0</v>
      </c>
      <c r="G12" s="17" t="n">
        <f aca="false">-Assumptions!$C$15</f>
        <v>-0</v>
      </c>
      <c r="H12" s="17" t="n">
        <f aca="false">-Assumptions!$C$15</f>
        <v>-0</v>
      </c>
      <c r="I12" s="17" t="n">
        <f aca="false">-Assumptions!$C$15</f>
        <v>-0</v>
      </c>
      <c r="J12" s="17" t="n">
        <f aca="false">-Assumptions!$C$15</f>
        <v>-0</v>
      </c>
      <c r="K12" s="17" t="n">
        <f aca="false">SUM(C12:F12)</f>
        <v>0</v>
      </c>
      <c r="L12" s="17" t="n">
        <f aca="false">SUM(G12:J12)</f>
        <v>0</v>
      </c>
      <c r="M12" s="5" t="s">
        <v>658</v>
      </c>
    </row>
    <row r="13" customFormat="false" ht="15" hidden="false" customHeight="false" outlineLevel="0" collapsed="false">
      <c r="A13" s="10" t="s">
        <v>659</v>
      </c>
      <c r="B13" s="5" t="s">
        <v>660</v>
      </c>
      <c r="E13" s="17" t="n">
        <f aca="false">Assumptions!$C$16</f>
        <v>-6.4265</v>
      </c>
      <c r="F13" s="17" t="n">
        <f aca="false">Assumptions!$C$16</f>
        <v>-6.4265</v>
      </c>
      <c r="G13" s="17" t="n">
        <f aca="false">Assumptions!$C$16</f>
        <v>-6.4265</v>
      </c>
      <c r="H13" s="17" t="n">
        <f aca="false">Assumptions!$C$16</f>
        <v>-6.4265</v>
      </c>
      <c r="I13" s="17" t="n">
        <f aca="false">Assumptions!$C$16</f>
        <v>-6.4265</v>
      </c>
      <c r="J13" s="17" t="n">
        <f aca="false">Assumptions!$C$16</f>
        <v>-6.4265</v>
      </c>
      <c r="K13" s="17" t="n">
        <f aca="false">SUM(C13:F13)</f>
        <v>-12.853</v>
      </c>
      <c r="L13" s="17" t="n">
        <f aca="false">SUM(G13:J13)</f>
        <v>-25.706</v>
      </c>
    </row>
    <row r="14" customFormat="false" ht="15" hidden="false" customHeight="false" outlineLevel="0" collapsed="false">
      <c r="A14" s="10" t="s">
        <v>661</v>
      </c>
      <c r="B14" s="5" t="s">
        <v>256</v>
      </c>
      <c r="E14" s="17" t="n">
        <f aca="false">E7+E10+E12+E13</f>
        <v>50.4830409524635</v>
      </c>
      <c r="F14" s="17" t="n">
        <f aca="false">F7+F10+F12+F13</f>
        <v>34.0419590475365</v>
      </c>
      <c r="G14" s="17" t="n">
        <f aca="false">G7+G10+G12+G13</f>
        <v>105.625250113813</v>
      </c>
      <c r="H14" s="17" t="n">
        <f aca="false">H7+H10+H12+H13</f>
        <v>73.6383193816636</v>
      </c>
      <c r="I14" s="17" t="n">
        <f aca="false">I7+I10+I12+I13</f>
        <v>112.248558737592</v>
      </c>
      <c r="J14" s="17" t="n">
        <f aca="false">J7+J10+J12+J13</f>
        <v>86.7760319877898</v>
      </c>
    </row>
    <row r="15" customFormat="false" ht="15" hidden="false" customHeight="false" outlineLevel="0" collapsed="false">
      <c r="A15" s="2" t="s">
        <v>662</v>
      </c>
      <c r="B15" s="5" t="s">
        <v>663</v>
      </c>
      <c r="C15" s="17" t="n">
        <f aca="false">Historical_Drivers!$O$38/1000</f>
        <v>1212.276</v>
      </c>
      <c r="D15" s="17" t="n">
        <f aca="false">Historical_Drivers!$P$38/1000</f>
        <v>1072.755</v>
      </c>
      <c r="E15" s="17" t="n">
        <f aca="false">D15+E14</f>
        <v>1123.23804095246</v>
      </c>
      <c r="F15" s="17" t="n">
        <f aca="false">E15+F14</f>
        <v>1157.28</v>
      </c>
      <c r="G15" s="17" t="n">
        <f aca="false">F15+G14</f>
        <v>1262.90525011381</v>
      </c>
      <c r="H15" s="17" t="n">
        <f aca="false">G15+H14</f>
        <v>1336.54356949548</v>
      </c>
      <c r="I15" s="17" t="n">
        <f aca="false">H15+I14</f>
        <v>1448.79212823307</v>
      </c>
      <c r="J15" s="17" t="n">
        <f aca="false">I15+J14</f>
        <v>1535.56816022086</v>
      </c>
      <c r="K15" s="17" t="n">
        <f aca="false">F15</f>
        <v>1157.28</v>
      </c>
      <c r="L15" s="17" t="n">
        <f aca="false">J15</f>
        <v>1535.56816022086</v>
      </c>
      <c r="M15" s="5" t="s">
        <v>664</v>
      </c>
    </row>
    <row r="16" customFormat="false" ht="15" hidden="false" customHeight="false" outlineLevel="0" collapsed="false">
      <c r="A16" s="10" t="s">
        <v>665</v>
      </c>
      <c r="B16" s="5" t="s">
        <v>256</v>
      </c>
      <c r="K16" s="17" t="n">
        <f aca="false">K7-(Historical_Drivers!$C$42+Historical_Drivers!$C$43)/2</f>
        <v>0</v>
      </c>
    </row>
    <row r="18" customFormat="false" ht="15" hidden="false" customHeight="false" outlineLevel="0" collapsed="false">
      <c r="A18" s="28" t="s">
        <v>597</v>
      </c>
    </row>
    <row r="19" customFormat="false" ht="15" hidden="false" customHeight="false" outlineLevel="0" collapsed="false">
      <c r="A19" s="6" t="s">
        <v>339</v>
      </c>
      <c r="B19" s="6" t="s">
        <v>47</v>
      </c>
      <c r="C19" s="6" t="s">
        <v>576</v>
      </c>
      <c r="D19" s="6" t="s">
        <v>577</v>
      </c>
      <c r="E19" s="6" t="s">
        <v>578</v>
      </c>
      <c r="F19" s="6" t="s">
        <v>579</v>
      </c>
      <c r="G19" s="6" t="s">
        <v>580</v>
      </c>
      <c r="H19" s="6" t="s">
        <v>581</v>
      </c>
      <c r="I19" s="6" t="s">
        <v>582</v>
      </c>
      <c r="J19" s="6" t="s">
        <v>583</v>
      </c>
      <c r="K19" s="6" t="s">
        <v>584</v>
      </c>
      <c r="L19" s="6" t="s">
        <v>585</v>
      </c>
      <c r="M19" s="6" t="s">
        <v>365</v>
      </c>
    </row>
    <row r="20" customFormat="false" ht="15" hidden="false" customHeight="false" outlineLevel="0" collapsed="false">
      <c r="A20" s="2" t="s">
        <v>140</v>
      </c>
      <c r="B20" s="5" t="s">
        <v>373</v>
      </c>
      <c r="C20" s="17" t="n">
        <f aca="false">Opex!C31</f>
        <v>49.037</v>
      </c>
      <c r="D20" s="17" t="n">
        <f aca="false">Opex!D31</f>
        <v>61.11</v>
      </c>
      <c r="E20" s="17" t="n">
        <f aca="false">Opex!E31</f>
        <v>69.637</v>
      </c>
      <c r="F20" s="17" t="n">
        <f aca="false">Opex!F31</f>
        <v>67.3339918789384</v>
      </c>
      <c r="G20" s="17" t="n">
        <f aca="false">Opex!G31</f>
        <v>69.3984218045919</v>
      </c>
      <c r="H20" s="17" t="n">
        <f aca="false">Opex!H31</f>
        <v>65.5280795307156</v>
      </c>
      <c r="I20" s="17" t="n">
        <f aca="false">Opex!I31</f>
        <v>61.4885302877954</v>
      </c>
      <c r="J20" s="17" t="n">
        <f aca="false">Opex!J31</f>
        <v>52.9899522114627</v>
      </c>
      <c r="K20" s="17" t="n">
        <f aca="false">Opex!K31</f>
        <v>247.117991878938</v>
      </c>
      <c r="L20" s="17" t="n">
        <f aca="false">Opex!L31</f>
        <v>249.404983834566</v>
      </c>
    </row>
    <row r="21" customFormat="false" ht="15" hidden="false" customHeight="false" outlineLevel="0" collapsed="false">
      <c r="A21" s="2" t="s">
        <v>645</v>
      </c>
      <c r="B21" s="5" t="s">
        <v>646</v>
      </c>
      <c r="C21" s="17" t="n">
        <f aca="false">Historical_Drivers!$O$24/1000</f>
        <v>102.778</v>
      </c>
      <c r="D21" s="17" t="n">
        <f aca="false">Historical_Drivers!$P$24/1000</f>
        <v>52.344</v>
      </c>
      <c r="E21" s="17" t="n">
        <f aca="false">Historical_Drivers!$C$69*Historical_Drivers!$C$68*E20/Opex!E16</f>
        <v>73.1595409524635</v>
      </c>
      <c r="F21" s="17" t="n">
        <f aca="false">Historical_Drivers!$C$69*(1-Historical_Drivers!$C$68)*F20/Opex!F16</f>
        <v>52.8350382865605</v>
      </c>
      <c r="G21" s="17" t="n">
        <f aca="false">L20*Assumptions!$D$11*Historical_Drivers!$C$61/(Historical_Drivers!$C$61+Historical_Drivers!$C$62+Historical_Drivers!$C$63+Historical_Drivers!$C$64)</f>
        <v>69.1749230001059</v>
      </c>
      <c r="H21" s="17" t="n">
        <f aca="false">L20*Assumptions!$D$11*Historical_Drivers!$C$62/(Historical_Drivers!$C$61+Historical_Drivers!$C$62+Historical_Drivers!$C$63+Historical_Drivers!$C$64)</f>
        <v>49.4278555231707</v>
      </c>
      <c r="I21" s="17" t="n">
        <f aca="false">L20*Assumptions!$D$11*Historical_Drivers!$C$63/(Historical_Drivers!$C$61+Historical_Drivers!$C$62+Historical_Drivers!$C$63+Historical_Drivers!$C$64)</f>
        <v>73.2638092833678</v>
      </c>
      <c r="J21" s="17" t="n">
        <f aca="false">L20*Assumptions!$D$11*Historical_Drivers!$C$64/(Historical_Drivers!$C$61+Historical_Drivers!$C$62+Historical_Drivers!$C$63+Historical_Drivers!$C$64)</f>
        <v>57.5383960279215</v>
      </c>
      <c r="K21" s="17" t="n">
        <f aca="false">SUM(C21:F21)</f>
        <v>281.116579239024</v>
      </c>
      <c r="L21" s="17" t="n">
        <f aca="false">SUM(G21:J21)</f>
        <v>249.404983834566</v>
      </c>
      <c r="M21" s="5" t="s">
        <v>647</v>
      </c>
    </row>
    <row r="22" customFormat="false" ht="15" hidden="false" customHeight="false" outlineLevel="0" collapsed="false">
      <c r="A22" s="10" t="s">
        <v>648</v>
      </c>
      <c r="B22" s="5" t="s">
        <v>603</v>
      </c>
      <c r="E22" s="32" t="s">
        <v>649</v>
      </c>
      <c r="F22" s="32" t="s">
        <v>649</v>
      </c>
    </row>
    <row r="23" customFormat="false" ht="15" hidden="false" customHeight="false" outlineLevel="0" collapsed="false">
      <c r="A23" s="10" t="s">
        <v>650</v>
      </c>
      <c r="B23" s="5" t="s">
        <v>256</v>
      </c>
      <c r="C23" s="31" t="n">
        <f aca="false">C21/C20</f>
        <v>2.09592756489997</v>
      </c>
      <c r="D23" s="31" t="n">
        <f aca="false">D21/D20</f>
        <v>0.856553755522828</v>
      </c>
      <c r="E23" s="31" t="n">
        <f aca="false">E21/E20</f>
        <v>1.05058432948667</v>
      </c>
      <c r="F23" s="31" t="n">
        <f aca="false">F21/F20</f>
        <v>0.784671112052202</v>
      </c>
      <c r="G23" s="31" t="n">
        <f aca="false">G21/G20</f>
        <v>0.996779482894937</v>
      </c>
      <c r="H23" s="31" t="n">
        <f aca="false">H21/H20</f>
        <v>0.754300383547818</v>
      </c>
      <c r="I23" s="31" t="n">
        <f aca="false">I21/I20</f>
        <v>1.19150366646362</v>
      </c>
      <c r="J23" s="31" t="n">
        <f aca="false">J21/J20</f>
        <v>1.0858359675115</v>
      </c>
      <c r="K23" s="31" t="n">
        <f aca="false">K21/K20</f>
        <v>1.13758038053636</v>
      </c>
      <c r="L23" s="31" t="n">
        <f aca="false">L21/L20</f>
        <v>1</v>
      </c>
    </row>
    <row r="24" customFormat="false" ht="15" hidden="false" customHeight="false" outlineLevel="0" collapsed="false">
      <c r="A24" s="10" t="s">
        <v>651</v>
      </c>
      <c r="B24" s="5" t="s">
        <v>652</v>
      </c>
      <c r="E24" s="17" t="n">
        <f aca="false">-Assumptions!$D$12/2</f>
        <v>-17.5</v>
      </c>
      <c r="F24" s="17" t="n">
        <f aca="false">-Assumptions!$D$12/2</f>
        <v>-17.5</v>
      </c>
      <c r="G24" s="17" t="n">
        <f aca="false">0*1</f>
        <v>0</v>
      </c>
      <c r="H24" s="17" t="n">
        <f aca="false">0*1</f>
        <v>0</v>
      </c>
      <c r="I24" s="17" t="n">
        <f aca="false">0*1</f>
        <v>0</v>
      </c>
      <c r="J24" s="17" t="n">
        <f aca="false">0*1</f>
        <v>0</v>
      </c>
      <c r="K24" s="17" t="n">
        <f aca="false">SUM(C24:F24)</f>
        <v>-35</v>
      </c>
      <c r="L24" s="17" t="n">
        <f aca="false">SUM(G24:J24)</f>
        <v>0</v>
      </c>
      <c r="M24" s="5" t="s">
        <v>653</v>
      </c>
    </row>
    <row r="25" customFormat="false" ht="15" hidden="false" customHeight="false" outlineLevel="0" collapsed="false">
      <c r="A25" s="10" t="s">
        <v>654</v>
      </c>
      <c r="B25" s="5" t="s">
        <v>256</v>
      </c>
      <c r="C25" s="17" t="n">
        <f aca="false">C21</f>
        <v>102.778</v>
      </c>
      <c r="D25" s="17" t="n">
        <f aca="false">D21</f>
        <v>52.344</v>
      </c>
      <c r="E25" s="17" t="n">
        <f aca="false">E21+E24</f>
        <v>55.6595409524635</v>
      </c>
      <c r="F25" s="17" t="n">
        <f aca="false">F21+F24</f>
        <v>35.3350382865605</v>
      </c>
      <c r="G25" s="17" t="n">
        <f aca="false">G21+G24</f>
        <v>69.1749230001059</v>
      </c>
      <c r="H25" s="17" t="n">
        <f aca="false">H21+H24</f>
        <v>49.4278555231707</v>
      </c>
      <c r="I25" s="17" t="n">
        <f aca="false">I21+I24</f>
        <v>73.2638092833678</v>
      </c>
      <c r="J25" s="17" t="n">
        <f aca="false">J21+J24</f>
        <v>57.5383960279215</v>
      </c>
      <c r="K25" s="17" t="n">
        <f aca="false">SUM(C25:F25)</f>
        <v>246.116579239024</v>
      </c>
      <c r="L25" s="17" t="n">
        <f aca="false">SUM(G25:J25)</f>
        <v>249.404983834566</v>
      </c>
      <c r="M25" s="5" t="s">
        <v>655</v>
      </c>
    </row>
    <row r="26" customFormat="false" ht="15" hidden="false" customHeight="false" outlineLevel="0" collapsed="false">
      <c r="A26" s="10" t="s">
        <v>656</v>
      </c>
      <c r="B26" s="5" t="s">
        <v>657</v>
      </c>
      <c r="E26" s="17" t="n">
        <f aca="false">-Assumptions!$D$15</f>
        <v>-0</v>
      </c>
      <c r="F26" s="17" t="n">
        <f aca="false">-Assumptions!$D$15</f>
        <v>-0</v>
      </c>
      <c r="G26" s="17" t="n">
        <f aca="false">-Assumptions!$D$15</f>
        <v>-0</v>
      </c>
      <c r="H26" s="17" t="n">
        <f aca="false">-Assumptions!$D$15</f>
        <v>-0</v>
      </c>
      <c r="I26" s="17" t="n">
        <f aca="false">-Assumptions!$D$15</f>
        <v>-0</v>
      </c>
      <c r="J26" s="17" t="n">
        <f aca="false">-Assumptions!$D$15</f>
        <v>-0</v>
      </c>
      <c r="K26" s="17" t="n">
        <f aca="false">SUM(C26:F26)</f>
        <v>0</v>
      </c>
      <c r="L26" s="17" t="n">
        <f aca="false">SUM(G26:J26)</f>
        <v>0</v>
      </c>
      <c r="M26" s="5" t="s">
        <v>658</v>
      </c>
    </row>
    <row r="27" customFormat="false" ht="15" hidden="false" customHeight="false" outlineLevel="0" collapsed="false">
      <c r="A27" s="10" t="s">
        <v>659</v>
      </c>
      <c r="B27" s="5" t="s">
        <v>660</v>
      </c>
      <c r="E27" s="17" t="n">
        <f aca="false">Assumptions!$D$16</f>
        <v>-6.4265</v>
      </c>
      <c r="F27" s="17" t="n">
        <f aca="false">Assumptions!$D$16</f>
        <v>-6.4265</v>
      </c>
      <c r="G27" s="17" t="n">
        <f aca="false">Assumptions!$D$16</f>
        <v>-6.4265</v>
      </c>
      <c r="H27" s="17" t="n">
        <f aca="false">Assumptions!$D$16</f>
        <v>-6.4265</v>
      </c>
      <c r="I27" s="17" t="n">
        <f aca="false">Assumptions!$D$16</f>
        <v>-6.4265</v>
      </c>
      <c r="J27" s="17" t="n">
        <f aca="false">Assumptions!$D$16</f>
        <v>-6.4265</v>
      </c>
      <c r="K27" s="17" t="n">
        <f aca="false">SUM(C27:F27)</f>
        <v>-12.853</v>
      </c>
      <c r="L27" s="17" t="n">
        <f aca="false">SUM(G27:J27)</f>
        <v>-25.706</v>
      </c>
    </row>
    <row r="28" customFormat="false" ht="15" hidden="false" customHeight="false" outlineLevel="0" collapsed="false">
      <c r="A28" s="10" t="s">
        <v>661</v>
      </c>
      <c r="B28" s="5" t="s">
        <v>256</v>
      </c>
      <c r="E28" s="17" t="n">
        <f aca="false">E21+E24+E26+E27</f>
        <v>49.2330409524635</v>
      </c>
      <c r="F28" s="17" t="n">
        <f aca="false">F21+F24+F26+F27</f>
        <v>28.9085382865605</v>
      </c>
      <c r="G28" s="17" t="n">
        <f aca="false">G21+G24+G26+G27</f>
        <v>62.7484230001059</v>
      </c>
      <c r="H28" s="17" t="n">
        <f aca="false">H21+H24+H26+H27</f>
        <v>43.0013555231707</v>
      </c>
      <c r="I28" s="17" t="n">
        <f aca="false">I21+I24+I26+I27</f>
        <v>66.8373092833678</v>
      </c>
      <c r="J28" s="17" t="n">
        <f aca="false">J21+J24+J26+J27</f>
        <v>51.1118960279215</v>
      </c>
    </row>
    <row r="29" customFormat="false" ht="15" hidden="false" customHeight="false" outlineLevel="0" collapsed="false">
      <c r="A29" s="2" t="s">
        <v>662</v>
      </c>
      <c r="B29" s="5" t="s">
        <v>663</v>
      </c>
      <c r="C29" s="17" t="n">
        <f aca="false">Historical_Drivers!$O$38/1000</f>
        <v>1212.276</v>
      </c>
      <c r="D29" s="17" t="n">
        <f aca="false">Historical_Drivers!$P$38/1000</f>
        <v>1072.755</v>
      </c>
      <c r="E29" s="17" t="n">
        <f aca="false">D29+E28</f>
        <v>1121.98804095246</v>
      </c>
      <c r="F29" s="17" t="n">
        <f aca="false">E29+F28</f>
        <v>1150.89657923902</v>
      </c>
      <c r="G29" s="17" t="n">
        <f aca="false">F29+G28</f>
        <v>1213.64500223913</v>
      </c>
      <c r="H29" s="17" t="n">
        <f aca="false">G29+H28</f>
        <v>1256.6463577623</v>
      </c>
      <c r="I29" s="17" t="n">
        <f aca="false">H29+I28</f>
        <v>1323.48366704567</v>
      </c>
      <c r="J29" s="17" t="n">
        <f aca="false">I29+J28</f>
        <v>1374.59556307359</v>
      </c>
      <c r="K29" s="17" t="n">
        <f aca="false">F29</f>
        <v>1150.89657923902</v>
      </c>
      <c r="L29" s="17" t="n">
        <f aca="false">J29</f>
        <v>1374.59556307359</v>
      </c>
      <c r="M29" s="5" t="s">
        <v>664</v>
      </c>
    </row>
    <row r="30" customFormat="false" ht="15" hidden="false" customHeight="false" outlineLevel="0" collapsed="false">
      <c r="A30" s="10" t="s">
        <v>665</v>
      </c>
      <c r="B30" s="5" t="s">
        <v>256</v>
      </c>
      <c r="K30" s="17" t="n">
        <f aca="false">K21-(Historical_Drivers!$C$42+Historical_Drivers!$C$43)/2</f>
        <v>-3.88342076097604</v>
      </c>
    </row>
    <row r="32" customFormat="false" ht="15" hidden="false" customHeight="false" outlineLevel="0" collapsed="false">
      <c r="A32" s="28" t="s">
        <v>598</v>
      </c>
    </row>
    <row r="33" customFormat="false" ht="15" hidden="false" customHeight="false" outlineLevel="0" collapsed="false">
      <c r="A33" s="6" t="s">
        <v>339</v>
      </c>
      <c r="B33" s="6" t="s">
        <v>47</v>
      </c>
      <c r="C33" s="6" t="s">
        <v>576</v>
      </c>
      <c r="D33" s="6" t="s">
        <v>577</v>
      </c>
      <c r="E33" s="6" t="s">
        <v>578</v>
      </c>
      <c r="F33" s="6" t="s">
        <v>579</v>
      </c>
      <c r="G33" s="6" t="s">
        <v>580</v>
      </c>
      <c r="H33" s="6" t="s">
        <v>581</v>
      </c>
      <c r="I33" s="6" t="s">
        <v>582</v>
      </c>
      <c r="J33" s="6" t="s">
        <v>583</v>
      </c>
      <c r="K33" s="6" t="s">
        <v>584</v>
      </c>
      <c r="L33" s="6" t="s">
        <v>585</v>
      </c>
      <c r="M33" s="6" t="s">
        <v>365</v>
      </c>
    </row>
    <row r="34" customFormat="false" ht="15" hidden="false" customHeight="false" outlineLevel="0" collapsed="false">
      <c r="A34" s="2" t="s">
        <v>140</v>
      </c>
      <c r="B34" s="5" t="s">
        <v>373</v>
      </c>
      <c r="C34" s="17" t="n">
        <f aca="false">Opex!C46</f>
        <v>49.037</v>
      </c>
      <c r="D34" s="17" t="n">
        <f aca="false">Opex!D46</f>
        <v>61.11</v>
      </c>
      <c r="E34" s="17" t="n">
        <f aca="false">Opex!E46</f>
        <v>62.931</v>
      </c>
      <c r="F34" s="17" t="n">
        <f aca="false">Opex!F46</f>
        <v>71.5358984774508</v>
      </c>
      <c r="G34" s="17" t="n">
        <f aca="false">Opex!G46</f>
        <v>78.7982823560855</v>
      </c>
      <c r="H34" s="17" t="n">
        <f aca="false">Opex!H46</f>
        <v>80.3537609765174</v>
      </c>
      <c r="I34" s="17" t="n">
        <f aca="false">Opex!I46</f>
        <v>81.0577912549197</v>
      </c>
      <c r="J34" s="17" t="n">
        <f aca="false">Opex!J46</f>
        <v>83.1087469109706</v>
      </c>
      <c r="K34" s="17" t="n">
        <f aca="false">Opex!K46</f>
        <v>244.613898477451</v>
      </c>
      <c r="L34" s="17" t="n">
        <f aca="false">Opex!L46</f>
        <v>323.318581498493</v>
      </c>
    </row>
    <row r="35" customFormat="false" ht="15" hidden="false" customHeight="false" outlineLevel="0" collapsed="false">
      <c r="A35" s="2" t="s">
        <v>645</v>
      </c>
      <c r="B35" s="5" t="s">
        <v>646</v>
      </c>
      <c r="C35" s="17" t="n">
        <f aca="false">Historical_Drivers!$O$24/1000</f>
        <v>102.778</v>
      </c>
      <c r="D35" s="17" t="n">
        <f aca="false">Historical_Drivers!$P$24/1000</f>
        <v>52.344</v>
      </c>
      <c r="E35" s="17" t="n">
        <f aca="false">Historical_Drivers!$C$69*Historical_Drivers!$C$68*E34/Opex!E16</f>
        <v>66.1143224389258</v>
      </c>
      <c r="F35" s="17" t="n">
        <f aca="false">Historical_Drivers!$C$69*(1-Historical_Drivers!$C$68)*F34/Opex!F16</f>
        <v>56.1321530099547</v>
      </c>
      <c r="G35" s="17" t="n">
        <f aca="false">L34*Assumptions!$C$11*Historical_Drivers!$C$61/(Historical_Drivers!$C$61+Historical_Drivers!$C$62+Historical_Drivers!$C$63+Historical_Drivers!$C$64)</f>
        <v>110.300970301506</v>
      </c>
      <c r="H35" s="17" t="n">
        <f aca="false">L34*Assumptions!$C$11*Historical_Drivers!$C$62/(Historical_Drivers!$C$61+Historical_Drivers!$C$62+Historical_Drivers!$C$63+Historical_Drivers!$C$64)</f>
        <v>78.8138271454239</v>
      </c>
      <c r="I35" s="17" t="n">
        <f aca="false">L34*Assumptions!$C$11*Historical_Drivers!$C$63/(Historical_Drivers!$C$61+Historical_Drivers!$C$62+Historical_Drivers!$C$63+Historical_Drivers!$C$64)</f>
        <v>116.820791429396</v>
      </c>
      <c r="J35" s="17" t="n">
        <f aca="false">L34*Assumptions!$C$11*Historical_Drivers!$C$64/(Historical_Drivers!$C$61+Historical_Drivers!$C$62+Historical_Drivers!$C$63+Historical_Drivers!$C$64)</f>
        <v>91.7462663668209</v>
      </c>
      <c r="K35" s="17" t="n">
        <f aca="false">SUM(C35:F35)</f>
        <v>277.368475448881</v>
      </c>
      <c r="L35" s="17" t="n">
        <f aca="false">SUM(G35:J35)</f>
        <v>397.681855243147</v>
      </c>
      <c r="M35" s="5" t="s">
        <v>647</v>
      </c>
    </row>
    <row r="36" customFormat="false" ht="15" hidden="false" customHeight="false" outlineLevel="0" collapsed="false">
      <c r="A36" s="10" t="s">
        <v>648</v>
      </c>
      <c r="B36" s="5" t="s">
        <v>603</v>
      </c>
      <c r="E36" s="32" t="s">
        <v>649</v>
      </c>
      <c r="F36" s="32" t="s">
        <v>649</v>
      </c>
    </row>
    <row r="37" customFormat="false" ht="15" hidden="false" customHeight="false" outlineLevel="0" collapsed="false">
      <c r="A37" s="10" t="s">
        <v>650</v>
      </c>
      <c r="B37" s="5" t="s">
        <v>256</v>
      </c>
      <c r="C37" s="31" t="n">
        <f aca="false">C35/C34</f>
        <v>2.09592756489997</v>
      </c>
      <c r="D37" s="31" t="n">
        <f aca="false">D35/D34</f>
        <v>0.856553755522828</v>
      </c>
      <c r="E37" s="31" t="n">
        <f aca="false">E35/E34</f>
        <v>1.05058432948667</v>
      </c>
      <c r="F37" s="31" t="n">
        <f aca="false">F35/F34</f>
        <v>0.784671112052202</v>
      </c>
      <c r="G37" s="31" t="n">
        <f aca="false">G35/G34</f>
        <v>1.39978901828166</v>
      </c>
      <c r="H37" s="31" t="n">
        <f aca="false">H35/H34</f>
        <v>0.980835572443915</v>
      </c>
      <c r="I37" s="31" t="n">
        <f aca="false">I35/I34</f>
        <v>1.44120373403718</v>
      </c>
      <c r="J37" s="31" t="n">
        <f aca="false">J35/J34</f>
        <v>1.1039303295609</v>
      </c>
      <c r="K37" s="31" t="n">
        <f aca="false">K35/K34</f>
        <v>1.13390317220446</v>
      </c>
      <c r="L37" s="31" t="n">
        <f aca="false">L35/L34</f>
        <v>1.23</v>
      </c>
    </row>
    <row r="38" customFormat="false" ht="15" hidden="false" customHeight="false" outlineLevel="0" collapsed="false">
      <c r="A38" s="10" t="s">
        <v>651</v>
      </c>
      <c r="B38" s="5" t="s">
        <v>652</v>
      </c>
      <c r="E38" s="17" t="n">
        <f aca="false">-Assumptions!$C$12/2</f>
        <v>-16.25</v>
      </c>
      <c r="F38" s="17" t="n">
        <f aca="false">-Assumptions!$C$12/2</f>
        <v>-16.25</v>
      </c>
      <c r="G38" s="17" t="n">
        <f aca="false">0*1</f>
        <v>0</v>
      </c>
      <c r="H38" s="17" t="n">
        <f aca="false">0*1</f>
        <v>0</v>
      </c>
      <c r="I38" s="17" t="n">
        <f aca="false">0*1</f>
        <v>0</v>
      </c>
      <c r="J38" s="17" t="n">
        <f aca="false">0*1</f>
        <v>0</v>
      </c>
      <c r="K38" s="17" t="n">
        <f aca="false">SUM(C38:F38)</f>
        <v>-32.5</v>
      </c>
      <c r="L38" s="17" t="n">
        <f aca="false">SUM(G38:J38)</f>
        <v>0</v>
      </c>
      <c r="M38" s="5" t="s">
        <v>653</v>
      </c>
    </row>
    <row r="39" customFormat="false" ht="15" hidden="false" customHeight="false" outlineLevel="0" collapsed="false">
      <c r="A39" s="10" t="s">
        <v>654</v>
      </c>
      <c r="B39" s="5" t="s">
        <v>256</v>
      </c>
      <c r="C39" s="17" t="n">
        <f aca="false">C35</f>
        <v>102.778</v>
      </c>
      <c r="D39" s="17" t="n">
        <f aca="false">D35</f>
        <v>52.344</v>
      </c>
      <c r="E39" s="17" t="n">
        <f aca="false">E35+E38</f>
        <v>49.8643224389258</v>
      </c>
      <c r="F39" s="17" t="n">
        <f aca="false">F35+F38</f>
        <v>39.8821530099547</v>
      </c>
      <c r="G39" s="17" t="n">
        <f aca="false">G35+G38</f>
        <v>110.300970301506</v>
      </c>
      <c r="H39" s="17" t="n">
        <f aca="false">H35+H38</f>
        <v>78.8138271454239</v>
      </c>
      <c r="I39" s="17" t="n">
        <f aca="false">I35+I38</f>
        <v>116.820791429396</v>
      </c>
      <c r="J39" s="17" t="n">
        <f aca="false">J35+J38</f>
        <v>91.7462663668209</v>
      </c>
      <c r="K39" s="17" t="n">
        <f aca="false">SUM(C39:F39)</f>
        <v>244.868475448881</v>
      </c>
      <c r="L39" s="17" t="n">
        <f aca="false">SUM(G39:J39)</f>
        <v>397.681855243147</v>
      </c>
      <c r="M39" s="5" t="s">
        <v>655</v>
      </c>
    </row>
    <row r="40" customFormat="false" ht="15" hidden="false" customHeight="false" outlineLevel="0" collapsed="false">
      <c r="A40" s="10" t="s">
        <v>656</v>
      </c>
      <c r="B40" s="5" t="s">
        <v>657</v>
      </c>
      <c r="E40" s="17" t="n">
        <f aca="false">-Assumptions!$C$15</f>
        <v>-0</v>
      </c>
      <c r="F40" s="17" t="n">
        <f aca="false">-Assumptions!$C$15</f>
        <v>-0</v>
      </c>
      <c r="G40" s="17" t="n">
        <f aca="false">-Assumptions!$C$15</f>
        <v>-0</v>
      </c>
      <c r="H40" s="17" t="n">
        <f aca="false">-Assumptions!$C$15</f>
        <v>-0</v>
      </c>
      <c r="I40" s="17" t="n">
        <f aca="false">-Assumptions!$C$15</f>
        <v>-0</v>
      </c>
      <c r="J40" s="17" t="n">
        <f aca="false">-Assumptions!$C$15</f>
        <v>-0</v>
      </c>
      <c r="K40" s="17" t="n">
        <f aca="false">SUM(C40:F40)</f>
        <v>0</v>
      </c>
      <c r="L40" s="17" t="n">
        <f aca="false">SUM(G40:J40)</f>
        <v>0</v>
      </c>
      <c r="M40" s="5" t="s">
        <v>658</v>
      </c>
    </row>
    <row r="41" customFormat="false" ht="15" hidden="false" customHeight="false" outlineLevel="0" collapsed="false">
      <c r="A41" s="10" t="s">
        <v>659</v>
      </c>
      <c r="B41" s="5" t="s">
        <v>660</v>
      </c>
      <c r="E41" s="17" t="n">
        <f aca="false">Assumptions!$C$16</f>
        <v>-6.4265</v>
      </c>
      <c r="F41" s="17" t="n">
        <f aca="false">Assumptions!$C$16</f>
        <v>-6.4265</v>
      </c>
      <c r="G41" s="17" t="n">
        <f aca="false">Assumptions!$C$16</f>
        <v>-6.4265</v>
      </c>
      <c r="H41" s="17" t="n">
        <f aca="false">Assumptions!$C$16</f>
        <v>-6.4265</v>
      </c>
      <c r="I41" s="17" t="n">
        <f aca="false">Assumptions!$C$16</f>
        <v>-6.4265</v>
      </c>
      <c r="J41" s="17" t="n">
        <f aca="false">Assumptions!$C$16</f>
        <v>-6.4265</v>
      </c>
      <c r="K41" s="17" t="n">
        <f aca="false">SUM(C41:F41)</f>
        <v>-12.853</v>
      </c>
      <c r="L41" s="17" t="n">
        <f aca="false">SUM(G41:J41)</f>
        <v>-25.706</v>
      </c>
    </row>
    <row r="42" customFormat="false" ht="15" hidden="false" customHeight="false" outlineLevel="0" collapsed="false">
      <c r="A42" s="10" t="s">
        <v>661</v>
      </c>
      <c r="B42" s="5" t="s">
        <v>256</v>
      </c>
      <c r="E42" s="17" t="n">
        <f aca="false">E35+E38+E40+E41</f>
        <v>43.4378224389258</v>
      </c>
      <c r="F42" s="17" t="n">
        <f aca="false">F35+F38+F40+F41</f>
        <v>33.4556530099547</v>
      </c>
      <c r="G42" s="17" t="n">
        <f aca="false">G35+G38+G40+G41</f>
        <v>103.874470301506</v>
      </c>
      <c r="H42" s="17" t="n">
        <f aca="false">H35+H38+H40+H41</f>
        <v>72.3873271454239</v>
      </c>
      <c r="I42" s="17" t="n">
        <f aca="false">I35+I38+I40+I41</f>
        <v>110.394291429396</v>
      </c>
      <c r="J42" s="17" t="n">
        <f aca="false">J35+J38+J40+J41</f>
        <v>85.3197663668209</v>
      </c>
    </row>
    <row r="43" customFormat="false" ht="15" hidden="false" customHeight="false" outlineLevel="0" collapsed="false">
      <c r="A43" s="2" t="s">
        <v>662</v>
      </c>
      <c r="B43" s="5" t="s">
        <v>663</v>
      </c>
      <c r="C43" s="17" t="n">
        <f aca="false">Historical_Drivers!$O$38/1000</f>
        <v>1212.276</v>
      </c>
      <c r="D43" s="17" t="n">
        <f aca="false">Historical_Drivers!$P$38/1000</f>
        <v>1072.755</v>
      </c>
      <c r="E43" s="17" t="n">
        <f aca="false">D43+E42</f>
        <v>1116.19282243893</v>
      </c>
      <c r="F43" s="17" t="n">
        <f aca="false">E43+F42</f>
        <v>1149.64847544888</v>
      </c>
      <c r="G43" s="17" t="n">
        <f aca="false">F43+G42</f>
        <v>1253.52294575039</v>
      </c>
      <c r="H43" s="17" t="n">
        <f aca="false">G43+H42</f>
        <v>1325.91027289581</v>
      </c>
      <c r="I43" s="17" t="n">
        <f aca="false">H43+I42</f>
        <v>1436.30456432521</v>
      </c>
      <c r="J43" s="17" t="n">
        <f aca="false">I43+J42</f>
        <v>1521.62433069203</v>
      </c>
      <c r="K43" s="17" t="n">
        <f aca="false">F43</f>
        <v>1149.64847544888</v>
      </c>
      <c r="L43" s="17" t="n">
        <f aca="false">J43</f>
        <v>1521.62433069203</v>
      </c>
      <c r="M43" s="5" t="s">
        <v>664</v>
      </c>
    </row>
    <row r="44" customFormat="false" ht="15" hidden="false" customHeight="false" outlineLevel="0" collapsed="false">
      <c r="A44" s="10" t="s">
        <v>665</v>
      </c>
      <c r="B44" s="5" t="s">
        <v>256</v>
      </c>
      <c r="K44" s="17" t="n">
        <f aca="false">K35-(Historical_Drivers!$C$42+Historical_Drivers!$C$43)/2</f>
        <v>-7.63152455111941</v>
      </c>
    </row>
    <row r="47" customFormat="false" ht="15" hidden="false" customHeight="false" outlineLevel="0" collapsed="false">
      <c r="A47" s="28" t="s">
        <v>666</v>
      </c>
    </row>
    <row r="48" customFormat="false" ht="35.05" hidden="false" customHeight="false" outlineLevel="0" collapsed="false">
      <c r="A48" s="6" t="s">
        <v>667</v>
      </c>
      <c r="B48" s="6" t="s">
        <v>47</v>
      </c>
      <c r="C48" s="6" t="s">
        <v>668</v>
      </c>
      <c r="D48" s="6" t="s">
        <v>669</v>
      </c>
      <c r="E48" s="6" t="s">
        <v>670</v>
      </c>
      <c r="F48" s="6" t="s">
        <v>365</v>
      </c>
    </row>
    <row r="49" customFormat="false" ht="15" hidden="false" customHeight="false" outlineLevel="0" collapsed="false">
      <c r="A49" s="10" t="s">
        <v>671</v>
      </c>
      <c r="B49" s="5" t="s">
        <v>672</v>
      </c>
      <c r="C49" s="17" t="n">
        <f aca="false">(Historical_Drivers!$C$24+Historical_Drivers!$D$24+Historical_Drivers!$E$24+Historical_Drivers!$F$24)/1000</f>
        <v>204.945</v>
      </c>
      <c r="D49" s="17" t="n">
        <f aca="false">(Historical_Drivers!$C$16+Historical_Drivers!$D$16+Historical_Drivers!$E$16+Historical_Drivers!$F$16)/1000</f>
        <v>61.601</v>
      </c>
      <c r="E49" s="31" t="n">
        <f aca="false">C49/D49</f>
        <v>3.32697521144137</v>
      </c>
    </row>
    <row r="50" customFormat="false" ht="15" hidden="false" customHeight="false" outlineLevel="0" collapsed="false">
      <c r="A50" s="10" t="s">
        <v>673</v>
      </c>
      <c r="B50" s="5" t="s">
        <v>672</v>
      </c>
      <c r="C50" s="17" t="n">
        <f aca="false">(Historical_Drivers!$G$24+Historical_Drivers!$H$24+Historical_Drivers!$I$24+Historical_Drivers!$J$24)/1000</f>
        <v>295.83</v>
      </c>
      <c r="D50" s="17" t="n">
        <f aca="false">(Historical_Drivers!$G$16+Historical_Drivers!$H$16+Historical_Drivers!$I$16+Historical_Drivers!$J$16)/1000</f>
        <v>132.383</v>
      </c>
      <c r="E50" s="31" t="n">
        <f aca="false">C50/D50</f>
        <v>2.23465248559105</v>
      </c>
    </row>
    <row r="51" customFormat="false" ht="15" hidden="false" customHeight="false" outlineLevel="0" collapsed="false">
      <c r="A51" s="10" t="s">
        <v>674</v>
      </c>
      <c r="B51" s="5" t="s">
        <v>672</v>
      </c>
      <c r="C51" s="17" t="n">
        <f aca="false">(Historical_Drivers!$K$24+Historical_Drivers!$L$24+Historical_Drivers!$M$24+Historical_Drivers!$N$24)/1000</f>
        <v>322.66</v>
      </c>
      <c r="D51" s="17" t="n">
        <f aca="false">(Historical_Drivers!$K$16+Historical_Drivers!$L$16+Historical_Drivers!$M$16+Historical_Drivers!$N$16)/1000</f>
        <v>175.263</v>
      </c>
      <c r="E51" s="31" t="n">
        <f aca="false">C51/D51</f>
        <v>1.84100466156576</v>
      </c>
    </row>
    <row r="52" customFormat="false" ht="15" hidden="false" customHeight="false" outlineLevel="0" collapsed="false">
      <c r="A52" s="10" t="s">
        <v>675</v>
      </c>
      <c r="B52" s="5" t="s">
        <v>256</v>
      </c>
      <c r="C52" s="17" t="n">
        <f aca="false">Cash_FCF!K7</f>
        <v>285</v>
      </c>
      <c r="D52" s="17" t="n">
        <f aca="false">Cash_FCF!K6</f>
        <v>252.067098200464</v>
      </c>
      <c r="E52" s="31" t="n">
        <f aca="false">C52/D52</f>
        <v>1.13065133067603</v>
      </c>
      <c r="F52" s="5" t="s">
        <v>676</v>
      </c>
    </row>
    <row r="53" customFormat="false" ht="15" hidden="false" customHeight="false" outlineLevel="0" collapsed="false">
      <c r="A53" s="10" t="s">
        <v>677</v>
      </c>
      <c r="B53" s="5" t="s">
        <v>256</v>
      </c>
      <c r="C53" s="17" t="n">
        <f aca="false">Cash_FCF!L7</f>
        <v>403.994160220858</v>
      </c>
      <c r="D53" s="17" t="n">
        <f aca="false">Cash_FCF!L6</f>
        <v>328.450536764925</v>
      </c>
      <c r="E53" s="31" t="n">
        <f aca="false">C53/D53</f>
        <v>1.23</v>
      </c>
      <c r="F53" s="5" t="s">
        <v>678</v>
      </c>
    </row>
    <row r="54" customFormat="false" ht="15" hidden="false" customHeight="false" outlineLevel="0" collapsed="false">
      <c r="A54" s="10" t="s">
        <v>679</v>
      </c>
      <c r="B54" s="5" t="s">
        <v>256</v>
      </c>
      <c r="C54" s="17" t="n">
        <f aca="false">Cash_FCF!L21</f>
        <v>249.404983834566</v>
      </c>
      <c r="D54" s="17" t="n">
        <f aca="false">Cash_FCF!L20</f>
        <v>249.404983834566</v>
      </c>
      <c r="E54" s="31" t="n">
        <f aca="false">C54/D54</f>
        <v>1</v>
      </c>
      <c r="F54" s="5" t="s">
        <v>680</v>
      </c>
    </row>
    <row r="55" customFormat="false" ht="15" hidden="false" customHeight="false" outlineLevel="0" collapsed="false">
      <c r="A55" s="10" t="s">
        <v>681</v>
      </c>
      <c r="B55" s="5" t="s">
        <v>256</v>
      </c>
      <c r="C55" s="17" t="n">
        <f aca="false">(Historical_Drivers!$C$42+Historical_Drivers!$C$43)/2</f>
        <v>285</v>
      </c>
      <c r="D55" s="17" t="n">
        <f aca="false">(Historical_Drivers!$C$44+Historical_Drivers!$C$45)/2</f>
        <v>232</v>
      </c>
      <c r="E55" s="31" t="n">
        <f aca="false">C55/D55</f>
        <v>1.22844827586207</v>
      </c>
    </row>
    <row r="56" customFormat="false" ht="55.5" hidden="false" customHeight="true" outlineLevel="0" collapsed="false">
      <c r="A56" s="19" t="s">
        <v>682</v>
      </c>
      <c r="B56" s="19"/>
      <c r="C56" s="19"/>
      <c r="D56" s="19"/>
      <c r="E56" s="19"/>
      <c r="F56" s="19"/>
      <c r="G56" s="19"/>
      <c r="H56" s="19"/>
      <c r="I56" s="19"/>
      <c r="J56" s="19"/>
      <c r="K56" s="19"/>
      <c r="L56" s="19"/>
      <c r="M56" s="19"/>
    </row>
    <row r="58" customFormat="false" ht="15" hidden="false" customHeight="false" outlineLevel="0" collapsed="false">
      <c r="A58" s="28" t="s">
        <v>683</v>
      </c>
    </row>
    <row r="59" customFormat="false" ht="23.85" hidden="false" customHeight="false" outlineLevel="0" collapsed="false">
      <c r="A59" s="6" t="s">
        <v>684</v>
      </c>
      <c r="B59" s="6" t="s">
        <v>47</v>
      </c>
      <c r="C59" s="6" t="s">
        <v>670</v>
      </c>
      <c r="D59" s="6" t="s">
        <v>685</v>
      </c>
      <c r="E59" s="6" t="s">
        <v>686</v>
      </c>
      <c r="F59" s="6" t="s">
        <v>365</v>
      </c>
    </row>
    <row r="60" customFormat="false" ht="15" hidden="false" customHeight="false" outlineLevel="0" collapsed="false">
      <c r="A60" s="10" t="s">
        <v>687</v>
      </c>
      <c r="B60" s="5" t="s">
        <v>256</v>
      </c>
      <c r="C60" s="31" t="n">
        <f aca="false">Assumptions!$C$11</f>
        <v>1.23</v>
      </c>
      <c r="D60" s="17" t="n">
        <f aca="false">C60*Cash_FCF!L6</f>
        <v>403.994160220858</v>
      </c>
      <c r="E60" s="17" t="n">
        <f aca="false">D60-Cash_FCF!L7</f>
        <v>0</v>
      </c>
      <c r="F60" s="5" t="s">
        <v>688</v>
      </c>
    </row>
    <row r="61" customFormat="false" ht="15" hidden="false" customHeight="false" outlineLevel="0" collapsed="false">
      <c r="A61" s="10" t="s">
        <v>689</v>
      </c>
      <c r="B61" s="5" t="s">
        <v>256</v>
      </c>
      <c r="C61" s="31" t="n">
        <f aca="false">E52</f>
        <v>1.13065133067603</v>
      </c>
      <c r="D61" s="17" t="n">
        <f aca="false">C61*Cash_FCF!L6</f>
        <v>371.363036454519</v>
      </c>
      <c r="E61" s="17" t="n">
        <f aca="false">D61-Cash_FCF!L7</f>
        <v>-32.6311237663389</v>
      </c>
      <c r="F61" s="5" t="s">
        <v>690</v>
      </c>
    </row>
    <row r="62" customFormat="false" ht="15" hidden="false" customHeight="false" outlineLevel="0" collapsed="false">
      <c r="A62" s="10" t="s">
        <v>691</v>
      </c>
      <c r="B62" s="5" t="s">
        <v>256</v>
      </c>
      <c r="C62" s="31" t="n">
        <f aca="false">Assumptions!$D$11</f>
        <v>1</v>
      </c>
      <c r="D62" s="17" t="n">
        <f aca="false">C62*Cash_FCF!L6</f>
        <v>328.450536764925</v>
      </c>
      <c r="E62" s="17" t="n">
        <f aca="false">D62-Cash_FCF!L7</f>
        <v>-75.5436234559329</v>
      </c>
      <c r="F62" s="5"/>
    </row>
  </sheetData>
  <mergeCells count="1">
    <mergeCell ref="A56:M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9" min="2" style="0" width="13"/>
    <col collapsed="false" customWidth="true" hidden="false" outlineLevel="0" max="10" min="10" style="0" width="30"/>
  </cols>
  <sheetData>
    <row r="1" customFormat="false" ht="16.15" hidden="false" customHeight="false" outlineLevel="0" collapsed="false">
      <c r="A1" s="4" t="s">
        <v>692</v>
      </c>
    </row>
    <row r="2" customFormat="false" ht="15" hidden="false" customHeight="false" outlineLevel="0" collapsed="false">
      <c r="A2" s="5" t="s">
        <v>693</v>
      </c>
    </row>
    <row r="4" customFormat="false" ht="23.85" hidden="false" customHeight="false" outlineLevel="0" collapsed="false">
      <c r="A4" s="6" t="s">
        <v>46</v>
      </c>
      <c r="B4" s="6" t="s">
        <v>694</v>
      </c>
      <c r="C4" s="6" t="s">
        <v>695</v>
      </c>
      <c r="D4" s="6" t="s">
        <v>696</v>
      </c>
      <c r="E4" s="6" t="s">
        <v>697</v>
      </c>
      <c r="F4" s="6" t="s">
        <v>698</v>
      </c>
      <c r="G4" s="6" t="s">
        <v>699</v>
      </c>
      <c r="H4" s="6" t="s">
        <v>47</v>
      </c>
    </row>
    <row r="5" customFormat="false" ht="15" hidden="false" customHeight="false" outlineLevel="0" collapsed="false">
      <c r="A5" s="10" t="s">
        <v>62</v>
      </c>
      <c r="B5" s="17" t="n">
        <f aca="false">Revenue_Build!K7</f>
        <v>1489.17464261596</v>
      </c>
      <c r="C5" s="17" t="n">
        <f aca="false">Revenue_Build!L7</f>
        <v>1706.1850452186</v>
      </c>
      <c r="D5" s="17" t="n">
        <f aca="false">Revenue_Build!K16</f>
        <v>1484.25567065863</v>
      </c>
      <c r="E5" s="17" t="n">
        <f aca="false">Revenue_Build!L16</f>
        <v>1626.48191963442</v>
      </c>
      <c r="F5" s="17" t="n">
        <f aca="false">Revenue_Build!K25</f>
        <v>1481.1810580304</v>
      </c>
      <c r="G5" s="17" t="n">
        <f aca="false">Revenue_Build!L25</f>
        <v>1679.48043086325</v>
      </c>
      <c r="H5" s="5" t="s">
        <v>700</v>
      </c>
    </row>
    <row r="6" customFormat="false" ht="15" hidden="false" customHeight="false" outlineLevel="0" collapsed="false">
      <c r="A6" s="10" t="s">
        <v>590</v>
      </c>
      <c r="B6" s="12" t="n">
        <f aca="false">Revenue_Build!K8</f>
        <v>0.208748594855309</v>
      </c>
      <c r="C6" s="12" t="n">
        <f aca="false">Revenue_Build!L8</f>
        <v>0.145725287278218</v>
      </c>
      <c r="D6" s="12" t="n">
        <f aca="false">Revenue_Build!K17</f>
        <v>0.204755913089584</v>
      </c>
      <c r="E6" s="12" t="n">
        <f aca="false">Revenue_Build!L17</f>
        <v>0.0958232815190685</v>
      </c>
      <c r="F6" s="12" t="n">
        <f aca="false">Revenue_Build!K26</f>
        <v>0.202260279879249</v>
      </c>
      <c r="G6" s="12" t="n">
        <f aca="false">Revenue_Build!L26</f>
        <v>0.133879225471965</v>
      </c>
      <c r="H6" s="5" t="s">
        <v>700</v>
      </c>
    </row>
    <row r="7" customFormat="false" ht="15" hidden="false" customHeight="false" outlineLevel="0" collapsed="false">
      <c r="A7" s="10" t="s">
        <v>140</v>
      </c>
      <c r="B7" s="17" t="n">
        <f aca="false">Opex!K16</f>
        <v>252.067098200464</v>
      </c>
      <c r="C7" s="17" t="n">
        <f aca="false">Opex!L16</f>
        <v>328.450536764925</v>
      </c>
      <c r="D7" s="17" t="n">
        <f aca="false">Opex!K31</f>
        <v>247.117991878938</v>
      </c>
      <c r="E7" s="17" t="n">
        <f aca="false">Opex!L31</f>
        <v>249.404983834566</v>
      </c>
      <c r="F7" s="17" t="n">
        <f aca="false">Opex!K46</f>
        <v>244.613898477451</v>
      </c>
      <c r="G7" s="17" t="n">
        <f aca="false">Opex!L46</f>
        <v>323.318581498493</v>
      </c>
      <c r="H7" s="5" t="s">
        <v>700</v>
      </c>
    </row>
    <row r="8" customFormat="false" ht="15" hidden="false" customHeight="false" outlineLevel="0" collapsed="false">
      <c r="A8" s="10" t="s">
        <v>258</v>
      </c>
      <c r="B8" s="12" t="n">
        <f aca="false">Opex!K17</f>
        <v>0.169266311006794</v>
      </c>
      <c r="C8" s="12" t="n">
        <f aca="false">Opex!L17</f>
        <v>0.192505811538656</v>
      </c>
      <c r="D8" s="12" t="n">
        <f aca="false">Opex!K32</f>
        <v>0.166492873676731</v>
      </c>
      <c r="E8" s="12" t="n">
        <f aca="false">Opex!L32</f>
        <v>0.153340151417498</v>
      </c>
      <c r="F8" s="12" t="n">
        <f aca="false">Opex!K47</f>
        <v>0.165147871120312</v>
      </c>
      <c r="G8" s="12" t="n">
        <f aca="false">Opex!L47</f>
        <v>0.192511073994657</v>
      </c>
      <c r="H8" s="5" t="s">
        <v>700</v>
      </c>
    </row>
    <row r="9" customFormat="false" ht="15" hidden="false" customHeight="false" outlineLevel="0" collapsed="false">
      <c r="A9" s="10" t="s">
        <v>155</v>
      </c>
      <c r="B9" s="17" t="n">
        <f aca="false">PnL!K15</f>
        <v>28.9347907257884</v>
      </c>
      <c r="C9" s="17" t="n">
        <f aca="false">PnL!L15</f>
        <v>149.301107016972</v>
      </c>
      <c r="D9" s="17" t="n">
        <f aca="false">PnL!K30</f>
        <v>24.5021764597823</v>
      </c>
      <c r="E9" s="17" t="n">
        <f aca="false">PnL!L30</f>
        <v>78.6243822729514</v>
      </c>
      <c r="F9" s="17" t="n">
        <f aca="false">PnL!K45</f>
        <v>22.3209173842593</v>
      </c>
      <c r="G9" s="17" t="n">
        <f aca="false">PnL!L45</f>
        <v>146.973136257852</v>
      </c>
      <c r="H9" s="5" t="s">
        <v>700</v>
      </c>
    </row>
    <row r="10" customFormat="false" ht="15" hidden="false" customHeight="false" outlineLevel="0" collapsed="false">
      <c r="A10" s="10" t="s">
        <v>701</v>
      </c>
      <c r="B10" s="17" t="n">
        <f aca="false">Cash_FCF!K7</f>
        <v>285</v>
      </c>
      <c r="C10" s="17" t="n">
        <f aca="false">Cash_FCF!L7</f>
        <v>403.994160220858</v>
      </c>
      <c r="D10" s="17" t="n">
        <f aca="false">Cash_FCF!K21</f>
        <v>281.116579239024</v>
      </c>
      <c r="E10" s="17" t="n">
        <f aca="false">Cash_FCF!L21</f>
        <v>249.404983834566</v>
      </c>
      <c r="F10" s="17" t="n">
        <f aca="false">Cash_FCF!K35</f>
        <v>277.368475448881</v>
      </c>
      <c r="G10" s="17" t="n">
        <f aca="false">Cash_FCF!L35</f>
        <v>397.681855243147</v>
      </c>
      <c r="H10" s="5" t="s">
        <v>700</v>
      </c>
    </row>
    <row r="11" customFormat="false" ht="15" hidden="false" customHeight="false" outlineLevel="0" collapsed="false">
      <c r="A11" s="10" t="s">
        <v>702</v>
      </c>
      <c r="B11" s="17" t="n">
        <f aca="false">Cash_FCF!K11</f>
        <v>252.5</v>
      </c>
      <c r="C11" s="17" t="n">
        <f aca="false">Cash_FCF!L11</f>
        <v>403.994160220858</v>
      </c>
      <c r="D11" s="17" t="n">
        <f aca="false">Cash_FCF!K25</f>
        <v>246.116579239024</v>
      </c>
      <c r="E11" s="17" t="n">
        <f aca="false">Cash_FCF!L25</f>
        <v>249.404983834566</v>
      </c>
      <c r="F11" s="17" t="n">
        <f aca="false">Cash_FCF!K39</f>
        <v>244.868475448881</v>
      </c>
      <c r="G11" s="17" t="n">
        <f aca="false">Cash_FCF!L39</f>
        <v>397.681855243147</v>
      </c>
      <c r="H11" s="5" t="s">
        <v>700</v>
      </c>
    </row>
    <row r="12" customFormat="false" ht="15" hidden="false" customHeight="false" outlineLevel="0" collapsed="false">
      <c r="A12" s="10" t="s">
        <v>703</v>
      </c>
      <c r="B12" s="17" t="n">
        <f aca="false">Cash_FCF!K15</f>
        <v>1157.28</v>
      </c>
      <c r="C12" s="17" t="n">
        <f aca="false">Cash_FCF!L15</f>
        <v>1535.56816022086</v>
      </c>
      <c r="D12" s="17" t="n">
        <f aca="false">Cash_FCF!K29</f>
        <v>1150.89657923902</v>
      </c>
      <c r="E12" s="17" t="n">
        <f aca="false">Cash_FCF!L29</f>
        <v>1374.59556307359</v>
      </c>
      <c r="F12" s="17" t="n">
        <f aca="false">Cash_FCF!K43</f>
        <v>1149.64847544888</v>
      </c>
      <c r="G12" s="17" t="n">
        <f aca="false">Cash_FCF!L43</f>
        <v>1521.62433069203</v>
      </c>
      <c r="H12" s="5" t="s">
        <v>700</v>
      </c>
    </row>
    <row r="14" customFormat="false" ht="15" hidden="false" customHeight="false" outlineLevel="0" collapsed="false">
      <c r="A14" s="2" t="s">
        <v>704</v>
      </c>
    </row>
    <row r="15" customFormat="false" ht="15" hidden="false" customHeight="false" outlineLevel="0" collapsed="false">
      <c r="A15" s="6" t="s">
        <v>705</v>
      </c>
      <c r="B15" s="6" t="s">
        <v>266</v>
      </c>
      <c r="C15" s="6" t="s">
        <v>47</v>
      </c>
      <c r="D15" s="6" t="s">
        <v>706</v>
      </c>
    </row>
    <row r="16" customFormat="false" ht="15" hidden="false" customHeight="false" outlineLevel="0" collapsed="false">
      <c r="A16" s="10" t="s">
        <v>707</v>
      </c>
      <c r="B16" s="17" t="n">
        <f aca="false">Opex!L16</f>
        <v>328.450536764925</v>
      </c>
      <c r="C16" s="5" t="s">
        <v>256</v>
      </c>
      <c r="D16" s="5"/>
    </row>
    <row r="17" customFormat="false" ht="15" hidden="false" customHeight="false" outlineLevel="0" collapsed="false">
      <c r="A17" s="10" t="s">
        <v>708</v>
      </c>
      <c r="B17" s="17" t="n">
        <f aca="false">(Revenue_Build!L16-Revenue_Build!L7)*Opex!L7/Revenue_Build!L7</f>
        <v>-70.5109572806265</v>
      </c>
      <c r="C17" s="5" t="s">
        <v>256</v>
      </c>
      <c r="D17" s="5" t="s">
        <v>709</v>
      </c>
    </row>
    <row r="18" customFormat="false" ht="15" hidden="false" customHeight="false" outlineLevel="0" collapsed="false">
      <c r="A18" s="10" t="s">
        <v>710</v>
      </c>
      <c r="B18" s="17" t="n">
        <f aca="false">Revenue_Build!L16*(Opex!L22/Revenue_Build!L16-Opex!L7/Revenue_Build!L7)</f>
        <v>-8.53459564973293</v>
      </c>
      <c r="C18" s="5" t="s">
        <v>256</v>
      </c>
      <c r="D18" s="5" t="s">
        <v>711</v>
      </c>
    </row>
    <row r="19" customFormat="false" ht="15" hidden="false" customHeight="false" outlineLevel="0" collapsed="false">
      <c r="A19" s="10" t="s">
        <v>712</v>
      </c>
      <c r="B19" s="17" t="n">
        <f aca="false">-(Opex!L30-Opex!L15)</f>
        <v>-0</v>
      </c>
      <c r="C19" s="5" t="s">
        <v>256</v>
      </c>
      <c r="D19" s="5" t="s">
        <v>713</v>
      </c>
    </row>
    <row r="20" customFormat="false" ht="15" hidden="false" customHeight="false" outlineLevel="0" collapsed="false">
      <c r="A20" s="10" t="s">
        <v>714</v>
      </c>
      <c r="B20" s="17" t="n">
        <f aca="false">B16+B17+B18+B19</f>
        <v>249.404983834566</v>
      </c>
      <c r="C20" s="5" t="s">
        <v>256</v>
      </c>
      <c r="D20" s="5" t="s">
        <v>715</v>
      </c>
    </row>
    <row r="21" customFormat="false" ht="15" hidden="false" customHeight="false" outlineLevel="0" collapsed="false">
      <c r="A21" s="10" t="s">
        <v>716</v>
      </c>
      <c r="B21" s="17" t="n">
        <f aca="false">B20-Opex!L31</f>
        <v>0</v>
      </c>
      <c r="C21" s="5" t="s">
        <v>256</v>
      </c>
    </row>
    <row r="23" customFormat="false" ht="15" hidden="false" customHeight="false" outlineLevel="0" collapsed="false">
      <c r="A23" s="2" t="s">
        <v>717</v>
      </c>
    </row>
    <row r="24" customFormat="false" ht="15" hidden="false" customHeight="false" outlineLevel="0" collapsed="false">
      <c r="A24" s="10" t="s">
        <v>718</v>
      </c>
      <c r="B24" s="17" t="n">
        <f aca="false">Cash_FCF!L7</f>
        <v>403.994160220858</v>
      </c>
      <c r="C24" s="5" t="s">
        <v>256</v>
      </c>
    </row>
    <row r="25" customFormat="false" ht="15" hidden="false" customHeight="false" outlineLevel="0" collapsed="false">
      <c r="A25" s="10" t="s">
        <v>719</v>
      </c>
      <c r="B25" s="17" t="n">
        <f aca="false">(Opex!L31-Opex!L16)*Assumptions!$C$11</f>
        <v>-97.2260301043421</v>
      </c>
      <c r="C25" s="5" t="s">
        <v>256</v>
      </c>
    </row>
    <row r="26" customFormat="false" ht="15" hidden="false" customHeight="false" outlineLevel="0" collapsed="false">
      <c r="A26" s="10" t="s">
        <v>720</v>
      </c>
      <c r="B26" s="17" t="n">
        <f aca="false">Opex!L31*(Assumptions!$D$11-Assumptions!$C$11)</f>
        <v>-57.3631462819502</v>
      </c>
      <c r="C26" s="5" t="s">
        <v>256</v>
      </c>
    </row>
    <row r="27" customFormat="false" ht="15" hidden="false" customHeight="false" outlineLevel="0" collapsed="false">
      <c r="A27" s="10" t="s">
        <v>721</v>
      </c>
      <c r="B27" s="17" t="n">
        <f aca="false">B24+B25+B26</f>
        <v>249.404983834566</v>
      </c>
      <c r="C27" s="5" t="s">
        <v>256</v>
      </c>
    </row>
    <row r="28" customFormat="false" ht="15" hidden="false" customHeight="false" outlineLevel="0" collapsed="false">
      <c r="A28" s="10" t="s">
        <v>722</v>
      </c>
      <c r="B28" s="17" t="n">
        <f aca="false">B27-Cash_FCF!L21</f>
        <v>0</v>
      </c>
      <c r="C28" s="5" t="s">
        <v>256</v>
      </c>
    </row>
    <row r="30" customFormat="false" ht="15" hidden="false" customHeight="false" outlineLevel="0" collapsed="false">
      <c r="A30" s="2" t="s">
        <v>723</v>
      </c>
    </row>
    <row r="31" customFormat="false" ht="15" hidden="false" customHeight="false" outlineLevel="0" collapsed="false">
      <c r="A31" s="10" t="s">
        <v>724</v>
      </c>
      <c r="B31" s="17" t="n">
        <f aca="false">Revenue_Build!L25-Revenue_Build!L7</f>
        <v>-26.704614355353</v>
      </c>
      <c r="C31" s="5" t="s">
        <v>256</v>
      </c>
    </row>
    <row r="32" customFormat="false" ht="15" hidden="false" customHeight="false" outlineLevel="0" collapsed="false">
      <c r="A32" s="10" t="s">
        <v>725</v>
      </c>
      <c r="B32" s="17" t="n">
        <f aca="false">Opex!L46-Opex!L16</f>
        <v>-5.13195526643199</v>
      </c>
      <c r="C32" s="5" t="s">
        <v>256</v>
      </c>
    </row>
    <row r="33" customFormat="false" ht="15" hidden="false" customHeight="false" outlineLevel="0" collapsed="false">
      <c r="A33" s="10" t="s">
        <v>726</v>
      </c>
      <c r="B33" s="17" t="n">
        <f aca="false">Cash_FCF!L35-Cash_FCF!L7</f>
        <v>-6.31230497771139</v>
      </c>
      <c r="C33" s="5" t="s">
        <v>256</v>
      </c>
    </row>
    <row r="34" customFormat="false" ht="15" hidden="false" customHeight="false" outlineLevel="0" collapsed="false">
      <c r="A34" s="10" t="s">
        <v>727</v>
      </c>
      <c r="B34" s="17" t="n">
        <f aca="false">Cash_FCF!L43-Cash_FCF!L15</f>
        <v>-13.9438295288305</v>
      </c>
      <c r="C34" s="5" t="s">
        <v>256</v>
      </c>
    </row>
    <row r="35" customFormat="false" ht="15" hidden="false" customHeight="false" outlineLevel="0" collapsed="false">
      <c r="A35" s="10" t="s">
        <v>728</v>
      </c>
      <c r="B35" s="25" t="n">
        <f aca="false">(Opex!L47-Opex!L17)*100</f>
        <v>0.000526245600107611</v>
      </c>
      <c r="C35" s="5" t="s">
        <v>256</v>
      </c>
    </row>
    <row r="37" customFormat="false" ht="15" hidden="false" customHeight="false" outlineLevel="0" collapsed="false">
      <c r="A37" s="2" t="s">
        <v>729</v>
      </c>
    </row>
    <row r="38" customFormat="false" ht="35.05" hidden="false" customHeight="false" outlineLevel="0" collapsed="false">
      <c r="A38" s="6" t="s">
        <v>730</v>
      </c>
      <c r="B38" s="6" t="s">
        <v>731</v>
      </c>
      <c r="C38" s="6" t="s">
        <v>732</v>
      </c>
      <c r="D38" s="6" t="s">
        <v>733</v>
      </c>
      <c r="E38" s="6" t="s">
        <v>694</v>
      </c>
      <c r="F38" s="6" t="s">
        <v>734</v>
      </c>
      <c r="G38" s="6" t="s">
        <v>735</v>
      </c>
      <c r="H38" s="6" t="s">
        <v>47</v>
      </c>
    </row>
    <row r="39" customFormat="false" ht="15" hidden="false" customHeight="false" outlineLevel="0" collapsed="false">
      <c r="A39" s="10" t="s">
        <v>62</v>
      </c>
      <c r="B39" s="17" t="n">
        <f aca="false">Historical_Drivers!$C$46</f>
        <v>1466</v>
      </c>
      <c r="C39" s="17" t="n">
        <f aca="false">(B39+D39)/2</f>
        <v>1470</v>
      </c>
      <c r="D39" s="17" t="n">
        <f aca="false">Historical_Drivers!$C$47</f>
        <v>1474</v>
      </c>
      <c r="E39" s="17" t="n">
        <f aca="false">Revenue_Build!K7</f>
        <v>1489.17464261596</v>
      </c>
      <c r="F39" s="17" t="n">
        <f aca="false">E39-C39</f>
        <v>19.1746426159561</v>
      </c>
      <c r="G39" s="17" t="n">
        <f aca="false">E39-D39</f>
        <v>15.1746426159561</v>
      </c>
      <c r="H39" s="5" t="s">
        <v>700</v>
      </c>
    </row>
    <row r="40" customFormat="false" ht="15" hidden="false" customHeight="false" outlineLevel="0" collapsed="false">
      <c r="A40" s="10" t="s">
        <v>22</v>
      </c>
      <c r="B40" s="17" t="n">
        <f aca="false">Historical_Drivers!$C$44</f>
        <v>230</v>
      </c>
      <c r="C40" s="17" t="n">
        <f aca="false">(B40+D40)/2</f>
        <v>232</v>
      </c>
      <c r="D40" s="17" t="n">
        <f aca="false">Historical_Drivers!$C$45</f>
        <v>234</v>
      </c>
      <c r="E40" s="17" t="n">
        <f aca="false">Opex!K16</f>
        <v>252.067098200464</v>
      </c>
      <c r="F40" s="17" t="n">
        <f aca="false">E40-C40</f>
        <v>20.0670982004638</v>
      </c>
      <c r="G40" s="17" t="n">
        <f aca="false">E40-D40</f>
        <v>18.0670982004638</v>
      </c>
      <c r="H40" s="5" t="s">
        <v>700</v>
      </c>
    </row>
    <row r="41" customFormat="false" ht="15" hidden="false" customHeight="false" outlineLevel="0" collapsed="false">
      <c r="A41" s="10" t="s">
        <v>736</v>
      </c>
      <c r="B41" s="17" t="n">
        <f aca="false">Historical_Drivers!$C$42</f>
        <v>280</v>
      </c>
      <c r="C41" s="17" t="n">
        <f aca="false">(B41+D41)/2</f>
        <v>285</v>
      </c>
      <c r="D41" s="17" t="n">
        <f aca="false">Historical_Drivers!$C$43</f>
        <v>290</v>
      </c>
      <c r="E41" s="17" t="n">
        <f aca="false">Cash_FCF!K7</f>
        <v>285</v>
      </c>
      <c r="F41" s="17" t="n">
        <f aca="false">E41-C41</f>
        <v>0</v>
      </c>
      <c r="G41" s="17" t="n">
        <f aca="false">E41-D41</f>
        <v>-5</v>
      </c>
      <c r="H41" s="5" t="s">
        <v>700</v>
      </c>
    </row>
    <row r="42" customFormat="false" ht="15" hidden="false" customHeight="false" outlineLevel="0" collapsed="false">
      <c r="A42" s="10" t="s">
        <v>702</v>
      </c>
      <c r="B42" s="17" t="n">
        <f aca="false">Historical_Drivers!$C$42</f>
        <v>280</v>
      </c>
      <c r="C42" s="17" t="n">
        <f aca="false">(B42+D42)/2</f>
        <v>285</v>
      </c>
      <c r="D42" s="17" t="n">
        <f aca="false">Historical_Drivers!$C$43</f>
        <v>290</v>
      </c>
      <c r="E42" s="17" t="n">
        <f aca="false">Cash_FCF!K11</f>
        <v>252.5</v>
      </c>
      <c r="F42" s="17" t="n">
        <f aca="false">E42-C42</f>
        <v>-32.5</v>
      </c>
      <c r="G42" s="17" t="n">
        <f aca="false">E42-D42</f>
        <v>-37.5</v>
      </c>
      <c r="H42" s="5" t="s">
        <v>700</v>
      </c>
    </row>
    <row r="44" customFormat="false" ht="15" hidden="false" customHeight="false" outlineLevel="0" collapsed="false">
      <c r="A44" s="2" t="s">
        <v>737</v>
      </c>
    </row>
    <row r="45" customFormat="false" ht="23.85" hidden="false" customHeight="false" outlineLevel="0" collapsed="false">
      <c r="A45" s="6" t="s">
        <v>738</v>
      </c>
      <c r="B45" s="6" t="s">
        <v>739</v>
      </c>
      <c r="C45" s="6" t="s">
        <v>740</v>
      </c>
      <c r="D45" s="6" t="s">
        <v>47</v>
      </c>
      <c r="E45" s="6" t="s">
        <v>365</v>
      </c>
    </row>
    <row r="46" customFormat="false" ht="15" hidden="false" customHeight="false" outlineLevel="0" collapsed="false">
      <c r="A46" s="10" t="s">
        <v>741</v>
      </c>
      <c r="B46" s="17" t="n">
        <f aca="false">Revenue_Build!L7</f>
        <v>1706.1850452186</v>
      </c>
      <c r="C46" s="17" t="n">
        <f aca="false">Revenue_Build!L48</f>
        <v>1701.19065813718</v>
      </c>
      <c r="D46" s="5" t="s">
        <v>256</v>
      </c>
      <c r="E46" s="5" t="s">
        <v>742</v>
      </c>
    </row>
    <row r="47" customFormat="false" ht="15" hidden="false" customHeight="false" outlineLevel="0" collapsed="false">
      <c r="A47" s="10" t="s">
        <v>743</v>
      </c>
      <c r="B47" s="17" t="n">
        <f aca="false">Revenue_Build!L25</f>
        <v>1679.48043086325</v>
      </c>
      <c r="C47" s="17" t="n">
        <f aca="false">Revenue_Build!L53</f>
        <v>1672.51294046556</v>
      </c>
      <c r="D47" s="5" t="s">
        <v>256</v>
      </c>
      <c r="E47" s="5"/>
    </row>
    <row r="48" customFormat="false" ht="15" hidden="false" customHeight="false" outlineLevel="0" collapsed="false">
      <c r="A48" s="10" t="s">
        <v>744</v>
      </c>
      <c r="B48" s="17" t="n">
        <f aca="false">B47-B46</f>
        <v>-26.704614355353</v>
      </c>
      <c r="C48" s="17" t="n">
        <f aca="false">C47-C46</f>
        <v>-28.6777176716287</v>
      </c>
      <c r="D48" s="5" t="s">
        <v>256</v>
      </c>
      <c r="E48" s="5"/>
    </row>
    <row r="49" customFormat="false" ht="15" hidden="false" customHeight="false" outlineLevel="0" collapsed="false">
      <c r="A49" s="10" t="s">
        <v>745</v>
      </c>
      <c r="B49" s="17" t="n">
        <f aca="false">B46*(Historical_Drivers!$C$53/Historical_Drivers!$C$52-1)</f>
        <v>-17.6370552028735</v>
      </c>
      <c r="C49" s="17" t="n">
        <f aca="false">C46*(Historical_Drivers!$C$53/Historical_Drivers!$C$52-1)</f>
        <v>-17.5854275784805</v>
      </c>
      <c r="D49" s="5" t="s">
        <v>256</v>
      </c>
      <c r="E49" s="5" t="s">
        <v>746</v>
      </c>
    </row>
    <row r="50" customFormat="false" ht="15" hidden="false" customHeight="false" outlineLevel="0" collapsed="false">
      <c r="A50" s="10" t="s">
        <v>747</v>
      </c>
      <c r="B50" s="17" t="n">
        <f aca="false">B48-B49</f>
        <v>-9.06755915247951</v>
      </c>
      <c r="C50" s="17" t="n">
        <f aca="false">C48-C49</f>
        <v>-11.0922900931482</v>
      </c>
      <c r="D50" s="5" t="s">
        <v>256</v>
      </c>
      <c r="E50" s="5" t="s">
        <v>748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12" min="3" style="0" width="11"/>
    <col collapsed="false" customWidth="true" hidden="false" outlineLevel="0" max="13" min="13" style="0" width="60"/>
  </cols>
  <sheetData>
    <row r="1" customFormat="false" ht="16.15" hidden="false" customHeight="false" outlineLevel="0" collapsed="false">
      <c r="A1" s="4" t="s">
        <v>749</v>
      </c>
    </row>
    <row r="2" customFormat="false" ht="15" hidden="false" customHeight="false" outlineLevel="0" collapsed="false">
      <c r="A2" s="5" t="s">
        <v>750</v>
      </c>
    </row>
    <row r="4" customFormat="false" ht="15" hidden="false" customHeight="false" outlineLevel="0" collapsed="false">
      <c r="A4" s="2" t="s">
        <v>751</v>
      </c>
      <c r="B4" s="5" t="s">
        <v>752</v>
      </c>
      <c r="C4" s="30" t="n">
        <f aca="false">Assumptions!$C$23</f>
        <v>2</v>
      </c>
    </row>
    <row r="6" customFormat="false" ht="15" hidden="false" customHeight="false" outlineLevel="0" collapsed="false">
      <c r="A6" s="6" t="s">
        <v>339</v>
      </c>
      <c r="B6" s="6" t="s">
        <v>47</v>
      </c>
      <c r="C6" s="6" t="s">
        <v>576</v>
      </c>
      <c r="D6" s="6" t="s">
        <v>577</v>
      </c>
      <c r="E6" s="6" t="s">
        <v>578</v>
      </c>
      <c r="F6" s="6" t="s">
        <v>579</v>
      </c>
      <c r="G6" s="6" t="s">
        <v>580</v>
      </c>
      <c r="H6" s="6" t="s">
        <v>581</v>
      </c>
      <c r="I6" s="6" t="s">
        <v>582</v>
      </c>
      <c r="J6" s="6" t="s">
        <v>583</v>
      </c>
      <c r="K6" s="6" t="s">
        <v>584</v>
      </c>
      <c r="L6" s="6" t="s">
        <v>585</v>
      </c>
      <c r="M6" s="6" t="s">
        <v>365</v>
      </c>
    </row>
    <row r="7" customFormat="false" ht="15" hidden="false" customHeight="false" outlineLevel="0" collapsed="false">
      <c r="A7" s="10" t="s">
        <v>753</v>
      </c>
      <c r="B7" s="5" t="s">
        <v>256</v>
      </c>
      <c r="G7" s="30" t="n">
        <f aca="false">COLUMN()-COLUMN($F$1)</f>
        <v>1</v>
      </c>
      <c r="H7" s="30" t="n">
        <f aca="false">COLUMN()-COLUMN($F$1)</f>
        <v>2</v>
      </c>
      <c r="I7" s="30" t="n">
        <f aca="false">COLUMN()-COLUMN($F$1)</f>
        <v>3</v>
      </c>
      <c r="J7" s="30" t="n">
        <f aca="false">COLUMN()-COLUMN($F$1)</f>
        <v>4</v>
      </c>
    </row>
    <row r="8" customFormat="false" ht="15" hidden="false" customHeight="false" outlineLevel="0" collapsed="false">
      <c r="A8" s="10" t="s">
        <v>754</v>
      </c>
      <c r="B8" s="5" t="s">
        <v>256</v>
      </c>
      <c r="G8" s="30" t="n">
        <f aca="false">IF(G7&gt;=$C$4,1,0)</f>
        <v>0</v>
      </c>
      <c r="H8" s="30" t="n">
        <f aca="false">IF(H7&gt;=$C$4,1,0)</f>
        <v>1</v>
      </c>
      <c r="I8" s="30" t="n">
        <f aca="false">IF(I7&gt;=$C$4,1,0)</f>
        <v>1</v>
      </c>
      <c r="J8" s="30" t="n">
        <f aca="false">IF(J7&gt;=$C$4,1,0)</f>
        <v>1</v>
      </c>
    </row>
    <row r="9" customFormat="false" ht="15" hidden="false" customHeight="false" outlineLevel="0" collapsed="false">
      <c r="A9" s="10" t="s">
        <v>755</v>
      </c>
      <c r="B9" s="5" t="s">
        <v>756</v>
      </c>
      <c r="G9" s="17" t="n">
        <f aca="false">(Opex!G25+Opex!G29)*Assumptions!$C$24*G8</f>
        <v>0</v>
      </c>
      <c r="H9" s="17" t="n">
        <f aca="false">(Opex!H25+Opex!H29)*Assumptions!$C$24*H8</f>
        <v>6.25037354629973</v>
      </c>
      <c r="I9" s="17" t="n">
        <f aca="false">(Opex!I25+Opex!I29)*Assumptions!$C$24*I8</f>
        <v>6.40501913104463</v>
      </c>
      <c r="J9" s="17" t="n">
        <f aca="false">(Opex!J25+Opex!J29)*Assumptions!$C$24*J8</f>
        <v>6.60145707550542</v>
      </c>
      <c r="L9" s="17" t="n">
        <f aca="false">SUM(G9:J9)</f>
        <v>19.2568497528498</v>
      </c>
    </row>
    <row r="10" customFormat="false" ht="15" hidden="false" customHeight="false" outlineLevel="0" collapsed="false">
      <c r="A10" s="10" t="s">
        <v>757</v>
      </c>
      <c r="B10" s="5" t="s">
        <v>758</v>
      </c>
      <c r="G10" s="17" t="n">
        <f aca="false">Opex!G27*Assumptions!$C$25*G8</f>
        <v>0</v>
      </c>
      <c r="H10" s="17" t="n">
        <f aca="false">Opex!H27*Assumptions!$C$25*H8</f>
        <v>16.6120352181766</v>
      </c>
      <c r="I10" s="17" t="n">
        <f aca="false">Opex!I27*Assumptions!$C$25*I8</f>
        <v>17.0230471170796</v>
      </c>
      <c r="J10" s="17" t="n">
        <f aca="false">Opex!J27*Assumptions!$C$25*J8</f>
        <v>17.5451333615891</v>
      </c>
      <c r="L10" s="17" t="n">
        <f aca="false">SUM(G10:J10)</f>
        <v>51.1802156968453</v>
      </c>
    </row>
    <row r="11" customFormat="false" ht="15" hidden="false" customHeight="false" outlineLevel="0" collapsed="false">
      <c r="A11" s="10" t="s">
        <v>759</v>
      </c>
      <c r="B11" s="5" t="s">
        <v>256</v>
      </c>
      <c r="G11" s="17" t="n">
        <f aca="false">G9+G10</f>
        <v>0</v>
      </c>
      <c r="H11" s="17" t="n">
        <f aca="false">H9+H10</f>
        <v>22.8624087644763</v>
      </c>
      <c r="I11" s="17" t="n">
        <f aca="false">I9+I10</f>
        <v>23.4280662481242</v>
      </c>
      <c r="J11" s="17" t="n">
        <f aca="false">J9+J10</f>
        <v>24.1465904370945</v>
      </c>
      <c r="L11" s="17" t="n">
        <f aca="false">L9+L10</f>
        <v>70.4370654496951</v>
      </c>
    </row>
    <row r="13" customFormat="false" ht="15" hidden="false" customHeight="false" outlineLevel="0" collapsed="false">
      <c r="A13" s="28" t="s">
        <v>760</v>
      </c>
    </row>
    <row r="14" customFormat="false" ht="15" hidden="false" customHeight="false" outlineLevel="0" collapsed="false">
      <c r="A14" s="6" t="s">
        <v>761</v>
      </c>
      <c r="B14" s="6" t="s">
        <v>47</v>
      </c>
      <c r="C14" s="6" t="s">
        <v>762</v>
      </c>
      <c r="D14" s="6" t="s">
        <v>763</v>
      </c>
      <c r="E14" s="6" t="s">
        <v>764</v>
      </c>
    </row>
    <row r="15" customFormat="false" ht="15" hidden="false" customHeight="false" outlineLevel="0" collapsed="false">
      <c r="A15" s="10" t="s">
        <v>765</v>
      </c>
      <c r="B15" s="5" t="s">
        <v>256</v>
      </c>
      <c r="C15" s="17" t="n">
        <f aca="false">L9</f>
        <v>19.2568497528498</v>
      </c>
      <c r="D15" s="17" t="n">
        <f aca="false">L10</f>
        <v>51.1802156968453</v>
      </c>
      <c r="E15" s="17" t="n">
        <f aca="false">L11</f>
        <v>70.4370654496951</v>
      </c>
    </row>
    <row r="16" customFormat="false" ht="15" hidden="false" customHeight="false" outlineLevel="0" collapsed="false">
      <c r="A16" s="10" t="s">
        <v>766</v>
      </c>
      <c r="B16" s="5" t="s">
        <v>256</v>
      </c>
      <c r="C16" s="12" t="n">
        <f aca="false">Opex!L22/Revenue_Build!L16</f>
        <v>0.879422640700513</v>
      </c>
      <c r="D16" s="12" t="n">
        <f aca="false">Opex!L22/Revenue_Build!L16</f>
        <v>0.879422640700513</v>
      </c>
      <c r="E16" s="12" t="n">
        <f aca="false">Opex!L22/Revenue_Build!L16</f>
        <v>0.879422640700513</v>
      </c>
    </row>
    <row r="17" customFormat="false" ht="15" hidden="false" customHeight="false" outlineLevel="0" collapsed="false">
      <c r="A17" s="10" t="s">
        <v>767</v>
      </c>
      <c r="B17" s="5" t="s">
        <v>256</v>
      </c>
      <c r="C17" s="17" t="n">
        <f aca="false">C15/C16</f>
        <v>21.8971503138816</v>
      </c>
      <c r="D17" s="17" t="n">
        <f aca="false">D15/D16</f>
        <v>58.1975188358549</v>
      </c>
      <c r="E17" s="17" t="n">
        <f aca="false">E15/E16</f>
        <v>80.0946691497364</v>
      </c>
    </row>
    <row r="18" customFormat="false" ht="15" hidden="false" customHeight="false" outlineLevel="0" collapsed="false">
      <c r="A18" s="10" t="s">
        <v>768</v>
      </c>
      <c r="B18" s="5" t="s">
        <v>256</v>
      </c>
      <c r="C18" s="11" t="n">
        <f aca="false">C17/Revenue_Build!L16</f>
        <v>0.0134628919323021</v>
      </c>
      <c r="D18" s="11" t="n">
        <f aca="false">D17/Revenue_Build!L16</f>
        <v>0.035781227035672</v>
      </c>
      <c r="E18" s="11" t="n">
        <f aca="false">E17/Revenue_Build!L16</f>
        <v>0.0492441189679741</v>
      </c>
    </row>
    <row r="19" customFormat="false" ht="15" hidden="false" customHeight="false" outlineLevel="0" collapsed="false">
      <c r="A19" s="10" t="s">
        <v>769</v>
      </c>
      <c r="B19" s="5" t="s">
        <v>256</v>
      </c>
      <c r="C19" s="25" t="n">
        <f aca="false">C17/Revenue_Build!K16*100</f>
        <v>1.47529504159919</v>
      </c>
      <c r="D19" s="25" t="n">
        <f aca="false">D17/Revenue_Build!K16*100</f>
        <v>3.92099016270089</v>
      </c>
      <c r="E19" s="25" t="n">
        <f aca="false">E17/Revenue_Build!K16*100</f>
        <v>5.39628520430008</v>
      </c>
    </row>
    <row r="20" customFormat="false" ht="15" hidden="false" customHeight="false" outlineLevel="0" collapsed="false">
      <c r="A20" s="10" t="s">
        <v>770</v>
      </c>
      <c r="B20" s="5" t="s">
        <v>256</v>
      </c>
      <c r="C20" s="30" t="n">
        <f aca="false">SUM(G8:J8)</f>
        <v>3</v>
      </c>
      <c r="D20" s="30" t="n">
        <f aca="false">SUM(G8:J8)</f>
        <v>3</v>
      </c>
      <c r="E20" s="30" t="n">
        <f aca="false">SUM(G8:J8)</f>
        <v>3</v>
      </c>
    </row>
    <row r="21" customFormat="false" ht="39.75" hidden="false" customHeight="true" outlineLevel="0" collapsed="false">
      <c r="A21" s="19" t="s">
        <v>771</v>
      </c>
      <c r="B21" s="19"/>
      <c r="C21" s="19"/>
      <c r="D21" s="19"/>
      <c r="E21" s="19"/>
      <c r="F21" s="19"/>
      <c r="G21" s="19"/>
      <c r="H21" s="19"/>
      <c r="I21" s="19"/>
      <c r="J21" s="19"/>
      <c r="K21" s="19"/>
      <c r="L21" s="19"/>
    </row>
    <row r="23" customFormat="false" ht="15" hidden="false" customHeight="false" outlineLevel="0" collapsed="false">
      <c r="A23" s="2" t="s">
        <v>772</v>
      </c>
    </row>
    <row r="24" customFormat="false" ht="23.85" hidden="false" customHeight="false" outlineLevel="0" collapsed="false">
      <c r="A24" s="6" t="s">
        <v>773</v>
      </c>
      <c r="B24" s="6" t="s">
        <v>47</v>
      </c>
      <c r="C24" s="6" t="s">
        <v>774</v>
      </c>
      <c r="D24" s="6" t="s">
        <v>775</v>
      </c>
    </row>
    <row r="25" customFormat="false" ht="15" hidden="false" customHeight="false" outlineLevel="0" collapsed="false">
      <c r="A25" s="10" t="s">
        <v>776</v>
      </c>
      <c r="B25" s="33" t="s">
        <v>777</v>
      </c>
      <c r="C25" s="21" t="n">
        <v>0</v>
      </c>
      <c r="D25" s="21" t="n">
        <v>0</v>
      </c>
    </row>
    <row r="26" customFormat="false" ht="15" hidden="false" customHeight="false" outlineLevel="0" collapsed="false">
      <c r="A26" s="10" t="s">
        <v>778</v>
      </c>
      <c r="B26" s="33" t="s">
        <v>777</v>
      </c>
      <c r="C26" s="31" t="n">
        <f aca="false">Assumptions!$C$26</f>
        <v>0.3</v>
      </c>
      <c r="D26" s="31" t="n">
        <f aca="false">Assumptions!$C$27</f>
        <v>0.1</v>
      </c>
    </row>
    <row r="27" customFormat="false" ht="15" hidden="false" customHeight="false" outlineLevel="0" collapsed="false">
      <c r="A27" s="10" t="s">
        <v>779</v>
      </c>
      <c r="B27" s="33" t="s">
        <v>777</v>
      </c>
      <c r="C27" s="21" t="n">
        <v>0.6</v>
      </c>
      <c r="D27" s="21" t="n">
        <v>0.2</v>
      </c>
    </row>
    <row r="29" customFormat="false" ht="15" hidden="false" customHeight="false" outlineLevel="0" collapsed="false">
      <c r="A29" s="6" t="s">
        <v>339</v>
      </c>
      <c r="B29" s="6" t="s">
        <v>47</v>
      </c>
      <c r="C29" s="6" t="s">
        <v>576</v>
      </c>
      <c r="D29" s="6" t="s">
        <v>577</v>
      </c>
      <c r="E29" s="6" t="s">
        <v>578</v>
      </c>
      <c r="F29" s="6" t="s">
        <v>579</v>
      </c>
      <c r="G29" s="6" t="s">
        <v>580</v>
      </c>
      <c r="H29" s="6" t="s">
        <v>581</v>
      </c>
      <c r="I29" s="6" t="s">
        <v>582</v>
      </c>
      <c r="J29" s="6" t="s">
        <v>583</v>
      </c>
      <c r="K29" s="6" t="s">
        <v>584</v>
      </c>
      <c r="L29" s="6" t="s">
        <v>585</v>
      </c>
      <c r="M29" s="6" t="s">
        <v>365</v>
      </c>
    </row>
    <row r="30" customFormat="false" ht="15" hidden="false" customHeight="false" outlineLevel="0" collapsed="false">
      <c r="A30" s="28" t="s">
        <v>780</v>
      </c>
    </row>
    <row r="31" customFormat="false" ht="15" hidden="false" customHeight="false" outlineLevel="0" collapsed="false">
      <c r="A31" s="10" t="s">
        <v>781</v>
      </c>
      <c r="B31" s="5" t="s">
        <v>782</v>
      </c>
      <c r="G31" s="17" t="n">
        <f aca="false">0*1</f>
        <v>0</v>
      </c>
      <c r="H31" s="17" t="n">
        <f aca="false">G31+($C$25*G10+$D$25*G9)/4</f>
        <v>0</v>
      </c>
      <c r="I31" s="17" t="n">
        <f aca="false">H31+($C$25*H10+$D$25*H9)/4</f>
        <v>0</v>
      </c>
      <c r="J31" s="17" t="n">
        <f aca="false">I31+($C$25*I10+$D$25*I9)/4</f>
        <v>0</v>
      </c>
      <c r="L31" s="17" t="n">
        <f aca="false">SUM(G31:J31)</f>
        <v>0</v>
      </c>
    </row>
    <row r="32" customFormat="false" ht="15" hidden="false" customHeight="false" outlineLevel="0" collapsed="false">
      <c r="A32" s="2" t="s">
        <v>62</v>
      </c>
      <c r="B32" s="5" t="s">
        <v>256</v>
      </c>
      <c r="G32" s="17" t="n">
        <f aca="false">Revenue_Build!G16-G31</f>
        <v>400.156483061274</v>
      </c>
      <c r="H32" s="17" t="n">
        <f aca="false">Revenue_Build!H16-H31</f>
        <v>404.96739461005</v>
      </c>
      <c r="I32" s="17" t="n">
        <f aca="false">Revenue_Build!I16-I31</f>
        <v>409.722446759643</v>
      </c>
      <c r="J32" s="17" t="n">
        <f aca="false">Revenue_Build!J16-J31</f>
        <v>411.635595203456</v>
      </c>
      <c r="L32" s="17" t="n">
        <f aca="false">SUM(G32:J32)</f>
        <v>1626.48191963442</v>
      </c>
    </row>
    <row r="33" customFormat="false" ht="15" hidden="false" customHeight="false" outlineLevel="0" collapsed="false">
      <c r="A33" s="10" t="s">
        <v>783</v>
      </c>
      <c r="B33" s="5" t="s">
        <v>256</v>
      </c>
      <c r="G33" s="17" t="n">
        <f aca="false">G32*Opex!G21</f>
        <v>353.419310761121</v>
      </c>
      <c r="H33" s="17" t="n">
        <f aca="false">H32*Opex!H21</f>
        <v>356.655902638476</v>
      </c>
      <c r="I33" s="17" t="n">
        <f aca="false">I32*Opex!I21</f>
        <v>359.819384079484</v>
      </c>
      <c r="J33" s="17" t="n">
        <f aca="false">J32*Opex!J21</f>
        <v>360.470427337462</v>
      </c>
      <c r="L33" s="17" t="n">
        <f aca="false">SUM(G33:J33)</f>
        <v>1430.36502481654</v>
      </c>
    </row>
    <row r="34" customFormat="false" ht="15" hidden="false" customHeight="false" outlineLevel="0" collapsed="false">
      <c r="A34" s="10" t="s">
        <v>784</v>
      </c>
      <c r="B34" s="5" t="s">
        <v>256</v>
      </c>
      <c r="G34" s="17" t="n">
        <f aca="false">Opex!G30-G11</f>
        <v>284.020888956529</v>
      </c>
      <c r="H34" s="17" t="n">
        <f aca="false">Opex!H30-H11</f>
        <v>268.265414343284</v>
      </c>
      <c r="I34" s="17" t="n">
        <f aca="false">Opex!I30-I11</f>
        <v>274.902787543564</v>
      </c>
      <c r="J34" s="17" t="n">
        <f aca="false">Opex!J30-J11</f>
        <v>283.333884688905</v>
      </c>
      <c r="L34" s="17" t="n">
        <f aca="false">SUM(G34:J34)</f>
        <v>1110.52297553228</v>
      </c>
    </row>
    <row r="35" customFormat="false" ht="15" hidden="false" customHeight="false" outlineLevel="0" collapsed="false">
      <c r="A35" s="2" t="s">
        <v>140</v>
      </c>
      <c r="B35" s="5" t="s">
        <v>256</v>
      </c>
      <c r="G35" s="17" t="n">
        <f aca="false">G33-G34</f>
        <v>69.3984218045919</v>
      </c>
      <c r="H35" s="17" t="n">
        <f aca="false">H33-H34</f>
        <v>88.3904882951919</v>
      </c>
      <c r="I35" s="17" t="n">
        <f aca="false">I33-I34</f>
        <v>84.9165965359197</v>
      </c>
      <c r="J35" s="17" t="n">
        <f aca="false">J33-J34</f>
        <v>77.1365426485572</v>
      </c>
      <c r="L35" s="17" t="n">
        <f aca="false">L33-L34</f>
        <v>319.842049284261</v>
      </c>
    </row>
    <row r="36" customFormat="false" ht="15" hidden="false" customHeight="false" outlineLevel="0" collapsed="false">
      <c r="A36" s="10" t="s">
        <v>258</v>
      </c>
      <c r="B36" s="5" t="s">
        <v>256</v>
      </c>
      <c r="G36" s="12" t="n">
        <f aca="false">G35/G32</f>
        <v>0.173428208069205</v>
      </c>
      <c r="H36" s="12" t="n">
        <f aca="false">H35/H32</f>
        <v>0.218265691193002</v>
      </c>
      <c r="I36" s="12" t="n">
        <f aca="false">I35/I32</f>
        <v>0.207253952541523</v>
      </c>
      <c r="J36" s="12" t="n">
        <f aca="false">J35/J32</f>
        <v>0.187390360667016</v>
      </c>
      <c r="L36" s="12" t="n">
        <f aca="false">L35/L32</f>
        <v>0.196646544559284</v>
      </c>
    </row>
    <row r="37" customFormat="false" ht="15" hidden="false" customHeight="false" outlineLevel="0" collapsed="false">
      <c r="A37" s="2" t="s">
        <v>785</v>
      </c>
      <c r="B37" s="5" t="s">
        <v>256</v>
      </c>
      <c r="G37" s="17" t="n">
        <f aca="false">$L35*Assumptions!$D$11*Historical_Drivers!$C$61/(Historical_Drivers!$C$61+Historical_Drivers!$C$62+Historical_Drivers!$C$63+Historical_Drivers!$C$64)</f>
        <v>88.711335239839</v>
      </c>
      <c r="H37" s="17" t="n">
        <f aca="false">$L35*Assumptions!$D$11*Historical_Drivers!$C$62/(Historical_Drivers!$C$61+Historical_Drivers!$C$62+Historical_Drivers!$C$63+Historical_Drivers!$C$64)</f>
        <v>63.3872922633482</v>
      </c>
      <c r="I37" s="17" t="n">
        <f aca="false">$L35*Assumptions!$D$11*Historical_Drivers!$C$63/(Historical_Drivers!$C$61+Historical_Drivers!$C$62+Historical_Drivers!$C$63+Historical_Drivers!$C$64)</f>
        <v>93.9550065892307</v>
      </c>
      <c r="J37" s="17" t="n">
        <f aca="false">$L35*Assumptions!$D$11*Historical_Drivers!$C$64/(Historical_Drivers!$C$61+Historical_Drivers!$C$62+Historical_Drivers!$C$63+Historical_Drivers!$C$64)</f>
        <v>73.7884151918428</v>
      </c>
      <c r="L37" s="17" t="n">
        <f aca="false">SUM(G37:J37)</f>
        <v>319.842049284261</v>
      </c>
    </row>
    <row r="38" customFormat="false" ht="15" hidden="false" customHeight="false" outlineLevel="0" collapsed="false">
      <c r="A38" s="2" t="s">
        <v>786</v>
      </c>
      <c r="B38" s="5" t="s">
        <v>256</v>
      </c>
      <c r="L38" s="17" t="n">
        <f aca="false">Cash_FCF!F29+L37+Cash_FCF!L26+Cash_FCF!L27</f>
        <v>1445.03262852328</v>
      </c>
    </row>
    <row r="40" customFormat="false" ht="15" hidden="false" customHeight="false" outlineLevel="0" collapsed="false">
      <c r="A40" s="28" t="s">
        <v>787</v>
      </c>
    </row>
    <row r="41" customFormat="false" ht="15" hidden="false" customHeight="false" outlineLevel="0" collapsed="false">
      <c r="A41" s="10" t="s">
        <v>781</v>
      </c>
      <c r="B41" s="5" t="s">
        <v>782</v>
      </c>
      <c r="G41" s="17" t="n">
        <f aca="false">0*1</f>
        <v>0</v>
      </c>
      <c r="H41" s="17" t="n">
        <f aca="false">G41+($C$26*G10+$D$26*G9)/4</f>
        <v>0</v>
      </c>
      <c r="I41" s="17" t="n">
        <f aca="false">H41+($C$26*H10+$D$26*H9)/4</f>
        <v>1.40216198002074</v>
      </c>
      <c r="J41" s="17" t="n">
        <f aca="false">I41+($C$26*I10+$D$26*I9)/4</f>
        <v>2.83901599207783</v>
      </c>
      <c r="L41" s="17" t="n">
        <f aca="false">SUM(G41:J41)</f>
        <v>4.24117797209857</v>
      </c>
    </row>
    <row r="42" customFormat="false" ht="15" hidden="false" customHeight="false" outlineLevel="0" collapsed="false">
      <c r="A42" s="2" t="s">
        <v>62</v>
      </c>
      <c r="B42" s="5" t="s">
        <v>256</v>
      </c>
      <c r="G42" s="17" t="n">
        <f aca="false">Revenue_Build!G16-G41</f>
        <v>400.156483061274</v>
      </c>
      <c r="H42" s="17" t="n">
        <f aca="false">Revenue_Build!H16-H41</f>
        <v>404.96739461005</v>
      </c>
      <c r="I42" s="17" t="n">
        <f aca="false">Revenue_Build!I16-I41</f>
        <v>408.320284779622</v>
      </c>
      <c r="J42" s="17" t="n">
        <f aca="false">Revenue_Build!J16-J41</f>
        <v>408.796579211378</v>
      </c>
      <c r="L42" s="17" t="n">
        <f aca="false">SUM(G42:J42)</f>
        <v>1622.24074166232</v>
      </c>
    </row>
    <row r="43" customFormat="false" ht="15" hidden="false" customHeight="false" outlineLevel="0" collapsed="false">
      <c r="A43" s="10" t="s">
        <v>783</v>
      </c>
      <c r="B43" s="5" t="s">
        <v>256</v>
      </c>
      <c r="G43" s="17" t="n">
        <f aca="false">G42*Opex!G21</f>
        <v>353.419310761121</v>
      </c>
      <c r="H43" s="17" t="n">
        <f aca="false">H42*Opex!H21</f>
        <v>356.655902638476</v>
      </c>
      <c r="I43" s="17" t="n">
        <f aca="false">I42*Opex!I21</f>
        <v>358.588001556948</v>
      </c>
      <c r="J43" s="17" t="n">
        <f aca="false">J42*Opex!J21</f>
        <v>357.984293194042</v>
      </c>
      <c r="L43" s="17" t="n">
        <f aca="false">SUM(G43:J43)</f>
        <v>1426.64750815059</v>
      </c>
    </row>
    <row r="44" customFormat="false" ht="15" hidden="false" customHeight="false" outlineLevel="0" collapsed="false">
      <c r="A44" s="10" t="s">
        <v>784</v>
      </c>
      <c r="B44" s="5" t="s">
        <v>256</v>
      </c>
      <c r="G44" s="17" t="n">
        <f aca="false">Opex!G30-G11</f>
        <v>284.020888956529</v>
      </c>
      <c r="H44" s="17" t="n">
        <f aca="false">Opex!H30-H11</f>
        <v>268.265414343284</v>
      </c>
      <c r="I44" s="17" t="n">
        <f aca="false">Opex!I30-I11</f>
        <v>274.902787543564</v>
      </c>
      <c r="J44" s="17" t="n">
        <f aca="false">Opex!J30-J11</f>
        <v>283.333884688905</v>
      </c>
      <c r="L44" s="17" t="n">
        <f aca="false">SUM(G44:J44)</f>
        <v>1110.52297553228</v>
      </c>
    </row>
    <row r="45" customFormat="false" ht="15" hidden="false" customHeight="false" outlineLevel="0" collapsed="false">
      <c r="A45" s="2" t="s">
        <v>140</v>
      </c>
      <c r="B45" s="5" t="s">
        <v>256</v>
      </c>
      <c r="G45" s="17" t="n">
        <f aca="false">G43-G44</f>
        <v>69.3984218045919</v>
      </c>
      <c r="H45" s="17" t="n">
        <f aca="false">H43-H44</f>
        <v>88.3904882951919</v>
      </c>
      <c r="I45" s="17" t="n">
        <f aca="false">I43-I44</f>
        <v>83.6852140133831</v>
      </c>
      <c r="J45" s="17" t="n">
        <f aca="false">J43-J44</f>
        <v>74.6504085051376</v>
      </c>
      <c r="L45" s="17" t="n">
        <f aca="false">L43-L44</f>
        <v>316.124532618305</v>
      </c>
    </row>
    <row r="46" customFormat="false" ht="15" hidden="false" customHeight="false" outlineLevel="0" collapsed="false">
      <c r="A46" s="10" t="s">
        <v>258</v>
      </c>
      <c r="B46" s="5" t="s">
        <v>256</v>
      </c>
      <c r="G46" s="12" t="n">
        <f aca="false">G45/G42</f>
        <v>0.173428208069205</v>
      </c>
      <c r="H46" s="12" t="n">
        <f aca="false">H45/H42</f>
        <v>0.218265691193002</v>
      </c>
      <c r="I46" s="12" t="n">
        <f aca="false">I45/I42</f>
        <v>0.204949930563821</v>
      </c>
      <c r="J46" s="12" t="n">
        <f aca="false">J45/J42</f>
        <v>0.182610159432224</v>
      </c>
      <c r="L46" s="12" t="n">
        <f aca="false">L45/L42</f>
        <v>0.194869062587079</v>
      </c>
    </row>
    <row r="47" customFormat="false" ht="15" hidden="false" customHeight="false" outlineLevel="0" collapsed="false">
      <c r="A47" s="2" t="s">
        <v>785</v>
      </c>
      <c r="B47" s="5" t="s">
        <v>256</v>
      </c>
      <c r="G47" s="17" t="n">
        <f aca="false">$L45*Assumptions!$D$11*Historical_Drivers!$C$61/(Historical_Drivers!$C$61+Historical_Drivers!$C$62+Historical_Drivers!$C$63+Historical_Drivers!$C$64)</f>
        <v>87.6802454630216</v>
      </c>
      <c r="H47" s="17" t="n">
        <f aca="false">$L45*Assumptions!$D$11*Historical_Drivers!$C$62/(Historical_Drivers!$C$61+Historical_Drivers!$C$62+Historical_Drivers!$C$63+Historical_Drivers!$C$64)</f>
        <v>62.6505432463689</v>
      </c>
      <c r="I47" s="17" t="n">
        <f aca="false">$L45*Assumptions!$D$11*Historical_Drivers!$C$63/(Historical_Drivers!$C$61+Historical_Drivers!$C$62+Historical_Drivers!$C$63+Historical_Drivers!$C$64)</f>
        <v>92.8629697428339</v>
      </c>
      <c r="J47" s="17" t="n">
        <f aca="false">$L45*Assumptions!$D$11*Historical_Drivers!$C$64/(Historical_Drivers!$C$61+Historical_Drivers!$C$62+Historical_Drivers!$C$63+Historical_Drivers!$C$64)</f>
        <v>72.9307741660802</v>
      </c>
      <c r="L47" s="17" t="n">
        <f aca="false">SUM(G47:J47)</f>
        <v>316.124532618305</v>
      </c>
    </row>
    <row r="48" customFormat="false" ht="15" hidden="false" customHeight="false" outlineLevel="0" collapsed="false">
      <c r="A48" s="2" t="s">
        <v>786</v>
      </c>
      <c r="B48" s="5" t="s">
        <v>256</v>
      </c>
      <c r="L48" s="17" t="n">
        <f aca="false">Cash_FCF!F29+L47+Cash_FCF!L26+Cash_FCF!L27</f>
        <v>1441.31511185733</v>
      </c>
    </row>
    <row r="50" customFormat="false" ht="15" hidden="false" customHeight="false" outlineLevel="0" collapsed="false">
      <c r="A50" s="28" t="s">
        <v>788</v>
      </c>
    </row>
    <row r="51" customFormat="false" ht="15" hidden="false" customHeight="false" outlineLevel="0" collapsed="false">
      <c r="A51" s="10" t="s">
        <v>781</v>
      </c>
      <c r="B51" s="5" t="s">
        <v>782</v>
      </c>
      <c r="G51" s="17" t="n">
        <f aca="false">0*1</f>
        <v>0</v>
      </c>
      <c r="H51" s="17" t="n">
        <f aca="false">G51+($C$27*G10+$D$27*G9)/4</f>
        <v>0</v>
      </c>
      <c r="I51" s="17" t="n">
        <f aca="false">H51+($C$27*H10+$D$27*H9)/4</f>
        <v>2.80432396004148</v>
      </c>
      <c r="J51" s="17" t="n">
        <f aca="false">I51+($C$27*I10+$D$27*I9)/4</f>
        <v>5.67803198415565</v>
      </c>
      <c r="L51" s="17" t="n">
        <f aca="false">SUM(G51:J51)</f>
        <v>8.48235594419713</v>
      </c>
    </row>
    <row r="52" customFormat="false" ht="15" hidden="false" customHeight="false" outlineLevel="0" collapsed="false">
      <c r="A52" s="2" t="s">
        <v>62</v>
      </c>
      <c r="B52" s="5" t="s">
        <v>256</v>
      </c>
      <c r="G52" s="17" t="n">
        <f aca="false">Revenue_Build!G16-G51</f>
        <v>400.156483061274</v>
      </c>
      <c r="H52" s="17" t="n">
        <f aca="false">Revenue_Build!H16-H51</f>
        <v>404.96739461005</v>
      </c>
      <c r="I52" s="17" t="n">
        <f aca="false">Revenue_Build!I16-I51</f>
        <v>406.918122799602</v>
      </c>
      <c r="J52" s="17" t="n">
        <f aca="false">Revenue_Build!J16-J51</f>
        <v>405.9575632193</v>
      </c>
      <c r="L52" s="17" t="n">
        <f aca="false">SUM(G52:J52)</f>
        <v>1617.99956369023</v>
      </c>
    </row>
    <row r="53" customFormat="false" ht="15" hidden="false" customHeight="false" outlineLevel="0" collapsed="false">
      <c r="A53" s="10" t="s">
        <v>783</v>
      </c>
      <c r="B53" s="5" t="s">
        <v>256</v>
      </c>
      <c r="G53" s="17" t="n">
        <f aca="false">G52*Opex!G21</f>
        <v>353.419310761121</v>
      </c>
      <c r="H53" s="17" t="n">
        <f aca="false">H52*Opex!H21</f>
        <v>356.655902638476</v>
      </c>
      <c r="I53" s="17" t="n">
        <f aca="false">I52*Opex!I21</f>
        <v>357.356619034411</v>
      </c>
      <c r="J53" s="17" t="n">
        <f aca="false">J52*Opex!J21</f>
        <v>355.498159050623</v>
      </c>
      <c r="L53" s="17" t="n">
        <f aca="false">SUM(G53:J53)</f>
        <v>1422.92999148463</v>
      </c>
    </row>
    <row r="54" customFormat="false" ht="15" hidden="false" customHeight="false" outlineLevel="0" collapsed="false">
      <c r="A54" s="10" t="s">
        <v>784</v>
      </c>
      <c r="B54" s="5" t="s">
        <v>256</v>
      </c>
      <c r="G54" s="17" t="n">
        <f aca="false">Opex!G30-G11</f>
        <v>284.020888956529</v>
      </c>
      <c r="H54" s="17" t="n">
        <f aca="false">Opex!H30-H11</f>
        <v>268.265414343284</v>
      </c>
      <c r="I54" s="17" t="n">
        <f aca="false">Opex!I30-I11</f>
        <v>274.902787543564</v>
      </c>
      <c r="J54" s="17" t="n">
        <f aca="false">Opex!J30-J11</f>
        <v>283.333884688905</v>
      </c>
      <c r="L54" s="17" t="n">
        <f aca="false">SUM(G54:J54)</f>
        <v>1110.52297553228</v>
      </c>
    </row>
    <row r="55" customFormat="false" ht="15" hidden="false" customHeight="false" outlineLevel="0" collapsed="false">
      <c r="A55" s="2" t="s">
        <v>140</v>
      </c>
      <c r="B55" s="5" t="s">
        <v>256</v>
      </c>
      <c r="G55" s="17" t="n">
        <f aca="false">G53-G54</f>
        <v>69.3984218045919</v>
      </c>
      <c r="H55" s="17" t="n">
        <f aca="false">H53-H54</f>
        <v>88.3904882951919</v>
      </c>
      <c r="I55" s="17" t="n">
        <f aca="false">I53-I54</f>
        <v>82.4538314908466</v>
      </c>
      <c r="J55" s="17" t="n">
        <f aca="false">J53-J54</f>
        <v>72.1642743617179</v>
      </c>
      <c r="L55" s="17" t="n">
        <f aca="false">L53-L54</f>
        <v>312.407015952348</v>
      </c>
    </row>
    <row r="56" customFormat="false" ht="15" hidden="false" customHeight="false" outlineLevel="0" collapsed="false">
      <c r="A56" s="10" t="s">
        <v>258</v>
      </c>
      <c r="B56" s="5" t="s">
        <v>256</v>
      </c>
      <c r="G56" s="12" t="n">
        <f aca="false">G55/G52</f>
        <v>0.173428208069205</v>
      </c>
      <c r="H56" s="12" t="n">
        <f aca="false">H55/H52</f>
        <v>0.218265691193002</v>
      </c>
      <c r="I56" s="12" t="n">
        <f aca="false">I55/I52</f>
        <v>0.202630030148481</v>
      </c>
      <c r="J56" s="12" t="n">
        <f aca="false">J55/J52</f>
        <v>0.177763098658503</v>
      </c>
      <c r="L56" s="12" t="n">
        <f aca="false">L55/L52</f>
        <v>0.193082262173069</v>
      </c>
    </row>
    <row r="57" customFormat="false" ht="15" hidden="false" customHeight="false" outlineLevel="0" collapsed="false">
      <c r="A57" s="2" t="s">
        <v>785</v>
      </c>
      <c r="B57" s="5" t="s">
        <v>256</v>
      </c>
      <c r="G57" s="17" t="n">
        <f aca="false">$L55*Assumptions!$D$11*Historical_Drivers!$C$61/(Historical_Drivers!$C$61+Historical_Drivers!$C$62+Historical_Drivers!$C$63+Historical_Drivers!$C$64)</f>
        <v>86.6491556862042</v>
      </c>
      <c r="H57" s="17" t="n">
        <f aca="false">$L55*Assumptions!$D$11*Historical_Drivers!$C$62/(Historical_Drivers!$C$61+Historical_Drivers!$C$62+Historical_Drivers!$C$63+Historical_Drivers!$C$64)</f>
        <v>61.9137942293896</v>
      </c>
      <c r="I57" s="17" t="n">
        <f aca="false">$L55*Assumptions!$D$11*Historical_Drivers!$C$63/(Historical_Drivers!$C$61+Historical_Drivers!$C$62+Historical_Drivers!$C$63+Historical_Drivers!$C$64)</f>
        <v>91.770932896437</v>
      </c>
      <c r="J57" s="17" t="n">
        <f aca="false">$L55*Assumptions!$D$11*Historical_Drivers!$C$64/(Historical_Drivers!$C$61+Historical_Drivers!$C$62+Historical_Drivers!$C$63+Historical_Drivers!$C$64)</f>
        <v>72.0731331403175</v>
      </c>
      <c r="L57" s="17" t="n">
        <f aca="false">SUM(G57:J57)</f>
        <v>312.407015952348</v>
      </c>
    </row>
    <row r="58" customFormat="false" ht="15" hidden="false" customHeight="false" outlineLevel="0" collapsed="false">
      <c r="A58" s="2" t="s">
        <v>786</v>
      </c>
      <c r="B58" s="5" t="s">
        <v>256</v>
      </c>
      <c r="L58" s="17" t="n">
        <f aca="false">Cash_FCF!F29+L57+Cash_FCF!L26+Cash_FCF!L27</f>
        <v>1437.59759519137</v>
      </c>
    </row>
    <row r="60" customFormat="false" ht="15" hidden="false" customHeight="false" outlineLevel="0" collapsed="false">
      <c r="A60" s="28" t="s">
        <v>789</v>
      </c>
    </row>
    <row r="61" customFormat="false" ht="23.85" hidden="false" customHeight="false" outlineLevel="0" collapsed="false">
      <c r="A61" s="6" t="s">
        <v>761</v>
      </c>
      <c r="B61" s="6" t="s">
        <v>47</v>
      </c>
      <c r="C61" s="6" t="s">
        <v>776</v>
      </c>
      <c r="D61" s="6" t="s">
        <v>790</v>
      </c>
      <c r="E61" s="6" t="s">
        <v>791</v>
      </c>
    </row>
    <row r="62" customFormat="false" ht="15" hidden="false" customHeight="false" outlineLevel="0" collapsed="false">
      <c r="A62" s="10" t="s">
        <v>792</v>
      </c>
      <c r="B62" s="5" t="s">
        <v>256</v>
      </c>
      <c r="C62" s="17" t="n">
        <f aca="false">Management_Response!L35-Opex!L31</f>
        <v>70.4370654496947</v>
      </c>
      <c r="D62" s="17" t="n">
        <f aca="false">Management_Response!L45-Opex!L31</f>
        <v>66.7195487837387</v>
      </c>
      <c r="E62" s="17" t="n">
        <f aca="false">Management_Response!L55-Opex!L31</f>
        <v>63.0020321177824</v>
      </c>
    </row>
    <row r="63" customFormat="false" ht="15" hidden="false" customHeight="false" outlineLevel="0" collapsed="false">
      <c r="A63" s="10" t="s">
        <v>793</v>
      </c>
      <c r="B63" s="5" t="s">
        <v>256</v>
      </c>
      <c r="C63" s="25" t="n">
        <f aca="false">(Management_Response!L36-Opex!L32)*100</f>
        <v>4.33063931417857</v>
      </c>
      <c r="D63" s="25" t="n">
        <f aca="false">(Management_Response!L46-Opex!L32)*100</f>
        <v>4.15289111695804</v>
      </c>
      <c r="E63" s="25" t="n">
        <f aca="false">(Management_Response!L56-Opex!L32)*100</f>
        <v>3.97421107555711</v>
      </c>
    </row>
    <row r="64" customFormat="false" ht="15" hidden="false" customHeight="false" outlineLevel="0" collapsed="false">
      <c r="A64" s="10" t="s">
        <v>794</v>
      </c>
      <c r="B64" s="5" t="s">
        <v>256</v>
      </c>
      <c r="C64" s="17" t="n">
        <f aca="false">Management_Response!L38-Cash_FCF!L29</f>
        <v>70.4370654496947</v>
      </c>
      <c r="D64" s="17" t="n">
        <f aca="false">Management_Response!L48-Cash_FCF!L29</f>
        <v>66.7195487837387</v>
      </c>
      <c r="E64" s="17" t="n">
        <f aca="false">Management_Response!L58-Cash_FCF!L29</f>
        <v>63.0020321177824</v>
      </c>
    </row>
    <row r="65" customFormat="false" ht="15" hidden="false" customHeight="false" outlineLevel="0" collapsed="false">
      <c r="A65" s="10" t="s">
        <v>795</v>
      </c>
      <c r="B65" s="5" t="s">
        <v>256</v>
      </c>
      <c r="C65" s="17" t="n">
        <f aca="false">Management_Response!L31</f>
        <v>0</v>
      </c>
      <c r="D65" s="17" t="n">
        <f aca="false">Management_Response!L41</f>
        <v>4.24117797209857</v>
      </c>
      <c r="E65" s="17" t="n">
        <f aca="false">Management_Response!L51</f>
        <v>8.48235594419713</v>
      </c>
    </row>
    <row r="66" customFormat="false" ht="15" hidden="false" customHeight="false" outlineLevel="0" collapsed="false">
      <c r="A66" s="10" t="s">
        <v>796</v>
      </c>
      <c r="B66" s="5" t="s">
        <v>256</v>
      </c>
      <c r="C66" s="12" t="n">
        <f aca="false">Management_Response!L31/$E$17</f>
        <v>0</v>
      </c>
      <c r="D66" s="12" t="n">
        <f aca="false">Management_Response!L41/$E$17</f>
        <v>0.052952063066391</v>
      </c>
      <c r="E66" s="12" t="n">
        <f aca="false">Management_Response!L51/$E$17</f>
        <v>0.105904126132782</v>
      </c>
    </row>
    <row r="67" customFormat="false" ht="15" hidden="false" customHeight="false" outlineLevel="0" collapsed="false">
      <c r="A67" s="10" t="s">
        <v>797</v>
      </c>
      <c r="B67" s="5" t="s">
        <v>256</v>
      </c>
      <c r="C67" s="12" t="n">
        <f aca="false">Management_Response!L36</f>
        <v>0.196646544559284</v>
      </c>
      <c r="D67" s="12" t="n">
        <f aca="false">Management_Response!L46</f>
        <v>0.194869062587079</v>
      </c>
      <c r="E67" s="12" t="n">
        <f aca="false">Management_Response!L56</f>
        <v>0.193082262173069</v>
      </c>
    </row>
    <row r="68" customFormat="false" ht="15" hidden="false" customHeight="false" outlineLevel="0" collapsed="false">
      <c r="A68" s="10" t="s">
        <v>798</v>
      </c>
      <c r="B68" s="5" t="s">
        <v>256</v>
      </c>
      <c r="C68" s="12" t="n">
        <f aca="false">Opex!L17</f>
        <v>0.192505811538656</v>
      </c>
      <c r="D68" s="12" t="n">
        <f aca="false">Opex!L17</f>
        <v>0.192505811538656</v>
      </c>
      <c r="E68" s="12" t="n">
        <f aca="false">Opex!L17</f>
        <v>0.192505811538656</v>
      </c>
    </row>
    <row r="69" customFormat="false" ht="15" hidden="false" customHeight="false" outlineLevel="0" collapsed="false">
      <c r="A69" s="10" t="s">
        <v>799</v>
      </c>
      <c r="B69" s="5" t="s">
        <v>256</v>
      </c>
      <c r="C69" s="12" t="n">
        <f aca="false">Opex!L32</f>
        <v>0.153340151417498</v>
      </c>
      <c r="D69" s="12" t="n">
        <f aca="false">Opex!L32</f>
        <v>0.153340151417498</v>
      </c>
      <c r="E69" s="12" t="n">
        <f aca="false">Opex!L32</f>
        <v>0.153340151417498</v>
      </c>
    </row>
  </sheetData>
  <mergeCells count="1">
    <mergeCell ref="A21:L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7" min="3" style="0" width="13"/>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16.15" hidden="false" customHeight="false" outlineLevel="0" collapsed="false">
      <c r="A1" s="4" t="s">
        <v>800</v>
      </c>
    </row>
    <row r="2" customFormat="false" ht="15" hidden="false" customHeight="false" outlineLevel="0" collapsed="false">
      <c r="A2" s="5" t="s">
        <v>801</v>
      </c>
    </row>
    <row r="4" customFormat="false" ht="15" hidden="false" customHeight="false" outlineLevel="0" collapsed="false">
      <c r="A4" s="6" t="s">
        <v>802</v>
      </c>
      <c r="B4" s="6" t="s">
        <v>47</v>
      </c>
      <c r="C4" s="6" t="s">
        <v>579</v>
      </c>
      <c r="D4" s="6" t="s">
        <v>580</v>
      </c>
      <c r="E4" s="6" t="s">
        <v>581</v>
      </c>
      <c r="F4" s="6" t="s">
        <v>582</v>
      </c>
      <c r="G4" s="6" t="s">
        <v>583</v>
      </c>
      <c r="H4" s="6" t="s">
        <v>803</v>
      </c>
      <c r="I4" s="6" t="s">
        <v>804</v>
      </c>
      <c r="J4" s="6"/>
    </row>
    <row r="5" customFormat="false" ht="23.85" hidden="false" customHeight="false" outlineLevel="0" collapsed="false">
      <c r="A5" s="10" t="s">
        <v>805</v>
      </c>
      <c r="B5" s="5" t="s">
        <v>373</v>
      </c>
      <c r="C5" s="11" t="n">
        <f aca="false">Revenue_Build!F15</f>
        <v>0.030669376693767</v>
      </c>
      <c r="D5" s="11" t="n">
        <f aca="false">Revenue_Build!G15</f>
        <v>0.0260759079663828</v>
      </c>
      <c r="E5" s="11" t="n">
        <f aca="false">Revenue_Build!H15</f>
        <v>0.0120225755483752</v>
      </c>
      <c r="F5" s="11" t="n">
        <f aca="false">Revenue_Build!I15</f>
        <v>0.0117418148050443</v>
      </c>
      <c r="G5" s="11" t="n">
        <f aca="false">Revenue_Build!J15</f>
        <v>0.00466937669376702</v>
      </c>
      <c r="H5" s="3" t="s">
        <v>806</v>
      </c>
      <c r="I5" s="10" t="s">
        <v>807</v>
      </c>
    </row>
    <row r="6" customFormat="false" ht="15" hidden="false" customHeight="false" outlineLevel="0" collapsed="false">
      <c r="A6" s="10" t="s">
        <v>808</v>
      </c>
      <c r="B6" s="5" t="s">
        <v>373</v>
      </c>
      <c r="C6" s="11" t="n">
        <f aca="false">Revenue_Build!F6</f>
        <v>0.043669376693767</v>
      </c>
      <c r="D6" s="11" t="n">
        <f aca="false">Revenue_Build!G6</f>
        <v>0.0390759079663828</v>
      </c>
      <c r="E6" s="11" t="n">
        <f aca="false">Revenue_Build!H6</f>
        <v>0.0250225755483752</v>
      </c>
      <c r="F6" s="11" t="n">
        <f aca="false">Revenue_Build!I6</f>
        <v>0.0247418148050443</v>
      </c>
      <c r="G6" s="11" t="n">
        <f aca="false">Revenue_Build!J6</f>
        <v>0.030669376693767</v>
      </c>
    </row>
    <row r="7" customFormat="false" ht="23.85" hidden="false" customHeight="false" outlineLevel="0" collapsed="false">
      <c r="A7" s="10" t="s">
        <v>809</v>
      </c>
      <c r="B7" s="5" t="s">
        <v>373</v>
      </c>
      <c r="C7" s="11" t="n">
        <f aca="false">Trigger_History!$E$36</f>
        <v>0.0148267477203647</v>
      </c>
      <c r="H7" s="3" t="s">
        <v>810</v>
      </c>
      <c r="I7" s="10" t="s">
        <v>811</v>
      </c>
    </row>
    <row r="8" customFormat="false" ht="23.85" hidden="false" customHeight="false" outlineLevel="0" collapsed="false">
      <c r="A8" s="10" t="s">
        <v>812</v>
      </c>
      <c r="B8" s="5" t="s">
        <v>373</v>
      </c>
      <c r="C8" s="26" t="n">
        <f aca="false">Assumptions!$D$19</f>
        <v>194</v>
      </c>
      <c r="H8" s="3" t="s">
        <v>813</v>
      </c>
      <c r="I8" s="10" t="s">
        <v>814</v>
      </c>
    </row>
    <row r="10" customFormat="false" ht="15" hidden="false" customHeight="false" outlineLevel="0" collapsed="false">
      <c r="A10" s="2" t="s">
        <v>815</v>
      </c>
    </row>
    <row r="11" customFormat="false" ht="15" hidden="false" customHeight="false" outlineLevel="0" collapsed="false">
      <c r="A11" s="6" t="s">
        <v>816</v>
      </c>
      <c r="B11" s="6" t="s">
        <v>47</v>
      </c>
      <c r="C11" s="6" t="s">
        <v>817</v>
      </c>
      <c r="D11" s="6" t="s">
        <v>818</v>
      </c>
      <c r="E11" s="6" t="s">
        <v>819</v>
      </c>
      <c r="F11" s="6" t="s">
        <v>820</v>
      </c>
      <c r="G11" s="6" t="s">
        <v>821</v>
      </c>
      <c r="H11" s="6" t="s">
        <v>822</v>
      </c>
      <c r="I11" s="6" t="s">
        <v>823</v>
      </c>
      <c r="J11" s="6"/>
    </row>
    <row r="12" customFormat="false" ht="15" hidden="false" customHeight="false" outlineLevel="0" collapsed="false">
      <c r="A12" s="10" t="s">
        <v>824</v>
      </c>
      <c r="B12" s="5" t="s">
        <v>373</v>
      </c>
      <c r="C12" s="30" t="n">
        <f aca="false">Trigger_History!B31</f>
        <v>16</v>
      </c>
      <c r="D12" s="30" t="n">
        <f aca="false">Trigger_History!C31</f>
        <v>5</v>
      </c>
      <c r="E12" s="12" t="n">
        <f aca="false">Trigger_History!D31</f>
        <v>0.3125</v>
      </c>
      <c r="F12" s="30" t="n">
        <f aca="false">Trigger_History!E31</f>
        <v>5</v>
      </c>
      <c r="G12" s="30" t="n">
        <f aca="false">Trigger_History!F31</f>
        <v>0</v>
      </c>
      <c r="H12" s="10" t="str">
        <f aca="false">Trigger_History!G31&amp;" / "&amp;Trigger_History!H31</f>
        <v>0 / 0</v>
      </c>
      <c r="I12" s="10" t="str">
        <f aca="false">Trigger_History!I31</f>
        <v>FIRES TOO OFTEN</v>
      </c>
    </row>
    <row r="13" customFormat="false" ht="15" hidden="false" customHeight="false" outlineLevel="0" collapsed="false">
      <c r="A13" s="10" t="s">
        <v>825</v>
      </c>
      <c r="B13" s="5" t="s">
        <v>373</v>
      </c>
      <c r="C13" s="30" t="n">
        <f aca="false">Trigger_History!B32</f>
        <v>19</v>
      </c>
      <c r="D13" s="30" t="n">
        <f aca="false">Trigger_History!C32</f>
        <v>0</v>
      </c>
      <c r="E13" s="12" t="n">
        <f aca="false">Trigger_History!D32</f>
        <v>0</v>
      </c>
      <c r="F13" s="30" t="n">
        <f aca="false">Trigger_History!E32</f>
        <v>0</v>
      </c>
      <c r="G13" s="30" t="n">
        <f aca="false">Trigger_History!F32</f>
        <v>0</v>
      </c>
      <c r="H13" s="10" t="str">
        <f aca="false">Trigger_History!G32&amp;" / "&amp;Trigger_History!H32</f>
        <v>0 / 0</v>
      </c>
      <c r="I13" s="10" t="str">
        <f aca="false">Trigger_History!I32</f>
        <v>NEVER FIRED: untested</v>
      </c>
    </row>
    <row r="14" customFormat="false" ht="15" hidden="false" customHeight="false" outlineLevel="0" collapsed="false">
      <c r="A14" s="10" t="s">
        <v>826</v>
      </c>
      <c r="B14" s="5" t="s">
        <v>373</v>
      </c>
      <c r="C14" s="30" t="n">
        <f aca="false">Trigger_History!B33</f>
        <v>20</v>
      </c>
      <c r="D14" s="30" t="n">
        <f aca="false">Trigger_History!C33</f>
        <v>4</v>
      </c>
      <c r="E14" s="12" t="n">
        <f aca="false">Trigger_History!D33</f>
        <v>0.2</v>
      </c>
      <c r="F14" s="30" t="n">
        <f aca="false">Trigger_History!E33</f>
        <v>2</v>
      </c>
      <c r="G14" s="30" t="n">
        <f aca="false">Trigger_History!F33</f>
        <v>0</v>
      </c>
      <c r="H14" s="10" t="str">
        <f aca="false">Trigger_History!G33&amp;" / "&amp;Trigger_History!H33</f>
        <v>2 / 0</v>
      </c>
      <c r="I14" s="10" t="str">
        <f aca="false">Trigger_History!I33</f>
        <v>OK</v>
      </c>
    </row>
    <row r="16" customFormat="false" ht="15" hidden="false" customHeight="false" outlineLevel="0" collapsed="false">
      <c r="A16" s="2" t="s">
        <v>827</v>
      </c>
    </row>
    <row r="17" customFormat="false" ht="35.05" hidden="false" customHeight="false" outlineLevel="0" collapsed="false">
      <c r="A17" s="6" t="s">
        <v>828</v>
      </c>
      <c r="B17" s="6" t="s">
        <v>47</v>
      </c>
      <c r="C17" s="6" t="s">
        <v>829</v>
      </c>
      <c r="D17" s="6" t="s">
        <v>830</v>
      </c>
      <c r="E17" s="6" t="s">
        <v>831</v>
      </c>
      <c r="F17" s="6" t="s">
        <v>832</v>
      </c>
      <c r="G17" s="6" t="s">
        <v>833</v>
      </c>
      <c r="H17" s="6" t="s">
        <v>834</v>
      </c>
      <c r="I17" s="6" t="s">
        <v>835</v>
      </c>
      <c r="J17" s="6"/>
    </row>
    <row r="18" customFormat="false" ht="30" hidden="false" customHeight="true" outlineLevel="0" collapsed="false">
      <c r="A18" s="10" t="s">
        <v>836</v>
      </c>
      <c r="B18" s="5" t="s">
        <v>373</v>
      </c>
      <c r="C18" s="30" t="n">
        <f aca="false">Management_Response!$C$4</f>
        <v>2</v>
      </c>
      <c r="D18" s="17" t="n">
        <f aca="false">Management_Response!C15</f>
        <v>19.2568497528498</v>
      </c>
      <c r="E18" s="17" t="n">
        <f aca="false">Management_Response!C17</f>
        <v>21.8971503138816</v>
      </c>
      <c r="F18" s="11" t="n">
        <f aca="false">Management_Response!C18</f>
        <v>0.0134628919323021</v>
      </c>
      <c r="G18" s="25" t="n">
        <f aca="false">Management_Response!C19</f>
        <v>1.47529504159919</v>
      </c>
      <c r="H18" s="3" t="s">
        <v>837</v>
      </c>
      <c r="I18" s="3" t="s">
        <v>838</v>
      </c>
    </row>
    <row r="19" customFormat="false" ht="30" hidden="false" customHeight="true" outlineLevel="0" collapsed="false">
      <c r="A19" s="10" t="s">
        <v>839</v>
      </c>
      <c r="B19" s="5" t="s">
        <v>373</v>
      </c>
      <c r="C19" s="30" t="n">
        <f aca="false">Management_Response!$C$4</f>
        <v>2</v>
      </c>
      <c r="D19" s="17" t="n">
        <f aca="false">Management_Response!D15</f>
        <v>51.1802156968453</v>
      </c>
      <c r="E19" s="17" t="n">
        <f aca="false">Management_Response!D17</f>
        <v>58.1975188358549</v>
      </c>
      <c r="F19" s="11" t="n">
        <f aca="false">Management_Response!D18</f>
        <v>0.035781227035672</v>
      </c>
      <c r="G19" s="25" t="n">
        <f aca="false">Management_Response!D19</f>
        <v>3.92099016270089</v>
      </c>
      <c r="H19" s="3" t="s">
        <v>840</v>
      </c>
      <c r="I19" s="3" t="s">
        <v>841</v>
      </c>
    </row>
    <row r="20" customFormat="false" ht="30" hidden="false" customHeight="true" outlineLevel="0" collapsed="false">
      <c r="A20" s="10" t="s">
        <v>842</v>
      </c>
      <c r="B20" s="5" t="s">
        <v>373</v>
      </c>
      <c r="C20" s="30" t="n">
        <f aca="false">Management_Response!$C$4</f>
        <v>2</v>
      </c>
      <c r="D20" s="17" t="n">
        <f aca="false">Management_Response!E15</f>
        <v>70.4370654496951</v>
      </c>
      <c r="E20" s="17" t="n">
        <f aca="false">Management_Response!E17</f>
        <v>80.0946691497364</v>
      </c>
      <c r="F20" s="11" t="n">
        <f aca="false">Management_Response!E18</f>
        <v>0.0492441189679741</v>
      </c>
      <c r="G20" s="25" t="n">
        <f aca="false">Management_Response!E19</f>
        <v>5.39628520430008</v>
      </c>
      <c r="H20" s="3" t="s">
        <v>843</v>
      </c>
      <c r="I20" s="3" t="s">
        <v>844</v>
      </c>
    </row>
    <row r="22" customFormat="false" ht="15" hidden="false" customHeight="false" outlineLevel="0" collapsed="false">
      <c r="A22" s="2" t="s">
        <v>845</v>
      </c>
    </row>
    <row r="23" customFormat="false" ht="51.75" hidden="false" customHeight="true" outlineLevel="0" collapsed="false">
      <c r="A23" s="19" t="s">
        <v>846</v>
      </c>
      <c r="B23" s="19"/>
      <c r="C23" s="19"/>
      <c r="D23" s="19"/>
      <c r="E23" s="19"/>
      <c r="F23" s="19"/>
      <c r="G23" s="19"/>
      <c r="H23" s="19"/>
      <c r="I23" s="19"/>
    </row>
    <row r="24" customFormat="false" ht="51.75" hidden="false" customHeight="true" outlineLevel="0" collapsed="false">
      <c r="A24" s="19" t="s">
        <v>847</v>
      </c>
      <c r="B24" s="19"/>
      <c r="C24" s="19"/>
      <c r="D24" s="19"/>
      <c r="E24" s="19"/>
      <c r="F24" s="19"/>
      <c r="G24" s="19"/>
      <c r="H24" s="19"/>
      <c r="I24" s="19"/>
    </row>
    <row r="25" customFormat="false" ht="51.75" hidden="false" customHeight="true" outlineLevel="0" collapsed="false">
      <c r="A25" s="19" t="s">
        <v>848</v>
      </c>
      <c r="B25" s="19"/>
      <c r="C25" s="19"/>
      <c r="D25" s="19"/>
      <c r="E25" s="19"/>
      <c r="F25" s="19"/>
      <c r="G25" s="19"/>
      <c r="H25" s="19"/>
      <c r="I25" s="19"/>
    </row>
    <row r="26" customFormat="false" ht="51.75" hidden="false" customHeight="true" outlineLevel="0" collapsed="false">
      <c r="A26" s="19" t="s">
        <v>849</v>
      </c>
      <c r="B26" s="19"/>
      <c r="C26" s="19"/>
      <c r="D26" s="19"/>
      <c r="E26" s="19"/>
      <c r="F26" s="19"/>
      <c r="G26" s="19"/>
      <c r="H26" s="19"/>
      <c r="I26" s="19"/>
    </row>
    <row r="27" customFormat="false" ht="51.75" hidden="false" customHeight="true" outlineLevel="0" collapsed="false">
      <c r="A27" s="19" t="s">
        <v>850</v>
      </c>
      <c r="B27" s="19"/>
      <c r="C27" s="19"/>
      <c r="D27" s="19"/>
      <c r="E27" s="19"/>
      <c r="F27" s="19"/>
      <c r="G27" s="19"/>
      <c r="H27" s="19"/>
      <c r="I27" s="19"/>
    </row>
  </sheetData>
  <mergeCells count="5">
    <mergeCell ref="A23:I23"/>
    <mergeCell ref="A24:I24"/>
    <mergeCell ref="A25:I25"/>
    <mergeCell ref="A26:I26"/>
    <mergeCell ref="A27:I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9" min="3" style="0" width="10"/>
  </cols>
  <sheetData>
    <row r="1" customFormat="false" ht="16.15" hidden="false" customHeight="false" outlineLevel="0" collapsed="false">
      <c r="A1" s="4" t="s">
        <v>851</v>
      </c>
    </row>
    <row r="2" customFormat="false" ht="15" hidden="false" customHeight="false" outlineLevel="0" collapsed="false">
      <c r="A2" s="5" t="s">
        <v>852</v>
      </c>
    </row>
    <row r="4" customFormat="false" ht="23.85" hidden="false" customHeight="false" outlineLevel="0" collapsed="false">
      <c r="A4" s="6" t="s">
        <v>853</v>
      </c>
      <c r="B4" s="6" t="s">
        <v>854</v>
      </c>
      <c r="C4" s="6" t="s">
        <v>65</v>
      </c>
      <c r="D4" s="6" t="s">
        <v>731</v>
      </c>
      <c r="E4" s="6" t="s">
        <v>733</v>
      </c>
      <c r="F4" s="6" t="s">
        <v>855</v>
      </c>
      <c r="G4" s="6" t="s">
        <v>856</v>
      </c>
      <c r="H4" s="6" t="s">
        <v>857</v>
      </c>
      <c r="I4" s="6" t="s">
        <v>858</v>
      </c>
    </row>
    <row r="5" customFormat="false" ht="15" hidden="false" customHeight="false" outlineLevel="0" collapsed="false">
      <c r="A5" s="10" t="s">
        <v>859</v>
      </c>
      <c r="B5" s="14" t="n">
        <v>58.972</v>
      </c>
      <c r="C5" s="5" t="s">
        <v>860</v>
      </c>
    </row>
    <row r="6" customFormat="false" ht="15" hidden="false" customHeight="false" outlineLevel="0" collapsed="false">
      <c r="A6" s="10" t="s">
        <v>861</v>
      </c>
      <c r="B6" s="14" t="n">
        <v>70.615</v>
      </c>
      <c r="C6" s="5" t="s">
        <v>862</v>
      </c>
      <c r="G6" s="11" t="n">
        <f aca="false">B6/B5-1</f>
        <v>0.197432679915892</v>
      </c>
    </row>
    <row r="7" customFormat="false" ht="15" hidden="false" customHeight="false" outlineLevel="0" collapsed="false">
      <c r="A7" s="10" t="s">
        <v>863</v>
      </c>
      <c r="B7" s="14" t="n">
        <v>83.018</v>
      </c>
      <c r="C7" s="5" t="s">
        <v>864</v>
      </c>
      <c r="D7" s="14" t="n">
        <v>74</v>
      </c>
      <c r="E7" s="14" t="n">
        <v>75</v>
      </c>
      <c r="F7" s="5" t="s">
        <v>865</v>
      </c>
      <c r="G7" s="11" t="n">
        <f aca="false">B7/B6-1</f>
        <v>0.175642568859308</v>
      </c>
      <c r="H7" s="17" t="n">
        <f aca="false">(D7+E7)/2</f>
        <v>74.5</v>
      </c>
      <c r="I7" s="11" t="n">
        <f aca="false">B7/H7-1</f>
        <v>0.114335570469799</v>
      </c>
    </row>
    <row r="8" customFormat="false" ht="15" hidden="false" customHeight="false" outlineLevel="0" collapsed="false">
      <c r="A8" s="10" t="s">
        <v>866</v>
      </c>
      <c r="B8" s="14" t="n">
        <v>95.545</v>
      </c>
      <c r="C8" s="5" t="s">
        <v>867</v>
      </c>
      <c r="D8" s="14" t="n">
        <v>87</v>
      </c>
      <c r="E8" s="14" t="n">
        <v>88</v>
      </c>
      <c r="F8" s="5" t="s">
        <v>868</v>
      </c>
      <c r="G8" s="11" t="n">
        <f aca="false">B8/B7-1</f>
        <v>0.150894986629406</v>
      </c>
      <c r="H8" s="17" t="n">
        <f aca="false">(D8+E8)/2</f>
        <v>87.5</v>
      </c>
      <c r="I8" s="11" t="n">
        <f aca="false">B8/H8-1</f>
        <v>0.0919428571428571</v>
      </c>
    </row>
    <row r="9" customFormat="false" ht="15" hidden="false" customHeight="false" outlineLevel="0" collapsed="false">
      <c r="A9" s="10" t="s">
        <v>869</v>
      </c>
      <c r="B9" s="14" t="n">
        <v>108.497</v>
      </c>
      <c r="C9" s="5" t="s">
        <v>870</v>
      </c>
      <c r="D9" s="14" t="n">
        <v>100</v>
      </c>
      <c r="E9" s="14" t="n">
        <v>102</v>
      </c>
      <c r="F9" s="5" t="s">
        <v>871</v>
      </c>
      <c r="G9" s="11" t="n">
        <f aca="false">B9/B8-1</f>
        <v>0.13555916060495</v>
      </c>
      <c r="H9" s="17" t="n">
        <f aca="false">(D9+E9)/2</f>
        <v>101</v>
      </c>
      <c r="I9" s="11" t="n">
        <f aca="false">B9/H9-1</f>
        <v>0.0742277227722772</v>
      </c>
    </row>
    <row r="10" customFormat="false" ht="15" hidden="false" customHeight="false" outlineLevel="0" collapsed="false">
      <c r="A10" s="10" t="s">
        <v>872</v>
      </c>
      <c r="B10" s="14" t="n">
        <v>123.718</v>
      </c>
      <c r="C10" s="5" t="s">
        <v>873</v>
      </c>
      <c r="D10" s="14" t="n">
        <v>117</v>
      </c>
      <c r="E10" s="14" t="n">
        <v>119</v>
      </c>
      <c r="F10" s="5" t="s">
        <v>874</v>
      </c>
      <c r="G10" s="11" t="n">
        <f aca="false">B10/B9-1</f>
        <v>0.140289593260643</v>
      </c>
      <c r="H10" s="17" t="n">
        <f aca="false">(D10+E10)/2</f>
        <v>118</v>
      </c>
      <c r="I10" s="11" t="n">
        <f aca="false">B10/H10-1</f>
        <v>0.0484576271186441</v>
      </c>
    </row>
    <row r="11" customFormat="false" ht="15" hidden="false" customHeight="false" outlineLevel="0" collapsed="false">
      <c r="A11" s="10" t="s">
        <v>875</v>
      </c>
      <c r="B11" s="14" t="n">
        <v>136.893</v>
      </c>
      <c r="C11" s="5" t="s">
        <v>876</v>
      </c>
      <c r="D11" s="14" t="n">
        <v>130</v>
      </c>
      <c r="E11" s="14" t="n">
        <v>131</v>
      </c>
      <c r="F11" s="5" t="s">
        <v>877</v>
      </c>
      <c r="G11" s="11" t="n">
        <f aca="false">B11/B10-1</f>
        <v>0.106492183837437</v>
      </c>
      <c r="H11" s="17" t="n">
        <f aca="false">(D11+E11)/2</f>
        <v>130.5</v>
      </c>
      <c r="I11" s="11" t="n">
        <f aca="false">B11/H11-1</f>
        <v>0.0489885057471264</v>
      </c>
    </row>
    <row r="12" customFormat="false" ht="15" hidden="false" customHeight="false" outlineLevel="0" collapsed="false">
      <c r="A12" s="10" t="s">
        <v>878</v>
      </c>
      <c r="B12" s="14" t="n">
        <v>149.921</v>
      </c>
      <c r="C12" s="5" t="s">
        <v>879</v>
      </c>
      <c r="D12" s="14" t="n">
        <v>140</v>
      </c>
      <c r="E12" s="14" t="n">
        <v>142</v>
      </c>
      <c r="F12" s="5" t="s">
        <v>880</v>
      </c>
      <c r="G12" s="11" t="n">
        <f aca="false">B12/B11-1</f>
        <v>0.0951692197555754</v>
      </c>
      <c r="H12" s="17" t="n">
        <f aca="false">(D12+E12)/2</f>
        <v>141</v>
      </c>
      <c r="I12" s="11" t="n">
        <f aca="false">B12/H12-1</f>
        <v>0.0632695035460993</v>
      </c>
    </row>
    <row r="13" customFormat="false" ht="15" hidden="false" customHeight="false" outlineLevel="0" collapsed="false">
      <c r="A13" s="10" t="s">
        <v>48</v>
      </c>
      <c r="B13" s="14" t="n">
        <v>162.256</v>
      </c>
      <c r="C13" s="5" t="s">
        <v>66</v>
      </c>
      <c r="D13" s="14" t="n">
        <v>154</v>
      </c>
      <c r="E13" s="14" t="n">
        <v>156</v>
      </c>
      <c r="F13" s="5" t="s">
        <v>881</v>
      </c>
      <c r="G13" s="11" t="n">
        <f aca="false">B13/B12-1</f>
        <v>0.0822766657106075</v>
      </c>
      <c r="H13" s="17" t="n">
        <f aca="false">(D13+E13)/2</f>
        <v>155</v>
      </c>
      <c r="I13" s="11" t="n">
        <f aca="false">B13/H13-1</f>
        <v>0.0468129032258064</v>
      </c>
    </row>
    <row r="14" customFormat="false" ht="15" hidden="false" customHeight="false" outlineLevel="0" collapsed="false">
      <c r="A14" s="10" t="s">
        <v>49</v>
      </c>
      <c r="B14" s="14" t="n">
        <v>175.679</v>
      </c>
      <c r="C14" s="5" t="s">
        <v>67</v>
      </c>
      <c r="D14" s="14" t="n">
        <v>168</v>
      </c>
      <c r="E14" s="14" t="n">
        <v>170</v>
      </c>
      <c r="F14" s="5" t="s">
        <v>882</v>
      </c>
      <c r="G14" s="11" t="n">
        <f aca="false">B14/B13-1</f>
        <v>0.0827272951385465</v>
      </c>
      <c r="H14" s="17" t="n">
        <f aca="false">(D14+E14)/2</f>
        <v>169</v>
      </c>
      <c r="I14" s="11" t="n">
        <f aca="false">B14/H14-1</f>
        <v>0.0395207100591717</v>
      </c>
    </row>
    <row r="15" customFormat="false" ht="15" hidden="false" customHeight="false" outlineLevel="0" collapsed="false">
      <c r="A15" s="10" t="s">
        <v>50</v>
      </c>
      <c r="B15" s="14" t="n">
        <v>189.19</v>
      </c>
      <c r="C15" s="5" t="s">
        <v>68</v>
      </c>
      <c r="D15" s="14" t="n">
        <v>181</v>
      </c>
      <c r="E15" s="14" t="n">
        <v>183</v>
      </c>
      <c r="F15" s="5" t="s">
        <v>883</v>
      </c>
      <c r="G15" s="11" t="n">
        <f aca="false">B15/B14-1</f>
        <v>0.0769073139077521</v>
      </c>
      <c r="H15" s="17" t="n">
        <f aca="false">(D15+E15)/2</f>
        <v>182</v>
      </c>
      <c r="I15" s="11" t="n">
        <f aca="false">B15/H15-1</f>
        <v>0.0395054945054945</v>
      </c>
    </row>
    <row r="16" customFormat="false" ht="15" hidden="false" customHeight="false" outlineLevel="0" collapsed="false">
      <c r="A16" s="10" t="s">
        <v>51</v>
      </c>
      <c r="B16" s="14" t="n">
        <v>202.57</v>
      </c>
      <c r="C16" s="5" t="s">
        <v>69</v>
      </c>
      <c r="D16" s="14" t="n">
        <v>196</v>
      </c>
      <c r="E16" s="14" t="n">
        <v>198</v>
      </c>
      <c r="F16" s="5" t="s">
        <v>884</v>
      </c>
      <c r="G16" s="11" t="n">
        <f aca="false">B16/B15-1</f>
        <v>0.0707225540461969</v>
      </c>
      <c r="H16" s="17" t="n">
        <f aca="false">(D16+E16)/2</f>
        <v>197</v>
      </c>
      <c r="I16" s="11" t="n">
        <f aca="false">B16/H16-1</f>
        <v>0.0282741116751268</v>
      </c>
    </row>
    <row r="17" customFormat="false" ht="15" hidden="false" customHeight="false" outlineLevel="0" collapsed="false">
      <c r="A17" s="10" t="s">
        <v>52</v>
      </c>
      <c r="B17" s="14" t="n">
        <v>216.913</v>
      </c>
      <c r="C17" s="5" t="s">
        <v>70</v>
      </c>
      <c r="D17" s="14" t="n">
        <v>207</v>
      </c>
      <c r="E17" s="14" t="n">
        <v>211</v>
      </c>
      <c r="F17" s="5" t="s">
        <v>885</v>
      </c>
      <c r="G17" s="11" t="n">
        <f aca="false">B17/B16-1</f>
        <v>0.0708051537740042</v>
      </c>
      <c r="H17" s="17" t="n">
        <f aca="false">(D17+E17)/2</f>
        <v>209</v>
      </c>
      <c r="I17" s="11" t="n">
        <f aca="false">B17/H17-1</f>
        <v>0.0378612440191388</v>
      </c>
    </row>
    <row r="18" customFormat="false" ht="15" hidden="false" customHeight="false" outlineLevel="0" collapsed="false">
      <c r="A18" s="10" t="s">
        <v>53</v>
      </c>
      <c r="B18" s="14" t="n">
        <v>236.106</v>
      </c>
      <c r="C18" s="5" t="s">
        <v>71</v>
      </c>
      <c r="D18" s="14" t="n">
        <v>226</v>
      </c>
      <c r="E18" s="14" t="n">
        <v>230</v>
      </c>
      <c r="F18" s="5" t="s">
        <v>886</v>
      </c>
      <c r="G18" s="11" t="n">
        <f aca="false">B18/B17-1</f>
        <v>0.0884824791506271</v>
      </c>
      <c r="H18" s="17" t="n">
        <f aca="false">(D18+E18)/2</f>
        <v>228</v>
      </c>
      <c r="I18" s="11" t="n">
        <f aca="false">B18/H18-1</f>
        <v>0.0355526315789474</v>
      </c>
    </row>
    <row r="19" customFormat="false" ht="15" hidden="false" customHeight="false" outlineLevel="0" collapsed="false">
      <c r="A19" s="10" t="s">
        <v>54</v>
      </c>
      <c r="B19" s="14" t="n">
        <v>251</v>
      </c>
      <c r="C19" s="5" t="s">
        <v>72</v>
      </c>
      <c r="D19" s="14" t="n">
        <v>243</v>
      </c>
      <c r="E19" s="14" t="n">
        <v>247</v>
      </c>
      <c r="F19" s="5" t="s">
        <v>887</v>
      </c>
      <c r="G19" s="11" t="n">
        <f aca="false">B19/B18-1</f>
        <v>0.0630818361244525</v>
      </c>
      <c r="H19" s="17" t="n">
        <f aca="false">(D19+E19)/2</f>
        <v>245</v>
      </c>
      <c r="I19" s="11" t="n">
        <f aca="false">B19/H19-1</f>
        <v>0.0244897959183674</v>
      </c>
    </row>
    <row r="20" customFormat="false" ht="15" hidden="false" customHeight="false" outlineLevel="0" collapsed="false">
      <c r="A20" s="10" t="s">
        <v>55</v>
      </c>
      <c r="B20" s="14" t="n">
        <v>267.976</v>
      </c>
      <c r="C20" s="5" t="s">
        <v>73</v>
      </c>
      <c r="D20" s="14" t="n">
        <v>260</v>
      </c>
      <c r="E20" s="14" t="n">
        <v>262</v>
      </c>
      <c r="F20" s="5" t="s">
        <v>888</v>
      </c>
      <c r="G20" s="11" t="n">
        <f aca="false">B20/B19-1</f>
        <v>0.0676334661354581</v>
      </c>
      <c r="H20" s="17" t="n">
        <f aca="false">(D20+E20)/2</f>
        <v>261</v>
      </c>
      <c r="I20" s="11" t="n">
        <f aca="false">B20/H20-1</f>
        <v>0.0267279693486591</v>
      </c>
    </row>
    <row r="21" customFormat="false" ht="15" hidden="false" customHeight="false" outlineLevel="0" collapsed="false">
      <c r="A21" s="10" t="s">
        <v>56</v>
      </c>
      <c r="B21" s="14" t="n">
        <v>282.25</v>
      </c>
      <c r="C21" s="5" t="s">
        <v>74</v>
      </c>
      <c r="D21" s="14" t="n">
        <v>274</v>
      </c>
      <c r="E21" s="14" t="n">
        <v>276</v>
      </c>
      <c r="F21" s="5" t="s">
        <v>889</v>
      </c>
      <c r="G21" s="11" t="n">
        <f aca="false">B21/B20-1</f>
        <v>0.0532659641161894</v>
      </c>
      <c r="H21" s="17" t="n">
        <f aca="false">(D21+E21)/2</f>
        <v>275</v>
      </c>
      <c r="I21" s="11" t="n">
        <f aca="false">B21/H21-1</f>
        <v>0.0263636363636364</v>
      </c>
    </row>
    <row r="22" customFormat="false" ht="15" hidden="false" customHeight="false" outlineLevel="0" collapsed="false">
      <c r="A22" s="10" t="s">
        <v>57</v>
      </c>
      <c r="B22" s="14" t="n">
        <v>299.014</v>
      </c>
      <c r="C22" s="5" t="s">
        <v>75</v>
      </c>
      <c r="D22" s="14" t="n">
        <v>292</v>
      </c>
      <c r="E22" s="14" t="n">
        <v>294</v>
      </c>
      <c r="F22" s="5" t="s">
        <v>890</v>
      </c>
      <c r="G22" s="11" t="n">
        <f aca="false">B22/B21-1</f>
        <v>0.0593941541186891</v>
      </c>
      <c r="H22" s="17" t="n">
        <f aca="false">(D22+E22)/2</f>
        <v>293</v>
      </c>
      <c r="I22" s="11" t="n">
        <f aca="false">B22/H22-1</f>
        <v>0.0205255972696246</v>
      </c>
    </row>
    <row r="23" customFormat="false" ht="15" hidden="false" customHeight="false" outlineLevel="0" collapsed="false">
      <c r="A23" s="10" t="s">
        <v>58</v>
      </c>
      <c r="B23" s="14" t="n">
        <v>316.855</v>
      </c>
      <c r="C23" s="5" t="s">
        <v>76</v>
      </c>
      <c r="D23" s="14" t="n">
        <v>311</v>
      </c>
      <c r="E23" s="14" t="n">
        <v>313</v>
      </c>
      <c r="F23" s="5" t="s">
        <v>891</v>
      </c>
      <c r="G23" s="11" t="n">
        <f aca="false">B23/B22-1</f>
        <v>0.0596661025905141</v>
      </c>
      <c r="H23" s="17" t="n">
        <f aca="false">(D23+E23)/2</f>
        <v>312</v>
      </c>
      <c r="I23" s="11" t="n">
        <f aca="false">B23/H23-1</f>
        <v>0.0155608974358974</v>
      </c>
    </row>
    <row r="24" customFormat="false" ht="15" hidden="false" customHeight="false" outlineLevel="0" collapsed="false">
      <c r="A24" s="10" t="s">
        <v>59</v>
      </c>
      <c r="B24" s="14" t="n">
        <v>333.878</v>
      </c>
      <c r="C24" s="5" t="s">
        <v>77</v>
      </c>
      <c r="D24" s="14" t="n">
        <v>328</v>
      </c>
      <c r="E24" s="14" t="n">
        <v>330</v>
      </c>
      <c r="F24" s="5" t="s">
        <v>892</v>
      </c>
      <c r="G24" s="11" t="n">
        <f aca="false">B24/B23-1</f>
        <v>0.0537248899338814</v>
      </c>
      <c r="H24" s="17" t="n">
        <f aca="false">(D24+E24)/2</f>
        <v>329</v>
      </c>
      <c r="I24" s="11" t="n">
        <f aca="false">B24/H24-1</f>
        <v>0.0148267477203647</v>
      </c>
    </row>
    <row r="25" customFormat="false" ht="15" hidden="false" customHeight="false" outlineLevel="0" collapsed="false">
      <c r="A25" s="10" t="s">
        <v>60</v>
      </c>
      <c r="B25" s="14" t="n">
        <v>351.265</v>
      </c>
      <c r="C25" s="5" t="s">
        <v>78</v>
      </c>
      <c r="D25" s="14" t="n">
        <v>338</v>
      </c>
      <c r="E25" s="14" t="n">
        <v>340</v>
      </c>
      <c r="F25" s="5" t="s">
        <v>893</v>
      </c>
      <c r="G25" s="11" t="n">
        <f aca="false">B25/B24-1</f>
        <v>0.0520759079663828</v>
      </c>
      <c r="H25" s="17" t="n">
        <f aca="false">(D25+E25)/2</f>
        <v>339</v>
      </c>
      <c r="I25" s="11" t="n">
        <f aca="false">B25/H25-1</f>
        <v>0.0361799410029497</v>
      </c>
    </row>
    <row r="26" customFormat="false" ht="15" hidden="false" customHeight="false" outlineLevel="0" collapsed="false">
      <c r="A26" s="10" t="s">
        <v>61</v>
      </c>
      <c r="B26" s="14" t="n">
        <v>364.621</v>
      </c>
      <c r="C26" s="5" t="s">
        <v>79</v>
      </c>
      <c r="D26" s="14" t="n">
        <v>354</v>
      </c>
      <c r="E26" s="14" t="n">
        <v>356</v>
      </c>
      <c r="F26" s="5" t="s">
        <v>894</v>
      </c>
      <c r="G26" s="11" t="n">
        <f aca="false">B26/B25-1</f>
        <v>0.0380225755483752</v>
      </c>
      <c r="H26" s="17" t="n">
        <f aca="false">(D26+E26)/2</f>
        <v>355</v>
      </c>
      <c r="I26" s="11" t="n">
        <f aca="false">B26/H26-1</f>
        <v>0.0271014084507042</v>
      </c>
    </row>
    <row r="29" customFormat="false" ht="15" hidden="false" customHeight="false" outlineLevel="0" collapsed="false">
      <c r="A29" s="2" t="s">
        <v>895</v>
      </c>
    </row>
    <row r="30" customFormat="false" ht="23.85" hidden="false" customHeight="false" outlineLevel="0" collapsed="false">
      <c r="A30" s="6" t="s">
        <v>896</v>
      </c>
      <c r="B30" s="6" t="s">
        <v>897</v>
      </c>
      <c r="C30" s="6" t="s">
        <v>898</v>
      </c>
      <c r="D30" s="6" t="s">
        <v>899</v>
      </c>
      <c r="E30" s="6" t="s">
        <v>900</v>
      </c>
      <c r="F30" s="6" t="s">
        <v>901</v>
      </c>
      <c r="G30" s="6" t="s">
        <v>902</v>
      </c>
      <c r="H30" s="6" t="s">
        <v>903</v>
      </c>
    </row>
    <row r="31" customFormat="false" ht="15" hidden="false" customHeight="false" outlineLevel="0" collapsed="false">
      <c r="A31" s="10" t="s">
        <v>54</v>
      </c>
      <c r="B31" s="10" t="s">
        <v>53</v>
      </c>
      <c r="C31" s="11" t="n">
        <f aca="false">AVERAGE(G11:G14)-AVERAGE(G15:G18)</f>
        <v>0.0149369658908964</v>
      </c>
      <c r="D31" s="17" t="n">
        <f aca="false">H19*(1+MEDIAN(I11:I18))</f>
        <v>254.680710059172</v>
      </c>
      <c r="E31" s="17" t="n">
        <f aca="false">B18*(1+G15-$C31)</f>
        <v>250.737570988868</v>
      </c>
      <c r="F31" s="17" t="n">
        <f aca="false">B19</f>
        <v>251</v>
      </c>
      <c r="G31" s="11" t="n">
        <f aca="false">D31/F31-1</f>
        <v>0.0146641835026757</v>
      </c>
      <c r="H31" s="11" t="n">
        <f aca="false">E31/F31-1</f>
        <v>-0.00104553390889361</v>
      </c>
    </row>
    <row r="32" customFormat="false" ht="15" hidden="false" customHeight="false" outlineLevel="0" collapsed="false">
      <c r="A32" s="10" t="s">
        <v>55</v>
      </c>
      <c r="B32" s="10" t="s">
        <v>54</v>
      </c>
      <c r="C32" s="11" t="n">
        <f aca="false">AVERAGE(G12:G15)-AVERAGE(G16:G19)</f>
        <v>0.0109971178543002</v>
      </c>
      <c r="D32" s="17" t="n">
        <f aca="false">H20*(1+MEDIAN(I12:I19))</f>
        <v>271.096359377465</v>
      </c>
      <c r="E32" s="17" t="n">
        <f aca="false">B19*(1+G16-$C32)</f>
        <v>265.991084484166</v>
      </c>
      <c r="F32" s="17" t="n">
        <f aca="false">B20</f>
        <v>267.976</v>
      </c>
      <c r="G32" s="11" t="n">
        <f aca="false">D32/F32-1</f>
        <v>0.0116441747673846</v>
      </c>
      <c r="H32" s="11" t="n">
        <f aca="false">E32/F32-1</f>
        <v>-0.00740706449769368</v>
      </c>
    </row>
    <row r="33" customFormat="false" ht="15" hidden="false" customHeight="false" outlineLevel="0" collapsed="false">
      <c r="A33" s="10" t="s">
        <v>56</v>
      </c>
      <c r="B33" s="10" t="s">
        <v>55</v>
      </c>
      <c r="C33" s="11" t="n">
        <f aca="false">AVERAGE(G13:G16)-AVERAGE(G17:G20)</f>
        <v>0.00565772340464027</v>
      </c>
      <c r="D33" s="17" t="n">
        <f aca="false">H21*(1+MEDIAN(I13:I20))</f>
        <v>285.094407894737</v>
      </c>
      <c r="E33" s="17" t="n">
        <f aca="false">B20*(1+G17-$C33)</f>
        <v>285.433947800661</v>
      </c>
      <c r="F33" s="17" t="n">
        <f aca="false">B21</f>
        <v>282.25</v>
      </c>
      <c r="G33" s="11" t="n">
        <f aca="false">D33/F33-1</f>
        <v>0.0100776187590321</v>
      </c>
      <c r="H33" s="11" t="n">
        <f aca="false">E33/F33-1</f>
        <v>0.0112805945107552</v>
      </c>
    </row>
    <row r="34" customFormat="false" ht="15" hidden="false" customHeight="false" outlineLevel="0" collapsed="false">
      <c r="A34" s="10" t="s">
        <v>57</v>
      </c>
      <c r="B34" s="10" t="s">
        <v>56</v>
      </c>
      <c r="C34" s="11" t="n">
        <f aca="false">AVERAGE(G14:G17)-AVERAGE(G18:G21)</f>
        <v>0.00717464283494312</v>
      </c>
      <c r="D34" s="17" t="n">
        <f aca="false">H22*(1+MEDIAN(I14:I21))</f>
        <v>302.350617886722</v>
      </c>
      <c r="E34" s="17" t="n">
        <f aca="false">B21*(1+G18-$C34)</f>
        <v>305.199136800102</v>
      </c>
      <c r="F34" s="17" t="n">
        <f aca="false">B22</f>
        <v>299.014</v>
      </c>
      <c r="G34" s="11" t="n">
        <f aca="false">D34/F34-1</f>
        <v>0.0111587346636675</v>
      </c>
      <c r="H34" s="11" t="n">
        <f aca="false">E34/F34-1</f>
        <v>0.0206851077210493</v>
      </c>
    </row>
    <row r="35" customFormat="false" ht="15" hidden="false" customHeight="false" outlineLevel="0" collapsed="false">
      <c r="A35" s="10" t="s">
        <v>58</v>
      </c>
      <c r="B35" s="10" t="s">
        <v>57</v>
      </c>
      <c r="C35" s="11" t="n">
        <f aca="false">AVERAGE(G15:G18)-AVERAGE(G19:G22)</f>
        <v>0.0158855200959478</v>
      </c>
      <c r="D35" s="17" t="n">
        <f aca="false">H23*(1+MEDIAN(I15:I22))</f>
        <v>320.580324639711</v>
      </c>
      <c r="E35" s="17" t="n">
        <f aca="false">B22*(1+G19-$C35)</f>
        <v>313.126359240947</v>
      </c>
      <c r="F35" s="17" t="n">
        <f aca="false">B23</f>
        <v>316.855</v>
      </c>
      <c r="G35" s="11" t="n">
        <f aca="false">D35/F35-1</f>
        <v>0.011757190638338</v>
      </c>
      <c r="H35" s="11" t="n">
        <f aca="false">E35/F35-1</f>
        <v>-0.0117676563697992</v>
      </c>
    </row>
    <row r="36" customFormat="false" ht="15" hidden="false" customHeight="false" outlineLevel="0" collapsed="false">
      <c r="A36" s="10" t="s">
        <v>59</v>
      </c>
      <c r="B36" s="10" t="s">
        <v>58</v>
      </c>
      <c r="C36" s="11" t="n">
        <f aca="false">AVERAGE(G16:G19)-AVERAGE(G20:G23)</f>
        <v>0.0132830840336075</v>
      </c>
      <c r="D36" s="17" t="n">
        <f aca="false">H24*(1+MEDIAN(I16:I23))</f>
        <v>337.733569139673</v>
      </c>
      <c r="E36" s="17" t="n">
        <f aca="false">B23*(1+G20-$C36)</f>
        <v>334.076190320882</v>
      </c>
      <c r="F36" s="17" t="n">
        <f aca="false">B24</f>
        <v>333.878</v>
      </c>
      <c r="G36" s="11" t="n">
        <f aca="false">D36/F36-1</f>
        <v>0.0115478382513152</v>
      </c>
      <c r="H36" s="11" t="n">
        <f aca="false">E36/F36-1</f>
        <v>0.000593601018581191</v>
      </c>
    </row>
    <row r="37" customFormat="false" ht="15" hidden="false" customHeight="false" outlineLevel="0" collapsed="false">
      <c r="A37" s="10" t="s">
        <v>60</v>
      </c>
      <c r="B37" s="10" t="s">
        <v>59</v>
      </c>
      <c r="C37" s="11" t="n">
        <f aca="false">AVERAGE(G17:G20)-AVERAGE(G21:G24)</f>
        <v>0.015987956106317</v>
      </c>
      <c r="D37" s="17" t="n">
        <f aca="false">H25*(1+MEDIAN(I17:I24))</f>
        <v>347.6196567718</v>
      </c>
      <c r="E37" s="17" t="n">
        <f aca="false">B24*(1+G21-$C37)</f>
        <v>346.32430675832</v>
      </c>
      <c r="F37" s="17" t="n">
        <f aca="false">B25</f>
        <v>351.265</v>
      </c>
      <c r="G37" s="11" t="n">
        <f aca="false">D37/F37-1</f>
        <v>-0.010377758183139</v>
      </c>
      <c r="H37" s="11" t="n">
        <f aca="false">E37/F37-1</f>
        <v>-0.0140654299223658</v>
      </c>
    </row>
    <row r="38" customFormat="false" ht="15" hidden="false" customHeight="false" outlineLevel="0" collapsed="false">
      <c r="A38" s="10" t="s">
        <v>61</v>
      </c>
      <c r="B38" s="10" t="s">
        <v>60</v>
      </c>
      <c r="C38" s="11" t="n">
        <f aca="false">AVERAGE(G18:G21)-AVERAGE(G22:G25)</f>
        <v>0.0119006727293149</v>
      </c>
      <c r="D38" s="17" t="n">
        <f aca="false">H26*(1+MEDIAN(I18:I25))</f>
        <v>364.026484230056</v>
      </c>
      <c r="E38" s="17" t="n">
        <f aca="false">B25*(1+G22-$C38)</f>
        <v>367.947797740239</v>
      </c>
      <c r="F38" s="17" t="n">
        <f aca="false">B26</f>
        <v>364.621</v>
      </c>
      <c r="G38" s="11" t="n">
        <f aca="false">D38/F38-1</f>
        <v>-0.00163050337184167</v>
      </c>
      <c r="H38" s="11" t="n">
        <f aca="false">E38/F38-1</f>
        <v>0.00912398830631944</v>
      </c>
    </row>
    <row r="40" customFormat="false" ht="15" hidden="false" customHeight="false" outlineLevel="0" collapsed="false">
      <c r="A40" s="2" t="s">
        <v>904</v>
      </c>
    </row>
    <row r="41" customFormat="false" ht="23.85" hidden="false" customHeight="false" outlineLevel="0" collapsed="false">
      <c r="A41" s="6" t="s">
        <v>896</v>
      </c>
      <c r="B41" s="6" t="s">
        <v>897</v>
      </c>
      <c r="C41" s="6" t="s">
        <v>898</v>
      </c>
      <c r="D41" s="6" t="s">
        <v>899</v>
      </c>
      <c r="E41" s="6" t="s">
        <v>905</v>
      </c>
      <c r="F41" s="6" t="s">
        <v>900</v>
      </c>
      <c r="G41" s="6" t="s">
        <v>906</v>
      </c>
      <c r="H41" s="6" t="s">
        <v>901</v>
      </c>
      <c r="I41" s="6" t="s">
        <v>902</v>
      </c>
      <c r="J41" s="6" t="s">
        <v>903</v>
      </c>
    </row>
    <row r="42" customFormat="false" ht="15" hidden="false" customHeight="false" outlineLevel="0" collapsed="false">
      <c r="A42" s="10" t="s">
        <v>54</v>
      </c>
      <c r="B42" s="10" t="s">
        <v>52</v>
      </c>
      <c r="C42" s="11" t="n">
        <f aca="false">AVERAGE(G10:G13)-AVERAGE(G14:G17)</f>
        <v>0.0307663364244408</v>
      </c>
      <c r="D42" s="17" t="n">
        <f aca="false">H18*(1+MEDIAN(I10:I17))</f>
        <v>237.842031914488</v>
      </c>
      <c r="E42" s="17" t="n">
        <f aca="false">D42*(1+G15-$C42)</f>
        <v>248.816295753639</v>
      </c>
      <c r="F42" s="17" t="n">
        <f aca="false">B17*(1+G14-$C42)</f>
        <v>228.184007437553</v>
      </c>
      <c r="G42" s="17" t="n">
        <f aca="false">F42*(1+G15-$C42)</f>
        <v>238.712640586781</v>
      </c>
      <c r="H42" s="17" t="n">
        <f aca="false">B19</f>
        <v>251</v>
      </c>
      <c r="I42" s="11" t="n">
        <f aca="false">E42/H42-1</f>
        <v>-0.00870001691777333</v>
      </c>
      <c r="J42" s="11" t="n">
        <f aca="false">G42/H42-1</f>
        <v>-0.0489536231602363</v>
      </c>
    </row>
    <row r="43" customFormat="false" ht="15" hidden="false" customHeight="false" outlineLevel="0" collapsed="false">
      <c r="A43" s="10" t="s">
        <v>55</v>
      </c>
      <c r="B43" s="10" t="s">
        <v>53</v>
      </c>
      <c r="C43" s="11" t="n">
        <f aca="false">AVERAGE(G11:G14)-AVERAGE(G15:G18)</f>
        <v>0.0149369658908964</v>
      </c>
      <c r="D43" s="17" t="n">
        <f aca="false">H19*(1+MEDIAN(I11:I18))</f>
        <v>254.680710059172</v>
      </c>
      <c r="E43" s="17" t="n">
        <f aca="false">D43*(1+G16-$C43)</f>
        <v>268.888223261632</v>
      </c>
      <c r="F43" s="17" t="n">
        <f aca="false">B18*(1+G15-$C43)</f>
        <v>250.737570988868</v>
      </c>
      <c r="G43" s="17" t="n">
        <f aca="false">F43*(1+G16-$C43)</f>
        <v>264.725113859113</v>
      </c>
      <c r="H43" s="17" t="n">
        <f aca="false">B20</f>
        <v>267.976</v>
      </c>
      <c r="I43" s="11" t="n">
        <f aca="false">E43/H43-1</f>
        <v>0.00340412298725279</v>
      </c>
      <c r="J43" s="11" t="n">
        <f aca="false">G43/H43-1</f>
        <v>-0.012131258548851</v>
      </c>
    </row>
    <row r="44" customFormat="false" ht="15" hidden="false" customHeight="false" outlineLevel="0" collapsed="false">
      <c r="A44" s="10" t="s">
        <v>56</v>
      </c>
      <c r="B44" s="10" t="s">
        <v>54</v>
      </c>
      <c r="C44" s="11" t="n">
        <f aca="false">AVERAGE(G12:G15)-AVERAGE(G16:G19)</f>
        <v>0.0109971178543002</v>
      </c>
      <c r="D44" s="17" t="n">
        <f aca="false">H20*(1+MEDIAN(I12:I19))</f>
        <v>271.096359377465</v>
      </c>
      <c r="E44" s="17" t="n">
        <f aca="false">D44*(1+G17-$C44)</f>
        <v>287.310100176813</v>
      </c>
      <c r="F44" s="17" t="n">
        <f aca="false">B19*(1+G16-$C44)</f>
        <v>265.991084484166</v>
      </c>
      <c r="G44" s="17" t="n">
        <f aca="false">F44*(1+G17-$C44)</f>
        <v>281.899488819316</v>
      </c>
      <c r="H44" s="17" t="n">
        <f aca="false">B21</f>
        <v>282.25</v>
      </c>
      <c r="I44" s="11" t="n">
        <f aca="false">E44/H44-1</f>
        <v>0.0179277242756883</v>
      </c>
      <c r="J44" s="11" t="n">
        <f aca="false">G44/H44-1</f>
        <v>-0.00124184652146664</v>
      </c>
    </row>
    <row r="45" customFormat="false" ht="15" hidden="false" customHeight="false" outlineLevel="0" collapsed="false">
      <c r="A45" s="10" t="s">
        <v>57</v>
      </c>
      <c r="B45" s="10" t="s">
        <v>55</v>
      </c>
      <c r="C45" s="11" t="n">
        <f aca="false">AVERAGE(G13:G16)-AVERAGE(G17:G20)</f>
        <v>0.00565772340464027</v>
      </c>
      <c r="D45" s="17" t="n">
        <f aca="false">H21*(1+MEDIAN(I13:I20))</f>
        <v>285.094407894737</v>
      </c>
      <c r="E45" s="17" t="n">
        <f aca="false">D45*(1+G18-$C45)</f>
        <v>308.707282593165</v>
      </c>
      <c r="F45" s="17" t="n">
        <f aca="false">B20*(1+G17-$C45)</f>
        <v>285.433947800661</v>
      </c>
      <c r="G45" s="17" t="n">
        <f aca="false">F45*(1+G18-$C45)</f>
        <v>309.074944808863</v>
      </c>
      <c r="H45" s="17" t="n">
        <f aca="false">B22</f>
        <v>299.014</v>
      </c>
      <c r="I45" s="11" t="n">
        <f aca="false">E45/H45-1</f>
        <v>0.0324174874526451</v>
      </c>
      <c r="J45" s="11" t="n">
        <f aca="false">G45/H45-1</f>
        <v>0.0336470693976307</v>
      </c>
    </row>
    <row r="46" customFormat="false" ht="15" hidden="false" customHeight="false" outlineLevel="0" collapsed="false">
      <c r="A46" s="10" t="s">
        <v>58</v>
      </c>
      <c r="B46" s="10" t="s">
        <v>56</v>
      </c>
      <c r="C46" s="11" t="n">
        <f aca="false">AVERAGE(G14:G17)-AVERAGE(G18:G21)</f>
        <v>0.00717464283494312</v>
      </c>
      <c r="D46" s="17" t="n">
        <f aca="false">H22*(1+MEDIAN(I14:I21))</f>
        <v>302.350617886722</v>
      </c>
      <c r="E46" s="17" t="n">
        <f aca="false">D46*(1+G19-$C46)</f>
        <v>319.254192322117</v>
      </c>
      <c r="F46" s="17" t="n">
        <f aca="false">B21*(1+G18-$C46)</f>
        <v>305.199136800102</v>
      </c>
      <c r="G46" s="17" t="n">
        <f aca="false">F46*(1+G19-$C46)</f>
        <v>322.261963932977</v>
      </c>
      <c r="H46" s="17" t="n">
        <f aca="false">B23</f>
        <v>316.855</v>
      </c>
      <c r="I46" s="11" t="n">
        <f aca="false">E46/H46-1</f>
        <v>0.00757189352264409</v>
      </c>
      <c r="J46" s="11" t="n">
        <f aca="false">G46/H46-1</f>
        <v>0.0170644740748183</v>
      </c>
    </row>
    <row r="47" customFormat="false" ht="15" hidden="false" customHeight="false" outlineLevel="0" collapsed="false">
      <c r="A47" s="10" t="s">
        <v>59</v>
      </c>
      <c r="B47" s="10" t="s">
        <v>57</v>
      </c>
      <c r="C47" s="11" t="n">
        <f aca="false">AVERAGE(G15:G18)-AVERAGE(G19:G22)</f>
        <v>0.0158855200959478</v>
      </c>
      <c r="D47" s="17" t="n">
        <f aca="false">H23*(1+MEDIAN(I15:I22))</f>
        <v>320.580324639711</v>
      </c>
      <c r="E47" s="17" t="n">
        <f aca="false">D47*(1+G20-$C47)</f>
        <v>337.169697980495</v>
      </c>
      <c r="F47" s="17" t="n">
        <f aca="false">B22*(1+G19-$C47)</f>
        <v>313.126359240947</v>
      </c>
      <c r="G47" s="17" t="n">
        <f aca="false">F47*(1+G20-$C47)</f>
        <v>329.330005182496</v>
      </c>
      <c r="H47" s="17" t="n">
        <f aca="false">B24</f>
        <v>333.878</v>
      </c>
      <c r="I47" s="11" t="n">
        <f aca="false">E47/H47-1</f>
        <v>0.00985898436103927</v>
      </c>
      <c r="J47" s="11" t="n">
        <f aca="false">G47/H47-1</f>
        <v>-0.0136217265513265</v>
      </c>
    </row>
    <row r="48" customFormat="false" ht="15" hidden="false" customHeight="false" outlineLevel="0" collapsed="false">
      <c r="A48" s="10" t="s">
        <v>60</v>
      </c>
      <c r="B48" s="10" t="s">
        <v>58</v>
      </c>
      <c r="C48" s="11" t="n">
        <f aca="false">AVERAGE(G16:G19)-AVERAGE(G20:G23)</f>
        <v>0.0132830840336075</v>
      </c>
      <c r="D48" s="17" t="n">
        <f aca="false">H24*(1+MEDIAN(I16:I23))</f>
        <v>337.733569139673</v>
      </c>
      <c r="E48" s="17" t="n">
        <f aca="false">D48*(1+G21-$C48)</f>
        <v>351.237129934447</v>
      </c>
      <c r="F48" s="17" t="n">
        <f aca="false">B23*(1+G20-$C48)</f>
        <v>334.076190320882</v>
      </c>
      <c r="G48" s="17" t="n">
        <f aca="false">F48*(1+G21-$C48)</f>
        <v>347.433518576927</v>
      </c>
      <c r="H48" s="17" t="n">
        <f aca="false">B25</f>
        <v>351.265</v>
      </c>
      <c r="I48" s="11" t="n">
        <f aca="false">E48/H48-1</f>
        <v>-7.93419940883222E-005</v>
      </c>
      <c r="J48" s="11" t="n">
        <f aca="false">G48/H48-1</f>
        <v>-0.0109076663575152</v>
      </c>
    </row>
    <row r="49" customFormat="false" ht="15" hidden="false" customHeight="false" outlineLevel="0" collapsed="false">
      <c r="A49" s="10" t="s">
        <v>61</v>
      </c>
      <c r="B49" s="10" t="s">
        <v>59</v>
      </c>
      <c r="C49" s="11" t="n">
        <f aca="false">AVERAGE(G17:G20)-AVERAGE(G21:G24)</f>
        <v>0.015987956106317</v>
      </c>
      <c r="D49" s="17" t="n">
        <f aca="false">H25*(1+MEDIAN(I17:I24))</f>
        <v>347.6196567718</v>
      </c>
      <c r="E49" s="17" t="n">
        <f aca="false">D49*(1+G22-$C49)</f>
        <v>362.708504426629</v>
      </c>
      <c r="F49" s="17" t="n">
        <f aca="false">B24*(1+G21-$C49)</f>
        <v>346.32430675832</v>
      </c>
      <c r="G49" s="17" t="n">
        <f aca="false">F49*(1+G22-$C49)</f>
        <v>361.356928193969</v>
      </c>
      <c r="H49" s="17" t="n">
        <f aca="false">B26</f>
        <v>364.621</v>
      </c>
      <c r="I49" s="11" t="n">
        <f aca="false">E49/H49-1</f>
        <v>-0.00524516024411847</v>
      </c>
      <c r="J49" s="11" t="n">
        <f aca="false">G49/H49-1</f>
        <v>-0.00895195780284364</v>
      </c>
    </row>
    <row r="51" customFormat="false" ht="15" hidden="false" customHeight="false" outlineLevel="0" collapsed="false">
      <c r="A51" s="2" t="s">
        <v>907</v>
      </c>
    </row>
    <row r="52" customFormat="false" ht="23.85" hidden="false" customHeight="false" outlineLevel="0" collapsed="false">
      <c r="A52" s="6" t="s">
        <v>896</v>
      </c>
      <c r="B52" s="6" t="s">
        <v>897</v>
      </c>
      <c r="C52" s="6" t="s">
        <v>898</v>
      </c>
      <c r="D52" s="6" t="s">
        <v>899</v>
      </c>
      <c r="E52" s="6" t="s">
        <v>905</v>
      </c>
      <c r="F52" s="6" t="s">
        <v>908</v>
      </c>
      <c r="G52" s="6" t="s">
        <v>900</v>
      </c>
      <c r="H52" s="6" t="s">
        <v>906</v>
      </c>
      <c r="I52" s="6" t="s">
        <v>909</v>
      </c>
      <c r="J52" s="6" t="s">
        <v>901</v>
      </c>
      <c r="K52" s="6" t="s">
        <v>902</v>
      </c>
      <c r="L52" s="6" t="s">
        <v>903</v>
      </c>
    </row>
    <row r="53" customFormat="false" ht="15" hidden="false" customHeight="false" outlineLevel="0" collapsed="false">
      <c r="A53" s="10" t="s">
        <v>54</v>
      </c>
      <c r="B53" s="10" t="s">
        <v>51</v>
      </c>
      <c r="C53" s="11" t="n">
        <f aca="false">AVERAGE(G9:G12)-AVERAGE(G13:G16)</f>
        <v>0.0412190821638757</v>
      </c>
      <c r="D53" s="17" t="n">
        <f aca="false">H17*(1+MEDIAN(I9:I16))</f>
        <v>218.955770420995</v>
      </c>
      <c r="E53" s="17" t="n">
        <f aca="false">D53*(1+G14-$C53)</f>
        <v>228.044233171663</v>
      </c>
      <c r="F53" s="17" t="n">
        <f aca="false">E53*(1+G15-$C53)</f>
        <v>236.182728612948</v>
      </c>
      <c r="G53" s="17" t="n">
        <f aca="false">B16*(1+G13-$C53)</f>
        <v>210.887034699061</v>
      </c>
      <c r="H53" s="17" t="n">
        <f aca="false">G53*(1+G14-$C53)</f>
        <v>219.640578648947</v>
      </c>
      <c r="I53" s="17" t="n">
        <f aca="false">H53*(1+G15-$C53)</f>
        <v>227.47916252013</v>
      </c>
      <c r="J53" s="17" t="n">
        <f aca="false">B19</f>
        <v>251</v>
      </c>
      <c r="K53" s="11" t="n">
        <f aca="false">F53/J53-1</f>
        <v>-0.0590329537332758</v>
      </c>
      <c r="L53" s="11" t="n">
        <f aca="false">I53/J53-1</f>
        <v>-0.0937085158560571</v>
      </c>
    </row>
    <row r="54" customFormat="false" ht="15" hidden="false" customHeight="false" outlineLevel="0" collapsed="false">
      <c r="A54" s="10" t="s">
        <v>55</v>
      </c>
      <c r="B54" s="10" t="s">
        <v>52</v>
      </c>
      <c r="C54" s="11" t="n">
        <f aca="false">AVERAGE(G10:G13)-AVERAGE(G14:G17)</f>
        <v>0.0307663364244408</v>
      </c>
      <c r="D54" s="17" t="n">
        <f aca="false">H18*(1+MEDIAN(I10:I17))</f>
        <v>237.842031914488</v>
      </c>
      <c r="E54" s="17" t="n">
        <f aca="false">D54*(1+G15-$C54)</f>
        <v>248.816295753639</v>
      </c>
      <c r="F54" s="17" t="n">
        <f aca="false">E54*(1+G16-$C54)</f>
        <v>258.758053814611</v>
      </c>
      <c r="G54" s="17" t="n">
        <f aca="false">B17*(1+G14-$C54)</f>
        <v>228.184007437553</v>
      </c>
      <c r="H54" s="17" t="n">
        <f aca="false">G54*(1+G15-$C54)</f>
        <v>238.712640586781</v>
      </c>
      <c r="I54" s="17" t="n">
        <f aca="false">H54*(1+G16-$C54)</f>
        <v>248.25069480313</v>
      </c>
      <c r="J54" s="17" t="n">
        <f aca="false">B20</f>
        <v>267.976</v>
      </c>
      <c r="K54" s="11" t="n">
        <f aca="false">F54/J54-1</f>
        <v>-0.0343984020411884</v>
      </c>
      <c r="L54" s="11" t="n">
        <f aca="false">I54/J54-1</f>
        <v>-0.0736084768668458</v>
      </c>
    </row>
    <row r="55" customFormat="false" ht="15" hidden="false" customHeight="false" outlineLevel="0" collapsed="false">
      <c r="A55" s="10" t="s">
        <v>56</v>
      </c>
      <c r="B55" s="10" t="s">
        <v>53</v>
      </c>
      <c r="C55" s="11" t="n">
        <f aca="false">AVERAGE(G11:G14)-AVERAGE(G15:G18)</f>
        <v>0.0149369658908964</v>
      </c>
      <c r="D55" s="17" t="n">
        <f aca="false">H19*(1+MEDIAN(I11:I18))</f>
        <v>254.680710059172</v>
      </c>
      <c r="E55" s="17" t="n">
        <f aca="false">D55*(1+G16-$C55)</f>
        <v>268.888223261632</v>
      </c>
      <c r="F55" s="17" t="n">
        <f aca="false">E55*(1+G17-$C55)</f>
        <v>283.910521038368</v>
      </c>
      <c r="G55" s="17" t="n">
        <f aca="false">B18*(1+G15-$C55)</f>
        <v>250.737570988868</v>
      </c>
      <c r="H55" s="17" t="n">
        <f aca="false">G55*(1+G16-$C55)</f>
        <v>264.725113859113</v>
      </c>
      <c r="I55" s="17" t="n">
        <f aca="false">H55*(1+G17-$C55)</f>
        <v>279.514826257571</v>
      </c>
      <c r="J55" s="17" t="n">
        <f aca="false">B21</f>
        <v>282.25</v>
      </c>
      <c r="K55" s="11" t="n">
        <f aca="false">F55/J55-1</f>
        <v>0.00588315691184405</v>
      </c>
      <c r="L55" s="11" t="n">
        <f aca="false">I55/J55-1</f>
        <v>-0.0096906067047966</v>
      </c>
    </row>
    <row r="56" customFormat="false" ht="15" hidden="false" customHeight="false" outlineLevel="0" collapsed="false">
      <c r="A56" s="10" t="s">
        <v>57</v>
      </c>
      <c r="B56" s="10" t="s">
        <v>54</v>
      </c>
      <c r="C56" s="11" t="n">
        <f aca="false">AVERAGE(G12:G15)-AVERAGE(G16:G19)</f>
        <v>0.0109971178543002</v>
      </c>
      <c r="D56" s="17" t="n">
        <f aca="false">H20*(1+MEDIAN(I12:I19))</f>
        <v>271.096359377465</v>
      </c>
      <c r="E56" s="17" t="n">
        <f aca="false">D56*(1+G17-$C56)</f>
        <v>287.310100176813</v>
      </c>
      <c r="F56" s="17" t="n">
        <f aca="false">E56*(1+G18-$C56)</f>
        <v>309.572427093097</v>
      </c>
      <c r="G56" s="17" t="n">
        <f aca="false">B19*(1+G16-$C56)</f>
        <v>265.991084484166</v>
      </c>
      <c r="H56" s="17" t="n">
        <f aca="false">G56*(1+G17-$C56)</f>
        <v>281.899488819316</v>
      </c>
      <c r="I56" s="17" t="n">
        <f aca="false">H56*(1+G18-$C56)</f>
        <v>303.742572559731</v>
      </c>
      <c r="J56" s="17" t="n">
        <f aca="false">B22</f>
        <v>299.014</v>
      </c>
      <c r="K56" s="11" t="n">
        <f aca="false">F56/J56-1</f>
        <v>0.0353108118452554</v>
      </c>
      <c r="L56" s="11" t="n">
        <f aca="false">I56/J56-1</f>
        <v>0.0158138834961927</v>
      </c>
    </row>
    <row r="57" customFormat="false" ht="15" hidden="false" customHeight="false" outlineLevel="0" collapsed="false">
      <c r="A57" s="10" t="s">
        <v>58</v>
      </c>
      <c r="B57" s="10" t="s">
        <v>55</v>
      </c>
      <c r="C57" s="11" t="n">
        <f aca="false">AVERAGE(G13:G16)-AVERAGE(G17:G20)</f>
        <v>0.00565772340464027</v>
      </c>
      <c r="D57" s="17" t="n">
        <f aca="false">H21*(1+MEDIAN(I13:I20))</f>
        <v>285.094407894737</v>
      </c>
      <c r="E57" s="17" t="n">
        <f aca="false">D57*(1+G18-$C57)</f>
        <v>308.707282593165</v>
      </c>
      <c r="F57" s="17" t="n">
        <f aca="false">E57*(1+G19-$C57)</f>
        <v>326.434524386222</v>
      </c>
      <c r="G57" s="17" t="n">
        <f aca="false">B20*(1+G17-$C57)</f>
        <v>285.433947800661</v>
      </c>
      <c r="H57" s="17" t="n">
        <f aca="false">G57*(1+G18-$C57)</f>
        <v>309.074944808863</v>
      </c>
      <c r="I57" s="17" t="n">
        <f aca="false">H57*(1+G19-$C57)</f>
        <v>326.823299278437</v>
      </c>
      <c r="J57" s="17" t="n">
        <f aca="false">B23</f>
        <v>316.855</v>
      </c>
      <c r="K57" s="11" t="n">
        <f aca="false">F57/J57-1</f>
        <v>0.0302331488732135</v>
      </c>
      <c r="L57" s="11" t="n">
        <f aca="false">I57/J57-1</f>
        <v>0.0314601293286743</v>
      </c>
    </row>
    <row r="58" customFormat="false" ht="15" hidden="false" customHeight="false" outlineLevel="0" collapsed="false">
      <c r="A58" s="10" t="s">
        <v>59</v>
      </c>
      <c r="B58" s="10" t="s">
        <v>56</v>
      </c>
      <c r="C58" s="11" t="n">
        <f aca="false">AVERAGE(G14:G17)-AVERAGE(G18:G21)</f>
        <v>0.00717464283494312</v>
      </c>
      <c r="D58" s="17" t="n">
        <f aca="false">H22*(1+MEDIAN(I14:I21))</f>
        <v>302.350617886722</v>
      </c>
      <c r="E58" s="17" t="n">
        <f aca="false">D58*(1+G19-$C58)</f>
        <v>319.254192322117</v>
      </c>
      <c r="F58" s="17" t="n">
        <f aca="false">E58*(1+G20-$C58)</f>
        <v>338.555925123669</v>
      </c>
      <c r="G58" s="17" t="n">
        <f aca="false">B21*(1+G18-$C58)</f>
        <v>305.199136800102</v>
      </c>
      <c r="H58" s="17" t="n">
        <f aca="false">G58*(1+G19-$C58)</f>
        <v>322.261963932977</v>
      </c>
      <c r="I58" s="17" t="n">
        <f aca="false">H58*(1+G20-$C58)</f>
        <v>341.745543066877</v>
      </c>
      <c r="J58" s="17" t="n">
        <f aca="false">B24</f>
        <v>333.878</v>
      </c>
      <c r="K58" s="11" t="n">
        <f aca="false">F58/J58-1</f>
        <v>0.014010881590488</v>
      </c>
      <c r="L58" s="11" t="n">
        <f aca="false">I58/J58-1</f>
        <v>0.0235641254196961</v>
      </c>
    </row>
    <row r="59" customFormat="false" ht="15" hidden="false" customHeight="false" outlineLevel="0" collapsed="false">
      <c r="A59" s="10" t="s">
        <v>60</v>
      </c>
      <c r="B59" s="10" t="s">
        <v>57</v>
      </c>
      <c r="C59" s="11" t="n">
        <f aca="false">AVERAGE(G15:G18)-AVERAGE(G19:G22)</f>
        <v>0.0158855200959478</v>
      </c>
      <c r="D59" s="17" t="n">
        <f aca="false">H23*(1+MEDIAN(I15:I22))</f>
        <v>320.580324639711</v>
      </c>
      <c r="E59" s="17" t="n">
        <f aca="false">D59*(1+G20-$C59)</f>
        <v>337.169697980495</v>
      </c>
      <c r="F59" s="17" t="n">
        <f aca="false">E59*(1+G21-$C59)</f>
        <v>349.773251001177</v>
      </c>
      <c r="G59" s="17" t="n">
        <f aca="false">B22*(1+G19-$C59)</f>
        <v>313.126359240947</v>
      </c>
      <c r="H59" s="17" t="n">
        <f aca="false">G59*(1+G20-$C59)</f>
        <v>329.330005182496</v>
      </c>
      <c r="I59" s="17" t="n">
        <f aca="false">H59*(1+G21-$C59)</f>
        <v>341.640507005406</v>
      </c>
      <c r="J59" s="17" t="n">
        <f aca="false">B25</f>
        <v>351.265</v>
      </c>
      <c r="K59" s="11" t="n">
        <f aca="false">F59/J59-1</f>
        <v>-0.00424679088102498</v>
      </c>
      <c r="L59" s="11" t="n">
        <f aca="false">I59/J59-1</f>
        <v>-0.0273995217132184</v>
      </c>
    </row>
    <row r="60" customFormat="false" ht="15" hidden="false" customHeight="false" outlineLevel="0" collapsed="false">
      <c r="A60" s="10" t="s">
        <v>61</v>
      </c>
      <c r="B60" s="10" t="s">
        <v>58</v>
      </c>
      <c r="C60" s="11" t="n">
        <f aca="false">AVERAGE(G16:G19)-AVERAGE(G20:G23)</f>
        <v>0.0132830840336075</v>
      </c>
      <c r="D60" s="17" t="n">
        <f aca="false">H24*(1+MEDIAN(I16:I23))</f>
        <v>337.733569139673</v>
      </c>
      <c r="E60" s="17" t="n">
        <f aca="false">D60*(1+G21-$C60)</f>
        <v>351.237129934447</v>
      </c>
      <c r="F60" s="17" t="n">
        <f aca="false">E60*(1+G22-$C60)</f>
        <v>367.433049849337</v>
      </c>
      <c r="G60" s="17" t="n">
        <f aca="false">B23*(1+G20-$C60)</f>
        <v>334.076190320882</v>
      </c>
      <c r="H60" s="17" t="n">
        <f aca="false">G60*(1+G21-$C60)</f>
        <v>347.433518576927</v>
      </c>
      <c r="I60" s="17" t="n">
        <f aca="false">H60*(1+G22-$C60)</f>
        <v>363.454049901935</v>
      </c>
      <c r="J60" s="17" t="n">
        <f aca="false">B26</f>
        <v>364.621</v>
      </c>
      <c r="K60" s="11" t="n">
        <f aca="false">F60/J60-1</f>
        <v>0.00771225422928668</v>
      </c>
      <c r="L60" s="11" t="n">
        <f aca="false">I60/J60-1</f>
        <v>-0.00320044675996545</v>
      </c>
    </row>
    <row r="62" customFormat="false" ht="15" hidden="false" customHeight="false" outlineLevel="0" collapsed="false">
      <c r="A62" s="2" t="s">
        <v>910</v>
      </c>
    </row>
    <row r="63" customFormat="false" ht="23.85" hidden="false" customHeight="false" outlineLevel="0" collapsed="false">
      <c r="A63" s="6" t="s">
        <v>896</v>
      </c>
      <c r="B63" s="6" t="s">
        <v>897</v>
      </c>
      <c r="C63" s="6" t="s">
        <v>898</v>
      </c>
      <c r="D63" s="6" t="s">
        <v>899</v>
      </c>
      <c r="E63" s="6" t="s">
        <v>905</v>
      </c>
      <c r="F63" s="6" t="s">
        <v>908</v>
      </c>
      <c r="G63" s="6" t="s">
        <v>911</v>
      </c>
      <c r="H63" s="6" t="s">
        <v>900</v>
      </c>
      <c r="I63" s="6" t="s">
        <v>906</v>
      </c>
      <c r="J63" s="6" t="s">
        <v>909</v>
      </c>
      <c r="K63" s="6" t="s">
        <v>912</v>
      </c>
      <c r="L63" s="6" t="s">
        <v>901</v>
      </c>
      <c r="M63" s="6" t="s">
        <v>902</v>
      </c>
      <c r="N63" s="6" t="s">
        <v>903</v>
      </c>
    </row>
    <row r="64" customFormat="false" ht="15" hidden="false" customHeight="false" outlineLevel="0" collapsed="false">
      <c r="A64" s="10" t="s">
        <v>54</v>
      </c>
      <c r="B64" s="10" t="s">
        <v>50</v>
      </c>
      <c r="C64" s="11" t="n">
        <f aca="false">AVERAGE(G8:G11)-AVERAGE(G12:G15)</f>
        <v>0.0490388574549886</v>
      </c>
      <c r="D64" s="17" t="n">
        <f aca="false">H16*(1+MEDIAN(I8:I15))</f>
        <v>206.598444087278</v>
      </c>
      <c r="E64" s="17" t="n">
        <f aca="false">D64*(1+G13-$C64)</f>
        <v>213.465323557761</v>
      </c>
      <c r="F64" s="17" t="n">
        <f aca="false">E64*(1+G14-$C64)</f>
        <v>220.656636808037</v>
      </c>
      <c r="G64" s="17" t="n">
        <f aca="false">F64*(1+G15-$C64)</f>
        <v>226.805996681935</v>
      </c>
      <c r="H64" s="17" t="n">
        <f aca="false">B15*(1+G12-$C64)</f>
        <v>197.917403243648</v>
      </c>
      <c r="I64" s="17" t="n">
        <f aca="false">H64*(1+G13-$C64)</f>
        <v>204.49574394311</v>
      </c>
      <c r="J64" s="17" t="n">
        <f aca="false">I64*(1+G14-$C64)</f>
        <v>211.384886069491</v>
      </c>
      <c r="K64" s="17" t="n">
        <f aca="false">J64*(1+G15-$C64)</f>
        <v>217.275856561691</v>
      </c>
      <c r="L64" s="17" t="n">
        <f aca="false">B19</f>
        <v>251</v>
      </c>
      <c r="M64" s="11" t="n">
        <f aca="false">G64/L64-1</f>
        <v>-0.0963904514663955</v>
      </c>
      <c r="N64" s="11" t="n">
        <f aca="false">K64/L64-1</f>
        <v>-0.13435913720442</v>
      </c>
    </row>
    <row r="65" customFormat="false" ht="15" hidden="false" customHeight="false" outlineLevel="0" collapsed="false">
      <c r="A65" s="10" t="s">
        <v>55</v>
      </c>
      <c r="B65" s="10" t="s">
        <v>51</v>
      </c>
      <c r="C65" s="11" t="n">
        <f aca="false">AVERAGE(G9:G12)-AVERAGE(G13:G16)</f>
        <v>0.0412190821638757</v>
      </c>
      <c r="D65" s="17" t="n">
        <f aca="false">H17*(1+MEDIAN(I9:I16))</f>
        <v>218.955770420995</v>
      </c>
      <c r="E65" s="17" t="n">
        <f aca="false">D65*(1+G14-$C65)</f>
        <v>228.044233171663</v>
      </c>
      <c r="F65" s="17" t="n">
        <f aca="false">E65*(1+G15-$C65)</f>
        <v>236.182728612948</v>
      </c>
      <c r="G65" s="17" t="n">
        <f aca="false">F65*(1+G16-$C65)</f>
        <v>243.15093910567</v>
      </c>
      <c r="H65" s="17" t="n">
        <f aca="false">B16*(1+G13-$C65)</f>
        <v>210.887034699061</v>
      </c>
      <c r="I65" s="17" t="n">
        <f aca="false">H65*(1+G14-$C65)</f>
        <v>219.640578648947</v>
      </c>
      <c r="J65" s="17" t="n">
        <f aca="false">I65*(1+G15-$C65)</f>
        <v>227.47916252013</v>
      </c>
      <c r="K65" s="17" t="n">
        <f aca="false">J65*(1+G16-$C65)</f>
        <v>234.190587595356</v>
      </c>
      <c r="L65" s="17" t="n">
        <f aca="false">B20</f>
        <v>267.976</v>
      </c>
      <c r="M65" s="11" t="n">
        <f aca="false">G65/L65-1</f>
        <v>-0.0926391202731969</v>
      </c>
      <c r="N65" s="11" t="n">
        <f aca="false">K65/L65-1</f>
        <v>-0.126076262070647</v>
      </c>
    </row>
    <row r="66" customFormat="false" ht="15" hidden="false" customHeight="false" outlineLevel="0" collapsed="false">
      <c r="A66" s="10" t="s">
        <v>56</v>
      </c>
      <c r="B66" s="10" t="s">
        <v>52</v>
      </c>
      <c r="C66" s="11" t="n">
        <f aca="false">AVERAGE(G10:G13)-AVERAGE(G14:G17)</f>
        <v>0.0307663364244408</v>
      </c>
      <c r="D66" s="17" t="n">
        <f aca="false">H18*(1+MEDIAN(I10:I17))</f>
        <v>237.842031914488</v>
      </c>
      <c r="E66" s="17" t="n">
        <f aca="false">D66*(1+G15-$C66)</f>
        <v>248.816295753639</v>
      </c>
      <c r="F66" s="17" t="n">
        <f aca="false">E66*(1+G16-$C66)</f>
        <v>258.758053814611</v>
      </c>
      <c r="G66" s="17" t="n">
        <f aca="false">F66*(1+G17-$C66)</f>
        <v>269.118420269022</v>
      </c>
      <c r="H66" s="17" t="n">
        <f aca="false">B17*(1+G14-$C66)</f>
        <v>228.184007437553</v>
      </c>
      <c r="I66" s="17" t="n">
        <f aca="false">H66*(1+G15-$C66)</f>
        <v>238.712640586781</v>
      </c>
      <c r="J66" s="17" t="n">
        <f aca="false">I66*(1+G16-$C66)</f>
        <v>248.25069480313</v>
      </c>
      <c r="K66" s="17" t="n">
        <f aca="false">J66*(1+G17-$C66)</f>
        <v>258.190359029255</v>
      </c>
      <c r="L66" s="17" t="n">
        <f aca="false">B21</f>
        <v>282.25</v>
      </c>
      <c r="M66" s="11" t="n">
        <f aca="false">G66/L66-1</f>
        <v>-0.0465246403223306</v>
      </c>
      <c r="N66" s="11" t="n">
        <f aca="false">K66/L66-1</f>
        <v>-0.0852423063622503</v>
      </c>
    </row>
    <row r="67" customFormat="false" ht="15" hidden="false" customHeight="false" outlineLevel="0" collapsed="false">
      <c r="A67" s="10" t="s">
        <v>57</v>
      </c>
      <c r="B67" s="10" t="s">
        <v>53</v>
      </c>
      <c r="C67" s="11" t="n">
        <f aca="false">AVERAGE(G11:G14)-AVERAGE(G15:G18)</f>
        <v>0.0149369658908964</v>
      </c>
      <c r="D67" s="17" t="n">
        <f aca="false">H19*(1+MEDIAN(I11:I18))</f>
        <v>254.680710059172</v>
      </c>
      <c r="E67" s="17" t="n">
        <f aca="false">D67*(1+G16-$C67)</f>
        <v>268.888223261632</v>
      </c>
      <c r="F67" s="17" t="n">
        <f aca="false">E67*(1+G17-$C67)</f>
        <v>283.910521038368</v>
      </c>
      <c r="G67" s="17" t="n">
        <f aca="false">F67*(1+G18-$C67)</f>
        <v>304.790866027972</v>
      </c>
      <c r="H67" s="17" t="n">
        <f aca="false">B18*(1+G15-$C67)</f>
        <v>250.737570988868</v>
      </c>
      <c r="I67" s="17" t="n">
        <f aca="false">H67*(1+G16-$C67)</f>
        <v>264.725113859113</v>
      </c>
      <c r="J67" s="17" t="n">
        <f aca="false">I67*(1+G17-$C67)</f>
        <v>279.514826257571</v>
      </c>
      <c r="K67" s="17" t="n">
        <f aca="false">J67*(1+G18-$C67)</f>
        <v>300.071887618389</v>
      </c>
      <c r="L67" s="17" t="n">
        <f aca="false">B22</f>
        <v>299.014</v>
      </c>
      <c r="M67" s="11" t="n">
        <f aca="false">G67/L67-1</f>
        <v>0.0193197175649711</v>
      </c>
      <c r="N67" s="11" t="n">
        <f aca="false">K67/L67-1</f>
        <v>0.00353792002511133</v>
      </c>
    </row>
    <row r="68" customFormat="false" ht="15" hidden="false" customHeight="false" outlineLevel="0" collapsed="false">
      <c r="A68" s="10" t="s">
        <v>58</v>
      </c>
      <c r="B68" s="10" t="s">
        <v>54</v>
      </c>
      <c r="C68" s="11" t="n">
        <f aca="false">AVERAGE(G12:G15)-AVERAGE(G16:G19)</f>
        <v>0.0109971178543002</v>
      </c>
      <c r="D68" s="17" t="n">
        <f aca="false">H20*(1+MEDIAN(I12:I19))</f>
        <v>271.096359377465</v>
      </c>
      <c r="E68" s="17" t="n">
        <f aca="false">D68*(1+G17-$C68)</f>
        <v>287.310100176813</v>
      </c>
      <c r="F68" s="17" t="n">
        <f aca="false">E68*(1+G18-$C68)</f>
        <v>309.572427093097</v>
      </c>
      <c r="G68" s="17" t="n">
        <f aca="false">F68*(1+G19-$C68)</f>
        <v>325.696419742449</v>
      </c>
      <c r="H68" s="17" t="n">
        <f aca="false">B19*(1+G16-$C68)</f>
        <v>265.991084484166</v>
      </c>
      <c r="I68" s="17" t="n">
        <f aca="false">H68*(1+G17-$C68)</f>
        <v>281.899488819316</v>
      </c>
      <c r="J68" s="17" t="n">
        <f aca="false">I68*(1+G18-$C68)</f>
        <v>303.742572559731</v>
      </c>
      <c r="K68" s="17" t="n">
        <f aca="false">J68*(1+G19-$C68)</f>
        <v>319.562918878156</v>
      </c>
      <c r="L68" s="17" t="n">
        <f aca="false">B23</f>
        <v>316.855</v>
      </c>
      <c r="M68" s="11" t="n">
        <f aca="false">G68/L68-1</f>
        <v>0.027903677525835</v>
      </c>
      <c r="N68" s="11" t="n">
        <f aca="false">K68/L68-1</f>
        <v>0.00854624000932747</v>
      </c>
    </row>
    <row r="69" customFormat="false" ht="15" hidden="false" customHeight="false" outlineLevel="0" collapsed="false">
      <c r="A69" s="10" t="s">
        <v>59</v>
      </c>
      <c r="B69" s="10" t="s">
        <v>55</v>
      </c>
      <c r="C69" s="11" t="n">
        <f aca="false">AVERAGE(G13:G16)-AVERAGE(G17:G20)</f>
        <v>0.00565772340464027</v>
      </c>
      <c r="D69" s="17" t="n">
        <f aca="false">H21*(1+MEDIAN(I13:I20))</f>
        <v>285.094407894737</v>
      </c>
      <c r="E69" s="17" t="n">
        <f aca="false">D69*(1+G18-$C69)</f>
        <v>308.707282593165</v>
      </c>
      <c r="F69" s="17" t="n">
        <f aca="false">E69*(1+G19-$C69)</f>
        <v>326.434524386222</v>
      </c>
      <c r="G69" s="17" t="n">
        <f aca="false">F69*(1+G20-$C69)</f>
        <v>346.665546488039</v>
      </c>
      <c r="H69" s="17" t="n">
        <f aca="false">B20*(1+G17-$C69)</f>
        <v>285.433947800661</v>
      </c>
      <c r="I69" s="17" t="n">
        <f aca="false">H69*(1+G18-$C69)</f>
        <v>309.074944808863</v>
      </c>
      <c r="J69" s="17" t="n">
        <f aca="false">I69*(1+G19-$C69)</f>
        <v>326.823299278437</v>
      </c>
      <c r="K69" s="17" t="n">
        <f aca="false">J69*(1+G20-$C69)</f>
        <v>347.078415992955</v>
      </c>
      <c r="L69" s="17" t="n">
        <f aca="false">B24</f>
        <v>333.878</v>
      </c>
      <c r="M69" s="11" t="n">
        <f aca="false">G69/L69-1</f>
        <v>0.0383000571707013</v>
      </c>
      <c r="N69" s="11" t="n">
        <f aca="false">K69/L69-1</f>
        <v>0.0395366451007693</v>
      </c>
    </row>
    <row r="70" customFormat="false" ht="15" hidden="false" customHeight="false" outlineLevel="0" collapsed="false">
      <c r="A70" s="10" t="s">
        <v>60</v>
      </c>
      <c r="B70" s="10" t="s">
        <v>56</v>
      </c>
      <c r="C70" s="11" t="n">
        <f aca="false">AVERAGE(G14:G17)-AVERAGE(G18:G21)</f>
        <v>0.00717464283494312</v>
      </c>
      <c r="D70" s="17" t="n">
        <f aca="false">H22*(1+MEDIAN(I14:I21))</f>
        <v>302.350617886722</v>
      </c>
      <c r="E70" s="17" t="n">
        <f aca="false">D70*(1+G19-$C70)</f>
        <v>319.254192322117</v>
      </c>
      <c r="F70" s="17" t="n">
        <f aca="false">E70*(1+G20-$C70)</f>
        <v>338.555925123669</v>
      </c>
      <c r="G70" s="17" t="n">
        <f aca="false">F70*(1+G21-$C70)</f>
        <v>354.160415040214</v>
      </c>
      <c r="H70" s="17" t="n">
        <f aca="false">B21*(1+G18-$C70)</f>
        <v>305.199136800102</v>
      </c>
      <c r="I70" s="17" t="n">
        <f aca="false">H70*(1+G19-$C70)</f>
        <v>322.261963932977</v>
      </c>
      <c r="J70" s="17" t="n">
        <f aca="false">I70*(1+G20-$C70)</f>
        <v>341.745543066877</v>
      </c>
      <c r="K70" s="17" t="n">
        <f aca="false">J70*(1+G21-$C70)</f>
        <v>357.497046688807</v>
      </c>
      <c r="L70" s="17" t="n">
        <f aca="false">B25</f>
        <v>351.265</v>
      </c>
      <c r="M70" s="11" t="n">
        <f aca="false">G70/L70-1</f>
        <v>0.00824282248505703</v>
      </c>
      <c r="N70" s="11" t="n">
        <f aca="false">K70/L70-1</f>
        <v>0.0177417240226234</v>
      </c>
    </row>
    <row r="71" customFormat="false" ht="15" hidden="false" customHeight="false" outlineLevel="0" collapsed="false">
      <c r="A71" s="10" t="s">
        <v>61</v>
      </c>
      <c r="B71" s="10" t="s">
        <v>57</v>
      </c>
      <c r="C71" s="11" t="n">
        <f aca="false">AVERAGE(G15:G18)-AVERAGE(G19:G22)</f>
        <v>0.0158855200959478</v>
      </c>
      <c r="D71" s="17" t="n">
        <f aca="false">H23*(1+MEDIAN(I15:I22))</f>
        <v>320.580324639711</v>
      </c>
      <c r="E71" s="17" t="n">
        <f aca="false">D71*(1+G20-$C71)</f>
        <v>337.169697980495</v>
      </c>
      <c r="F71" s="17" t="n">
        <f aca="false">E71*(1+G21-$C71)</f>
        <v>349.773251001177</v>
      </c>
      <c r="G71" s="17" t="n">
        <f aca="false">F71*(1+G22-$C71)</f>
        <v>364.991407369931</v>
      </c>
      <c r="H71" s="17" t="n">
        <f aca="false">B22*(1+G19-$C71)</f>
        <v>313.126359240947</v>
      </c>
      <c r="I71" s="17" t="n">
        <f aca="false">H71*(1+G20-$C71)</f>
        <v>329.330005182496</v>
      </c>
      <c r="J71" s="17" t="n">
        <f aca="false">I71*(1+G21-$C71)</f>
        <v>341.640507005406</v>
      </c>
      <c r="K71" s="17" t="n">
        <f aca="false">J71*(1+G22-$C71)</f>
        <v>356.504818792048</v>
      </c>
      <c r="L71" s="17" t="n">
        <f aca="false">B26</f>
        <v>364.621</v>
      </c>
      <c r="M71" s="11" t="n">
        <f aca="false">G71/L71-1</f>
        <v>0.00101586954654675</v>
      </c>
      <c r="N71" s="11" t="n">
        <f aca="false">K71/L71-1</f>
        <v>-0.0222592259029283</v>
      </c>
    </row>
    <row r="73" customFormat="false" ht="15" hidden="false" customHeight="false" outlineLevel="0" collapsed="false">
      <c r="A73" s="2" t="s">
        <v>913</v>
      </c>
    </row>
    <row r="74" customFormat="false" ht="35.05" hidden="false" customHeight="false" outlineLevel="0" collapsed="false">
      <c r="A74" s="6" t="s">
        <v>914</v>
      </c>
      <c r="B74" s="6" t="s">
        <v>915</v>
      </c>
      <c r="C74" s="6" t="s">
        <v>916</v>
      </c>
      <c r="D74" s="6" t="s">
        <v>917</v>
      </c>
      <c r="E74" s="6" t="s">
        <v>918</v>
      </c>
      <c r="F74" s="6" t="s">
        <v>919</v>
      </c>
      <c r="G74" s="6" t="s">
        <v>920</v>
      </c>
      <c r="H74" s="6" t="s">
        <v>921</v>
      </c>
    </row>
    <row r="75" customFormat="false" ht="15" hidden="false" customHeight="false" outlineLevel="0" collapsed="false">
      <c r="A75" s="30" t="n">
        <v>1</v>
      </c>
      <c r="B75" s="30" t="n">
        <f aca="false">COUNT(G31:G38)</f>
        <v>8</v>
      </c>
      <c r="C75" s="11" t="n">
        <f aca="false">SUMPRODUCT(ABS(G31:G38))/B75</f>
        <v>0.0103572502671742</v>
      </c>
      <c r="D75" s="11" t="n">
        <f aca="false">AVERAGE(G31:G38)</f>
        <v>0.00735518487842905</v>
      </c>
      <c r="E75" s="11" t="n">
        <f aca="false">MAX(MAX(G31:G38),-MIN(G31:G38))</f>
        <v>0.0146641835026757</v>
      </c>
      <c r="F75" s="11" t="n">
        <f aca="false">SUMPRODUCT(ABS(H31:H38))/B75</f>
        <v>0.00949612203193218</v>
      </c>
      <c r="G75" s="11" t="n">
        <f aca="false">AVERAGE(H31:H38)</f>
        <v>0.00092470085724411</v>
      </c>
      <c r="H75" s="11" t="n">
        <f aca="false">MAX(MAX(H31:H38),-MIN(H31:H38))</f>
        <v>0.0206851077210493</v>
      </c>
    </row>
    <row r="76" customFormat="false" ht="15" hidden="false" customHeight="false" outlineLevel="0" collapsed="false">
      <c r="A76" s="30" t="n">
        <v>2</v>
      </c>
      <c r="B76" s="30" t="n">
        <f aca="false">COUNT(I42:I49)</f>
        <v>8</v>
      </c>
      <c r="C76" s="11" t="n">
        <f aca="false">SUMPRODUCT(ABS(I42:I49))/B76</f>
        <v>0.0106505914694062</v>
      </c>
      <c r="D76" s="11" t="n">
        <f aca="false">AVERAGE(I42:I49)</f>
        <v>0.00714446168041118</v>
      </c>
      <c r="E76" s="11" t="n">
        <f aca="false">MAX(MAX(I42:I49),-MIN(I42:I49))</f>
        <v>0.0324174874526451</v>
      </c>
      <c r="F76" s="11" t="n">
        <f aca="false">SUMPRODUCT(ABS(J42:J49))/B76</f>
        <v>0.018314952801836</v>
      </c>
      <c r="G76" s="11" t="n">
        <f aca="false">AVERAGE(J42:J49)</f>
        <v>-0.00563706693372379</v>
      </c>
      <c r="H76" s="11" t="n">
        <f aca="false">MAX(MAX(J42:J49),-MIN(J42:J49))</f>
        <v>0.0489536231602363</v>
      </c>
    </row>
    <row r="77" customFormat="false" ht="15" hidden="false" customHeight="false" outlineLevel="0" collapsed="false">
      <c r="A77" s="30" t="n">
        <v>3</v>
      </c>
      <c r="B77" s="30" t="n">
        <f aca="false">COUNT(K53:K60)</f>
        <v>8</v>
      </c>
      <c r="C77" s="11" t="n">
        <f aca="false">SUMPRODUCT(ABS(K53:K60))/B77</f>
        <v>0.0238535500131971</v>
      </c>
      <c r="D77" s="11" t="n">
        <f aca="false">AVERAGE(K53:K60)</f>
        <v>-0.000565986650675185</v>
      </c>
      <c r="E77" s="11" t="n">
        <f aca="false">MAX(MAX(K53:K60),-MIN(K53:K60))</f>
        <v>0.0590329537332758</v>
      </c>
      <c r="F77" s="11" t="n">
        <f aca="false">SUMPRODUCT(ABS(L53:L60))/B77</f>
        <v>0.0348057132681808</v>
      </c>
      <c r="G77" s="11" t="n">
        <f aca="false">AVERAGE(L53:L60)</f>
        <v>-0.01709617870704</v>
      </c>
      <c r="H77" s="11" t="n">
        <f aca="false">MAX(MAX(L53:L60),-MIN(L53:L60))</f>
        <v>0.0937085158560571</v>
      </c>
    </row>
    <row r="78" customFormat="false" ht="15" hidden="false" customHeight="false" outlineLevel="0" collapsed="false">
      <c r="A78" s="30" t="n">
        <v>4</v>
      </c>
      <c r="B78" s="30" t="n">
        <f aca="false">COUNT(M64:M71)</f>
        <v>8</v>
      </c>
      <c r="C78" s="11" t="n">
        <f aca="false">SUMPRODUCT(ABS(M64:M71))/B78</f>
        <v>0.0412920445443793</v>
      </c>
      <c r="D78" s="11" t="n">
        <f aca="false">AVERAGE(M64:M71)</f>
        <v>-0.0175965084711015</v>
      </c>
      <c r="E78" s="11" t="n">
        <f aca="false">MAX(MAX(M64:M71),-MIN(M64:M71))</f>
        <v>0.0963904514663955</v>
      </c>
      <c r="F78" s="11" t="n">
        <f aca="false">SUMPRODUCT(ABS(N64:N71))/B78</f>
        <v>0.0546624325872596</v>
      </c>
      <c r="G78" s="11" t="n">
        <f aca="false">AVERAGE(N64:N71)</f>
        <v>-0.0373218002978017</v>
      </c>
      <c r="H78" s="11" t="n">
        <f aca="false">MAX(MAX(N64:N71),-MIN(N64:N71))</f>
        <v>0.13435913720442</v>
      </c>
    </row>
    <row r="80" customFormat="false" ht="69.75" hidden="false" customHeight="true" outlineLevel="0" collapsed="false">
      <c r="A80" s="19" t="s">
        <v>922</v>
      </c>
      <c r="B80" s="19"/>
      <c r="C80" s="19"/>
      <c r="D80" s="19"/>
      <c r="E80" s="19"/>
      <c r="F80" s="19"/>
      <c r="G80" s="19"/>
      <c r="H80" s="19"/>
      <c r="I80" s="19"/>
      <c r="J80" s="19"/>
      <c r="K80" s="19"/>
      <c r="L80" s="19"/>
    </row>
  </sheetData>
  <mergeCells count="1">
    <mergeCell ref="A80:L8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5" min="3" style="0" width="9"/>
    <col collapsed="false" customWidth="true" hidden="false" outlineLevel="0" max="6" min="6" style="0" width="11"/>
    <col collapsed="false" customWidth="true" hidden="false" outlineLevel="0" max="7" min="7" style="0" width="10"/>
    <col collapsed="false" customWidth="true" hidden="false" outlineLevel="0" max="8" min="8" style="0" width="9"/>
    <col collapsed="false" customWidth="true" hidden="false" outlineLevel="0" max="14" min="9" style="0" width="8"/>
    <col collapsed="false" customWidth="true" hidden="false" outlineLevel="0" max="15" min="15" style="0" width="11"/>
    <col collapsed="false" customWidth="true" hidden="false" outlineLevel="0" max="18" min="16" style="0" width="13"/>
  </cols>
  <sheetData>
    <row r="1" customFormat="false" ht="16.15" hidden="false" customHeight="false" outlineLevel="0" collapsed="false">
      <c r="A1" s="4" t="s">
        <v>923</v>
      </c>
    </row>
    <row r="2" customFormat="false" ht="15" hidden="false" customHeight="false" outlineLevel="0" collapsed="false">
      <c r="A2" s="5" t="s">
        <v>924</v>
      </c>
    </row>
    <row r="5" customFormat="false" ht="23.85" hidden="false" customHeight="false" outlineLevel="0" collapsed="false">
      <c r="A5" s="6" t="s">
        <v>853</v>
      </c>
      <c r="B5" s="6" t="s">
        <v>854</v>
      </c>
      <c r="C5" s="6" t="s">
        <v>925</v>
      </c>
      <c r="D5" s="6" t="s">
        <v>926</v>
      </c>
      <c r="E5" s="6" t="s">
        <v>927</v>
      </c>
      <c r="F5" s="6" t="s">
        <v>928</v>
      </c>
      <c r="G5" s="6" t="s">
        <v>65</v>
      </c>
      <c r="H5" s="6" t="s">
        <v>929</v>
      </c>
      <c r="I5" s="6" t="s">
        <v>930</v>
      </c>
      <c r="J5" s="6" t="s">
        <v>931</v>
      </c>
      <c r="K5" s="6" t="s">
        <v>932</v>
      </c>
      <c r="L5" s="6" t="s">
        <v>933</v>
      </c>
      <c r="M5" s="6" t="s">
        <v>934</v>
      </c>
      <c r="N5" s="6" t="s">
        <v>935</v>
      </c>
      <c r="O5" s="6" t="s">
        <v>936</v>
      </c>
      <c r="P5" s="6" t="s">
        <v>937</v>
      </c>
      <c r="Q5" s="6" t="s">
        <v>938</v>
      </c>
      <c r="R5" s="6" t="s">
        <v>939</v>
      </c>
    </row>
    <row r="6" customFormat="false" ht="15" hidden="false" customHeight="false" outlineLevel="0" collapsed="false">
      <c r="A6" s="10" t="s">
        <v>859</v>
      </c>
      <c r="B6" s="17" t="n">
        <f aca="false">Backtest!B5</f>
        <v>58.972</v>
      </c>
      <c r="F6" s="9" t="n">
        <v>335</v>
      </c>
      <c r="G6" s="5" t="s">
        <v>940</v>
      </c>
      <c r="P6" s="10" t="str">
        <f aca="false">IF(J6=1,IF(ISNUMBER(O6),IF(O6&lt;-4*Assumptions!$C$5/100,"Confirmed","False alarm"),"Not evaluable"),"")</f>
        <v/>
      </c>
      <c r="Q6" s="10" t="str">
        <f aca="false">IF(L6=1,IF(ISNUMBER(O6),IF(O6&lt;-4*Assumptions!$C$5/100,"Confirmed","False alarm"),"Not evaluable"),"")</f>
        <v/>
      </c>
      <c r="R6" s="10" t="str">
        <f aca="false">IF(N6=1,IF(ISNUMBER(O6),IF(O6&lt;-4*Assumptions!$C$5/100,"Confirmed","False alarm"),"Not evaluable"),"")</f>
        <v/>
      </c>
    </row>
    <row r="7" customFormat="false" ht="15" hidden="false" customHeight="false" outlineLevel="0" collapsed="false">
      <c r="A7" s="10" t="s">
        <v>861</v>
      </c>
      <c r="B7" s="17" t="n">
        <f aca="false">Backtest!B6</f>
        <v>70.615</v>
      </c>
      <c r="C7" s="11" t="n">
        <f aca="false">B7/B6-1</f>
        <v>0.197432679915892</v>
      </c>
      <c r="F7" s="9" t="n">
        <v>470</v>
      </c>
      <c r="G7" s="5" t="s">
        <v>941</v>
      </c>
      <c r="H7" s="29" t="n">
        <f aca="false">F7-F6</f>
        <v>135</v>
      </c>
      <c r="M7" s="30" t="n">
        <f aca="false">IF(H7&lt;=Assumptions!$D$19,1,0)</f>
        <v>1</v>
      </c>
      <c r="P7" s="10" t="str">
        <f aca="false">IF(J7=1,IF(ISNUMBER(O7),IF(O7&lt;-4*Assumptions!$C$5/100,"Confirmed","False alarm"),"Not evaluable"),"")</f>
        <v/>
      </c>
      <c r="Q7" s="10" t="str">
        <f aca="false">IF(L7=1,IF(ISNUMBER(O7),IF(O7&lt;-4*Assumptions!$C$5/100,"Confirmed","False alarm"),"Not evaluable"),"")</f>
        <v/>
      </c>
      <c r="R7" s="10" t="str">
        <f aca="false">IF(N7=1,IF(ISNUMBER(O7),IF(O7&lt;-4*Assumptions!$C$5/100,"Confirmed","False alarm"),"Not evaluable"),"")</f>
        <v/>
      </c>
    </row>
    <row r="8" customFormat="false" ht="15" hidden="false" customHeight="false" outlineLevel="0" collapsed="false">
      <c r="A8" s="10" t="s">
        <v>863</v>
      </c>
      <c r="B8" s="17" t="n">
        <f aca="false">Backtest!B7</f>
        <v>83.018</v>
      </c>
      <c r="C8" s="11" t="n">
        <f aca="false">B8/B7-1</f>
        <v>0.175642568859308</v>
      </c>
      <c r="E8" s="11" t="n">
        <f aca="false">Backtest!I7</f>
        <v>0.114335570469799</v>
      </c>
      <c r="F8" s="9" t="n">
        <v>613</v>
      </c>
      <c r="G8" s="5" t="s">
        <v>942</v>
      </c>
      <c r="H8" s="29" t="n">
        <f aca="false">F8-F7</f>
        <v>143</v>
      </c>
      <c r="K8" s="30" t="n">
        <f aca="false">IF(E8&lt;Trigger_History!$E$36,1,0)</f>
        <v>0</v>
      </c>
      <c r="M8" s="30" t="n">
        <f aca="false">IF(H8&lt;=Assumptions!$D$19,1,0)</f>
        <v>1</v>
      </c>
      <c r="N8" s="30" t="n">
        <f aca="false">IF(AND(M8=1,M7=1),1,0)</f>
        <v>1</v>
      </c>
      <c r="P8" s="10" t="str">
        <f aca="false">IF(J8=1,IF(ISNUMBER(O8),IF(O8&lt;-4*Assumptions!$C$5/100,"Confirmed","False alarm"),"Not evaluable"),"")</f>
        <v/>
      </c>
      <c r="Q8" s="10" t="str">
        <f aca="false">IF(L8=1,IF(ISNUMBER(O8),IF(O8&lt;-4*Assumptions!$C$5/100,"Confirmed","False alarm"),"Not evaluable"),"")</f>
        <v/>
      </c>
      <c r="R8" s="10" t="str">
        <f aca="false">IF(N8=1,IF(ISNUMBER(O8),IF(O8&lt;-4*Assumptions!$C$5/100,"Confirmed","False alarm"),"Not evaluable"),"")</f>
        <v>Not evaluable</v>
      </c>
    </row>
    <row r="9" customFormat="false" ht="15" hidden="false" customHeight="false" outlineLevel="0" collapsed="false">
      <c r="A9" s="10" t="s">
        <v>866</v>
      </c>
      <c r="B9" s="17" t="n">
        <f aca="false">Backtest!B8</f>
        <v>95.545</v>
      </c>
      <c r="C9" s="11" t="n">
        <f aca="false">B9/B8-1</f>
        <v>0.150894986629406</v>
      </c>
      <c r="E9" s="11" t="n">
        <f aca="false">Backtest!I8</f>
        <v>0.0919428571428571</v>
      </c>
      <c r="F9" s="9" t="n">
        <v>793</v>
      </c>
      <c r="G9" s="5" t="s">
        <v>943</v>
      </c>
      <c r="H9" s="29" t="n">
        <f aca="false">F9-F8</f>
        <v>180</v>
      </c>
      <c r="K9" s="30" t="n">
        <f aca="false">IF(E9&lt;Trigger_History!$E$36,1,0)</f>
        <v>0</v>
      </c>
      <c r="L9" s="30" t="n">
        <f aca="false">IF(AND(K9=1,K8=1),1,0)</f>
        <v>0</v>
      </c>
      <c r="M9" s="30" t="n">
        <f aca="false">IF(H9&lt;=Assumptions!$D$19,1,0)</f>
        <v>1</v>
      </c>
      <c r="N9" s="30" t="n">
        <f aca="false">IF(AND(M9=1,M8=1),1,0)</f>
        <v>1</v>
      </c>
      <c r="P9" s="10" t="str">
        <f aca="false">IF(J9=1,IF(ISNUMBER(O9),IF(O9&lt;-4*Assumptions!$C$5/100,"Confirmed","False alarm"),"Not evaluable"),"")</f>
        <v/>
      </c>
      <c r="Q9" s="10" t="str">
        <f aca="false">IF(L9=1,IF(ISNUMBER(O9),IF(O9&lt;-4*Assumptions!$C$5/100,"Confirmed","False alarm"),"Not evaluable"),"")</f>
        <v/>
      </c>
      <c r="R9" s="10" t="str">
        <f aca="false">IF(N9=1,IF(ISNUMBER(O9),IF(O9&lt;-4*Assumptions!$C$5/100,"Confirmed","False alarm"),"Not evaluable"),"")</f>
        <v>Not evaluable</v>
      </c>
    </row>
    <row r="10" customFormat="false" ht="15" hidden="false" customHeight="false" outlineLevel="0" collapsed="false">
      <c r="A10" s="10" t="s">
        <v>869</v>
      </c>
      <c r="B10" s="17" t="n">
        <f aca="false">Backtest!B9</f>
        <v>108.497</v>
      </c>
      <c r="C10" s="11" t="n">
        <f aca="false">B10/B9-1</f>
        <v>0.13555916060495</v>
      </c>
      <c r="D10" s="12" t="n">
        <f aca="false">B10/B6-1</f>
        <v>0.839805331343688</v>
      </c>
      <c r="E10" s="11" t="n">
        <f aca="false">Backtest!I9</f>
        <v>0.0742277227722772</v>
      </c>
      <c r="F10" s="9" t="n">
        <v>960</v>
      </c>
      <c r="G10" s="5" t="s">
        <v>944</v>
      </c>
      <c r="H10" s="29" t="n">
        <f aca="false">F10-F9</f>
        <v>167</v>
      </c>
      <c r="K10" s="30" t="n">
        <f aca="false">IF(E10&lt;Trigger_History!$E$36,1,0)</f>
        <v>0</v>
      </c>
      <c r="L10" s="30" t="n">
        <f aca="false">IF(AND(K10=1,K9=1),1,0)</f>
        <v>0</v>
      </c>
      <c r="M10" s="30" t="n">
        <f aca="false">IF(H10&lt;=Assumptions!$D$19,1,0)</f>
        <v>1</v>
      </c>
      <c r="N10" s="30" t="n">
        <f aca="false">IF(AND(M10=1,M9=1),1,0)</f>
        <v>1</v>
      </c>
      <c r="O10" s="12" t="n">
        <f aca="false">D14-D10</f>
        <v>-0.344316976826974</v>
      </c>
      <c r="P10" s="10" t="str">
        <f aca="false">IF(J10=1,IF(ISNUMBER(O10),IF(O10&lt;-4*Assumptions!$C$5/100,"Confirmed","False alarm"),"Not evaluable"),"")</f>
        <v/>
      </c>
      <c r="Q10" s="10" t="str">
        <f aca="false">IF(L10=1,IF(ISNUMBER(O10),IF(O10&lt;-4*Assumptions!$C$5/100,"Confirmed","False alarm"),"Not evaluable"),"")</f>
        <v/>
      </c>
      <c r="R10" s="10" t="str">
        <f aca="false">IF(N10=1,IF(ISNUMBER(O10),IF(O10&lt;-4*Assumptions!$C$5/100,"Confirmed","False alarm"),"Not evaluable"),"")</f>
        <v>Confirmed</v>
      </c>
    </row>
    <row r="11" customFormat="false" ht="15" hidden="false" customHeight="false" outlineLevel="0" collapsed="false">
      <c r="A11" s="10" t="s">
        <v>872</v>
      </c>
      <c r="B11" s="17" t="n">
        <f aca="false">Backtest!B10</f>
        <v>123.718</v>
      </c>
      <c r="C11" s="11" t="n">
        <f aca="false">B11/B10-1</f>
        <v>0.140289593260643</v>
      </c>
      <c r="D11" s="12" t="n">
        <f aca="false">B11/B7-1</f>
        <v>0.752007363874531</v>
      </c>
      <c r="E11" s="11" t="n">
        <f aca="false">Backtest!I10</f>
        <v>0.0484576271186441</v>
      </c>
      <c r="F11" s="9" t="n">
        <v>1160</v>
      </c>
      <c r="G11" s="5" t="s">
        <v>945</v>
      </c>
      <c r="H11" s="29" t="n">
        <f aca="false">F11-F10</f>
        <v>200</v>
      </c>
      <c r="I11" s="30" t="n">
        <f aca="false">IF(C11&lt;=C7-Assumptions!$D$5/100,1,0)</f>
        <v>1</v>
      </c>
      <c r="K11" s="30" t="n">
        <f aca="false">IF(E11&lt;Trigger_History!$E$36,1,0)</f>
        <v>0</v>
      </c>
      <c r="L11" s="30" t="n">
        <f aca="false">IF(AND(K11=1,K10=1),1,0)</f>
        <v>0</v>
      </c>
      <c r="M11" s="30" t="n">
        <f aca="false">IF(H11&lt;=Assumptions!$D$19,1,0)</f>
        <v>0</v>
      </c>
      <c r="N11" s="30" t="n">
        <f aca="false">IF(AND(M11=1,M10=1),1,0)</f>
        <v>0</v>
      </c>
      <c r="O11" s="12" t="n">
        <f aca="false">D15-D11</f>
        <v>-0.332011890297525</v>
      </c>
      <c r="P11" s="10" t="str">
        <f aca="false">IF(J11=1,IF(ISNUMBER(O11),IF(O11&lt;-4*Assumptions!$C$5/100,"Confirmed","False alarm"),"Not evaluable"),"")</f>
        <v/>
      </c>
      <c r="Q11" s="10" t="str">
        <f aca="false">IF(L11=1,IF(ISNUMBER(O11),IF(O11&lt;-4*Assumptions!$C$5/100,"Confirmed","False alarm"),"Not evaluable"),"")</f>
        <v/>
      </c>
      <c r="R11" s="10" t="str">
        <f aca="false">IF(N11=1,IF(ISNUMBER(O11),IF(O11&lt;-4*Assumptions!$C$5/100,"Confirmed","False alarm"),"Not evaluable"),"")</f>
        <v/>
      </c>
    </row>
    <row r="12" customFormat="false" ht="15" hidden="false" customHeight="false" outlineLevel="0" collapsed="false">
      <c r="A12" s="10" t="s">
        <v>875</v>
      </c>
      <c r="B12" s="17" t="n">
        <f aca="false">Backtest!B11</f>
        <v>136.893</v>
      </c>
      <c r="C12" s="11" t="n">
        <f aca="false">B12/B11-1</f>
        <v>0.106492183837437</v>
      </c>
      <c r="D12" s="12" t="n">
        <f aca="false">B12/B8-1</f>
        <v>0.648955648172686</v>
      </c>
      <c r="E12" s="11" t="n">
        <f aca="false">Backtest!I11</f>
        <v>0.0489885057471264</v>
      </c>
      <c r="F12" s="9" t="n">
        <v>1323</v>
      </c>
      <c r="G12" s="5" t="s">
        <v>946</v>
      </c>
      <c r="H12" s="29" t="n">
        <f aca="false">F12-F11</f>
        <v>163</v>
      </c>
      <c r="I12" s="30" t="n">
        <f aca="false">IF(C12&lt;=C8-Assumptions!$D$5/100,1,0)</f>
        <v>1</v>
      </c>
      <c r="J12" s="30" t="n">
        <f aca="false">IF(AND(I12=1,I11=1),1,0)</f>
        <v>1</v>
      </c>
      <c r="K12" s="30" t="n">
        <f aca="false">IF(E12&lt;Trigger_History!$E$36,1,0)</f>
        <v>0</v>
      </c>
      <c r="L12" s="30" t="n">
        <f aca="false">IF(AND(K12=1,K11=1),1,0)</f>
        <v>0</v>
      </c>
      <c r="M12" s="30" t="n">
        <f aca="false">IF(H12&lt;=Assumptions!$D$19,1,0)</f>
        <v>1</v>
      </c>
      <c r="N12" s="30" t="n">
        <f aca="false">IF(AND(M12=1,M11=1),1,0)</f>
        <v>0</v>
      </c>
      <c r="O12" s="12" t="n">
        <f aca="false">D16-D12</f>
        <v>-0.266927348697913</v>
      </c>
      <c r="P12" s="10" t="str">
        <f aca="false">IF(J12=1,IF(ISNUMBER(O12),IF(O12&lt;-4*Assumptions!$C$5/100,"Confirmed","False alarm"),"Not evaluable"),"")</f>
        <v>Confirmed</v>
      </c>
      <c r="Q12" s="10" t="str">
        <f aca="false">IF(L12=1,IF(ISNUMBER(O12),IF(O12&lt;-4*Assumptions!$C$5/100,"Confirmed","False alarm"),"Not evaluable"),"")</f>
        <v/>
      </c>
      <c r="R12" s="10" t="str">
        <f aca="false">IF(N12=1,IF(ISNUMBER(O12),IF(O12&lt;-4*Assumptions!$C$5/100,"Confirmed","False alarm"),"Not evaluable"),"")</f>
        <v/>
      </c>
    </row>
    <row r="13" customFormat="false" ht="15" hidden="false" customHeight="false" outlineLevel="0" collapsed="false">
      <c r="A13" s="10" t="s">
        <v>878</v>
      </c>
      <c r="B13" s="17" t="n">
        <f aca="false">Backtest!B12</f>
        <v>149.921</v>
      </c>
      <c r="C13" s="11" t="n">
        <f aca="false">B13/B12-1</f>
        <v>0.0951692197555754</v>
      </c>
      <c r="D13" s="12" t="n">
        <f aca="false">B13/B9-1</f>
        <v>0.569114030038202</v>
      </c>
      <c r="E13" s="11" t="n">
        <f aca="false">Backtest!I12</f>
        <v>0.0632695035460993</v>
      </c>
      <c r="F13" s="9" t="n">
        <v>1474</v>
      </c>
      <c r="G13" s="5" t="s">
        <v>947</v>
      </c>
      <c r="H13" s="29" t="n">
        <f aca="false">F13-F12</f>
        <v>151</v>
      </c>
      <c r="I13" s="30" t="n">
        <f aca="false">IF(C13&lt;=C9-Assumptions!$D$5/100,1,0)</f>
        <v>1</v>
      </c>
      <c r="J13" s="30" t="n">
        <f aca="false">IF(AND(I13=1,I12=1),1,0)</f>
        <v>1</v>
      </c>
      <c r="K13" s="30" t="n">
        <f aca="false">IF(E13&lt;Trigger_History!$E$36,1,0)</f>
        <v>0</v>
      </c>
      <c r="L13" s="30" t="n">
        <f aca="false">IF(AND(K13=1,K12=1),1,0)</f>
        <v>0</v>
      </c>
      <c r="M13" s="30" t="n">
        <f aca="false">IF(H13&lt;=Assumptions!$D$19,1,0)</f>
        <v>1</v>
      </c>
      <c r="N13" s="30" t="n">
        <f aca="false">IF(AND(M13=1,M12=1),1,0)</f>
        <v>1</v>
      </c>
      <c r="O13" s="12" t="n">
        <f aca="false">D17-D13</f>
        <v>-0.217935742806927</v>
      </c>
      <c r="P13" s="10" t="str">
        <f aca="false">IF(J13=1,IF(ISNUMBER(O13),IF(O13&lt;-4*Assumptions!$C$5/100,"Confirmed","False alarm"),"Not evaluable"),"")</f>
        <v>Confirmed</v>
      </c>
      <c r="Q13" s="10" t="str">
        <f aca="false">IF(L13=1,IF(ISNUMBER(O13),IF(O13&lt;-4*Assumptions!$C$5/100,"Confirmed","False alarm"),"Not evaluable"),"")</f>
        <v/>
      </c>
      <c r="R13" s="10" t="str">
        <f aca="false">IF(N13=1,IF(ISNUMBER(O13),IF(O13&lt;-4*Assumptions!$C$5/100,"Confirmed","False alarm"),"Not evaluable"),"")</f>
        <v>Confirmed</v>
      </c>
    </row>
    <row r="14" customFormat="false" ht="15" hidden="false" customHeight="false" outlineLevel="0" collapsed="false">
      <c r="A14" s="10" t="s">
        <v>48</v>
      </c>
      <c r="B14" s="17" t="n">
        <f aca="false">Backtest!B13</f>
        <v>162.256</v>
      </c>
      <c r="C14" s="11" t="n">
        <f aca="false">B14/B13-1</f>
        <v>0.0822766657106075</v>
      </c>
      <c r="D14" s="12" t="n">
        <f aca="false">B14/B10-1</f>
        <v>0.495488354516715</v>
      </c>
      <c r="E14" s="11" t="n">
        <f aca="false">Backtest!I13</f>
        <v>0.0468129032258064</v>
      </c>
      <c r="F14" s="9" t="n">
        <v>1683</v>
      </c>
      <c r="G14" s="5" t="s">
        <v>240</v>
      </c>
      <c r="H14" s="29" t="n">
        <f aca="false">F14-F13</f>
        <v>209</v>
      </c>
      <c r="I14" s="30" t="n">
        <f aca="false">IF(C14&lt;=C10-Assumptions!$D$5/100,1,0)</f>
        <v>1</v>
      </c>
      <c r="J14" s="30" t="n">
        <f aca="false">IF(AND(I14=1,I13=1),1,0)</f>
        <v>1</v>
      </c>
      <c r="K14" s="30" t="n">
        <f aca="false">IF(E14&lt;Trigger_History!$E$36,1,0)</f>
        <v>0</v>
      </c>
      <c r="L14" s="30" t="n">
        <f aca="false">IF(AND(K14=1,K13=1),1,0)</f>
        <v>0</v>
      </c>
      <c r="M14" s="30" t="n">
        <f aca="false">IF(H14&lt;=Assumptions!$D$19,1,0)</f>
        <v>0</v>
      </c>
      <c r="N14" s="30" t="n">
        <f aca="false">IF(AND(M14=1,M13=1),1,0)</f>
        <v>0</v>
      </c>
      <c r="O14" s="12" t="n">
        <f aca="false">D18-D14</f>
        <v>-0.15863178218657</v>
      </c>
      <c r="P14" s="10" t="str">
        <f aca="false">IF(J14=1,IF(ISNUMBER(O14),IF(O14&lt;-4*Assumptions!$C$5/100,"Confirmed","False alarm"),"Not evaluable"),"")</f>
        <v>Confirmed</v>
      </c>
      <c r="Q14" s="10" t="str">
        <f aca="false">IF(L14=1,IF(ISNUMBER(O14),IF(O14&lt;-4*Assumptions!$C$5/100,"Confirmed","False alarm"),"Not evaluable"),"")</f>
        <v/>
      </c>
      <c r="R14" s="10" t="str">
        <f aca="false">IF(N14=1,IF(ISNUMBER(O14),IF(O14&lt;-4*Assumptions!$C$5/100,"Confirmed","False alarm"),"Not evaluable"),"")</f>
        <v/>
      </c>
    </row>
    <row r="15" customFormat="false" ht="15" hidden="false" customHeight="false" outlineLevel="0" collapsed="false">
      <c r="A15" s="10" t="s">
        <v>49</v>
      </c>
      <c r="B15" s="17" t="n">
        <f aca="false">Backtest!B14</f>
        <v>175.679</v>
      </c>
      <c r="C15" s="11" t="n">
        <f aca="false">B15/B14-1</f>
        <v>0.0827272951385465</v>
      </c>
      <c r="D15" s="12" t="n">
        <f aca="false">B15/B11-1</f>
        <v>0.419995473577006</v>
      </c>
      <c r="E15" s="11" t="n">
        <f aca="false">Backtest!I14</f>
        <v>0.0395207100591717</v>
      </c>
      <c r="F15" s="9" t="n">
        <v>1892</v>
      </c>
      <c r="G15" s="5" t="s">
        <v>241</v>
      </c>
      <c r="H15" s="29" t="n">
        <f aca="false">F15-F14</f>
        <v>209</v>
      </c>
      <c r="I15" s="30" t="n">
        <f aca="false">IF(C15&lt;=C11-Assumptions!$D$5/100,1,0)</f>
        <v>1</v>
      </c>
      <c r="J15" s="30" t="n">
        <f aca="false">IF(AND(I15=1,I14=1),1,0)</f>
        <v>1</v>
      </c>
      <c r="K15" s="30" t="n">
        <f aca="false">IF(E15&lt;Trigger_History!$E$36,1,0)</f>
        <v>0</v>
      </c>
      <c r="L15" s="30" t="n">
        <f aca="false">IF(AND(K15=1,K14=1),1,0)</f>
        <v>0</v>
      </c>
      <c r="M15" s="30" t="n">
        <f aca="false">IF(H15&lt;=Assumptions!$D$19,1,0)</f>
        <v>0</v>
      </c>
      <c r="N15" s="30" t="n">
        <f aca="false">IF(AND(M15=1,M14=1),1,0)</f>
        <v>0</v>
      </c>
      <c r="O15" s="12" t="n">
        <f aca="false">D19-D15</f>
        <v>-0.0760329054840636</v>
      </c>
      <c r="P15" s="10" t="str">
        <f aca="false">IF(J15=1,IF(ISNUMBER(O15),IF(O15&lt;-4*Assumptions!$C$5/100,"Confirmed","False alarm"),"Not evaluable"),"")</f>
        <v>Confirmed</v>
      </c>
      <c r="Q15" s="10" t="str">
        <f aca="false">IF(L15=1,IF(ISNUMBER(O15),IF(O15&lt;-4*Assumptions!$C$5/100,"Confirmed","False alarm"),"Not evaluable"),"")</f>
        <v/>
      </c>
      <c r="R15" s="10" t="str">
        <f aca="false">IF(N15=1,IF(ISNUMBER(O15),IF(O15&lt;-4*Assumptions!$C$5/100,"Confirmed","False alarm"),"Not evaluable"),"")</f>
        <v/>
      </c>
    </row>
    <row r="16" customFormat="false" ht="15" hidden="false" customHeight="false" outlineLevel="0" collapsed="false">
      <c r="A16" s="10" t="s">
        <v>50</v>
      </c>
      <c r="B16" s="17" t="n">
        <f aca="false">Backtest!B15</f>
        <v>189.19</v>
      </c>
      <c r="C16" s="11" t="n">
        <f aca="false">B16/B15-1</f>
        <v>0.0769073139077521</v>
      </c>
      <c r="D16" s="12" t="n">
        <f aca="false">B16/B12-1</f>
        <v>0.382028299474772</v>
      </c>
      <c r="E16" s="11" t="n">
        <f aca="false">Backtest!I15</f>
        <v>0.0395054945054945</v>
      </c>
      <c r="F16" s="9" t="n">
        <v>2077</v>
      </c>
      <c r="G16" s="5" t="s">
        <v>242</v>
      </c>
      <c r="H16" s="29" t="n">
        <f aca="false">F16-F15</f>
        <v>185</v>
      </c>
      <c r="I16" s="30" t="n">
        <f aca="false">IF(C16&lt;=C12-Assumptions!$D$5/100,1,0)</f>
        <v>1</v>
      </c>
      <c r="J16" s="30" t="n">
        <f aca="false">IF(AND(I16=1,I15=1),1,0)</f>
        <v>1</v>
      </c>
      <c r="K16" s="30" t="n">
        <f aca="false">IF(E16&lt;Trigger_History!$E$36,1,0)</f>
        <v>0</v>
      </c>
      <c r="L16" s="30" t="n">
        <f aca="false">IF(AND(K16=1,K15=1),1,0)</f>
        <v>0</v>
      </c>
      <c r="M16" s="30" t="n">
        <f aca="false">IF(H16&lt;=Assumptions!$D$19,1,0)</f>
        <v>1</v>
      </c>
      <c r="N16" s="30" t="n">
        <f aca="false">IF(AND(M16=1,M15=1),1,0)</f>
        <v>0</v>
      </c>
      <c r="O16" s="12" t="n">
        <f aca="false">D20-D16</f>
        <v>-0.0553196996544858</v>
      </c>
      <c r="P16" s="10" t="str">
        <f aca="false">IF(J16=1,IF(ISNUMBER(O16),IF(O16&lt;-4*Assumptions!$C$5/100,"Confirmed","False alarm"),"Not evaluable"),"")</f>
        <v>Confirmed</v>
      </c>
      <c r="Q16" s="10" t="str">
        <f aca="false">IF(L16=1,IF(ISNUMBER(O16),IF(O16&lt;-4*Assumptions!$C$5/100,"Confirmed","False alarm"),"Not evaluable"),"")</f>
        <v/>
      </c>
      <c r="R16" s="10" t="str">
        <f aca="false">IF(N16=1,IF(ISNUMBER(O16),IF(O16&lt;-4*Assumptions!$C$5/100,"Confirmed","False alarm"),"Not evaluable"),"")</f>
        <v/>
      </c>
    </row>
    <row r="17" customFormat="false" ht="15" hidden="false" customHeight="false" outlineLevel="0" collapsed="false">
      <c r="A17" s="10" t="s">
        <v>51</v>
      </c>
      <c r="B17" s="17" t="n">
        <f aca="false">Backtest!B16</f>
        <v>202.57</v>
      </c>
      <c r="C17" s="11" t="n">
        <f aca="false">B17/B16-1</f>
        <v>0.0707225540461969</v>
      </c>
      <c r="D17" s="12" t="n">
        <f aca="false">B17/B13-1</f>
        <v>0.351178287231275</v>
      </c>
      <c r="E17" s="11" t="n">
        <f aca="false">Backtest!I16</f>
        <v>0.0282741116751268</v>
      </c>
      <c r="F17" s="9" t="n">
        <v>2295</v>
      </c>
      <c r="G17" s="5" t="s">
        <v>243</v>
      </c>
      <c r="H17" s="29" t="n">
        <f aca="false">F17-F16</f>
        <v>218</v>
      </c>
      <c r="I17" s="30" t="n">
        <f aca="false">IF(C17&lt;=C13-Assumptions!$D$5/100,1,0)</f>
        <v>0</v>
      </c>
      <c r="J17" s="30" t="n">
        <f aca="false">IF(AND(I17=1,I16=1),1,0)</f>
        <v>0</v>
      </c>
      <c r="K17" s="30" t="n">
        <f aca="false">IF(E17&lt;Trigger_History!$E$36,1,0)</f>
        <v>0</v>
      </c>
      <c r="L17" s="30" t="n">
        <f aca="false">IF(AND(K17=1,K16=1),1,0)</f>
        <v>0</v>
      </c>
      <c r="M17" s="30" t="n">
        <f aca="false">IF(H17&lt;=Assumptions!$D$19,1,0)</f>
        <v>0</v>
      </c>
      <c r="N17" s="30" t="n">
        <f aca="false">IF(AND(M17=1,M16=1),1,0)</f>
        <v>0</v>
      </c>
      <c r="O17" s="12" t="n">
        <f aca="false">D21-D17</f>
        <v>-0.0282973078167519</v>
      </c>
      <c r="P17" s="10" t="str">
        <f aca="false">IF(J17=1,IF(ISNUMBER(O17),IF(O17&lt;-4*Assumptions!$C$5/100,"Confirmed","False alarm"),"Not evaluable"),"")</f>
        <v/>
      </c>
      <c r="Q17" s="10" t="str">
        <f aca="false">IF(L17=1,IF(ISNUMBER(O17),IF(O17&lt;-4*Assumptions!$C$5/100,"Confirmed","False alarm"),"Not evaluable"),"")</f>
        <v/>
      </c>
      <c r="R17" s="10" t="str">
        <f aca="false">IF(N17=1,IF(ISNUMBER(O17),IF(O17&lt;-4*Assumptions!$C$5/100,"Confirmed","False alarm"),"Not evaluable"),"")</f>
        <v/>
      </c>
    </row>
    <row r="18" customFormat="false" ht="15" hidden="false" customHeight="false" outlineLevel="0" collapsed="false">
      <c r="A18" s="10" t="s">
        <v>52</v>
      </c>
      <c r="B18" s="17" t="n">
        <f aca="false">Backtest!B17</f>
        <v>216.913</v>
      </c>
      <c r="C18" s="11" t="n">
        <f aca="false">B18/B17-1</f>
        <v>0.0708051537740042</v>
      </c>
      <c r="D18" s="12" t="n">
        <f aca="false">B18/B14-1</f>
        <v>0.336856572330145</v>
      </c>
      <c r="E18" s="11" t="n">
        <f aca="false">Backtest!I17</f>
        <v>0.0378612440191388</v>
      </c>
      <c r="F18" s="9" t="n">
        <v>2491</v>
      </c>
      <c r="G18" s="5" t="s">
        <v>244</v>
      </c>
      <c r="H18" s="29" t="n">
        <f aca="false">F18-F17</f>
        <v>196</v>
      </c>
      <c r="I18" s="30" t="n">
        <f aca="false">IF(C18&lt;=C14-Assumptions!$D$5/100,1,0)</f>
        <v>0</v>
      </c>
      <c r="J18" s="30" t="n">
        <f aca="false">IF(AND(I18=1,I17=1),1,0)</f>
        <v>0</v>
      </c>
      <c r="K18" s="30" t="n">
        <f aca="false">IF(E18&lt;Trigger_History!$E$36,1,0)</f>
        <v>0</v>
      </c>
      <c r="L18" s="30" t="n">
        <f aca="false">IF(AND(K18=1,K17=1),1,0)</f>
        <v>0</v>
      </c>
      <c r="M18" s="30" t="n">
        <f aca="false">IF(H18&lt;=Assumptions!$D$19,1,0)</f>
        <v>0</v>
      </c>
      <c r="N18" s="30" t="n">
        <f aca="false">IF(AND(M18=1,M17=1),1,0)</f>
        <v>0</v>
      </c>
      <c r="O18" s="12" t="n">
        <f aca="false">D22-D18</f>
        <v>-0.0356436436444509</v>
      </c>
      <c r="P18" s="10" t="str">
        <f aca="false">IF(J18=1,IF(ISNUMBER(O18),IF(O18&lt;-4*Assumptions!$C$5/100,"Confirmed","False alarm"),"Not evaluable"),"")</f>
        <v/>
      </c>
      <c r="Q18" s="10" t="str">
        <f aca="false">IF(L18=1,IF(ISNUMBER(O18),IF(O18&lt;-4*Assumptions!$C$5/100,"Confirmed","False alarm"),"Not evaluable"),"")</f>
        <v/>
      </c>
      <c r="R18" s="10" t="str">
        <f aca="false">IF(N18=1,IF(ISNUMBER(O18),IF(O18&lt;-4*Assumptions!$C$5/100,"Confirmed","False alarm"),"Not evaluable"),"")</f>
        <v/>
      </c>
    </row>
    <row r="19" customFormat="false" ht="15" hidden="false" customHeight="false" outlineLevel="0" collapsed="false">
      <c r="A19" s="10" t="s">
        <v>53</v>
      </c>
      <c r="B19" s="17" t="n">
        <f aca="false">Backtest!B18</f>
        <v>236.106</v>
      </c>
      <c r="C19" s="11" t="n">
        <f aca="false">B19/B18-1</f>
        <v>0.0884824791506271</v>
      </c>
      <c r="D19" s="12" t="n">
        <f aca="false">B19/B15-1</f>
        <v>0.343962568092942</v>
      </c>
      <c r="E19" s="11" t="n">
        <f aca="false">Backtest!I18</f>
        <v>0.0355526315789474</v>
      </c>
      <c r="F19" s="9" t="n">
        <v>2713</v>
      </c>
      <c r="G19" s="5" t="s">
        <v>245</v>
      </c>
      <c r="H19" s="29" t="n">
        <f aca="false">F19-F18</f>
        <v>222</v>
      </c>
      <c r="I19" s="30" t="n">
        <f aca="false">IF(C19&lt;=C15-Assumptions!$D$5/100,1,0)</f>
        <v>0</v>
      </c>
      <c r="J19" s="30" t="n">
        <f aca="false">IF(AND(I19=1,I18=1),1,0)</f>
        <v>0</v>
      </c>
      <c r="K19" s="30" t="n">
        <f aca="false">IF(E19&lt;Trigger_History!$E$36,1,0)</f>
        <v>0</v>
      </c>
      <c r="L19" s="30" t="n">
        <f aca="false">IF(AND(K19=1,K18=1),1,0)</f>
        <v>0</v>
      </c>
      <c r="M19" s="30" t="n">
        <f aca="false">IF(H19&lt;=Assumptions!$D$19,1,0)</f>
        <v>0</v>
      </c>
      <c r="N19" s="30" t="n">
        <f aca="false">IF(AND(M19=1,M18=1),1,0)</f>
        <v>0</v>
      </c>
      <c r="O19" s="12" t="n">
        <f aca="false">D23-D19</f>
        <v>-0.0775229181052246</v>
      </c>
      <c r="P19" s="10" t="str">
        <f aca="false">IF(J19=1,IF(ISNUMBER(O19),IF(O19&lt;-4*Assumptions!$C$5/100,"Confirmed","False alarm"),"Not evaluable"),"")</f>
        <v/>
      </c>
      <c r="Q19" s="10" t="str">
        <f aca="false">IF(L19=1,IF(ISNUMBER(O19),IF(O19&lt;-4*Assumptions!$C$5/100,"Confirmed","False alarm"),"Not evaluable"),"")</f>
        <v/>
      </c>
      <c r="R19" s="10" t="str">
        <f aca="false">IF(N19=1,IF(ISNUMBER(O19),IF(O19&lt;-4*Assumptions!$C$5/100,"Confirmed","False alarm"),"Not evaluable"),"")</f>
        <v/>
      </c>
    </row>
    <row r="20" customFormat="false" ht="15" hidden="false" customHeight="false" outlineLevel="0" collapsed="false">
      <c r="A20" s="10" t="s">
        <v>54</v>
      </c>
      <c r="B20" s="17" t="n">
        <f aca="false">Backtest!B19</f>
        <v>251</v>
      </c>
      <c r="C20" s="11" t="n">
        <f aca="false">B20/B19-1</f>
        <v>0.0630818361244525</v>
      </c>
      <c r="D20" s="12" t="n">
        <f aca="false">B20/B16-1</f>
        <v>0.326708599820287</v>
      </c>
      <c r="E20" s="11" t="n">
        <f aca="false">Backtest!I19</f>
        <v>0.0244897959183674</v>
      </c>
      <c r="F20" s="9" t="n">
        <v>2907</v>
      </c>
      <c r="G20" s="5" t="s">
        <v>246</v>
      </c>
      <c r="H20" s="29" t="n">
        <f aca="false">F20-F19</f>
        <v>194</v>
      </c>
      <c r="I20" s="30" t="n">
        <f aca="false">IF(C20&lt;=C16-Assumptions!$D$5/100,1,0)</f>
        <v>0</v>
      </c>
      <c r="J20" s="30" t="n">
        <f aca="false">IF(AND(I20=1,I19=1),1,0)</f>
        <v>0</v>
      </c>
      <c r="K20" s="30" t="n">
        <f aca="false">IF(E20&lt;Trigger_History!$E$36,1,0)</f>
        <v>0</v>
      </c>
      <c r="L20" s="30" t="n">
        <f aca="false">IF(AND(K20=1,K19=1),1,0)</f>
        <v>0</v>
      </c>
      <c r="M20" s="30" t="n">
        <f aca="false">IF(H20&lt;=Assumptions!$D$19,1,0)</f>
        <v>1</v>
      </c>
      <c r="N20" s="30" t="n">
        <f aca="false">IF(AND(M20=1,M19=1),1,0)</f>
        <v>0</v>
      </c>
      <c r="O20" s="12" t="n">
        <f aca="false">D24-D20</f>
        <v>-0.0643380818919996</v>
      </c>
      <c r="P20" s="10" t="str">
        <f aca="false">IF(J20=1,IF(ISNUMBER(O20),IF(O20&lt;-4*Assumptions!$C$5/100,"Confirmed","False alarm"),"Not evaluable"),"")</f>
        <v/>
      </c>
      <c r="Q20" s="10" t="str">
        <f aca="false">IF(L20=1,IF(ISNUMBER(O20),IF(O20&lt;-4*Assumptions!$C$5/100,"Confirmed","False alarm"),"Not evaluable"),"")</f>
        <v/>
      </c>
      <c r="R20" s="10" t="str">
        <f aca="false">IF(N20=1,IF(ISNUMBER(O20),IF(O20&lt;-4*Assumptions!$C$5/100,"Confirmed","False alarm"),"Not evaluable"),"")</f>
        <v/>
      </c>
    </row>
    <row r="21" customFormat="false" ht="15" hidden="false" customHeight="false" outlineLevel="0" collapsed="false">
      <c r="A21" s="10" t="s">
        <v>55</v>
      </c>
      <c r="B21" s="17" t="n">
        <f aca="false">Backtest!B20</f>
        <v>267.976</v>
      </c>
      <c r="C21" s="11" t="n">
        <f aca="false">B21/B20-1</f>
        <v>0.0676334661354581</v>
      </c>
      <c r="D21" s="12" t="n">
        <f aca="false">B21/B17-1</f>
        <v>0.322880979414523</v>
      </c>
      <c r="E21" s="11" t="n">
        <f aca="false">Backtest!I20</f>
        <v>0.0267279693486591</v>
      </c>
      <c r="F21" s="9" t="n">
        <v>3201</v>
      </c>
      <c r="G21" s="5" t="s">
        <v>247</v>
      </c>
      <c r="H21" s="29" t="n">
        <f aca="false">F21-F20</f>
        <v>294</v>
      </c>
      <c r="I21" s="30" t="n">
        <f aca="false">IF(C21&lt;=C17-Assumptions!$D$5/100,1,0)</f>
        <v>0</v>
      </c>
      <c r="J21" s="30" t="n">
        <f aca="false">IF(AND(I21=1,I20=1),1,0)</f>
        <v>0</v>
      </c>
      <c r="K21" s="30" t="n">
        <f aca="false">IF(E21&lt;Trigger_History!$E$36,1,0)</f>
        <v>0</v>
      </c>
      <c r="L21" s="30" t="n">
        <f aca="false">IF(AND(K21=1,K20=1),1,0)</f>
        <v>0</v>
      </c>
      <c r="M21" s="30" t="n">
        <f aca="false">IF(H21&lt;=Assumptions!$D$19,1,0)</f>
        <v>0</v>
      </c>
      <c r="N21" s="30" t="n">
        <f aca="false">IF(AND(M21=1,M20=1),1,0)</f>
        <v>0</v>
      </c>
      <c r="O21" s="12" t="n">
        <f aca="false">D25-D21</f>
        <v>-0.0769559712048329</v>
      </c>
      <c r="P21" s="10" t="str">
        <f aca="false">IF(J21=1,IF(ISNUMBER(O21),IF(O21&lt;-4*Assumptions!$C$5/100,"Confirmed","False alarm"),"Not evaluable"),"")</f>
        <v/>
      </c>
      <c r="Q21" s="10" t="str">
        <f aca="false">IF(L21=1,IF(ISNUMBER(O21),IF(O21&lt;-4*Assumptions!$C$5/100,"Confirmed","False alarm"),"Not evaluable"),"")</f>
        <v/>
      </c>
      <c r="R21" s="10" t="str">
        <f aca="false">IF(N21=1,IF(ISNUMBER(O21),IF(O21&lt;-4*Assumptions!$C$5/100,"Confirmed","False alarm"),"Not evaluable"),"")</f>
        <v/>
      </c>
    </row>
    <row r="22" customFormat="false" ht="15" hidden="false" customHeight="false" outlineLevel="0" collapsed="false">
      <c r="A22" s="10" t="s">
        <v>56</v>
      </c>
      <c r="B22" s="17" t="n">
        <f aca="false">Backtest!B21</f>
        <v>282.25</v>
      </c>
      <c r="C22" s="11" t="n">
        <f aca="false">B22/B21-1</f>
        <v>0.0532659641161894</v>
      </c>
      <c r="D22" s="12" t="n">
        <f aca="false">B22/B18-1</f>
        <v>0.301212928685694</v>
      </c>
      <c r="E22" s="11" t="n">
        <f aca="false">Backtest!I21</f>
        <v>0.0263636363636364</v>
      </c>
      <c r="F22" s="9" t="n">
        <v>3444</v>
      </c>
      <c r="G22" s="5" t="s">
        <v>248</v>
      </c>
      <c r="H22" s="29" t="n">
        <f aca="false">F22-F21</f>
        <v>243</v>
      </c>
      <c r="I22" s="30" t="n">
        <f aca="false">IF(C22&lt;=C18-Assumptions!$D$5/100,1,0)</f>
        <v>0</v>
      </c>
      <c r="J22" s="30" t="n">
        <f aca="false">IF(AND(I22=1,I21=1),1,0)</f>
        <v>0</v>
      </c>
      <c r="K22" s="30" t="n">
        <f aca="false">IF(E22&lt;Trigger_History!$E$36,1,0)</f>
        <v>0</v>
      </c>
      <c r="L22" s="30" t="n">
        <f aca="false">IF(AND(K22=1,K21=1),1,0)</f>
        <v>0</v>
      </c>
      <c r="M22" s="30" t="n">
        <f aca="false">IF(H22&lt;=Assumptions!$D$19,1,0)</f>
        <v>0</v>
      </c>
      <c r="N22" s="30" t="n">
        <f aca="false">IF(AND(M22=1,M21=1),1,0)</f>
        <v>0</v>
      </c>
      <c r="O22" s="12" t="n">
        <f aca="false">D26-D22</f>
        <v>-0.0566956567636392</v>
      </c>
      <c r="P22" s="10" t="str">
        <f aca="false">IF(J22=1,IF(ISNUMBER(O22),IF(O22&lt;-4*Assumptions!$C$5/100,"Confirmed","False alarm"),"Not evaluable"),"")</f>
        <v/>
      </c>
      <c r="Q22" s="10" t="str">
        <f aca="false">IF(L22=1,IF(ISNUMBER(O22),IF(O22&lt;-4*Assumptions!$C$5/100,"Confirmed","False alarm"),"Not evaluable"),"")</f>
        <v/>
      </c>
      <c r="R22" s="10" t="str">
        <f aca="false">IF(N22=1,IF(ISNUMBER(O22),IF(O22&lt;-4*Assumptions!$C$5/100,"Confirmed","False alarm"),"Not evaluable"),"")</f>
        <v/>
      </c>
    </row>
    <row r="23" customFormat="false" ht="15" hidden="false" customHeight="false" outlineLevel="0" collapsed="false">
      <c r="A23" s="10" t="s">
        <v>57</v>
      </c>
      <c r="B23" s="17" t="n">
        <f aca="false">Backtest!B22</f>
        <v>299.014</v>
      </c>
      <c r="C23" s="11" t="n">
        <f aca="false">B23/B22-1</f>
        <v>0.0593941541186891</v>
      </c>
      <c r="D23" s="12" t="n">
        <f aca="false">B23/B19-1</f>
        <v>0.266439649987718</v>
      </c>
      <c r="E23" s="11" t="n">
        <f aca="false">Backtest!I22</f>
        <v>0.0205255972696246</v>
      </c>
      <c r="F23" s="9" t="n">
        <v>3702</v>
      </c>
      <c r="G23" s="5" t="s">
        <v>249</v>
      </c>
      <c r="H23" s="29" t="n">
        <f aca="false">F23-F22</f>
        <v>258</v>
      </c>
      <c r="I23" s="30" t="n">
        <f aca="false">IF(C23&lt;=C19-Assumptions!$D$5/100,1,0)</f>
        <v>1</v>
      </c>
      <c r="J23" s="30" t="n">
        <f aca="false">IF(AND(I23=1,I22=1),1,0)</f>
        <v>0</v>
      </c>
      <c r="K23" s="30" t="n">
        <f aca="false">IF(E23&lt;Trigger_History!$E$36,1,0)</f>
        <v>0</v>
      </c>
      <c r="L23" s="30" t="n">
        <f aca="false">IF(AND(K23=1,K22=1),1,0)</f>
        <v>0</v>
      </c>
      <c r="M23" s="30" t="n">
        <f aca="false">IF(H23&lt;=Assumptions!$D$19,1,0)</f>
        <v>0</v>
      </c>
      <c r="N23" s="30" t="n">
        <f aca="false">IF(AND(M23=1,M22=1),1,0)</f>
        <v>0</v>
      </c>
      <c r="O23" s="12" t="n">
        <f aca="false">D27-D23</f>
        <v>-0.0470285187363382</v>
      </c>
      <c r="P23" s="10" t="str">
        <f aca="false">IF(J23=1,IF(ISNUMBER(O23),IF(O23&lt;-4*Assumptions!$C$5/100,"Confirmed","False alarm"),"Not evaluable"),"")</f>
        <v/>
      </c>
      <c r="Q23" s="10" t="str">
        <f aca="false">IF(L23=1,IF(ISNUMBER(O23),IF(O23&lt;-4*Assumptions!$C$5/100,"Confirmed","False alarm"),"Not evaluable"),"")</f>
        <v/>
      </c>
      <c r="R23" s="10" t="str">
        <f aca="false">IF(N23=1,IF(ISNUMBER(O23),IF(O23&lt;-4*Assumptions!$C$5/100,"Confirmed","False alarm"),"Not evaluable"),"")</f>
        <v/>
      </c>
    </row>
    <row r="24" customFormat="false" ht="15" hidden="false" customHeight="false" outlineLevel="0" collapsed="false">
      <c r="A24" s="10" t="s">
        <v>58</v>
      </c>
      <c r="B24" s="17" t="n">
        <f aca="false">Backtest!B23</f>
        <v>316.855</v>
      </c>
      <c r="C24" s="11" t="n">
        <f aca="false">B24/B23-1</f>
        <v>0.0596661025905141</v>
      </c>
      <c r="D24" s="12" t="n">
        <f aca="false">B24/B20-1</f>
        <v>0.262370517928287</v>
      </c>
      <c r="E24" s="11" t="n">
        <f aca="false">Backtest!I23</f>
        <v>0.0155608974358974</v>
      </c>
      <c r="F24" s="9" t="n">
        <v>3993</v>
      </c>
      <c r="G24" s="5" t="s">
        <v>250</v>
      </c>
      <c r="H24" s="29" t="n">
        <f aca="false">F24-F23</f>
        <v>291</v>
      </c>
      <c r="I24" s="30" t="n">
        <f aca="false">IF(C24&lt;=C20-Assumptions!$D$5/100,1,0)</f>
        <v>0</v>
      </c>
      <c r="J24" s="30" t="n">
        <f aca="false">IF(AND(I24=1,I23=1),1,0)</f>
        <v>0</v>
      </c>
      <c r="K24" s="30" t="n">
        <f aca="false">IF(E24&lt;Trigger_History!$E$36,1,0)</f>
        <v>0</v>
      </c>
      <c r="L24" s="30" t="n">
        <f aca="false">IF(AND(K24=1,K23=1),1,0)</f>
        <v>0</v>
      </c>
      <c r="M24" s="30" t="n">
        <f aca="false">IF(H24&lt;=Assumptions!$D$19,1,0)</f>
        <v>0</v>
      </c>
      <c r="N24" s="30" t="n">
        <f aca="false">IF(AND(M24=1,M23=1),1,0)</f>
        <v>0</v>
      </c>
      <c r="P24" s="10" t="str">
        <f aca="false">IF(J24=1,IF(ISNUMBER(O24),IF(O24&lt;-4*Assumptions!$C$5/100,"Confirmed","False alarm"),"Not evaluable"),"")</f>
        <v/>
      </c>
      <c r="Q24" s="10" t="str">
        <f aca="false">IF(L24=1,IF(ISNUMBER(O24),IF(O24&lt;-4*Assumptions!$C$5/100,"Confirmed","False alarm"),"Not evaluable"),"")</f>
        <v/>
      </c>
      <c r="R24" s="10" t="str">
        <f aca="false">IF(N24=1,IF(ISNUMBER(O24),IF(O24&lt;-4*Assumptions!$C$5/100,"Confirmed","False alarm"),"Not evaluable"),"")</f>
        <v/>
      </c>
    </row>
    <row r="25" customFormat="false" ht="15" hidden="false" customHeight="false" outlineLevel="0" collapsed="false">
      <c r="A25" s="10" t="s">
        <v>59</v>
      </c>
      <c r="B25" s="17" t="n">
        <f aca="false">Backtest!B24</f>
        <v>333.878</v>
      </c>
      <c r="C25" s="11" t="n">
        <f aca="false">B25/B24-1</f>
        <v>0.0537248899338814</v>
      </c>
      <c r="D25" s="12" t="n">
        <f aca="false">B25/B21-1</f>
        <v>0.24592500820969</v>
      </c>
      <c r="E25" s="11" t="n">
        <f aca="false">Backtest!I24</f>
        <v>0.0148267477203647</v>
      </c>
      <c r="F25" s="9" t="n">
        <v>4281</v>
      </c>
      <c r="G25" s="5" t="s">
        <v>251</v>
      </c>
      <c r="H25" s="29" t="n">
        <f aca="false">F25-F24</f>
        <v>288</v>
      </c>
      <c r="I25" s="30" t="n">
        <f aca="false">IF(C25&lt;=C21-Assumptions!$D$5/100,1,0)</f>
        <v>0</v>
      </c>
      <c r="J25" s="30" t="n">
        <f aca="false">IF(AND(I25=1,I24=1),1,0)</f>
        <v>0</v>
      </c>
      <c r="K25" s="30" t="n">
        <f aca="false">IF(E25&lt;Trigger_History!$E$36,1,0)</f>
        <v>0</v>
      </c>
      <c r="L25" s="30" t="n">
        <f aca="false">IF(AND(K25=1,K24=1),1,0)</f>
        <v>0</v>
      </c>
      <c r="M25" s="30" t="n">
        <f aca="false">IF(H25&lt;=Assumptions!$D$19,1,0)</f>
        <v>0</v>
      </c>
      <c r="N25" s="30" t="n">
        <f aca="false">IF(AND(M25=1,M24=1),1,0)</f>
        <v>0</v>
      </c>
      <c r="P25" s="10" t="str">
        <f aca="false">IF(J25=1,IF(ISNUMBER(O25),IF(O25&lt;-4*Assumptions!$C$5/100,"Confirmed","False alarm"),"Not evaluable"),"")</f>
        <v/>
      </c>
      <c r="Q25" s="10" t="str">
        <f aca="false">IF(L25=1,IF(ISNUMBER(O25),IF(O25&lt;-4*Assumptions!$C$5/100,"Confirmed","False alarm"),"Not evaluable"),"")</f>
        <v/>
      </c>
      <c r="R25" s="10" t="str">
        <f aca="false">IF(N25=1,IF(ISNUMBER(O25),IF(O25&lt;-4*Assumptions!$C$5/100,"Confirmed","False alarm"),"Not evaluable"),"")</f>
        <v/>
      </c>
    </row>
    <row r="26" customFormat="false" ht="15" hidden="false" customHeight="false" outlineLevel="0" collapsed="false">
      <c r="A26" s="10" t="s">
        <v>60</v>
      </c>
      <c r="B26" s="17" t="n">
        <f aca="false">Backtest!B25</f>
        <v>351.265</v>
      </c>
      <c r="C26" s="11" t="n">
        <f aca="false">B26/B25-1</f>
        <v>0.0520759079663828</v>
      </c>
      <c r="D26" s="12" t="n">
        <f aca="false">B26/B22-1</f>
        <v>0.244517271922055</v>
      </c>
      <c r="E26" s="11" t="n">
        <f aca="false">Backtest!I25</f>
        <v>0.0361799410029497</v>
      </c>
      <c r="F26" s="9" t="n">
        <v>4547</v>
      </c>
      <c r="G26" s="5" t="s">
        <v>252</v>
      </c>
      <c r="H26" s="29" t="n">
        <f aca="false">F26-F25</f>
        <v>266</v>
      </c>
      <c r="I26" s="30" t="n">
        <f aca="false">IF(C26&lt;=C22-Assumptions!$D$5/100,1,0)</f>
        <v>0</v>
      </c>
      <c r="J26" s="30" t="n">
        <f aca="false">IF(AND(I26=1,I25=1),1,0)</f>
        <v>0</v>
      </c>
      <c r="K26" s="30" t="n">
        <f aca="false">IF(E26&lt;Trigger_History!$E$36,1,0)</f>
        <v>0</v>
      </c>
      <c r="L26" s="30" t="n">
        <f aca="false">IF(AND(K26=1,K25=1),1,0)</f>
        <v>0</v>
      </c>
      <c r="M26" s="30" t="n">
        <f aca="false">IF(H26&lt;=Assumptions!$D$19,1,0)</f>
        <v>0</v>
      </c>
      <c r="N26" s="30" t="n">
        <f aca="false">IF(AND(M26=1,M25=1),1,0)</f>
        <v>0</v>
      </c>
      <c r="P26" s="10" t="str">
        <f aca="false">IF(J26=1,IF(ISNUMBER(O26),IF(O26&lt;-4*Assumptions!$C$5/100,"Confirmed","False alarm"),"Not evaluable"),"")</f>
        <v/>
      </c>
      <c r="Q26" s="10" t="str">
        <f aca="false">IF(L26=1,IF(ISNUMBER(O26),IF(O26&lt;-4*Assumptions!$C$5/100,"Confirmed","False alarm"),"Not evaluable"),"")</f>
        <v/>
      </c>
      <c r="R26" s="10" t="str">
        <f aca="false">IF(N26=1,IF(ISNUMBER(O26),IF(O26&lt;-4*Assumptions!$C$5/100,"Confirmed","False alarm"),"Not evaluable"),"")</f>
        <v/>
      </c>
    </row>
    <row r="27" customFormat="false" ht="15" hidden="false" customHeight="false" outlineLevel="0" collapsed="false">
      <c r="A27" s="10" t="s">
        <v>61</v>
      </c>
      <c r="B27" s="17" t="n">
        <f aca="false">Backtest!B26</f>
        <v>364.621</v>
      </c>
      <c r="C27" s="11" t="n">
        <f aca="false">B27/B26-1</f>
        <v>0.0380225755483752</v>
      </c>
      <c r="D27" s="12" t="n">
        <f aca="false">B27/B23-1</f>
        <v>0.219411131251379</v>
      </c>
      <c r="E27" s="11" t="n">
        <f aca="false">Backtest!I26</f>
        <v>0.0271014084507042</v>
      </c>
      <c r="F27" s="9" t="n">
        <v>4834</v>
      </c>
      <c r="G27" s="5" t="s">
        <v>253</v>
      </c>
      <c r="H27" s="29" t="n">
        <f aca="false">F27-F26</f>
        <v>287</v>
      </c>
      <c r="I27" s="30" t="n">
        <f aca="false">IF(C27&lt;=C23-Assumptions!$D$5/100,1,0)</f>
        <v>0</v>
      </c>
      <c r="J27" s="30" t="n">
        <f aca="false">IF(AND(I27=1,I26=1),1,0)</f>
        <v>0</v>
      </c>
      <c r="K27" s="30" t="n">
        <f aca="false">IF(E27&lt;Trigger_History!$E$36,1,0)</f>
        <v>0</v>
      </c>
      <c r="L27" s="30" t="n">
        <f aca="false">IF(AND(K27=1,K26=1),1,0)</f>
        <v>0</v>
      </c>
      <c r="M27" s="30" t="n">
        <f aca="false">IF(H27&lt;=Assumptions!$D$19,1,0)</f>
        <v>0</v>
      </c>
      <c r="N27" s="30" t="n">
        <f aca="false">IF(AND(M27=1,M26=1),1,0)</f>
        <v>0</v>
      </c>
      <c r="P27" s="10" t="str">
        <f aca="false">IF(J27=1,IF(ISNUMBER(O27),IF(O27&lt;-4*Assumptions!$C$5/100,"Confirmed","False alarm"),"Not evaluable"),"")</f>
        <v/>
      </c>
      <c r="Q27" s="10" t="str">
        <f aca="false">IF(L27=1,IF(ISNUMBER(O27),IF(O27&lt;-4*Assumptions!$C$5/100,"Confirmed","False alarm"),"Not evaluable"),"")</f>
        <v/>
      </c>
      <c r="R27" s="10" t="str">
        <f aca="false">IF(N27=1,IF(ISNUMBER(O27),IF(O27&lt;-4*Assumptions!$C$5/100,"Confirmed","False alarm"),"Not evaluable"),"")</f>
        <v/>
      </c>
    </row>
    <row r="29" customFormat="false" ht="15" hidden="false" customHeight="false" outlineLevel="0" collapsed="false">
      <c r="A29" s="2" t="s">
        <v>948</v>
      </c>
    </row>
    <row r="30" customFormat="false" ht="23.85" hidden="false" customHeight="false" outlineLevel="0" collapsed="false">
      <c r="A30" s="6" t="s">
        <v>816</v>
      </c>
      <c r="B30" s="6" t="s">
        <v>949</v>
      </c>
      <c r="C30" s="6" t="s">
        <v>818</v>
      </c>
      <c r="D30" s="6" t="s">
        <v>819</v>
      </c>
      <c r="E30" s="6" t="s">
        <v>820</v>
      </c>
      <c r="F30" s="6" t="s">
        <v>821</v>
      </c>
      <c r="G30" s="6" t="s">
        <v>950</v>
      </c>
      <c r="H30" s="6" t="s">
        <v>951</v>
      </c>
      <c r="I30" s="6" t="s">
        <v>823</v>
      </c>
    </row>
    <row r="31" customFormat="false" ht="27.75" hidden="false" customHeight="true" outlineLevel="0" collapsed="false">
      <c r="A31" s="3" t="s">
        <v>952</v>
      </c>
      <c r="B31" s="30" t="n">
        <f aca="false">COUNT(J8:J27)</f>
        <v>16</v>
      </c>
      <c r="C31" s="30" t="n">
        <f aca="false">SUM(J8:J27)</f>
        <v>5</v>
      </c>
      <c r="D31" s="12" t="n">
        <f aca="false">IF(B31&gt;0,C31/B31,0)</f>
        <v>0.3125</v>
      </c>
      <c r="E31" s="30" t="n">
        <f aca="false">COUNTIF(P8:P27,"Confirmed")</f>
        <v>5</v>
      </c>
      <c r="F31" s="30" t="n">
        <f aca="false">COUNTIF(P8:P27,"False alarm")</f>
        <v>0</v>
      </c>
      <c r="G31" s="30" t="n">
        <f aca="false">COUNTIF(P8:P27,"Not evaluable")</f>
        <v>0</v>
      </c>
      <c r="H31" s="30" t="n">
        <f aca="false">SUM(J20:J27)</f>
        <v>0</v>
      </c>
      <c r="I31" s="10" t="str">
        <f aca="false">IF(D31&gt;Assumptions!$C$20,"FIRES TOO OFTEN",IF(C31=0,"NEVER FIRED: untested","OK"))</f>
        <v>FIRES TOO OFTEN</v>
      </c>
    </row>
    <row r="32" customFormat="false" ht="27.75" hidden="false" customHeight="true" outlineLevel="0" collapsed="false">
      <c r="A32" s="3" t="s">
        <v>953</v>
      </c>
      <c r="B32" s="30" t="n">
        <f aca="false">COUNT(L8:L27)</f>
        <v>19</v>
      </c>
      <c r="C32" s="30" t="n">
        <f aca="false">SUM(L8:L27)</f>
        <v>0</v>
      </c>
      <c r="D32" s="12" t="n">
        <f aca="false">IF(B32&gt;0,C32/B32,0)</f>
        <v>0</v>
      </c>
      <c r="E32" s="30" t="n">
        <f aca="false">COUNTIF(Q8:Q27,"Confirmed")</f>
        <v>0</v>
      </c>
      <c r="F32" s="30" t="n">
        <f aca="false">COUNTIF(Q8:Q27,"False alarm")</f>
        <v>0</v>
      </c>
      <c r="G32" s="30" t="n">
        <f aca="false">COUNTIF(Q8:Q27,"Not evaluable")</f>
        <v>0</v>
      </c>
      <c r="H32" s="30" t="n">
        <f aca="false">SUM(L20:L27)</f>
        <v>0</v>
      </c>
      <c r="I32" s="10" t="str">
        <f aca="false">IF(D32&gt;Assumptions!$C$20,"FIRES TOO OFTEN",IF(C32=0,"NEVER FIRED: untested","OK"))</f>
        <v>NEVER FIRED: untested</v>
      </c>
    </row>
    <row r="33" customFormat="false" ht="27.75" hidden="false" customHeight="true" outlineLevel="0" collapsed="false">
      <c r="A33" s="3" t="s">
        <v>954</v>
      </c>
      <c r="B33" s="30" t="n">
        <f aca="false">COUNT(N8:N27)</f>
        <v>20</v>
      </c>
      <c r="C33" s="30" t="n">
        <f aca="false">SUM(N8:N27)</f>
        <v>4</v>
      </c>
      <c r="D33" s="12" t="n">
        <f aca="false">IF(B33&gt;0,C33/B33,0)</f>
        <v>0.2</v>
      </c>
      <c r="E33" s="30" t="n">
        <f aca="false">COUNTIF(R8:R27,"Confirmed")</f>
        <v>2</v>
      </c>
      <c r="F33" s="30" t="n">
        <f aca="false">COUNTIF(R8:R27,"False alarm")</f>
        <v>0</v>
      </c>
      <c r="G33" s="30" t="n">
        <f aca="false">COUNTIF(R8:R27,"Not evaluable")</f>
        <v>2</v>
      </c>
      <c r="H33" s="30" t="n">
        <f aca="false">SUM(N20:N27)</f>
        <v>0</v>
      </c>
      <c r="I33" s="10" t="str">
        <f aca="false">IF(D33&gt;Assumptions!$C$20,"FIRES TOO OFTEN",IF(C33=0,"NEVER FIRED: untested","OK"))</f>
        <v>OK</v>
      </c>
    </row>
    <row r="35" customFormat="false" ht="15" hidden="false" customHeight="false" outlineLevel="0" collapsed="false">
      <c r="A35" s="2" t="s">
        <v>955</v>
      </c>
    </row>
    <row r="36" customFormat="false" ht="15" hidden="false" customHeight="false" outlineLevel="0" collapsed="false">
      <c r="A36" s="10" t="s">
        <v>956</v>
      </c>
      <c r="E36" s="11" t="n">
        <f aca="false">MIN(E20:E27)</f>
        <v>0.0148267477203647</v>
      </c>
      <c r="F36" s="5" t="s">
        <v>957</v>
      </c>
    </row>
    <row r="37" customFormat="false" ht="15" hidden="false" customHeight="false" outlineLevel="0" collapsed="false">
      <c r="A37" s="10" t="s">
        <v>958</v>
      </c>
      <c r="E37" s="11" t="n">
        <f aca="false">MEDIAN(E20:E27)</f>
        <v>0.0254267161410019</v>
      </c>
      <c r="F37" s="5" t="s">
        <v>256</v>
      </c>
    </row>
    <row r="38" customFormat="false" ht="15" hidden="false" customHeight="false" outlineLevel="0" collapsed="false">
      <c r="A38" s="10" t="s">
        <v>959</v>
      </c>
      <c r="H38" s="29" t="n">
        <f aca="false">MIN(H20:H27)</f>
        <v>194</v>
      </c>
      <c r="I38" s="5" t="s">
        <v>960</v>
      </c>
    </row>
    <row r="39" customFormat="false" ht="15" hidden="false" customHeight="false" outlineLevel="0" collapsed="false">
      <c r="A39" s="10" t="s">
        <v>961</v>
      </c>
      <c r="H39" s="26" t="n">
        <f aca="false">MEDIAN(H20:H27)</f>
        <v>276.5</v>
      </c>
      <c r="I39" s="5" t="s">
        <v>962</v>
      </c>
    </row>
    <row r="41" customFormat="false" ht="69.75" hidden="false" customHeight="true" outlineLevel="0" collapsed="false">
      <c r="A41" s="19" t="s">
        <v>963</v>
      </c>
      <c r="B41" s="19"/>
      <c r="C41" s="19"/>
      <c r="D41" s="19"/>
      <c r="E41" s="19"/>
      <c r="F41" s="19"/>
      <c r="G41" s="19"/>
      <c r="H41" s="19"/>
      <c r="I41" s="19"/>
      <c r="J41" s="19"/>
      <c r="K41" s="19"/>
      <c r="L41" s="19"/>
      <c r="M41" s="19"/>
      <c r="N41" s="19"/>
      <c r="O41" s="19"/>
      <c r="P41" s="19"/>
      <c r="Q41" s="19"/>
      <c r="R41" s="19"/>
    </row>
  </sheetData>
  <mergeCells count="1">
    <mergeCell ref="A41:R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80"/>
    <col collapsed="false" customWidth="true" hidden="false" outlineLevel="0" max="4" min="4" style="0" width="60"/>
    <col collapsed="false" customWidth="true" hidden="false" outlineLevel="0" max="5" min="5" style="0" width="12"/>
  </cols>
  <sheetData>
    <row r="1" customFormat="false" ht="16.15" hidden="false" customHeight="false" outlineLevel="0" collapsed="false">
      <c r="A1" s="4" t="s">
        <v>964</v>
      </c>
    </row>
    <row r="3" customFormat="false" ht="15" hidden="false" customHeight="false" outlineLevel="0" collapsed="false">
      <c r="A3" s="6" t="s">
        <v>965</v>
      </c>
      <c r="B3" s="6" t="s">
        <v>966</v>
      </c>
      <c r="C3" s="6" t="s">
        <v>967</v>
      </c>
      <c r="D3" s="6" t="s">
        <v>968</v>
      </c>
      <c r="E3" s="6" t="s">
        <v>969</v>
      </c>
    </row>
    <row r="4" customFormat="false" ht="45" hidden="false" customHeight="true" outlineLevel="0" collapsed="false">
      <c r="A4" s="10" t="s">
        <v>970</v>
      </c>
      <c r="B4" s="3" t="s">
        <v>971</v>
      </c>
      <c r="C4" s="3" t="s">
        <v>972</v>
      </c>
      <c r="D4" s="3" t="s">
        <v>973</v>
      </c>
      <c r="E4" s="10" t="s">
        <v>974</v>
      </c>
    </row>
    <row r="5" customFormat="false" ht="45" hidden="false" customHeight="true" outlineLevel="0" collapsed="false">
      <c r="A5" s="10" t="s">
        <v>975</v>
      </c>
      <c r="B5" s="3" t="s">
        <v>976</v>
      </c>
      <c r="C5" s="3" t="s">
        <v>977</v>
      </c>
      <c r="D5" s="3" t="s">
        <v>978</v>
      </c>
      <c r="E5" s="10" t="s">
        <v>974</v>
      </c>
    </row>
    <row r="6" customFormat="false" ht="45" hidden="false" customHeight="true" outlineLevel="0" collapsed="false">
      <c r="A6" s="10" t="s">
        <v>979</v>
      </c>
      <c r="B6" s="3" t="s">
        <v>372</v>
      </c>
      <c r="C6" s="3" t="s">
        <v>980</v>
      </c>
      <c r="D6" s="3" t="s">
        <v>978</v>
      </c>
      <c r="E6" s="10" t="s">
        <v>974</v>
      </c>
    </row>
    <row r="7" customFormat="false" ht="45" hidden="false" customHeight="true" outlineLevel="0" collapsed="false">
      <c r="A7" s="10" t="s">
        <v>981</v>
      </c>
      <c r="B7" s="3" t="s">
        <v>15</v>
      </c>
      <c r="C7" s="3" t="s">
        <v>982</v>
      </c>
      <c r="D7" s="3" t="s">
        <v>978</v>
      </c>
      <c r="E7" s="10" t="s">
        <v>974</v>
      </c>
    </row>
    <row r="8" customFormat="false" ht="45" hidden="false" customHeight="true" outlineLevel="0" collapsed="false">
      <c r="A8" s="10" t="s">
        <v>983</v>
      </c>
      <c r="B8" s="3" t="s">
        <v>578</v>
      </c>
      <c r="C8" s="3" t="s">
        <v>984</v>
      </c>
      <c r="D8" s="3" t="s">
        <v>978</v>
      </c>
      <c r="E8" s="10" t="s">
        <v>974</v>
      </c>
    </row>
    <row r="9" customFormat="false" ht="45" hidden="false" customHeight="true" outlineLevel="0" collapsed="false">
      <c r="A9" s="10" t="s">
        <v>985</v>
      </c>
      <c r="B9" s="3" t="s">
        <v>986</v>
      </c>
      <c r="C9" s="3" t="s">
        <v>987</v>
      </c>
      <c r="D9" s="3" t="s">
        <v>988</v>
      </c>
      <c r="E9" s="10" t="s">
        <v>974</v>
      </c>
    </row>
    <row r="10" customFormat="false" ht="45" hidden="false" customHeight="true" outlineLevel="0" collapsed="false">
      <c r="A10" s="10" t="s">
        <v>989</v>
      </c>
      <c r="B10" s="3" t="s">
        <v>990</v>
      </c>
      <c r="C10" s="3" t="s">
        <v>991</v>
      </c>
      <c r="D10" s="3" t="s">
        <v>978</v>
      </c>
      <c r="E10" s="10" t="s">
        <v>974</v>
      </c>
    </row>
    <row r="11" customFormat="false" ht="45" hidden="false" customHeight="true" outlineLevel="0" collapsed="false">
      <c r="A11" s="10" t="s">
        <v>992</v>
      </c>
      <c r="B11" s="3" t="s">
        <v>993</v>
      </c>
      <c r="C11" s="3" t="s">
        <v>994</v>
      </c>
      <c r="D11" s="3" t="s">
        <v>995</v>
      </c>
      <c r="E11" s="10" t="s">
        <v>974</v>
      </c>
    </row>
    <row r="12" customFormat="false" ht="45" hidden="false" customHeight="true" outlineLevel="0" collapsed="false">
      <c r="A12" s="10" t="s">
        <v>996</v>
      </c>
      <c r="B12" s="3" t="s">
        <v>997</v>
      </c>
      <c r="C12" s="3" t="s">
        <v>998</v>
      </c>
      <c r="D12" s="3" t="s">
        <v>999</v>
      </c>
      <c r="E12" s="10" t="s">
        <v>974</v>
      </c>
    </row>
    <row r="13" customFormat="false" ht="45" hidden="false" customHeight="true" outlineLevel="0" collapsed="false">
      <c r="A13" s="10" t="s">
        <v>1000</v>
      </c>
      <c r="B13" s="3" t="s">
        <v>1001</v>
      </c>
      <c r="C13" s="3" t="s">
        <v>1002</v>
      </c>
      <c r="D13" s="3" t="s">
        <v>1003</v>
      </c>
      <c r="E13" s="10" t="s">
        <v>974</v>
      </c>
    </row>
    <row r="14" customFormat="false" ht="75" hidden="false" customHeight="true" outlineLevel="0" collapsed="false">
      <c r="A14" s="10" t="s">
        <v>1004</v>
      </c>
      <c r="B14" s="3" t="s">
        <v>1005</v>
      </c>
      <c r="C14" s="3" t="s">
        <v>1006</v>
      </c>
      <c r="D14" s="3" t="s">
        <v>1007</v>
      </c>
      <c r="E14" s="10" t="s">
        <v>1008</v>
      </c>
    </row>
    <row r="15" customFormat="false" ht="75" hidden="false" customHeight="true" outlineLevel="0" collapsed="false">
      <c r="A15" s="10" t="s">
        <v>1009</v>
      </c>
      <c r="B15" s="3" t="s">
        <v>1010</v>
      </c>
      <c r="C15" s="3" t="s">
        <v>1011</v>
      </c>
      <c r="D15" s="3" t="s">
        <v>1012</v>
      </c>
      <c r="E15" s="10" t="s">
        <v>1008</v>
      </c>
    </row>
    <row r="16" customFormat="false" ht="75" hidden="false" customHeight="true" outlineLevel="0" collapsed="false">
      <c r="A16" s="10" t="s">
        <v>1013</v>
      </c>
      <c r="B16" s="3" t="s">
        <v>1014</v>
      </c>
      <c r="C16" s="3" t="s">
        <v>1015</v>
      </c>
      <c r="D16" s="3" t="s">
        <v>1012</v>
      </c>
      <c r="E16" s="10" t="s">
        <v>1008</v>
      </c>
    </row>
    <row r="17" customFormat="false" ht="75" hidden="false" customHeight="true" outlineLevel="0" collapsed="false">
      <c r="A17" s="10" t="s">
        <v>1016</v>
      </c>
      <c r="B17" s="3" t="s">
        <v>1017</v>
      </c>
      <c r="C17" s="3" t="s">
        <v>1018</v>
      </c>
      <c r="D17" s="3" t="s">
        <v>1012</v>
      </c>
      <c r="E17" s="10" t="s">
        <v>1008</v>
      </c>
    </row>
    <row r="18" customFormat="false" ht="75" hidden="false" customHeight="true" outlineLevel="0" collapsed="false">
      <c r="A18" s="10" t="s">
        <v>1019</v>
      </c>
      <c r="B18" s="3" t="s">
        <v>1020</v>
      </c>
      <c r="C18" s="3" t="s">
        <v>1021</v>
      </c>
      <c r="D18" s="3" t="s">
        <v>1012</v>
      </c>
      <c r="E18" s="10" t="s">
        <v>1008</v>
      </c>
    </row>
    <row r="19" customFormat="false" ht="75" hidden="false" customHeight="true" outlineLevel="0" collapsed="false">
      <c r="A19" s="10" t="s">
        <v>1022</v>
      </c>
      <c r="B19" s="3" t="s">
        <v>1023</v>
      </c>
      <c r="C19" s="3" t="s">
        <v>1024</v>
      </c>
      <c r="D19" s="3" t="s">
        <v>1012</v>
      </c>
      <c r="E19" s="10" t="s">
        <v>1008</v>
      </c>
    </row>
    <row r="20" customFormat="false" ht="75" hidden="false" customHeight="true" outlineLevel="0" collapsed="false">
      <c r="A20" s="10" t="s">
        <v>1025</v>
      </c>
      <c r="B20" s="3" t="s">
        <v>1026</v>
      </c>
      <c r="C20" s="3" t="s">
        <v>1027</v>
      </c>
      <c r="D20" s="3" t="s">
        <v>1012</v>
      </c>
      <c r="E20" s="10" t="s">
        <v>1008</v>
      </c>
    </row>
    <row r="21" customFormat="false" ht="75" hidden="false" customHeight="true" outlineLevel="0" collapsed="false">
      <c r="A21" s="10" t="s">
        <v>1028</v>
      </c>
      <c r="B21" s="3" t="s">
        <v>1029</v>
      </c>
      <c r="C21" s="3" t="s">
        <v>1030</v>
      </c>
      <c r="D21" s="3" t="s">
        <v>1031</v>
      </c>
      <c r="E21" s="10" t="s">
        <v>1008</v>
      </c>
    </row>
    <row r="22" customFormat="false" ht="75" hidden="false" customHeight="true" outlineLevel="0" collapsed="false">
      <c r="A22" s="10" t="s">
        <v>1032</v>
      </c>
      <c r="B22" s="3" t="s">
        <v>1033</v>
      </c>
      <c r="C22" s="3" t="s">
        <v>1034</v>
      </c>
      <c r="D22" s="3" t="s">
        <v>1012</v>
      </c>
      <c r="E22" s="10" t="s">
        <v>1008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30"/>
    <col collapsed="false" customWidth="true" hidden="false" outlineLevel="0" max="4" min="4" style="0" width="40"/>
    <col collapsed="false" customWidth="true" hidden="false" outlineLevel="0" max="6" min="5" style="0" width="16"/>
    <col collapsed="false" customWidth="true" hidden="false" outlineLevel="0" max="7" min="7" style="0" width="14"/>
    <col collapsed="false" customWidth="true" hidden="false" outlineLevel="0" max="8" min="8" style="0" width="9"/>
  </cols>
  <sheetData>
    <row r="1" customFormat="false" ht="16.15" hidden="false" customHeight="false" outlineLevel="0" collapsed="false">
      <c r="A1" s="4" t="s">
        <v>1035</v>
      </c>
    </row>
    <row r="3" customFormat="false" ht="15" hidden="false" customHeight="false" outlineLevel="0" collapsed="false">
      <c r="A3" s="6" t="s">
        <v>1036</v>
      </c>
      <c r="B3" s="6" t="s">
        <v>1037</v>
      </c>
      <c r="C3" s="6" t="s">
        <v>1038</v>
      </c>
      <c r="D3" s="6" t="s">
        <v>262</v>
      </c>
      <c r="E3" s="6" t="s">
        <v>261</v>
      </c>
      <c r="F3" s="6" t="s">
        <v>1039</v>
      </c>
      <c r="G3" s="6" t="s">
        <v>1040</v>
      </c>
      <c r="H3" s="6" t="s">
        <v>17</v>
      </c>
    </row>
    <row r="4" customFormat="false" ht="15" hidden="false" customHeight="false" outlineLevel="0" collapsed="false">
      <c r="A4" s="10" t="s">
        <v>1041</v>
      </c>
      <c r="B4" s="10" t="s">
        <v>1042</v>
      </c>
      <c r="C4" s="10" t="s">
        <v>1043</v>
      </c>
      <c r="D4" s="10" t="s">
        <v>66</v>
      </c>
      <c r="E4" s="13" t="n">
        <f aca="false">Historical_Drivers!C6</f>
        <v>162256</v>
      </c>
      <c r="F4" s="34" t="n">
        <v>162256</v>
      </c>
      <c r="G4" s="10" t="n">
        <f aca="false">E4-F4</f>
        <v>0</v>
      </c>
      <c r="H4" s="10" t="str">
        <f aca="false">IF(ABS(G4)&lt;=0.000001,"PASS","FAIL")</f>
        <v>PASS</v>
      </c>
    </row>
    <row r="5" customFormat="false" ht="15" hidden="false" customHeight="false" outlineLevel="0" collapsed="false">
      <c r="A5" s="10" t="s">
        <v>1044</v>
      </c>
      <c r="B5" s="10" t="s">
        <v>1042</v>
      </c>
      <c r="C5" s="10" t="s">
        <v>1045</v>
      </c>
      <c r="D5" s="10" t="s">
        <v>67</v>
      </c>
      <c r="E5" s="13" t="n">
        <f aca="false">Historical_Drivers!D6</f>
        <v>175679</v>
      </c>
      <c r="F5" s="34" t="n">
        <v>175679</v>
      </c>
      <c r="G5" s="10" t="n">
        <f aca="false">E5-F5</f>
        <v>0</v>
      </c>
      <c r="H5" s="10" t="str">
        <f aca="false">IF(ABS(G5)&lt;=0.000001,"PASS","FAIL")</f>
        <v>PASS</v>
      </c>
    </row>
    <row r="6" customFormat="false" ht="15" hidden="false" customHeight="false" outlineLevel="0" collapsed="false">
      <c r="A6" s="10" t="s">
        <v>1046</v>
      </c>
      <c r="B6" s="10" t="s">
        <v>1042</v>
      </c>
      <c r="C6" s="10" t="s">
        <v>1047</v>
      </c>
      <c r="D6" s="10" t="s">
        <v>68</v>
      </c>
      <c r="E6" s="13" t="n">
        <f aca="false">Historical_Drivers!E6</f>
        <v>189190</v>
      </c>
      <c r="F6" s="34" t="n">
        <v>189190</v>
      </c>
      <c r="G6" s="10" t="n">
        <f aca="false">E6-F6</f>
        <v>0</v>
      </c>
      <c r="H6" s="10" t="str">
        <f aca="false">IF(ABS(G6)&lt;=0.000001,"PASS","FAIL")</f>
        <v>PASS</v>
      </c>
    </row>
    <row r="7" customFormat="false" ht="15" hidden="false" customHeight="false" outlineLevel="0" collapsed="false">
      <c r="A7" s="10" t="s">
        <v>1048</v>
      </c>
      <c r="B7" s="10" t="s">
        <v>1042</v>
      </c>
      <c r="C7" s="10" t="s">
        <v>1049</v>
      </c>
      <c r="D7" s="10" t="s">
        <v>69</v>
      </c>
      <c r="E7" s="13" t="n">
        <f aca="false">Historical_Drivers!F6</f>
        <v>202570</v>
      </c>
      <c r="F7" s="34" t="n">
        <v>202570</v>
      </c>
      <c r="G7" s="10" t="n">
        <f aca="false">E7-F7</f>
        <v>0</v>
      </c>
      <c r="H7" s="10" t="str">
        <f aca="false">IF(ABS(G7)&lt;=0.000001,"PASS","FAIL")</f>
        <v>PASS</v>
      </c>
    </row>
    <row r="8" customFormat="false" ht="15" hidden="false" customHeight="false" outlineLevel="0" collapsed="false">
      <c r="A8" s="10" t="s">
        <v>1050</v>
      </c>
      <c r="B8" s="10" t="s">
        <v>1042</v>
      </c>
      <c r="C8" s="10" t="s">
        <v>1051</v>
      </c>
      <c r="D8" s="10" t="s">
        <v>70</v>
      </c>
      <c r="E8" s="13" t="n">
        <f aca="false">Historical_Drivers!G6</f>
        <v>216913</v>
      </c>
      <c r="F8" s="34" t="n">
        <v>216913</v>
      </c>
      <c r="G8" s="10" t="n">
        <f aca="false">E8-F8</f>
        <v>0</v>
      </c>
      <c r="H8" s="10" t="str">
        <f aca="false">IF(ABS(G8)&lt;=0.000001,"PASS","FAIL")</f>
        <v>PASS</v>
      </c>
    </row>
    <row r="9" customFormat="false" ht="15" hidden="false" customHeight="false" outlineLevel="0" collapsed="false">
      <c r="A9" s="10" t="s">
        <v>1052</v>
      </c>
      <c r="B9" s="10" t="s">
        <v>1042</v>
      </c>
      <c r="C9" s="10" t="s">
        <v>1053</v>
      </c>
      <c r="D9" s="10" t="s">
        <v>71</v>
      </c>
      <c r="E9" s="13" t="n">
        <f aca="false">Historical_Drivers!H6</f>
        <v>236106</v>
      </c>
      <c r="F9" s="34" t="n">
        <v>236106</v>
      </c>
      <c r="G9" s="10" t="n">
        <f aca="false">E9-F9</f>
        <v>0</v>
      </c>
      <c r="H9" s="10" t="str">
        <f aca="false">IF(ABS(G9)&lt;=0.000001,"PASS","FAIL")</f>
        <v>PASS</v>
      </c>
    </row>
    <row r="10" customFormat="false" ht="15" hidden="false" customHeight="false" outlineLevel="0" collapsed="false">
      <c r="A10" s="10" t="s">
        <v>1054</v>
      </c>
      <c r="B10" s="10" t="s">
        <v>1042</v>
      </c>
      <c r="C10" s="10" t="s">
        <v>1055</v>
      </c>
      <c r="D10" s="10" t="s">
        <v>72</v>
      </c>
      <c r="E10" s="13" t="n">
        <f aca="false">Historical_Drivers!I6</f>
        <v>251000</v>
      </c>
      <c r="F10" s="34" t="n">
        <v>251000</v>
      </c>
      <c r="G10" s="10" t="n">
        <f aca="false">E10-F10</f>
        <v>0</v>
      </c>
      <c r="H10" s="10" t="str">
        <f aca="false">IF(ABS(G10)&lt;=0.000001,"PASS","FAIL")</f>
        <v>PASS</v>
      </c>
    </row>
    <row r="11" customFormat="false" ht="15" hidden="false" customHeight="false" outlineLevel="0" collapsed="false">
      <c r="A11" s="10" t="s">
        <v>1056</v>
      </c>
      <c r="B11" s="10" t="s">
        <v>1042</v>
      </c>
      <c r="C11" s="10" t="s">
        <v>1057</v>
      </c>
      <c r="D11" s="10" t="s">
        <v>73</v>
      </c>
      <c r="E11" s="13" t="n">
        <f aca="false">Historical_Drivers!J6</f>
        <v>267976</v>
      </c>
      <c r="F11" s="34" t="n">
        <v>267976</v>
      </c>
      <c r="G11" s="10" t="n">
        <f aca="false">E11-F11</f>
        <v>0</v>
      </c>
      <c r="H11" s="10" t="str">
        <f aca="false">IF(ABS(G11)&lt;=0.000001,"PASS","FAIL")</f>
        <v>PASS</v>
      </c>
    </row>
    <row r="12" customFormat="false" ht="15" hidden="false" customHeight="false" outlineLevel="0" collapsed="false">
      <c r="A12" s="10" t="s">
        <v>1058</v>
      </c>
      <c r="B12" s="10" t="s">
        <v>1042</v>
      </c>
      <c r="C12" s="10" t="s">
        <v>1059</v>
      </c>
      <c r="D12" s="10" t="s">
        <v>74</v>
      </c>
      <c r="E12" s="13" t="n">
        <f aca="false">Historical_Drivers!K6</f>
        <v>282250</v>
      </c>
      <c r="F12" s="34" t="n">
        <v>282250</v>
      </c>
      <c r="G12" s="10" t="n">
        <f aca="false">E12-F12</f>
        <v>0</v>
      </c>
      <c r="H12" s="10" t="str">
        <f aca="false">IF(ABS(G12)&lt;=0.000001,"PASS","FAIL")</f>
        <v>PASS</v>
      </c>
    </row>
    <row r="13" customFormat="false" ht="15" hidden="false" customHeight="false" outlineLevel="0" collapsed="false">
      <c r="A13" s="10" t="s">
        <v>1060</v>
      </c>
      <c r="B13" s="10" t="s">
        <v>1042</v>
      </c>
      <c r="C13" s="10" t="s">
        <v>1061</v>
      </c>
      <c r="D13" s="10" t="s">
        <v>75</v>
      </c>
      <c r="E13" s="13" t="n">
        <f aca="false">Historical_Drivers!L6</f>
        <v>299014</v>
      </c>
      <c r="F13" s="34" t="n">
        <v>299014</v>
      </c>
      <c r="G13" s="10" t="n">
        <f aca="false">E13-F13</f>
        <v>0</v>
      </c>
      <c r="H13" s="10" t="str">
        <f aca="false">IF(ABS(G13)&lt;=0.000001,"PASS","FAIL")</f>
        <v>PASS</v>
      </c>
    </row>
    <row r="14" customFormat="false" ht="15" hidden="false" customHeight="false" outlineLevel="0" collapsed="false">
      <c r="A14" s="10" t="s">
        <v>1062</v>
      </c>
      <c r="B14" s="10" t="s">
        <v>1042</v>
      </c>
      <c r="C14" s="10" t="s">
        <v>1063</v>
      </c>
      <c r="D14" s="10" t="s">
        <v>76</v>
      </c>
      <c r="E14" s="13" t="n">
        <f aca="false">Historical_Drivers!M6</f>
        <v>316855</v>
      </c>
      <c r="F14" s="34" t="n">
        <v>316855</v>
      </c>
      <c r="G14" s="10" t="n">
        <f aca="false">E14-F14</f>
        <v>0</v>
      </c>
      <c r="H14" s="10" t="str">
        <f aca="false">IF(ABS(G14)&lt;=0.000001,"PASS","FAIL")</f>
        <v>PASS</v>
      </c>
    </row>
    <row r="15" customFormat="false" ht="15" hidden="false" customHeight="false" outlineLevel="0" collapsed="false">
      <c r="A15" s="10" t="s">
        <v>1064</v>
      </c>
      <c r="B15" s="10" t="s">
        <v>1042</v>
      </c>
      <c r="C15" s="10" t="s">
        <v>1065</v>
      </c>
      <c r="D15" s="10" t="s">
        <v>77</v>
      </c>
      <c r="E15" s="13" t="n">
        <f aca="false">Historical_Drivers!N6</f>
        <v>333878</v>
      </c>
      <c r="F15" s="34" t="n">
        <v>333878</v>
      </c>
      <c r="G15" s="10" t="n">
        <f aca="false">E15-F15</f>
        <v>0</v>
      </c>
      <c r="H15" s="10" t="str">
        <f aca="false">IF(ABS(G15)&lt;=0.000001,"PASS","FAIL")</f>
        <v>PASS</v>
      </c>
    </row>
    <row r="16" customFormat="false" ht="15" hidden="false" customHeight="false" outlineLevel="0" collapsed="false">
      <c r="A16" s="10" t="s">
        <v>1066</v>
      </c>
      <c r="B16" s="10" t="s">
        <v>1042</v>
      </c>
      <c r="C16" s="10" t="s">
        <v>1067</v>
      </c>
      <c r="D16" s="10" t="s">
        <v>78</v>
      </c>
      <c r="E16" s="13" t="n">
        <f aca="false">Historical_Drivers!O6</f>
        <v>351265</v>
      </c>
      <c r="F16" s="34" t="n">
        <v>351265</v>
      </c>
      <c r="G16" s="10" t="n">
        <f aca="false">E16-F16</f>
        <v>0</v>
      </c>
      <c r="H16" s="10" t="str">
        <f aca="false">IF(ABS(G16)&lt;=0.000001,"PASS","FAIL")</f>
        <v>PASS</v>
      </c>
    </row>
    <row r="17" customFormat="false" ht="15" hidden="false" customHeight="false" outlineLevel="0" collapsed="false">
      <c r="A17" s="10" t="s">
        <v>1068</v>
      </c>
      <c r="B17" s="10" t="s">
        <v>1042</v>
      </c>
      <c r="C17" s="10" t="s">
        <v>1069</v>
      </c>
      <c r="D17" s="10" t="s">
        <v>79</v>
      </c>
      <c r="E17" s="13" t="n">
        <f aca="false">Historical_Drivers!P6</f>
        <v>364621</v>
      </c>
      <c r="F17" s="34" t="n">
        <v>364621</v>
      </c>
      <c r="G17" s="10" t="n">
        <f aca="false">E17-F17</f>
        <v>0</v>
      </c>
      <c r="H17" s="10" t="str">
        <f aca="false">IF(ABS(G17)&lt;=0.000001,"PASS","FAIL")</f>
        <v>PASS</v>
      </c>
    </row>
    <row r="18" customFormat="false" ht="15" hidden="false" customHeight="false" outlineLevel="0" collapsed="false">
      <c r="A18" s="10" t="s">
        <v>1070</v>
      </c>
      <c r="B18" s="10" t="s">
        <v>1042</v>
      </c>
      <c r="C18" s="10" t="s">
        <v>1071</v>
      </c>
      <c r="D18" s="10" t="s">
        <v>81</v>
      </c>
      <c r="E18" s="13" t="n">
        <f aca="false">Historical_Drivers!C8</f>
        <v>146719</v>
      </c>
      <c r="F18" s="34" t="n">
        <v>146719</v>
      </c>
      <c r="G18" s="10" t="n">
        <f aca="false">E18-F18</f>
        <v>0</v>
      </c>
      <c r="H18" s="10" t="str">
        <f aca="false">IF(ABS(G18)&lt;=0.000001,"PASS","FAIL")</f>
        <v>PASS</v>
      </c>
    </row>
    <row r="19" customFormat="false" ht="15" hidden="false" customHeight="false" outlineLevel="0" collapsed="false">
      <c r="A19" s="10" t="s">
        <v>1072</v>
      </c>
      <c r="B19" s="10" t="s">
        <v>1042</v>
      </c>
      <c r="C19" s="10" t="s">
        <v>1073</v>
      </c>
      <c r="D19" s="10" t="s">
        <v>82</v>
      </c>
      <c r="E19" s="13" t="n">
        <f aca="false">Historical_Drivers!D8</f>
        <v>158008</v>
      </c>
      <c r="F19" s="34" t="n">
        <v>158008</v>
      </c>
      <c r="G19" s="10" t="n">
        <f aca="false">E19-F19</f>
        <v>0</v>
      </c>
      <c r="H19" s="10" t="str">
        <f aca="false">IF(ABS(G19)&lt;=0.000001,"PASS","FAIL")</f>
        <v>PASS</v>
      </c>
    </row>
    <row r="20" customFormat="false" ht="15" hidden="false" customHeight="false" outlineLevel="0" collapsed="false">
      <c r="A20" s="10" t="s">
        <v>1074</v>
      </c>
      <c r="B20" s="10" t="s">
        <v>1042</v>
      </c>
      <c r="C20" s="10" t="s">
        <v>1075</v>
      </c>
      <c r="D20" s="10" t="s">
        <v>83</v>
      </c>
      <c r="E20" s="13" t="n">
        <f aca="false">Historical_Drivers!E8</f>
        <v>168866</v>
      </c>
      <c r="F20" s="34" t="n">
        <v>168866</v>
      </c>
      <c r="G20" s="10" t="n">
        <f aca="false">E20-F20</f>
        <v>0</v>
      </c>
      <c r="H20" s="10" t="str">
        <f aca="false">IF(ABS(G20)&lt;=0.000001,"PASS","FAIL")</f>
        <v>PASS</v>
      </c>
    </row>
    <row r="21" customFormat="false" ht="15" hidden="false" customHeight="false" outlineLevel="0" collapsed="false">
      <c r="A21" s="10" t="s">
        <v>1076</v>
      </c>
      <c r="B21" s="10" t="s">
        <v>1042</v>
      </c>
      <c r="C21" s="10" t="s">
        <v>1077</v>
      </c>
      <c r="D21" s="10" t="s">
        <v>84</v>
      </c>
      <c r="E21" s="13" t="n">
        <f aca="false">Historical_Drivers!F8</f>
        <v>181764</v>
      </c>
      <c r="F21" s="34" t="n">
        <v>181764</v>
      </c>
      <c r="G21" s="10" t="n">
        <f aca="false">E21-F21</f>
        <v>0</v>
      </c>
      <c r="H21" s="10" t="str">
        <f aca="false">IF(ABS(G21)&lt;=0.000001,"PASS","FAIL")</f>
        <v>PASS</v>
      </c>
    </row>
    <row r="22" customFormat="false" ht="15" hidden="false" customHeight="false" outlineLevel="0" collapsed="false">
      <c r="A22" s="10" t="s">
        <v>1078</v>
      </c>
      <c r="B22" s="10" t="s">
        <v>1042</v>
      </c>
      <c r="C22" s="10" t="s">
        <v>1079</v>
      </c>
      <c r="D22" s="10" t="s">
        <v>85</v>
      </c>
      <c r="E22" s="13" t="n">
        <f aca="false">Historical_Drivers!G8</f>
        <v>194703</v>
      </c>
      <c r="F22" s="34" t="n">
        <v>194703</v>
      </c>
      <c r="G22" s="10" t="n">
        <f aca="false">E22-F22</f>
        <v>0</v>
      </c>
      <c r="H22" s="10" t="str">
        <f aca="false">IF(ABS(G22)&lt;=0.000001,"PASS","FAIL")</f>
        <v>PASS</v>
      </c>
    </row>
    <row r="23" customFormat="false" ht="15" hidden="false" customHeight="false" outlineLevel="0" collapsed="false">
      <c r="A23" s="10" t="s">
        <v>1080</v>
      </c>
      <c r="B23" s="10" t="s">
        <v>1042</v>
      </c>
      <c r="C23" s="10" t="s">
        <v>1081</v>
      </c>
      <c r="D23" s="10" t="s">
        <v>86</v>
      </c>
      <c r="E23" s="13" t="n">
        <f aca="false">Historical_Drivers!H8</f>
        <v>214215</v>
      </c>
      <c r="F23" s="34" t="n">
        <v>214215</v>
      </c>
      <c r="G23" s="10" t="n">
        <f aca="false">E23-F23</f>
        <v>0</v>
      </c>
      <c r="H23" s="10" t="str">
        <f aca="false">IF(ABS(G23)&lt;=0.000001,"PASS","FAIL")</f>
        <v>PASS</v>
      </c>
    </row>
    <row r="24" customFormat="false" ht="15" hidden="false" customHeight="false" outlineLevel="0" collapsed="false">
      <c r="A24" s="10" t="s">
        <v>1082</v>
      </c>
      <c r="B24" s="10" t="s">
        <v>1042</v>
      </c>
      <c r="C24" s="10" t="s">
        <v>1083</v>
      </c>
      <c r="D24" s="10" t="s">
        <v>87</v>
      </c>
      <c r="E24" s="13" t="n">
        <f aca="false">Historical_Drivers!I8</f>
        <v>226909</v>
      </c>
      <c r="F24" s="34" t="n">
        <v>226909</v>
      </c>
      <c r="G24" s="10" t="n">
        <f aca="false">E24-F24</f>
        <v>0</v>
      </c>
      <c r="H24" s="10" t="str">
        <f aca="false">IF(ABS(G24)&lt;=0.000001,"PASS","FAIL")</f>
        <v>PASS</v>
      </c>
    </row>
    <row r="25" customFormat="false" ht="15" hidden="false" customHeight="false" outlineLevel="0" collapsed="false">
      <c r="A25" s="10" t="s">
        <v>1084</v>
      </c>
      <c r="B25" s="10" t="s">
        <v>1042</v>
      </c>
      <c r="C25" s="10" t="s">
        <v>1085</v>
      </c>
      <c r="D25" s="10" t="s">
        <v>88</v>
      </c>
      <c r="E25" s="13" t="n">
        <f aca="false">Historical_Drivers!J8</f>
        <v>239080</v>
      </c>
      <c r="F25" s="34" t="n">
        <v>239080</v>
      </c>
      <c r="G25" s="10" t="n">
        <f aca="false">E25-F25</f>
        <v>0</v>
      </c>
      <c r="H25" s="10" t="str">
        <f aca="false">IF(ABS(G25)&lt;=0.000001,"PASS","FAIL")</f>
        <v>PASS</v>
      </c>
    </row>
    <row r="26" customFormat="false" ht="15" hidden="false" customHeight="false" outlineLevel="0" collapsed="false">
      <c r="A26" s="10" t="s">
        <v>1086</v>
      </c>
      <c r="B26" s="10" t="s">
        <v>1042</v>
      </c>
      <c r="C26" s="10" t="s">
        <v>1087</v>
      </c>
      <c r="D26" s="10" t="s">
        <v>89</v>
      </c>
      <c r="E26" s="13" t="n">
        <f aca="false">Historical_Drivers!K8</f>
        <v>254579</v>
      </c>
      <c r="F26" s="34" t="n">
        <v>254579</v>
      </c>
      <c r="G26" s="10" t="n">
        <f aca="false">E26-F26</f>
        <v>0</v>
      </c>
      <c r="H26" s="10" t="str">
        <f aca="false">IF(ABS(G26)&lt;=0.000001,"PASS","FAIL")</f>
        <v>PASS</v>
      </c>
    </row>
    <row r="27" customFormat="false" ht="15" hidden="false" customHeight="false" outlineLevel="0" collapsed="false">
      <c r="A27" s="10" t="s">
        <v>1088</v>
      </c>
      <c r="B27" s="10" t="s">
        <v>1042</v>
      </c>
      <c r="C27" s="10" t="s">
        <v>1089</v>
      </c>
      <c r="D27" s="10" t="s">
        <v>90</v>
      </c>
      <c r="E27" s="13" t="n">
        <f aca="false">Historical_Drivers!L8</f>
        <v>270113</v>
      </c>
      <c r="F27" s="34" t="n">
        <v>270113</v>
      </c>
      <c r="G27" s="10" t="n">
        <f aca="false">E27-F27</f>
        <v>0</v>
      </c>
      <c r="H27" s="10" t="str">
        <f aca="false">IF(ABS(G27)&lt;=0.000001,"PASS","FAIL")</f>
        <v>PASS</v>
      </c>
    </row>
    <row r="28" customFormat="false" ht="15" hidden="false" customHeight="false" outlineLevel="0" collapsed="false">
      <c r="A28" s="10" t="s">
        <v>1090</v>
      </c>
      <c r="B28" s="10" t="s">
        <v>1042</v>
      </c>
      <c r="C28" s="10" t="s">
        <v>1091</v>
      </c>
      <c r="D28" s="10" t="s">
        <v>91</v>
      </c>
      <c r="E28" s="13" t="n">
        <f aca="false">Historical_Drivers!M8</f>
        <v>284031</v>
      </c>
      <c r="F28" s="34" t="n">
        <v>284031</v>
      </c>
      <c r="G28" s="10" t="n">
        <f aca="false">E28-F28</f>
        <v>0</v>
      </c>
      <c r="H28" s="10" t="str">
        <f aca="false">IF(ABS(G28)&lt;=0.000001,"PASS","FAIL")</f>
        <v>PASS</v>
      </c>
    </row>
    <row r="29" customFormat="false" ht="15" hidden="false" customHeight="false" outlineLevel="0" collapsed="false">
      <c r="A29" s="10" t="s">
        <v>1092</v>
      </c>
      <c r="B29" s="10" t="s">
        <v>1042</v>
      </c>
      <c r="C29" s="10" t="s">
        <v>1093</v>
      </c>
      <c r="D29" s="10" t="s">
        <v>92</v>
      </c>
      <c r="E29" s="13" t="n">
        <f aca="false">Historical_Drivers!N8</f>
        <v>298736</v>
      </c>
      <c r="F29" s="34" t="n">
        <v>298736</v>
      </c>
      <c r="G29" s="10" t="n">
        <f aca="false">E29-F29</f>
        <v>0</v>
      </c>
      <c r="H29" s="10" t="str">
        <f aca="false">IF(ABS(G29)&lt;=0.000001,"PASS","FAIL")</f>
        <v>PASS</v>
      </c>
    </row>
    <row r="30" customFormat="false" ht="15" hidden="false" customHeight="false" outlineLevel="0" collapsed="false">
      <c r="A30" s="10" t="s">
        <v>1094</v>
      </c>
      <c r="B30" s="10" t="s">
        <v>1042</v>
      </c>
      <c r="C30" s="10" t="s">
        <v>1095</v>
      </c>
      <c r="D30" s="10" t="s">
        <v>93</v>
      </c>
      <c r="E30" s="13" t="n">
        <f aca="false">Historical_Drivers!O8</f>
        <v>314190</v>
      </c>
      <c r="F30" s="34" t="n">
        <v>314190</v>
      </c>
      <c r="G30" s="10" t="n">
        <f aca="false">E30-F30</f>
        <v>0</v>
      </c>
      <c r="H30" s="10" t="str">
        <f aca="false">IF(ABS(G30)&lt;=0.000001,"PASS","FAIL")</f>
        <v>PASS</v>
      </c>
    </row>
    <row r="31" customFormat="false" ht="15" hidden="false" customHeight="false" outlineLevel="0" collapsed="false">
      <c r="A31" s="10" t="s">
        <v>1096</v>
      </c>
      <c r="B31" s="10" t="s">
        <v>1042</v>
      </c>
      <c r="C31" s="10" t="s">
        <v>1097</v>
      </c>
      <c r="D31" s="10" t="s">
        <v>94</v>
      </c>
      <c r="E31" s="13" t="n">
        <f aca="false">Historical_Drivers!P8</f>
        <v>324222</v>
      </c>
      <c r="F31" s="34" t="n">
        <v>324222</v>
      </c>
      <c r="G31" s="10" t="n">
        <f aca="false">E31-F31</f>
        <v>0</v>
      </c>
      <c r="H31" s="10" t="str">
        <f aca="false">IF(ABS(G31)&lt;=0.000001,"PASS","FAIL")</f>
        <v>PASS</v>
      </c>
    </row>
    <row r="32" customFormat="false" ht="15" hidden="false" customHeight="false" outlineLevel="0" collapsed="false">
      <c r="A32" s="10" t="s">
        <v>1098</v>
      </c>
      <c r="B32" s="10" t="s">
        <v>1042</v>
      </c>
      <c r="C32" s="10" t="s">
        <v>1099</v>
      </c>
      <c r="D32" s="10" t="s">
        <v>96</v>
      </c>
      <c r="E32" s="13" t="n">
        <f aca="false">Historical_Drivers!C10</f>
        <v>28519</v>
      </c>
      <c r="F32" s="34" t="n">
        <v>28519</v>
      </c>
      <c r="G32" s="10" t="n">
        <f aca="false">E32-F32</f>
        <v>0</v>
      </c>
      <c r="H32" s="10" t="str">
        <f aca="false">IF(ABS(G32)&lt;=0.000001,"PASS","FAIL")</f>
        <v>PASS</v>
      </c>
    </row>
    <row r="33" customFormat="false" ht="15" hidden="false" customHeight="false" outlineLevel="0" collapsed="false">
      <c r="A33" s="10" t="s">
        <v>1100</v>
      </c>
      <c r="B33" s="10" t="s">
        <v>1042</v>
      </c>
      <c r="C33" s="10" t="s">
        <v>1101</v>
      </c>
      <c r="D33" s="10" t="s">
        <v>97</v>
      </c>
      <c r="E33" s="13" t="n">
        <f aca="false">Historical_Drivers!D10</f>
        <v>27908</v>
      </c>
      <c r="F33" s="34" t="n">
        <v>27908</v>
      </c>
      <c r="G33" s="10" t="n">
        <f aca="false">E33-F33</f>
        <v>0</v>
      </c>
      <c r="H33" s="10" t="str">
        <f aca="false">IF(ABS(G33)&lt;=0.000001,"PASS","FAIL")</f>
        <v>PASS</v>
      </c>
    </row>
    <row r="34" customFormat="false" ht="15" hidden="false" customHeight="false" outlineLevel="0" collapsed="false">
      <c r="A34" s="10" t="s">
        <v>1102</v>
      </c>
      <c r="B34" s="10" t="s">
        <v>1042</v>
      </c>
      <c r="C34" s="10" t="s">
        <v>1103</v>
      </c>
      <c r="D34" s="10" t="s">
        <v>98</v>
      </c>
      <c r="E34" s="13" t="n">
        <f aca="false">Historical_Drivers!E10</f>
        <v>28051</v>
      </c>
      <c r="F34" s="34" t="n">
        <v>28051</v>
      </c>
      <c r="G34" s="10" t="n">
        <f aca="false">E34-F34</f>
        <v>0</v>
      </c>
      <c r="H34" s="10" t="str">
        <f aca="false">IF(ABS(G34)&lt;=0.000001,"PASS","FAIL")</f>
        <v>PASS</v>
      </c>
    </row>
    <row r="35" customFormat="false" ht="15" hidden="false" customHeight="false" outlineLevel="0" collapsed="false">
      <c r="A35" s="10" t="s">
        <v>1104</v>
      </c>
      <c r="B35" s="10" t="s">
        <v>1042</v>
      </c>
      <c r="C35" s="10" t="s">
        <v>1105</v>
      </c>
      <c r="D35" s="10" t="s">
        <v>99</v>
      </c>
      <c r="E35" s="13" t="n">
        <f aca="false">Historical_Drivers!F10</f>
        <v>33285</v>
      </c>
      <c r="F35" s="34" t="n">
        <v>33285</v>
      </c>
      <c r="G35" s="10" t="n">
        <f aca="false">E35-F35</f>
        <v>0</v>
      </c>
      <c r="H35" s="10" t="str">
        <f aca="false">IF(ABS(G35)&lt;=0.000001,"PASS","FAIL")</f>
        <v>PASS</v>
      </c>
    </row>
    <row r="36" customFormat="false" ht="15" hidden="false" customHeight="false" outlineLevel="0" collapsed="false">
      <c r="A36" s="10" t="s">
        <v>1106</v>
      </c>
      <c r="B36" s="10" t="s">
        <v>1042</v>
      </c>
      <c r="C36" s="10" t="s">
        <v>1107</v>
      </c>
      <c r="D36" s="10" t="s">
        <v>100</v>
      </c>
      <c r="E36" s="13" t="n">
        <f aca="false">Historical_Drivers!G10</f>
        <v>34797</v>
      </c>
      <c r="F36" s="34" t="n">
        <v>34797</v>
      </c>
      <c r="G36" s="10" t="n">
        <f aca="false">E36-F36</f>
        <v>0</v>
      </c>
      <c r="H36" s="10" t="str">
        <f aca="false">IF(ABS(G36)&lt;=0.000001,"PASS","FAIL")</f>
        <v>PASS</v>
      </c>
    </row>
    <row r="37" customFormat="false" ht="15" hidden="false" customHeight="false" outlineLevel="0" collapsed="false">
      <c r="A37" s="10" t="s">
        <v>1108</v>
      </c>
      <c r="B37" s="10" t="s">
        <v>1042</v>
      </c>
      <c r="C37" s="10" t="s">
        <v>1109</v>
      </c>
      <c r="D37" s="10" t="s">
        <v>101</v>
      </c>
      <c r="E37" s="13" t="n">
        <f aca="false">Historical_Drivers!H10</f>
        <v>36878</v>
      </c>
      <c r="F37" s="34" t="n">
        <v>36878</v>
      </c>
      <c r="G37" s="10" t="n">
        <f aca="false">E37-F37</f>
        <v>0</v>
      </c>
      <c r="H37" s="10" t="str">
        <f aca="false">IF(ABS(G37)&lt;=0.000001,"PASS","FAIL")</f>
        <v>PASS</v>
      </c>
    </row>
    <row r="38" customFormat="false" ht="15" hidden="false" customHeight="false" outlineLevel="0" collapsed="false">
      <c r="A38" s="10" t="s">
        <v>1110</v>
      </c>
      <c r="B38" s="10" t="s">
        <v>1042</v>
      </c>
      <c r="C38" s="10" t="s">
        <v>1111</v>
      </c>
      <c r="D38" s="10" t="s">
        <v>102</v>
      </c>
      <c r="E38" s="13" t="n">
        <f aca="false">Historical_Drivers!I10</f>
        <v>42973</v>
      </c>
      <c r="F38" s="34" t="n">
        <v>42973</v>
      </c>
      <c r="G38" s="10" t="n">
        <f aca="false">E38-F38</f>
        <v>0</v>
      </c>
      <c r="H38" s="10" t="str">
        <f aca="false">IF(ABS(G38)&lt;=0.000001,"PASS","FAIL")</f>
        <v>PASS</v>
      </c>
    </row>
    <row r="39" customFormat="false" ht="15" hidden="false" customHeight="false" outlineLevel="0" collapsed="false">
      <c r="A39" s="10" t="s">
        <v>1112</v>
      </c>
      <c r="B39" s="10" t="s">
        <v>1042</v>
      </c>
      <c r="C39" s="10" t="s">
        <v>1113</v>
      </c>
      <c r="D39" s="10" t="s">
        <v>103</v>
      </c>
      <c r="E39" s="13" t="n">
        <f aca="false">Historical_Drivers!J10</f>
        <v>48066</v>
      </c>
      <c r="F39" s="34" t="n">
        <v>48066</v>
      </c>
      <c r="G39" s="10" t="n">
        <f aca="false">E39-F39</f>
        <v>0</v>
      </c>
      <c r="H39" s="10" t="str">
        <f aca="false">IF(ABS(G39)&lt;=0.000001,"PASS","FAIL")</f>
        <v>PASS</v>
      </c>
    </row>
    <row r="40" customFormat="false" ht="15" hidden="false" customHeight="false" outlineLevel="0" collapsed="false">
      <c r="A40" s="10" t="s">
        <v>1114</v>
      </c>
      <c r="B40" s="10" t="s">
        <v>1042</v>
      </c>
      <c r="C40" s="10" t="s">
        <v>1115</v>
      </c>
      <c r="D40" s="10" t="s">
        <v>104</v>
      </c>
      <c r="E40" s="13" t="n">
        <f aca="false">Historical_Drivers!K10</f>
        <v>53844</v>
      </c>
      <c r="F40" s="34" t="n">
        <v>53844</v>
      </c>
      <c r="G40" s="10" t="n">
        <f aca="false">E40-F40</f>
        <v>0</v>
      </c>
      <c r="H40" s="10" t="str">
        <f aca="false">IF(ABS(G40)&lt;=0.000001,"PASS","FAIL")</f>
        <v>PASS</v>
      </c>
    </row>
    <row r="41" customFormat="false" ht="15" hidden="false" customHeight="false" outlineLevel="0" collapsed="false">
      <c r="A41" s="10" t="s">
        <v>1116</v>
      </c>
      <c r="B41" s="10" t="s">
        <v>1042</v>
      </c>
      <c r="C41" s="10" t="s">
        <v>1117</v>
      </c>
      <c r="D41" s="10" t="s">
        <v>105</v>
      </c>
      <c r="E41" s="13" t="n">
        <f aca="false">Historical_Drivers!L10</f>
        <v>59233</v>
      </c>
      <c r="F41" s="34" t="n">
        <v>59233</v>
      </c>
      <c r="G41" s="10" t="n">
        <f aca="false">E41-F41</f>
        <v>0</v>
      </c>
      <c r="H41" s="10" t="str">
        <f aca="false">IF(ABS(G41)&lt;=0.000001,"PASS","FAIL")</f>
        <v>PASS</v>
      </c>
    </row>
    <row r="42" customFormat="false" ht="15" hidden="false" customHeight="false" outlineLevel="0" collapsed="false">
      <c r="A42" s="10" t="s">
        <v>1118</v>
      </c>
      <c r="B42" s="10" t="s">
        <v>1042</v>
      </c>
      <c r="C42" s="10" t="s">
        <v>1119</v>
      </c>
      <c r="D42" s="10" t="s">
        <v>106</v>
      </c>
      <c r="E42" s="13" t="n">
        <f aca="false">Historical_Drivers!M10</f>
        <v>57772</v>
      </c>
      <c r="F42" s="34" t="n">
        <v>57772</v>
      </c>
      <c r="G42" s="10" t="n">
        <f aca="false">E42-F42</f>
        <v>0</v>
      </c>
      <c r="H42" s="10" t="str">
        <f aca="false">IF(ABS(G42)&lt;=0.000001,"PASS","FAIL")</f>
        <v>PASS</v>
      </c>
    </row>
    <row r="43" customFormat="false" ht="15" hidden="false" customHeight="false" outlineLevel="0" collapsed="false">
      <c r="A43" s="10" t="s">
        <v>1120</v>
      </c>
      <c r="B43" s="10" t="s">
        <v>1042</v>
      </c>
      <c r="C43" s="10" t="s">
        <v>1121</v>
      </c>
      <c r="D43" s="10" t="s">
        <v>107</v>
      </c>
      <c r="E43" s="13" t="n">
        <f aca="false">Historical_Drivers!N10</f>
        <v>67700</v>
      </c>
      <c r="F43" s="34" t="n">
        <v>67700</v>
      </c>
      <c r="G43" s="10" t="n">
        <f aca="false">E43-F43</f>
        <v>0</v>
      </c>
      <c r="H43" s="10" t="str">
        <f aca="false">IF(ABS(G43)&lt;=0.000001,"PASS","FAIL")</f>
        <v>PASS</v>
      </c>
    </row>
    <row r="44" customFormat="false" ht="15" hidden="false" customHeight="false" outlineLevel="0" collapsed="false">
      <c r="A44" s="10" t="s">
        <v>1122</v>
      </c>
      <c r="B44" s="10" t="s">
        <v>1042</v>
      </c>
      <c r="C44" s="10" t="s">
        <v>1123</v>
      </c>
      <c r="D44" s="10" t="s">
        <v>108</v>
      </c>
      <c r="E44" s="13" t="n">
        <f aca="false">Historical_Drivers!O10</f>
        <v>78413</v>
      </c>
      <c r="F44" s="34" t="n">
        <v>78413</v>
      </c>
      <c r="G44" s="10" t="n">
        <f aca="false">E44-F44</f>
        <v>0</v>
      </c>
      <c r="H44" s="10" t="str">
        <f aca="false">IF(ABS(G44)&lt;=0.000001,"PASS","FAIL")</f>
        <v>PASS</v>
      </c>
    </row>
    <row r="45" customFormat="false" ht="15" hidden="false" customHeight="false" outlineLevel="0" collapsed="false">
      <c r="A45" s="10" t="s">
        <v>1124</v>
      </c>
      <c r="B45" s="10" t="s">
        <v>1042</v>
      </c>
      <c r="C45" s="10" t="s">
        <v>1125</v>
      </c>
      <c r="D45" s="10" t="s">
        <v>109</v>
      </c>
      <c r="E45" s="13" t="n">
        <f aca="false">Historical_Drivers!P10</f>
        <v>83003</v>
      </c>
      <c r="F45" s="34" t="n">
        <v>83003</v>
      </c>
      <c r="G45" s="10" t="n">
        <f aca="false">E45-F45</f>
        <v>0</v>
      </c>
      <c r="H45" s="10" t="str">
        <f aca="false">IF(ABS(G45)&lt;=0.000001,"PASS","FAIL")</f>
        <v>PASS</v>
      </c>
    </row>
    <row r="46" customFormat="false" ht="15" hidden="false" customHeight="false" outlineLevel="0" collapsed="false">
      <c r="A46" s="10" t="s">
        <v>1126</v>
      </c>
      <c r="B46" s="10" t="s">
        <v>1042</v>
      </c>
      <c r="C46" s="10" t="s">
        <v>1127</v>
      </c>
      <c r="D46" s="10" t="s">
        <v>111</v>
      </c>
      <c r="E46" s="13" t="n">
        <f aca="false">Historical_Drivers!C12</f>
        <v>102652</v>
      </c>
      <c r="F46" s="34" t="n">
        <v>102652</v>
      </c>
      <c r="G46" s="10" t="n">
        <f aca="false">E46-F46</f>
        <v>0</v>
      </c>
      <c r="H46" s="10" t="str">
        <f aca="false">IF(ABS(G46)&lt;=0.000001,"PASS","FAIL")</f>
        <v>PASS</v>
      </c>
    </row>
    <row r="47" customFormat="false" ht="15" hidden="false" customHeight="false" outlineLevel="0" collapsed="false">
      <c r="A47" s="10" t="s">
        <v>1128</v>
      </c>
      <c r="B47" s="10" t="s">
        <v>1042</v>
      </c>
      <c r="C47" s="10" t="s">
        <v>1129</v>
      </c>
      <c r="D47" s="10" t="s">
        <v>112</v>
      </c>
      <c r="E47" s="13" t="n">
        <f aca="false">Historical_Drivers!D12</f>
        <v>98831</v>
      </c>
      <c r="F47" s="34" t="n">
        <v>98831</v>
      </c>
      <c r="G47" s="10" t="n">
        <f aca="false">E47-F47</f>
        <v>0</v>
      </c>
      <c r="H47" s="10" t="str">
        <f aca="false">IF(ABS(G47)&lt;=0.000001,"PASS","FAIL")</f>
        <v>PASS</v>
      </c>
    </row>
    <row r="48" customFormat="false" ht="15" hidden="false" customHeight="false" outlineLevel="0" collapsed="false">
      <c r="A48" s="10" t="s">
        <v>1130</v>
      </c>
      <c r="B48" s="10" t="s">
        <v>1042</v>
      </c>
      <c r="C48" s="10" t="s">
        <v>1131</v>
      </c>
      <c r="D48" s="10" t="s">
        <v>113</v>
      </c>
      <c r="E48" s="13" t="n">
        <f aca="false">Historical_Drivers!E12</f>
        <v>101504</v>
      </c>
      <c r="F48" s="34" t="n">
        <v>101504</v>
      </c>
      <c r="G48" s="10" t="n">
        <f aca="false">E48-F48</f>
        <v>0</v>
      </c>
      <c r="H48" s="10" t="str">
        <f aca="false">IF(ABS(G48)&lt;=0.000001,"PASS","FAIL")</f>
        <v>PASS</v>
      </c>
    </row>
    <row r="49" customFormat="false" ht="15" hidden="false" customHeight="false" outlineLevel="0" collapsed="false">
      <c r="A49" s="10" t="s">
        <v>1132</v>
      </c>
      <c r="B49" s="10" t="s">
        <v>1042</v>
      </c>
      <c r="C49" s="10" t="s">
        <v>1133</v>
      </c>
      <c r="D49" s="10" t="s">
        <v>114</v>
      </c>
      <c r="E49" s="13" t="n">
        <f aca="false">Historical_Drivers!F12</f>
        <v>110020</v>
      </c>
      <c r="F49" s="34" t="n">
        <v>110020</v>
      </c>
      <c r="G49" s="10" t="n">
        <f aca="false">E49-F49</f>
        <v>0</v>
      </c>
      <c r="H49" s="10" t="str">
        <f aca="false">IF(ABS(G49)&lt;=0.000001,"PASS","FAIL")</f>
        <v>PASS</v>
      </c>
    </row>
    <row r="50" customFormat="false" ht="15" hidden="false" customHeight="false" outlineLevel="0" collapsed="false">
      <c r="A50" s="10" t="s">
        <v>1134</v>
      </c>
      <c r="B50" s="10" t="s">
        <v>1042</v>
      </c>
      <c r="C50" s="10" t="s">
        <v>1135</v>
      </c>
      <c r="D50" s="10" t="s">
        <v>115</v>
      </c>
      <c r="E50" s="13" t="n">
        <f aca="false">Historical_Drivers!G12</f>
        <v>120806</v>
      </c>
      <c r="F50" s="34" t="n">
        <v>120806</v>
      </c>
      <c r="G50" s="10" t="n">
        <f aca="false">E50-F50</f>
        <v>0</v>
      </c>
      <c r="H50" s="10" t="str">
        <f aca="false">IF(ABS(G50)&lt;=0.000001,"PASS","FAIL")</f>
        <v>PASS</v>
      </c>
    </row>
    <row r="51" customFormat="false" ht="15" hidden="false" customHeight="false" outlineLevel="0" collapsed="false">
      <c r="A51" s="10" t="s">
        <v>1136</v>
      </c>
      <c r="B51" s="10" t="s">
        <v>1042</v>
      </c>
      <c r="C51" s="10" t="s">
        <v>1137</v>
      </c>
      <c r="D51" s="10" t="s">
        <v>116</v>
      </c>
      <c r="E51" s="13" t="n">
        <f aca="false">Historical_Drivers!H12</f>
        <v>120738</v>
      </c>
      <c r="F51" s="34" t="n">
        <v>120738</v>
      </c>
      <c r="G51" s="10" t="n">
        <f aca="false">E51-F51</f>
        <v>0</v>
      </c>
      <c r="H51" s="10" t="str">
        <f aca="false">IF(ABS(G51)&lt;=0.000001,"PASS","FAIL")</f>
        <v>PASS</v>
      </c>
    </row>
    <row r="52" customFormat="false" ht="15" hidden="false" customHeight="false" outlineLevel="0" collapsed="false">
      <c r="A52" s="10" t="s">
        <v>1138</v>
      </c>
      <c r="B52" s="10" t="s">
        <v>1042</v>
      </c>
      <c r="C52" s="10" t="s">
        <v>1139</v>
      </c>
      <c r="D52" s="10" t="s">
        <v>117</v>
      </c>
      <c r="E52" s="13" t="n">
        <f aca="false">Historical_Drivers!I12</f>
        <v>130339</v>
      </c>
      <c r="F52" s="34" t="n">
        <v>130339</v>
      </c>
      <c r="G52" s="10" t="n">
        <f aca="false">E52-F52</f>
        <v>0</v>
      </c>
      <c r="H52" s="10" t="str">
        <f aca="false">IF(ABS(G52)&lt;=0.000001,"PASS","FAIL")</f>
        <v>PASS</v>
      </c>
    </row>
    <row r="53" customFormat="false" ht="15" hidden="false" customHeight="false" outlineLevel="0" collapsed="false">
      <c r="A53" s="10" t="s">
        <v>1140</v>
      </c>
      <c r="B53" s="10" t="s">
        <v>1042</v>
      </c>
      <c r="C53" s="10" t="s">
        <v>1141</v>
      </c>
      <c r="D53" s="10" t="s">
        <v>118</v>
      </c>
      <c r="E53" s="13" t="n">
        <f aca="false">Historical_Drivers!J12</f>
        <v>127791</v>
      </c>
      <c r="F53" s="34" t="n">
        <v>127791</v>
      </c>
      <c r="G53" s="10" t="n">
        <f aca="false">E53-F53</f>
        <v>0</v>
      </c>
      <c r="H53" s="10" t="str">
        <f aca="false">IF(ABS(G53)&lt;=0.000001,"PASS","FAIL")</f>
        <v>PASS</v>
      </c>
    </row>
    <row r="54" customFormat="false" ht="15" hidden="false" customHeight="false" outlineLevel="0" collapsed="false">
      <c r="A54" s="10" t="s">
        <v>1142</v>
      </c>
      <c r="B54" s="10" t="s">
        <v>1042</v>
      </c>
      <c r="C54" s="10" t="s">
        <v>1143</v>
      </c>
      <c r="D54" s="10" t="s">
        <v>119</v>
      </c>
      <c r="E54" s="13" t="n">
        <f aca="false">Historical_Drivers!K12</f>
        <v>135882</v>
      </c>
      <c r="F54" s="34" t="n">
        <v>135882</v>
      </c>
      <c r="G54" s="10" t="n">
        <f aca="false">E54-F54</f>
        <v>0</v>
      </c>
      <c r="H54" s="10" t="str">
        <f aca="false">IF(ABS(G54)&lt;=0.000001,"PASS","FAIL")</f>
        <v>PASS</v>
      </c>
    </row>
    <row r="55" customFormat="false" ht="15" hidden="false" customHeight="false" outlineLevel="0" collapsed="false">
      <c r="A55" s="10" t="s">
        <v>1144</v>
      </c>
      <c r="B55" s="10" t="s">
        <v>1042</v>
      </c>
      <c r="C55" s="10" t="s">
        <v>1145</v>
      </c>
      <c r="D55" s="10" t="s">
        <v>120</v>
      </c>
      <c r="E55" s="13" t="n">
        <f aca="false">Historical_Drivers!L12</f>
        <v>139223</v>
      </c>
      <c r="F55" s="34" t="n">
        <v>139223</v>
      </c>
      <c r="G55" s="10" t="n">
        <f aca="false">E55-F55</f>
        <v>0</v>
      </c>
      <c r="H55" s="10" t="str">
        <f aca="false">IF(ABS(G55)&lt;=0.000001,"PASS","FAIL")</f>
        <v>PASS</v>
      </c>
    </row>
    <row r="56" customFormat="false" ht="15" hidden="false" customHeight="false" outlineLevel="0" collapsed="false">
      <c r="A56" s="10" t="s">
        <v>1146</v>
      </c>
      <c r="B56" s="10" t="s">
        <v>1042</v>
      </c>
      <c r="C56" s="10" t="s">
        <v>1147</v>
      </c>
      <c r="D56" s="10" t="s">
        <v>121</v>
      </c>
      <c r="E56" s="13" t="n">
        <f aca="false">Historical_Drivers!M12</f>
        <v>151804</v>
      </c>
      <c r="F56" s="34" t="n">
        <v>151804</v>
      </c>
      <c r="G56" s="10" t="n">
        <f aca="false">E56-F56</f>
        <v>0</v>
      </c>
      <c r="H56" s="10" t="str">
        <f aca="false">IF(ABS(G56)&lt;=0.000001,"PASS","FAIL")</f>
        <v>PASS</v>
      </c>
    </row>
    <row r="57" customFormat="false" ht="15" hidden="false" customHeight="false" outlineLevel="0" collapsed="false">
      <c r="A57" s="10" t="s">
        <v>1148</v>
      </c>
      <c r="B57" s="10" t="s">
        <v>1042</v>
      </c>
      <c r="C57" s="10" t="s">
        <v>1149</v>
      </c>
      <c r="D57" s="10" t="s">
        <v>122</v>
      </c>
      <c r="E57" s="13" t="n">
        <f aca="false">Historical_Drivers!N12</f>
        <v>159858</v>
      </c>
      <c r="F57" s="34" t="n">
        <v>159858</v>
      </c>
      <c r="G57" s="10" t="n">
        <f aca="false">E57-F57</f>
        <v>0</v>
      </c>
      <c r="H57" s="10" t="str">
        <f aca="false">IF(ABS(G57)&lt;=0.000001,"PASS","FAIL")</f>
        <v>PASS</v>
      </c>
    </row>
    <row r="58" customFormat="false" ht="15" hidden="false" customHeight="false" outlineLevel="0" collapsed="false">
      <c r="A58" s="10" t="s">
        <v>1150</v>
      </c>
      <c r="B58" s="10" t="s">
        <v>1042</v>
      </c>
      <c r="C58" s="10" t="s">
        <v>1151</v>
      </c>
      <c r="D58" s="10" t="s">
        <v>123</v>
      </c>
      <c r="E58" s="13" t="n">
        <f aca="false">Historical_Drivers!O12</f>
        <v>158181</v>
      </c>
      <c r="F58" s="34" t="n">
        <v>158181</v>
      </c>
      <c r="G58" s="10" t="n">
        <f aca="false">E58-F58</f>
        <v>0</v>
      </c>
      <c r="H58" s="10" t="str">
        <f aca="false">IF(ABS(G58)&lt;=0.000001,"PASS","FAIL")</f>
        <v>PASS</v>
      </c>
    </row>
    <row r="59" customFormat="false" ht="15" hidden="false" customHeight="false" outlineLevel="0" collapsed="false">
      <c r="A59" s="10" t="s">
        <v>1152</v>
      </c>
      <c r="B59" s="10" t="s">
        <v>1042</v>
      </c>
      <c r="C59" s="10" t="s">
        <v>1153</v>
      </c>
      <c r="D59" s="10" t="s">
        <v>124</v>
      </c>
      <c r="E59" s="13" t="n">
        <f aca="false">Historical_Drivers!P12</f>
        <v>149444</v>
      </c>
      <c r="F59" s="34" t="n">
        <v>149444</v>
      </c>
      <c r="G59" s="10" t="n">
        <f aca="false">E59-F59</f>
        <v>0</v>
      </c>
      <c r="H59" s="10" t="str">
        <f aca="false">IF(ABS(G59)&lt;=0.000001,"PASS","FAIL")</f>
        <v>PASS</v>
      </c>
    </row>
    <row r="60" customFormat="false" ht="15" hidden="false" customHeight="false" outlineLevel="0" collapsed="false">
      <c r="A60" s="10" t="s">
        <v>1154</v>
      </c>
      <c r="B60" s="10" t="s">
        <v>1042</v>
      </c>
      <c r="C60" s="10" t="s">
        <v>1155</v>
      </c>
      <c r="D60" s="10" t="s">
        <v>126</v>
      </c>
      <c r="E60" s="13" t="n">
        <f aca="false">Historical_Drivers!C14</f>
        <v>15841</v>
      </c>
      <c r="F60" s="34" t="n">
        <v>15841</v>
      </c>
      <c r="G60" s="10" t="n">
        <f aca="false">E60-F60</f>
        <v>0</v>
      </c>
      <c r="H60" s="10" t="str">
        <f aca="false">IF(ABS(G60)&lt;=0.000001,"PASS","FAIL")</f>
        <v>PASS</v>
      </c>
    </row>
    <row r="61" customFormat="false" ht="15" hidden="false" customHeight="false" outlineLevel="0" collapsed="false">
      <c r="A61" s="10" t="s">
        <v>1156</v>
      </c>
      <c r="B61" s="10" t="s">
        <v>1042</v>
      </c>
      <c r="C61" s="10" t="s">
        <v>1157</v>
      </c>
      <c r="D61" s="10" t="s">
        <v>127</v>
      </c>
      <c r="E61" s="13" t="n">
        <f aca="false">Historical_Drivers!D14</f>
        <v>14652</v>
      </c>
      <c r="F61" s="34" t="n">
        <v>14652</v>
      </c>
      <c r="G61" s="10" t="n">
        <f aca="false">E61-F61</f>
        <v>0</v>
      </c>
      <c r="H61" s="10" t="str">
        <f aca="false">IF(ABS(G61)&lt;=0.000001,"PASS","FAIL")</f>
        <v>PASS</v>
      </c>
    </row>
    <row r="62" customFormat="false" ht="15" hidden="false" customHeight="false" outlineLevel="0" collapsed="false">
      <c r="A62" s="10" t="s">
        <v>1158</v>
      </c>
      <c r="B62" s="10" t="s">
        <v>1042</v>
      </c>
      <c r="C62" s="10" t="s">
        <v>1159</v>
      </c>
      <c r="D62" s="10" t="s">
        <v>128</v>
      </c>
      <c r="E62" s="13" t="n">
        <f aca="false">Historical_Drivers!E14</f>
        <v>15234</v>
      </c>
      <c r="F62" s="34" t="n">
        <v>15234</v>
      </c>
      <c r="G62" s="10" t="n">
        <f aca="false">E62-F62</f>
        <v>0</v>
      </c>
      <c r="H62" s="10" t="str">
        <f aca="false">IF(ABS(G62)&lt;=0.000001,"PASS","FAIL")</f>
        <v>PASS</v>
      </c>
    </row>
    <row r="63" customFormat="false" ht="15" hidden="false" customHeight="false" outlineLevel="0" collapsed="false">
      <c r="A63" s="10" t="s">
        <v>1160</v>
      </c>
      <c r="B63" s="10" t="s">
        <v>1042</v>
      </c>
      <c r="C63" s="10" t="s">
        <v>1161</v>
      </c>
      <c r="D63" s="10" t="s">
        <v>129</v>
      </c>
      <c r="E63" s="13" t="n">
        <f aca="false">Historical_Drivers!F14</f>
        <v>17259</v>
      </c>
      <c r="F63" s="34" t="n">
        <v>17259</v>
      </c>
      <c r="G63" s="10" t="n">
        <f aca="false">E63-F63</f>
        <v>0</v>
      </c>
      <c r="H63" s="10" t="str">
        <f aca="false">IF(ABS(G63)&lt;=0.000001,"PASS","FAIL")</f>
        <v>PASS</v>
      </c>
    </row>
    <row r="64" customFormat="false" ht="15" hidden="false" customHeight="false" outlineLevel="0" collapsed="false">
      <c r="A64" s="10" t="s">
        <v>1162</v>
      </c>
      <c r="B64" s="10" t="s">
        <v>1042</v>
      </c>
      <c r="C64" s="10" t="s">
        <v>1163</v>
      </c>
      <c r="D64" s="10" t="s">
        <v>130</v>
      </c>
      <c r="E64" s="13" t="n">
        <f aca="false">Historical_Drivers!G14</f>
        <v>17579</v>
      </c>
      <c r="F64" s="34" t="n">
        <v>17579</v>
      </c>
      <c r="G64" s="10" t="n">
        <f aca="false">E64-F64</f>
        <v>0</v>
      </c>
      <c r="H64" s="10" t="str">
        <f aca="false">IF(ABS(G64)&lt;=0.000001,"PASS","FAIL")</f>
        <v>PASS</v>
      </c>
    </row>
    <row r="65" customFormat="false" ht="15" hidden="false" customHeight="false" outlineLevel="0" collapsed="false">
      <c r="A65" s="10" t="s">
        <v>1164</v>
      </c>
      <c r="B65" s="10" t="s">
        <v>1042</v>
      </c>
      <c r="C65" s="10" t="s">
        <v>1165</v>
      </c>
      <c r="D65" s="10" t="s">
        <v>131</v>
      </c>
      <c r="E65" s="13" t="n">
        <f aca="false">Historical_Drivers!H14</f>
        <v>18182</v>
      </c>
      <c r="F65" s="34" t="n">
        <v>18182</v>
      </c>
      <c r="G65" s="10" t="n">
        <f aca="false">E65-F65</f>
        <v>0</v>
      </c>
      <c r="H65" s="10" t="str">
        <f aca="false">IF(ABS(G65)&lt;=0.000001,"PASS","FAIL")</f>
        <v>PASS</v>
      </c>
    </row>
    <row r="66" customFormat="false" ht="15" hidden="false" customHeight="false" outlineLevel="0" collapsed="false">
      <c r="A66" s="10" t="s">
        <v>1166</v>
      </c>
      <c r="B66" s="10" t="s">
        <v>1042</v>
      </c>
      <c r="C66" s="10" t="s">
        <v>1167</v>
      </c>
      <c r="D66" s="10" t="s">
        <v>132</v>
      </c>
      <c r="E66" s="13" t="n">
        <f aca="false">Historical_Drivers!I14</f>
        <v>21417</v>
      </c>
      <c r="F66" s="34" t="n">
        <v>21417</v>
      </c>
      <c r="G66" s="10" t="n">
        <f aca="false">E66-F66</f>
        <v>0</v>
      </c>
      <c r="H66" s="10" t="str">
        <f aca="false">IF(ABS(G66)&lt;=0.000001,"PASS","FAIL")</f>
        <v>PASS</v>
      </c>
    </row>
    <row r="67" customFormat="false" ht="15" hidden="false" customHeight="false" outlineLevel="0" collapsed="false">
      <c r="A67" s="10" t="s">
        <v>1168</v>
      </c>
      <c r="B67" s="10" t="s">
        <v>1042</v>
      </c>
      <c r="C67" s="10" t="s">
        <v>1169</v>
      </c>
      <c r="D67" s="10" t="s">
        <v>133</v>
      </c>
      <c r="E67" s="13" t="n">
        <f aca="false">Historical_Drivers!J14</f>
        <v>22958</v>
      </c>
      <c r="F67" s="34" t="n">
        <v>22958</v>
      </c>
      <c r="G67" s="10" t="n">
        <f aca="false">E67-F67</f>
        <v>0</v>
      </c>
      <c r="H67" s="10" t="str">
        <f aca="false">IF(ABS(G67)&lt;=0.000001,"PASS","FAIL")</f>
        <v>PASS</v>
      </c>
    </row>
    <row r="68" customFormat="false" ht="15" hidden="false" customHeight="false" outlineLevel="0" collapsed="false">
      <c r="A68" s="10" t="s">
        <v>1170</v>
      </c>
      <c r="B68" s="10" t="s">
        <v>1042</v>
      </c>
      <c r="C68" s="10" t="s">
        <v>1171</v>
      </c>
      <c r="D68" s="10" t="s">
        <v>134</v>
      </c>
      <c r="E68" s="13" t="n">
        <f aca="false">Historical_Drivers!K14</f>
        <v>24099</v>
      </c>
      <c r="F68" s="34" t="n">
        <v>24099</v>
      </c>
      <c r="G68" s="10" t="n">
        <f aca="false">E68-F68</f>
        <v>0</v>
      </c>
      <c r="H68" s="10" t="str">
        <f aca="false">IF(ABS(G68)&lt;=0.000001,"PASS","FAIL")</f>
        <v>PASS</v>
      </c>
    </row>
    <row r="69" customFormat="false" ht="15" hidden="false" customHeight="false" outlineLevel="0" collapsed="false">
      <c r="A69" s="10" t="s">
        <v>1172</v>
      </c>
      <c r="B69" s="10" t="s">
        <v>1042</v>
      </c>
      <c r="C69" s="10" t="s">
        <v>1173</v>
      </c>
      <c r="D69" s="10" t="s">
        <v>135</v>
      </c>
      <c r="E69" s="13" t="n">
        <f aca="false">Historical_Drivers!L14</f>
        <v>26563</v>
      </c>
      <c r="F69" s="34" t="n">
        <v>26563</v>
      </c>
      <c r="G69" s="10" t="n">
        <f aca="false">E69-F69</f>
        <v>0</v>
      </c>
      <c r="H69" s="10" t="str">
        <f aca="false">IF(ABS(G69)&lt;=0.000001,"PASS","FAIL")</f>
        <v>PASS</v>
      </c>
    </row>
    <row r="70" customFormat="false" ht="15" hidden="false" customHeight="false" outlineLevel="0" collapsed="false">
      <c r="A70" s="10" t="s">
        <v>1174</v>
      </c>
      <c r="B70" s="10" t="s">
        <v>1042</v>
      </c>
      <c r="C70" s="10" t="s">
        <v>1175</v>
      </c>
      <c r="D70" s="10" t="s">
        <v>136</v>
      </c>
      <c r="E70" s="13" t="n">
        <f aca="false">Historical_Drivers!M14</f>
        <v>26971</v>
      </c>
      <c r="F70" s="34" t="n">
        <v>26971</v>
      </c>
      <c r="G70" s="10" t="n">
        <f aca="false">E70-F70</f>
        <v>0</v>
      </c>
      <c r="H70" s="10" t="str">
        <f aca="false">IF(ABS(G70)&lt;=0.000001,"PASS","FAIL")</f>
        <v>PASS</v>
      </c>
    </row>
    <row r="71" customFormat="false" ht="15" hidden="false" customHeight="false" outlineLevel="0" collapsed="false">
      <c r="A71" s="10" t="s">
        <v>1176</v>
      </c>
      <c r="B71" s="10" t="s">
        <v>1042</v>
      </c>
      <c r="C71" s="10" t="s">
        <v>1177</v>
      </c>
      <c r="D71" s="10" t="s">
        <v>137</v>
      </c>
      <c r="E71" s="13" t="n">
        <f aca="false">Historical_Drivers!N14</f>
        <v>29247</v>
      </c>
      <c r="F71" s="34" t="n">
        <v>29247</v>
      </c>
      <c r="G71" s="10" t="n">
        <f aca="false">E71-F71</f>
        <v>0</v>
      </c>
      <c r="H71" s="10" t="str">
        <f aca="false">IF(ABS(G71)&lt;=0.000001,"PASS","FAIL")</f>
        <v>PASS</v>
      </c>
    </row>
    <row r="72" customFormat="false" ht="15" hidden="false" customHeight="false" outlineLevel="0" collapsed="false">
      <c r="A72" s="10" t="s">
        <v>1178</v>
      </c>
      <c r="B72" s="10" t="s">
        <v>1042</v>
      </c>
      <c r="C72" s="10" t="s">
        <v>1179</v>
      </c>
      <c r="D72" s="10" t="s">
        <v>138</v>
      </c>
      <c r="E72" s="13" t="n">
        <f aca="false">Historical_Drivers!O14</f>
        <v>28559</v>
      </c>
      <c r="F72" s="34" t="n">
        <v>28559</v>
      </c>
      <c r="G72" s="10" t="n">
        <f aca="false">E72-F72</f>
        <v>0</v>
      </c>
      <c r="H72" s="10" t="str">
        <f aca="false">IF(ABS(G72)&lt;=0.000001,"PASS","FAIL")</f>
        <v>PASS</v>
      </c>
    </row>
    <row r="73" customFormat="false" ht="15" hidden="false" customHeight="false" outlineLevel="0" collapsed="false">
      <c r="A73" s="10" t="s">
        <v>1180</v>
      </c>
      <c r="B73" s="10" t="s">
        <v>1042</v>
      </c>
      <c r="C73" s="10" t="s">
        <v>1181</v>
      </c>
      <c r="D73" s="10" t="s">
        <v>139</v>
      </c>
      <c r="E73" s="13" t="n">
        <f aca="false">Historical_Drivers!P14</f>
        <v>30665</v>
      </c>
      <c r="F73" s="34" t="n">
        <v>30665</v>
      </c>
      <c r="G73" s="10" t="n">
        <f aca="false">E73-F73</f>
        <v>0</v>
      </c>
      <c r="H73" s="10" t="str">
        <f aca="false">IF(ABS(G73)&lt;=0.000001,"PASS","FAIL")</f>
        <v>PASS</v>
      </c>
    </row>
    <row r="74" customFormat="false" ht="15" hidden="false" customHeight="false" outlineLevel="0" collapsed="false">
      <c r="A74" s="10" t="s">
        <v>1182</v>
      </c>
      <c r="B74" s="10" t="s">
        <v>1042</v>
      </c>
      <c r="C74" s="10" t="s">
        <v>1183</v>
      </c>
      <c r="D74" s="10" t="s">
        <v>141</v>
      </c>
      <c r="E74" s="13" t="n">
        <f aca="false">Historical_Drivers!C16</f>
        <v>-293</v>
      </c>
      <c r="F74" s="34" t="n">
        <v>-293</v>
      </c>
      <c r="G74" s="10" t="n">
        <f aca="false">E74-F74</f>
        <v>0</v>
      </c>
      <c r="H74" s="10" t="str">
        <f aca="false">IF(ABS(G74)&lt;=0.000001,"PASS","FAIL")</f>
        <v>PASS</v>
      </c>
    </row>
    <row r="75" customFormat="false" ht="15" hidden="false" customHeight="false" outlineLevel="0" collapsed="false">
      <c r="A75" s="10" t="s">
        <v>1184</v>
      </c>
      <c r="B75" s="10" t="s">
        <v>1042</v>
      </c>
      <c r="C75" s="10" t="s">
        <v>1185</v>
      </c>
      <c r="D75" s="10" t="s">
        <v>142</v>
      </c>
      <c r="E75" s="13" t="n">
        <f aca="false">Historical_Drivers!D16</f>
        <v>16617</v>
      </c>
      <c r="F75" s="34" t="n">
        <v>16617</v>
      </c>
      <c r="G75" s="10" t="n">
        <f aca="false">E75-F75</f>
        <v>0</v>
      </c>
      <c r="H75" s="10" t="str">
        <f aca="false">IF(ABS(G75)&lt;=0.000001,"PASS","FAIL")</f>
        <v>PASS</v>
      </c>
    </row>
    <row r="76" customFormat="false" ht="15" hidden="false" customHeight="false" outlineLevel="0" collapsed="false">
      <c r="A76" s="10" t="s">
        <v>1186</v>
      </c>
      <c r="B76" s="10" t="s">
        <v>1042</v>
      </c>
      <c r="C76" s="10" t="s">
        <v>1187</v>
      </c>
      <c r="D76" s="10" t="s">
        <v>143</v>
      </c>
      <c r="E76" s="13" t="n">
        <f aca="false">Historical_Drivers!E16</f>
        <v>24077</v>
      </c>
      <c r="F76" s="34" t="n">
        <v>24077</v>
      </c>
      <c r="G76" s="10" t="n">
        <f aca="false">E76-F76</f>
        <v>0</v>
      </c>
      <c r="H76" s="10" t="str">
        <f aca="false">IF(ABS(G76)&lt;=0.000001,"PASS","FAIL")</f>
        <v>PASS</v>
      </c>
    </row>
    <row r="77" customFormat="false" ht="15" hidden="false" customHeight="false" outlineLevel="0" collapsed="false">
      <c r="A77" s="10" t="s">
        <v>1188</v>
      </c>
      <c r="B77" s="10" t="s">
        <v>1042</v>
      </c>
      <c r="C77" s="10" t="s">
        <v>1189</v>
      </c>
      <c r="D77" s="10" t="s">
        <v>144</v>
      </c>
      <c r="E77" s="13" t="n">
        <f aca="false">Historical_Drivers!F16</f>
        <v>21200</v>
      </c>
      <c r="F77" s="34" t="n">
        <v>21200</v>
      </c>
      <c r="G77" s="10" t="n">
        <f aca="false">E77-F77</f>
        <v>0</v>
      </c>
      <c r="H77" s="10" t="str">
        <f aca="false">IF(ABS(G77)&lt;=0.000001,"PASS","FAIL")</f>
        <v>PASS</v>
      </c>
    </row>
    <row r="78" customFormat="false" ht="15" hidden="false" customHeight="false" outlineLevel="0" collapsed="false">
      <c r="A78" s="10" t="s">
        <v>1190</v>
      </c>
      <c r="B78" s="10" t="s">
        <v>1042</v>
      </c>
      <c r="C78" s="10" t="s">
        <v>1191</v>
      </c>
      <c r="D78" s="10" t="s">
        <v>145</v>
      </c>
      <c r="E78" s="13" t="n">
        <f aca="false">Historical_Drivers!G16</f>
        <v>21521</v>
      </c>
      <c r="F78" s="34" t="n">
        <v>21521</v>
      </c>
      <c r="G78" s="10" t="n">
        <f aca="false">E78-F78</f>
        <v>0</v>
      </c>
      <c r="H78" s="10" t="str">
        <f aca="false">IF(ABS(G78)&lt;=0.000001,"PASS","FAIL")</f>
        <v>PASS</v>
      </c>
    </row>
    <row r="79" customFormat="false" ht="15" hidden="false" customHeight="false" outlineLevel="0" collapsed="false">
      <c r="A79" s="10" t="s">
        <v>1192</v>
      </c>
      <c r="B79" s="10" t="s">
        <v>1042</v>
      </c>
      <c r="C79" s="10" t="s">
        <v>1193</v>
      </c>
      <c r="D79" s="10" t="s">
        <v>146</v>
      </c>
      <c r="E79" s="13" t="n">
        <f aca="false">Historical_Drivers!H16</f>
        <v>38417</v>
      </c>
      <c r="F79" s="34" t="n">
        <v>38417</v>
      </c>
      <c r="G79" s="10" t="n">
        <f aca="false">E79-F79</f>
        <v>0</v>
      </c>
      <c r="H79" s="10" t="str">
        <f aca="false">IF(ABS(G79)&lt;=0.000001,"PASS","FAIL")</f>
        <v>PASS</v>
      </c>
    </row>
    <row r="80" customFormat="false" ht="15" hidden="false" customHeight="false" outlineLevel="0" collapsed="false">
      <c r="A80" s="10" t="s">
        <v>1194</v>
      </c>
      <c r="B80" s="10" t="s">
        <v>1042</v>
      </c>
      <c r="C80" s="10" t="s">
        <v>1195</v>
      </c>
      <c r="D80" s="10" t="s">
        <v>147</v>
      </c>
      <c r="E80" s="13" t="n">
        <f aca="false">Historical_Drivers!I16</f>
        <v>32180</v>
      </c>
      <c r="F80" s="34" t="n">
        <v>32180</v>
      </c>
      <c r="G80" s="10" t="n">
        <f aca="false">E80-F80</f>
        <v>0</v>
      </c>
      <c r="H80" s="10" t="str">
        <f aca="false">IF(ABS(G80)&lt;=0.000001,"PASS","FAIL")</f>
        <v>PASS</v>
      </c>
    </row>
    <row r="81" customFormat="false" ht="15" hidden="false" customHeight="false" outlineLevel="0" collapsed="false">
      <c r="A81" s="10" t="s">
        <v>1196</v>
      </c>
      <c r="B81" s="10" t="s">
        <v>1042</v>
      </c>
      <c r="C81" s="10" t="s">
        <v>1197</v>
      </c>
      <c r="D81" s="10" t="s">
        <v>148</v>
      </c>
      <c r="E81" s="13" t="n">
        <f aca="false">Historical_Drivers!J16</f>
        <v>40265</v>
      </c>
      <c r="F81" s="34" t="n">
        <v>40265</v>
      </c>
      <c r="G81" s="10" t="n">
        <f aca="false">E81-F81</f>
        <v>0</v>
      </c>
      <c r="H81" s="10" t="str">
        <f aca="false">IF(ABS(G81)&lt;=0.000001,"PASS","FAIL")</f>
        <v>PASS</v>
      </c>
    </row>
    <row r="82" customFormat="false" ht="15" hidden="false" customHeight="false" outlineLevel="0" collapsed="false">
      <c r="A82" s="10" t="s">
        <v>1198</v>
      </c>
      <c r="B82" s="10" t="s">
        <v>1042</v>
      </c>
      <c r="C82" s="10" t="s">
        <v>1199</v>
      </c>
      <c r="D82" s="10" t="s">
        <v>149</v>
      </c>
      <c r="E82" s="13" t="n">
        <f aca="false">Historical_Drivers!K16</f>
        <v>40754</v>
      </c>
      <c r="F82" s="34" t="n">
        <v>40754</v>
      </c>
      <c r="G82" s="10" t="n">
        <f aca="false">E82-F82</f>
        <v>0</v>
      </c>
      <c r="H82" s="10" t="str">
        <f aca="false">IF(ABS(G82)&lt;=0.000001,"PASS","FAIL")</f>
        <v>PASS</v>
      </c>
    </row>
    <row r="83" customFormat="false" ht="15" hidden="false" customHeight="false" outlineLevel="0" collapsed="false">
      <c r="A83" s="10" t="s">
        <v>1200</v>
      </c>
      <c r="B83" s="10" t="s">
        <v>1042</v>
      </c>
      <c r="C83" s="10" t="s">
        <v>1201</v>
      </c>
      <c r="D83" s="10" t="s">
        <v>150</v>
      </c>
      <c r="E83" s="13" t="n">
        <f aca="false">Historical_Drivers!L16</f>
        <v>45094</v>
      </c>
      <c r="F83" s="34" t="n">
        <v>45094</v>
      </c>
      <c r="G83" s="10" t="n">
        <f aca="false">E83-F83</f>
        <v>0</v>
      </c>
      <c r="H83" s="10" t="str">
        <f aca="false">IF(ABS(G83)&lt;=0.000001,"PASS","FAIL")</f>
        <v>PASS</v>
      </c>
    </row>
    <row r="84" customFormat="false" ht="15" hidden="false" customHeight="false" outlineLevel="0" collapsed="false">
      <c r="A84" s="10" t="s">
        <v>1202</v>
      </c>
      <c r="B84" s="10" t="s">
        <v>1042</v>
      </c>
      <c r="C84" s="10" t="s">
        <v>1203</v>
      </c>
      <c r="D84" s="10" t="s">
        <v>151</v>
      </c>
      <c r="E84" s="13" t="n">
        <f aca="false">Historical_Drivers!M16</f>
        <v>47484</v>
      </c>
      <c r="F84" s="34" t="n">
        <v>47484</v>
      </c>
      <c r="G84" s="10" t="n">
        <f aca="false">E84-F84</f>
        <v>0</v>
      </c>
      <c r="H84" s="10" t="str">
        <f aca="false">IF(ABS(G84)&lt;=0.000001,"PASS","FAIL")</f>
        <v>PASS</v>
      </c>
    </row>
    <row r="85" customFormat="false" ht="15" hidden="false" customHeight="false" outlineLevel="0" collapsed="false">
      <c r="A85" s="10" t="s">
        <v>1204</v>
      </c>
      <c r="B85" s="10" t="s">
        <v>1042</v>
      </c>
      <c r="C85" s="10" t="s">
        <v>1205</v>
      </c>
      <c r="D85" s="10" t="s">
        <v>152</v>
      </c>
      <c r="E85" s="13" t="n">
        <f aca="false">Historical_Drivers!N16</f>
        <v>41931</v>
      </c>
      <c r="F85" s="34" t="n">
        <v>41931</v>
      </c>
      <c r="G85" s="10" t="n">
        <f aca="false">E85-F85</f>
        <v>0</v>
      </c>
      <c r="H85" s="10" t="str">
        <f aca="false">IF(ABS(G85)&lt;=0.000001,"PASS","FAIL")</f>
        <v>PASS</v>
      </c>
    </row>
    <row r="86" customFormat="false" ht="15" hidden="false" customHeight="false" outlineLevel="0" collapsed="false">
      <c r="A86" s="10" t="s">
        <v>1206</v>
      </c>
      <c r="B86" s="10" t="s">
        <v>1042</v>
      </c>
      <c r="C86" s="10" t="s">
        <v>1207</v>
      </c>
      <c r="D86" s="10" t="s">
        <v>153</v>
      </c>
      <c r="E86" s="13" t="n">
        <f aca="false">Historical_Drivers!O16</f>
        <v>49037</v>
      </c>
      <c r="F86" s="34" t="n">
        <v>49037</v>
      </c>
      <c r="G86" s="10" t="n">
        <f aca="false">E86-F86</f>
        <v>0</v>
      </c>
      <c r="H86" s="10" t="str">
        <f aca="false">IF(ABS(G86)&lt;=0.000001,"PASS","FAIL")</f>
        <v>PASS</v>
      </c>
    </row>
    <row r="87" customFormat="false" ht="15" hidden="false" customHeight="false" outlineLevel="0" collapsed="false">
      <c r="A87" s="10" t="s">
        <v>1208</v>
      </c>
      <c r="B87" s="10" t="s">
        <v>1042</v>
      </c>
      <c r="C87" s="10" t="s">
        <v>1209</v>
      </c>
      <c r="D87" s="10" t="s">
        <v>154</v>
      </c>
      <c r="E87" s="13" t="n">
        <f aca="false">Historical_Drivers!P16</f>
        <v>61110</v>
      </c>
      <c r="F87" s="34" t="n">
        <v>61110</v>
      </c>
      <c r="G87" s="10" t="n">
        <f aca="false">E87-F87</f>
        <v>0</v>
      </c>
      <c r="H87" s="10" t="str">
        <f aca="false">IF(ABS(G87)&lt;=0.000001,"PASS","FAIL")</f>
        <v>PASS</v>
      </c>
    </row>
    <row r="88" customFormat="false" ht="15" hidden="false" customHeight="false" outlineLevel="0" collapsed="false">
      <c r="A88" s="10" t="s">
        <v>1210</v>
      </c>
      <c r="B88" s="10" t="s">
        <v>1042</v>
      </c>
      <c r="C88" s="10" t="s">
        <v>1211</v>
      </c>
      <c r="D88" s="10" t="s">
        <v>156</v>
      </c>
      <c r="E88" s="13" t="n">
        <f aca="false">Historical_Drivers!C18</f>
        <v>-22752</v>
      </c>
      <c r="F88" s="34" t="n">
        <v>-22752</v>
      </c>
      <c r="G88" s="10" t="n">
        <f aca="false">E88-F88</f>
        <v>0</v>
      </c>
      <c r="H88" s="10" t="str">
        <f aca="false">IF(ABS(G88)&lt;=0.000001,"PASS","FAIL")</f>
        <v>PASS</v>
      </c>
    </row>
    <row r="89" customFormat="false" ht="15" hidden="false" customHeight="false" outlineLevel="0" collapsed="false">
      <c r="A89" s="10" t="s">
        <v>1212</v>
      </c>
      <c r="B89" s="10" t="s">
        <v>1042</v>
      </c>
      <c r="C89" s="10" t="s">
        <v>1213</v>
      </c>
      <c r="D89" s="10" t="s">
        <v>157</v>
      </c>
      <c r="E89" s="13" t="n">
        <f aca="false">Historical_Drivers!D18</f>
        <v>-12167</v>
      </c>
      <c r="F89" s="34" t="n">
        <v>-12167</v>
      </c>
      <c r="G89" s="10" t="n">
        <f aca="false">E89-F89</f>
        <v>0</v>
      </c>
      <c r="H89" s="10" t="str">
        <f aca="false">IF(ABS(G89)&lt;=0.000001,"PASS","FAIL")</f>
        <v>PASS</v>
      </c>
    </row>
    <row r="90" customFormat="false" ht="15" hidden="false" customHeight="false" outlineLevel="0" collapsed="false">
      <c r="A90" s="10" t="s">
        <v>1214</v>
      </c>
      <c r="B90" s="10" t="s">
        <v>1042</v>
      </c>
      <c r="C90" s="10" t="s">
        <v>1215</v>
      </c>
      <c r="D90" s="10" t="s">
        <v>158</v>
      </c>
      <c r="E90" s="13" t="n">
        <f aca="false">Historical_Drivers!E18</f>
        <v>-2521</v>
      </c>
      <c r="F90" s="34" t="n">
        <v>-2521</v>
      </c>
      <c r="G90" s="10" t="n">
        <f aca="false">E90-F90</f>
        <v>0</v>
      </c>
      <c r="H90" s="10" t="str">
        <f aca="false">IF(ABS(G90)&lt;=0.000001,"PASS","FAIL")</f>
        <v>PASS</v>
      </c>
    </row>
    <row r="91" customFormat="false" ht="15" hidden="false" customHeight="false" outlineLevel="0" collapsed="false">
      <c r="A91" s="10" t="s">
        <v>1216</v>
      </c>
      <c r="B91" s="10" t="s">
        <v>1042</v>
      </c>
      <c r="C91" s="10" t="s">
        <v>1217</v>
      </c>
      <c r="D91" s="10" t="s">
        <v>159</v>
      </c>
      <c r="E91" s="13" t="n">
        <f aca="false">Historical_Drivers!F18</f>
        <v>-1145</v>
      </c>
      <c r="F91" s="34" t="n">
        <v>-1145</v>
      </c>
      <c r="G91" s="10" t="n">
        <f aca="false">E91-F91</f>
        <v>0</v>
      </c>
      <c r="H91" s="10" t="str">
        <f aca="false">IF(ABS(G91)&lt;=0.000001,"PASS","FAIL")</f>
        <v>PASS</v>
      </c>
    </row>
    <row r="92" customFormat="false" ht="15" hidden="false" customHeight="false" outlineLevel="0" collapsed="false">
      <c r="A92" s="10" t="s">
        <v>1218</v>
      </c>
      <c r="B92" s="10" t="s">
        <v>1042</v>
      </c>
      <c r="C92" s="10" t="s">
        <v>1219</v>
      </c>
      <c r="D92" s="10" t="s">
        <v>160</v>
      </c>
      <c r="E92" s="13" t="n">
        <f aca="false">Historical_Drivers!G18</f>
        <v>-5022</v>
      </c>
      <c r="F92" s="34" t="n">
        <v>-5022</v>
      </c>
      <c r="G92" s="10" t="n">
        <f aca="false">E92-F92</f>
        <v>0</v>
      </c>
      <c r="H92" s="10" t="str">
        <f aca="false">IF(ABS(G92)&lt;=0.000001,"PASS","FAIL")</f>
        <v>PASS</v>
      </c>
    </row>
    <row r="93" customFormat="false" ht="15" hidden="false" customHeight="false" outlineLevel="0" collapsed="false">
      <c r="A93" s="10" t="s">
        <v>1220</v>
      </c>
      <c r="B93" s="10" t="s">
        <v>1042</v>
      </c>
      <c r="C93" s="10" t="s">
        <v>1221</v>
      </c>
      <c r="D93" s="10" t="s">
        <v>161</v>
      </c>
      <c r="E93" s="13" t="n">
        <f aca="false">Historical_Drivers!H18</f>
        <v>1794</v>
      </c>
      <c r="F93" s="34" t="n">
        <v>1794</v>
      </c>
      <c r="G93" s="10" t="n">
        <f aca="false">E93-F93</f>
        <v>0</v>
      </c>
      <c r="H93" s="10" t="str">
        <f aca="false">IF(ABS(G93)&lt;=0.000001,"PASS","FAIL")</f>
        <v>PASS</v>
      </c>
    </row>
    <row r="94" customFormat="false" ht="15" hidden="false" customHeight="false" outlineLevel="0" collapsed="false">
      <c r="A94" s="10" t="s">
        <v>1222</v>
      </c>
      <c r="B94" s="10" t="s">
        <v>1042</v>
      </c>
      <c r="C94" s="10" t="s">
        <v>1223</v>
      </c>
      <c r="D94" s="10" t="s">
        <v>162</v>
      </c>
      <c r="E94" s="13" t="n">
        <f aca="false">Historical_Drivers!I18</f>
        <v>-27402</v>
      </c>
      <c r="F94" s="34" t="n">
        <v>-27402</v>
      </c>
      <c r="G94" s="10" t="n">
        <f aca="false">E94-F94</f>
        <v>0</v>
      </c>
      <c r="H94" s="10" t="str">
        <f aca="false">IF(ABS(G94)&lt;=0.000001,"PASS","FAIL")</f>
        <v>PASS</v>
      </c>
    </row>
    <row r="95" customFormat="false" ht="15" hidden="false" customHeight="false" outlineLevel="0" collapsed="false">
      <c r="A95" s="10" t="s">
        <v>1224</v>
      </c>
      <c r="B95" s="10" t="s">
        <v>1042</v>
      </c>
      <c r="C95" s="10" t="s">
        <v>1225</v>
      </c>
      <c r="D95" s="10" t="s">
        <v>163</v>
      </c>
      <c r="E95" s="13" t="n">
        <f aca="false">Historical_Drivers!J18</f>
        <v>9596</v>
      </c>
      <c r="F95" s="34" t="n">
        <v>9596</v>
      </c>
      <c r="G95" s="10" t="n">
        <f aca="false">E95-F95</f>
        <v>0</v>
      </c>
      <c r="H95" s="10" t="str">
        <f aca="false">IF(ABS(G95)&lt;=0.000001,"PASS","FAIL")</f>
        <v>PASS</v>
      </c>
    </row>
    <row r="96" customFormat="false" ht="15" hidden="false" customHeight="false" outlineLevel="0" collapsed="false">
      <c r="A96" s="10" t="s">
        <v>1226</v>
      </c>
      <c r="B96" s="10" t="s">
        <v>1042</v>
      </c>
      <c r="C96" s="10" t="s">
        <v>1227</v>
      </c>
      <c r="D96" s="10" t="s">
        <v>164</v>
      </c>
      <c r="E96" s="13" t="n">
        <f aca="false">Historical_Drivers!K18</f>
        <v>9796</v>
      </c>
      <c r="F96" s="34" t="n">
        <v>9796</v>
      </c>
      <c r="G96" s="10" t="n">
        <f aca="false">E96-F96</f>
        <v>0</v>
      </c>
      <c r="H96" s="10" t="str">
        <f aca="false">IF(ABS(G96)&lt;=0.000001,"PASS","FAIL")</f>
        <v>PASS</v>
      </c>
    </row>
    <row r="97" customFormat="false" ht="15" hidden="false" customHeight="false" outlineLevel="0" collapsed="false">
      <c r="A97" s="10" t="s">
        <v>1228</v>
      </c>
      <c r="B97" s="10" t="s">
        <v>1042</v>
      </c>
      <c r="C97" s="10" t="s">
        <v>1229</v>
      </c>
      <c r="D97" s="10" t="s">
        <v>165</v>
      </c>
      <c r="E97" s="13" t="n">
        <f aca="false">Historical_Drivers!L18</f>
        <v>-11551</v>
      </c>
      <c r="F97" s="34" t="n">
        <v>-11551</v>
      </c>
      <c r="G97" s="10" t="n">
        <f aca="false">E97-F97</f>
        <v>0</v>
      </c>
      <c r="H97" s="10" t="str">
        <f aca="false">IF(ABS(G97)&lt;=0.000001,"PASS","FAIL")</f>
        <v>PASS</v>
      </c>
    </row>
    <row r="98" customFormat="false" ht="15" hidden="false" customHeight="false" outlineLevel="0" collapsed="false">
      <c r="A98" s="10" t="s">
        <v>1230</v>
      </c>
      <c r="B98" s="10" t="s">
        <v>1042</v>
      </c>
      <c r="C98" s="10" t="s">
        <v>1231</v>
      </c>
      <c r="D98" s="10" t="s">
        <v>166</v>
      </c>
      <c r="E98" s="13" t="n">
        <f aca="false">Historical_Drivers!M18</f>
        <v>-2378</v>
      </c>
      <c r="F98" s="34" t="n">
        <v>-2378</v>
      </c>
      <c r="G98" s="10" t="n">
        <f aca="false">E98-F98</f>
        <v>0</v>
      </c>
      <c r="H98" s="10" t="str">
        <f aca="false">IF(ABS(G98)&lt;=0.000001,"PASS","FAIL")</f>
        <v>PASS</v>
      </c>
    </row>
    <row r="99" customFormat="false" ht="15" hidden="false" customHeight="false" outlineLevel="0" collapsed="false">
      <c r="A99" s="10" t="s">
        <v>1232</v>
      </c>
      <c r="B99" s="10" t="s">
        <v>1042</v>
      </c>
      <c r="C99" s="10" t="s">
        <v>1233</v>
      </c>
      <c r="D99" s="10" t="s">
        <v>167</v>
      </c>
      <c r="E99" s="13" t="n">
        <f aca="false">Historical_Drivers!N18</f>
        <v>2385</v>
      </c>
      <c r="F99" s="34" t="n">
        <v>2385</v>
      </c>
      <c r="G99" s="10" t="n">
        <f aca="false">E99-F99</f>
        <v>0</v>
      </c>
      <c r="H99" s="10" t="str">
        <f aca="false">IF(ABS(G99)&lt;=0.000001,"PASS","FAIL")</f>
        <v>PASS</v>
      </c>
    </row>
    <row r="100" customFormat="false" ht="15" hidden="false" customHeight="false" outlineLevel="0" collapsed="false">
      <c r="A100" s="10" t="s">
        <v>1234</v>
      </c>
      <c r="B100" s="10" t="s">
        <v>1042</v>
      </c>
      <c r="C100" s="10" t="s">
        <v>1235</v>
      </c>
      <c r="D100" s="10" t="s">
        <v>168</v>
      </c>
      <c r="E100" s="13" t="n">
        <f aca="false">Historical_Drivers!O18</f>
        <v>19754</v>
      </c>
      <c r="F100" s="34" t="n">
        <v>19754</v>
      </c>
      <c r="G100" s="10" t="n">
        <f aca="false">E100-F100</f>
        <v>0</v>
      </c>
      <c r="H100" s="10" t="str">
        <f aca="false">IF(ABS(G100)&lt;=0.000001,"PASS","FAIL")</f>
        <v>PASS</v>
      </c>
    </row>
    <row r="101" customFormat="false" ht="15" hidden="false" customHeight="false" outlineLevel="0" collapsed="false">
      <c r="A101" s="10" t="s">
        <v>1236</v>
      </c>
      <c r="B101" s="10" t="s">
        <v>1042</v>
      </c>
      <c r="C101" s="10" t="s">
        <v>1237</v>
      </c>
      <c r="D101" s="10" t="s">
        <v>169</v>
      </c>
      <c r="E101" s="13" t="n">
        <f aca="false">Historical_Drivers!P18</f>
        <v>-1544</v>
      </c>
      <c r="F101" s="34" t="n">
        <v>-1544</v>
      </c>
      <c r="G101" s="10" t="n">
        <f aca="false">E101-F101</f>
        <v>0</v>
      </c>
      <c r="H101" s="10" t="str">
        <f aca="false">IF(ABS(G101)&lt;=0.000001,"PASS","FAIL")</f>
        <v>PASS</v>
      </c>
    </row>
    <row r="102" customFormat="false" ht="15" hidden="false" customHeight="false" outlineLevel="0" collapsed="false">
      <c r="A102" s="10" t="s">
        <v>1238</v>
      </c>
      <c r="B102" s="10" t="s">
        <v>1042</v>
      </c>
      <c r="C102" s="10" t="s">
        <v>1239</v>
      </c>
      <c r="D102" s="10" t="s">
        <v>171</v>
      </c>
      <c r="E102" s="13" t="n">
        <f aca="false">Historical_Drivers!C20</f>
        <v>22459</v>
      </c>
      <c r="F102" s="34" t="n">
        <v>22459</v>
      </c>
      <c r="G102" s="10" t="n">
        <f aca="false">E102-F102</f>
        <v>0</v>
      </c>
      <c r="H102" s="10" t="str">
        <f aca="false">IF(ABS(G102)&lt;=0.000001,"PASS","FAIL")</f>
        <v>PASS</v>
      </c>
    </row>
    <row r="103" customFormat="false" ht="15" hidden="false" customHeight="false" outlineLevel="0" collapsed="false">
      <c r="A103" s="10" t="s">
        <v>1240</v>
      </c>
      <c r="B103" s="10" t="s">
        <v>1042</v>
      </c>
      <c r="C103" s="10" t="s">
        <v>1241</v>
      </c>
      <c r="D103" s="10" t="s">
        <v>172</v>
      </c>
      <c r="E103" s="13" t="n">
        <f aca="false">Historical_Drivers!D20</f>
        <v>28784</v>
      </c>
      <c r="F103" s="34" t="n">
        <v>28784</v>
      </c>
      <c r="G103" s="10" t="n">
        <f aca="false">E103-F103</f>
        <v>0</v>
      </c>
      <c r="H103" s="10" t="str">
        <f aca="false">IF(ABS(G103)&lt;=0.000001,"PASS","FAIL")</f>
        <v>PASS</v>
      </c>
    </row>
    <row r="104" customFormat="false" ht="15" hidden="false" customHeight="false" outlineLevel="0" collapsed="false">
      <c r="A104" s="10" t="s">
        <v>1242</v>
      </c>
      <c r="B104" s="10" t="s">
        <v>1042</v>
      </c>
      <c r="C104" s="10" t="s">
        <v>1243</v>
      </c>
      <c r="D104" s="10" t="s">
        <v>173</v>
      </c>
      <c r="E104" s="13" t="n">
        <f aca="false">Historical_Drivers!E20</f>
        <v>26598</v>
      </c>
      <c r="F104" s="34" t="n">
        <v>26598</v>
      </c>
      <c r="G104" s="10" t="n">
        <f aca="false">E104-F104</f>
        <v>0</v>
      </c>
      <c r="H104" s="10" t="str">
        <f aca="false">IF(ABS(G104)&lt;=0.000001,"PASS","FAIL")</f>
        <v>PASS</v>
      </c>
    </row>
    <row r="105" customFormat="false" ht="15" hidden="false" customHeight="false" outlineLevel="0" collapsed="false">
      <c r="A105" s="10" t="s">
        <v>1244</v>
      </c>
      <c r="B105" s="10" t="s">
        <v>1042</v>
      </c>
      <c r="C105" s="10" t="s">
        <v>1245</v>
      </c>
      <c r="D105" s="10" t="s">
        <v>174</v>
      </c>
      <c r="E105" s="13" t="n">
        <f aca="false">Historical_Drivers!F20</f>
        <v>22345</v>
      </c>
      <c r="F105" s="34" t="n">
        <v>22345</v>
      </c>
      <c r="G105" s="10" t="n">
        <f aca="false">E105-F105</f>
        <v>0</v>
      </c>
      <c r="H105" s="10" t="str">
        <f aca="false">IF(ABS(G105)&lt;=0.000001,"PASS","FAIL")</f>
        <v>PASS</v>
      </c>
    </row>
    <row r="106" customFormat="false" ht="15" hidden="false" customHeight="false" outlineLevel="0" collapsed="false">
      <c r="A106" s="10" t="s">
        <v>1246</v>
      </c>
      <c r="B106" s="10" t="s">
        <v>1042</v>
      </c>
      <c r="C106" s="10" t="s">
        <v>1247</v>
      </c>
      <c r="D106" s="10" t="s">
        <v>175</v>
      </c>
      <c r="E106" s="13" t="n">
        <f aca="false">Historical_Drivers!G20</f>
        <v>26543</v>
      </c>
      <c r="F106" s="34" t="n">
        <v>26543</v>
      </c>
      <c r="G106" s="10" t="n">
        <f aca="false">E106-F106</f>
        <v>0</v>
      </c>
      <c r="H106" s="10" t="str">
        <f aca="false">IF(ABS(G106)&lt;=0.000001,"PASS","FAIL")</f>
        <v>PASS</v>
      </c>
    </row>
    <row r="107" customFormat="false" ht="15" hidden="false" customHeight="false" outlineLevel="0" collapsed="false">
      <c r="A107" s="10" t="s">
        <v>1248</v>
      </c>
      <c r="B107" s="10" t="s">
        <v>1042</v>
      </c>
      <c r="C107" s="10" t="s">
        <v>1249</v>
      </c>
      <c r="D107" s="10" t="s">
        <v>176</v>
      </c>
      <c r="E107" s="13" t="n">
        <f aca="false">Historical_Drivers!H20</f>
        <v>36623</v>
      </c>
      <c r="F107" s="34" t="n">
        <v>36623</v>
      </c>
      <c r="G107" s="10" t="n">
        <f aca="false">E107-F107</f>
        <v>0</v>
      </c>
      <c r="H107" s="10" t="str">
        <f aca="false">IF(ABS(G107)&lt;=0.000001,"PASS","FAIL")</f>
        <v>PASS</v>
      </c>
    </row>
    <row r="108" customFormat="false" ht="15" hidden="false" customHeight="false" outlineLevel="0" collapsed="false">
      <c r="A108" s="10" t="s">
        <v>1250</v>
      </c>
      <c r="B108" s="10" t="s">
        <v>1042</v>
      </c>
      <c r="C108" s="10" t="s">
        <v>1251</v>
      </c>
      <c r="D108" s="10" t="s">
        <v>177</v>
      </c>
      <c r="E108" s="13" t="n">
        <f aca="false">Historical_Drivers!I20</f>
        <v>35374</v>
      </c>
      <c r="F108" s="34" t="n">
        <v>35374</v>
      </c>
      <c r="G108" s="10" t="n">
        <f aca="false">E108-F108</f>
        <v>0</v>
      </c>
      <c r="H108" s="10" t="str">
        <f aca="false">IF(ABS(G108)&lt;=0.000001,"PASS","FAIL")</f>
        <v>PASS</v>
      </c>
    </row>
    <row r="109" customFormat="false" ht="15" hidden="false" customHeight="false" outlineLevel="0" collapsed="false">
      <c r="A109" s="10" t="s">
        <v>1252</v>
      </c>
      <c r="B109" s="10" t="s">
        <v>1042</v>
      </c>
      <c r="C109" s="10" t="s">
        <v>1253</v>
      </c>
      <c r="D109" s="10" t="s">
        <v>178</v>
      </c>
      <c r="E109" s="13" t="n">
        <f aca="false">Historical_Drivers!J20</f>
        <v>30669</v>
      </c>
      <c r="F109" s="34" t="n">
        <v>30669</v>
      </c>
      <c r="G109" s="10" t="n">
        <f aca="false">E109-F109</f>
        <v>0</v>
      </c>
      <c r="H109" s="10" t="str">
        <f aca="false">IF(ABS(G109)&lt;=0.000001,"PASS","FAIL")</f>
        <v>PASS</v>
      </c>
    </row>
    <row r="110" customFormat="false" ht="15" hidden="false" customHeight="false" outlineLevel="0" collapsed="false">
      <c r="A110" s="10" t="s">
        <v>1254</v>
      </c>
      <c r="B110" s="10" t="s">
        <v>1042</v>
      </c>
      <c r="C110" s="10" t="s">
        <v>1255</v>
      </c>
      <c r="D110" s="10" t="s">
        <v>179</v>
      </c>
      <c r="E110" s="13" t="n">
        <f aca="false">Historical_Drivers!K20</f>
        <v>30958</v>
      </c>
      <c r="F110" s="34" t="n">
        <v>30958</v>
      </c>
      <c r="G110" s="10" t="n">
        <f aca="false">E110-F110</f>
        <v>0</v>
      </c>
      <c r="H110" s="10" t="str">
        <f aca="false">IF(ABS(G110)&lt;=0.000001,"PASS","FAIL")</f>
        <v>PASS</v>
      </c>
    </row>
    <row r="111" customFormat="false" ht="15" hidden="false" customHeight="false" outlineLevel="0" collapsed="false">
      <c r="A111" s="10" t="s">
        <v>1256</v>
      </c>
      <c r="B111" s="10" t="s">
        <v>1042</v>
      </c>
      <c r="C111" s="10" t="s">
        <v>1257</v>
      </c>
      <c r="D111" s="10" t="s">
        <v>180</v>
      </c>
      <c r="E111" s="13" t="n">
        <f aca="false">Historical_Drivers!L20</f>
        <v>56645</v>
      </c>
      <c r="F111" s="34" t="n">
        <v>56645</v>
      </c>
      <c r="G111" s="10" t="n">
        <f aca="false">E111-F111</f>
        <v>0</v>
      </c>
      <c r="H111" s="10" t="str">
        <f aca="false">IF(ABS(G111)&lt;=0.000001,"PASS","FAIL")</f>
        <v>PASS</v>
      </c>
    </row>
    <row r="112" customFormat="false" ht="15" hidden="false" customHeight="false" outlineLevel="0" collapsed="false">
      <c r="A112" s="10" t="s">
        <v>1258</v>
      </c>
      <c r="B112" s="10" t="s">
        <v>1042</v>
      </c>
      <c r="C112" s="10" t="s">
        <v>1259</v>
      </c>
      <c r="D112" s="10" t="s">
        <v>181</v>
      </c>
      <c r="E112" s="13" t="n">
        <f aca="false">Historical_Drivers!M20</f>
        <v>49862</v>
      </c>
      <c r="F112" s="34" t="n">
        <v>49862</v>
      </c>
      <c r="G112" s="10" t="n">
        <f aca="false">E112-F112</f>
        <v>0</v>
      </c>
      <c r="H112" s="10" t="str">
        <f aca="false">IF(ABS(G112)&lt;=0.000001,"PASS","FAIL")</f>
        <v>PASS</v>
      </c>
    </row>
    <row r="113" customFormat="false" ht="15" hidden="false" customHeight="false" outlineLevel="0" collapsed="false">
      <c r="A113" s="10" t="s">
        <v>1260</v>
      </c>
      <c r="B113" s="10" t="s">
        <v>1042</v>
      </c>
      <c r="C113" s="10" t="s">
        <v>1261</v>
      </c>
      <c r="D113" s="10" t="s">
        <v>182</v>
      </c>
      <c r="E113" s="13" t="n">
        <f aca="false">Historical_Drivers!N20</f>
        <v>39546</v>
      </c>
      <c r="F113" s="34" t="n">
        <v>39546</v>
      </c>
      <c r="G113" s="10" t="n">
        <f aca="false">E113-F113</f>
        <v>0</v>
      </c>
      <c r="H113" s="10" t="str">
        <f aca="false">IF(ABS(G113)&lt;=0.000001,"PASS","FAIL")</f>
        <v>PASS</v>
      </c>
    </row>
    <row r="114" customFormat="false" ht="15" hidden="false" customHeight="false" outlineLevel="0" collapsed="false">
      <c r="A114" s="10" t="s">
        <v>1262</v>
      </c>
      <c r="B114" s="10" t="s">
        <v>1042</v>
      </c>
      <c r="C114" s="10" t="s">
        <v>1263</v>
      </c>
      <c r="D114" s="10" t="s">
        <v>183</v>
      </c>
      <c r="E114" s="13" t="n">
        <f aca="false">Historical_Drivers!O20</f>
        <v>29283</v>
      </c>
      <c r="F114" s="34" t="n">
        <v>29283</v>
      </c>
      <c r="G114" s="10" t="n">
        <f aca="false">E114-F114</f>
        <v>0</v>
      </c>
      <c r="H114" s="10" t="str">
        <f aca="false">IF(ABS(G114)&lt;=0.000001,"PASS","FAIL")</f>
        <v>PASS</v>
      </c>
    </row>
    <row r="115" customFormat="false" ht="15" hidden="false" customHeight="false" outlineLevel="0" collapsed="false">
      <c r="A115" s="10" t="s">
        <v>1264</v>
      </c>
      <c r="B115" s="10" t="s">
        <v>1042</v>
      </c>
      <c r="C115" s="10" t="s">
        <v>1265</v>
      </c>
      <c r="D115" s="10" t="s">
        <v>184</v>
      </c>
      <c r="E115" s="13" t="n">
        <f aca="false">Historical_Drivers!P20</f>
        <v>41218</v>
      </c>
      <c r="F115" s="34" t="n">
        <v>41218</v>
      </c>
      <c r="G115" s="10" t="n">
        <f aca="false">E115-F115</f>
        <v>0</v>
      </c>
      <c r="H115" s="10" t="str">
        <f aca="false">IF(ABS(G115)&lt;=0.000001,"PASS","FAIL")</f>
        <v>PASS</v>
      </c>
    </row>
    <row r="116" customFormat="false" ht="15" hidden="false" customHeight="false" outlineLevel="0" collapsed="false">
      <c r="A116" s="10" t="s">
        <v>1266</v>
      </c>
      <c r="B116" s="10" t="s">
        <v>1042</v>
      </c>
      <c r="C116" s="10" t="s">
        <v>1267</v>
      </c>
      <c r="D116" s="10" t="s">
        <v>187</v>
      </c>
      <c r="E116" s="13" t="n">
        <f aca="false">Historical_Drivers!P22</f>
        <v>21436</v>
      </c>
      <c r="F116" s="34" t="n">
        <v>21436</v>
      </c>
      <c r="G116" s="10" t="n">
        <f aca="false">E116-F116</f>
        <v>0</v>
      </c>
      <c r="H116" s="10" t="str">
        <f aca="false">IF(ABS(G116)&lt;=0.000001,"PASS","FAIL")</f>
        <v>PASS</v>
      </c>
    </row>
    <row r="117" customFormat="false" ht="15" hidden="false" customHeight="false" outlineLevel="0" collapsed="false">
      <c r="A117" s="10" t="s">
        <v>1268</v>
      </c>
      <c r="B117" s="10" t="s">
        <v>1042</v>
      </c>
      <c r="C117" s="10" t="s">
        <v>1269</v>
      </c>
      <c r="D117" s="10" t="s">
        <v>189</v>
      </c>
      <c r="E117" s="13" t="n">
        <f aca="false">Historical_Drivers!C24</f>
        <v>38682</v>
      </c>
      <c r="F117" s="34" t="n">
        <v>38682</v>
      </c>
      <c r="G117" s="10" t="n">
        <f aca="false">E117-F117</f>
        <v>0</v>
      </c>
      <c r="H117" s="10" t="str">
        <f aca="false">IF(ABS(G117)&lt;=0.000001,"PASS","FAIL")</f>
        <v>PASS</v>
      </c>
    </row>
    <row r="118" customFormat="false" ht="15" hidden="false" customHeight="false" outlineLevel="0" collapsed="false">
      <c r="A118" s="10" t="s">
        <v>1270</v>
      </c>
      <c r="B118" s="10" t="s">
        <v>1042</v>
      </c>
      <c r="C118" s="10" t="s">
        <v>1271</v>
      </c>
      <c r="D118" s="10" t="s">
        <v>190</v>
      </c>
      <c r="E118" s="13" t="n">
        <f aca="false">Historical_Drivers!D24</f>
        <v>45932</v>
      </c>
      <c r="F118" s="34" t="n">
        <v>45932</v>
      </c>
      <c r="G118" s="10" t="n">
        <f aca="false">E118-F118</f>
        <v>0</v>
      </c>
      <c r="H118" s="10" t="str">
        <f aca="false">IF(ABS(G118)&lt;=0.000001,"PASS","FAIL")</f>
        <v>PASS</v>
      </c>
    </row>
    <row r="119" customFormat="false" ht="15" hidden="false" customHeight="false" outlineLevel="0" collapsed="false">
      <c r="A119" s="10" t="s">
        <v>1272</v>
      </c>
      <c r="B119" s="10" t="s">
        <v>1042</v>
      </c>
      <c r="C119" s="10" t="s">
        <v>1273</v>
      </c>
      <c r="D119" s="10" t="s">
        <v>191</v>
      </c>
      <c r="E119" s="13" t="n">
        <f aca="false">Historical_Drivers!E24</f>
        <v>64890</v>
      </c>
      <c r="F119" s="34" t="n">
        <v>64890</v>
      </c>
      <c r="G119" s="10" t="n">
        <f aca="false">E119-F119</f>
        <v>0</v>
      </c>
      <c r="H119" s="10" t="str">
        <f aca="false">IF(ABS(G119)&lt;=0.000001,"PASS","FAIL")</f>
        <v>PASS</v>
      </c>
    </row>
    <row r="120" customFormat="false" ht="15" hidden="false" customHeight="false" outlineLevel="0" collapsed="false">
      <c r="A120" s="10" t="s">
        <v>1274</v>
      </c>
      <c r="B120" s="10" t="s">
        <v>1042</v>
      </c>
      <c r="C120" s="10" t="s">
        <v>1275</v>
      </c>
      <c r="D120" s="10" t="s">
        <v>192</v>
      </c>
      <c r="E120" s="13" t="n">
        <f aca="false">Historical_Drivers!F24</f>
        <v>55441</v>
      </c>
      <c r="F120" s="34" t="n">
        <v>55441</v>
      </c>
      <c r="G120" s="10" t="n">
        <f aca="false">E120-F120</f>
        <v>0</v>
      </c>
      <c r="H120" s="10" t="str">
        <f aca="false">IF(ABS(G120)&lt;=0.000001,"PASS","FAIL")</f>
        <v>PASS</v>
      </c>
    </row>
    <row r="121" customFormat="false" ht="15" hidden="false" customHeight="false" outlineLevel="0" collapsed="false">
      <c r="A121" s="10" t="s">
        <v>1276</v>
      </c>
      <c r="B121" s="10" t="s">
        <v>1042</v>
      </c>
      <c r="C121" s="10" t="s">
        <v>1277</v>
      </c>
      <c r="D121" s="10" t="s">
        <v>193</v>
      </c>
      <c r="E121" s="13" t="n">
        <f aca="false">Historical_Drivers!G24</f>
        <v>89894</v>
      </c>
      <c r="F121" s="34" t="n">
        <v>89894</v>
      </c>
      <c r="G121" s="10" t="n">
        <f aca="false">E121-F121</f>
        <v>0</v>
      </c>
      <c r="H121" s="10" t="str">
        <f aca="false">IF(ABS(G121)&lt;=0.000001,"PASS","FAIL")</f>
        <v>PASS</v>
      </c>
    </row>
    <row r="122" customFormat="false" ht="15" hidden="false" customHeight="false" outlineLevel="0" collapsed="false">
      <c r="A122" s="10" t="s">
        <v>1278</v>
      </c>
      <c r="B122" s="10" t="s">
        <v>1042</v>
      </c>
      <c r="C122" s="10" t="s">
        <v>1279</v>
      </c>
      <c r="D122" s="10" t="s">
        <v>194</v>
      </c>
      <c r="E122" s="13" t="n">
        <f aca="false">Historical_Drivers!H24</f>
        <v>50821</v>
      </c>
      <c r="F122" s="34" t="n">
        <v>50821</v>
      </c>
      <c r="G122" s="10" t="n">
        <f aca="false">E122-F122</f>
        <v>0</v>
      </c>
      <c r="H122" s="10" t="str">
        <f aca="false">IF(ABS(G122)&lt;=0.000001,"PASS","FAIL")</f>
        <v>PASS</v>
      </c>
    </row>
    <row r="123" customFormat="false" ht="15" hidden="false" customHeight="false" outlineLevel="0" collapsed="false">
      <c r="A123" s="10" t="s">
        <v>1280</v>
      </c>
      <c r="B123" s="10" t="s">
        <v>1042</v>
      </c>
      <c r="C123" s="10" t="s">
        <v>1281</v>
      </c>
      <c r="D123" s="10" t="s">
        <v>195</v>
      </c>
      <c r="E123" s="13" t="n">
        <f aca="false">Historical_Drivers!I24</f>
        <v>82412</v>
      </c>
      <c r="F123" s="34" t="n">
        <v>82412</v>
      </c>
      <c r="G123" s="10" t="n">
        <f aca="false">E123-F123</f>
        <v>0</v>
      </c>
      <c r="H123" s="10" t="str">
        <f aca="false">IF(ABS(G123)&lt;=0.000001,"PASS","FAIL")</f>
        <v>PASS</v>
      </c>
    </row>
    <row r="124" customFormat="false" ht="15" hidden="false" customHeight="false" outlineLevel="0" collapsed="false">
      <c r="A124" s="10" t="s">
        <v>1282</v>
      </c>
      <c r="B124" s="10" t="s">
        <v>1042</v>
      </c>
      <c r="C124" s="10" t="s">
        <v>1283</v>
      </c>
      <c r="D124" s="10" t="s">
        <v>196</v>
      </c>
      <c r="E124" s="13" t="n">
        <f aca="false">Historical_Drivers!J24</f>
        <v>72703</v>
      </c>
      <c r="F124" s="34" t="n">
        <v>72703</v>
      </c>
      <c r="G124" s="10" t="n">
        <f aca="false">E124-F124</f>
        <v>0</v>
      </c>
      <c r="H124" s="10" t="str">
        <f aca="false">IF(ABS(G124)&lt;=0.000001,"PASS","FAIL")</f>
        <v>PASS</v>
      </c>
    </row>
    <row r="125" customFormat="false" ht="15" hidden="false" customHeight="false" outlineLevel="0" collapsed="false">
      <c r="A125" s="10" t="s">
        <v>1284</v>
      </c>
      <c r="B125" s="10" t="s">
        <v>1042</v>
      </c>
      <c r="C125" s="10" t="s">
        <v>1285</v>
      </c>
      <c r="D125" s="10" t="s">
        <v>197</v>
      </c>
      <c r="E125" s="13" t="n">
        <f aca="false">Historical_Drivers!K24</f>
        <v>109532</v>
      </c>
      <c r="F125" s="34" t="n">
        <v>109532</v>
      </c>
      <c r="G125" s="10" t="n">
        <f aca="false">E125-F125</f>
        <v>0</v>
      </c>
      <c r="H125" s="10" t="str">
        <f aca="false">IF(ABS(G125)&lt;=0.000001,"PASS","FAIL")</f>
        <v>PASS</v>
      </c>
    </row>
    <row r="126" customFormat="false" ht="15" hidden="false" customHeight="false" outlineLevel="0" collapsed="false">
      <c r="A126" s="10" t="s">
        <v>1286</v>
      </c>
      <c r="B126" s="10" t="s">
        <v>1042</v>
      </c>
      <c r="C126" s="10" t="s">
        <v>1287</v>
      </c>
      <c r="D126" s="10" t="s">
        <v>198</v>
      </c>
      <c r="E126" s="13" t="n">
        <f aca="false">Historical_Drivers!L24</f>
        <v>64093</v>
      </c>
      <c r="F126" s="34" t="n">
        <v>64093</v>
      </c>
      <c r="G126" s="10" t="n">
        <f aca="false">E126-F126</f>
        <v>0</v>
      </c>
      <c r="H126" s="10" t="str">
        <f aca="false">IF(ABS(G126)&lt;=0.000001,"PASS","FAIL")</f>
        <v>PASS</v>
      </c>
    </row>
    <row r="127" customFormat="false" ht="15" hidden="false" customHeight="false" outlineLevel="0" collapsed="false">
      <c r="A127" s="10" t="s">
        <v>1288</v>
      </c>
      <c r="B127" s="10" t="s">
        <v>1042</v>
      </c>
      <c r="C127" s="10" t="s">
        <v>1289</v>
      </c>
      <c r="D127" s="10" t="s">
        <v>199</v>
      </c>
      <c r="E127" s="13" t="n">
        <f aca="false">Historical_Drivers!M24</f>
        <v>92301</v>
      </c>
      <c r="F127" s="34" t="n">
        <v>92301</v>
      </c>
      <c r="G127" s="10" t="n">
        <f aca="false">E127-F127</f>
        <v>0</v>
      </c>
      <c r="H127" s="10" t="str">
        <f aca="false">IF(ABS(G127)&lt;=0.000001,"PASS","FAIL")</f>
        <v>PASS</v>
      </c>
    </row>
    <row r="128" customFormat="false" ht="15" hidden="false" customHeight="false" outlineLevel="0" collapsed="false">
      <c r="A128" s="10" t="s">
        <v>1290</v>
      </c>
      <c r="B128" s="10" t="s">
        <v>1042</v>
      </c>
      <c r="C128" s="10" t="s">
        <v>1291</v>
      </c>
      <c r="D128" s="10" t="s">
        <v>200</v>
      </c>
      <c r="E128" s="13" t="n">
        <f aca="false">Historical_Drivers!N24</f>
        <v>56734</v>
      </c>
      <c r="F128" s="34" t="n">
        <v>56734</v>
      </c>
      <c r="G128" s="10" t="n">
        <f aca="false">E128-F128</f>
        <v>0</v>
      </c>
      <c r="H128" s="10" t="str">
        <f aca="false">IF(ABS(G128)&lt;=0.000001,"PASS","FAIL")</f>
        <v>PASS</v>
      </c>
    </row>
    <row r="129" customFormat="false" ht="15" hidden="false" customHeight="false" outlineLevel="0" collapsed="false">
      <c r="A129" s="10" t="s">
        <v>1292</v>
      </c>
      <c r="B129" s="10" t="s">
        <v>1042</v>
      </c>
      <c r="C129" s="10" t="s">
        <v>1293</v>
      </c>
      <c r="D129" s="10" t="s">
        <v>201</v>
      </c>
      <c r="E129" s="13" t="n">
        <f aca="false">Historical_Drivers!O24</f>
        <v>102778</v>
      </c>
      <c r="F129" s="34" t="n">
        <v>102778</v>
      </c>
      <c r="G129" s="10" t="n">
        <f aca="false">E129-F129</f>
        <v>0</v>
      </c>
      <c r="H129" s="10" t="str">
        <f aca="false">IF(ABS(G129)&lt;=0.000001,"PASS","FAIL")</f>
        <v>PASS</v>
      </c>
    </row>
    <row r="130" customFormat="false" ht="15" hidden="false" customHeight="false" outlineLevel="0" collapsed="false">
      <c r="A130" s="10" t="s">
        <v>1294</v>
      </c>
      <c r="B130" s="10" t="s">
        <v>1042</v>
      </c>
      <c r="C130" s="10" t="s">
        <v>1295</v>
      </c>
      <c r="D130" s="10" t="s">
        <v>202</v>
      </c>
      <c r="E130" s="13" t="n">
        <f aca="false">Historical_Drivers!P24</f>
        <v>52344</v>
      </c>
      <c r="F130" s="34" t="n">
        <v>52344</v>
      </c>
      <c r="G130" s="10" t="n">
        <f aca="false">E130-F130</f>
        <v>0</v>
      </c>
      <c r="H130" s="10" t="str">
        <f aca="false">IF(ABS(G130)&lt;=0.000001,"PASS","FAIL")</f>
        <v>PASS</v>
      </c>
    </row>
    <row r="131" customFormat="false" ht="15" hidden="false" customHeight="false" outlineLevel="0" collapsed="false">
      <c r="A131" s="10" t="s">
        <v>1296</v>
      </c>
      <c r="B131" s="10" t="s">
        <v>1042</v>
      </c>
      <c r="C131" s="10" t="s">
        <v>1297</v>
      </c>
      <c r="D131" s="10" t="s">
        <v>204</v>
      </c>
      <c r="E131" s="13" t="n">
        <f aca="false">Historical_Drivers!C26</f>
        <v>935565</v>
      </c>
      <c r="F131" s="34" t="n">
        <v>935565</v>
      </c>
      <c r="G131" s="10" t="n">
        <f aca="false">E131-F131</f>
        <v>0</v>
      </c>
      <c r="H131" s="10" t="str">
        <f aca="false">IF(ABS(G131)&lt;=0.000001,"PASS","FAIL")</f>
        <v>PASS</v>
      </c>
    </row>
    <row r="132" customFormat="false" ht="15" hidden="false" customHeight="false" outlineLevel="0" collapsed="false">
      <c r="A132" s="10" t="s">
        <v>1298</v>
      </c>
      <c r="B132" s="10" t="s">
        <v>1042</v>
      </c>
      <c r="C132" s="10" t="s">
        <v>1299</v>
      </c>
      <c r="D132" s="10" t="s">
        <v>205</v>
      </c>
      <c r="E132" s="13" t="n">
        <f aca="false">Historical_Drivers!D26</f>
        <v>989377</v>
      </c>
      <c r="F132" s="34" t="n">
        <v>989377</v>
      </c>
      <c r="G132" s="10" t="n">
        <f aca="false">E132-F132</f>
        <v>0</v>
      </c>
      <c r="H132" s="10" t="str">
        <f aca="false">IF(ABS(G132)&lt;=0.000001,"PASS","FAIL")</f>
        <v>PASS</v>
      </c>
    </row>
    <row r="133" customFormat="false" ht="15" hidden="false" customHeight="false" outlineLevel="0" collapsed="false">
      <c r="A133" s="10" t="s">
        <v>1300</v>
      </c>
      <c r="B133" s="10" t="s">
        <v>1042</v>
      </c>
      <c r="C133" s="10" t="s">
        <v>1301</v>
      </c>
      <c r="D133" s="10" t="s">
        <v>206</v>
      </c>
      <c r="E133" s="13" t="n">
        <f aca="false">Historical_Drivers!E26</f>
        <v>1054270</v>
      </c>
      <c r="F133" s="34" t="n">
        <v>1054270</v>
      </c>
      <c r="G133" s="10" t="n">
        <f aca="false">E133-F133</f>
        <v>0</v>
      </c>
      <c r="H133" s="10" t="str">
        <f aca="false">IF(ABS(G133)&lt;=0.000001,"PASS","FAIL")</f>
        <v>PASS</v>
      </c>
    </row>
    <row r="134" customFormat="false" ht="15" hidden="false" customHeight="false" outlineLevel="0" collapsed="false">
      <c r="A134" s="10" t="s">
        <v>1302</v>
      </c>
      <c r="B134" s="10" t="s">
        <v>1042</v>
      </c>
      <c r="C134" s="10" t="s">
        <v>1303</v>
      </c>
      <c r="D134" s="10" t="s">
        <v>207</v>
      </c>
      <c r="E134" s="13" t="n">
        <f aca="false">Historical_Drivers!F26</f>
        <v>1116128</v>
      </c>
      <c r="F134" s="34" t="n">
        <v>1116128</v>
      </c>
      <c r="G134" s="10" t="n">
        <f aca="false">E134-F134</f>
        <v>0</v>
      </c>
      <c r="H134" s="10" t="str">
        <f aca="false">IF(ABS(G134)&lt;=0.000001,"PASS","FAIL")</f>
        <v>PASS</v>
      </c>
    </row>
    <row r="135" customFormat="false" ht="15" hidden="false" customHeight="false" outlineLevel="0" collapsed="false">
      <c r="A135" s="10" t="s">
        <v>1304</v>
      </c>
      <c r="B135" s="10" t="s">
        <v>1042</v>
      </c>
      <c r="C135" s="10" t="s">
        <v>1305</v>
      </c>
      <c r="D135" s="10" t="s">
        <v>208</v>
      </c>
      <c r="E135" s="13" t="n">
        <f aca="false">Historical_Drivers!G26</f>
        <v>1224544</v>
      </c>
      <c r="F135" s="34" t="n">
        <v>1224544</v>
      </c>
      <c r="G135" s="10" t="n">
        <f aca="false">E135-F135</f>
        <v>0</v>
      </c>
      <c r="H135" s="10" t="str">
        <f aca="false">IF(ABS(G135)&lt;=0.000001,"PASS","FAIL")</f>
        <v>PASS</v>
      </c>
    </row>
    <row r="136" customFormat="false" ht="15" hidden="false" customHeight="false" outlineLevel="0" collapsed="false">
      <c r="A136" s="10" t="s">
        <v>1306</v>
      </c>
      <c r="B136" s="10" t="s">
        <v>1042</v>
      </c>
      <c r="C136" s="10" t="s">
        <v>1307</v>
      </c>
      <c r="D136" s="10" t="s">
        <v>209</v>
      </c>
      <c r="E136" s="13" t="n">
        <f aca="false">Historical_Drivers!H26</f>
        <v>1290242</v>
      </c>
      <c r="F136" s="34" t="n">
        <v>1290242</v>
      </c>
      <c r="G136" s="10" t="n">
        <f aca="false">E136-F136</f>
        <v>0</v>
      </c>
      <c r="H136" s="10" t="str">
        <f aca="false">IF(ABS(G136)&lt;=0.000001,"PASS","FAIL")</f>
        <v>PASS</v>
      </c>
    </row>
    <row r="137" customFormat="false" ht="15" hidden="false" customHeight="false" outlineLevel="0" collapsed="false">
      <c r="A137" s="10" t="s">
        <v>1308</v>
      </c>
      <c r="B137" s="10" t="s">
        <v>1042</v>
      </c>
      <c r="C137" s="10" t="s">
        <v>1309</v>
      </c>
      <c r="D137" s="10" t="s">
        <v>210</v>
      </c>
      <c r="E137" s="13" t="n">
        <f aca="false">Historical_Drivers!I26</f>
        <v>1337155</v>
      </c>
      <c r="F137" s="34" t="n">
        <v>1337155</v>
      </c>
      <c r="G137" s="10" t="n">
        <f aca="false">E137-F137</f>
        <v>0</v>
      </c>
      <c r="H137" s="10" t="str">
        <f aca="false">IF(ABS(G137)&lt;=0.000001,"PASS","FAIL")</f>
        <v>PASS</v>
      </c>
    </row>
    <row r="138" customFormat="false" ht="15" hidden="false" customHeight="false" outlineLevel="0" collapsed="false">
      <c r="A138" s="10" t="s">
        <v>1310</v>
      </c>
      <c r="B138" s="10" t="s">
        <v>1042</v>
      </c>
      <c r="C138" s="10" t="s">
        <v>1311</v>
      </c>
      <c r="D138" s="10" t="s">
        <v>211</v>
      </c>
      <c r="E138" s="13" t="n">
        <f aca="false">Historical_Drivers!J26</f>
        <v>1411602</v>
      </c>
      <c r="F138" s="34" t="n">
        <v>1411602</v>
      </c>
      <c r="G138" s="10" t="n">
        <f aca="false">E138-F138</f>
        <v>0</v>
      </c>
      <c r="H138" s="10" t="str">
        <f aca="false">IF(ABS(G138)&lt;=0.000001,"PASS","FAIL")</f>
        <v>PASS</v>
      </c>
    </row>
    <row r="139" customFormat="false" ht="15" hidden="false" customHeight="false" outlineLevel="0" collapsed="false">
      <c r="A139" s="10" t="s">
        <v>1312</v>
      </c>
      <c r="B139" s="10" t="s">
        <v>1042</v>
      </c>
      <c r="C139" s="10" t="s">
        <v>1313</v>
      </c>
      <c r="D139" s="10" t="s">
        <v>212</v>
      </c>
      <c r="E139" s="13" t="n">
        <f aca="false">Historical_Drivers!K26</f>
        <v>1527605</v>
      </c>
      <c r="F139" s="34" t="n">
        <v>1527605</v>
      </c>
      <c r="G139" s="10" t="n">
        <f aca="false">E139-F139</f>
        <v>0</v>
      </c>
      <c r="H139" s="10" t="str">
        <f aca="false">IF(ABS(G139)&lt;=0.000001,"PASS","FAIL")</f>
        <v>PASS</v>
      </c>
    </row>
    <row r="140" customFormat="false" ht="15" hidden="false" customHeight="false" outlineLevel="0" collapsed="false">
      <c r="A140" s="10" t="s">
        <v>1314</v>
      </c>
      <c r="B140" s="10" t="s">
        <v>1042</v>
      </c>
      <c r="C140" s="10" t="s">
        <v>1315</v>
      </c>
      <c r="D140" s="10" t="s">
        <v>213</v>
      </c>
      <c r="E140" s="13" t="n">
        <f aca="false">Historical_Drivers!L26</f>
        <v>1590515</v>
      </c>
      <c r="F140" s="34" t="n">
        <v>1590515</v>
      </c>
      <c r="G140" s="10" t="n">
        <f aca="false">E140-F140</f>
        <v>0</v>
      </c>
      <c r="H140" s="10" t="str">
        <f aca="false">IF(ABS(G140)&lt;=0.000001,"PASS","FAIL")</f>
        <v>PASS</v>
      </c>
    </row>
    <row r="141" customFormat="false" ht="15" hidden="false" customHeight="false" outlineLevel="0" collapsed="false">
      <c r="A141" s="10" t="s">
        <v>1316</v>
      </c>
      <c r="B141" s="10" t="s">
        <v>1042</v>
      </c>
      <c r="C141" s="10" t="s">
        <v>1317</v>
      </c>
      <c r="D141" s="10" t="s">
        <v>214</v>
      </c>
      <c r="E141" s="13" t="n">
        <f aca="false">Historical_Drivers!M26</f>
        <v>1527246</v>
      </c>
      <c r="F141" s="34" t="n">
        <v>1527246</v>
      </c>
      <c r="G141" s="10" t="n">
        <f aca="false">E141-F141</f>
        <v>0</v>
      </c>
      <c r="H141" s="10" t="str">
        <f aca="false">IF(ABS(G141)&lt;=0.000001,"PASS","FAIL")</f>
        <v>PASS</v>
      </c>
    </row>
    <row r="142" customFormat="false" ht="15" hidden="false" customHeight="false" outlineLevel="0" collapsed="false">
      <c r="A142" s="10" t="s">
        <v>1318</v>
      </c>
      <c r="B142" s="10" t="s">
        <v>1042</v>
      </c>
      <c r="C142" s="10" t="s">
        <v>1319</v>
      </c>
      <c r="D142" s="10" t="s">
        <v>215</v>
      </c>
      <c r="E142" s="13" t="n">
        <f aca="false">Historical_Drivers!N26</f>
        <v>1503149</v>
      </c>
      <c r="F142" s="34" t="n">
        <v>1503149</v>
      </c>
      <c r="G142" s="10" t="n">
        <f aca="false">E142-F142</f>
        <v>0</v>
      </c>
      <c r="H142" s="10" t="str">
        <f aca="false">IF(ABS(G142)&lt;=0.000001,"PASS","FAIL")</f>
        <v>PASS</v>
      </c>
    </row>
    <row r="143" customFormat="false" ht="15" hidden="false" customHeight="false" outlineLevel="0" collapsed="false">
      <c r="A143" s="10" t="s">
        <v>1320</v>
      </c>
      <c r="B143" s="10" t="s">
        <v>1042</v>
      </c>
      <c r="C143" s="10" t="s">
        <v>1321</v>
      </c>
      <c r="D143" s="10" t="s">
        <v>216</v>
      </c>
      <c r="E143" s="13" t="n">
        <f aca="false">Historical_Drivers!O26</f>
        <v>997135</v>
      </c>
      <c r="F143" s="34" t="n">
        <v>997135</v>
      </c>
      <c r="G143" s="10" t="n">
        <f aca="false">E143-F143</f>
        <v>0</v>
      </c>
      <c r="H143" s="10" t="str">
        <f aca="false">IF(ABS(G143)&lt;=0.000001,"PASS","FAIL")</f>
        <v>PASS</v>
      </c>
    </row>
    <row r="144" customFormat="false" ht="15" hidden="false" customHeight="false" outlineLevel="0" collapsed="false">
      <c r="A144" s="10" t="s">
        <v>1322</v>
      </c>
      <c r="B144" s="10" t="s">
        <v>1042</v>
      </c>
      <c r="C144" s="10" t="s">
        <v>1323</v>
      </c>
      <c r="D144" s="10" t="s">
        <v>217</v>
      </c>
      <c r="E144" s="13" t="n">
        <f aca="false">Historical_Drivers!P26</f>
        <v>853402</v>
      </c>
      <c r="F144" s="34" t="n">
        <v>853402</v>
      </c>
      <c r="G144" s="10" t="n">
        <f aca="false">E144-F144</f>
        <v>0</v>
      </c>
      <c r="H144" s="10" t="str">
        <f aca="false">IF(ABS(G144)&lt;=0.000001,"PASS","FAIL")</f>
        <v>PASS</v>
      </c>
    </row>
    <row r="145" customFormat="false" ht="15" hidden="false" customHeight="false" outlineLevel="0" collapsed="false">
      <c r="A145" s="10" t="s">
        <v>1324</v>
      </c>
      <c r="B145" s="10" t="s">
        <v>1042</v>
      </c>
      <c r="C145" s="10" t="s">
        <v>1325</v>
      </c>
      <c r="D145" s="10" t="s">
        <v>219</v>
      </c>
      <c r="E145" s="13" t="n">
        <f aca="false">Historical_Drivers!I28</f>
        <v>50667</v>
      </c>
      <c r="F145" s="34" t="n">
        <v>50667</v>
      </c>
      <c r="G145" s="10" t="n">
        <f aca="false">E145-F145</f>
        <v>0</v>
      </c>
      <c r="H145" s="10" t="str">
        <f aca="false">IF(ABS(G145)&lt;=0.000001,"PASS","FAIL")</f>
        <v>PASS</v>
      </c>
    </row>
    <row r="146" customFormat="false" ht="15" hidden="false" customHeight="false" outlineLevel="0" collapsed="false">
      <c r="A146" s="10" t="s">
        <v>1326</v>
      </c>
      <c r="B146" s="10" t="s">
        <v>1042</v>
      </c>
      <c r="C146" s="10" t="s">
        <v>1327</v>
      </c>
      <c r="D146" s="10" t="s">
        <v>220</v>
      </c>
      <c r="E146" s="13" t="n">
        <f aca="false">Historical_Drivers!J28</f>
        <v>50004</v>
      </c>
      <c r="F146" s="34" t="n">
        <v>50004</v>
      </c>
      <c r="G146" s="10" t="n">
        <f aca="false">E146-F146</f>
        <v>0</v>
      </c>
      <c r="H146" s="10" t="str">
        <f aca="false">IF(ABS(G146)&lt;=0.000001,"PASS","FAIL")</f>
        <v>PASS</v>
      </c>
    </row>
    <row r="147" customFormat="false" ht="15" hidden="false" customHeight="false" outlineLevel="0" collapsed="false">
      <c r="A147" s="10" t="s">
        <v>1328</v>
      </c>
      <c r="B147" s="10" t="s">
        <v>1042</v>
      </c>
      <c r="C147" s="10" t="s">
        <v>1329</v>
      </c>
      <c r="D147" s="10" t="s">
        <v>221</v>
      </c>
      <c r="E147" s="13" t="n">
        <f aca="false">Historical_Drivers!K28</f>
        <v>60730</v>
      </c>
      <c r="F147" s="34" t="n">
        <v>60730</v>
      </c>
      <c r="G147" s="10" t="n">
        <f aca="false">E147-F147</f>
        <v>0</v>
      </c>
      <c r="H147" s="10" t="str">
        <f aca="false">IF(ABS(G147)&lt;=0.000001,"PASS","FAIL")</f>
        <v>PASS</v>
      </c>
    </row>
    <row r="148" customFormat="false" ht="15" hidden="false" customHeight="false" outlineLevel="0" collapsed="false">
      <c r="A148" s="10" t="s">
        <v>1330</v>
      </c>
      <c r="B148" s="10" t="s">
        <v>1042</v>
      </c>
      <c r="C148" s="10" t="s">
        <v>1331</v>
      </c>
      <c r="D148" s="10" t="s">
        <v>222</v>
      </c>
      <c r="E148" s="13" t="n">
        <f aca="false">Historical_Drivers!L28</f>
        <v>60102</v>
      </c>
      <c r="F148" s="34" t="n">
        <v>60102</v>
      </c>
      <c r="G148" s="10" t="n">
        <f aca="false">E148-F148</f>
        <v>0</v>
      </c>
      <c r="H148" s="10" t="str">
        <f aca="false">IF(ABS(G148)&lt;=0.000001,"PASS","FAIL")</f>
        <v>PASS</v>
      </c>
    </row>
    <row r="149" customFormat="false" ht="15" hidden="false" customHeight="false" outlineLevel="0" collapsed="false">
      <c r="A149" s="10" t="s">
        <v>1332</v>
      </c>
      <c r="B149" s="10" t="s">
        <v>1042</v>
      </c>
      <c r="C149" s="10" t="s">
        <v>1333</v>
      </c>
      <c r="D149" s="10" t="s">
        <v>223</v>
      </c>
      <c r="E149" s="13" t="n">
        <f aca="false">Historical_Drivers!M28</f>
        <v>211740</v>
      </c>
      <c r="F149" s="34" t="n">
        <v>211740</v>
      </c>
      <c r="G149" s="10" t="n">
        <f aca="false">E149-F149</f>
        <v>0</v>
      </c>
      <c r="H149" s="10" t="str">
        <f aca="false">IF(ABS(G149)&lt;=0.000001,"PASS","FAIL")</f>
        <v>PASS</v>
      </c>
    </row>
    <row r="150" customFormat="false" ht="15" hidden="false" customHeight="false" outlineLevel="0" collapsed="false">
      <c r="A150" s="10" t="s">
        <v>1334</v>
      </c>
      <c r="B150" s="10" t="s">
        <v>1042</v>
      </c>
      <c r="C150" s="10" t="s">
        <v>1335</v>
      </c>
      <c r="D150" s="10" t="s">
        <v>224</v>
      </c>
      <c r="E150" s="13" t="n">
        <f aca="false">Historical_Drivers!N28</f>
        <v>162308</v>
      </c>
      <c r="F150" s="34" t="n">
        <v>162308</v>
      </c>
      <c r="G150" s="10" t="n">
        <f aca="false">E150-F150</f>
        <v>0</v>
      </c>
      <c r="H150" s="10" t="str">
        <f aca="false">IF(ABS(G150)&lt;=0.000001,"PASS","FAIL")</f>
        <v>PASS</v>
      </c>
    </row>
    <row r="151" customFormat="false" ht="15" hidden="false" customHeight="false" outlineLevel="0" collapsed="false">
      <c r="A151" s="10" t="s">
        <v>1336</v>
      </c>
      <c r="B151" s="10" t="s">
        <v>1042</v>
      </c>
      <c r="C151" s="10" t="s">
        <v>1337</v>
      </c>
      <c r="D151" s="10" t="s">
        <v>225</v>
      </c>
      <c r="E151" s="13" t="n">
        <f aca="false">Historical_Drivers!O28</f>
        <v>215141</v>
      </c>
      <c r="F151" s="34" t="n">
        <v>215141</v>
      </c>
      <c r="G151" s="10" t="n">
        <f aca="false">E151-F151</f>
        <v>0</v>
      </c>
      <c r="H151" s="10" t="str">
        <f aca="false">IF(ABS(G151)&lt;=0.000001,"PASS","FAIL")</f>
        <v>PASS</v>
      </c>
    </row>
    <row r="152" customFormat="false" ht="15" hidden="false" customHeight="false" outlineLevel="0" collapsed="false">
      <c r="A152" s="10" t="s">
        <v>1338</v>
      </c>
      <c r="B152" s="10" t="s">
        <v>1042</v>
      </c>
      <c r="C152" s="10" t="s">
        <v>1339</v>
      </c>
      <c r="D152" s="10" t="s">
        <v>226</v>
      </c>
      <c r="E152" s="13" t="n">
        <f aca="false">Historical_Drivers!P28</f>
        <v>219353</v>
      </c>
      <c r="F152" s="34" t="n">
        <v>219353</v>
      </c>
      <c r="G152" s="10" t="n">
        <f aca="false">E152-F152</f>
        <v>0</v>
      </c>
      <c r="H152" s="10" t="str">
        <f aca="false">IF(ABS(G152)&lt;=0.000001,"PASS","FAIL")</f>
        <v>PASS</v>
      </c>
    </row>
    <row r="153" customFormat="false" ht="15" hidden="false" customHeight="false" outlineLevel="0" collapsed="false">
      <c r="A153" s="10" t="s">
        <v>1340</v>
      </c>
      <c r="B153" s="10" t="s">
        <v>1042</v>
      </c>
      <c r="C153" s="10" t="s">
        <v>1341</v>
      </c>
      <c r="D153" s="10" t="s">
        <v>228</v>
      </c>
      <c r="E153" s="12" t="n">
        <f aca="false">Historical_Drivers!F30</f>
        <v>1.1</v>
      </c>
      <c r="F153" s="34" t="n">
        <v>1.1</v>
      </c>
      <c r="G153" s="35" t="n">
        <f aca="false">E153-F153</f>
        <v>0</v>
      </c>
      <c r="H153" s="10" t="str">
        <f aca="false">IF(ABS(G153)&lt;=0.000001,"PASS","FAIL")</f>
        <v>PASS</v>
      </c>
    </row>
    <row r="154" customFormat="false" ht="15" hidden="false" customHeight="false" outlineLevel="0" collapsed="false">
      <c r="A154" s="10" t="s">
        <v>1342</v>
      </c>
      <c r="B154" s="10" t="s">
        <v>1042</v>
      </c>
      <c r="C154" s="10" t="s">
        <v>1343</v>
      </c>
      <c r="D154" s="10" t="s">
        <v>229</v>
      </c>
      <c r="E154" s="12" t="n">
        <f aca="false">Historical_Drivers!G30</f>
        <v>1.1</v>
      </c>
      <c r="F154" s="34" t="n">
        <v>1.1</v>
      </c>
      <c r="G154" s="35" t="n">
        <f aca="false">E154-F154</f>
        <v>0</v>
      </c>
      <c r="H154" s="10" t="str">
        <f aca="false">IF(ABS(G154)&lt;=0.000001,"PASS","FAIL")</f>
        <v>PASS</v>
      </c>
    </row>
    <row r="155" customFormat="false" ht="15" hidden="false" customHeight="false" outlineLevel="0" collapsed="false">
      <c r="A155" s="10" t="s">
        <v>1344</v>
      </c>
      <c r="B155" s="10" t="s">
        <v>1042</v>
      </c>
      <c r="C155" s="10" t="s">
        <v>1345</v>
      </c>
      <c r="D155" s="10" t="s">
        <v>230</v>
      </c>
      <c r="E155" s="12" t="n">
        <f aca="false">Historical_Drivers!H30</f>
        <v>1.1</v>
      </c>
      <c r="F155" s="34" t="n">
        <v>1.1</v>
      </c>
      <c r="G155" s="35" t="n">
        <f aca="false">E155-F155</f>
        <v>0</v>
      </c>
      <c r="H155" s="10" t="str">
        <f aca="false">IF(ABS(G155)&lt;=0.000001,"PASS","FAIL")</f>
        <v>PASS</v>
      </c>
    </row>
    <row r="156" customFormat="false" ht="15" hidden="false" customHeight="false" outlineLevel="0" collapsed="false">
      <c r="A156" s="10" t="s">
        <v>1346</v>
      </c>
      <c r="B156" s="10" t="s">
        <v>1042</v>
      </c>
      <c r="C156" s="10" t="s">
        <v>1347</v>
      </c>
      <c r="D156" s="10" t="s">
        <v>231</v>
      </c>
      <c r="E156" s="12" t="n">
        <f aca="false">Historical_Drivers!I30</f>
        <v>1.11</v>
      </c>
      <c r="F156" s="34" t="n">
        <v>1.11</v>
      </c>
      <c r="G156" s="35" t="n">
        <f aca="false">E156-F156</f>
        <v>0</v>
      </c>
      <c r="H156" s="10" t="str">
        <f aca="false">IF(ABS(G156)&lt;=0.000001,"PASS","FAIL")</f>
        <v>PASS</v>
      </c>
    </row>
    <row r="157" customFormat="false" ht="15" hidden="false" customHeight="false" outlineLevel="0" collapsed="false">
      <c r="A157" s="10" t="s">
        <v>1348</v>
      </c>
      <c r="B157" s="10" t="s">
        <v>1042</v>
      </c>
      <c r="C157" s="10" t="s">
        <v>1349</v>
      </c>
      <c r="D157" s="10" t="s">
        <v>232</v>
      </c>
      <c r="E157" s="12" t="n">
        <f aca="false">Historical_Drivers!J30</f>
        <v>1.12</v>
      </c>
      <c r="F157" s="34" t="n">
        <v>1.12</v>
      </c>
      <c r="G157" s="35" t="n">
        <f aca="false">E157-F157</f>
        <v>0</v>
      </c>
      <c r="H157" s="10" t="str">
        <f aca="false">IF(ABS(G157)&lt;=0.000001,"PASS","FAIL")</f>
        <v>PASS</v>
      </c>
    </row>
    <row r="158" customFormat="false" ht="15" hidden="false" customHeight="false" outlineLevel="0" collapsed="false">
      <c r="A158" s="10" t="s">
        <v>1350</v>
      </c>
      <c r="B158" s="10" t="s">
        <v>1042</v>
      </c>
      <c r="C158" s="10" t="s">
        <v>1351</v>
      </c>
      <c r="D158" s="10" t="s">
        <v>233</v>
      </c>
      <c r="E158" s="12" t="n">
        <f aca="false">Historical_Drivers!K30</f>
        <v>1.12</v>
      </c>
      <c r="F158" s="34" t="n">
        <v>1.12</v>
      </c>
      <c r="G158" s="35" t="n">
        <f aca="false">E158-F158</f>
        <v>0</v>
      </c>
      <c r="H158" s="10" t="str">
        <f aca="false">IF(ABS(G158)&lt;=0.000001,"PASS","FAIL")</f>
        <v>PASS</v>
      </c>
    </row>
    <row r="159" customFormat="false" ht="15" hidden="false" customHeight="false" outlineLevel="0" collapsed="false">
      <c r="A159" s="10" t="s">
        <v>1352</v>
      </c>
      <c r="B159" s="10" t="s">
        <v>1042</v>
      </c>
      <c r="C159" s="10" t="s">
        <v>1353</v>
      </c>
      <c r="D159" s="10" t="s">
        <v>234</v>
      </c>
      <c r="E159" s="12" t="n">
        <f aca="false">Historical_Drivers!L30</f>
        <v>1.11</v>
      </c>
      <c r="F159" s="34" t="n">
        <v>1.11</v>
      </c>
      <c r="G159" s="35" t="n">
        <f aca="false">E159-F159</f>
        <v>0</v>
      </c>
      <c r="H159" s="10" t="str">
        <f aca="false">IF(ABS(G159)&lt;=0.000001,"PASS","FAIL")</f>
        <v>PASS</v>
      </c>
    </row>
    <row r="160" customFormat="false" ht="15" hidden="false" customHeight="false" outlineLevel="0" collapsed="false">
      <c r="A160" s="10" t="s">
        <v>1354</v>
      </c>
      <c r="B160" s="10" t="s">
        <v>1042</v>
      </c>
      <c r="C160" s="10" t="s">
        <v>1355</v>
      </c>
      <c r="D160" s="10" t="s">
        <v>235</v>
      </c>
      <c r="E160" s="12" t="n">
        <f aca="false">Historical_Drivers!M30</f>
        <v>1.11</v>
      </c>
      <c r="F160" s="34" t="n">
        <v>1.11</v>
      </c>
      <c r="G160" s="35" t="n">
        <f aca="false">E160-F160</f>
        <v>0</v>
      </c>
      <c r="H160" s="10" t="str">
        <f aca="false">IF(ABS(G160)&lt;=0.000001,"PASS","FAIL")</f>
        <v>PASS</v>
      </c>
    </row>
    <row r="161" customFormat="false" ht="15" hidden="false" customHeight="false" outlineLevel="0" collapsed="false">
      <c r="A161" s="10" t="s">
        <v>1356</v>
      </c>
      <c r="B161" s="10" t="s">
        <v>1042</v>
      </c>
      <c r="C161" s="10" t="s">
        <v>1357</v>
      </c>
      <c r="D161" s="10" t="s">
        <v>236</v>
      </c>
      <c r="E161" s="12" t="n">
        <f aca="false">Historical_Drivers!N30</f>
        <v>1.1</v>
      </c>
      <c r="F161" s="34" t="n">
        <v>1.1</v>
      </c>
      <c r="G161" s="35" t="n">
        <f aca="false">E161-F161</f>
        <v>0</v>
      </c>
      <c r="H161" s="10" t="str">
        <f aca="false">IF(ABS(G161)&lt;=0.000001,"PASS","FAIL")</f>
        <v>PASS</v>
      </c>
    </row>
    <row r="162" customFormat="false" ht="15" hidden="false" customHeight="false" outlineLevel="0" collapsed="false">
      <c r="A162" s="10" t="s">
        <v>1358</v>
      </c>
      <c r="B162" s="10" t="s">
        <v>1042</v>
      </c>
      <c r="C162" s="10" t="s">
        <v>1359</v>
      </c>
      <c r="D162" s="10" t="s">
        <v>237</v>
      </c>
      <c r="E162" s="12" t="n">
        <f aca="false">Historical_Drivers!O30</f>
        <v>1.1</v>
      </c>
      <c r="F162" s="34" t="n">
        <v>1.1</v>
      </c>
      <c r="G162" s="35" t="n">
        <f aca="false">E162-F162</f>
        <v>0</v>
      </c>
      <c r="H162" s="10" t="str">
        <f aca="false">IF(ABS(G162)&lt;=0.000001,"PASS","FAIL")</f>
        <v>PASS</v>
      </c>
    </row>
    <row r="163" customFormat="false" ht="15" hidden="false" customHeight="false" outlineLevel="0" collapsed="false">
      <c r="A163" s="10" t="s">
        <v>1360</v>
      </c>
      <c r="B163" s="10" t="s">
        <v>1042</v>
      </c>
      <c r="C163" s="10" t="s">
        <v>1361</v>
      </c>
      <c r="D163" s="10" t="s">
        <v>238</v>
      </c>
      <c r="E163" s="12" t="n">
        <f aca="false">Historical_Drivers!P30</f>
        <v>1.09</v>
      </c>
      <c r="F163" s="34" t="n">
        <v>1.09</v>
      </c>
      <c r="G163" s="35" t="n">
        <f aca="false">E163-F163</f>
        <v>0</v>
      </c>
      <c r="H163" s="10" t="str">
        <f aca="false">IF(ABS(G163)&lt;=0.000001,"PASS","FAIL")</f>
        <v>PASS</v>
      </c>
    </row>
    <row r="164" customFormat="false" ht="15" hidden="false" customHeight="false" outlineLevel="0" collapsed="false">
      <c r="A164" s="10" t="s">
        <v>1362</v>
      </c>
      <c r="B164" s="10" t="s">
        <v>1042</v>
      </c>
      <c r="C164" s="10" t="s">
        <v>1363</v>
      </c>
      <c r="D164" s="10" t="s">
        <v>240</v>
      </c>
      <c r="E164" s="29" t="n">
        <f aca="false">Historical_Drivers!C32</f>
        <v>1683</v>
      </c>
      <c r="F164" s="34" t="n">
        <v>1683</v>
      </c>
      <c r="G164" s="10" t="n">
        <f aca="false">E164-F164</f>
        <v>0</v>
      </c>
      <c r="H164" s="10" t="str">
        <f aca="false">IF(ABS(G164)&lt;=0.000001,"PASS","FAIL")</f>
        <v>PASS</v>
      </c>
    </row>
    <row r="165" customFormat="false" ht="15" hidden="false" customHeight="false" outlineLevel="0" collapsed="false">
      <c r="A165" s="10" t="s">
        <v>1364</v>
      </c>
      <c r="B165" s="10" t="s">
        <v>1042</v>
      </c>
      <c r="C165" s="10" t="s">
        <v>1365</v>
      </c>
      <c r="D165" s="10" t="s">
        <v>241</v>
      </c>
      <c r="E165" s="29" t="n">
        <f aca="false">Historical_Drivers!D32</f>
        <v>1892</v>
      </c>
      <c r="F165" s="34" t="n">
        <v>1892</v>
      </c>
      <c r="G165" s="10" t="n">
        <f aca="false">E165-F165</f>
        <v>0</v>
      </c>
      <c r="H165" s="10" t="str">
        <f aca="false">IF(ABS(G165)&lt;=0.000001,"PASS","FAIL")</f>
        <v>PASS</v>
      </c>
    </row>
    <row r="166" customFormat="false" ht="15" hidden="false" customHeight="false" outlineLevel="0" collapsed="false">
      <c r="A166" s="10" t="s">
        <v>1366</v>
      </c>
      <c r="B166" s="10" t="s">
        <v>1042</v>
      </c>
      <c r="C166" s="10" t="s">
        <v>1367</v>
      </c>
      <c r="D166" s="10" t="s">
        <v>242</v>
      </c>
      <c r="E166" s="29" t="n">
        <f aca="false">Historical_Drivers!E32</f>
        <v>2077</v>
      </c>
      <c r="F166" s="34" t="n">
        <v>2077</v>
      </c>
      <c r="G166" s="10" t="n">
        <f aca="false">E166-F166</f>
        <v>0</v>
      </c>
      <c r="H166" s="10" t="str">
        <f aca="false">IF(ABS(G166)&lt;=0.000001,"PASS","FAIL")</f>
        <v>PASS</v>
      </c>
    </row>
    <row r="167" customFormat="false" ht="15" hidden="false" customHeight="false" outlineLevel="0" collapsed="false">
      <c r="A167" s="10" t="s">
        <v>1368</v>
      </c>
      <c r="B167" s="10" t="s">
        <v>1042</v>
      </c>
      <c r="C167" s="10" t="s">
        <v>1369</v>
      </c>
      <c r="D167" s="10" t="s">
        <v>243</v>
      </c>
      <c r="E167" s="29" t="n">
        <f aca="false">Historical_Drivers!F32</f>
        <v>2295</v>
      </c>
      <c r="F167" s="34" t="n">
        <v>2295</v>
      </c>
      <c r="G167" s="10" t="n">
        <f aca="false">E167-F167</f>
        <v>0</v>
      </c>
      <c r="H167" s="10" t="str">
        <f aca="false">IF(ABS(G167)&lt;=0.000001,"PASS","FAIL")</f>
        <v>PASS</v>
      </c>
    </row>
    <row r="168" customFormat="false" ht="15" hidden="false" customHeight="false" outlineLevel="0" collapsed="false">
      <c r="A168" s="10" t="s">
        <v>1370</v>
      </c>
      <c r="B168" s="10" t="s">
        <v>1042</v>
      </c>
      <c r="C168" s="10" t="s">
        <v>1371</v>
      </c>
      <c r="D168" s="10" t="s">
        <v>244</v>
      </c>
      <c r="E168" s="29" t="n">
        <f aca="false">Historical_Drivers!G32</f>
        <v>2491</v>
      </c>
      <c r="F168" s="34" t="n">
        <v>2491</v>
      </c>
      <c r="G168" s="10" t="n">
        <f aca="false">E168-F168</f>
        <v>0</v>
      </c>
      <c r="H168" s="10" t="str">
        <f aca="false">IF(ABS(G168)&lt;=0.000001,"PASS","FAIL")</f>
        <v>PASS</v>
      </c>
    </row>
    <row r="169" customFormat="false" ht="15" hidden="false" customHeight="false" outlineLevel="0" collapsed="false">
      <c r="A169" s="10" t="s">
        <v>1372</v>
      </c>
      <c r="B169" s="10" t="s">
        <v>1042</v>
      </c>
      <c r="C169" s="10" t="s">
        <v>1373</v>
      </c>
      <c r="D169" s="10" t="s">
        <v>245</v>
      </c>
      <c r="E169" s="29" t="n">
        <f aca="false">Historical_Drivers!H32</f>
        <v>2713</v>
      </c>
      <c r="F169" s="34" t="n">
        <v>2713</v>
      </c>
      <c r="G169" s="10" t="n">
        <f aca="false">E169-F169</f>
        <v>0</v>
      </c>
      <c r="H169" s="10" t="str">
        <f aca="false">IF(ABS(G169)&lt;=0.000001,"PASS","FAIL")</f>
        <v>PASS</v>
      </c>
    </row>
    <row r="170" customFormat="false" ht="15" hidden="false" customHeight="false" outlineLevel="0" collapsed="false">
      <c r="A170" s="10" t="s">
        <v>1374</v>
      </c>
      <c r="B170" s="10" t="s">
        <v>1042</v>
      </c>
      <c r="C170" s="10" t="s">
        <v>1375</v>
      </c>
      <c r="D170" s="10" t="s">
        <v>246</v>
      </c>
      <c r="E170" s="29" t="n">
        <f aca="false">Historical_Drivers!I32</f>
        <v>2907</v>
      </c>
      <c r="F170" s="34" t="n">
        <v>2907</v>
      </c>
      <c r="G170" s="10" t="n">
        <f aca="false">E170-F170</f>
        <v>0</v>
      </c>
      <c r="H170" s="10" t="str">
        <f aca="false">IF(ABS(G170)&lt;=0.000001,"PASS","FAIL")</f>
        <v>PASS</v>
      </c>
    </row>
    <row r="171" customFormat="false" ht="15" hidden="false" customHeight="false" outlineLevel="0" collapsed="false">
      <c r="A171" s="10" t="s">
        <v>1376</v>
      </c>
      <c r="B171" s="10" t="s">
        <v>1042</v>
      </c>
      <c r="C171" s="10" t="s">
        <v>1377</v>
      </c>
      <c r="D171" s="10" t="s">
        <v>247</v>
      </c>
      <c r="E171" s="29" t="n">
        <f aca="false">Historical_Drivers!J32</f>
        <v>3201</v>
      </c>
      <c r="F171" s="34" t="n">
        <v>3201</v>
      </c>
      <c r="G171" s="10" t="n">
        <f aca="false">E171-F171</f>
        <v>0</v>
      </c>
      <c r="H171" s="10" t="str">
        <f aca="false">IF(ABS(G171)&lt;=0.000001,"PASS","FAIL")</f>
        <v>PASS</v>
      </c>
    </row>
    <row r="172" customFormat="false" ht="15" hidden="false" customHeight="false" outlineLevel="0" collapsed="false">
      <c r="A172" s="10" t="s">
        <v>1378</v>
      </c>
      <c r="B172" s="10" t="s">
        <v>1042</v>
      </c>
      <c r="C172" s="10" t="s">
        <v>1379</v>
      </c>
      <c r="D172" s="10" t="s">
        <v>248</v>
      </c>
      <c r="E172" s="29" t="n">
        <f aca="false">Historical_Drivers!K32</f>
        <v>3444</v>
      </c>
      <c r="F172" s="34" t="n">
        <v>3444</v>
      </c>
      <c r="G172" s="10" t="n">
        <f aca="false">E172-F172</f>
        <v>0</v>
      </c>
      <c r="H172" s="10" t="str">
        <f aca="false">IF(ABS(G172)&lt;=0.000001,"PASS","FAIL")</f>
        <v>PASS</v>
      </c>
    </row>
    <row r="173" customFormat="false" ht="15" hidden="false" customHeight="false" outlineLevel="0" collapsed="false">
      <c r="A173" s="10" t="s">
        <v>1380</v>
      </c>
      <c r="B173" s="10" t="s">
        <v>1042</v>
      </c>
      <c r="C173" s="10" t="s">
        <v>1381</v>
      </c>
      <c r="D173" s="10" t="s">
        <v>249</v>
      </c>
      <c r="E173" s="29" t="n">
        <f aca="false">Historical_Drivers!L32</f>
        <v>3702</v>
      </c>
      <c r="F173" s="34" t="n">
        <v>3702</v>
      </c>
      <c r="G173" s="10" t="n">
        <f aca="false">E173-F173</f>
        <v>0</v>
      </c>
      <c r="H173" s="10" t="str">
        <f aca="false">IF(ABS(G173)&lt;=0.000001,"PASS","FAIL")</f>
        <v>PASS</v>
      </c>
    </row>
    <row r="174" customFormat="false" ht="15" hidden="false" customHeight="false" outlineLevel="0" collapsed="false">
      <c r="A174" s="10" t="s">
        <v>1382</v>
      </c>
      <c r="B174" s="10" t="s">
        <v>1042</v>
      </c>
      <c r="C174" s="10" t="s">
        <v>1383</v>
      </c>
      <c r="D174" s="10" t="s">
        <v>250</v>
      </c>
      <c r="E174" s="29" t="n">
        <f aca="false">Historical_Drivers!M32</f>
        <v>3993</v>
      </c>
      <c r="F174" s="34" t="n">
        <v>3993</v>
      </c>
      <c r="G174" s="10" t="n">
        <f aca="false">E174-F174</f>
        <v>0</v>
      </c>
      <c r="H174" s="10" t="str">
        <f aca="false">IF(ABS(G174)&lt;=0.000001,"PASS","FAIL")</f>
        <v>PASS</v>
      </c>
    </row>
    <row r="175" customFormat="false" ht="15" hidden="false" customHeight="false" outlineLevel="0" collapsed="false">
      <c r="A175" s="10" t="s">
        <v>1384</v>
      </c>
      <c r="B175" s="10" t="s">
        <v>1042</v>
      </c>
      <c r="C175" s="10" t="s">
        <v>1385</v>
      </c>
      <c r="D175" s="10" t="s">
        <v>251</v>
      </c>
      <c r="E175" s="29" t="n">
        <f aca="false">Historical_Drivers!N32</f>
        <v>4281</v>
      </c>
      <c r="F175" s="34" t="n">
        <v>4281</v>
      </c>
      <c r="G175" s="10" t="n">
        <f aca="false">E175-F175</f>
        <v>0</v>
      </c>
      <c r="H175" s="10" t="str">
        <f aca="false">IF(ABS(G175)&lt;=0.000001,"PASS","FAIL")</f>
        <v>PASS</v>
      </c>
    </row>
    <row r="176" customFormat="false" ht="15" hidden="false" customHeight="false" outlineLevel="0" collapsed="false">
      <c r="A176" s="10" t="s">
        <v>1386</v>
      </c>
      <c r="B176" s="10" t="s">
        <v>1042</v>
      </c>
      <c r="C176" s="10" t="s">
        <v>1387</v>
      </c>
      <c r="D176" s="10" t="s">
        <v>252</v>
      </c>
      <c r="E176" s="29" t="n">
        <f aca="false">Historical_Drivers!O32</f>
        <v>4547</v>
      </c>
      <c r="F176" s="34" t="n">
        <v>4547</v>
      </c>
      <c r="G176" s="10" t="n">
        <f aca="false">E176-F176</f>
        <v>0</v>
      </c>
      <c r="H176" s="10" t="str">
        <f aca="false">IF(ABS(G176)&lt;=0.000001,"PASS","FAIL")</f>
        <v>PASS</v>
      </c>
    </row>
    <row r="177" customFormat="false" ht="15" hidden="false" customHeight="false" outlineLevel="0" collapsed="false">
      <c r="A177" s="10" t="s">
        <v>1388</v>
      </c>
      <c r="B177" s="10" t="s">
        <v>1042</v>
      </c>
      <c r="C177" s="10" t="s">
        <v>1389</v>
      </c>
      <c r="D177" s="10" t="s">
        <v>253</v>
      </c>
      <c r="E177" s="29" t="n">
        <f aca="false">Historical_Drivers!P32</f>
        <v>4834</v>
      </c>
      <c r="F177" s="34" t="n">
        <v>4834</v>
      </c>
      <c r="G177" s="10" t="n">
        <f aca="false">E177-F177</f>
        <v>0</v>
      </c>
      <c r="H177" s="10" t="str">
        <f aca="false">IF(ABS(G177)&lt;=0.000001,"PASS","FAIL")</f>
        <v>PASS</v>
      </c>
    </row>
    <row r="178" customFormat="false" ht="15" hidden="false" customHeight="false" outlineLevel="0" collapsed="false">
      <c r="A178" s="10" t="s">
        <v>1390</v>
      </c>
      <c r="B178" s="10" t="s">
        <v>1391</v>
      </c>
      <c r="C178" s="10" t="s">
        <v>1392</v>
      </c>
      <c r="D178" s="10" t="s">
        <v>265</v>
      </c>
      <c r="E178" s="17" t="n">
        <f aca="false">Historical_Drivers!C42</f>
        <v>280</v>
      </c>
      <c r="F178" s="34" t="n">
        <v>280</v>
      </c>
      <c r="G178" s="10" t="n">
        <f aca="false">E178-F178</f>
        <v>0</v>
      </c>
      <c r="H178" s="10" t="str">
        <f aca="false">IF(ABS(G178)&lt;=0.000001,"PASS","FAIL")</f>
        <v>PASS</v>
      </c>
    </row>
    <row r="179" customFormat="false" ht="15" hidden="false" customHeight="false" outlineLevel="0" collapsed="false">
      <c r="A179" s="10" t="s">
        <v>1393</v>
      </c>
      <c r="B179" s="10" t="s">
        <v>1391</v>
      </c>
      <c r="C179" s="10" t="s">
        <v>1394</v>
      </c>
      <c r="D179" s="10" t="s">
        <v>268</v>
      </c>
      <c r="E179" s="17" t="n">
        <f aca="false">Historical_Drivers!C43</f>
        <v>290</v>
      </c>
      <c r="F179" s="34" t="n">
        <v>290</v>
      </c>
      <c r="G179" s="10" t="n">
        <f aca="false">E179-F179</f>
        <v>0</v>
      </c>
      <c r="H179" s="10" t="str">
        <f aca="false">IF(ABS(G179)&lt;=0.000001,"PASS","FAIL")</f>
        <v>PASS</v>
      </c>
    </row>
    <row r="180" customFormat="false" ht="15" hidden="false" customHeight="false" outlineLevel="0" collapsed="false">
      <c r="A180" s="10" t="s">
        <v>1395</v>
      </c>
      <c r="B180" s="10" t="s">
        <v>1391</v>
      </c>
      <c r="C180" s="10" t="s">
        <v>1396</v>
      </c>
      <c r="D180" s="10" t="s">
        <v>270</v>
      </c>
      <c r="E180" s="17" t="n">
        <f aca="false">Historical_Drivers!C44</f>
        <v>230</v>
      </c>
      <c r="F180" s="34" t="n">
        <v>230</v>
      </c>
      <c r="G180" s="10" t="n">
        <f aca="false">E180-F180</f>
        <v>0</v>
      </c>
      <c r="H180" s="10" t="str">
        <f aca="false">IF(ABS(G180)&lt;=0.000001,"PASS","FAIL")</f>
        <v>PASS</v>
      </c>
    </row>
    <row r="181" customFormat="false" ht="15" hidden="false" customHeight="false" outlineLevel="0" collapsed="false">
      <c r="A181" s="10" t="s">
        <v>1397</v>
      </c>
      <c r="B181" s="10" t="s">
        <v>1391</v>
      </c>
      <c r="C181" s="10" t="s">
        <v>1398</v>
      </c>
      <c r="D181" s="10" t="s">
        <v>272</v>
      </c>
      <c r="E181" s="17" t="n">
        <f aca="false">Historical_Drivers!C45</f>
        <v>234</v>
      </c>
      <c r="F181" s="34" t="n">
        <v>234</v>
      </c>
      <c r="G181" s="10" t="n">
        <f aca="false">E181-F181</f>
        <v>0</v>
      </c>
      <c r="H181" s="10" t="str">
        <f aca="false">IF(ABS(G181)&lt;=0.000001,"PASS","FAIL")</f>
        <v>PASS</v>
      </c>
    </row>
    <row r="182" customFormat="false" ht="15" hidden="false" customHeight="false" outlineLevel="0" collapsed="false">
      <c r="A182" s="10" t="s">
        <v>1399</v>
      </c>
      <c r="B182" s="10" t="s">
        <v>1391</v>
      </c>
      <c r="C182" s="10" t="s">
        <v>1400</v>
      </c>
      <c r="D182" s="10" t="s">
        <v>274</v>
      </c>
      <c r="E182" s="17" t="n">
        <f aca="false">Historical_Drivers!C46</f>
        <v>1466</v>
      </c>
      <c r="F182" s="34" t="n">
        <v>1466</v>
      </c>
      <c r="G182" s="10" t="n">
        <f aca="false">E182-F182</f>
        <v>0</v>
      </c>
      <c r="H182" s="10" t="str">
        <f aca="false">IF(ABS(G182)&lt;=0.000001,"PASS","FAIL")</f>
        <v>PASS</v>
      </c>
    </row>
    <row r="183" customFormat="false" ht="15" hidden="false" customHeight="false" outlineLevel="0" collapsed="false">
      <c r="A183" s="10" t="s">
        <v>1401</v>
      </c>
      <c r="B183" s="10" t="s">
        <v>1391</v>
      </c>
      <c r="C183" s="10" t="s">
        <v>1402</v>
      </c>
      <c r="D183" s="10" t="s">
        <v>276</v>
      </c>
      <c r="E183" s="17" t="n">
        <f aca="false">Historical_Drivers!C47</f>
        <v>1474</v>
      </c>
      <c r="F183" s="34" t="n">
        <v>1474</v>
      </c>
      <c r="G183" s="10" t="n">
        <f aca="false">E183-F183</f>
        <v>0</v>
      </c>
      <c r="H183" s="10" t="str">
        <f aca="false">IF(ABS(G183)&lt;=0.000001,"PASS","FAIL")</f>
        <v>PASS</v>
      </c>
    </row>
    <row r="184" customFormat="false" ht="15" hidden="false" customHeight="false" outlineLevel="0" collapsed="false">
      <c r="A184" s="10" t="s">
        <v>1403</v>
      </c>
      <c r="B184" s="10" t="s">
        <v>1391</v>
      </c>
      <c r="C184" s="10" t="s">
        <v>1404</v>
      </c>
      <c r="D184" s="10" t="s">
        <v>278</v>
      </c>
      <c r="E184" s="17" t="n">
        <f aca="false">Historical_Drivers!C48</f>
        <v>57</v>
      </c>
      <c r="F184" s="34" t="n">
        <v>57</v>
      </c>
      <c r="G184" s="10" t="n">
        <f aca="false">E184-F184</f>
        <v>0</v>
      </c>
      <c r="H184" s="10" t="str">
        <f aca="false">IF(ABS(G184)&lt;=0.000001,"PASS","FAIL")</f>
        <v>PASS</v>
      </c>
    </row>
    <row r="185" customFormat="false" ht="15" hidden="false" customHeight="false" outlineLevel="0" collapsed="false">
      <c r="A185" s="10" t="s">
        <v>1405</v>
      </c>
      <c r="B185" s="10" t="s">
        <v>1391</v>
      </c>
      <c r="C185" s="10" t="s">
        <v>1406</v>
      </c>
      <c r="D185" s="10" t="s">
        <v>280</v>
      </c>
      <c r="E185" s="17" t="n">
        <f aca="false">Historical_Drivers!C49</f>
        <v>59</v>
      </c>
      <c r="F185" s="34" t="n">
        <v>59</v>
      </c>
      <c r="G185" s="10" t="n">
        <f aca="false">E185-F185</f>
        <v>0</v>
      </c>
      <c r="H185" s="10" t="str">
        <f aca="false">IF(ABS(G185)&lt;=0.000001,"PASS","FAIL")</f>
        <v>PASS</v>
      </c>
    </row>
    <row r="186" customFormat="false" ht="15" hidden="false" customHeight="false" outlineLevel="0" collapsed="false">
      <c r="A186" s="10" t="s">
        <v>1407</v>
      </c>
      <c r="B186" s="10" t="s">
        <v>1391</v>
      </c>
      <c r="C186" s="10" t="s">
        <v>1408</v>
      </c>
      <c r="D186" s="10" t="s">
        <v>282</v>
      </c>
      <c r="E186" s="17" t="n">
        <f aca="false">Historical_Drivers!C50</f>
        <v>368</v>
      </c>
      <c r="F186" s="34" t="n">
        <v>368</v>
      </c>
      <c r="G186" s="10" t="n">
        <f aca="false">E186-F186</f>
        <v>0</v>
      </c>
      <c r="H186" s="10" t="str">
        <f aca="false">IF(ABS(G186)&lt;=0.000001,"PASS","FAIL")</f>
        <v>PASS</v>
      </c>
    </row>
    <row r="187" customFormat="false" ht="15" hidden="false" customHeight="false" outlineLevel="0" collapsed="false">
      <c r="A187" s="10" t="s">
        <v>1409</v>
      </c>
      <c r="B187" s="10" t="s">
        <v>1391</v>
      </c>
      <c r="C187" s="10" t="s">
        <v>1410</v>
      </c>
      <c r="D187" s="10" t="s">
        <v>284</v>
      </c>
      <c r="E187" s="17" t="n">
        <f aca="false">Historical_Drivers!C51</f>
        <v>370</v>
      </c>
      <c r="F187" s="34" t="n">
        <v>370</v>
      </c>
      <c r="G187" s="10" t="n">
        <f aca="false">E187-F187</f>
        <v>0</v>
      </c>
      <c r="H187" s="10" t="str">
        <f aca="false">IF(ABS(G187)&lt;=0.000001,"PASS","FAIL")</f>
        <v>PASS</v>
      </c>
    </row>
    <row r="188" customFormat="false" ht="15" hidden="false" customHeight="false" outlineLevel="0" collapsed="false">
      <c r="A188" s="10" t="s">
        <v>1411</v>
      </c>
      <c r="B188" s="10" t="s">
        <v>1412</v>
      </c>
      <c r="C188" s="10" t="s">
        <v>1413</v>
      </c>
      <c r="D188" s="10" t="s">
        <v>286</v>
      </c>
      <c r="E188" s="17" t="n">
        <f aca="false">Historical_Drivers!C52</f>
        <v>378.38245825603</v>
      </c>
      <c r="F188" s="34" t="n">
        <v>378.38245825603</v>
      </c>
      <c r="G188" s="10" t="n">
        <f aca="false">E188-F188</f>
        <v>0</v>
      </c>
      <c r="H188" s="10" t="str">
        <f aca="false">IF(ABS(G188)&lt;=0.000001,"PASS","FAIL")</f>
        <v>PASS</v>
      </c>
    </row>
    <row r="189" customFormat="false" ht="15" hidden="false" customHeight="false" outlineLevel="0" collapsed="false">
      <c r="A189" s="10" t="s">
        <v>1414</v>
      </c>
      <c r="B189" s="10" t="s">
        <v>1412</v>
      </c>
      <c r="C189" s="10" t="s">
        <v>1415</v>
      </c>
      <c r="D189" s="10" t="s">
        <v>289</v>
      </c>
      <c r="E189" s="17" t="n">
        <f aca="false">Historical_Drivers!C53</f>
        <v>374.471069908815</v>
      </c>
      <c r="F189" s="34" t="n">
        <v>374.471069908815</v>
      </c>
      <c r="G189" s="10" t="n">
        <f aca="false">E189-F189</f>
        <v>0</v>
      </c>
      <c r="H189" s="10" t="str">
        <f aca="false">IF(ABS(G189)&lt;=0.000001,"PASS","FAIL")</f>
        <v>PASS</v>
      </c>
    </row>
    <row r="190" customFormat="false" ht="15" hidden="false" customHeight="false" outlineLevel="0" collapsed="false">
      <c r="A190" s="10" t="s">
        <v>1416</v>
      </c>
      <c r="B190" s="10" t="s">
        <v>1412</v>
      </c>
      <c r="C190" s="10" t="s">
        <v>1417</v>
      </c>
      <c r="D190" s="10" t="s">
        <v>291</v>
      </c>
      <c r="E190" s="17" t="n">
        <f aca="false">Historical_Drivers!C54</f>
        <v>69.637</v>
      </c>
      <c r="F190" s="34" t="n">
        <v>69.637</v>
      </c>
      <c r="G190" s="10" t="n">
        <f aca="false">E190-F190</f>
        <v>0</v>
      </c>
      <c r="H190" s="10" t="str">
        <f aca="false">IF(ABS(G190)&lt;=0.000001,"PASS","FAIL")</f>
        <v>PASS</v>
      </c>
    </row>
    <row r="191" customFormat="false" ht="15" hidden="false" customHeight="false" outlineLevel="0" collapsed="false">
      <c r="A191" s="10" t="s">
        <v>1418</v>
      </c>
      <c r="B191" s="10" t="s">
        <v>1412</v>
      </c>
      <c r="C191" s="10" t="s">
        <v>1419</v>
      </c>
      <c r="D191" s="10" t="s">
        <v>293</v>
      </c>
      <c r="E191" s="17" t="n">
        <f aca="false">Historical_Drivers!C55</f>
        <v>62.931</v>
      </c>
      <c r="F191" s="34" t="n">
        <v>62.931</v>
      </c>
      <c r="G191" s="10" t="n">
        <f aca="false">E191-F191</f>
        <v>0</v>
      </c>
      <c r="H191" s="10" t="str">
        <f aca="false">IF(ABS(G191)&lt;=0.000001,"PASS","FAIL")</f>
        <v>PASS</v>
      </c>
    </row>
    <row r="192" customFormat="false" ht="15" hidden="false" customHeight="false" outlineLevel="0" collapsed="false">
      <c r="A192" s="10" t="s">
        <v>1420</v>
      </c>
      <c r="B192" s="10" t="s">
        <v>1412</v>
      </c>
      <c r="C192" s="10" t="s">
        <v>1421</v>
      </c>
      <c r="D192" s="10" t="s">
        <v>295</v>
      </c>
      <c r="E192" s="12" t="n">
        <f aca="false">Historical_Drivers!C56</f>
        <v>1.085</v>
      </c>
      <c r="F192" s="34" t="n">
        <v>1.085</v>
      </c>
      <c r="G192" s="35" t="n">
        <f aca="false">E192-F192</f>
        <v>0</v>
      </c>
      <c r="H192" s="10" t="str">
        <f aca="false">IF(ABS(G192)&lt;=0.000001,"PASS","FAIL")</f>
        <v>PASS</v>
      </c>
    </row>
    <row r="193" customFormat="false" ht="15" hidden="false" customHeight="false" outlineLevel="0" collapsed="false">
      <c r="A193" s="10" t="s">
        <v>1422</v>
      </c>
      <c r="B193" s="10" t="s">
        <v>1412</v>
      </c>
      <c r="C193" s="10" t="s">
        <v>1423</v>
      </c>
      <c r="D193" s="10" t="s">
        <v>297</v>
      </c>
      <c r="E193" s="26" t="n">
        <f aca="false">Historical_Drivers!C57</f>
        <v>5110.5</v>
      </c>
      <c r="F193" s="34" t="n">
        <v>5110.5</v>
      </c>
      <c r="G193" s="10" t="n">
        <f aca="false">E193-F193</f>
        <v>0</v>
      </c>
      <c r="H193" s="10" t="str">
        <f aca="false">IF(ABS(G193)&lt;=0.000001,"PASS","FAIL")</f>
        <v>PASS</v>
      </c>
    </row>
    <row r="194" customFormat="false" ht="15" hidden="false" customHeight="false" outlineLevel="0" collapsed="false">
      <c r="A194" s="10" t="s">
        <v>1424</v>
      </c>
      <c r="B194" s="10" t="s">
        <v>1042</v>
      </c>
      <c r="C194" s="10" t="s">
        <v>1425</v>
      </c>
      <c r="D194" s="10" t="s">
        <v>299</v>
      </c>
      <c r="E194" s="13" t="n">
        <f aca="false">Historical_Drivers!C58</f>
        <v>715886</v>
      </c>
      <c r="F194" s="34" t="n">
        <v>715886</v>
      </c>
      <c r="G194" s="10" t="n">
        <f aca="false">E194-F194</f>
        <v>0</v>
      </c>
      <c r="H194" s="10" t="str">
        <f aca="false">IF(ABS(G194)&lt;=0.000001,"PASS","FAIL")</f>
        <v>PASS</v>
      </c>
    </row>
    <row r="195" customFormat="false" ht="15" hidden="false" customHeight="false" outlineLevel="0" collapsed="false">
      <c r="A195" s="10" t="s">
        <v>1426</v>
      </c>
      <c r="B195" s="10" t="s">
        <v>1042</v>
      </c>
      <c r="C195" s="10" t="s">
        <v>1427</v>
      </c>
      <c r="D195" s="10" t="s">
        <v>302</v>
      </c>
      <c r="E195" s="13" t="n">
        <f aca="false">Historical_Drivers!C59</f>
        <v>155122</v>
      </c>
      <c r="F195" s="34" t="n">
        <v>155122</v>
      </c>
      <c r="G195" s="10" t="n">
        <f aca="false">E195-F195</f>
        <v>0</v>
      </c>
      <c r="H195" s="10" t="str">
        <f aca="false">IF(ABS(G195)&lt;=0.000001,"PASS","FAIL")</f>
        <v>PASS</v>
      </c>
    </row>
    <row r="196" customFormat="false" ht="15" hidden="false" customHeight="false" outlineLevel="0" collapsed="false">
      <c r="A196" s="10" t="s">
        <v>1428</v>
      </c>
      <c r="B196" s="10" t="s">
        <v>1042</v>
      </c>
      <c r="C196" s="10" t="s">
        <v>1429</v>
      </c>
      <c r="D196" s="10" t="s">
        <v>304</v>
      </c>
      <c r="E196" s="13" t="n">
        <f aca="false">Historical_Drivers!C60</f>
        <v>21436</v>
      </c>
      <c r="F196" s="34" t="n">
        <v>21436</v>
      </c>
      <c r="G196" s="10" t="n">
        <f aca="false">E196-F196</f>
        <v>0</v>
      </c>
      <c r="H196" s="10" t="str">
        <f aca="false">IF(ABS(G196)&lt;=0.000001,"PASS","FAIL")</f>
        <v>PASS</v>
      </c>
    </row>
    <row r="197" customFormat="false" ht="15" hidden="false" customHeight="false" outlineLevel="0" collapsed="false">
      <c r="A197" s="10" t="s">
        <v>1430</v>
      </c>
      <c r="B197" s="10" t="s">
        <v>1431</v>
      </c>
      <c r="C197" s="10" t="s">
        <v>1432</v>
      </c>
      <c r="D197" s="10" t="s">
        <v>306</v>
      </c>
      <c r="E197" s="12" t="n">
        <f aca="false">Historical_Drivers!C61</f>
        <v>0.277359826321637</v>
      </c>
      <c r="F197" s="34" t="n">
        <v>0.277359826321637</v>
      </c>
      <c r="G197" s="35" t="n">
        <f aca="false">E197-F197</f>
        <v>0</v>
      </c>
      <c r="H197" s="10" t="str">
        <f aca="false">IF(ABS(G197)&lt;=0.000001,"PASS","FAIL")</f>
        <v>PASS</v>
      </c>
    </row>
    <row r="198" customFormat="false" ht="15" hidden="false" customHeight="false" outlineLevel="0" collapsed="false">
      <c r="A198" s="10" t="s">
        <v>1433</v>
      </c>
      <c r="B198" s="10" t="s">
        <v>1431</v>
      </c>
      <c r="C198" s="10" t="s">
        <v>1434</v>
      </c>
      <c r="D198" s="10" t="s">
        <v>309</v>
      </c>
      <c r="E198" s="12" t="n">
        <f aca="false">Historical_Drivers!C62</f>
        <v>0.198183110711039</v>
      </c>
      <c r="F198" s="34" t="n">
        <v>0.198183110711039</v>
      </c>
      <c r="G198" s="35" t="n">
        <f aca="false">E198-F198</f>
        <v>0</v>
      </c>
      <c r="H198" s="10" t="str">
        <f aca="false">IF(ABS(G198)&lt;=0.000001,"PASS","FAIL")</f>
        <v>PASS</v>
      </c>
    </row>
    <row r="199" customFormat="false" ht="15" hidden="false" customHeight="false" outlineLevel="0" collapsed="false">
      <c r="A199" s="10" t="s">
        <v>1435</v>
      </c>
      <c r="B199" s="10" t="s">
        <v>1431</v>
      </c>
      <c r="C199" s="10" t="s">
        <v>1436</v>
      </c>
      <c r="D199" s="10" t="s">
        <v>311</v>
      </c>
      <c r="E199" s="12" t="n">
        <f aca="false">Historical_Drivers!C63</f>
        <v>0.293754391580101</v>
      </c>
      <c r="F199" s="34" t="n">
        <v>0.293754391580101</v>
      </c>
      <c r="G199" s="35" t="n">
        <f aca="false">E199-F199</f>
        <v>0</v>
      </c>
      <c r="H199" s="10" t="str">
        <f aca="false">IF(ABS(G199)&lt;=0.000001,"PASS","FAIL")</f>
        <v>PASS</v>
      </c>
    </row>
    <row r="200" customFormat="false" ht="15" hidden="false" customHeight="false" outlineLevel="0" collapsed="false">
      <c r="A200" s="10" t="s">
        <v>1437</v>
      </c>
      <c r="B200" s="10" t="s">
        <v>1431</v>
      </c>
      <c r="C200" s="10" t="s">
        <v>1438</v>
      </c>
      <c r="D200" s="10" t="s">
        <v>313</v>
      </c>
      <c r="E200" s="12" t="n">
        <f aca="false">Historical_Drivers!C64</f>
        <v>0.230702671387223</v>
      </c>
      <c r="F200" s="34" t="n">
        <v>0.230702671387223</v>
      </c>
      <c r="G200" s="35" t="n">
        <f aca="false">E200-F200</f>
        <v>0</v>
      </c>
      <c r="H200" s="10" t="str">
        <f aca="false">IF(ABS(G200)&lt;=0.000001,"PASS","FAIL")</f>
        <v>PASS</v>
      </c>
    </row>
    <row r="201" customFormat="false" ht="15" hidden="false" customHeight="false" outlineLevel="0" collapsed="false">
      <c r="A201" s="10" t="s">
        <v>1439</v>
      </c>
      <c r="B201" s="10" t="s">
        <v>1431</v>
      </c>
      <c r="C201" s="10" t="s">
        <v>1440</v>
      </c>
      <c r="D201" s="10" t="s">
        <v>315</v>
      </c>
      <c r="E201" s="11" t="n">
        <f aca="false">Historical_Drivers!C65</f>
        <v>0.0148267477203647</v>
      </c>
      <c r="F201" s="34" t="n">
        <v>0.0148267477203647</v>
      </c>
      <c r="G201" s="35" t="n">
        <f aca="false">E201-F201</f>
        <v>0</v>
      </c>
      <c r="H201" s="10" t="str">
        <f aca="false">IF(ABS(G201)&lt;=0.000001,"PASS","FAIL")</f>
        <v>PASS</v>
      </c>
    </row>
    <row r="202" customFormat="false" ht="15" hidden="false" customHeight="false" outlineLevel="0" collapsed="false">
      <c r="A202" s="10" t="s">
        <v>1441</v>
      </c>
      <c r="B202" s="10" t="s">
        <v>1431</v>
      </c>
      <c r="C202" s="10" t="s">
        <v>1442</v>
      </c>
      <c r="D202" s="10" t="s">
        <v>317</v>
      </c>
      <c r="E202" s="11" t="n">
        <f aca="false">Historical_Drivers!C66</f>
        <v>0.0254267161410019</v>
      </c>
      <c r="F202" s="34" t="n">
        <v>0.0254267161410019</v>
      </c>
      <c r="G202" s="35" t="n">
        <f aca="false">E202-F202</f>
        <v>0</v>
      </c>
      <c r="H202" s="10" t="str">
        <f aca="false">IF(ABS(G202)&lt;=0.000001,"PASS","FAIL")</f>
        <v>PASS</v>
      </c>
    </row>
    <row r="203" customFormat="false" ht="15" hidden="false" customHeight="false" outlineLevel="0" collapsed="false">
      <c r="A203" s="10" t="s">
        <v>1443</v>
      </c>
      <c r="B203" s="10" t="s">
        <v>1444</v>
      </c>
      <c r="C203" s="10" t="s">
        <v>1445</v>
      </c>
      <c r="D203" s="10" t="s">
        <v>319</v>
      </c>
      <c r="E203" s="29" t="n">
        <f aca="false">Historical_Drivers!C67</f>
        <v>3155</v>
      </c>
      <c r="F203" s="34" t="n">
        <v>3155</v>
      </c>
      <c r="G203" s="10" t="n">
        <f aca="false">E203-F203</f>
        <v>0</v>
      </c>
      <c r="H203" s="10" t="str">
        <f aca="false">IF(ABS(G203)&lt;=0.000001,"PASS","FAIL")</f>
        <v>PASS</v>
      </c>
    </row>
    <row r="204" customFormat="false" ht="15" hidden="false" customHeight="false" outlineLevel="0" collapsed="false">
      <c r="A204" s="10" t="s">
        <v>1446</v>
      </c>
      <c r="B204" s="10" t="s">
        <v>1042</v>
      </c>
      <c r="C204" s="10" t="s">
        <v>1447</v>
      </c>
      <c r="D204" s="10" t="s">
        <v>342</v>
      </c>
      <c r="E204" s="13" t="n">
        <f aca="false">Cash_Bridge!B13</f>
        <v>55354</v>
      </c>
      <c r="F204" s="34" t="n">
        <v>55354</v>
      </c>
      <c r="G204" s="10" t="n">
        <f aca="false">E204-F204</f>
        <v>0</v>
      </c>
      <c r="H204" s="10" t="str">
        <f aca="false">IF(ABS(G204)&lt;=0.000001,"PASS","FAIL")</f>
        <v>PASS</v>
      </c>
    </row>
    <row r="205" customFormat="false" ht="15" hidden="false" customHeight="false" outlineLevel="0" collapsed="false">
      <c r="A205" s="10" t="s">
        <v>1448</v>
      </c>
      <c r="B205" s="10" t="s">
        <v>1042</v>
      </c>
      <c r="C205" s="10" t="s">
        <v>1449</v>
      </c>
      <c r="D205" s="10" t="s">
        <v>343</v>
      </c>
      <c r="E205" s="13" t="n">
        <f aca="false">Cash_Bridge!D13</f>
        <v>160041</v>
      </c>
      <c r="F205" s="34" t="n">
        <v>160041</v>
      </c>
      <c r="G205" s="10" t="n">
        <f aca="false">E205-F205</f>
        <v>0</v>
      </c>
      <c r="H205" s="10" t="str">
        <f aca="false">IF(ABS(G205)&lt;=0.000001,"PASS","FAIL")</f>
        <v>PASS</v>
      </c>
    </row>
    <row r="206" customFormat="false" ht="15" hidden="false" customHeight="false" outlineLevel="0" collapsed="false">
      <c r="A206" s="10" t="s">
        <v>1450</v>
      </c>
      <c r="B206" s="10" t="s">
        <v>1042</v>
      </c>
      <c r="C206" s="10" t="s">
        <v>1451</v>
      </c>
      <c r="D206" s="10" t="s">
        <v>345</v>
      </c>
      <c r="E206" s="13" t="n">
        <f aca="false">Cash_Bridge!B14</f>
        <v>-3790</v>
      </c>
      <c r="F206" s="34" t="n">
        <v>-3790</v>
      </c>
      <c r="G206" s="10" t="n">
        <f aca="false">E206-F206</f>
        <v>0</v>
      </c>
      <c r="H206" s="10" t="str">
        <f aca="false">IF(ABS(G206)&lt;=0.000001,"PASS","FAIL")</f>
        <v>PASS</v>
      </c>
    </row>
    <row r="207" customFormat="false" ht="15" hidden="false" customHeight="false" outlineLevel="0" collapsed="false">
      <c r="A207" s="10" t="s">
        <v>1452</v>
      </c>
      <c r="B207" s="10" t="s">
        <v>1042</v>
      </c>
      <c r="C207" s="10" t="s">
        <v>1453</v>
      </c>
      <c r="D207" s="10" t="s">
        <v>346</v>
      </c>
      <c r="E207" s="13" t="n">
        <f aca="false">Cash_Bridge!D14</f>
        <v>-6237</v>
      </c>
      <c r="F207" s="34" t="n">
        <v>-6237</v>
      </c>
      <c r="G207" s="10" t="n">
        <f aca="false">E207-F207</f>
        <v>0</v>
      </c>
      <c r="H207" s="10" t="str">
        <f aca="false">IF(ABS(G207)&lt;=0.000001,"PASS","FAIL")</f>
        <v>PASS</v>
      </c>
    </row>
    <row r="208" customFormat="false" ht="15" hidden="false" customHeight="false" outlineLevel="0" collapsed="false">
      <c r="A208" s="10" t="s">
        <v>1454</v>
      </c>
      <c r="B208" s="10" t="s">
        <v>1042</v>
      </c>
      <c r="C208" s="10" t="s">
        <v>1455</v>
      </c>
      <c r="D208" s="10" t="s">
        <v>348</v>
      </c>
      <c r="E208" s="13" t="n">
        <f aca="false">Cash_Bridge!B15</f>
        <v>-1106</v>
      </c>
      <c r="F208" s="34" t="n">
        <v>-1106</v>
      </c>
      <c r="G208" s="10" t="n">
        <f aca="false">E208-F208</f>
        <v>0</v>
      </c>
      <c r="H208" s="10" t="str">
        <f aca="false">IF(ABS(G208)&lt;=0.000001,"PASS","FAIL")</f>
        <v>PASS</v>
      </c>
    </row>
    <row r="209" customFormat="false" ht="15" hidden="false" customHeight="false" outlineLevel="0" collapsed="false">
      <c r="A209" s="10" t="s">
        <v>1456</v>
      </c>
      <c r="B209" s="10" t="s">
        <v>1042</v>
      </c>
      <c r="C209" s="10" t="s">
        <v>1457</v>
      </c>
      <c r="D209" s="10" t="s">
        <v>349</v>
      </c>
      <c r="E209" s="13" t="n">
        <f aca="false">Cash_Bridge!D15</f>
        <v>-1590</v>
      </c>
      <c r="F209" s="34" t="n">
        <v>-1590</v>
      </c>
      <c r="G209" s="10" t="n">
        <f aca="false">E209-F209</f>
        <v>0</v>
      </c>
      <c r="H209" s="10" t="str">
        <f aca="false">IF(ABS(G209)&lt;=0.000001,"PASS","FAIL")</f>
        <v>PASS</v>
      </c>
    </row>
    <row r="210" customFormat="false" ht="15" hidden="false" customHeight="false" outlineLevel="0" collapsed="false">
      <c r="A210" s="10" t="s">
        <v>1458</v>
      </c>
      <c r="B210" s="10" t="s">
        <v>1042</v>
      </c>
      <c r="C210" s="10" t="s">
        <v>1459</v>
      </c>
      <c r="D210" s="10" t="s">
        <v>351</v>
      </c>
      <c r="E210" s="13" t="n">
        <f aca="false">Cash_Bridge!B16</f>
        <v>1886</v>
      </c>
      <c r="F210" s="34" t="n">
        <v>1886</v>
      </c>
      <c r="G210" s="10" t="n">
        <f aca="false">E210-F210</f>
        <v>0</v>
      </c>
      <c r="H210" s="10" t="str">
        <f aca="false">IF(ABS(G210)&lt;=0.000001,"PASS","FAIL")</f>
        <v>PASS</v>
      </c>
    </row>
    <row r="211" customFormat="false" ht="15" hidden="false" customHeight="false" outlineLevel="0" collapsed="false">
      <c r="A211" s="10" t="s">
        <v>1460</v>
      </c>
      <c r="B211" s="10" t="s">
        <v>1042</v>
      </c>
      <c r="C211" s="10" t="s">
        <v>1461</v>
      </c>
      <c r="D211" s="10" t="s">
        <v>352</v>
      </c>
      <c r="E211" s="13" t="n">
        <f aca="false">Cash_Bridge!D16</f>
        <v>2908</v>
      </c>
      <c r="F211" s="34" t="n">
        <v>2908</v>
      </c>
      <c r="G211" s="10" t="n">
        <f aca="false">E211-F211</f>
        <v>0</v>
      </c>
      <c r="H211" s="10" t="str">
        <f aca="false">IF(ABS(G211)&lt;=0.000001,"PASS","FAIL")</f>
        <v>PASS</v>
      </c>
    </row>
    <row r="212" customFormat="false" ht="15" hidden="false" customHeight="false" outlineLevel="0" collapsed="false">
      <c r="A212" s="10" t="s">
        <v>1462</v>
      </c>
      <c r="B212" s="10" t="s">
        <v>1042</v>
      </c>
      <c r="C212" s="10" t="s">
        <v>1463</v>
      </c>
      <c r="D212" s="10" t="s">
        <v>202</v>
      </c>
      <c r="E212" s="13" t="n">
        <f aca="false">Cash_Bridge!B19</f>
        <v>52344</v>
      </c>
      <c r="F212" s="34" t="n">
        <v>52344</v>
      </c>
      <c r="G212" s="10" t="n">
        <f aca="false">E212-F212</f>
        <v>0</v>
      </c>
      <c r="H212" s="10" t="str">
        <f aca="false">IF(ABS(G212)&lt;=0.000001,"PASS","FAIL")</f>
        <v>PASS</v>
      </c>
    </row>
    <row r="213" customFormat="false" ht="15" hidden="false" customHeight="false" outlineLevel="0" collapsed="false">
      <c r="A213" s="10" t="s">
        <v>1464</v>
      </c>
      <c r="B213" s="10" t="s">
        <v>1042</v>
      </c>
      <c r="C213" s="10" t="s">
        <v>1465</v>
      </c>
      <c r="D213" s="10" t="s">
        <v>302</v>
      </c>
      <c r="E213" s="13" t="n">
        <f aca="false">Cash_Bridge!D19</f>
        <v>155122</v>
      </c>
      <c r="F213" s="34" t="n">
        <v>155122</v>
      </c>
      <c r="G213" s="10" t="n">
        <f aca="false">E213-F213</f>
        <v>0</v>
      </c>
      <c r="H213" s="10" t="str">
        <f aca="false">IF(ABS(G213)&lt;=0.000001,"PASS","FAIL")</f>
        <v>PASS</v>
      </c>
    </row>
    <row r="214" customFormat="false" ht="15" hidden="false" customHeight="false" outlineLevel="0" collapsed="false">
      <c r="A214" s="10" t="s">
        <v>1466</v>
      </c>
      <c r="B214" s="10" t="s">
        <v>1042</v>
      </c>
      <c r="C214" s="10" t="s">
        <v>1467</v>
      </c>
      <c r="D214" s="10" t="s">
        <v>378</v>
      </c>
      <c r="E214" s="13" t="n">
        <f aca="false">Cash_Bridge!B31</f>
        <v>-734971</v>
      </c>
      <c r="F214" s="34" t="n">
        <v>-734971</v>
      </c>
      <c r="G214" s="10" t="n">
        <f aca="false">E214-F214</f>
        <v>0</v>
      </c>
      <c r="H214" s="10" t="str">
        <f aca="false">IF(ABS(G214)&lt;=0.000001,"PASS","FAIL")</f>
        <v>PASS</v>
      </c>
    </row>
    <row r="215" customFormat="false" ht="15" hidden="false" customHeight="false" outlineLevel="0" collapsed="false">
      <c r="A215" s="10" t="s">
        <v>1468</v>
      </c>
      <c r="B215" s="10" t="s">
        <v>1431</v>
      </c>
      <c r="C215" s="10" t="s">
        <v>1469</v>
      </c>
      <c r="D215" s="10" t="s">
        <v>410</v>
      </c>
      <c r="E215" s="13" t="n">
        <f aca="false">Cash_Bridge!B50</f>
        <v>-66990</v>
      </c>
      <c r="F215" s="34" t="n">
        <v>-66990</v>
      </c>
      <c r="G215" s="10" t="n">
        <f aca="false">E215-F215</f>
        <v>0</v>
      </c>
      <c r="H215" s="10" t="str">
        <f aca="false">IF(ABS(G215)&lt;=0.000001,"PASS","FAIL")</f>
        <v>PASS</v>
      </c>
    </row>
    <row r="216" customFormat="false" ht="15" hidden="false" customHeight="false" outlineLevel="0" collapsed="false">
      <c r="A216" s="10" t="s">
        <v>1470</v>
      </c>
      <c r="B216" s="10" t="s">
        <v>1471</v>
      </c>
      <c r="C216" s="10" t="s">
        <v>1472</v>
      </c>
      <c r="D216" s="10" t="s">
        <v>860</v>
      </c>
      <c r="E216" s="17" t="n">
        <f aca="false">Backtest!B5</f>
        <v>58.972</v>
      </c>
      <c r="F216" s="34" t="n">
        <v>58.972</v>
      </c>
      <c r="G216" s="10" t="n">
        <f aca="false">E216-F216</f>
        <v>0</v>
      </c>
      <c r="H216" s="10" t="str">
        <f aca="false">IF(ABS(G216)&lt;=0.000001,"PASS","FAIL")</f>
        <v>PASS</v>
      </c>
    </row>
    <row r="217" customFormat="false" ht="15" hidden="false" customHeight="false" outlineLevel="0" collapsed="false">
      <c r="A217" s="10" t="s">
        <v>1473</v>
      </c>
      <c r="B217" s="10" t="s">
        <v>1471</v>
      </c>
      <c r="C217" s="10" t="s">
        <v>1474</v>
      </c>
      <c r="D217" s="10" t="s">
        <v>862</v>
      </c>
      <c r="E217" s="17" t="n">
        <f aca="false">Backtest!B6</f>
        <v>70.615</v>
      </c>
      <c r="F217" s="34" t="n">
        <v>70.615</v>
      </c>
      <c r="G217" s="10" t="n">
        <f aca="false">E217-F217</f>
        <v>0</v>
      </c>
      <c r="H217" s="10" t="str">
        <f aca="false">IF(ABS(G217)&lt;=0.000001,"PASS","FAIL")</f>
        <v>PASS</v>
      </c>
    </row>
    <row r="218" customFormat="false" ht="15" hidden="false" customHeight="false" outlineLevel="0" collapsed="false">
      <c r="A218" s="10" t="s">
        <v>1475</v>
      </c>
      <c r="B218" s="10" t="s">
        <v>1471</v>
      </c>
      <c r="C218" s="10" t="s">
        <v>1476</v>
      </c>
      <c r="D218" s="10" t="s">
        <v>864</v>
      </c>
      <c r="E218" s="17" t="n">
        <f aca="false">Backtest!B7</f>
        <v>83.018</v>
      </c>
      <c r="F218" s="34" t="n">
        <v>83.018</v>
      </c>
      <c r="G218" s="10" t="n">
        <f aca="false">E218-F218</f>
        <v>0</v>
      </c>
      <c r="H218" s="10" t="str">
        <f aca="false">IF(ABS(G218)&lt;=0.000001,"PASS","FAIL")</f>
        <v>PASS</v>
      </c>
    </row>
    <row r="219" customFormat="false" ht="15" hidden="false" customHeight="false" outlineLevel="0" collapsed="false">
      <c r="A219" s="10" t="s">
        <v>1477</v>
      </c>
      <c r="B219" s="10" t="s">
        <v>1391</v>
      </c>
      <c r="C219" s="10" t="s">
        <v>1478</v>
      </c>
      <c r="D219" s="10" t="s">
        <v>1479</v>
      </c>
      <c r="E219" s="17" t="n">
        <f aca="false">Backtest!D7</f>
        <v>74</v>
      </c>
      <c r="F219" s="34" t="n">
        <v>74</v>
      </c>
      <c r="G219" s="10" t="n">
        <f aca="false">E219-F219</f>
        <v>0</v>
      </c>
      <c r="H219" s="10" t="str">
        <f aca="false">IF(ABS(G219)&lt;=0.000001,"PASS","FAIL")</f>
        <v>PASS</v>
      </c>
    </row>
    <row r="220" customFormat="false" ht="15" hidden="false" customHeight="false" outlineLevel="0" collapsed="false">
      <c r="A220" s="10" t="s">
        <v>1480</v>
      </c>
      <c r="B220" s="10" t="s">
        <v>1391</v>
      </c>
      <c r="C220" s="10" t="s">
        <v>1481</v>
      </c>
      <c r="D220" s="10" t="s">
        <v>1482</v>
      </c>
      <c r="E220" s="17" t="n">
        <f aca="false">Backtest!E7</f>
        <v>75</v>
      </c>
      <c r="F220" s="34" t="n">
        <v>75</v>
      </c>
      <c r="G220" s="10" t="n">
        <f aca="false">E220-F220</f>
        <v>0</v>
      </c>
      <c r="H220" s="10" t="str">
        <f aca="false">IF(ABS(G220)&lt;=0.000001,"PASS","FAIL")</f>
        <v>PASS</v>
      </c>
    </row>
    <row r="221" customFormat="false" ht="15" hidden="false" customHeight="false" outlineLevel="0" collapsed="false">
      <c r="A221" s="10" t="s">
        <v>1483</v>
      </c>
      <c r="B221" s="10" t="s">
        <v>1471</v>
      </c>
      <c r="C221" s="10" t="s">
        <v>1484</v>
      </c>
      <c r="D221" s="10" t="s">
        <v>867</v>
      </c>
      <c r="E221" s="17" t="n">
        <f aca="false">Backtest!B8</f>
        <v>95.545</v>
      </c>
      <c r="F221" s="34" t="n">
        <v>95.545</v>
      </c>
      <c r="G221" s="10" t="n">
        <f aca="false">E221-F221</f>
        <v>0</v>
      </c>
      <c r="H221" s="10" t="str">
        <f aca="false">IF(ABS(G221)&lt;=0.000001,"PASS","FAIL")</f>
        <v>PASS</v>
      </c>
    </row>
    <row r="222" customFormat="false" ht="15" hidden="false" customHeight="false" outlineLevel="0" collapsed="false">
      <c r="A222" s="10" t="s">
        <v>1485</v>
      </c>
      <c r="B222" s="10" t="s">
        <v>1391</v>
      </c>
      <c r="C222" s="10" t="s">
        <v>1486</v>
      </c>
      <c r="D222" s="10" t="s">
        <v>1487</v>
      </c>
      <c r="E222" s="17" t="n">
        <f aca="false">Backtest!D8</f>
        <v>87</v>
      </c>
      <c r="F222" s="34" t="n">
        <v>87</v>
      </c>
      <c r="G222" s="10" t="n">
        <f aca="false">E222-F222</f>
        <v>0</v>
      </c>
      <c r="H222" s="10" t="str">
        <f aca="false">IF(ABS(G222)&lt;=0.000001,"PASS","FAIL")</f>
        <v>PASS</v>
      </c>
    </row>
    <row r="223" customFormat="false" ht="15" hidden="false" customHeight="false" outlineLevel="0" collapsed="false">
      <c r="A223" s="10" t="s">
        <v>1488</v>
      </c>
      <c r="B223" s="10" t="s">
        <v>1391</v>
      </c>
      <c r="C223" s="10" t="s">
        <v>1489</v>
      </c>
      <c r="D223" s="10" t="s">
        <v>1490</v>
      </c>
      <c r="E223" s="17" t="n">
        <f aca="false">Backtest!E8</f>
        <v>88</v>
      </c>
      <c r="F223" s="34" t="n">
        <v>88</v>
      </c>
      <c r="G223" s="10" t="n">
        <f aca="false">E223-F223</f>
        <v>0</v>
      </c>
      <c r="H223" s="10" t="str">
        <f aca="false">IF(ABS(G223)&lt;=0.000001,"PASS","FAIL")</f>
        <v>PASS</v>
      </c>
    </row>
    <row r="224" customFormat="false" ht="15" hidden="false" customHeight="false" outlineLevel="0" collapsed="false">
      <c r="A224" s="10" t="s">
        <v>1491</v>
      </c>
      <c r="B224" s="10" t="s">
        <v>1471</v>
      </c>
      <c r="C224" s="10" t="s">
        <v>1492</v>
      </c>
      <c r="D224" s="10" t="s">
        <v>870</v>
      </c>
      <c r="E224" s="17" t="n">
        <f aca="false">Backtest!B9</f>
        <v>108.497</v>
      </c>
      <c r="F224" s="34" t="n">
        <v>108.497</v>
      </c>
      <c r="G224" s="10" t="n">
        <f aca="false">E224-F224</f>
        <v>0</v>
      </c>
      <c r="H224" s="10" t="str">
        <f aca="false">IF(ABS(G224)&lt;=0.000001,"PASS","FAIL")</f>
        <v>PASS</v>
      </c>
    </row>
    <row r="225" customFormat="false" ht="15" hidden="false" customHeight="false" outlineLevel="0" collapsed="false">
      <c r="A225" s="10" t="s">
        <v>1493</v>
      </c>
      <c r="B225" s="10" t="s">
        <v>1391</v>
      </c>
      <c r="C225" s="10" t="s">
        <v>1494</v>
      </c>
      <c r="D225" s="10" t="s">
        <v>1495</v>
      </c>
      <c r="E225" s="17" t="n">
        <f aca="false">Backtest!D9</f>
        <v>100</v>
      </c>
      <c r="F225" s="34" t="n">
        <v>100</v>
      </c>
      <c r="G225" s="10" t="n">
        <f aca="false">E225-F225</f>
        <v>0</v>
      </c>
      <c r="H225" s="10" t="str">
        <f aca="false">IF(ABS(G225)&lt;=0.000001,"PASS","FAIL")</f>
        <v>PASS</v>
      </c>
    </row>
    <row r="226" customFormat="false" ht="15" hidden="false" customHeight="false" outlineLevel="0" collapsed="false">
      <c r="A226" s="10" t="s">
        <v>1496</v>
      </c>
      <c r="B226" s="10" t="s">
        <v>1391</v>
      </c>
      <c r="C226" s="10" t="s">
        <v>1497</v>
      </c>
      <c r="D226" s="10" t="s">
        <v>1498</v>
      </c>
      <c r="E226" s="17" t="n">
        <f aca="false">Backtest!E9</f>
        <v>102</v>
      </c>
      <c r="F226" s="34" t="n">
        <v>102</v>
      </c>
      <c r="G226" s="10" t="n">
        <f aca="false">E226-F226</f>
        <v>0</v>
      </c>
      <c r="H226" s="10" t="str">
        <f aca="false">IF(ABS(G226)&lt;=0.000001,"PASS","FAIL")</f>
        <v>PASS</v>
      </c>
    </row>
    <row r="227" customFormat="false" ht="15" hidden="false" customHeight="false" outlineLevel="0" collapsed="false">
      <c r="A227" s="10" t="s">
        <v>1499</v>
      </c>
      <c r="B227" s="10" t="s">
        <v>1471</v>
      </c>
      <c r="C227" s="10" t="s">
        <v>1500</v>
      </c>
      <c r="D227" s="10" t="s">
        <v>873</v>
      </c>
      <c r="E227" s="17" t="n">
        <f aca="false">Backtest!B10</f>
        <v>123.718</v>
      </c>
      <c r="F227" s="34" t="n">
        <v>123.718</v>
      </c>
      <c r="G227" s="10" t="n">
        <f aca="false">E227-F227</f>
        <v>0</v>
      </c>
      <c r="H227" s="10" t="str">
        <f aca="false">IF(ABS(G227)&lt;=0.000001,"PASS","FAIL")</f>
        <v>PASS</v>
      </c>
    </row>
    <row r="228" customFormat="false" ht="15" hidden="false" customHeight="false" outlineLevel="0" collapsed="false">
      <c r="A228" s="10" t="s">
        <v>1501</v>
      </c>
      <c r="B228" s="10" t="s">
        <v>1391</v>
      </c>
      <c r="C228" s="10" t="s">
        <v>1502</v>
      </c>
      <c r="D228" s="10" t="s">
        <v>1503</v>
      </c>
      <c r="E228" s="17" t="n">
        <f aca="false">Backtest!D10</f>
        <v>117</v>
      </c>
      <c r="F228" s="34" t="n">
        <v>117</v>
      </c>
      <c r="G228" s="10" t="n">
        <f aca="false">E228-F228</f>
        <v>0</v>
      </c>
      <c r="H228" s="10" t="str">
        <f aca="false">IF(ABS(G228)&lt;=0.000001,"PASS","FAIL")</f>
        <v>PASS</v>
      </c>
    </row>
    <row r="229" customFormat="false" ht="15" hidden="false" customHeight="false" outlineLevel="0" collapsed="false">
      <c r="A229" s="10" t="s">
        <v>1504</v>
      </c>
      <c r="B229" s="10" t="s">
        <v>1391</v>
      </c>
      <c r="C229" s="10" t="s">
        <v>1505</v>
      </c>
      <c r="D229" s="10" t="s">
        <v>1506</v>
      </c>
      <c r="E229" s="17" t="n">
        <f aca="false">Backtest!E10</f>
        <v>119</v>
      </c>
      <c r="F229" s="34" t="n">
        <v>119</v>
      </c>
      <c r="G229" s="10" t="n">
        <f aca="false">E229-F229</f>
        <v>0</v>
      </c>
      <c r="H229" s="10" t="str">
        <f aca="false">IF(ABS(G229)&lt;=0.000001,"PASS","FAIL")</f>
        <v>PASS</v>
      </c>
    </row>
    <row r="230" customFormat="false" ht="15" hidden="false" customHeight="false" outlineLevel="0" collapsed="false">
      <c r="A230" s="10" t="s">
        <v>1507</v>
      </c>
      <c r="B230" s="10" t="s">
        <v>1471</v>
      </c>
      <c r="C230" s="10" t="s">
        <v>1508</v>
      </c>
      <c r="D230" s="10" t="s">
        <v>876</v>
      </c>
      <c r="E230" s="17" t="n">
        <f aca="false">Backtest!B11</f>
        <v>136.893</v>
      </c>
      <c r="F230" s="34" t="n">
        <v>136.893</v>
      </c>
      <c r="G230" s="10" t="n">
        <f aca="false">E230-F230</f>
        <v>0</v>
      </c>
      <c r="H230" s="10" t="str">
        <f aca="false">IF(ABS(G230)&lt;=0.000001,"PASS","FAIL")</f>
        <v>PASS</v>
      </c>
    </row>
    <row r="231" customFormat="false" ht="15" hidden="false" customHeight="false" outlineLevel="0" collapsed="false">
      <c r="A231" s="10" t="s">
        <v>1509</v>
      </c>
      <c r="B231" s="10" t="s">
        <v>1391</v>
      </c>
      <c r="C231" s="10" t="s">
        <v>1510</v>
      </c>
      <c r="D231" s="10" t="s">
        <v>1511</v>
      </c>
      <c r="E231" s="17" t="n">
        <f aca="false">Backtest!D11</f>
        <v>130</v>
      </c>
      <c r="F231" s="34" t="n">
        <v>130</v>
      </c>
      <c r="G231" s="10" t="n">
        <f aca="false">E231-F231</f>
        <v>0</v>
      </c>
      <c r="H231" s="10" t="str">
        <f aca="false">IF(ABS(G231)&lt;=0.000001,"PASS","FAIL")</f>
        <v>PASS</v>
      </c>
    </row>
    <row r="232" customFormat="false" ht="15" hidden="false" customHeight="false" outlineLevel="0" collapsed="false">
      <c r="A232" s="10" t="s">
        <v>1512</v>
      </c>
      <c r="B232" s="10" t="s">
        <v>1391</v>
      </c>
      <c r="C232" s="10" t="s">
        <v>1513</v>
      </c>
      <c r="D232" s="10" t="s">
        <v>1514</v>
      </c>
      <c r="E232" s="17" t="n">
        <f aca="false">Backtest!E11</f>
        <v>131</v>
      </c>
      <c r="F232" s="34" t="n">
        <v>131</v>
      </c>
      <c r="G232" s="10" t="n">
        <f aca="false">E232-F232</f>
        <v>0</v>
      </c>
      <c r="H232" s="10" t="str">
        <f aca="false">IF(ABS(G232)&lt;=0.000001,"PASS","FAIL")</f>
        <v>PASS</v>
      </c>
    </row>
    <row r="233" customFormat="false" ht="15" hidden="false" customHeight="false" outlineLevel="0" collapsed="false">
      <c r="A233" s="10" t="s">
        <v>1515</v>
      </c>
      <c r="B233" s="10" t="s">
        <v>1471</v>
      </c>
      <c r="C233" s="10" t="s">
        <v>1516</v>
      </c>
      <c r="D233" s="10" t="s">
        <v>879</v>
      </c>
      <c r="E233" s="17" t="n">
        <f aca="false">Backtest!B12</f>
        <v>149.921</v>
      </c>
      <c r="F233" s="34" t="n">
        <v>149.921</v>
      </c>
      <c r="G233" s="10" t="n">
        <f aca="false">E233-F233</f>
        <v>0</v>
      </c>
      <c r="H233" s="10" t="str">
        <f aca="false">IF(ABS(G233)&lt;=0.000001,"PASS","FAIL")</f>
        <v>PASS</v>
      </c>
    </row>
    <row r="234" customFormat="false" ht="15" hidden="false" customHeight="false" outlineLevel="0" collapsed="false">
      <c r="A234" s="10" t="s">
        <v>1517</v>
      </c>
      <c r="B234" s="10" t="s">
        <v>1391</v>
      </c>
      <c r="C234" s="10" t="s">
        <v>1518</v>
      </c>
      <c r="D234" s="10" t="s">
        <v>1519</v>
      </c>
      <c r="E234" s="17" t="n">
        <f aca="false">Backtest!D12</f>
        <v>140</v>
      </c>
      <c r="F234" s="34" t="n">
        <v>140</v>
      </c>
      <c r="G234" s="10" t="n">
        <f aca="false">E234-F234</f>
        <v>0</v>
      </c>
      <c r="H234" s="10" t="str">
        <f aca="false">IF(ABS(G234)&lt;=0.000001,"PASS","FAIL")</f>
        <v>PASS</v>
      </c>
    </row>
    <row r="235" customFormat="false" ht="15" hidden="false" customHeight="false" outlineLevel="0" collapsed="false">
      <c r="A235" s="10" t="s">
        <v>1520</v>
      </c>
      <c r="B235" s="10" t="s">
        <v>1391</v>
      </c>
      <c r="C235" s="10" t="s">
        <v>1521</v>
      </c>
      <c r="D235" s="10" t="s">
        <v>1522</v>
      </c>
      <c r="E235" s="17" t="n">
        <f aca="false">Backtest!E12</f>
        <v>142</v>
      </c>
      <c r="F235" s="34" t="n">
        <v>142</v>
      </c>
      <c r="G235" s="10" t="n">
        <f aca="false">E235-F235</f>
        <v>0</v>
      </c>
      <c r="H235" s="10" t="str">
        <f aca="false">IF(ABS(G235)&lt;=0.000001,"PASS","FAIL")</f>
        <v>PASS</v>
      </c>
    </row>
    <row r="236" customFormat="false" ht="15" hidden="false" customHeight="false" outlineLevel="0" collapsed="false">
      <c r="A236" s="10" t="s">
        <v>1523</v>
      </c>
      <c r="B236" s="10" t="s">
        <v>1471</v>
      </c>
      <c r="C236" s="10" t="s">
        <v>1524</v>
      </c>
      <c r="D236" s="10" t="s">
        <v>66</v>
      </c>
      <c r="E236" s="17" t="n">
        <f aca="false">Backtest!B13</f>
        <v>162.256</v>
      </c>
      <c r="F236" s="34" t="n">
        <v>162.256</v>
      </c>
      <c r="G236" s="10" t="n">
        <f aca="false">E236-F236</f>
        <v>0</v>
      </c>
      <c r="H236" s="10" t="str">
        <f aca="false">IF(ABS(G236)&lt;=0.000001,"PASS","FAIL")</f>
        <v>PASS</v>
      </c>
    </row>
    <row r="237" customFormat="false" ht="15" hidden="false" customHeight="false" outlineLevel="0" collapsed="false">
      <c r="A237" s="10" t="s">
        <v>1525</v>
      </c>
      <c r="B237" s="10" t="s">
        <v>1391</v>
      </c>
      <c r="C237" s="10" t="s">
        <v>1526</v>
      </c>
      <c r="D237" s="10" t="s">
        <v>1527</v>
      </c>
      <c r="E237" s="17" t="n">
        <f aca="false">Backtest!D13</f>
        <v>154</v>
      </c>
      <c r="F237" s="34" t="n">
        <v>154</v>
      </c>
      <c r="G237" s="10" t="n">
        <f aca="false">E237-F237</f>
        <v>0</v>
      </c>
      <c r="H237" s="10" t="str">
        <f aca="false">IF(ABS(G237)&lt;=0.000001,"PASS","FAIL")</f>
        <v>PASS</v>
      </c>
    </row>
    <row r="238" customFormat="false" ht="15" hidden="false" customHeight="false" outlineLevel="0" collapsed="false">
      <c r="A238" s="10" t="s">
        <v>1528</v>
      </c>
      <c r="B238" s="10" t="s">
        <v>1391</v>
      </c>
      <c r="C238" s="10" t="s">
        <v>1529</v>
      </c>
      <c r="D238" s="10" t="s">
        <v>1530</v>
      </c>
      <c r="E238" s="17" t="n">
        <f aca="false">Backtest!E13</f>
        <v>156</v>
      </c>
      <c r="F238" s="34" t="n">
        <v>156</v>
      </c>
      <c r="G238" s="10" t="n">
        <f aca="false">E238-F238</f>
        <v>0</v>
      </c>
      <c r="H238" s="10" t="str">
        <f aca="false">IF(ABS(G238)&lt;=0.000001,"PASS","FAIL")</f>
        <v>PASS</v>
      </c>
    </row>
    <row r="239" customFormat="false" ht="15" hidden="false" customHeight="false" outlineLevel="0" collapsed="false">
      <c r="A239" s="10" t="s">
        <v>1531</v>
      </c>
      <c r="B239" s="10" t="s">
        <v>1471</v>
      </c>
      <c r="C239" s="10" t="s">
        <v>1532</v>
      </c>
      <c r="D239" s="10" t="s">
        <v>67</v>
      </c>
      <c r="E239" s="17" t="n">
        <f aca="false">Backtest!B14</f>
        <v>175.679</v>
      </c>
      <c r="F239" s="34" t="n">
        <v>175.679</v>
      </c>
      <c r="G239" s="10" t="n">
        <f aca="false">E239-F239</f>
        <v>0</v>
      </c>
      <c r="H239" s="10" t="str">
        <f aca="false">IF(ABS(G239)&lt;=0.000001,"PASS","FAIL")</f>
        <v>PASS</v>
      </c>
    </row>
    <row r="240" customFormat="false" ht="15" hidden="false" customHeight="false" outlineLevel="0" collapsed="false">
      <c r="A240" s="10" t="s">
        <v>1533</v>
      </c>
      <c r="B240" s="10" t="s">
        <v>1391</v>
      </c>
      <c r="C240" s="10" t="s">
        <v>1534</v>
      </c>
      <c r="D240" s="10" t="s">
        <v>1535</v>
      </c>
      <c r="E240" s="17" t="n">
        <f aca="false">Backtest!D14</f>
        <v>168</v>
      </c>
      <c r="F240" s="34" t="n">
        <v>168</v>
      </c>
      <c r="G240" s="10" t="n">
        <f aca="false">E240-F240</f>
        <v>0</v>
      </c>
      <c r="H240" s="10" t="str">
        <f aca="false">IF(ABS(G240)&lt;=0.000001,"PASS","FAIL")</f>
        <v>PASS</v>
      </c>
    </row>
    <row r="241" customFormat="false" ht="15" hidden="false" customHeight="false" outlineLevel="0" collapsed="false">
      <c r="A241" s="10" t="s">
        <v>1536</v>
      </c>
      <c r="B241" s="10" t="s">
        <v>1391</v>
      </c>
      <c r="C241" s="10" t="s">
        <v>1537</v>
      </c>
      <c r="D241" s="10" t="s">
        <v>1538</v>
      </c>
      <c r="E241" s="17" t="n">
        <f aca="false">Backtest!E14</f>
        <v>170</v>
      </c>
      <c r="F241" s="34" t="n">
        <v>170</v>
      </c>
      <c r="G241" s="10" t="n">
        <f aca="false">E241-F241</f>
        <v>0</v>
      </c>
      <c r="H241" s="10" t="str">
        <f aca="false">IF(ABS(G241)&lt;=0.000001,"PASS","FAIL")</f>
        <v>PASS</v>
      </c>
    </row>
    <row r="242" customFormat="false" ht="15" hidden="false" customHeight="false" outlineLevel="0" collapsed="false">
      <c r="A242" s="10" t="s">
        <v>1539</v>
      </c>
      <c r="B242" s="10" t="s">
        <v>1471</v>
      </c>
      <c r="C242" s="10" t="s">
        <v>1540</v>
      </c>
      <c r="D242" s="10" t="s">
        <v>68</v>
      </c>
      <c r="E242" s="17" t="n">
        <f aca="false">Backtest!B15</f>
        <v>189.19</v>
      </c>
      <c r="F242" s="34" t="n">
        <v>189.19</v>
      </c>
      <c r="G242" s="10" t="n">
        <f aca="false">E242-F242</f>
        <v>0</v>
      </c>
      <c r="H242" s="10" t="str">
        <f aca="false">IF(ABS(G242)&lt;=0.000001,"PASS","FAIL")</f>
        <v>PASS</v>
      </c>
    </row>
    <row r="243" customFormat="false" ht="15" hidden="false" customHeight="false" outlineLevel="0" collapsed="false">
      <c r="A243" s="10" t="s">
        <v>1541</v>
      </c>
      <c r="B243" s="10" t="s">
        <v>1391</v>
      </c>
      <c r="C243" s="10" t="s">
        <v>1542</v>
      </c>
      <c r="D243" s="10" t="s">
        <v>1543</v>
      </c>
      <c r="E243" s="17" t="n">
        <f aca="false">Backtest!D15</f>
        <v>181</v>
      </c>
      <c r="F243" s="34" t="n">
        <v>181</v>
      </c>
      <c r="G243" s="10" t="n">
        <f aca="false">E243-F243</f>
        <v>0</v>
      </c>
      <c r="H243" s="10" t="str">
        <f aca="false">IF(ABS(G243)&lt;=0.000001,"PASS","FAIL")</f>
        <v>PASS</v>
      </c>
    </row>
    <row r="244" customFormat="false" ht="15" hidden="false" customHeight="false" outlineLevel="0" collapsed="false">
      <c r="A244" s="10" t="s">
        <v>1544</v>
      </c>
      <c r="B244" s="10" t="s">
        <v>1391</v>
      </c>
      <c r="C244" s="10" t="s">
        <v>1545</v>
      </c>
      <c r="D244" s="10" t="s">
        <v>1546</v>
      </c>
      <c r="E244" s="17" t="n">
        <f aca="false">Backtest!E15</f>
        <v>183</v>
      </c>
      <c r="F244" s="34" t="n">
        <v>183</v>
      </c>
      <c r="G244" s="10" t="n">
        <f aca="false">E244-F244</f>
        <v>0</v>
      </c>
      <c r="H244" s="10" t="str">
        <f aca="false">IF(ABS(G244)&lt;=0.000001,"PASS","FAIL")</f>
        <v>PASS</v>
      </c>
    </row>
    <row r="245" customFormat="false" ht="15" hidden="false" customHeight="false" outlineLevel="0" collapsed="false">
      <c r="A245" s="10" t="s">
        <v>1547</v>
      </c>
      <c r="B245" s="10" t="s">
        <v>1471</v>
      </c>
      <c r="C245" s="10" t="s">
        <v>1548</v>
      </c>
      <c r="D245" s="10" t="s">
        <v>69</v>
      </c>
      <c r="E245" s="17" t="n">
        <f aca="false">Backtest!B16</f>
        <v>202.57</v>
      </c>
      <c r="F245" s="34" t="n">
        <v>202.57</v>
      </c>
      <c r="G245" s="10" t="n">
        <f aca="false">E245-F245</f>
        <v>0</v>
      </c>
      <c r="H245" s="10" t="str">
        <f aca="false">IF(ABS(G245)&lt;=0.000001,"PASS","FAIL")</f>
        <v>PASS</v>
      </c>
    </row>
    <row r="246" customFormat="false" ht="15" hidden="false" customHeight="false" outlineLevel="0" collapsed="false">
      <c r="A246" s="10" t="s">
        <v>1549</v>
      </c>
      <c r="B246" s="10" t="s">
        <v>1391</v>
      </c>
      <c r="C246" s="10" t="s">
        <v>1550</v>
      </c>
      <c r="D246" s="10" t="s">
        <v>1551</v>
      </c>
      <c r="E246" s="17" t="n">
        <f aca="false">Backtest!D16</f>
        <v>196</v>
      </c>
      <c r="F246" s="34" t="n">
        <v>196</v>
      </c>
      <c r="G246" s="10" t="n">
        <f aca="false">E246-F246</f>
        <v>0</v>
      </c>
      <c r="H246" s="10" t="str">
        <f aca="false">IF(ABS(G246)&lt;=0.000001,"PASS","FAIL")</f>
        <v>PASS</v>
      </c>
    </row>
    <row r="247" customFormat="false" ht="15" hidden="false" customHeight="false" outlineLevel="0" collapsed="false">
      <c r="A247" s="10" t="s">
        <v>1552</v>
      </c>
      <c r="B247" s="10" t="s">
        <v>1391</v>
      </c>
      <c r="C247" s="10" t="s">
        <v>1553</v>
      </c>
      <c r="D247" s="10" t="s">
        <v>1554</v>
      </c>
      <c r="E247" s="17" t="n">
        <f aca="false">Backtest!E16</f>
        <v>198</v>
      </c>
      <c r="F247" s="34" t="n">
        <v>198</v>
      </c>
      <c r="G247" s="10" t="n">
        <f aca="false">E247-F247</f>
        <v>0</v>
      </c>
      <c r="H247" s="10" t="str">
        <f aca="false">IF(ABS(G247)&lt;=0.000001,"PASS","FAIL")</f>
        <v>PASS</v>
      </c>
    </row>
    <row r="248" customFormat="false" ht="15" hidden="false" customHeight="false" outlineLevel="0" collapsed="false">
      <c r="A248" s="10" t="s">
        <v>1555</v>
      </c>
      <c r="B248" s="10" t="s">
        <v>1471</v>
      </c>
      <c r="C248" s="10" t="s">
        <v>1556</v>
      </c>
      <c r="D248" s="10" t="s">
        <v>70</v>
      </c>
      <c r="E248" s="17" t="n">
        <f aca="false">Backtest!B17</f>
        <v>216.913</v>
      </c>
      <c r="F248" s="34" t="n">
        <v>216.913</v>
      </c>
      <c r="G248" s="10" t="n">
        <f aca="false">E248-F248</f>
        <v>0</v>
      </c>
      <c r="H248" s="10" t="str">
        <f aca="false">IF(ABS(G248)&lt;=0.000001,"PASS","FAIL")</f>
        <v>PASS</v>
      </c>
    </row>
    <row r="249" customFormat="false" ht="15" hidden="false" customHeight="false" outlineLevel="0" collapsed="false">
      <c r="A249" s="10" t="s">
        <v>1557</v>
      </c>
      <c r="B249" s="10" t="s">
        <v>1391</v>
      </c>
      <c r="C249" s="10" t="s">
        <v>1558</v>
      </c>
      <c r="D249" s="10" t="s">
        <v>1559</v>
      </c>
      <c r="E249" s="17" t="n">
        <f aca="false">Backtest!D17</f>
        <v>207</v>
      </c>
      <c r="F249" s="34" t="n">
        <v>207</v>
      </c>
      <c r="G249" s="10" t="n">
        <f aca="false">E249-F249</f>
        <v>0</v>
      </c>
      <c r="H249" s="10" t="str">
        <f aca="false">IF(ABS(G249)&lt;=0.000001,"PASS","FAIL")</f>
        <v>PASS</v>
      </c>
    </row>
    <row r="250" customFormat="false" ht="15" hidden="false" customHeight="false" outlineLevel="0" collapsed="false">
      <c r="A250" s="10" t="s">
        <v>1560</v>
      </c>
      <c r="B250" s="10" t="s">
        <v>1391</v>
      </c>
      <c r="C250" s="10" t="s">
        <v>1561</v>
      </c>
      <c r="D250" s="10" t="s">
        <v>1562</v>
      </c>
      <c r="E250" s="17" t="n">
        <f aca="false">Backtest!E17</f>
        <v>211</v>
      </c>
      <c r="F250" s="34" t="n">
        <v>211</v>
      </c>
      <c r="G250" s="10" t="n">
        <f aca="false">E250-F250</f>
        <v>0</v>
      </c>
      <c r="H250" s="10" t="str">
        <f aca="false">IF(ABS(G250)&lt;=0.000001,"PASS","FAIL")</f>
        <v>PASS</v>
      </c>
    </row>
    <row r="251" customFormat="false" ht="15" hidden="false" customHeight="false" outlineLevel="0" collapsed="false">
      <c r="A251" s="10" t="s">
        <v>1563</v>
      </c>
      <c r="B251" s="10" t="s">
        <v>1471</v>
      </c>
      <c r="C251" s="10" t="s">
        <v>1564</v>
      </c>
      <c r="D251" s="10" t="s">
        <v>71</v>
      </c>
      <c r="E251" s="17" t="n">
        <f aca="false">Backtest!B18</f>
        <v>236.106</v>
      </c>
      <c r="F251" s="34" t="n">
        <v>236.106</v>
      </c>
      <c r="G251" s="10" t="n">
        <f aca="false">E251-F251</f>
        <v>0</v>
      </c>
      <c r="H251" s="10" t="str">
        <f aca="false">IF(ABS(G251)&lt;=0.000001,"PASS","FAIL")</f>
        <v>PASS</v>
      </c>
    </row>
    <row r="252" customFormat="false" ht="15" hidden="false" customHeight="false" outlineLevel="0" collapsed="false">
      <c r="A252" s="10" t="s">
        <v>1565</v>
      </c>
      <c r="B252" s="10" t="s">
        <v>1391</v>
      </c>
      <c r="C252" s="10" t="s">
        <v>1566</v>
      </c>
      <c r="D252" s="10" t="s">
        <v>1567</v>
      </c>
      <c r="E252" s="17" t="n">
        <f aca="false">Backtest!D18</f>
        <v>226</v>
      </c>
      <c r="F252" s="34" t="n">
        <v>226</v>
      </c>
      <c r="G252" s="10" t="n">
        <f aca="false">E252-F252</f>
        <v>0</v>
      </c>
      <c r="H252" s="10" t="str">
        <f aca="false">IF(ABS(G252)&lt;=0.000001,"PASS","FAIL")</f>
        <v>PASS</v>
      </c>
    </row>
    <row r="253" customFormat="false" ht="15" hidden="false" customHeight="false" outlineLevel="0" collapsed="false">
      <c r="A253" s="10" t="s">
        <v>1568</v>
      </c>
      <c r="B253" s="10" t="s">
        <v>1391</v>
      </c>
      <c r="C253" s="10" t="s">
        <v>1569</v>
      </c>
      <c r="D253" s="10" t="s">
        <v>1570</v>
      </c>
      <c r="E253" s="17" t="n">
        <f aca="false">Backtest!E18</f>
        <v>230</v>
      </c>
      <c r="F253" s="34" t="n">
        <v>230</v>
      </c>
      <c r="G253" s="10" t="n">
        <f aca="false">E253-F253</f>
        <v>0</v>
      </c>
      <c r="H253" s="10" t="str">
        <f aca="false">IF(ABS(G253)&lt;=0.000001,"PASS","FAIL")</f>
        <v>PASS</v>
      </c>
    </row>
    <row r="254" customFormat="false" ht="15" hidden="false" customHeight="false" outlineLevel="0" collapsed="false">
      <c r="A254" s="10" t="s">
        <v>1571</v>
      </c>
      <c r="B254" s="10" t="s">
        <v>1471</v>
      </c>
      <c r="C254" s="10" t="s">
        <v>1572</v>
      </c>
      <c r="D254" s="10" t="s">
        <v>72</v>
      </c>
      <c r="E254" s="17" t="n">
        <f aca="false">Backtest!B19</f>
        <v>251</v>
      </c>
      <c r="F254" s="34" t="n">
        <v>251</v>
      </c>
      <c r="G254" s="10" t="n">
        <f aca="false">E254-F254</f>
        <v>0</v>
      </c>
      <c r="H254" s="10" t="str">
        <f aca="false">IF(ABS(G254)&lt;=0.000001,"PASS","FAIL")</f>
        <v>PASS</v>
      </c>
    </row>
    <row r="255" customFormat="false" ht="15" hidden="false" customHeight="false" outlineLevel="0" collapsed="false">
      <c r="A255" s="10" t="s">
        <v>1573</v>
      </c>
      <c r="B255" s="10" t="s">
        <v>1391</v>
      </c>
      <c r="C255" s="10" t="s">
        <v>1574</v>
      </c>
      <c r="D255" s="10" t="s">
        <v>1575</v>
      </c>
      <c r="E255" s="17" t="n">
        <f aca="false">Backtest!D19</f>
        <v>243</v>
      </c>
      <c r="F255" s="34" t="n">
        <v>243</v>
      </c>
      <c r="G255" s="10" t="n">
        <f aca="false">E255-F255</f>
        <v>0</v>
      </c>
      <c r="H255" s="10" t="str">
        <f aca="false">IF(ABS(G255)&lt;=0.000001,"PASS","FAIL")</f>
        <v>PASS</v>
      </c>
    </row>
    <row r="256" customFormat="false" ht="15" hidden="false" customHeight="false" outlineLevel="0" collapsed="false">
      <c r="A256" s="10" t="s">
        <v>1576</v>
      </c>
      <c r="B256" s="10" t="s">
        <v>1391</v>
      </c>
      <c r="C256" s="10" t="s">
        <v>1577</v>
      </c>
      <c r="D256" s="10" t="s">
        <v>1578</v>
      </c>
      <c r="E256" s="17" t="n">
        <f aca="false">Backtest!E19</f>
        <v>247</v>
      </c>
      <c r="F256" s="34" t="n">
        <v>247</v>
      </c>
      <c r="G256" s="10" t="n">
        <f aca="false">E256-F256</f>
        <v>0</v>
      </c>
      <c r="H256" s="10" t="str">
        <f aca="false">IF(ABS(G256)&lt;=0.000001,"PASS","FAIL")</f>
        <v>PASS</v>
      </c>
    </row>
    <row r="257" customFormat="false" ht="15" hidden="false" customHeight="false" outlineLevel="0" collapsed="false">
      <c r="A257" s="10" t="s">
        <v>1579</v>
      </c>
      <c r="B257" s="10" t="s">
        <v>1471</v>
      </c>
      <c r="C257" s="10" t="s">
        <v>1580</v>
      </c>
      <c r="D257" s="10" t="s">
        <v>73</v>
      </c>
      <c r="E257" s="17" t="n">
        <f aca="false">Backtest!B20</f>
        <v>267.976</v>
      </c>
      <c r="F257" s="34" t="n">
        <v>267.976</v>
      </c>
      <c r="G257" s="10" t="n">
        <f aca="false">E257-F257</f>
        <v>0</v>
      </c>
      <c r="H257" s="10" t="str">
        <f aca="false">IF(ABS(G257)&lt;=0.000001,"PASS","FAIL")</f>
        <v>PASS</v>
      </c>
    </row>
    <row r="258" customFormat="false" ht="15" hidden="false" customHeight="false" outlineLevel="0" collapsed="false">
      <c r="A258" s="10" t="s">
        <v>1581</v>
      </c>
      <c r="B258" s="10" t="s">
        <v>1391</v>
      </c>
      <c r="C258" s="10" t="s">
        <v>1582</v>
      </c>
      <c r="D258" s="10" t="s">
        <v>1583</v>
      </c>
      <c r="E258" s="17" t="n">
        <f aca="false">Backtest!D20</f>
        <v>260</v>
      </c>
      <c r="F258" s="34" t="n">
        <v>260</v>
      </c>
      <c r="G258" s="10" t="n">
        <f aca="false">E258-F258</f>
        <v>0</v>
      </c>
      <c r="H258" s="10" t="str">
        <f aca="false">IF(ABS(G258)&lt;=0.000001,"PASS","FAIL")</f>
        <v>PASS</v>
      </c>
    </row>
    <row r="259" customFormat="false" ht="15" hidden="false" customHeight="false" outlineLevel="0" collapsed="false">
      <c r="A259" s="10" t="s">
        <v>1584</v>
      </c>
      <c r="B259" s="10" t="s">
        <v>1391</v>
      </c>
      <c r="C259" s="10" t="s">
        <v>1585</v>
      </c>
      <c r="D259" s="10" t="s">
        <v>1586</v>
      </c>
      <c r="E259" s="17" t="n">
        <f aca="false">Backtest!E20</f>
        <v>262</v>
      </c>
      <c r="F259" s="34" t="n">
        <v>262</v>
      </c>
      <c r="G259" s="10" t="n">
        <f aca="false">E259-F259</f>
        <v>0</v>
      </c>
      <c r="H259" s="10" t="str">
        <f aca="false">IF(ABS(G259)&lt;=0.000001,"PASS","FAIL")</f>
        <v>PASS</v>
      </c>
    </row>
    <row r="260" customFormat="false" ht="15" hidden="false" customHeight="false" outlineLevel="0" collapsed="false">
      <c r="A260" s="10" t="s">
        <v>1587</v>
      </c>
      <c r="B260" s="10" t="s">
        <v>1471</v>
      </c>
      <c r="C260" s="10" t="s">
        <v>1588</v>
      </c>
      <c r="D260" s="10" t="s">
        <v>74</v>
      </c>
      <c r="E260" s="17" t="n">
        <f aca="false">Backtest!B21</f>
        <v>282.25</v>
      </c>
      <c r="F260" s="34" t="n">
        <v>282.25</v>
      </c>
      <c r="G260" s="10" t="n">
        <f aca="false">E260-F260</f>
        <v>0</v>
      </c>
      <c r="H260" s="10" t="str">
        <f aca="false">IF(ABS(G260)&lt;=0.000001,"PASS","FAIL")</f>
        <v>PASS</v>
      </c>
    </row>
    <row r="261" customFormat="false" ht="15" hidden="false" customHeight="false" outlineLevel="0" collapsed="false">
      <c r="A261" s="10" t="s">
        <v>1589</v>
      </c>
      <c r="B261" s="10" t="s">
        <v>1391</v>
      </c>
      <c r="C261" s="10" t="s">
        <v>1590</v>
      </c>
      <c r="D261" s="10" t="s">
        <v>1591</v>
      </c>
      <c r="E261" s="17" t="n">
        <f aca="false">Backtest!D21</f>
        <v>274</v>
      </c>
      <c r="F261" s="34" t="n">
        <v>274</v>
      </c>
      <c r="G261" s="10" t="n">
        <f aca="false">E261-F261</f>
        <v>0</v>
      </c>
      <c r="H261" s="10" t="str">
        <f aca="false">IF(ABS(G261)&lt;=0.000001,"PASS","FAIL")</f>
        <v>PASS</v>
      </c>
    </row>
    <row r="262" customFormat="false" ht="15" hidden="false" customHeight="false" outlineLevel="0" collapsed="false">
      <c r="A262" s="10" t="s">
        <v>1592</v>
      </c>
      <c r="B262" s="10" t="s">
        <v>1391</v>
      </c>
      <c r="C262" s="10" t="s">
        <v>1593</v>
      </c>
      <c r="D262" s="10" t="s">
        <v>1594</v>
      </c>
      <c r="E262" s="17" t="n">
        <f aca="false">Backtest!E21</f>
        <v>276</v>
      </c>
      <c r="F262" s="34" t="n">
        <v>276</v>
      </c>
      <c r="G262" s="10" t="n">
        <f aca="false">E262-F262</f>
        <v>0</v>
      </c>
      <c r="H262" s="10" t="str">
        <f aca="false">IF(ABS(G262)&lt;=0.000001,"PASS","FAIL")</f>
        <v>PASS</v>
      </c>
    </row>
    <row r="263" customFormat="false" ht="15" hidden="false" customHeight="false" outlineLevel="0" collapsed="false">
      <c r="A263" s="10" t="s">
        <v>1595</v>
      </c>
      <c r="B263" s="10" t="s">
        <v>1471</v>
      </c>
      <c r="C263" s="10" t="s">
        <v>1596</v>
      </c>
      <c r="D263" s="10" t="s">
        <v>75</v>
      </c>
      <c r="E263" s="17" t="n">
        <f aca="false">Backtest!B22</f>
        <v>299.014</v>
      </c>
      <c r="F263" s="34" t="n">
        <v>299.014</v>
      </c>
      <c r="G263" s="10" t="n">
        <f aca="false">E263-F263</f>
        <v>0</v>
      </c>
      <c r="H263" s="10" t="str">
        <f aca="false">IF(ABS(G263)&lt;=0.000001,"PASS","FAIL")</f>
        <v>PASS</v>
      </c>
    </row>
    <row r="264" customFormat="false" ht="15" hidden="false" customHeight="false" outlineLevel="0" collapsed="false">
      <c r="A264" s="10" t="s">
        <v>1597</v>
      </c>
      <c r="B264" s="10" t="s">
        <v>1391</v>
      </c>
      <c r="C264" s="10" t="s">
        <v>1598</v>
      </c>
      <c r="D264" s="10" t="s">
        <v>1599</v>
      </c>
      <c r="E264" s="17" t="n">
        <f aca="false">Backtest!D22</f>
        <v>292</v>
      </c>
      <c r="F264" s="34" t="n">
        <v>292</v>
      </c>
      <c r="G264" s="10" t="n">
        <f aca="false">E264-F264</f>
        <v>0</v>
      </c>
      <c r="H264" s="10" t="str">
        <f aca="false">IF(ABS(G264)&lt;=0.000001,"PASS","FAIL")</f>
        <v>PASS</v>
      </c>
    </row>
    <row r="265" customFormat="false" ht="15" hidden="false" customHeight="false" outlineLevel="0" collapsed="false">
      <c r="A265" s="10" t="s">
        <v>1600</v>
      </c>
      <c r="B265" s="10" t="s">
        <v>1391</v>
      </c>
      <c r="C265" s="10" t="s">
        <v>1601</v>
      </c>
      <c r="D265" s="10" t="s">
        <v>1602</v>
      </c>
      <c r="E265" s="17" t="n">
        <f aca="false">Backtest!E22</f>
        <v>294</v>
      </c>
      <c r="F265" s="34" t="n">
        <v>294</v>
      </c>
      <c r="G265" s="10" t="n">
        <f aca="false">E265-F265</f>
        <v>0</v>
      </c>
      <c r="H265" s="10" t="str">
        <f aca="false">IF(ABS(G265)&lt;=0.000001,"PASS","FAIL")</f>
        <v>PASS</v>
      </c>
    </row>
    <row r="266" customFormat="false" ht="15" hidden="false" customHeight="false" outlineLevel="0" collapsed="false">
      <c r="A266" s="10" t="s">
        <v>1603</v>
      </c>
      <c r="B266" s="10" t="s">
        <v>1471</v>
      </c>
      <c r="C266" s="10" t="s">
        <v>1604</v>
      </c>
      <c r="D266" s="10" t="s">
        <v>76</v>
      </c>
      <c r="E266" s="17" t="n">
        <f aca="false">Backtest!B23</f>
        <v>316.855</v>
      </c>
      <c r="F266" s="34" t="n">
        <v>316.855</v>
      </c>
      <c r="G266" s="10" t="n">
        <f aca="false">E266-F266</f>
        <v>0</v>
      </c>
      <c r="H266" s="10" t="str">
        <f aca="false">IF(ABS(G266)&lt;=0.000001,"PASS","FAIL")</f>
        <v>PASS</v>
      </c>
    </row>
    <row r="267" customFormat="false" ht="15" hidden="false" customHeight="false" outlineLevel="0" collapsed="false">
      <c r="A267" s="10" t="s">
        <v>1605</v>
      </c>
      <c r="B267" s="10" t="s">
        <v>1391</v>
      </c>
      <c r="C267" s="10" t="s">
        <v>1606</v>
      </c>
      <c r="D267" s="10" t="s">
        <v>1607</v>
      </c>
      <c r="E267" s="17" t="n">
        <f aca="false">Backtest!D23</f>
        <v>311</v>
      </c>
      <c r="F267" s="34" t="n">
        <v>311</v>
      </c>
      <c r="G267" s="10" t="n">
        <f aca="false">E267-F267</f>
        <v>0</v>
      </c>
      <c r="H267" s="10" t="str">
        <f aca="false">IF(ABS(G267)&lt;=0.000001,"PASS","FAIL")</f>
        <v>PASS</v>
      </c>
    </row>
    <row r="268" customFormat="false" ht="15" hidden="false" customHeight="false" outlineLevel="0" collapsed="false">
      <c r="A268" s="10" t="s">
        <v>1608</v>
      </c>
      <c r="B268" s="10" t="s">
        <v>1391</v>
      </c>
      <c r="C268" s="10" t="s">
        <v>1609</v>
      </c>
      <c r="D268" s="10" t="s">
        <v>1610</v>
      </c>
      <c r="E268" s="17" t="n">
        <f aca="false">Backtest!E23</f>
        <v>313</v>
      </c>
      <c r="F268" s="34" t="n">
        <v>313</v>
      </c>
      <c r="G268" s="10" t="n">
        <f aca="false">E268-F268</f>
        <v>0</v>
      </c>
      <c r="H268" s="10" t="str">
        <f aca="false">IF(ABS(G268)&lt;=0.000001,"PASS","FAIL")</f>
        <v>PASS</v>
      </c>
    </row>
    <row r="269" customFormat="false" ht="15" hidden="false" customHeight="false" outlineLevel="0" collapsed="false">
      <c r="A269" s="10" t="s">
        <v>1611</v>
      </c>
      <c r="B269" s="10" t="s">
        <v>1471</v>
      </c>
      <c r="C269" s="10" t="s">
        <v>1612</v>
      </c>
      <c r="D269" s="10" t="s">
        <v>77</v>
      </c>
      <c r="E269" s="17" t="n">
        <f aca="false">Backtest!B24</f>
        <v>333.878</v>
      </c>
      <c r="F269" s="34" t="n">
        <v>333.878</v>
      </c>
      <c r="G269" s="10" t="n">
        <f aca="false">E269-F269</f>
        <v>0</v>
      </c>
      <c r="H269" s="10" t="str">
        <f aca="false">IF(ABS(G269)&lt;=0.000001,"PASS","FAIL")</f>
        <v>PASS</v>
      </c>
    </row>
    <row r="270" customFormat="false" ht="15" hidden="false" customHeight="false" outlineLevel="0" collapsed="false">
      <c r="A270" s="10" t="s">
        <v>1613</v>
      </c>
      <c r="B270" s="10" t="s">
        <v>1391</v>
      </c>
      <c r="C270" s="10" t="s">
        <v>1614</v>
      </c>
      <c r="D270" s="10" t="s">
        <v>1615</v>
      </c>
      <c r="E270" s="17" t="n">
        <f aca="false">Backtest!D24</f>
        <v>328</v>
      </c>
      <c r="F270" s="34" t="n">
        <v>328</v>
      </c>
      <c r="G270" s="10" t="n">
        <f aca="false">E270-F270</f>
        <v>0</v>
      </c>
      <c r="H270" s="10" t="str">
        <f aca="false">IF(ABS(G270)&lt;=0.000001,"PASS","FAIL")</f>
        <v>PASS</v>
      </c>
    </row>
    <row r="271" customFormat="false" ht="15" hidden="false" customHeight="false" outlineLevel="0" collapsed="false">
      <c r="A271" s="10" t="s">
        <v>1616</v>
      </c>
      <c r="B271" s="10" t="s">
        <v>1391</v>
      </c>
      <c r="C271" s="10" t="s">
        <v>1617</v>
      </c>
      <c r="D271" s="10" t="s">
        <v>1618</v>
      </c>
      <c r="E271" s="17" t="n">
        <f aca="false">Backtest!E24</f>
        <v>330</v>
      </c>
      <c r="F271" s="34" t="n">
        <v>330</v>
      </c>
      <c r="G271" s="10" t="n">
        <f aca="false">E271-F271</f>
        <v>0</v>
      </c>
      <c r="H271" s="10" t="str">
        <f aca="false">IF(ABS(G271)&lt;=0.000001,"PASS","FAIL")</f>
        <v>PASS</v>
      </c>
    </row>
    <row r="272" customFormat="false" ht="15" hidden="false" customHeight="false" outlineLevel="0" collapsed="false">
      <c r="A272" s="10" t="s">
        <v>1619</v>
      </c>
      <c r="B272" s="10" t="s">
        <v>1471</v>
      </c>
      <c r="C272" s="10" t="s">
        <v>1620</v>
      </c>
      <c r="D272" s="10" t="s">
        <v>78</v>
      </c>
      <c r="E272" s="17" t="n">
        <f aca="false">Backtest!B25</f>
        <v>351.265</v>
      </c>
      <c r="F272" s="34" t="n">
        <v>351.265</v>
      </c>
      <c r="G272" s="10" t="n">
        <f aca="false">E272-F272</f>
        <v>0</v>
      </c>
      <c r="H272" s="10" t="str">
        <f aca="false">IF(ABS(G272)&lt;=0.000001,"PASS","FAIL")</f>
        <v>PASS</v>
      </c>
    </row>
    <row r="273" customFormat="false" ht="15" hidden="false" customHeight="false" outlineLevel="0" collapsed="false">
      <c r="A273" s="10" t="s">
        <v>1621</v>
      </c>
      <c r="B273" s="10" t="s">
        <v>1391</v>
      </c>
      <c r="C273" s="10" t="s">
        <v>1622</v>
      </c>
      <c r="D273" s="10" t="s">
        <v>1623</v>
      </c>
      <c r="E273" s="17" t="n">
        <f aca="false">Backtest!D25</f>
        <v>338</v>
      </c>
      <c r="F273" s="34" t="n">
        <v>338</v>
      </c>
      <c r="G273" s="10" t="n">
        <f aca="false">E273-F273</f>
        <v>0</v>
      </c>
      <c r="H273" s="10" t="str">
        <f aca="false">IF(ABS(G273)&lt;=0.000001,"PASS","FAIL")</f>
        <v>PASS</v>
      </c>
    </row>
    <row r="274" customFormat="false" ht="15" hidden="false" customHeight="false" outlineLevel="0" collapsed="false">
      <c r="A274" s="10" t="s">
        <v>1624</v>
      </c>
      <c r="B274" s="10" t="s">
        <v>1391</v>
      </c>
      <c r="C274" s="10" t="s">
        <v>1625</v>
      </c>
      <c r="D274" s="10" t="s">
        <v>1626</v>
      </c>
      <c r="E274" s="17" t="n">
        <f aca="false">Backtest!E25</f>
        <v>340</v>
      </c>
      <c r="F274" s="34" t="n">
        <v>340</v>
      </c>
      <c r="G274" s="10" t="n">
        <f aca="false">E274-F274</f>
        <v>0</v>
      </c>
      <c r="H274" s="10" t="str">
        <f aca="false">IF(ABS(G274)&lt;=0.000001,"PASS","FAIL")</f>
        <v>PASS</v>
      </c>
    </row>
    <row r="275" customFormat="false" ht="15" hidden="false" customHeight="false" outlineLevel="0" collapsed="false">
      <c r="A275" s="10" t="s">
        <v>1627</v>
      </c>
      <c r="B275" s="10" t="s">
        <v>1471</v>
      </c>
      <c r="C275" s="10" t="s">
        <v>1628</v>
      </c>
      <c r="D275" s="10" t="s">
        <v>79</v>
      </c>
      <c r="E275" s="17" t="n">
        <f aca="false">Backtest!B26</f>
        <v>364.621</v>
      </c>
      <c r="F275" s="34" t="n">
        <v>364.621</v>
      </c>
      <c r="G275" s="10" t="n">
        <f aca="false">E275-F275</f>
        <v>0</v>
      </c>
      <c r="H275" s="10" t="str">
        <f aca="false">IF(ABS(G275)&lt;=0.000001,"PASS","FAIL")</f>
        <v>PASS</v>
      </c>
    </row>
    <row r="276" customFormat="false" ht="15" hidden="false" customHeight="false" outlineLevel="0" collapsed="false">
      <c r="A276" s="10" t="s">
        <v>1629</v>
      </c>
      <c r="B276" s="10" t="s">
        <v>1391</v>
      </c>
      <c r="C276" s="10" t="s">
        <v>1630</v>
      </c>
      <c r="D276" s="10" t="s">
        <v>1631</v>
      </c>
      <c r="E276" s="17" t="n">
        <f aca="false">Backtest!D26</f>
        <v>354</v>
      </c>
      <c r="F276" s="34" t="n">
        <v>354</v>
      </c>
      <c r="G276" s="10" t="n">
        <f aca="false">E276-F276</f>
        <v>0</v>
      </c>
      <c r="H276" s="10" t="str">
        <f aca="false">IF(ABS(G276)&lt;=0.000001,"PASS","FAIL")</f>
        <v>PASS</v>
      </c>
    </row>
    <row r="277" customFormat="false" ht="15" hidden="false" customHeight="false" outlineLevel="0" collapsed="false">
      <c r="A277" s="10" t="s">
        <v>1632</v>
      </c>
      <c r="B277" s="10" t="s">
        <v>1391</v>
      </c>
      <c r="C277" s="10" t="s">
        <v>1633</v>
      </c>
      <c r="D277" s="10" t="s">
        <v>1634</v>
      </c>
      <c r="E277" s="17" t="n">
        <f aca="false">Backtest!E26</f>
        <v>356</v>
      </c>
      <c r="F277" s="34" t="n">
        <v>356</v>
      </c>
      <c r="G277" s="10" t="n">
        <f aca="false">E277-F277</f>
        <v>0</v>
      </c>
      <c r="H277" s="10" t="str">
        <f aca="false">IF(ABS(G277)&lt;=0.000001,"PASS","FAIL")</f>
        <v>PASS</v>
      </c>
    </row>
    <row r="278" customFormat="false" ht="15" hidden="false" customHeight="false" outlineLevel="0" collapsed="false">
      <c r="A278" s="10" t="s">
        <v>1635</v>
      </c>
      <c r="B278" s="10" t="s">
        <v>1042</v>
      </c>
      <c r="C278" s="10" t="s">
        <v>1636</v>
      </c>
      <c r="D278" s="10" t="s">
        <v>940</v>
      </c>
      <c r="E278" s="29" t="n">
        <f aca="false">Trigger_History!F6</f>
        <v>335</v>
      </c>
      <c r="F278" s="34" t="n">
        <v>335</v>
      </c>
      <c r="G278" s="10" t="n">
        <f aca="false">E278-F278</f>
        <v>0</v>
      </c>
      <c r="H278" s="10" t="str">
        <f aca="false">IF(ABS(G278)&lt;=0.000001,"PASS","FAIL")</f>
        <v>PASS</v>
      </c>
    </row>
    <row r="279" customFormat="false" ht="15" hidden="false" customHeight="false" outlineLevel="0" collapsed="false">
      <c r="A279" s="10" t="s">
        <v>1637</v>
      </c>
      <c r="B279" s="10" t="s">
        <v>1042</v>
      </c>
      <c r="C279" s="10" t="s">
        <v>1638</v>
      </c>
      <c r="D279" s="10" t="s">
        <v>941</v>
      </c>
      <c r="E279" s="29" t="n">
        <f aca="false">Trigger_History!F7</f>
        <v>470</v>
      </c>
      <c r="F279" s="34" t="n">
        <v>470</v>
      </c>
      <c r="G279" s="10" t="n">
        <f aca="false">E279-F279</f>
        <v>0</v>
      </c>
      <c r="H279" s="10" t="str">
        <f aca="false">IF(ABS(G279)&lt;=0.000001,"PASS","FAIL")</f>
        <v>PASS</v>
      </c>
    </row>
    <row r="280" customFormat="false" ht="15" hidden="false" customHeight="false" outlineLevel="0" collapsed="false">
      <c r="A280" s="10" t="s">
        <v>1639</v>
      </c>
      <c r="B280" s="10" t="s">
        <v>1042</v>
      </c>
      <c r="C280" s="10" t="s">
        <v>1640</v>
      </c>
      <c r="D280" s="10" t="s">
        <v>942</v>
      </c>
      <c r="E280" s="29" t="n">
        <f aca="false">Trigger_History!F8</f>
        <v>613</v>
      </c>
      <c r="F280" s="34" t="n">
        <v>613</v>
      </c>
      <c r="G280" s="10" t="n">
        <f aca="false">E280-F280</f>
        <v>0</v>
      </c>
      <c r="H280" s="10" t="str">
        <f aca="false">IF(ABS(G280)&lt;=0.000001,"PASS","FAIL")</f>
        <v>PASS</v>
      </c>
    </row>
    <row r="281" customFormat="false" ht="15" hidden="false" customHeight="false" outlineLevel="0" collapsed="false">
      <c r="A281" s="10" t="s">
        <v>1641</v>
      </c>
      <c r="B281" s="10" t="s">
        <v>1042</v>
      </c>
      <c r="C281" s="10" t="s">
        <v>1642</v>
      </c>
      <c r="D281" s="10" t="s">
        <v>943</v>
      </c>
      <c r="E281" s="29" t="n">
        <f aca="false">Trigger_History!F9</f>
        <v>793</v>
      </c>
      <c r="F281" s="34" t="n">
        <v>793</v>
      </c>
      <c r="G281" s="10" t="n">
        <f aca="false">E281-F281</f>
        <v>0</v>
      </c>
      <c r="H281" s="10" t="str">
        <f aca="false">IF(ABS(G281)&lt;=0.000001,"PASS","FAIL")</f>
        <v>PASS</v>
      </c>
    </row>
    <row r="282" customFormat="false" ht="15" hidden="false" customHeight="false" outlineLevel="0" collapsed="false">
      <c r="A282" s="10" t="s">
        <v>1643</v>
      </c>
      <c r="B282" s="10" t="s">
        <v>1042</v>
      </c>
      <c r="C282" s="10" t="s">
        <v>1644</v>
      </c>
      <c r="D282" s="10" t="s">
        <v>944</v>
      </c>
      <c r="E282" s="29" t="n">
        <f aca="false">Trigger_History!F10</f>
        <v>960</v>
      </c>
      <c r="F282" s="34" t="n">
        <v>960</v>
      </c>
      <c r="G282" s="10" t="n">
        <f aca="false">E282-F282</f>
        <v>0</v>
      </c>
      <c r="H282" s="10" t="str">
        <f aca="false">IF(ABS(G282)&lt;=0.000001,"PASS","FAIL")</f>
        <v>PASS</v>
      </c>
    </row>
    <row r="283" customFormat="false" ht="15" hidden="false" customHeight="false" outlineLevel="0" collapsed="false">
      <c r="A283" s="10" t="s">
        <v>1645</v>
      </c>
      <c r="B283" s="10" t="s">
        <v>1042</v>
      </c>
      <c r="C283" s="10" t="s">
        <v>1646</v>
      </c>
      <c r="D283" s="10" t="s">
        <v>945</v>
      </c>
      <c r="E283" s="29" t="n">
        <f aca="false">Trigger_History!F11</f>
        <v>1160</v>
      </c>
      <c r="F283" s="34" t="n">
        <v>1160</v>
      </c>
      <c r="G283" s="10" t="n">
        <f aca="false">E283-F283</f>
        <v>0</v>
      </c>
      <c r="H283" s="10" t="str">
        <f aca="false">IF(ABS(G283)&lt;=0.000001,"PASS","FAIL")</f>
        <v>PASS</v>
      </c>
    </row>
    <row r="284" customFormat="false" ht="15" hidden="false" customHeight="false" outlineLevel="0" collapsed="false">
      <c r="A284" s="10" t="s">
        <v>1647</v>
      </c>
      <c r="B284" s="10" t="s">
        <v>1042</v>
      </c>
      <c r="C284" s="10" t="s">
        <v>1648</v>
      </c>
      <c r="D284" s="10" t="s">
        <v>946</v>
      </c>
      <c r="E284" s="29" t="n">
        <f aca="false">Trigger_History!F12</f>
        <v>1323</v>
      </c>
      <c r="F284" s="34" t="n">
        <v>1323</v>
      </c>
      <c r="G284" s="10" t="n">
        <f aca="false">E284-F284</f>
        <v>0</v>
      </c>
      <c r="H284" s="10" t="str">
        <f aca="false">IF(ABS(G284)&lt;=0.000001,"PASS","FAIL")</f>
        <v>PASS</v>
      </c>
    </row>
    <row r="285" customFormat="false" ht="15" hidden="false" customHeight="false" outlineLevel="0" collapsed="false">
      <c r="A285" s="10" t="s">
        <v>1649</v>
      </c>
      <c r="B285" s="10" t="s">
        <v>1042</v>
      </c>
      <c r="C285" s="10" t="s">
        <v>1650</v>
      </c>
      <c r="D285" s="10" t="s">
        <v>947</v>
      </c>
      <c r="E285" s="29" t="n">
        <f aca="false">Trigger_History!F13</f>
        <v>1474</v>
      </c>
      <c r="F285" s="34" t="n">
        <v>1474</v>
      </c>
      <c r="G285" s="10" t="n">
        <f aca="false">E285-F285</f>
        <v>0</v>
      </c>
      <c r="H285" s="10" t="str">
        <f aca="false">IF(ABS(G285)&lt;=0.000001,"PASS","FAIL")</f>
        <v>PASS</v>
      </c>
    </row>
    <row r="286" customFormat="false" ht="15" hidden="false" customHeight="false" outlineLevel="0" collapsed="false">
      <c r="A286" s="10" t="s">
        <v>1651</v>
      </c>
      <c r="B286" s="10" t="s">
        <v>1042</v>
      </c>
      <c r="C286" s="10" t="s">
        <v>1652</v>
      </c>
      <c r="D286" s="10" t="s">
        <v>240</v>
      </c>
      <c r="E286" s="29" t="n">
        <f aca="false">Trigger_History!F14</f>
        <v>1683</v>
      </c>
      <c r="F286" s="34" t="n">
        <v>1683</v>
      </c>
      <c r="G286" s="10" t="n">
        <f aca="false">E286-F286</f>
        <v>0</v>
      </c>
      <c r="H286" s="10" t="str">
        <f aca="false">IF(ABS(G286)&lt;=0.000001,"PASS","FAIL")</f>
        <v>PASS</v>
      </c>
    </row>
    <row r="287" customFormat="false" ht="15" hidden="false" customHeight="false" outlineLevel="0" collapsed="false">
      <c r="A287" s="10" t="s">
        <v>1653</v>
      </c>
      <c r="B287" s="10" t="s">
        <v>1042</v>
      </c>
      <c r="C287" s="10" t="s">
        <v>1654</v>
      </c>
      <c r="D287" s="10" t="s">
        <v>241</v>
      </c>
      <c r="E287" s="29" t="n">
        <f aca="false">Trigger_History!F15</f>
        <v>1892</v>
      </c>
      <c r="F287" s="34" t="n">
        <v>1892</v>
      </c>
      <c r="G287" s="10" t="n">
        <f aca="false">E287-F287</f>
        <v>0</v>
      </c>
      <c r="H287" s="10" t="str">
        <f aca="false">IF(ABS(G287)&lt;=0.000001,"PASS","FAIL")</f>
        <v>PASS</v>
      </c>
    </row>
    <row r="288" customFormat="false" ht="15" hidden="false" customHeight="false" outlineLevel="0" collapsed="false">
      <c r="A288" s="10" t="s">
        <v>1655</v>
      </c>
      <c r="B288" s="10" t="s">
        <v>1042</v>
      </c>
      <c r="C288" s="10" t="s">
        <v>1656</v>
      </c>
      <c r="D288" s="10" t="s">
        <v>242</v>
      </c>
      <c r="E288" s="29" t="n">
        <f aca="false">Trigger_History!F16</f>
        <v>2077</v>
      </c>
      <c r="F288" s="34" t="n">
        <v>2077</v>
      </c>
      <c r="G288" s="10" t="n">
        <f aca="false">E288-F288</f>
        <v>0</v>
      </c>
      <c r="H288" s="10" t="str">
        <f aca="false">IF(ABS(G288)&lt;=0.000001,"PASS","FAIL")</f>
        <v>PASS</v>
      </c>
    </row>
    <row r="289" customFormat="false" ht="15" hidden="false" customHeight="false" outlineLevel="0" collapsed="false">
      <c r="A289" s="10" t="s">
        <v>1657</v>
      </c>
      <c r="B289" s="10" t="s">
        <v>1042</v>
      </c>
      <c r="C289" s="10" t="s">
        <v>1658</v>
      </c>
      <c r="D289" s="10" t="s">
        <v>243</v>
      </c>
      <c r="E289" s="29" t="n">
        <f aca="false">Trigger_History!F17</f>
        <v>2295</v>
      </c>
      <c r="F289" s="34" t="n">
        <v>2295</v>
      </c>
      <c r="G289" s="10" t="n">
        <f aca="false">E289-F289</f>
        <v>0</v>
      </c>
      <c r="H289" s="10" t="str">
        <f aca="false">IF(ABS(G289)&lt;=0.000001,"PASS","FAIL")</f>
        <v>PASS</v>
      </c>
    </row>
    <row r="290" customFormat="false" ht="15" hidden="false" customHeight="false" outlineLevel="0" collapsed="false">
      <c r="A290" s="10" t="s">
        <v>1659</v>
      </c>
      <c r="B290" s="10" t="s">
        <v>1042</v>
      </c>
      <c r="C290" s="10" t="s">
        <v>1660</v>
      </c>
      <c r="D290" s="10" t="s">
        <v>244</v>
      </c>
      <c r="E290" s="29" t="n">
        <f aca="false">Trigger_History!F18</f>
        <v>2491</v>
      </c>
      <c r="F290" s="34" t="n">
        <v>2491</v>
      </c>
      <c r="G290" s="10" t="n">
        <f aca="false">E290-F290</f>
        <v>0</v>
      </c>
      <c r="H290" s="10" t="str">
        <f aca="false">IF(ABS(G290)&lt;=0.000001,"PASS","FAIL")</f>
        <v>PASS</v>
      </c>
    </row>
    <row r="291" customFormat="false" ht="15" hidden="false" customHeight="false" outlineLevel="0" collapsed="false">
      <c r="A291" s="10" t="s">
        <v>1661</v>
      </c>
      <c r="B291" s="10" t="s">
        <v>1042</v>
      </c>
      <c r="C291" s="10" t="s">
        <v>1662</v>
      </c>
      <c r="D291" s="10" t="s">
        <v>245</v>
      </c>
      <c r="E291" s="29" t="n">
        <f aca="false">Trigger_History!F19</f>
        <v>2713</v>
      </c>
      <c r="F291" s="34" t="n">
        <v>2713</v>
      </c>
      <c r="G291" s="10" t="n">
        <f aca="false">E291-F291</f>
        <v>0</v>
      </c>
      <c r="H291" s="10" t="str">
        <f aca="false">IF(ABS(G291)&lt;=0.000001,"PASS","FAIL")</f>
        <v>PASS</v>
      </c>
    </row>
    <row r="292" customFormat="false" ht="15" hidden="false" customHeight="false" outlineLevel="0" collapsed="false">
      <c r="A292" s="10" t="s">
        <v>1663</v>
      </c>
      <c r="B292" s="10" t="s">
        <v>1042</v>
      </c>
      <c r="C292" s="10" t="s">
        <v>1664</v>
      </c>
      <c r="D292" s="10" t="s">
        <v>246</v>
      </c>
      <c r="E292" s="29" t="n">
        <f aca="false">Trigger_History!F20</f>
        <v>2907</v>
      </c>
      <c r="F292" s="34" t="n">
        <v>2907</v>
      </c>
      <c r="G292" s="10" t="n">
        <f aca="false">E292-F292</f>
        <v>0</v>
      </c>
      <c r="H292" s="10" t="str">
        <f aca="false">IF(ABS(G292)&lt;=0.000001,"PASS","FAIL")</f>
        <v>PASS</v>
      </c>
    </row>
    <row r="293" customFormat="false" ht="15" hidden="false" customHeight="false" outlineLevel="0" collapsed="false">
      <c r="A293" s="10" t="s">
        <v>1665</v>
      </c>
      <c r="B293" s="10" t="s">
        <v>1042</v>
      </c>
      <c r="C293" s="10" t="s">
        <v>1666</v>
      </c>
      <c r="D293" s="10" t="s">
        <v>247</v>
      </c>
      <c r="E293" s="29" t="n">
        <f aca="false">Trigger_History!F21</f>
        <v>3201</v>
      </c>
      <c r="F293" s="34" t="n">
        <v>3201</v>
      </c>
      <c r="G293" s="10" t="n">
        <f aca="false">E293-F293</f>
        <v>0</v>
      </c>
      <c r="H293" s="10" t="str">
        <f aca="false">IF(ABS(G293)&lt;=0.000001,"PASS","FAIL")</f>
        <v>PASS</v>
      </c>
    </row>
    <row r="294" customFormat="false" ht="15" hidden="false" customHeight="false" outlineLevel="0" collapsed="false">
      <c r="A294" s="10" t="s">
        <v>1667</v>
      </c>
      <c r="B294" s="10" t="s">
        <v>1042</v>
      </c>
      <c r="C294" s="10" t="s">
        <v>1668</v>
      </c>
      <c r="D294" s="10" t="s">
        <v>248</v>
      </c>
      <c r="E294" s="29" t="n">
        <f aca="false">Trigger_History!F22</f>
        <v>3444</v>
      </c>
      <c r="F294" s="34" t="n">
        <v>3444</v>
      </c>
      <c r="G294" s="10" t="n">
        <f aca="false">E294-F294</f>
        <v>0</v>
      </c>
      <c r="H294" s="10" t="str">
        <f aca="false">IF(ABS(G294)&lt;=0.000001,"PASS","FAIL")</f>
        <v>PASS</v>
      </c>
    </row>
    <row r="295" customFormat="false" ht="15" hidden="false" customHeight="false" outlineLevel="0" collapsed="false">
      <c r="A295" s="10" t="s">
        <v>1669</v>
      </c>
      <c r="B295" s="10" t="s">
        <v>1042</v>
      </c>
      <c r="C295" s="10" t="s">
        <v>1670</v>
      </c>
      <c r="D295" s="10" t="s">
        <v>249</v>
      </c>
      <c r="E295" s="29" t="n">
        <f aca="false">Trigger_History!F23</f>
        <v>3702</v>
      </c>
      <c r="F295" s="34" t="n">
        <v>3702</v>
      </c>
      <c r="G295" s="10" t="n">
        <f aca="false">E295-F295</f>
        <v>0</v>
      </c>
      <c r="H295" s="10" t="str">
        <f aca="false">IF(ABS(G295)&lt;=0.000001,"PASS","FAIL")</f>
        <v>PASS</v>
      </c>
    </row>
    <row r="296" customFormat="false" ht="15" hidden="false" customHeight="false" outlineLevel="0" collapsed="false">
      <c r="A296" s="10" t="s">
        <v>1671</v>
      </c>
      <c r="B296" s="10" t="s">
        <v>1042</v>
      </c>
      <c r="C296" s="10" t="s">
        <v>1672</v>
      </c>
      <c r="D296" s="10" t="s">
        <v>250</v>
      </c>
      <c r="E296" s="29" t="n">
        <f aca="false">Trigger_History!F24</f>
        <v>3993</v>
      </c>
      <c r="F296" s="34" t="n">
        <v>3993</v>
      </c>
      <c r="G296" s="10" t="n">
        <f aca="false">E296-F296</f>
        <v>0</v>
      </c>
      <c r="H296" s="10" t="str">
        <f aca="false">IF(ABS(G296)&lt;=0.000001,"PASS","FAIL")</f>
        <v>PASS</v>
      </c>
    </row>
    <row r="297" customFormat="false" ht="15" hidden="false" customHeight="false" outlineLevel="0" collapsed="false">
      <c r="A297" s="10" t="s">
        <v>1673</v>
      </c>
      <c r="B297" s="10" t="s">
        <v>1042</v>
      </c>
      <c r="C297" s="10" t="s">
        <v>1674</v>
      </c>
      <c r="D297" s="10" t="s">
        <v>251</v>
      </c>
      <c r="E297" s="29" t="n">
        <f aca="false">Trigger_History!F25</f>
        <v>4281</v>
      </c>
      <c r="F297" s="34" t="n">
        <v>4281</v>
      </c>
      <c r="G297" s="10" t="n">
        <f aca="false">E297-F297</f>
        <v>0</v>
      </c>
      <c r="H297" s="10" t="str">
        <f aca="false">IF(ABS(G297)&lt;=0.000001,"PASS","FAIL")</f>
        <v>PASS</v>
      </c>
    </row>
    <row r="298" customFormat="false" ht="15" hidden="false" customHeight="false" outlineLevel="0" collapsed="false">
      <c r="A298" s="10" t="s">
        <v>1675</v>
      </c>
      <c r="B298" s="10" t="s">
        <v>1042</v>
      </c>
      <c r="C298" s="10" t="s">
        <v>1676</v>
      </c>
      <c r="D298" s="10" t="s">
        <v>252</v>
      </c>
      <c r="E298" s="29" t="n">
        <f aca="false">Trigger_History!F26</f>
        <v>4547</v>
      </c>
      <c r="F298" s="34" t="n">
        <v>4547</v>
      </c>
      <c r="G298" s="10" t="n">
        <f aca="false">E298-F298</f>
        <v>0</v>
      </c>
      <c r="H298" s="10" t="str">
        <f aca="false">IF(ABS(G298)&lt;=0.000001,"PASS","FAIL")</f>
        <v>PASS</v>
      </c>
    </row>
    <row r="299" customFormat="false" ht="15" hidden="false" customHeight="false" outlineLevel="0" collapsed="false">
      <c r="A299" s="10" t="s">
        <v>1677</v>
      </c>
      <c r="B299" s="10" t="s">
        <v>1042</v>
      </c>
      <c r="C299" s="10" t="s">
        <v>1678</v>
      </c>
      <c r="D299" s="10" t="s">
        <v>253</v>
      </c>
      <c r="E299" s="29" t="n">
        <f aca="false">Trigger_History!F27</f>
        <v>4834</v>
      </c>
      <c r="F299" s="34" t="n">
        <v>4834</v>
      </c>
      <c r="G299" s="10" t="n">
        <f aca="false">E299-F299</f>
        <v>0</v>
      </c>
      <c r="H299" s="10" t="str">
        <f aca="false">IF(ABS(G299)&lt;=0.000001,"PASS","FAIL")</f>
        <v>PASS</v>
      </c>
    </row>
    <row r="300" customFormat="false" ht="15" hidden="false" customHeight="false" outlineLevel="0" collapsed="false">
      <c r="A300" s="10" t="s">
        <v>1679</v>
      </c>
      <c r="B300" s="10" t="s">
        <v>1680</v>
      </c>
      <c r="C300" s="10" t="s">
        <v>1681</v>
      </c>
      <c r="D300" s="10" t="s">
        <v>1682</v>
      </c>
      <c r="G300" s="36" t="n">
        <f aca="false">Revenue_Build!K7-SUM(Revenue_Build!C7:F7)</f>
        <v>0</v>
      </c>
      <c r="H300" s="10" t="str">
        <f aca="false">IF(ABS(G300)&lt;=0.000001,"PASS","FAIL")</f>
        <v>PASS</v>
      </c>
    </row>
    <row r="301" customFormat="false" ht="15" hidden="false" customHeight="false" outlineLevel="0" collapsed="false">
      <c r="A301" s="10" t="s">
        <v>1683</v>
      </c>
      <c r="B301" s="10" t="s">
        <v>1680</v>
      </c>
      <c r="C301" s="10" t="s">
        <v>1684</v>
      </c>
      <c r="D301" s="10" t="s">
        <v>1685</v>
      </c>
      <c r="G301" s="36" t="n">
        <f aca="false">Opex!L16-SUM(Opex!G16:J16)</f>
        <v>0</v>
      </c>
      <c r="H301" s="10" t="str">
        <f aca="false">IF(ABS(G301)&lt;=0.000001,"PASS","FAIL")</f>
        <v>PASS</v>
      </c>
    </row>
    <row r="302" customFormat="false" ht="15" hidden="false" customHeight="false" outlineLevel="0" collapsed="false">
      <c r="A302" s="10" t="s">
        <v>1686</v>
      </c>
      <c r="B302" s="10" t="s">
        <v>1680</v>
      </c>
      <c r="C302" s="10" t="s">
        <v>1687</v>
      </c>
      <c r="D302" s="10" t="s">
        <v>1688</v>
      </c>
      <c r="G302" s="36" t="n">
        <f aca="false">Opex!C16+Opex!D16-(Historical_Drivers!$O$16+Historical_Drivers!$P$16)/1000</f>
        <v>0</v>
      </c>
      <c r="H302" s="10" t="str">
        <f aca="false">IF(ABS(G302)&lt;=0.000001,"PASS","FAIL")</f>
        <v>PASS</v>
      </c>
    </row>
    <row r="303" customFormat="false" ht="15" hidden="false" customHeight="false" outlineLevel="0" collapsed="false">
      <c r="A303" s="10" t="s">
        <v>1689</v>
      </c>
      <c r="B303" s="10" t="s">
        <v>1680</v>
      </c>
      <c r="C303" s="10" t="s">
        <v>1690</v>
      </c>
      <c r="D303" s="10" t="s">
        <v>1691</v>
      </c>
      <c r="G303" s="36" t="n">
        <f aca="false">PnL!C17</f>
        <v>0</v>
      </c>
      <c r="H303" s="10" t="str">
        <f aca="false">IF(ABS(G303)&lt;=0.000001,"PASS","FAIL")</f>
        <v>PASS</v>
      </c>
    </row>
    <row r="304" customFormat="false" ht="15" hidden="false" customHeight="false" outlineLevel="0" collapsed="false">
      <c r="A304" s="10" t="s">
        <v>1692</v>
      </c>
      <c r="B304" s="10" t="s">
        <v>1680</v>
      </c>
      <c r="C304" s="10" t="s">
        <v>1693</v>
      </c>
      <c r="D304" s="10" t="s">
        <v>1694</v>
      </c>
      <c r="G304" s="36" t="n">
        <f aca="false">PnL!D17</f>
        <v>-4.66293670342566E-014</v>
      </c>
      <c r="H304" s="10" t="str">
        <f aca="false">IF(ABS(G304)&lt;=0.000001,"PASS","FAIL")</f>
        <v>PASS</v>
      </c>
    </row>
    <row r="305" customFormat="false" ht="15" hidden="false" customHeight="false" outlineLevel="0" collapsed="false">
      <c r="A305" s="10" t="s">
        <v>1695</v>
      </c>
      <c r="B305" s="10" t="s">
        <v>1680</v>
      </c>
      <c r="C305" s="10" t="s">
        <v>1696</v>
      </c>
      <c r="D305" s="10" t="s">
        <v>1697</v>
      </c>
      <c r="G305" s="36" t="n">
        <f aca="false">Cash_FCF!J15-Cash_FCF!D15-SUM(Cash_FCF!E14:J14)</f>
        <v>0</v>
      </c>
      <c r="H305" s="10" t="str">
        <f aca="false">IF(ABS(G305)&lt;=0.000001,"PASS","FAIL")</f>
        <v>PASS</v>
      </c>
    </row>
    <row r="306" customFormat="false" ht="15" hidden="false" customHeight="false" outlineLevel="0" collapsed="false">
      <c r="A306" s="10" t="s">
        <v>1698</v>
      </c>
      <c r="B306" s="10" t="s">
        <v>1680</v>
      </c>
      <c r="C306" s="10" t="s">
        <v>1699</v>
      </c>
      <c r="D306" s="10" t="s">
        <v>1700</v>
      </c>
      <c r="G306" s="36" t="n">
        <f aca="false">Revenue_Build!K16-SUM(Revenue_Build!C16:F16)</f>
        <v>0</v>
      </c>
      <c r="H306" s="10" t="str">
        <f aca="false">IF(ABS(G306)&lt;=0.000001,"PASS","FAIL")</f>
        <v>PASS</v>
      </c>
    </row>
    <row r="307" customFormat="false" ht="15" hidden="false" customHeight="false" outlineLevel="0" collapsed="false">
      <c r="A307" s="10" t="s">
        <v>1701</v>
      </c>
      <c r="B307" s="10" t="s">
        <v>1680</v>
      </c>
      <c r="C307" s="10" t="s">
        <v>1702</v>
      </c>
      <c r="D307" s="10" t="s">
        <v>1703</v>
      </c>
      <c r="G307" s="36" t="n">
        <f aca="false">Opex!L31-SUM(Opex!G31:J31)</f>
        <v>0</v>
      </c>
      <c r="H307" s="10" t="str">
        <f aca="false">IF(ABS(G307)&lt;=0.000001,"PASS","FAIL")</f>
        <v>PASS</v>
      </c>
    </row>
    <row r="308" customFormat="false" ht="15" hidden="false" customHeight="false" outlineLevel="0" collapsed="false">
      <c r="A308" s="10" t="s">
        <v>1704</v>
      </c>
      <c r="B308" s="10" t="s">
        <v>1680</v>
      </c>
      <c r="C308" s="10" t="s">
        <v>1705</v>
      </c>
      <c r="D308" s="10" t="s">
        <v>1706</v>
      </c>
      <c r="G308" s="36" t="n">
        <f aca="false">Opex!C31+Opex!D31-(Historical_Drivers!$O$16+Historical_Drivers!$P$16)/1000</f>
        <v>0</v>
      </c>
      <c r="H308" s="10" t="str">
        <f aca="false">IF(ABS(G308)&lt;=0.000001,"PASS","FAIL")</f>
        <v>PASS</v>
      </c>
    </row>
    <row r="309" customFormat="false" ht="15" hidden="false" customHeight="false" outlineLevel="0" collapsed="false">
      <c r="A309" s="10" t="s">
        <v>1707</v>
      </c>
      <c r="B309" s="10" t="s">
        <v>1680</v>
      </c>
      <c r="C309" s="10" t="s">
        <v>1708</v>
      </c>
      <c r="D309" s="10" t="s">
        <v>1709</v>
      </c>
      <c r="G309" s="36" t="n">
        <f aca="false">PnL!C32</f>
        <v>0</v>
      </c>
      <c r="H309" s="10" t="str">
        <f aca="false">IF(ABS(G309)&lt;=0.000001,"PASS","FAIL")</f>
        <v>PASS</v>
      </c>
    </row>
    <row r="310" customFormat="false" ht="15" hidden="false" customHeight="false" outlineLevel="0" collapsed="false">
      <c r="A310" s="10" t="s">
        <v>1710</v>
      </c>
      <c r="B310" s="10" t="s">
        <v>1680</v>
      </c>
      <c r="C310" s="10" t="s">
        <v>1711</v>
      </c>
      <c r="D310" s="10" t="s">
        <v>1712</v>
      </c>
      <c r="G310" s="36" t="n">
        <f aca="false">PnL!D32</f>
        <v>-4.66293670342566E-014</v>
      </c>
      <c r="H310" s="10" t="str">
        <f aca="false">IF(ABS(G310)&lt;=0.000001,"PASS","FAIL")</f>
        <v>PASS</v>
      </c>
    </row>
    <row r="311" customFormat="false" ht="15" hidden="false" customHeight="false" outlineLevel="0" collapsed="false">
      <c r="A311" s="10" t="s">
        <v>1713</v>
      </c>
      <c r="B311" s="10" t="s">
        <v>1680</v>
      </c>
      <c r="C311" s="10" t="s">
        <v>1714</v>
      </c>
      <c r="D311" s="10" t="s">
        <v>1715</v>
      </c>
      <c r="G311" s="36" t="n">
        <f aca="false">Cash_FCF!J29-Cash_FCF!D29-SUM(Cash_FCF!E28:J28)</f>
        <v>0</v>
      </c>
      <c r="H311" s="10" t="str">
        <f aca="false">IF(ABS(G311)&lt;=0.000001,"PASS","FAIL")</f>
        <v>PASS</v>
      </c>
    </row>
    <row r="312" customFormat="false" ht="15" hidden="false" customHeight="false" outlineLevel="0" collapsed="false">
      <c r="A312" s="10" t="s">
        <v>1716</v>
      </c>
      <c r="B312" s="10" t="s">
        <v>1680</v>
      </c>
      <c r="C312" s="10" t="s">
        <v>1717</v>
      </c>
      <c r="D312" s="10" t="s">
        <v>1718</v>
      </c>
      <c r="G312" s="36" t="n">
        <f aca="false">Revenue_Build!K25-SUM(Revenue_Build!C25:F25)</f>
        <v>0</v>
      </c>
      <c r="H312" s="10" t="str">
        <f aca="false">IF(ABS(G312)&lt;=0.000001,"PASS","FAIL")</f>
        <v>PASS</v>
      </c>
    </row>
    <row r="313" customFormat="false" ht="15" hidden="false" customHeight="false" outlineLevel="0" collapsed="false">
      <c r="A313" s="10" t="s">
        <v>1719</v>
      </c>
      <c r="B313" s="10" t="s">
        <v>1680</v>
      </c>
      <c r="C313" s="10" t="s">
        <v>1720</v>
      </c>
      <c r="D313" s="10" t="s">
        <v>1721</v>
      </c>
      <c r="G313" s="36" t="n">
        <f aca="false">Opex!L46-SUM(Opex!G46:J46)</f>
        <v>0</v>
      </c>
      <c r="H313" s="10" t="str">
        <f aca="false">IF(ABS(G313)&lt;=0.000001,"PASS","FAIL")</f>
        <v>PASS</v>
      </c>
    </row>
    <row r="314" customFormat="false" ht="15" hidden="false" customHeight="false" outlineLevel="0" collapsed="false">
      <c r="A314" s="10" t="s">
        <v>1722</v>
      </c>
      <c r="B314" s="10" t="s">
        <v>1680</v>
      </c>
      <c r="C314" s="10" t="s">
        <v>1723</v>
      </c>
      <c r="D314" s="10" t="s">
        <v>1724</v>
      </c>
      <c r="G314" s="36" t="n">
        <f aca="false">Opex!C46+Opex!D46-(Historical_Drivers!$O$16+Historical_Drivers!$P$16)/1000</f>
        <v>0</v>
      </c>
      <c r="H314" s="10" t="str">
        <f aca="false">IF(ABS(G314)&lt;=0.000001,"PASS","FAIL")</f>
        <v>PASS</v>
      </c>
    </row>
    <row r="315" customFormat="false" ht="15" hidden="false" customHeight="false" outlineLevel="0" collapsed="false">
      <c r="A315" s="10" t="s">
        <v>1725</v>
      </c>
      <c r="B315" s="10" t="s">
        <v>1680</v>
      </c>
      <c r="C315" s="10" t="s">
        <v>1726</v>
      </c>
      <c r="D315" s="10" t="s">
        <v>1727</v>
      </c>
      <c r="G315" s="36" t="n">
        <f aca="false">PnL!C47</f>
        <v>0</v>
      </c>
      <c r="H315" s="10" t="str">
        <f aca="false">IF(ABS(G315)&lt;=0.000001,"PASS","FAIL")</f>
        <v>PASS</v>
      </c>
    </row>
    <row r="316" customFormat="false" ht="15" hidden="false" customHeight="false" outlineLevel="0" collapsed="false">
      <c r="A316" s="10" t="s">
        <v>1728</v>
      </c>
      <c r="B316" s="10" t="s">
        <v>1680</v>
      </c>
      <c r="C316" s="10" t="s">
        <v>1729</v>
      </c>
      <c r="D316" s="10" t="s">
        <v>1730</v>
      </c>
      <c r="G316" s="36" t="n">
        <f aca="false">PnL!D47</f>
        <v>-4.66293670342566E-014</v>
      </c>
      <c r="H316" s="10" t="str">
        <f aca="false">IF(ABS(G316)&lt;=0.000001,"PASS","FAIL")</f>
        <v>PASS</v>
      </c>
    </row>
    <row r="317" customFormat="false" ht="15" hidden="false" customHeight="false" outlineLevel="0" collapsed="false">
      <c r="A317" s="10" t="s">
        <v>1731</v>
      </c>
      <c r="B317" s="10" t="s">
        <v>1680</v>
      </c>
      <c r="C317" s="10" t="s">
        <v>1732</v>
      </c>
      <c r="D317" s="10" t="s">
        <v>1733</v>
      </c>
      <c r="G317" s="36" t="n">
        <f aca="false">Cash_FCF!J43-Cash_FCF!D43-SUM(Cash_FCF!E42:J42)</f>
        <v>0</v>
      </c>
      <c r="H317" s="10" t="str">
        <f aca="false">IF(ABS(G317)&lt;=0.000001,"PASS","FAIL")</f>
        <v>PASS</v>
      </c>
    </row>
    <row r="318" customFormat="false" ht="15" hidden="false" customHeight="false" outlineLevel="0" collapsed="false">
      <c r="A318" s="10" t="s">
        <v>1734</v>
      </c>
      <c r="B318" s="10" t="s">
        <v>1680</v>
      </c>
      <c r="C318" s="10" t="s">
        <v>1735</v>
      </c>
      <c r="D318" s="10" t="s">
        <v>1736</v>
      </c>
      <c r="G318" s="36" t="n">
        <f aca="false">Revenue_Build!E7-Historical_Drivers!$C$52</f>
        <v>0</v>
      </c>
      <c r="H318" s="10" t="str">
        <f aca="false">IF(ABS(G318)&lt;=0.000001,"PASS","FAIL")</f>
        <v>PASS</v>
      </c>
    </row>
    <row r="319" customFormat="false" ht="15" hidden="false" customHeight="false" outlineLevel="0" collapsed="false">
      <c r="A319" s="10" t="s">
        <v>1737</v>
      </c>
      <c r="B319" s="10" t="s">
        <v>1680</v>
      </c>
      <c r="C319" s="10" t="s">
        <v>1738</v>
      </c>
      <c r="D319" s="10" t="s">
        <v>1739</v>
      </c>
      <c r="G319" s="36" t="n">
        <f aca="false">Opex!E16-Historical_Drivers!$C$54</f>
        <v>0</v>
      </c>
      <c r="H319" s="10" t="str">
        <f aca="false">IF(ABS(G319)&lt;=0.000001,"PASS","FAIL")</f>
        <v>PASS</v>
      </c>
    </row>
    <row r="320" customFormat="false" ht="15" hidden="false" customHeight="false" outlineLevel="0" collapsed="false">
      <c r="A320" s="10" t="s">
        <v>1740</v>
      </c>
      <c r="B320" s="10" t="s">
        <v>1680</v>
      </c>
      <c r="C320" s="10" t="s">
        <v>1741</v>
      </c>
      <c r="D320" s="10" t="s">
        <v>1742</v>
      </c>
      <c r="G320" s="36" t="n">
        <f aca="false">Opex!E31-Historical_Drivers!$C$54</f>
        <v>0</v>
      </c>
      <c r="H320" s="10" t="str">
        <f aca="false">IF(ABS(G320)&lt;=0.000001,"PASS","FAIL")</f>
        <v>PASS</v>
      </c>
    </row>
    <row r="321" customFormat="false" ht="15" hidden="false" customHeight="false" outlineLevel="0" collapsed="false">
      <c r="A321" s="10" t="s">
        <v>1743</v>
      </c>
      <c r="B321" s="10" t="s">
        <v>1680</v>
      </c>
      <c r="C321" s="10" t="s">
        <v>1744</v>
      </c>
      <c r="D321" s="10" t="s">
        <v>1745</v>
      </c>
      <c r="G321" s="36" t="n">
        <f aca="false">Opex!E46-Historical_Drivers!$C$55</f>
        <v>0</v>
      </c>
      <c r="H321" s="10" t="str">
        <f aca="false">IF(ABS(G321)&lt;=0.000001,"PASS","FAIL")</f>
        <v>PASS</v>
      </c>
    </row>
    <row r="322" customFormat="false" ht="15" hidden="false" customHeight="false" outlineLevel="0" collapsed="false">
      <c r="A322" s="10" t="s">
        <v>1746</v>
      </c>
      <c r="B322" s="10" t="s">
        <v>1680</v>
      </c>
      <c r="C322" s="10" t="s">
        <v>1747</v>
      </c>
      <c r="D322" s="10" t="s">
        <v>1748</v>
      </c>
      <c r="G322" s="36" t="n">
        <f aca="false">Cash_FCF!K16</f>
        <v>0</v>
      </c>
      <c r="H322" s="10" t="str">
        <f aca="false">IF(ABS(G322)&lt;=0.000001,"PASS","FAIL")</f>
        <v>PASS</v>
      </c>
    </row>
    <row r="323" customFormat="false" ht="15" hidden="false" customHeight="false" outlineLevel="0" collapsed="false">
      <c r="A323" s="10" t="s">
        <v>1749</v>
      </c>
      <c r="B323" s="10" t="s">
        <v>1680</v>
      </c>
      <c r="C323" s="10" t="s">
        <v>1750</v>
      </c>
      <c r="D323" s="10" t="s">
        <v>1751</v>
      </c>
      <c r="G323" s="36" t="n">
        <f aca="false">Opex!L30-Opex!L15</f>
        <v>0</v>
      </c>
      <c r="H323" s="10" t="str">
        <f aca="false">IF(ABS(G323)&lt;=0.000001,"PASS","FAIL")</f>
        <v>PASS</v>
      </c>
    </row>
    <row r="324" customFormat="false" ht="15" hidden="false" customHeight="false" outlineLevel="0" collapsed="false">
      <c r="A324" s="10" t="s">
        <v>1752</v>
      </c>
      <c r="B324" s="10" t="s">
        <v>1680</v>
      </c>
      <c r="C324" s="10" t="s">
        <v>1753</v>
      </c>
      <c r="D324" s="10" t="s">
        <v>1754</v>
      </c>
      <c r="G324" s="36" t="n">
        <f aca="false">Scenarios!B21</f>
        <v>0</v>
      </c>
      <c r="H324" s="10" t="str">
        <f aca="false">IF(ABS(G324)&lt;=0.000001,"PASS","FAIL")</f>
        <v>PASS</v>
      </c>
    </row>
    <row r="325" customFormat="false" ht="15" hidden="false" customHeight="false" outlineLevel="0" collapsed="false">
      <c r="A325" s="10" t="s">
        <v>1755</v>
      </c>
      <c r="B325" s="10" t="s">
        <v>1680</v>
      </c>
      <c r="C325" s="10" t="s">
        <v>1756</v>
      </c>
      <c r="D325" s="10" t="s">
        <v>1757</v>
      </c>
      <c r="G325" s="36" t="n">
        <f aca="false">Scenarios!B28</f>
        <v>0</v>
      </c>
      <c r="H325" s="10" t="str">
        <f aca="false">IF(ABS(G325)&lt;=0.000001,"PASS","FAIL")</f>
        <v>PASS</v>
      </c>
    </row>
    <row r="326" customFormat="false" ht="15" hidden="false" customHeight="false" outlineLevel="0" collapsed="false">
      <c r="A326" s="10" t="s">
        <v>1758</v>
      </c>
      <c r="B326" s="10" t="s">
        <v>1680</v>
      </c>
      <c r="C326" s="10" t="s">
        <v>1759</v>
      </c>
      <c r="D326" s="10" t="s">
        <v>1760</v>
      </c>
      <c r="G326" s="36" t="n">
        <f aca="false">Management_Response!L31</f>
        <v>0</v>
      </c>
      <c r="H326" s="10" t="str">
        <f aca="false">IF(ABS(G326)&lt;=0.000001,"PASS","FAIL")</f>
        <v>PASS</v>
      </c>
    </row>
    <row r="327" customFormat="false" ht="15" hidden="false" customHeight="false" outlineLevel="0" collapsed="false">
      <c r="A327" s="10" t="s">
        <v>1761</v>
      </c>
      <c r="B327" s="10" t="s">
        <v>1680</v>
      </c>
      <c r="C327" s="10" t="s">
        <v>1762</v>
      </c>
      <c r="D327" s="10" t="s">
        <v>1763</v>
      </c>
      <c r="G327" s="36" t="n">
        <f aca="false">Management_Response!C62-Management_Response!L9-Management_Response!L10</f>
        <v>-3.5527136788005E-013</v>
      </c>
      <c r="H327" s="10" t="str">
        <f aca="false">IF(ABS(G327)&lt;=0.000001,"PASS","FAIL")</f>
        <v>PASS</v>
      </c>
    </row>
    <row r="328" customFormat="false" ht="15" hidden="false" customHeight="false" outlineLevel="0" collapsed="false">
      <c r="A328" s="10" t="s">
        <v>1764</v>
      </c>
      <c r="B328" s="10" t="s">
        <v>1680</v>
      </c>
      <c r="C328" s="10" t="s">
        <v>1765</v>
      </c>
      <c r="D328" s="10" t="s">
        <v>1766</v>
      </c>
      <c r="G328" s="36" t="n">
        <f aca="false">Historical_Drivers!$N$26+Cash_Bridge!B58+Cash_Bridge!B54+Cash_Bridge!B55-Historical_Drivers!$P$26</f>
        <v>0</v>
      </c>
      <c r="H328" s="10" t="str">
        <f aca="false">IF(ABS(G328)&lt;=0.000001,"PASS","FAIL")</f>
        <v>PASS</v>
      </c>
    </row>
    <row r="329" customFormat="false" ht="15" hidden="false" customHeight="false" outlineLevel="0" collapsed="false">
      <c r="A329" s="10" t="s">
        <v>1767</v>
      </c>
      <c r="B329" s="10" t="s">
        <v>1680</v>
      </c>
      <c r="C329" s="10" t="s">
        <v>1768</v>
      </c>
      <c r="D329" s="10" t="s">
        <v>1769</v>
      </c>
      <c r="G329" s="36" t="n">
        <f aca="false">Cash_Bridge!B56+Cash_Bridge!B57+Cash_Bridge!B32+Cash_Bridge!B33+Cash_Bridge!B34+Cash_Bridge!B47+Cash_Bridge!B48-Cash_Bridge!B54</f>
        <v>0</v>
      </c>
      <c r="H329" s="10" t="str">
        <f aca="false">IF(ABS(G329)&lt;=0.000001,"PASS","FAIL")</f>
        <v>PASS</v>
      </c>
    </row>
    <row r="330" customFormat="false" ht="15" hidden="false" customHeight="false" outlineLevel="0" collapsed="false">
      <c r="A330" s="10" t="s">
        <v>1770</v>
      </c>
      <c r="B330" s="10" t="s">
        <v>1680</v>
      </c>
      <c r="C330" s="10" t="s">
        <v>1771</v>
      </c>
      <c r="D330" s="10" t="s">
        <v>1772</v>
      </c>
      <c r="G330" s="36" t="n">
        <f aca="false">Cash_Bridge!B35+Cash_Bridge!B36+Cash_Bridge!B31-Cash_Bridge!B55</f>
        <v>0</v>
      </c>
      <c r="H330" s="10" t="str">
        <f aca="false">IF(ABS(G330)&lt;=0.000001,"PASS","FAIL")</f>
        <v>PASS</v>
      </c>
    </row>
    <row r="331" customFormat="false" ht="15" hidden="false" customHeight="false" outlineLevel="0" collapsed="false">
      <c r="A331" s="10" t="s">
        <v>1773</v>
      </c>
      <c r="B331" s="10" t="s">
        <v>1680</v>
      </c>
      <c r="C331" s="10" t="s">
        <v>1774</v>
      </c>
      <c r="D331" s="10" t="s">
        <v>1775</v>
      </c>
      <c r="G331" s="36" t="n">
        <f aca="false">Cash_Bridge!B18-Cash_Bridge!B19</f>
        <v>0</v>
      </c>
      <c r="H331" s="10" t="str">
        <f aca="false">IF(ABS(G331)&lt;=0.000001,"PASS","FAIL")</f>
        <v>PASS</v>
      </c>
    </row>
    <row r="332" customFormat="false" ht="15" hidden="false" customHeight="false" outlineLevel="0" collapsed="false">
      <c r="A332" s="10" t="s">
        <v>1776</v>
      </c>
      <c r="B332" s="10" t="s">
        <v>1680</v>
      </c>
      <c r="C332" s="10" t="s">
        <v>1777</v>
      </c>
      <c r="D332" s="10" t="s">
        <v>1778</v>
      </c>
      <c r="G332" s="36" t="n">
        <f aca="false">Cash_Bridge!D18-Cash_Bridge!D19</f>
        <v>0</v>
      </c>
      <c r="H332" s="10" t="str">
        <f aca="false">IF(ABS(G332)&lt;=0.000001,"PASS","FAIL")</f>
        <v>PASS</v>
      </c>
    </row>
    <row r="333" customFormat="false" ht="15" hidden="false" customHeight="false" outlineLevel="0" collapsed="false">
      <c r="A333" s="10" t="s">
        <v>1779</v>
      </c>
      <c r="B333" s="10" t="s">
        <v>1680</v>
      </c>
      <c r="C333" s="10" t="s">
        <v>1780</v>
      </c>
      <c r="D333" s="10" t="s">
        <v>1781</v>
      </c>
      <c r="G333" s="36" t="n">
        <f aca="false">Cash_Bridge!B49-Cash_Bridge!B50</f>
        <v>0</v>
      </c>
      <c r="H333" s="10" t="str">
        <f aca="false">IF(ABS(G333)&lt;=0.000001,"PASS","FAIL")</f>
        <v>PASS</v>
      </c>
    </row>
    <row r="334" customFormat="false" ht="15" hidden="false" customHeight="false" outlineLevel="0" collapsed="false">
      <c r="A334" s="10" t="s">
        <v>1782</v>
      </c>
      <c r="B334" s="10" t="s">
        <v>1680</v>
      </c>
      <c r="C334" s="10" t="s">
        <v>1783</v>
      </c>
      <c r="D334" s="10" t="s">
        <v>1784</v>
      </c>
      <c r="G334" s="36" t="n">
        <f aca="false">IF(ABS(Cash_Bridge!B39)&lt;5000,0,Cash_Bridge!B39)</f>
        <v>0</v>
      </c>
      <c r="H334" s="10" t="str">
        <f aca="false">IF(ABS(G334)&lt;=0.000001,"PASS","FAIL")</f>
        <v>PASS</v>
      </c>
    </row>
    <row r="335" customFormat="false" ht="15" hidden="false" customHeight="false" outlineLevel="0" collapsed="false">
      <c r="A335" s="10" t="s">
        <v>1785</v>
      </c>
      <c r="B335" s="10" t="s">
        <v>1680</v>
      </c>
      <c r="C335" s="10" t="s">
        <v>1786</v>
      </c>
      <c r="D335" s="10" t="s">
        <v>1787</v>
      </c>
      <c r="G335" s="36" t="n">
        <f aca="false">SUMPRODUCT(ISNUMBER(Historical_Drivers!C38:P38)*NOT(ISNUMBER(Historical_Drivers!C28:P28)))</f>
        <v>0</v>
      </c>
      <c r="H335" s="10" t="str">
        <f aca="false">IF(ABS(G335)&lt;=0.000001,"PASS","FAIL")</f>
        <v>PASS</v>
      </c>
    </row>
    <row r="336" customFormat="false" ht="15" hidden="false" customHeight="false" outlineLevel="0" collapsed="false">
      <c r="A336" s="10" t="s">
        <v>1788</v>
      </c>
      <c r="B336" s="10" t="s">
        <v>1680</v>
      </c>
      <c r="C336" s="10" t="s">
        <v>1789</v>
      </c>
      <c r="D336" s="10" t="s">
        <v>1790</v>
      </c>
      <c r="G336" s="36" t="n">
        <f aca="false">Cash_FCF!K11-Cash_FCF!K7-Cash_FCF!K10</f>
        <v>0</v>
      </c>
      <c r="H336" s="10" t="str">
        <f aca="false">IF(ABS(G336)&lt;=0.000001,"PASS","FAIL")</f>
        <v>PASS</v>
      </c>
    </row>
    <row r="337" customFormat="false" ht="15" hidden="false" customHeight="false" outlineLevel="0" collapsed="false">
      <c r="A337" s="10" t="s">
        <v>1791</v>
      </c>
      <c r="B337" s="10" t="s">
        <v>1680</v>
      </c>
      <c r="C337" s="10" t="s">
        <v>1792</v>
      </c>
      <c r="D337" s="10" t="s">
        <v>1793</v>
      </c>
      <c r="G337" s="36" t="n">
        <f aca="false">Trigger_History!$E$36-Historical_Drivers!$C$65</f>
        <v>0</v>
      </c>
      <c r="H337" s="10" t="str">
        <f aca="false">IF(ABS(G337)&lt;=0.000001,"PASS","FAIL")</f>
        <v>PASS</v>
      </c>
    </row>
    <row r="338" customFormat="false" ht="15" hidden="false" customHeight="false" outlineLevel="0" collapsed="false">
      <c r="A338" s="10" t="s">
        <v>1794</v>
      </c>
      <c r="B338" s="10" t="s">
        <v>1680</v>
      </c>
      <c r="C338" s="10" t="s">
        <v>1795</v>
      </c>
      <c r="D338" s="10" t="s">
        <v>1796</v>
      </c>
      <c r="G338" s="36" t="n">
        <f aca="false">Trigger_History!H38-Assumptions!$D$19</f>
        <v>0</v>
      </c>
      <c r="H338" s="10" t="str">
        <f aca="false">IF(ABS(G338)&lt;=0.000001,"PASS","FAIL")</f>
        <v>PASS</v>
      </c>
    </row>
    <row r="339" customFormat="false" ht="15" hidden="false" customHeight="false" outlineLevel="0" collapsed="false">
      <c r="A339" s="10" t="s">
        <v>1797</v>
      </c>
      <c r="B339" s="10" t="s">
        <v>1680</v>
      </c>
      <c r="C339" s="10" t="s">
        <v>1798</v>
      </c>
      <c r="D339" s="10" t="s">
        <v>1799</v>
      </c>
      <c r="G339" s="36" t="n">
        <f aca="false">SUMPRODUCT((Management_Response!G7:J7&lt;Management_Response!$C$4)*Management_Response!G11:J11)</f>
        <v>0</v>
      </c>
      <c r="H339" s="10" t="str">
        <f aca="false">IF(ABS(G339)&lt;=0.000001,"PASS","FAIL")</f>
        <v>PASS</v>
      </c>
    </row>
    <row r="340" customFormat="false" ht="15" hidden="false" customHeight="false" outlineLevel="0" collapsed="false">
      <c r="A340" s="10" t="s">
        <v>1800</v>
      </c>
      <c r="B340" s="10" t="s">
        <v>1680</v>
      </c>
      <c r="C340" s="10" t="s">
        <v>1801</v>
      </c>
      <c r="D340" s="10" t="s">
        <v>1802</v>
      </c>
      <c r="G340" s="36" t="n">
        <f aca="false">Management_Response!E17*Management_Response!E16-Management_Response!E15</f>
        <v>0</v>
      </c>
      <c r="H340" s="10" t="str">
        <f aca="false">IF(ABS(G340)&lt;=0.000001,"PASS","FAIL")</f>
        <v>PASS</v>
      </c>
    </row>
    <row r="341" customFormat="false" ht="15" hidden="false" customHeight="false" outlineLevel="0" collapsed="false">
      <c r="A341" s="10" t="s">
        <v>1803</v>
      </c>
      <c r="B341" s="10" t="s">
        <v>1680</v>
      </c>
      <c r="C341" s="10" t="s">
        <v>1804</v>
      </c>
      <c r="D341" s="10" t="s">
        <v>1805</v>
      </c>
      <c r="G341" s="36" t="n">
        <f aca="false">Scenarios!B49+Scenarios!B50-Scenarios!B48</f>
        <v>0</v>
      </c>
      <c r="H341" s="10" t="str">
        <f aca="false">IF(ABS(G341)&lt;=0.000001,"PASS","FAIL")</f>
        <v>PASS</v>
      </c>
    </row>
    <row r="342" customFormat="false" ht="15" hidden="false" customHeight="false" outlineLevel="0" collapsed="false">
      <c r="A342" s="10" t="s">
        <v>1806</v>
      </c>
      <c r="B342" s="10" t="s">
        <v>1680</v>
      </c>
      <c r="C342" s="10" t="s">
        <v>1807</v>
      </c>
      <c r="D342" s="10" t="s">
        <v>1808</v>
      </c>
      <c r="G342" s="36" t="n">
        <f aca="false">Revenue_Build!E48-Revenue_Build!E7</f>
        <v>0</v>
      </c>
      <c r="H342" s="10" t="str">
        <f aca="false">IF(ABS(G342)&lt;=0.000001,"PASS","FAIL")</f>
        <v>PASS</v>
      </c>
    </row>
    <row r="343" customFormat="false" ht="15" hidden="false" customHeight="false" outlineLevel="0" collapsed="false">
      <c r="A343" s="10" t="s">
        <v>1809</v>
      </c>
      <c r="B343" s="10" t="s">
        <v>1680</v>
      </c>
      <c r="C343" s="10" t="s">
        <v>1810</v>
      </c>
      <c r="D343" s="10" t="s">
        <v>1811</v>
      </c>
      <c r="G343" s="36" t="n">
        <f aca="false">IF(AND(Revenue_Build!L38&lt;=Revenue_Build!L7,Revenue_Build!L7&lt;=Revenue_Build!L39),0,1)</f>
        <v>0</v>
      </c>
      <c r="H343" s="10" t="str">
        <f aca="false">IF(ABS(G343)&lt;=0.000001,"PASS","FAIL")</f>
        <v>PASS</v>
      </c>
    </row>
    <row r="345" customFormat="false" ht="15" hidden="false" customHeight="false" outlineLevel="0" collapsed="false">
      <c r="A345" s="10" t="s">
        <v>1812</v>
      </c>
      <c r="B345" s="10" t="str">
        <f aca="false">COUNTIF(H4:H343,"PASS")&amp;" PASS / "&amp;COUNTIF(H4:H343,"FAIL")&amp;" FAIL"</f>
        <v>340 PASS / 0 FAIL</v>
      </c>
    </row>
    <row r="347" customFormat="false" ht="15" hidden="false" customHeight="false" outlineLevel="0" collapsed="false">
      <c r="A347" s="2" t="s">
        <v>1813</v>
      </c>
    </row>
    <row r="348" customFormat="false" ht="39.75" hidden="false" customHeight="true" outlineLevel="0" collapsed="false">
      <c r="A348" s="2" t="s">
        <v>1814</v>
      </c>
      <c r="B348" s="37" t="s">
        <v>1815</v>
      </c>
      <c r="C348" s="19" t="s">
        <v>1816</v>
      </c>
      <c r="D348" s="19"/>
      <c r="E348" s="19"/>
      <c r="F348" s="19"/>
      <c r="G348" s="19"/>
      <c r="H348" s="19"/>
    </row>
    <row r="349" customFormat="false" ht="39.75" hidden="false" customHeight="true" outlineLevel="0" collapsed="false">
      <c r="A349" s="2" t="s">
        <v>1817</v>
      </c>
      <c r="B349" s="37" t="s">
        <v>1815</v>
      </c>
      <c r="C349" s="19" t="s">
        <v>1818</v>
      </c>
      <c r="D349" s="19"/>
      <c r="E349" s="19"/>
      <c r="F349" s="19"/>
      <c r="G349" s="19"/>
      <c r="H349" s="19"/>
    </row>
    <row r="350" customFormat="false" ht="39.75" hidden="false" customHeight="true" outlineLevel="0" collapsed="false">
      <c r="A350" s="2" t="s">
        <v>1819</v>
      </c>
      <c r="B350" s="37" t="s">
        <v>1815</v>
      </c>
      <c r="C350" s="19" t="s">
        <v>1820</v>
      </c>
      <c r="D350" s="19"/>
      <c r="E350" s="19"/>
      <c r="F350" s="19"/>
      <c r="G350" s="19"/>
      <c r="H350" s="19"/>
    </row>
    <row r="351" customFormat="false" ht="39.75" hidden="false" customHeight="true" outlineLevel="0" collapsed="false">
      <c r="A351" s="2" t="s">
        <v>1821</v>
      </c>
      <c r="B351" s="32" t="s">
        <v>1822</v>
      </c>
      <c r="C351" s="19" t="s">
        <v>1823</v>
      </c>
      <c r="D351" s="19"/>
      <c r="E351" s="19"/>
      <c r="F351" s="19"/>
      <c r="G351" s="19"/>
      <c r="H351" s="19"/>
    </row>
    <row r="352" customFormat="false" ht="39.75" hidden="false" customHeight="true" outlineLevel="0" collapsed="false">
      <c r="A352" s="2" t="s">
        <v>1824</v>
      </c>
      <c r="B352" s="37" t="s">
        <v>1815</v>
      </c>
      <c r="C352" s="19" t="s">
        <v>1825</v>
      </c>
      <c r="D352" s="19"/>
      <c r="E352" s="19"/>
      <c r="F352" s="19"/>
      <c r="G352" s="19"/>
      <c r="H352" s="19"/>
    </row>
    <row r="353" customFormat="false" ht="39.75" hidden="false" customHeight="true" outlineLevel="0" collapsed="false">
      <c r="A353" s="2" t="s">
        <v>1826</v>
      </c>
      <c r="B353" s="37" t="s">
        <v>1815</v>
      </c>
      <c r="C353" s="19" t="s">
        <v>1827</v>
      </c>
      <c r="D353" s="19"/>
      <c r="E353" s="19"/>
      <c r="F353" s="19"/>
      <c r="G353" s="19"/>
      <c r="H353" s="19"/>
    </row>
    <row r="354" customFormat="false" ht="39.75" hidden="false" customHeight="true" outlineLevel="0" collapsed="false">
      <c r="A354" s="2" t="s">
        <v>1828</v>
      </c>
      <c r="B354" s="37" t="s">
        <v>1815</v>
      </c>
      <c r="C354" s="19" t="s">
        <v>1829</v>
      </c>
      <c r="D354" s="19"/>
      <c r="E354" s="19"/>
      <c r="F354" s="19"/>
      <c r="G354" s="19"/>
      <c r="H354" s="19"/>
    </row>
  </sheetData>
  <mergeCells count="7">
    <mergeCell ref="C348:H348"/>
    <mergeCell ref="C349:H349"/>
    <mergeCell ref="C350:H350"/>
    <mergeCell ref="C351:H351"/>
    <mergeCell ref="C352:H352"/>
    <mergeCell ref="C353:H353"/>
    <mergeCell ref="C354:H3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14"/>
    <col collapsed="false" customWidth="true" hidden="false" outlineLevel="0" max="5" min="5" style="0" width="16"/>
    <col collapsed="false" customWidth="true" hidden="false" outlineLevel="0" max="6" min="6" style="0" width="50"/>
    <col collapsed="false" customWidth="true" hidden="false" outlineLevel="0" max="7" min="7" style="0" width="16"/>
  </cols>
  <sheetData>
    <row r="1" customFormat="false" ht="16.15" hidden="false" customHeight="false" outlineLevel="0" collapsed="false">
      <c r="A1" s="4" t="s">
        <v>1830</v>
      </c>
    </row>
    <row r="3" customFormat="false" ht="15" hidden="false" customHeight="false" outlineLevel="0" collapsed="false">
      <c r="A3" s="6" t="s">
        <v>46</v>
      </c>
      <c r="B3" s="6" t="s">
        <v>263</v>
      </c>
      <c r="C3" s="6" t="s">
        <v>1831</v>
      </c>
      <c r="D3" s="6" t="s">
        <v>901</v>
      </c>
      <c r="E3" s="6" t="s">
        <v>1040</v>
      </c>
      <c r="F3" s="6" t="s">
        <v>365</v>
      </c>
      <c r="G3" s="6" t="s">
        <v>47</v>
      </c>
    </row>
    <row r="4" customFormat="false" ht="15" hidden="false" customHeight="false" outlineLevel="0" collapsed="false">
      <c r="A4" s="10" t="s">
        <v>1832</v>
      </c>
      <c r="B4" s="10" t="s">
        <v>266</v>
      </c>
      <c r="C4" s="17" t="n">
        <f aca="false">Revenue_Build!E7</f>
        <v>378.38245825603</v>
      </c>
      <c r="F4" s="10" t="s">
        <v>1833</v>
      </c>
      <c r="G4" s="10" t="s">
        <v>1834</v>
      </c>
    </row>
    <row r="5" customFormat="false" ht="15" hidden="false" customHeight="false" outlineLevel="0" collapsed="false">
      <c r="A5" s="10" t="s">
        <v>1835</v>
      </c>
      <c r="B5" s="10" t="s">
        <v>266</v>
      </c>
      <c r="C5" s="17" t="n">
        <f aca="false">Opex!E16</f>
        <v>69.637</v>
      </c>
      <c r="F5" s="10" t="s">
        <v>1833</v>
      </c>
      <c r="G5" s="10" t="s">
        <v>1834</v>
      </c>
    </row>
    <row r="6" customFormat="false" ht="15" hidden="false" customHeight="false" outlineLevel="0" collapsed="false">
      <c r="A6" s="10" t="s">
        <v>1836</v>
      </c>
      <c r="B6" s="10" t="s">
        <v>440</v>
      </c>
      <c r="C6" s="12" t="n">
        <f aca="false">Opex!E17</f>
        <v>0.184038658454089</v>
      </c>
      <c r="F6" s="10" t="s">
        <v>256</v>
      </c>
      <c r="G6" s="10" t="s">
        <v>1834</v>
      </c>
    </row>
    <row r="7" customFormat="false" ht="15" hidden="false" customHeight="false" outlineLevel="0" collapsed="false">
      <c r="A7" s="10" t="s">
        <v>1837</v>
      </c>
      <c r="B7" s="10" t="s">
        <v>266</v>
      </c>
      <c r="C7" s="17" t="n">
        <f aca="false">Cash_FCF!E11</f>
        <v>56.9095409524635</v>
      </c>
      <c r="F7" s="10" t="s">
        <v>1838</v>
      </c>
      <c r="G7" s="10" t="s">
        <v>1834</v>
      </c>
    </row>
    <row r="8" customFormat="false" ht="15" hidden="false" customHeight="false" outlineLevel="0" collapsed="false">
      <c r="A8" s="10" t="s">
        <v>1839</v>
      </c>
      <c r="B8" s="10" t="s">
        <v>440</v>
      </c>
      <c r="C8" s="12" t="n">
        <f aca="false">Revenue_Build!E10</f>
        <v>1.085</v>
      </c>
      <c r="F8" s="10" t="s">
        <v>1840</v>
      </c>
      <c r="G8" s="10" t="s">
        <v>1834</v>
      </c>
    </row>
    <row r="9" customFormat="false" ht="15" hidden="false" customHeight="false" outlineLevel="0" collapsed="false">
      <c r="A9" s="10" t="s">
        <v>1841</v>
      </c>
      <c r="B9" s="10" t="s">
        <v>1842</v>
      </c>
      <c r="C9" s="29" t="n">
        <f aca="false">Revenue_Build!E11</f>
        <v>5110.5</v>
      </c>
      <c r="F9" s="10" t="s">
        <v>1843</v>
      </c>
      <c r="G9" s="10" t="s">
        <v>1834</v>
      </c>
    </row>
    <row r="10" customFormat="false" ht="15" hidden="false" customHeight="false" outlineLevel="0" collapsed="false">
      <c r="A10" s="10" t="s">
        <v>1844</v>
      </c>
      <c r="B10" s="10" t="s">
        <v>266</v>
      </c>
      <c r="C10" s="17" t="n">
        <f aca="false">Cash_FCF!E15</f>
        <v>1123.23804095246</v>
      </c>
      <c r="F10" s="10" t="s">
        <v>1845</v>
      </c>
      <c r="G10" s="10" t="s">
        <v>1834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2026-10-29T16:11:22Z</dcterms:created>
  <dc:creator>openpyxl</dc:creator>
  <dc:description/>
  <dc:language>en-US</dc:language>
  <cp:lastModifiedBy/>
  <dcterms:modified xsi:type="dcterms:W3CDTF">2026-10-29T16:11:22Z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