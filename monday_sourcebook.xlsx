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ources" sheetId="2" state="visible" r:id="rId4"/>
    <sheet name="Quarterly_Actuals" sheetId="3" state="visible" r:id="rId5"/>
    <sheet name="Guidance_History" sheetId="4" state="visible" r:id="rId6"/>
    <sheet name="Annual" sheetId="5" state="visible" r:id="rId7"/>
    <sheet name="Reconciliations" sheetId="6" state="visible" r:id="rId8"/>
    <sheet name="Definitions" sheetId="7" state="visible" r:id="rId9"/>
    <sheet name="Checks" sheetId="8" state="visible" r:id="rId10"/>
    <sheet name="Not_Disclosed" sheetId="9" state="visible" r:id="rId11"/>
  </sheets>
  <definedNames>
    <definedName function="false" hidden="true" localSheetId="4" name="_xlnm._FilterDatabase" vbProcedure="false">Annual!$A$1:$M$1</definedName>
    <definedName function="false" hidden="true" localSheetId="7" name="_xlnm._FilterDatabase" vbProcedure="false">Checks!$A$1:$I$1</definedName>
    <definedName function="false" hidden="true" localSheetId="6" name="_xlnm._FilterDatabase" vbProcedure="false">Definitions!$A$1:$H$1</definedName>
    <definedName function="false" hidden="true" localSheetId="3" name="_xlnm._FilterDatabase" vbProcedure="false">Guidance_History!$A$1:$U$1</definedName>
    <definedName function="false" hidden="true" localSheetId="8" name="_xlnm._FilterDatabase" vbProcedure="false">Not_Disclosed!$A$1:$G$1</definedName>
    <definedName function="false" hidden="true" localSheetId="2" name="_xlnm._FilterDatabase" vbProcedure="false">Quarterly_Actuals!$A$1:$P$1</definedName>
    <definedName function="false" hidden="true" localSheetId="5" name="_xlnm._FilterDatabase" vbProcedure="false">Reconciliations!$A$1:$N$1</definedName>
    <definedName function="false" hidden="true" localSheetId="1" name="_xlnm._FilterDatabase" vbProcedure="false">Sources!$A$1:$J$1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<sst xmlns="http://schemas.openxmlformats.org/spreadsheetml/2006/main" count="56006" uniqueCount="14775">
  <si>
    <t xml:space="preserve">monday.com Operating Plan &amp; Rolling Reforecast - Phase 0 Source Book</t>
  </si>
  <si>
    <t xml:space="preserve">Purpose and scope</t>
  </si>
  <si>
    <t xml:space="preserve">Purpose</t>
  </si>
  <si>
    <t xml:space="preserve">Phase 0 SOURCE BOOK for a public-data Strategic FP&amp;A operating plan and rolling reforecast of monday.com Ltd. (NASDAQ: MNDY; SEC CIK 0001845338). It preserves the information set that was publicly available in SEC-hosted primary filings before monday.com reports Q3 2026 results (scheduled November 9, 2026).</t>
  </si>
  <si>
    <t xml:space="preserve">Information cutoff</t>
  </si>
  <si>
    <t xml:space="preserve">October 28, 2026. No source published after this date is used. The latest primary document used is the Q2 2026 earnings release and H1 2026 interim report furnished on Form 6-K on August 10, 2026 (the last 6-K/20-F in the EDGAR index before the cutoff).</t>
  </si>
  <si>
    <t xml:space="preserve">No forecast / no plan</t>
  </si>
  <si>
    <t xml:space="preserve">Phase 0 contains NO forecast, NO operating plan, NO operating assumptions, NO scenario modeling, NO synthetic KPI history and NO back-solving of undisclosed KPIs. Company guidance is recorded only as disclosed history (Guidance_History). No revenue-model architecture, customer-driver methodology, phasing, headcount, expense-driver or scenario decision has been made.</t>
  </si>
  <si>
    <t xml:space="preserve">Primary sources</t>
  </si>
  <si>
    <t xml:space="preserve">Only SEC-hosted primary documents: 6-K exhibits (earnings press releases, interim financial statements and MD&amp;A, other press releases, proxy materials) and Form 20-F annual reports with their exhibits. No data aggregator or secondary source is used. Full list on the Sources sheet.</t>
  </si>
  <si>
    <t xml:space="preserve">Investor relations website</t>
  </si>
  <si>
    <t xml:space="preserve">ir.monday.com was UNAVAILABLE: direct access returned HTTP 403 with a Cloudflare bot challenge. It was not used, no secondary source was substituted, and no attempt was made to circumvent the block. Investor presentations, the September 17, 2025 Investor Day materials (including any financial targets), webcast transcripts and IR-only KPI supplements are therefore NOT in this source book (see Sources: IR-WEB and Not_Disclosed).</t>
  </si>
  <si>
    <t xml:space="preserve">Classification labels</t>
  </si>
  <si>
    <t xml:space="preserve">Sourced</t>
  </si>
  <si>
    <t xml:space="preserve">Read directly from a primary filing / release / exhibit. Hard-coded and shown in BLUE font. Every Sourced value has a Source ID and an exact document / table / section reference adjacent to it.</t>
  </si>
  <si>
    <t xml:space="preserve">Derived</t>
  </si>
  <si>
    <t xml:space="preserve">Only mechanical transformations of disclosed values (e.g., unrounded margin = disclosed profit / disclosed revenue; sum of disclosed balance-sheet components; guidance midpoint = average of disclosed low and high; midpoint change). Every Derived value is a live Excel formula (BLACK font) and its row shows the formula and the Sourced input rows. Derived is never used to estimate an undisclosed KPI, total ARR, headcount, new ARR, budgets, missing customer metrics or planning assumptions.</t>
  </si>
  <si>
    <t xml:space="preserve">Assumed</t>
  </si>
  <si>
    <t xml:space="preserve">A judgment. There are NO Assumed values in Phase 0.</t>
  </si>
  <si>
    <t xml:space="preserve">Font conventions</t>
  </si>
  <si>
    <t xml:space="preserve">BLUE = hard-coded Sourced input. BLACK = formula (Derived values, checks). GREEN = link to another row (Guidance_History prior-vintage columns). RED text in Notes = conflict / restatement / discrepancy flag.</t>
  </si>
  <si>
    <t xml:space="preserve">Missing data, conflicts, restatements</t>
  </si>
  <si>
    <t xml:space="preserve">Blank cells</t>
  </si>
  <si>
    <t xml:space="preserve">A blank value means NOT DISCLOSED or NOT COMPARABLE for that period unless the Notes say otherwise. A blank historical value stays blank unless (1) the inputs are explicitly disclosed, (2) it is a simple mechanical calculation, (3) it is labeled Derived, and (4) the formula and sources are shown. Line items not presented in a statement (e.g., restructuring before Q2 2026) are left blank, not set to zero. A disclosed "—" (nil) in a statement is recorded as 0.</t>
  </si>
  <si>
    <t xml:space="preserve">Lower-bound disclosures</t>
  </si>
  <si>
    <t xml:space="preserve">Where a source gives only a floor (e.g., NDR "over 125%"), As Reported keeps the wording, Normalized Low holds the floor and Normalized Value is blank. Ranges keep As Reported plus Normalized Low / High.</t>
  </si>
  <si>
    <t xml:space="preserve">Conflicts</t>
  </si>
  <si>
    <t xml:space="preserve">If two primary documents disagree, both values are kept, both sources are identified, the conflict is flagged in Notes (red) and in a Checks row, and the current value is stated with the reason. Nothing is silently overwritten. See the discrepancy log below.</t>
  </si>
  <si>
    <t xml:space="preserve">Restatements</t>
  </si>
  <si>
    <t xml:space="preserve">Every prior-year comparative column in all 21 earnings releases (1,094 statement values) was compared with the originally reported value: no restated financial-statement values were found. KPI comparatives in later releases were compared with original KPI disclosures: no differences. Restatements / recasts / corrections found elsewhere are listed in the restatement log below and flagged in place.</t>
  </si>
  <si>
    <t xml:space="preserve">Units and period basis</t>
  </si>
  <si>
    <t xml:space="preserve">Units</t>
  </si>
  <si>
    <t xml:space="preserve">USD thousands (financial statements, reconciliations; as presented by the company); USD millions (guidance, RPO/cRPO per releases, share repurchases per release text); USD (per-share, if any); percentage (stored as a decimal fraction, displayed as %; company-reported margins are whole-percent rounded); basis points (FX impacts; 100 bps = 1 percentage point); customer count; employee count; shares.</t>
  </si>
  <si>
    <t xml:space="preserve">Period basis</t>
  </si>
  <si>
    <t xml:space="preserve">Quarterly (3 months) | Year-to-date (6 months / 9 months) | Annual (12 months, fiscal year = calendar year) | Point-in-time (balance sheet date or KPI as-of date) | Trailing-twelve-month (only where the company says so; NDR definition references a TTM weighted average but disclosures do not state which basis is reported - see Definitions) | Guidance period (next quarter or full fiscal year). Every row carries its period basis; period types are never mixed in a check.</t>
  </si>
  <si>
    <t xml:space="preserve">Sign conventions</t>
  </si>
  <si>
    <t xml:space="preserve">Values follow the company presentation: expenses positive on the income statement; operating losses negative; cash outflows negative in cash-flow and FCF reconciliation rows; opex SBC adjustments negative in the opex reconciliation (as presented). FX impacts: negative = unfavorable to the reported metric.</t>
  </si>
  <si>
    <t xml:space="preserve">Fiscal calendar</t>
  </si>
  <si>
    <t xml:space="preserve">Fiscal year ends December 31. Q1 = Jan-Mar, Q2 = Apr-Jun, Q3 = Jul-Sep, Q4 = Oct-Dec.</t>
  </si>
  <si>
    <t xml:space="preserve">Historical start date</t>
  </si>
  <si>
    <t xml:space="preserve">Start: Q1 2021</t>
  </si>
  <si>
    <t xml:space="preserve">Quarterly_Actuals starts at Q1 2021. Reasons: (1) monday.com IPO'd in June 2021; the first earnings release is Q2 2021 and every quarter from Q1 2021 to Q2 2026 is available on a consistent basis (Q1 2021 from the prior-year column of the Q1 2022 release); (2) FY2021 is the first fiscal year with all four quarters disclosed and the first audited year in a 20-F, so quarter-to-year additivity can be tested from 2021; (3) 2020 quarters exist only as Q2-Q4 comparatives in IPO-year releases and Q1 2020 was never disclosed standalone, so 2020 could not be assembled as a complete quarterly year. KPIs are included from whenever each was first disclosed (see Not_Disclosed and the coverage notes); earlier periods are blank.</t>
  </si>
  <si>
    <t xml:space="preserve">Sheet guide</t>
  </si>
  <si>
    <t xml:space="preserve">Sources</t>
  </si>
  <si>
    <t xml:space="preserve">Every primary document used, with SEC URL, accession number, exhibit number, publication date, and the IR-site unavailability record.</t>
  </si>
  <si>
    <t xml:space="preserve">Quarterly_Actuals</t>
  </si>
  <si>
    <t xml:space="preserve">Long-format history (one row per metric x period x basis): P&amp;L (GAAP and non-GAAP), SBC, restructuring, cash flow and adjusted FCF, balance-sheet cash items, repurchases, NDR by cohort, paid customers by threshold, share of ARR by cohort, RPO / cRPO, FX impacts. YTD and annual rows are included for flow metrics to support additivity checks.</t>
  </si>
  <si>
    <t xml:space="preserve">Guidance_History</t>
  </si>
  <si>
    <t xml:space="preserve">Every guidance vintage (Q2 2021 release through Q2 2026 release, plus the July 22, 2026 outlook update); older vintages are never overwritten.</t>
  </si>
  <si>
    <t xml:space="preserve">Annual</t>
  </si>
  <si>
    <t xml:space="preserve">20-F (and interim-report / other 6-K) disclosures: headcount, SBC detail, leases, commitments, acquisitions, restructuring plan, repurchase program, tax, FX hedging, geographic revenue, audited statement totals, etc.</t>
  </si>
  <si>
    <t xml:space="preserve">Reconciliations</t>
  </si>
  <si>
    <t xml:space="preserve">GAAP-to-non-GAAP reconciliations (gross profit, each opex line, operating income, net income) and OCF-to-(adjusted) FCF, by quarter and fiscal year, in the company's own structure.</t>
  </si>
  <si>
    <t xml:space="preserve">Definitions</t>
  </si>
  <si>
    <t xml:space="preserve">Company definitions and scope of KPIs and non-GAAP measures, effective periods, definition / methodology changes and comparability warnings.</t>
  </si>
  <si>
    <t xml:space="preserve">Checks</t>
  </si>
  <si>
    <t xml:space="preserve">982 formula checks with PASS/FAIL and explanations for each FAIL. Point-in-time metrics are never summed.</t>
  </si>
  <si>
    <t xml:space="preserve">Not_Disclosed</t>
  </si>
  <si>
    <t xml:space="preserve">Planning variables that would be useful but are not disclosed, with search scope and possible later treatment. Documents limitations only; no assumptions are created.</t>
  </si>
  <si>
    <t xml:space="preserve">Discrepancy log (primary-source conflicts and inconsistencies)</t>
  </si>
  <si>
    <t xml:space="preserve">D1 FY2021 adjusted FCF</t>
  </si>
  <si>
    <t xml:space="preserve">FY2023 20-F Item 5.A reconciliation prints FY2021 adjusted FCF 7,303 (same as the HQ add-back line); its components and four other primary sources give 9,900. Current: 9,900. (Quarterly_Actuals conflict row; Checks.)</t>
  </si>
  <si>
    <t xml:space="preserve">D2 FY2021 total opex</t>
  </si>
  <si>
    <t xml:space="preserve">FY2021 20-F Item 5.A summary table prints 395,292; audited statements, Item 5 comparison table and Q4 2021 release show 395,262. Current: 395,262. (Annual; Checks.)</t>
  </si>
  <si>
    <t xml:space="preserve">D3 Q4 D&amp;A (2024, 2025)</t>
  </si>
  <si>
    <t xml:space="preserve">Q4 3-month D&amp;A in the Q4 2024 and Q4 2025 releases does not equal FY minus 9M D&amp;A (differences 16 and 58 USD thousands). No explanation. (Checks FAIL with explanation.)</t>
  </si>
  <si>
    <t xml:space="preserve">D4 June 30, 2025 RPO</t>
  </si>
  <si>
    <t xml:space="preserve">767,789 USD thousands (H1 2025 interim FS) vs $699 million (Q2 2026 release comparative). No explanation. Current: $699M on the release basis. (Quarterly_Actuals; Checks FAIL.)</t>
  </si>
  <si>
    <t xml:space="preserve">D5 Q4 2022 NDR &gt;10 users</t>
  </si>
  <si>
    <t xml:space="preserve">Q4 2022 release and FY2022/FY2023 20-Fs: "over 130%"; FY2024 20-F: exactly 130%. Both kept; flagged.</t>
  </si>
  <si>
    <t xml:space="preserve">D6 D&amp;A in notes vs cash flow</t>
  </si>
  <si>
    <t xml:space="preserve">FY2023 D&amp;A: 9,023 (cash flow) vs 8,961 (PP&amp;E note); FY2022: 8,567 vs 5,913. Not necessarily the same scope (note covers property and equipment only); not reconciled in the filings. Cash-flow figure used for cash-flow D&amp;A. (Annual notes.)</t>
  </si>
  <si>
    <t xml:space="preserve">D7 FY2022 capitalized SBC</t>
  </si>
  <si>
    <t xml:space="preserve">2,282 (SBC note) vs 1,934 (cash-flow supplemental) in the FY2022/FY2023/FY2024 20-Fs; not reconciled in the filings. (Annual.)</t>
  </si>
  <si>
    <t xml:space="preserve">D8 FY2024 SBC scope</t>
  </si>
  <si>
    <t xml:space="preserve">FY2024 SBC 147,117 in the 20-F SBC table includes the 17,908 Foundation share grant in G&amp;A; 129,209 in the cash-flow statement and non-GAAP reconciliation excludes it (shown separately as charitable contribution). Scope difference explained by the company - not a conflict. (Annual.)</t>
  </si>
  <si>
    <t xml:space="preserve">D9 Minor text vs table</t>
  </si>
  <si>
    <t xml:space="preserve">FY2021 20-F: tax advance on option exercises "$22.5 million" in text vs 22,258 in the cash-flow statement. H1 2026 MD&amp;A: financial income 17,337 / income tax 4,053 vs 17,336 / 4,052 in the interim statements (rounding). FY2025 20-F: internal-control text refers to "2024" and Legal Proceedings states no material litigation while a shareholder class action (filed March 10, 2026) is disclosed elsewhere in the same filing. (Annual notes.)</t>
  </si>
  <si>
    <t xml:space="preserve">Restatement / recast / correction log</t>
  </si>
  <si>
    <t xml:space="preserve">R1 Geographic revenue H1 2024 (corrected)</t>
  </si>
  <si>
    <t xml:space="preserve">6-K filed August 29, 2025 corrected the geographic revenue table in the H1 2025 interim FS: H1 2024 United States 242,075 -&gt; 225,170; Rest of world 65,634 -&gt; 82,539 (USD thousands); totals unchanged. Corrected values are current. (Annual, revenue_geo.)</t>
  </si>
  <si>
    <t xml:space="preserve">R2 RPO June 30, 2025 (recast)</t>
  </si>
  <si>
    <t xml:space="preserve">See D4. Original 767,789 USD thousands retained; release value $699M marked current; reason not disclosed.</t>
  </si>
  <si>
    <t xml:space="preserve">R3 H1 2025 financial income components (reclassified)</t>
  </si>
  <si>
    <t xml:space="preserve">H1 2026 interim FS show H1 2025 interest income 31,326 and accretion 145 vs 30,158 and 1,313 originally; total financial income unchanged; no explanation. (Annual.)</t>
  </si>
  <si>
    <t xml:space="preserve">R4 Presentation changes</t>
  </si>
  <si>
    <t xml:space="preserve">ASC 842 adopted Jan 1, 2022 (modified retrospective; 2021 not restated). ASU 2023-07 segment disclosures adopted 2024 (retrospective). ASU 2023-09 tax disclosures adopted 2025 (prospective). No restatement of quarterly results was found in any release comparative.</t>
  </si>
  <si>
    <t xml:space="preserve">Verification performed</t>
  </si>
  <si>
    <t xml:space="preserve">Verification</t>
  </si>
  <si>
    <t xml:space="preserve">Workbook built with openpyxl, recalculated with LibreOffice (headless) and reopened to confirm cached values, no formula errors, no Assumed values, Source ID present on every Sourced/Derived row, formulas present on every Derived row, no point-in-time metric used in a summation check, units and period basis populated on every row. All agent-assisted 20-F / 6-K extractions were string-matched against the source text (as-reported quote and number); residual non-matches were checked by hand.</t>
  </si>
  <si>
    <t xml:space="preserve">Source ID</t>
  </si>
  <si>
    <t xml:space="preserve">Document Type</t>
  </si>
  <si>
    <t xml:space="preserve">Title</t>
  </si>
  <si>
    <t xml:space="preserve">Reporting Period</t>
  </si>
  <si>
    <t xml:space="preserve">Publication Date (SEC filing date)</t>
  </si>
  <si>
    <t xml:space="preserve">URL</t>
  </si>
  <si>
    <t xml:space="preserve">SEC Accession Number</t>
  </si>
  <si>
    <t xml:space="preserve">Exhibit Number</t>
  </si>
  <si>
    <t xml:space="preserve">Source Location / Section</t>
  </si>
  <si>
    <t xml:space="preserve">Notes</t>
  </si>
  <si>
    <t xml:space="preserve">ER-2021Q2</t>
  </si>
  <si>
    <t xml:space="preserve">6-K, Exhibit 99.1 (earnings press release)</t>
  </si>
  <si>
    <t xml:space="preserve">monday.com Announces Second Quarter 2021 Results</t>
  </si>
  <si>
    <t xml:space="preserve">Q2 2021</t>
  </si>
  <si>
    <t xml:space="preserve">https://www.sec.gov/Archives/edgar/data/1845338/000117891321002746/exhibit_99-1.htm</t>
  </si>
  <si>
    <t xml:space="preserve">0001178913-21-002746</t>
  </si>
  <si>
    <t xml:space="preserve">99.1</t>
  </si>
  <si>
    <t xml:space="preserve">Whole document: highlights, outlook, KPI definitions, financial tables</t>
  </si>
  <si>
    <t xml:space="preserve">Earnings release furnished on Form 6-K. Prior-period comparative columns also used for Q1 2021 values, first-time KPI comparatives and restatement review.</t>
  </si>
  <si>
    <t xml:space="preserve">ER-2021Q3</t>
  </si>
  <si>
    <t xml:space="preserve">monday.com Announces Third Quarter 2021 Results</t>
  </si>
  <si>
    <t xml:space="preserve">Q3 2021</t>
  </si>
  <si>
    <t xml:space="preserve">https://www.sec.gov/Archives/edgar/data/1845338/000117891321003446/exhibit_99-1.htm</t>
  </si>
  <si>
    <t xml:space="preserve">0001178913-21-003446</t>
  </si>
  <si>
    <t xml:space="preserve">ER-2021Q4</t>
  </si>
  <si>
    <t xml:space="preserve">monday.com Announces Fourth Quarter and Fiscal Year 2021 Results</t>
  </si>
  <si>
    <t xml:space="preserve">Q4 2021</t>
  </si>
  <si>
    <t xml:space="preserve">https://www.sec.gov/Archives/edgar/data/1845338/000117891322000771/exhibit_99-1.htm</t>
  </si>
  <si>
    <t xml:space="preserve">0001178913-22-000771</t>
  </si>
  <si>
    <t xml:space="preserve">ER-2022Q1</t>
  </si>
  <si>
    <t xml:space="preserve">monday.com Announces First Quarter 2022 Results</t>
  </si>
  <si>
    <t xml:space="preserve">Q1 2022</t>
  </si>
  <si>
    <t xml:space="preserve">https://www.sec.gov/Archives/edgar/data/1845338/000117891322001962/exhibit_99-1.htm</t>
  </si>
  <si>
    <t xml:space="preserve">0001178913-22-001962</t>
  </si>
  <si>
    <t xml:space="preserve">ER-2022Q2</t>
  </si>
  <si>
    <t xml:space="preserve">monday.com Announces Second Quarter 2022 Results</t>
  </si>
  <si>
    <t xml:space="preserve">Q2 2022</t>
  </si>
  <si>
    <t xml:space="preserve">https://www.sec.gov/Archives/edgar/data/1845338/000117891322002948/exhibit_99-1.htm</t>
  </si>
  <si>
    <t xml:space="preserve">0001178913-22-002948</t>
  </si>
  <si>
    <t xml:space="preserve">ER-2022Q3</t>
  </si>
  <si>
    <t xml:space="preserve">monday.com Announces Third Quarter 2022 Results</t>
  </si>
  <si>
    <t xml:space="preserve">Q3 2022</t>
  </si>
  <si>
    <t xml:space="preserve">https://www.sec.gov/Archives/edgar/data/1845338/000117891322003976/exhibit_99-1.htm</t>
  </si>
  <si>
    <t xml:space="preserve">0001178913-22-003976</t>
  </si>
  <si>
    <t xml:space="preserve">ER-2022Q4</t>
  </si>
  <si>
    <t xml:space="preserve">monday.com Announces Fourth Quarter and Fiscal Year 2022 Results</t>
  </si>
  <si>
    <t xml:space="preserve">Q4 2022</t>
  </si>
  <si>
    <t xml:space="preserve">https://www.sec.gov/Archives/edgar/data/1845338/000117891323000506/exhibit_99-1.htm</t>
  </si>
  <si>
    <t xml:space="preserve">0001178913-23-000506</t>
  </si>
  <si>
    <t xml:space="preserve">ER-2023Q1</t>
  </si>
  <si>
    <t xml:space="preserve">monday.com Announces First Quarter 2023 Results</t>
  </si>
  <si>
    <t xml:space="preserve">Q1 2023</t>
  </si>
  <si>
    <t xml:space="preserve">https://www.sec.gov/Archives/edgar/data/1845338/000117891323001870/exhibit_99-1.htm</t>
  </si>
  <si>
    <t xml:space="preserve">0001178913-23-001870</t>
  </si>
  <si>
    <t xml:space="preserve">ER-2023Q2</t>
  </si>
  <si>
    <t xml:space="preserve">monday.com Announces Second Quarter 2023 Results</t>
  </si>
  <si>
    <t xml:space="preserve">Q2 2023</t>
  </si>
  <si>
    <t xml:space="preserve">https://www.sec.gov/Archives/edgar/data/1845338/000117891323002848/exhibit_99-1.htm</t>
  </si>
  <si>
    <t xml:space="preserve">0001178913-23-002848</t>
  </si>
  <si>
    <t xml:space="preserve">ER-2023Q3</t>
  </si>
  <si>
    <t xml:space="preserve">monday.com Announces Third Quarter 2023 Results</t>
  </si>
  <si>
    <t xml:space="preserve">Q3 2023</t>
  </si>
  <si>
    <t xml:space="preserve">https://www.sec.gov/Archives/edgar/data/1845338/000117891323003627/exhibit_99-1.htm</t>
  </si>
  <si>
    <t xml:space="preserve">0001178913-23-003627</t>
  </si>
  <si>
    <t xml:space="preserve">ER-2023Q4</t>
  </si>
  <si>
    <t xml:space="preserve">monday.com Announces Fourth Quarter and Fiscal Year 2023 Results</t>
  </si>
  <si>
    <t xml:space="preserve">Q4 2023</t>
  </si>
  <si>
    <t xml:space="preserve">https://www.sec.gov/Archives/edgar/data/1845338/000117891324000445/exhibit_99-1.htm</t>
  </si>
  <si>
    <t xml:space="preserve">0001178913-24-000445</t>
  </si>
  <si>
    <t xml:space="preserve">ER-2024Q1</t>
  </si>
  <si>
    <t xml:space="preserve">monday.com Announces First Quarter 2024 Results</t>
  </si>
  <si>
    <t xml:space="preserve">Q1 2024</t>
  </si>
  <si>
    <t xml:space="preserve">https://www.sec.gov/Archives/edgar/data/1845338/000117891324001720/exhibit_99-1.htm</t>
  </si>
  <si>
    <t xml:space="preserve">0001178913-24-001720</t>
  </si>
  <si>
    <t xml:space="preserve">ER-2024Q2</t>
  </si>
  <si>
    <t xml:space="preserve">monday.com Announces Second Quarter 2024 Results</t>
  </si>
  <si>
    <t xml:space="preserve">Q2 2024</t>
  </si>
  <si>
    <t xml:space="preserve">https://www.sec.gov/Archives/edgar/data/1845338/000117891324002538/exhibit_99-1.htm</t>
  </si>
  <si>
    <t xml:space="preserve">0001178913-24-002538</t>
  </si>
  <si>
    <t xml:space="preserve">ER-2024Q3</t>
  </si>
  <si>
    <t xml:space="preserve">monday.com Announces Third Quarter 2024 Results</t>
  </si>
  <si>
    <t xml:space="preserve">Q3 2024</t>
  </si>
  <si>
    <t xml:space="preserve">https://www.sec.gov/Archives/edgar/data/1845338/000117891324003586/exhibit_99-1.htm</t>
  </si>
  <si>
    <t xml:space="preserve">0001178913-24-003586</t>
  </si>
  <si>
    <t xml:space="preserve">ER-2024Q4</t>
  </si>
  <si>
    <t xml:space="preserve">monday.com Announces Fourth Quarter and Fiscal Year 2024 Results</t>
  </si>
  <si>
    <t xml:space="preserve">Q4 2024</t>
  </si>
  <si>
    <t xml:space="preserve">https://www.sec.gov/Archives/edgar/data/1845338/000117891325000369/exhibit_99-1.htm</t>
  </si>
  <si>
    <t xml:space="preserve">0001178913-25-000369</t>
  </si>
  <si>
    <t xml:space="preserve">ER-2025Q1</t>
  </si>
  <si>
    <t xml:space="preserve">monday.com Announces First Quarter 2025 Results</t>
  </si>
  <si>
    <t xml:space="preserve">Q1 2025</t>
  </si>
  <si>
    <t xml:space="preserve">https://www.sec.gov/Archives/edgar/data/1845338/000117891325001699/exhibit_99-1.htm</t>
  </si>
  <si>
    <t xml:space="preserve">0001178913-25-001699</t>
  </si>
  <si>
    <t xml:space="preserve">ER-2025Q2</t>
  </si>
  <si>
    <t xml:space="preserve">monday.com Announces Second Quarter 2025 Results</t>
  </si>
  <si>
    <t xml:space="preserve">Q2 2025</t>
  </si>
  <si>
    <t xml:space="preserve">https://www.sec.gov/Archives/edgar/data/1845338/000117891325002734/exhibit_99-1.htm</t>
  </si>
  <si>
    <t xml:space="preserve">0001178913-25-002734</t>
  </si>
  <si>
    <t xml:space="preserve">ER-2025Q3</t>
  </si>
  <si>
    <t xml:space="preserve">monday.com Announces Third Quarter 2025 Results</t>
  </si>
  <si>
    <t xml:space="preserve">Q3 2025</t>
  </si>
  <si>
    <t xml:space="preserve">https://www.sec.gov/Archives/edgar/data/1845338/000117891325003708/exhibit_99-1.htm</t>
  </si>
  <si>
    <t xml:space="preserve">0001178913-25-003708</t>
  </si>
  <si>
    <t xml:space="preserve">ER-2025Q4</t>
  </si>
  <si>
    <t xml:space="preserve">monday.com Announces Fourth Quarter and Fiscal Year 2025 Results</t>
  </si>
  <si>
    <t xml:space="preserve">Q4 2025</t>
  </si>
  <si>
    <t xml:space="preserve">https://www.sec.gov/Archives/edgar/data/1845338/000117891326000346/exhibit_99-1.htm</t>
  </si>
  <si>
    <t xml:space="preserve">0001178913-26-000346</t>
  </si>
  <si>
    <t xml:space="preserve">ER-2026Q1</t>
  </si>
  <si>
    <t xml:space="preserve">monday.com Announces First Quarter 2026 Results</t>
  </si>
  <si>
    <t xml:space="preserve">Q1 2026</t>
  </si>
  <si>
    <t xml:space="preserve">https://www.sec.gov/Archives/edgar/data/1845338/000117891326002499/exhibit_99-1.htm</t>
  </si>
  <si>
    <t xml:space="preserve">0001178913-26-002499</t>
  </si>
  <si>
    <t xml:space="preserve">ER-2026Q2</t>
  </si>
  <si>
    <t xml:space="preserve">monday.com Announces Second Quarter 2026 Results</t>
  </si>
  <si>
    <t xml:space="preserve">Q2 2026</t>
  </si>
  <si>
    <t xml:space="preserve">https://www.sec.gov/Archives/edgar/data/1845338/000117891326003971/exhibit_99-1.htm</t>
  </si>
  <si>
    <t xml:space="preserve">0001178913-26-003971</t>
  </si>
  <si>
    <t xml:space="preserve">20F-FY2021</t>
  </si>
  <si>
    <t xml:space="preserve">Form 20-F (annual report) incl. audited consolidated financial statements</t>
  </si>
  <si>
    <t xml:space="preserve">Annual Report on Form 20-F for fiscal year 2021</t>
  </si>
  <si>
    <t xml:space="preserve">FY 2021</t>
  </si>
  <si>
    <t xml:space="preserve">https://www.sec.gov/Archives/edgar/data/1845338/000117891322001148/zk2227415.htm</t>
  </si>
  <si>
    <t xml:space="preserve">0001178913-22-001148</t>
  </si>
  <si>
    <t xml:space="preserve">Main document</t>
  </si>
  <si>
    <t xml:space="preserve">Items 4, 5, 6, 16E, 18 and notes to consolidated financial statements</t>
  </si>
  <si>
    <t xml:space="preserve">Exhibits (certifications, consents, subsidiaries, descriptions of securities, policies) reviewed for financial terms only.</t>
  </si>
  <si>
    <t xml:space="preserve">20F-FY2022</t>
  </si>
  <si>
    <t xml:space="preserve">Annual Report on Form 20-F for fiscal year 2022</t>
  </si>
  <si>
    <t xml:space="preserve">FY 2022</t>
  </si>
  <si>
    <t xml:space="preserve">https://www.sec.gov/Archives/edgar/data/1845338/000117891323000966/zk2329322.htm</t>
  </si>
  <si>
    <t xml:space="preserve">0001178913-23-000966</t>
  </si>
  <si>
    <t xml:space="preserve">20F-FY2023</t>
  </si>
  <si>
    <t xml:space="preserve">Annual Report on Form 20-F for fiscal year 2023</t>
  </si>
  <si>
    <t xml:space="preserve">FY 2023</t>
  </si>
  <si>
    <t xml:space="preserve">https://www.sec.gov/Archives/edgar/data/1845338/000117891324000943/zk2431098.htm</t>
  </si>
  <si>
    <t xml:space="preserve">0001178913-24-000943</t>
  </si>
  <si>
    <t xml:space="preserve">20F-FY2024</t>
  </si>
  <si>
    <t xml:space="preserve">Annual Report on Form 20-F for fiscal year 2024</t>
  </si>
  <si>
    <t xml:space="preserve">FY 2024</t>
  </si>
  <si>
    <t xml:space="preserve">https://www.sec.gov/Archives/edgar/data/1845338/000117891325000852/zk2532825.htm</t>
  </si>
  <si>
    <t xml:space="preserve">0001178913-25-000852</t>
  </si>
  <si>
    <t xml:space="preserve">20F-FY2025</t>
  </si>
  <si>
    <t xml:space="preserve">Annual Report on Form 20-F for fiscal year 2025</t>
  </si>
  <si>
    <t xml:space="preserve">FY 2025</t>
  </si>
  <si>
    <t xml:space="preserve">https://www.sec.gov/Archives/edgar/data/1845338/000117891326000870/zk2634436.htm</t>
  </si>
  <si>
    <t xml:space="preserve">0001178913-26-000870</t>
  </si>
  <si>
    <t xml:space="preserve">H1FS-2024</t>
  </si>
  <si>
    <t xml:space="preserve">6-K, Exhibit 99.2 (unaudited interim condensed consolidated financial statements)</t>
  </si>
  <si>
    <t xml:space="preserve">Unaudited condensed consolidated financial statements as of and for the six months ended June 30, 2024</t>
  </si>
  <si>
    <t xml:space="preserve">6M 2024</t>
  </si>
  <si>
    <t xml:space="preserve">https://www.sec.gov/Archives/edgar/data/1845338/000117891324002538/exhibit_99-2.htm</t>
  </si>
  <si>
    <t xml:space="preserve">99.2</t>
  </si>
  <si>
    <t xml:space="preserve">Statements and notes</t>
  </si>
  <si>
    <t xml:space="preserve">Furnished with the Q2 earnings 6-K; XBRL-tagged.</t>
  </si>
  <si>
    <t xml:space="preserve">H1MDA-2024</t>
  </si>
  <si>
    <t xml:space="preserve">6-K, Exhibit 99.3 (interim MD&amp;A)</t>
  </si>
  <si>
    <t xml:space="preserve">Management's discussion and analysis for the six months ended June 30, 2024</t>
  </si>
  <si>
    <t xml:space="preserve">https://www.sec.gov/Archives/edgar/data/1845338/000117891324002538/exhibit_99-3.htm</t>
  </si>
  <si>
    <t xml:space="preserve">99.3</t>
  </si>
  <si>
    <t xml:space="preserve">MD&amp;A</t>
  </si>
  <si>
    <t xml:space="preserve">Furnished with the Q2 earnings 6-K.</t>
  </si>
  <si>
    <t xml:space="preserve">H1FS-2025</t>
  </si>
  <si>
    <t xml:space="preserve">Unaudited condensed consolidated financial statements as of and for the six months ended June 30, 2025</t>
  </si>
  <si>
    <t xml:space="preserve">6M 2025</t>
  </si>
  <si>
    <t xml:space="preserve">https://www.sec.gov/Archives/edgar/data/1845338/000117891325002734/exhibit_99-2.htm</t>
  </si>
  <si>
    <t xml:space="preserve">H1MDA-2025</t>
  </si>
  <si>
    <t xml:space="preserve">Management's discussion and analysis for the six months ended June 30, 2025</t>
  </si>
  <si>
    <t xml:space="preserve">https://www.sec.gov/Archives/edgar/data/1845338/000117891325002734/exhibit_99-3.htm</t>
  </si>
  <si>
    <t xml:space="preserve">Furnished with the Q2 earnings 6-K. The exhibit body is internally labelled "Exhibit 99.2" although filed as Exhibit 99.3.</t>
  </si>
  <si>
    <t xml:space="preserve">H1FS-2026</t>
  </si>
  <si>
    <t xml:space="preserve">Unaudited condensed consolidated financial statements as of and for the six months ended June 30, 2026</t>
  </si>
  <si>
    <t xml:space="preserve">6M 2026</t>
  </si>
  <si>
    <t xml:space="preserve">https://www.sec.gov/Archives/edgar/data/1845338/000117891326003971/exhibit_99-2.htm</t>
  </si>
  <si>
    <t xml:space="preserve">H1MDA-2026</t>
  </si>
  <si>
    <t xml:space="preserve">Management's discussion and analysis for the six months ended June 30, 2026</t>
  </si>
  <si>
    <t xml:space="preserve">https://www.sec.gov/Archives/edgar/data/1845338/000117891326003971/exhibit_99-3.htm</t>
  </si>
  <si>
    <t xml:space="preserve">6K-20250829-CORR</t>
  </si>
  <si>
    <t xml:space="preserve">6-K (correction of H1 2025 geographic revenue table)</t>
  </si>
  <si>
    <t xml:space="preserve">Correction to geographic revenue table in H1 2025 interim financial statements</t>
  </si>
  <si>
    <t xml:space="preserve">https://www.sec.gov/Archives/edgar/data/1845338/000117891325003195/zk2533737.htm</t>
  </si>
  <si>
    <t xml:space="preserve">0001178913-25-003195</t>
  </si>
  <si>
    <t xml:space="preserve">Cover</t>
  </si>
  <si>
    <t xml:space="preserve">Whole document</t>
  </si>
  <si>
    <t xml:space="preserve">6K-20250917-BUYBACK</t>
  </si>
  <si>
    <t xml:space="preserve">6-K (Investor Day notice; repurchase authorization)</t>
  </si>
  <si>
    <t xml:space="preserve">Investor Day notice and $870 million share repurchase program approval</t>
  </si>
  <si>
    <t xml:space="preserve">Sep 2025</t>
  </si>
  <si>
    <t xml:space="preserve">https://www.sec.gov/Archives/edgar/data/1845338/000117891325003352/zk2533791.htm</t>
  </si>
  <si>
    <t xml:space="preserve">0001178913-25-003352</t>
  </si>
  <si>
    <t xml:space="preserve">6K-20260722-RESTR</t>
  </si>
  <si>
    <t xml:space="preserve">6-K (restructuring plan)</t>
  </si>
  <si>
    <t xml:space="preserve">Restructuring plan initiated July 22, 2026</t>
  </si>
  <si>
    <t xml:space="preserve">Q3 2026 event</t>
  </si>
  <si>
    <t xml:space="preserve">https://www.sec.gov/Archives/edgar/data/1845338/000117891326003553/zk2635715.htm</t>
  </si>
  <si>
    <t xml:space="preserve">0001178913-26-003553</t>
  </si>
  <si>
    <t xml:space="preserve">6K-20250403</t>
  </si>
  <si>
    <t xml:space="preserve">6-K, Exhibit 99.1 (press release)</t>
  </si>
  <si>
    <t xml:space="preserve">Press release dated April 3, 2025</t>
  </si>
  <si>
    <t xml:space="preserve">Apr 2025</t>
  </si>
  <si>
    <t xml:space="preserve">https://www.sec.gov/Archives/edgar/data/1845338/000117891325001186/exhibit_99-1.htm</t>
  </si>
  <si>
    <t xml:space="preserve">0001178913-25-001186</t>
  </si>
  <si>
    <t xml:space="preserve">6K-20240826-ARR</t>
  </si>
  <si>
    <t xml:space="preserve">monday.com Achieves ... $1 Billion in Annual Recurring Revenue</t>
  </si>
  <si>
    <t xml:space="preserve">Aug 2024</t>
  </si>
  <si>
    <t xml:space="preserve">https://www.sec.gov/Archives/edgar/data/1845338/000117891324002760/exhibit_99-1.htm</t>
  </si>
  <si>
    <t xml:space="preserve">0001178913-24-002760</t>
  </si>
  <si>
    <t xml:space="preserve">6K-20240829</t>
  </si>
  <si>
    <t xml:space="preserve">6-K (Foundation share resale prospectus supplement)</t>
  </si>
  <si>
    <t xml:space="preserve">Prospectus supplement: resale of up to 68,000 shares by monday.com Foundation</t>
  </si>
  <si>
    <t xml:space="preserve">https://www.sec.gov/Archives/edgar/data/1845338/000117891324002901/zk2431932.htm</t>
  </si>
  <si>
    <t xml:space="preserve">0001178913-24-002901</t>
  </si>
  <si>
    <t xml:space="preserve">Cover + Ex. 5.1</t>
  </si>
  <si>
    <t xml:space="preserve">6K-20210902</t>
  </si>
  <si>
    <t xml:space="preserve">6-K (lock-up notice)</t>
  </si>
  <si>
    <t xml:space="preserve">IPO lock-up release notice</t>
  </si>
  <si>
    <t xml:space="preserve">Sep 2021</t>
  </si>
  <si>
    <t xml:space="preserve">https://www.sec.gov/Archives/edgar/data/1845338/000117891321002884/zk2126530.htm</t>
  </si>
  <si>
    <t xml:space="preserve">0001178913-21-002884</t>
  </si>
  <si>
    <t xml:space="preserve">PXY-2026</t>
  </si>
  <si>
    <t xml:space="preserve">6-K, Exhibit 99.1 (proxy statement)</t>
  </si>
  <si>
    <t xml:space="preserve">2026 annual general meeting proxy statement</t>
  </si>
  <si>
    <t xml:space="preserve">2026 AGM</t>
  </si>
  <si>
    <t xml:space="preserve">https://www.sec.gov/Archives/edgar/data/1845338/000117891326003403/exhibit_99-1.htm</t>
  </si>
  <si>
    <t xml:space="preserve">0001178913-26-003403</t>
  </si>
  <si>
    <t xml:space="preserve">PXY-2026-SUPP</t>
  </si>
  <si>
    <t xml:space="preserve">6-K, Exhibit 99.1 (proxy supplement)</t>
  </si>
  <si>
    <t xml:space="preserve">Supplement to 2026 proxy statement</t>
  </si>
  <si>
    <t xml:space="preserve">https://www.sec.gov/Archives/edgar/data/1845338/000117891326003514/exhibit_99-1.htm</t>
  </si>
  <si>
    <t xml:space="preserve">0001178913-26-003514</t>
  </si>
  <si>
    <t xml:space="preserve">AGM-2026</t>
  </si>
  <si>
    <t xml:space="preserve">6-K (AGM results)</t>
  </si>
  <si>
    <t xml:space="preserve">Results of 2026 annual general meeting</t>
  </si>
  <si>
    <t xml:space="preserve">https://www.sec.gov/Archives/edgar/data/1845338/000117891326003915/zk2635889.htm</t>
  </si>
  <si>
    <t xml:space="preserve">0001178913-26-003915</t>
  </si>
  <si>
    <t xml:space="preserve">PXY-2025</t>
  </si>
  <si>
    <t xml:space="preserve">2025 AGM proxy statement</t>
  </si>
  <si>
    <t xml:space="preserve">2025 AGM</t>
  </si>
  <si>
    <t xml:space="preserve">https://www.sec.gov/Archives/edgar/data/1845338/000117891325002240/exhibit_99-1.htm</t>
  </si>
  <si>
    <t xml:space="preserve">0001178913-25-002240</t>
  </si>
  <si>
    <t xml:space="preserve">PXY-2024</t>
  </si>
  <si>
    <t xml:space="preserve">2024 AGM proxy statement</t>
  </si>
  <si>
    <t xml:space="preserve">2024 AGM</t>
  </si>
  <si>
    <t xml:space="preserve">https://www.sec.gov/Archives/edgar/data/1845338/000117891324002085/exhibit_99-1.htm</t>
  </si>
  <si>
    <t xml:space="preserve">0001178913-24-002085</t>
  </si>
  <si>
    <t xml:space="preserve">PXY-2023</t>
  </si>
  <si>
    <t xml:space="preserve">2023 AGM proxy statement</t>
  </si>
  <si>
    <t xml:space="preserve">2023 AGM</t>
  </si>
  <si>
    <t xml:space="preserve">https://www.sec.gov/Archives/edgar/data/1845338/000117891323002287/exhibit_99-1.htm</t>
  </si>
  <si>
    <t xml:space="preserve">0001178913-23-002287</t>
  </si>
  <si>
    <t xml:space="preserve">PXY-2022</t>
  </si>
  <si>
    <t xml:space="preserve">2022 AGM proxy statement</t>
  </si>
  <si>
    <t xml:space="preserve">2022 AGM</t>
  </si>
  <si>
    <t xml:space="preserve">https://www.sec.gov/Archives/edgar/data/1845338/000117891322002427/exhibit_99-1.htm</t>
  </si>
  <si>
    <t xml:space="preserve">0001178913-22-002427</t>
  </si>
  <si>
    <t xml:space="preserve">PXY-2021</t>
  </si>
  <si>
    <t xml:space="preserve">2021 special meeting proxy statement</t>
  </si>
  <si>
    <t xml:space="preserve">2021 SGM</t>
  </si>
  <si>
    <t xml:space="preserve">https://www.sec.gov/Archives/edgar/data/1845338/000117891321002122/exhibit_99-1.htm</t>
  </si>
  <si>
    <t xml:space="preserve">0001178913-21-002122</t>
  </si>
  <si>
    <t xml:space="preserve">SEC-INDEX</t>
  </si>
  <si>
    <t xml:space="preserve">SEC EDGAR submissions index (JSON)</t>
  </si>
  <si>
    <t xml:space="preserve">EDGAR filing index for monday.com Ltd. (CIK 0001845338)</t>
  </si>
  <si>
    <t xml:space="preserve">All filings</t>
  </si>
  <si>
    <t xml:space="preserve">n/a (index retrieved 2026-10-28)</t>
  </si>
  <si>
    <t xml:space="preserve">https://data.sec.gov/submissions/CIK0001845338.json</t>
  </si>
  <si>
    <t xml:space="preserve">filings.recent</t>
  </si>
  <si>
    <t xml:space="preserve">Used only to enumerate 6-K and 20-F filings (latest filing in index before cutoff: 2026-08-10). Not a data source for any value.</t>
  </si>
  <si>
    <t xml:space="preserve">IR-WEB</t>
  </si>
  <si>
    <t xml:space="preserve">Company investor relations website</t>
  </si>
  <si>
    <t xml:space="preserve">ir.monday.com</t>
  </si>
  <si>
    <t xml:space="preserve">n/a</t>
  </si>
  <si>
    <t xml:space="preserve">https://ir.monday.com/</t>
  </si>
  <si>
    <t xml:space="preserve">UNAVAILABLE: direct access returned HTTP 403 (Cloudflare bot challenge, "cf-mitigated: challenge") on 2026-10-28. Not used; no secondary source substituted and no attempt made to bypass the block. Consequence: investor presentations, Investor Day (Sept 17, 2025) materials, webcast transcripts and any IR-only KPI supplements are not in this source book.</t>
  </si>
  <si>
    <t xml:space="preserve">Row ID</t>
  </si>
  <si>
    <t xml:space="preserve">Period End</t>
  </si>
  <si>
    <t xml:space="preserve">Period Basis</t>
  </si>
  <si>
    <t xml:space="preserve">Category</t>
  </si>
  <si>
    <t xml:space="preserve">Metric</t>
  </si>
  <si>
    <t xml:space="preserve">As Reported</t>
  </si>
  <si>
    <t xml:space="preserve">Normalized Value</t>
  </si>
  <si>
    <t xml:space="preserve">Normalized Low</t>
  </si>
  <si>
    <t xml:space="preserve">Normalized High</t>
  </si>
  <si>
    <t xml:space="preserve">Unit</t>
  </si>
  <si>
    <t xml:space="preserve">Classification</t>
  </si>
  <si>
    <t xml:space="preserve">Source Reference (document / table / section)</t>
  </si>
  <si>
    <t xml:space="preserve">Formula (if Derived)</t>
  </si>
  <si>
    <t xml:space="preserve">QA-0001</t>
  </si>
  <si>
    <t xml:space="preserve">Q1 2021</t>
  </si>
  <si>
    <t xml:space="preserve">Quarterly (3 months)</t>
  </si>
  <si>
    <t xml:space="preserve">P&amp;L (GAAP)</t>
  </si>
  <si>
    <t xml:space="preserve">Revenue</t>
  </si>
  <si>
    <t xml:space="preserve">58,972</t>
  </si>
  <si>
    <t xml:space="preserve">USD thousands</t>
  </si>
  <si>
    <t xml:space="preserve">Exhibit 99.1, Condensed Consolidated Statements of Operations; row 'Revenue'; column 'Three months ended March 31, 2021'</t>
  </si>
  <si>
    <t xml:space="preserve">Q1 2021 preceded the June 2021 IPO; no Q1 2021 release exists. Value is the prior-year comparative column in the Q1 2022 earnings release.</t>
  </si>
  <si>
    <t xml:space="preserve">QA-0002</t>
  </si>
  <si>
    <t xml:space="preserve">70,615</t>
  </si>
  <si>
    <t xml:space="preserve">Exhibit 99.1, Condensed Consolidated Statements of Operations; row 'Revenue'; column 'Three months ended June 30, 2021'</t>
  </si>
  <si>
    <t xml:space="preserve">QA-0003</t>
  </si>
  <si>
    <t xml:space="preserve">6M 2021</t>
  </si>
  <si>
    <t xml:space="preserve">Year-to-date (6 months)</t>
  </si>
  <si>
    <t xml:space="preserve">129,587</t>
  </si>
  <si>
    <t xml:space="preserve">Exhibit 99.1, Condensed Consolidated Statements of Operations; row 'Revenue'; column 'Six months ended June 30, 2021'</t>
  </si>
  <si>
    <t xml:space="preserve">QA-0004</t>
  </si>
  <si>
    <t xml:space="preserve">83,018</t>
  </si>
  <si>
    <t xml:space="preserve">Exhibit 99.1, Condensed Consolidated Statements of Operations; row 'Revenue'; column 'Three months ended September 30, 2021'</t>
  </si>
  <si>
    <t xml:space="preserve">QA-0005</t>
  </si>
  <si>
    <t xml:space="preserve">9M 2021</t>
  </si>
  <si>
    <t xml:space="preserve">Year-to-date (9 months)</t>
  </si>
  <si>
    <t xml:space="preserve">212,605</t>
  </si>
  <si>
    <t xml:space="preserve">Exhibit 99.1, Condensed Consolidated Statements of Operations; row 'Revenue'; column 'Nine months ended September 30, 2021'</t>
  </si>
  <si>
    <t xml:space="preserve">QA-0006</t>
  </si>
  <si>
    <t xml:space="preserve">95,545</t>
  </si>
  <si>
    <t xml:space="preserve">Exhibit 99.1, Condensed Consolidated Statements of Operations; row 'Revenue'; column 'Three months ended December 31, 2021'</t>
  </si>
  <si>
    <t xml:space="preserve">QA-0007</t>
  </si>
  <si>
    <t xml:space="preserve">Annual (12 months)</t>
  </si>
  <si>
    <t xml:space="preserve">308,150</t>
  </si>
  <si>
    <t xml:space="preserve">Exhibit 99.1, Condensed Consolidated Statements of Operations; row 'Revenue'; column 'Year ended December 31, 2021'</t>
  </si>
  <si>
    <t xml:space="preserve">QA-0008</t>
  </si>
  <si>
    <t xml:space="preserve">108,497</t>
  </si>
  <si>
    <t xml:space="preserve">Exhibit 99.1, Condensed Consolidated Statements of Operations; row 'Revenue'; column 'Three months ended March 31, 2022'</t>
  </si>
  <si>
    <t xml:space="preserve">QA-0009</t>
  </si>
  <si>
    <t xml:space="preserve">123,718</t>
  </si>
  <si>
    <t xml:space="preserve">Exhibit 99.1, Condensed Consolidated Statements of Operations; row 'Revenue'; column 'Three months ended June 30, 2022'</t>
  </si>
  <si>
    <t xml:space="preserve">QA-0010</t>
  </si>
  <si>
    <t xml:space="preserve">6M 2022</t>
  </si>
  <si>
    <t xml:space="preserve">232,215</t>
  </si>
  <si>
    <t xml:space="preserve">Exhibit 99.1, Condensed Consolidated Statements of Operations; row 'Revenue'; column 'Six months ended June 30, 2022'</t>
  </si>
  <si>
    <t xml:space="preserve">QA-0011</t>
  </si>
  <si>
    <t xml:space="preserve">136,893</t>
  </si>
  <si>
    <t xml:space="preserve">Exhibit 99.1, Condensed Consolidated Statements of Operations; row 'Revenue'; column 'Three months ended September 30, 2022'</t>
  </si>
  <si>
    <t xml:space="preserve">QA-0012</t>
  </si>
  <si>
    <t xml:space="preserve">9M 2022</t>
  </si>
  <si>
    <t xml:space="preserve">369,108</t>
  </si>
  <si>
    <t xml:space="preserve">Exhibit 99.1, Condensed Consolidated Statements of Operations; row 'Revenue'; column 'Nine months ended September 30, 2022'</t>
  </si>
  <si>
    <t xml:space="preserve">QA-0013</t>
  </si>
  <si>
    <t xml:space="preserve">149,921</t>
  </si>
  <si>
    <t xml:space="preserve">Exhibit 99.1, Condensed Consolidated Statements of Operations; row 'Revenue'; column 'Three months ended December 31, 2022'</t>
  </si>
  <si>
    <t xml:space="preserve">QA-0014</t>
  </si>
  <si>
    <t xml:space="preserve">519,029</t>
  </si>
  <si>
    <t xml:space="preserve">Exhibit 99.1, Condensed Consolidated Statements of Operations; row 'Revenue'; column 'Year ended December 31, 2022'</t>
  </si>
  <si>
    <t xml:space="preserve">QA-0015</t>
  </si>
  <si>
    <t xml:space="preserve">162,256</t>
  </si>
  <si>
    <t xml:space="preserve">Exhibit 99.1, Condensed Consolidated Statements of Operations; row 'Revenue'; column 'Three months ended March 31, 2023'</t>
  </si>
  <si>
    <t xml:space="preserve">QA-0016</t>
  </si>
  <si>
    <t xml:space="preserve">175,679</t>
  </si>
  <si>
    <t xml:space="preserve">Exhibit 99.1, Condensed Consolidated Statements of Operations; row 'Revenue'; column 'Three months ended June 30, 2023'</t>
  </si>
  <si>
    <t xml:space="preserve">QA-0017</t>
  </si>
  <si>
    <t xml:space="preserve">6M 2023</t>
  </si>
  <si>
    <t xml:space="preserve">337,935</t>
  </si>
  <si>
    <t xml:space="preserve">Exhibit 99.1, Condensed Consolidated Statements of Operations; row 'Revenue'; column 'Six months ended June 30, 2023'</t>
  </si>
  <si>
    <t xml:space="preserve">QA-0018</t>
  </si>
  <si>
    <t xml:space="preserve">189,190</t>
  </si>
  <si>
    <t xml:space="preserve">Exhibit 99.1, Condensed Consolidated Statements of Operations; row 'Revenue'; column 'Three months ended September 30, 2023'</t>
  </si>
  <si>
    <t xml:space="preserve">QA-0019</t>
  </si>
  <si>
    <t xml:space="preserve">9M 2023</t>
  </si>
  <si>
    <t xml:space="preserve">527,125</t>
  </si>
  <si>
    <t xml:space="preserve">Exhibit 99.1, Condensed Consolidated Statements of Operations; row 'Revenue'; column 'Nine months ended September 30, 2023'</t>
  </si>
  <si>
    <t xml:space="preserve">QA-0020</t>
  </si>
  <si>
    <t xml:space="preserve">202,570</t>
  </si>
  <si>
    <t xml:space="preserve">Exhibit 99.1, Condensed Consolidated Statements of Operations; row 'Revenue'; column 'Three months ended December 31, 2023'</t>
  </si>
  <si>
    <t xml:space="preserve">QA-0021</t>
  </si>
  <si>
    <t xml:space="preserve">729,695</t>
  </si>
  <si>
    <t xml:space="preserve">Exhibit 99.1, Condensed Consolidated Statements of Operations; row 'Revenue'; column 'Year ended December 31, 2023'</t>
  </si>
  <si>
    <t xml:space="preserve">QA-0022</t>
  </si>
  <si>
    <t xml:space="preserve">216,913</t>
  </si>
  <si>
    <t xml:space="preserve">Exhibit 99.1, Condensed Consolidated Statements of Operations; row 'Revenue'; column 'Three months ended March 31, 2024'</t>
  </si>
  <si>
    <t xml:space="preserve">QA-0023</t>
  </si>
  <si>
    <t xml:space="preserve">236,106</t>
  </si>
  <si>
    <t xml:space="preserve">Exhibit 99.1, Condensed Consolidated Statements of Operations; row 'Revenue'; column 'Three months ended June 30, 2024'</t>
  </si>
  <si>
    <t xml:space="preserve">QA-0024</t>
  </si>
  <si>
    <t xml:space="preserve">453,019</t>
  </si>
  <si>
    <t xml:space="preserve">Exhibit 99.1, Condensed Consolidated Statements of Operations; row 'Revenue'; column 'Six months ended June 30, 2024'</t>
  </si>
  <si>
    <t xml:space="preserve">QA-0025</t>
  </si>
  <si>
    <t xml:space="preserve">251,000</t>
  </si>
  <si>
    <t xml:space="preserve">Exhibit 99.1, Condensed Consolidated Statements of Operations; row 'Revenue'; column 'Three months ended September 30, 2024'</t>
  </si>
  <si>
    <t xml:space="preserve">QA-0026</t>
  </si>
  <si>
    <t xml:space="preserve">9M 2024</t>
  </si>
  <si>
    <t xml:space="preserve">704,019</t>
  </si>
  <si>
    <t xml:space="preserve">Exhibit 99.1, Condensed Consolidated Statements of Operations; row 'Revenue'; column 'Nine months ended September 30, 2024'</t>
  </si>
  <si>
    <t xml:space="preserve">QA-0027</t>
  </si>
  <si>
    <t xml:space="preserve">267,976</t>
  </si>
  <si>
    <t xml:space="preserve">Exhibit 99.1, Condensed Consolidated Statements of Operations; row 'Revenue'; column 'Three months ended December 31, 2024'</t>
  </si>
  <si>
    <t xml:space="preserve">QA-0028</t>
  </si>
  <si>
    <t xml:space="preserve">971,995</t>
  </si>
  <si>
    <t xml:space="preserve">Exhibit 99.1, Condensed Consolidated Statements of Operations; row 'Revenue'; column 'Year ended December 31, 2024'</t>
  </si>
  <si>
    <t xml:space="preserve">QA-0029</t>
  </si>
  <si>
    <t xml:space="preserve">282,250</t>
  </si>
  <si>
    <t xml:space="preserve">Exhibit 99.1, Condensed Consolidated Statements of Operations; row 'Revenue'; column 'Three months ended March 31, 2025'</t>
  </si>
  <si>
    <t xml:space="preserve">QA-0030</t>
  </si>
  <si>
    <t xml:space="preserve">299,014</t>
  </si>
  <si>
    <t xml:space="preserve">Exhibit 99.1, Condensed Consolidated Statements of Operations; row 'Revenue'; column 'Three months ended June 30, 2025'</t>
  </si>
  <si>
    <t xml:space="preserve">QA-0031</t>
  </si>
  <si>
    <t xml:space="preserve">581,264</t>
  </si>
  <si>
    <t xml:space="preserve">Exhibit 99.1, Condensed Consolidated Statements of Operations; row 'Revenue'; column 'Six months ended June 30, 2025'</t>
  </si>
  <si>
    <t xml:space="preserve">QA-0032</t>
  </si>
  <si>
    <t xml:space="preserve">316,855</t>
  </si>
  <si>
    <t xml:space="preserve">Exhibit 99.1, Condensed Consolidated Statements of Operations; row 'Revenue'; column 'Three months ended September 30, 2025'</t>
  </si>
  <si>
    <t xml:space="preserve">QA-0033</t>
  </si>
  <si>
    <t xml:space="preserve">9M 2025</t>
  </si>
  <si>
    <t xml:space="preserve">898,119</t>
  </si>
  <si>
    <t xml:space="preserve">Exhibit 99.1, Condensed Consolidated Statements of Operations; row 'Revenue'; column 'Nine months ended September 30, 2025'</t>
  </si>
  <si>
    <t xml:space="preserve">QA-0034</t>
  </si>
  <si>
    <t xml:space="preserve">333,878</t>
  </si>
  <si>
    <t xml:space="preserve">Exhibit 99.1, Condensed Consolidated Statements of Operations; row 'Revenue'; column 'Three months ended December 31, 2025'</t>
  </si>
  <si>
    <t xml:space="preserve">QA-0035</t>
  </si>
  <si>
    <t xml:space="preserve">1,231,997</t>
  </si>
  <si>
    <t xml:space="preserve">Exhibit 99.1, Condensed Consolidated Statements of Operations; row 'Revenue'; column 'Year ended December 31, 2025'</t>
  </si>
  <si>
    <t xml:space="preserve">QA-0036</t>
  </si>
  <si>
    <t xml:space="preserve">351,265</t>
  </si>
  <si>
    <t xml:space="preserve">Exhibit 99.1, Condensed Consolidated Statements of Operations; row 'Revenue'; column 'Three months ended March 31, 2026'</t>
  </si>
  <si>
    <t xml:space="preserve">QA-0037</t>
  </si>
  <si>
    <t xml:space="preserve">364,621</t>
  </si>
  <si>
    <t xml:space="preserve">Exhibit 99.1, Condensed Consolidated Statements of Operations; row 'Revenue'; column 'Three months ended June 30, 2026'</t>
  </si>
  <si>
    <t xml:space="preserve">QA-0038</t>
  </si>
  <si>
    <t xml:space="preserve">715,886</t>
  </si>
  <si>
    <t xml:space="preserve">Exhibit 99.1, Condensed Consolidated Statements of Operations; row 'Revenue'; column 'Six months ended June 30, 2026'</t>
  </si>
  <si>
    <t xml:space="preserve">QA-0039</t>
  </si>
  <si>
    <t xml:space="preserve">Cost of revenue</t>
  </si>
  <si>
    <t xml:space="preserve">7,924</t>
  </si>
  <si>
    <t xml:space="preserve">Exhibit 99.1, Condensed Consolidated Statements of Operations; row 'Cost of revenue'; column 'Three months ended March 31, 2021'</t>
  </si>
  <si>
    <t xml:space="preserve">QA-0040</t>
  </si>
  <si>
    <t xml:space="preserve">9,108</t>
  </si>
  <si>
    <t xml:space="preserve">Exhibit 99.1, Condensed Consolidated Statements of Operations; row 'Cost of revenue'; column 'Three months ended June 30, 2021'</t>
  </si>
  <si>
    <t xml:space="preserve">QA-0041</t>
  </si>
  <si>
    <t xml:space="preserve">17,032</t>
  </si>
  <si>
    <t xml:space="preserve">Exhibit 99.1, Condensed Consolidated Statements of Operations; row 'Cost of revenue'; column 'Six months ended June 30, 2021'</t>
  </si>
  <si>
    <t xml:space="preserve">QA-0042</t>
  </si>
  <si>
    <t xml:space="preserve">10,213</t>
  </si>
  <si>
    <t xml:space="preserve">Exhibit 99.1, Condensed Consolidated Statements of Operations; row 'Cost of revenue'; column 'Three months ended September 30, 2021'</t>
  </si>
  <si>
    <t xml:space="preserve">QA-0043</t>
  </si>
  <si>
    <t xml:space="preserve">27,245</t>
  </si>
  <si>
    <t xml:space="preserve">Exhibit 99.1, Condensed Consolidated Statements of Operations; row 'Cost of revenue'; column 'Nine months ended September 30, 2021'</t>
  </si>
  <si>
    <t xml:space="preserve">QA-0044</t>
  </si>
  <si>
    <t xml:space="preserve">11,768</t>
  </si>
  <si>
    <t xml:space="preserve">Exhibit 99.1, Condensed Consolidated Statements of Operations; row 'Cost of revenue'; column 'Three months ended December 31, 2021'</t>
  </si>
  <si>
    <t xml:space="preserve">QA-0045</t>
  </si>
  <si>
    <t xml:space="preserve">39,013</t>
  </si>
  <si>
    <t xml:space="preserve">Exhibit 99.1, Condensed Consolidated Statements of Operations; row 'Cost of revenue'; column 'Year ended December 31, 2021'</t>
  </si>
  <si>
    <t xml:space="preserve">QA-0046</t>
  </si>
  <si>
    <t xml:space="preserve">14,609</t>
  </si>
  <si>
    <t xml:space="preserve">Exhibit 99.1, Condensed Consolidated Statements of Operations; row 'Cost of revenue'; column 'Three months ended March 31, 2022'</t>
  </si>
  <si>
    <t xml:space="preserve">QA-0047</t>
  </si>
  <si>
    <t xml:space="preserve">16,730</t>
  </si>
  <si>
    <t xml:space="preserve">Exhibit 99.1, Condensed Consolidated Statements of Operations; row 'Cost of revenue'; column 'Three months ended June 30, 2022'</t>
  </si>
  <si>
    <t xml:space="preserve">QA-0048</t>
  </si>
  <si>
    <t xml:space="preserve">31,339</t>
  </si>
  <si>
    <t xml:space="preserve">Exhibit 99.1, Condensed Consolidated Statements of Operations; row 'Cost of revenue'; column 'Six months ended June 30, 2022'</t>
  </si>
  <si>
    <t xml:space="preserve">QA-0049</t>
  </si>
  <si>
    <t xml:space="preserve">17,830</t>
  </si>
  <si>
    <t xml:space="preserve">Exhibit 99.1, Condensed Consolidated Statements of Operations; row 'Cost of revenue'; column 'Three months ended September 30, 2022'</t>
  </si>
  <si>
    <t xml:space="preserve">QA-0050</t>
  </si>
  <si>
    <t xml:space="preserve">49,169</t>
  </si>
  <si>
    <t xml:space="preserve">Exhibit 99.1, Condensed Consolidated Statements of Operations; row 'Cost of revenue'; column 'Nine months ended September 30, 2022'</t>
  </si>
  <si>
    <t xml:space="preserve">QA-0051</t>
  </si>
  <si>
    <t xml:space="preserve">17,359</t>
  </si>
  <si>
    <t xml:space="preserve">Exhibit 99.1, Condensed Consolidated Statements of Operations; row 'Cost of revenue'; column 'Three months ended December 31, 2022'</t>
  </si>
  <si>
    <t xml:space="preserve">QA-0052</t>
  </si>
  <si>
    <t xml:space="preserve">66,528</t>
  </si>
  <si>
    <t xml:space="preserve">Exhibit 99.1, Condensed Consolidated Statements of Operations; row 'Cost of revenue'; column 'Year ended December 31, 2022'</t>
  </si>
  <si>
    <t xml:space="preserve">QA-0053</t>
  </si>
  <si>
    <t xml:space="preserve">17,014</t>
  </si>
  <si>
    <t xml:space="preserve">Exhibit 99.1, Condensed Consolidated Statements of Operations; row 'Cost of revenue'; column 'Three months ended March 31, 2023'</t>
  </si>
  <si>
    <t xml:space="preserve">QA-0054</t>
  </si>
  <si>
    <t xml:space="preserve">19,516</t>
  </si>
  <si>
    <t xml:space="preserve">Exhibit 99.1, Condensed Consolidated Statements of Operations; row 'Cost of revenue'; column 'Three months ended June 30, 2023'</t>
  </si>
  <si>
    <t xml:space="preserve">QA-0055</t>
  </si>
  <si>
    <t xml:space="preserve">36,530</t>
  </si>
  <si>
    <t xml:space="preserve">Exhibit 99.1, Condensed Consolidated Statements of Operations; row 'Cost of revenue'; column 'Six months ended June 30, 2023'</t>
  </si>
  <si>
    <t xml:space="preserve">QA-0056</t>
  </si>
  <si>
    <t xml:space="preserve">21,707</t>
  </si>
  <si>
    <t xml:space="preserve">Exhibit 99.1, Condensed Consolidated Statements of Operations; row 'Cost of revenue'; column 'Three months ended September 30, 2023'</t>
  </si>
  <si>
    <t xml:space="preserve">QA-0057</t>
  </si>
  <si>
    <t xml:space="preserve">58,237</t>
  </si>
  <si>
    <t xml:space="preserve">Exhibit 99.1, Condensed Consolidated Statements of Operations; row 'Cost of revenue'; column 'Nine months ended September 30, 2023'</t>
  </si>
  <si>
    <t xml:space="preserve">QA-0058</t>
  </si>
  <si>
    <t xml:space="preserve">22,408</t>
  </si>
  <si>
    <t xml:space="preserve">Exhibit 99.1, Condensed Consolidated Statements of Operations; row 'Cost of revenue'; column 'Three months ended December 31, 2023'</t>
  </si>
  <si>
    <t xml:space="preserve">QA-0059</t>
  </si>
  <si>
    <t xml:space="preserve">80,645</t>
  </si>
  <si>
    <t xml:space="preserve">Exhibit 99.1, Condensed Consolidated Statements of Operations; row 'Cost of revenue'; column 'Year ended December 31, 2023'</t>
  </si>
  <si>
    <t xml:space="preserve">QA-0060</t>
  </si>
  <si>
    <t xml:space="preserve">23,454</t>
  </si>
  <si>
    <t xml:space="preserve">Exhibit 99.1, Condensed Consolidated Statements of Operations; row 'Cost of revenue'; column 'Three months ended March 31, 2024'</t>
  </si>
  <si>
    <t xml:space="preserve">QA-0061</t>
  </si>
  <si>
    <t xml:space="preserve">23,763</t>
  </si>
  <si>
    <t xml:space="preserve">Exhibit 99.1, Condensed Consolidated Statements of Operations; row 'Cost of revenue'; column 'Three months ended June 30, 2024'</t>
  </si>
  <si>
    <t xml:space="preserve">QA-0062</t>
  </si>
  <si>
    <t xml:space="preserve">47,217</t>
  </si>
  <si>
    <t xml:space="preserve">Exhibit 99.1, Condensed Consolidated Statements of Operations; row 'Cost of revenue'; column 'Six months ended June 30, 2024'</t>
  </si>
  <si>
    <t xml:space="preserve">QA-0063</t>
  </si>
  <si>
    <t xml:space="preserve">25,972</t>
  </si>
  <si>
    <t xml:space="preserve">Exhibit 99.1, Condensed Consolidated Statements of Operations; row 'Cost of revenue'; column 'Three months ended September 30, 2024'</t>
  </si>
  <si>
    <t xml:space="preserve">QA-0064</t>
  </si>
  <si>
    <t xml:space="preserve">73,189</t>
  </si>
  <si>
    <t xml:space="preserve">Exhibit 99.1, Condensed Consolidated Statements of Operations; row 'Cost of revenue'; column 'Nine months ended September 30, 2024'</t>
  </si>
  <si>
    <t xml:space="preserve">QA-0065</t>
  </si>
  <si>
    <t xml:space="preserve">30,502</t>
  </si>
  <si>
    <t xml:space="preserve">Exhibit 99.1, Condensed Consolidated Statements of Operations; row 'Cost of revenue'; column 'Three months ended December 31, 2024'</t>
  </si>
  <si>
    <t xml:space="preserve">QA-0066</t>
  </si>
  <si>
    <t xml:space="preserve">103,691</t>
  </si>
  <si>
    <t xml:space="preserve">Exhibit 99.1, Condensed Consolidated Statements of Operations; row 'Cost of revenue'; column 'Year ended December 31, 2024'</t>
  </si>
  <si>
    <t xml:space="preserve">QA-0067</t>
  </si>
  <si>
    <t xml:space="preserve">28,805</t>
  </si>
  <si>
    <t xml:space="preserve">Exhibit 99.1, Condensed Consolidated Statements of Operations; row 'Cost of revenue'; column 'Three months ended March 31, 2025'</t>
  </si>
  <si>
    <t xml:space="preserve">QA-0068</t>
  </si>
  <si>
    <t xml:space="preserve">31,173</t>
  </si>
  <si>
    <t xml:space="preserve">Exhibit 99.1, Condensed Consolidated Statements of Operations; row 'Cost of revenue'; column 'Three months ended June 30, 2025'</t>
  </si>
  <si>
    <t xml:space="preserve">QA-0069</t>
  </si>
  <si>
    <t xml:space="preserve">59,978</t>
  </si>
  <si>
    <t xml:space="preserve">Exhibit 99.1, Condensed Consolidated Statements of Operations; row 'Cost of revenue'; column 'Six months ended June 30, 2025'</t>
  </si>
  <si>
    <t xml:space="preserve">QA-0070</t>
  </si>
  <si>
    <t xml:space="preserve">35,788</t>
  </si>
  <si>
    <t xml:space="preserve">Exhibit 99.1, Condensed Consolidated Statements of Operations; row 'Cost of revenue'; column 'Three months ended September 30, 2025'</t>
  </si>
  <si>
    <t xml:space="preserve">QA-0071</t>
  </si>
  <si>
    <t xml:space="preserve">95,766</t>
  </si>
  <si>
    <t xml:space="preserve">Exhibit 99.1, Condensed Consolidated Statements of Operations; row 'Cost of revenue'; column 'Nine months ended September 30, 2025'</t>
  </si>
  <si>
    <t xml:space="preserve">QA-0072</t>
  </si>
  <si>
    <t xml:space="preserve">37,333</t>
  </si>
  <si>
    <t xml:space="preserve">Exhibit 99.1, Condensed Consolidated Statements of Operations; row 'Cost of revenue'; column 'Three months ended December 31, 2025'</t>
  </si>
  <si>
    <t xml:space="preserve">QA-0073</t>
  </si>
  <si>
    <t xml:space="preserve">133,099</t>
  </si>
  <si>
    <t xml:space="preserve">Exhibit 99.1, Condensed Consolidated Statements of Operations; row 'Cost of revenue'; column 'Year ended December 31, 2025'</t>
  </si>
  <si>
    <t xml:space="preserve">QA-0074</t>
  </si>
  <si>
    <t xml:space="preserve">38,124</t>
  </si>
  <si>
    <t xml:space="preserve">Exhibit 99.1, Condensed Consolidated Statements of Operations; row 'Cost of revenue'; column 'Three months ended March 31, 2026'</t>
  </si>
  <si>
    <t xml:space="preserve">QA-0075</t>
  </si>
  <si>
    <t xml:space="preserve">42,661</t>
  </si>
  <si>
    <t xml:space="preserve">Exhibit 99.1, Condensed Consolidated Statements of Operations; row 'Cost of revenue'; column 'Three months ended June 30, 2026'</t>
  </si>
  <si>
    <t xml:space="preserve">QA-0076</t>
  </si>
  <si>
    <t xml:space="preserve">80,785</t>
  </si>
  <si>
    <t xml:space="preserve">Exhibit 99.1, Condensed Consolidated Statements of Operations; row 'Cost of revenue'; column 'Six months ended June 30, 2026'</t>
  </si>
  <si>
    <t xml:space="preserve">QA-0077</t>
  </si>
  <si>
    <t xml:space="preserve">Gross profit (GAAP)</t>
  </si>
  <si>
    <t xml:space="preserve">51,048</t>
  </si>
  <si>
    <t xml:space="preserve">Exhibit 99.1, Condensed Consolidated Statements of Operations; row 'Gross profit'; column 'Three months ended March 31, 2021'</t>
  </si>
  <si>
    <t xml:space="preserve">QA-0078</t>
  </si>
  <si>
    <t xml:space="preserve">61,507</t>
  </si>
  <si>
    <t xml:space="preserve">Exhibit 99.1, Condensed Consolidated Statements of Operations; row 'Gross profit'; column 'Three months ended June 30, 2021'</t>
  </si>
  <si>
    <t xml:space="preserve">QA-0079</t>
  </si>
  <si>
    <t xml:space="preserve">112,555</t>
  </si>
  <si>
    <t xml:space="preserve">Exhibit 99.1, Condensed Consolidated Statements of Operations; row 'Gross profit'; column 'Six months ended June 30, 2021'</t>
  </si>
  <si>
    <t xml:space="preserve">QA-0080</t>
  </si>
  <si>
    <t xml:space="preserve">72,805</t>
  </si>
  <si>
    <t xml:space="preserve">Exhibit 99.1, Condensed Consolidated Statements of Operations; row 'Gross profit'; column 'Three months ended September 30, 2021'</t>
  </si>
  <si>
    <t xml:space="preserve">QA-0081</t>
  </si>
  <si>
    <t xml:space="preserve">185,360</t>
  </si>
  <si>
    <t xml:space="preserve">Exhibit 99.1, Condensed Consolidated Statements of Operations; row 'Gross profit'; column 'Nine months ended September 30, 2021'</t>
  </si>
  <si>
    <t xml:space="preserve">QA-0082</t>
  </si>
  <si>
    <t xml:space="preserve">83,777</t>
  </si>
  <si>
    <t xml:space="preserve">Exhibit 99.1, Condensed Consolidated Statements of Operations; row 'Gross profit'; column 'Three months ended December 31, 2021'</t>
  </si>
  <si>
    <t xml:space="preserve">QA-0083</t>
  </si>
  <si>
    <t xml:space="preserve">269,137</t>
  </si>
  <si>
    <t xml:space="preserve">Exhibit 99.1, Condensed Consolidated Statements of Operations; row 'Gross profit'; column 'Year ended December 31, 2021'</t>
  </si>
  <si>
    <t xml:space="preserve">QA-0084</t>
  </si>
  <si>
    <t xml:space="preserve">93,888</t>
  </si>
  <si>
    <t xml:space="preserve">Exhibit 99.1, Condensed Consolidated Statements of Operations; row 'Gross profit'; column 'Three months ended March 31, 2022'</t>
  </si>
  <si>
    <t xml:space="preserve">QA-0085</t>
  </si>
  <si>
    <t xml:space="preserve">106,988</t>
  </si>
  <si>
    <t xml:space="preserve">Exhibit 99.1, Condensed Consolidated Statements of Operations; row 'Gross profit'; column 'Three months ended June 30, 2022'</t>
  </si>
  <si>
    <t xml:space="preserve">QA-0086</t>
  </si>
  <si>
    <t xml:space="preserve">200,876</t>
  </si>
  <si>
    <t xml:space="preserve">Exhibit 99.1, Condensed Consolidated Statements of Operations; row 'Gross profit'; column 'Six months ended June 30, 2022'</t>
  </si>
  <si>
    <t xml:space="preserve">QA-0087</t>
  </si>
  <si>
    <t xml:space="preserve">119,063</t>
  </si>
  <si>
    <t xml:space="preserve">Exhibit 99.1, Condensed Consolidated Statements of Operations; row 'Gross profit'; column 'Three months ended September 30, 2022'</t>
  </si>
  <si>
    <t xml:space="preserve">QA-0088</t>
  </si>
  <si>
    <t xml:space="preserve">319,939</t>
  </si>
  <si>
    <t xml:space="preserve">Exhibit 99.1, Condensed Consolidated Statements of Operations; row 'Gross profit'; column 'Nine months ended September 30, 2022'</t>
  </si>
  <si>
    <t xml:space="preserve">QA-0089</t>
  </si>
  <si>
    <t xml:space="preserve">132,562</t>
  </si>
  <si>
    <t xml:space="preserve">Exhibit 99.1, Condensed Consolidated Statements of Operations; row 'Gross profit'; column 'Three months ended December 31, 2022'</t>
  </si>
  <si>
    <t xml:space="preserve">QA-0090</t>
  </si>
  <si>
    <t xml:space="preserve">452,501</t>
  </si>
  <si>
    <t xml:space="preserve">Exhibit 99.1, Condensed Consolidated Statements of Operations; row 'Gross profit'; column 'Year ended December 31, 2022'</t>
  </si>
  <si>
    <t xml:space="preserve">QA-0091</t>
  </si>
  <si>
    <t xml:space="preserve">145,242</t>
  </si>
  <si>
    <t xml:space="preserve">Exhibit 99.1, Condensed Consolidated Statements of Operations; row 'Gross profit'; column 'Three months ended March 31, 2023'</t>
  </si>
  <si>
    <t xml:space="preserve">QA-0092</t>
  </si>
  <si>
    <t xml:space="preserve">156,163</t>
  </si>
  <si>
    <t xml:space="preserve">Exhibit 99.1, Condensed Consolidated Statements of Operations; row 'Gross profit'; column 'Three months ended June 30, 2023'</t>
  </si>
  <si>
    <t xml:space="preserve">QA-0093</t>
  </si>
  <si>
    <t xml:space="preserve">301,405</t>
  </si>
  <si>
    <t xml:space="preserve">Exhibit 99.1, Condensed Consolidated Statements of Operations; row 'Gross profit'; column 'Six months ended June 30, 2023'</t>
  </si>
  <si>
    <t xml:space="preserve">QA-0094</t>
  </si>
  <si>
    <t xml:space="preserve">167,483</t>
  </si>
  <si>
    <t xml:space="preserve">Exhibit 99.1, Condensed Consolidated Statements of Operations; row 'Gross profit'; column 'Three months ended September 30, 2023'</t>
  </si>
  <si>
    <t xml:space="preserve">QA-0095</t>
  </si>
  <si>
    <t xml:space="preserve">468,888</t>
  </si>
  <si>
    <t xml:space="preserve">Exhibit 99.1, Condensed Consolidated Statements of Operations; row 'Gross profit'; column 'Nine months ended September 30, 2023'</t>
  </si>
  <si>
    <t xml:space="preserve">QA-0096</t>
  </si>
  <si>
    <t xml:space="preserve">180,162</t>
  </si>
  <si>
    <t xml:space="preserve">Exhibit 99.1, Condensed Consolidated Statements of Operations; row 'Gross profit'; column 'Three months ended December 31, 2023'</t>
  </si>
  <si>
    <t xml:space="preserve">QA-0097</t>
  </si>
  <si>
    <t xml:space="preserve">649,050</t>
  </si>
  <si>
    <t xml:space="preserve">Exhibit 99.1, Condensed Consolidated Statements of Operations; row 'Gross profit'; column 'Year ended December 31, 2023'</t>
  </si>
  <si>
    <t xml:space="preserve">QA-0098</t>
  </si>
  <si>
    <t xml:space="preserve">193,459</t>
  </si>
  <si>
    <t xml:space="preserve">Exhibit 99.1, Condensed Consolidated Statements of Operations; row 'Gross profit'; column 'Three months ended March 31, 2024'</t>
  </si>
  <si>
    <t xml:space="preserve">QA-0099</t>
  </si>
  <si>
    <t xml:space="preserve">212,343</t>
  </si>
  <si>
    <t xml:space="preserve">Exhibit 99.1, Condensed Consolidated Statements of Operations; row 'Gross profit'; column 'Three months ended June 30, 2024'</t>
  </si>
  <si>
    <t xml:space="preserve">QA-0100</t>
  </si>
  <si>
    <t xml:space="preserve">405,802</t>
  </si>
  <si>
    <t xml:space="preserve">Exhibit 99.1, Condensed Consolidated Statements of Operations; row 'Gross profit'; column 'Six months ended June 30, 2024'</t>
  </si>
  <si>
    <t xml:space="preserve">QA-0101</t>
  </si>
  <si>
    <t xml:space="preserve">225,028</t>
  </si>
  <si>
    <t xml:space="preserve">Exhibit 99.1, Condensed Consolidated Statements of Operations; row 'Gross profit'; column 'Three months ended September 30, 2024'</t>
  </si>
  <si>
    <t xml:space="preserve">QA-0102</t>
  </si>
  <si>
    <t xml:space="preserve">630,830</t>
  </si>
  <si>
    <t xml:space="preserve">Exhibit 99.1, Condensed Consolidated Statements of Operations; row 'Gross profit'; column 'Nine months ended September 30, 2024'</t>
  </si>
  <si>
    <t xml:space="preserve">QA-0103</t>
  </si>
  <si>
    <t xml:space="preserve">237,474</t>
  </si>
  <si>
    <t xml:space="preserve">Exhibit 99.1, Condensed Consolidated Statements of Operations; row 'Gross profit'; column 'Three months ended December 31, 2024'</t>
  </si>
  <si>
    <t xml:space="preserve">QA-0104</t>
  </si>
  <si>
    <t xml:space="preserve">868,304</t>
  </si>
  <si>
    <t xml:space="preserve">Exhibit 99.1, Condensed Consolidated Statements of Operations; row 'Gross profit'; column 'Year ended December 31, 2024'</t>
  </si>
  <si>
    <t xml:space="preserve">QA-0105</t>
  </si>
  <si>
    <t xml:space="preserve">253,445</t>
  </si>
  <si>
    <t xml:space="preserve">Exhibit 99.1, Condensed Consolidated Statements of Operations; row 'Gross profit'; column 'Three months ended March 31, 2025'</t>
  </si>
  <si>
    <t xml:space="preserve">QA-0106</t>
  </si>
  <si>
    <t xml:space="preserve">267,841</t>
  </si>
  <si>
    <t xml:space="preserve">Exhibit 99.1, Condensed Consolidated Statements of Operations; row 'Gross profit'; column 'Three months ended June 30, 2025'</t>
  </si>
  <si>
    <t xml:space="preserve">QA-0107</t>
  </si>
  <si>
    <t xml:space="preserve">521,286</t>
  </si>
  <si>
    <t xml:space="preserve">Exhibit 99.1, Condensed Consolidated Statements of Operations; row 'Gross profit'; column 'Six months ended June 30, 2025'</t>
  </si>
  <si>
    <t xml:space="preserve">QA-0108</t>
  </si>
  <si>
    <t xml:space="preserve">281,067</t>
  </si>
  <si>
    <t xml:space="preserve">Exhibit 99.1, Condensed Consolidated Statements of Operations; row 'Gross profit'; column 'Three months ended September 30, 2025'</t>
  </si>
  <si>
    <t xml:space="preserve">QA-0109</t>
  </si>
  <si>
    <t xml:space="preserve">802,353</t>
  </si>
  <si>
    <t xml:space="preserve">Exhibit 99.1, Condensed Consolidated Statements of Operations; row 'Gross profit'; column 'Nine months ended September 30, 2025'</t>
  </si>
  <si>
    <t xml:space="preserve">QA-0110</t>
  </si>
  <si>
    <t xml:space="preserve">296,545</t>
  </si>
  <si>
    <t xml:space="preserve">Exhibit 99.1, Condensed Consolidated Statements of Operations; row 'Gross profit'; column 'Three months ended December 31, 2025'</t>
  </si>
  <si>
    <t xml:space="preserve">QA-0111</t>
  </si>
  <si>
    <t xml:space="preserve">1,098,898</t>
  </si>
  <si>
    <t xml:space="preserve">Exhibit 99.1, Condensed Consolidated Statements of Operations; row 'Gross profit'; column 'Year ended December 31, 2025'</t>
  </si>
  <si>
    <t xml:space="preserve">QA-0112</t>
  </si>
  <si>
    <t xml:space="preserve">313,141</t>
  </si>
  <si>
    <t xml:space="preserve">Exhibit 99.1, Condensed Consolidated Statements of Operations; row 'Gross profit'; column 'Three months ended March 31, 2026'</t>
  </si>
  <si>
    <t xml:space="preserve">QA-0113</t>
  </si>
  <si>
    <t xml:space="preserve">321,960</t>
  </si>
  <si>
    <t xml:space="preserve">Exhibit 99.1, Condensed Consolidated Statements of Operations; row 'Gross profit'; column 'Three months ended June 30, 2026'</t>
  </si>
  <si>
    <t xml:space="preserve">QA-0114</t>
  </si>
  <si>
    <t xml:space="preserve">635,101</t>
  </si>
  <si>
    <t xml:space="preserve">Exhibit 99.1, Condensed Consolidated Statements of Operations; row 'Gross profit'; column 'Six months ended June 30, 2026'</t>
  </si>
  <si>
    <t xml:space="preserve">QA-0115</t>
  </si>
  <si>
    <t xml:space="preserve">Gross margin (GAAP), as reported</t>
  </si>
  <si>
    <t xml:space="preserve">87%</t>
  </si>
  <si>
    <t xml:space="preserve">percentage</t>
  </si>
  <si>
    <t xml:space="preserve">Exhibit 99.1, Reconciliation of GAAP to Non-GAAP Financial Information &gt; Reconciliation of gross profit and gross margin; row 'GAAP gross margin'; column 'Three months ended March 31, 2021'</t>
  </si>
  <si>
    <t xml:space="preserve">QA-0116</t>
  </si>
  <si>
    <t xml:space="preserve">Exhibit 99.1, Reconciliation of GAAP to Non-GAAP Financial Information &gt; Reconciliation of gross profit and gross margin; row 'GAAP gross margin'; column 'Three months ended June 30, 2021'</t>
  </si>
  <si>
    <t xml:space="preserve">QA-0117</t>
  </si>
  <si>
    <t xml:space="preserve">Exhibit 99.1, Reconciliation of GAAP to Non-GAAP Financial Information &gt; Reconciliation of gross profit and gross margin; row 'GAAP gross margin'; column 'Six months ended June 30, 2021'</t>
  </si>
  <si>
    <t xml:space="preserve">QA-0118</t>
  </si>
  <si>
    <t xml:space="preserve">88%</t>
  </si>
  <si>
    <t xml:space="preserve">Exhibit 99.1, Reconciliation of GAAP to Non-GAAP Financial Information &gt; Reconciliation of gross profit and gross margin; row 'GAAP gross margin'; column 'Three months ended September 30, 2021'</t>
  </si>
  <si>
    <t xml:space="preserve">QA-0119</t>
  </si>
  <si>
    <t xml:space="preserve">Exhibit 99.1, Reconciliation of GAAP to Non-GAAP Financial Information &gt; Reconciliation of gross profit and gross margin; row 'GAAP gross margin'; column 'Nine months ended September 30, 2021'</t>
  </si>
  <si>
    <t xml:space="preserve">QA-0120</t>
  </si>
  <si>
    <t xml:space="preserve">Exhibit 99.1, Reconciliation of GAAP to Non-GAAP Financial Information &gt; Reconciliation of gross profit and gross margin; row 'GAAP gross margin'; column 'Three months ended December 31, 2021'</t>
  </si>
  <si>
    <t xml:space="preserve">QA-0121</t>
  </si>
  <si>
    <t xml:space="preserve">Exhibit 99.1, Reconciliation of GAAP to Non-GAAP Financial Information &gt; Reconciliation of gross profit and gross margin; row 'GAAP gross margin'; column 'Year ended December 31, 2021'</t>
  </si>
  <si>
    <t xml:space="preserve">QA-0122</t>
  </si>
  <si>
    <t xml:space="preserve">Exhibit 99.1, Reconciliation of GAAP to Non-GAAP Financial Information &gt; Reconciliation of gross profit and gross margin; row 'GAAP gross margin'; column 'Three months ended March 31, 2022'</t>
  </si>
  <si>
    <t xml:space="preserve">QA-0123</t>
  </si>
  <si>
    <t xml:space="preserve">86%</t>
  </si>
  <si>
    <t xml:space="preserve">Exhibit 99.1, Reconciliation of GAAP to Non-GAAP Financial Information &gt; Reconciliation of gross profit and gross margin; row 'GAAP gross margin'; column 'Three months ended June 30, 2022'</t>
  </si>
  <si>
    <t xml:space="preserve">QA-0124</t>
  </si>
  <si>
    <t xml:space="preserve">Exhibit 99.1, Reconciliation of GAAP to Non-GAAP Financial Information &gt; Reconciliation of gross profit and gross margin; row 'GAAP gross margin'; column 'Six months ended June 30, 2022'</t>
  </si>
  <si>
    <t xml:space="preserve">QA-0125</t>
  </si>
  <si>
    <t xml:space="preserve">Exhibit 99.1, Reconciliation of GAAP to Non-GAAP Financial Information &gt; Reconciliation of gross profit and gross margin; row 'GAAP gross margin'; column 'Three months ended September 30, 2022'</t>
  </si>
  <si>
    <t xml:space="preserve">QA-0126</t>
  </si>
  <si>
    <t xml:space="preserve">Exhibit 99.1, Reconciliation of GAAP to Non-GAAP Financial Information &gt; Reconciliation of gross profit and gross margin; row 'GAAP gross margin'; column 'Nine months ended September 30, 2022'</t>
  </si>
  <si>
    <t xml:space="preserve">QA-0127</t>
  </si>
  <si>
    <t xml:space="preserve">Exhibit 99.1, Reconciliation of GAAP to Non-GAAP Financial Information &gt; Reconciliation of gross profit and gross margin; row 'GAAP gross margin'; column 'Three months ended December 31, 2022'</t>
  </si>
  <si>
    <t xml:space="preserve">QA-0128</t>
  </si>
  <si>
    <t xml:space="preserve">Exhibit 99.1, Reconciliation of GAAP to Non-GAAP Financial Information &gt; Reconciliation of gross profit and gross margin; row 'GAAP gross margin'; column 'Year ended December 31, 2022'</t>
  </si>
  <si>
    <t xml:space="preserve">QA-0129</t>
  </si>
  <si>
    <t xml:space="preserve">90%</t>
  </si>
  <si>
    <t xml:space="preserve">Exhibit 99.1, Reconciliation of GAAP to Non-GAAP Financial Information &gt; Reconciliation of gross profit and gross margin; row 'GAAP gross margin'; column 'Three months ended March 31, 2023'</t>
  </si>
  <si>
    <t xml:space="preserve">QA-0130</t>
  </si>
  <si>
    <t xml:space="preserve">89%</t>
  </si>
  <si>
    <t xml:space="preserve">Exhibit 99.1, Reconciliation of GAAP to Non-GAAP Financial Information &gt; Reconciliation of gross profit and gross margin; row 'GAAP gross margin'; column 'Three months ended June 30, 2023'</t>
  </si>
  <si>
    <t xml:space="preserve">QA-0131</t>
  </si>
  <si>
    <t xml:space="preserve">Exhibit 99.1, Reconciliation of GAAP to Non-GAAP Financial Information &gt; Reconciliation of gross profit and gross margin; row 'GAAP gross margin'; column 'Six months ended June 30, 2023'</t>
  </si>
  <si>
    <t xml:space="preserve">QA-0132</t>
  </si>
  <si>
    <t xml:space="preserve">Exhibit 99.1, Reconciliation of GAAP to Non-GAAP Financial Information &gt; Reconciliation of gross profit and gross margin; row 'GAAP gross margin'; column 'Three months ended September 30, 2023'</t>
  </si>
  <si>
    <t xml:space="preserve">QA-0133</t>
  </si>
  <si>
    <t xml:space="preserve">Exhibit 99.1, Reconciliation of GAAP to Non-GAAP Financial Information &gt; Reconciliation of gross profit and gross margin; row 'GAAP gross margin'; column 'Nine months ended September 30, 2023'</t>
  </si>
  <si>
    <t xml:space="preserve">QA-0134</t>
  </si>
  <si>
    <t xml:space="preserve">Exhibit 99.1, Reconciliation of GAAP to Non-GAAP Financial Information &gt; Reconciliation of gross profit and gross margin; row 'GAAP gross margin'; column 'Three months ended December 31, 2023'</t>
  </si>
  <si>
    <t xml:space="preserve">QA-0135</t>
  </si>
  <si>
    <t xml:space="preserve">Exhibit 99.1, Reconciliation of GAAP to Non-GAAP Financial Information &gt; Reconciliation of gross profit and gross margin; row 'GAAP gross margin'; column 'Year ended December 31, 2023'</t>
  </si>
  <si>
    <t xml:space="preserve">QA-0136</t>
  </si>
  <si>
    <t xml:space="preserve">Exhibit 99.1, Reconciliation of GAAP to Non-GAAP Financial Information &gt; Reconciliation of gross profit and gross margin; row 'GAAP gross margin'; column 'Three months ended March 31, 2024'</t>
  </si>
  <si>
    <t xml:space="preserve">QA-0137</t>
  </si>
  <si>
    <t xml:space="preserve">Exhibit 99.1, Reconciliation of GAAP to Non-GAAP Financial Information &gt; Reconciliation of gross profit and gross margin; row 'GAAP gross margin'; column 'Three months ended June 30, 2024'</t>
  </si>
  <si>
    <t xml:space="preserve">QA-0138</t>
  </si>
  <si>
    <t xml:space="preserve">Exhibit 99.1, Reconciliation of GAAP to Non-GAAP Financial Information &gt; Reconciliation of gross profit and gross margin; row 'GAAP gross margin'; column 'Six months ended June 30, 2024'</t>
  </si>
  <si>
    <t xml:space="preserve">QA-0139</t>
  </si>
  <si>
    <t xml:space="preserve">Exhibit 99.1, Reconciliation of GAAP to Non-GAAP Financial Information &gt; Reconciliation of gross profit and gross margin; row 'GAAP gross margin'; column 'Three months ended September 30, 2024'</t>
  </si>
  <si>
    <t xml:space="preserve">QA-0140</t>
  </si>
  <si>
    <t xml:space="preserve">Exhibit 99.1, Reconciliation of GAAP to Non-GAAP Financial Information &gt; Reconciliation of gross profit and gross margin; row 'GAAP gross margin'; column 'Nine months ended September 30, 2024'</t>
  </si>
  <si>
    <t xml:space="preserve">QA-0141</t>
  </si>
  <si>
    <t xml:space="preserve">Exhibit 99.1, Reconciliation of GAAP to Non-GAAP Financial Information &gt; Reconciliation of gross profit and gross margin; row 'GAAP gross margin'; column 'Three months ended December 31, 2024'</t>
  </si>
  <si>
    <t xml:space="preserve">QA-0142</t>
  </si>
  <si>
    <t xml:space="preserve">Exhibit 99.1, Reconciliation of GAAP to Non-GAAP Financial Information &gt; Reconciliation of gross profit and gross margin; row 'GAAP gross margin'; column 'Year ended December 31, 2024'</t>
  </si>
  <si>
    <t xml:space="preserve">QA-0143</t>
  </si>
  <si>
    <t xml:space="preserve">Exhibit 99.1, Reconciliation of GAAP to Non-GAAP Financial Information &gt; Reconciliation of gross profit and gross margin; row 'GAAP gross margin'; column 'Three months ended March 31, 2025'</t>
  </si>
  <si>
    <t xml:space="preserve">QA-0144</t>
  </si>
  <si>
    <t xml:space="preserve">Exhibit 99.1, Reconciliation of GAAP to Non-GAAP Financial Information &gt; Reconciliation of gross profit and gross margin; row 'GAAP gross margin'; column 'Three months ended June 30, 2025'</t>
  </si>
  <si>
    <t xml:space="preserve">QA-0145</t>
  </si>
  <si>
    <t xml:space="preserve">Exhibit 99.1, Reconciliation of GAAP to Non-GAAP Financial Information &gt; Reconciliation of gross profit and gross margin; row 'GAAP gross margin'; column 'Six months ended June 30, 2025'</t>
  </si>
  <si>
    <t xml:space="preserve">QA-0146</t>
  </si>
  <si>
    <t xml:space="preserve">Exhibit 99.1, Reconciliation of GAAP to Non-GAAP Financial Information &gt; Reconciliation of gross profit and gross margin; row 'GAAP gross margin'; column 'Three months ended September 30, 2025'</t>
  </si>
  <si>
    <t xml:space="preserve">QA-0147</t>
  </si>
  <si>
    <t xml:space="preserve">Exhibit 99.1, Reconciliation of GAAP to Non-GAAP Financial Information &gt; Reconciliation of gross profit and gross margin; row 'GAAP gross margin'; column 'Nine months ended September 30, 2025'</t>
  </si>
  <si>
    <t xml:space="preserve">QA-0148</t>
  </si>
  <si>
    <t xml:space="preserve">Exhibit 99.1, Reconciliation of GAAP to Non-GAAP Financial Information &gt; Reconciliation of gross profit and gross margin; row 'GAAP gross margin'; column 'Three months ended December 31, 2025'</t>
  </si>
  <si>
    <t xml:space="preserve">QA-0149</t>
  </si>
  <si>
    <t xml:space="preserve">Exhibit 99.1, Reconciliation of GAAP to Non-GAAP Financial Information &gt; Reconciliation of gross profit and gross margin; row 'GAAP gross margin'; column 'Year ended December 31, 2025'</t>
  </si>
  <si>
    <t xml:space="preserve">QA-0150</t>
  </si>
  <si>
    <t xml:space="preserve">Exhibit 99.1, Reconciliation of GAAP to Non-GAAP Financial Information &gt; Reconciliation of gross profit and gross margin; row 'GAAP gross margin'; column 'Three months ended March 31, 2026'</t>
  </si>
  <si>
    <t xml:space="preserve">QA-0151</t>
  </si>
  <si>
    <t xml:space="preserve">Exhibit 99.1, Reconciliation of GAAP to Non-GAAP Financial Information &gt; Reconciliation of gross profit and gross margin; row 'GAAP gross margin'; column 'Three months ended June 30, 2026'</t>
  </si>
  <si>
    <t xml:space="preserve">QA-0152</t>
  </si>
  <si>
    <t xml:space="preserve">Exhibit 99.1, Reconciliation of GAAP to Non-GAAP Financial Information &gt; Reconciliation of gross profit and gross margin; row 'GAAP gross margin'; column 'Six months ended June 30, 2026'</t>
  </si>
  <si>
    <t xml:space="preserve">QA-0153</t>
  </si>
  <si>
    <t xml:space="preserve">Research and development (GAAP)</t>
  </si>
  <si>
    <t xml:space="preserve">15,581</t>
  </si>
  <si>
    <t xml:space="preserve">Exhibit 99.1, Condensed Consolidated Statements of Operations; row 'Research and development'; column 'Three months ended March 31, 2021'</t>
  </si>
  <si>
    <t xml:space="preserve">QA-0154</t>
  </si>
  <si>
    <t xml:space="preserve">16,271</t>
  </si>
  <si>
    <t xml:space="preserve">Exhibit 99.1, Condensed Consolidated Statements of Operations; row 'Research and development'; column 'Three months ended June 30, 2021'</t>
  </si>
  <si>
    <t xml:space="preserve">QA-0155</t>
  </si>
  <si>
    <t xml:space="preserve">31,852</t>
  </si>
  <si>
    <t xml:space="preserve">Exhibit 99.1, Condensed Consolidated Statements of Operations; row 'Research and development'; column 'Six months ended June 30, 2021'</t>
  </si>
  <si>
    <t xml:space="preserve">QA-0156</t>
  </si>
  <si>
    <t xml:space="preserve">19,875</t>
  </si>
  <si>
    <t xml:space="preserve">Exhibit 99.1, Condensed Consolidated Statements of Operations; row 'Research and development'; column 'Three months ended September 30, 2021'</t>
  </si>
  <si>
    <t xml:space="preserve">QA-0157</t>
  </si>
  <si>
    <t xml:space="preserve">51,727</t>
  </si>
  <si>
    <t xml:space="preserve">Exhibit 99.1, Condensed Consolidated Statements of Operations; row 'Research and development'; column 'Nine months ended September 30, 2021'</t>
  </si>
  <si>
    <t xml:space="preserve">QA-0158</t>
  </si>
  <si>
    <t xml:space="preserve">21,959</t>
  </si>
  <si>
    <t xml:space="preserve">Exhibit 99.1, Condensed Consolidated Statements of Operations; row 'Research and development'; column 'Three months ended December 31, 2021'</t>
  </si>
  <si>
    <t xml:space="preserve">QA-0159</t>
  </si>
  <si>
    <t xml:space="preserve">73,686</t>
  </si>
  <si>
    <t xml:space="preserve">Exhibit 99.1, Condensed Consolidated Statements of Operations; row 'Research and development'; column 'Year ended December 31, 2021'</t>
  </si>
  <si>
    <t xml:space="preserve">QA-0160</t>
  </si>
  <si>
    <t xml:space="preserve">26,541</t>
  </si>
  <si>
    <t xml:space="preserve">Exhibit 99.1, Condensed Consolidated Statements of Operations; row 'Research and development'; column 'Three months ended March 31, 2022'</t>
  </si>
  <si>
    <t xml:space="preserve">QA-0161</t>
  </si>
  <si>
    <t xml:space="preserve">33,962</t>
  </si>
  <si>
    <t xml:space="preserve">Exhibit 99.1, Condensed Consolidated Statements of Operations; row 'Research and development'; column 'Three months ended June 30, 2022'</t>
  </si>
  <si>
    <t xml:space="preserve">QA-0162</t>
  </si>
  <si>
    <t xml:space="preserve">60,503</t>
  </si>
  <si>
    <t xml:space="preserve">Exhibit 99.1, Condensed Consolidated Statements of Operations; row 'Research and development'; column 'Six months ended June 30, 2022'</t>
  </si>
  <si>
    <t xml:space="preserve">QA-0163</t>
  </si>
  <si>
    <t xml:space="preserve">33,984</t>
  </si>
  <si>
    <t xml:space="preserve">Exhibit 99.1, Condensed Consolidated Statements of Operations; row 'Research and development'; column 'Three months ended September 30, 2022'</t>
  </si>
  <si>
    <t xml:space="preserve">QA-0164</t>
  </si>
  <si>
    <t xml:space="preserve">94,487</t>
  </si>
  <si>
    <t xml:space="preserve">Exhibit 99.1, Condensed Consolidated Statements of Operations; row 'Research and development'; column 'Nine months ended September 30, 2022'</t>
  </si>
  <si>
    <t xml:space="preserve">QA-0165</t>
  </si>
  <si>
    <t xml:space="preserve">32,560</t>
  </si>
  <si>
    <t xml:space="preserve">Exhibit 99.1, Condensed Consolidated Statements of Operations; row 'Research and development'; column 'Three months ended December 31, 2022'</t>
  </si>
  <si>
    <t xml:space="preserve">QA-0166</t>
  </si>
  <si>
    <t xml:space="preserve">127,047</t>
  </si>
  <si>
    <t xml:space="preserve">Exhibit 99.1, Condensed Consolidated Statements of Operations; row 'Research and development'; column 'Year ended December 31, 2022'</t>
  </si>
  <si>
    <t xml:space="preserve">QA-0167</t>
  </si>
  <si>
    <t xml:space="preserve">37,063</t>
  </si>
  <si>
    <t xml:space="preserve">Exhibit 99.1, Condensed Consolidated Statements of Operations; row 'Research and development'; column 'Three months ended March 31, 2023'</t>
  </si>
  <si>
    <t xml:space="preserve">QA-0168</t>
  </si>
  <si>
    <t xml:space="preserve">39,106</t>
  </si>
  <si>
    <t xml:space="preserve">Exhibit 99.1, Condensed Consolidated Statements of Operations; row 'Research and development'; column 'Three months ended June 30, 2023'</t>
  </si>
  <si>
    <t xml:space="preserve">QA-0169</t>
  </si>
  <si>
    <t xml:space="preserve">76,169</t>
  </si>
  <si>
    <t xml:space="preserve">Exhibit 99.1, Condensed Consolidated Statements of Operations; row 'Research and development'; column 'Six months ended June 30, 2023'</t>
  </si>
  <si>
    <t xml:space="preserve">QA-0170</t>
  </si>
  <si>
    <t xml:space="preserve">38,433</t>
  </si>
  <si>
    <t xml:space="preserve">Exhibit 99.1, Condensed Consolidated Statements of Operations; row 'Research and development'; column 'Three months ended September 30, 2023'</t>
  </si>
  <si>
    <t xml:space="preserve">QA-0171</t>
  </si>
  <si>
    <t xml:space="preserve">114,602</t>
  </si>
  <si>
    <t xml:space="preserve">Exhibit 99.1, Condensed Consolidated Statements of Operations; row 'Research and development'; column 'Nine months ended September 30, 2023'</t>
  </si>
  <si>
    <t xml:space="preserve">QA-0172</t>
  </si>
  <si>
    <t xml:space="preserve">41,898</t>
  </si>
  <si>
    <t xml:space="preserve">Exhibit 99.1, Condensed Consolidated Statements of Operations; row 'Research and development'; column 'Three months ended December 31, 2023'</t>
  </si>
  <si>
    <t xml:space="preserve">QA-0173</t>
  </si>
  <si>
    <t xml:space="preserve">156,500</t>
  </si>
  <si>
    <t xml:space="preserve">Exhibit 99.1, Condensed Consolidated Statements of Operations; row 'Research and development'; column 'Year ended December 31, 2023'</t>
  </si>
  <si>
    <t xml:space="preserve">QA-0174</t>
  </si>
  <si>
    <t xml:space="preserve">44,423</t>
  </si>
  <si>
    <t xml:space="preserve">Exhibit 99.1, Condensed Consolidated Statements of Operations; row 'Research and development'; column 'Three months ended March 31, 2024'</t>
  </si>
  <si>
    <t xml:space="preserve">QA-0175</t>
  </si>
  <si>
    <t xml:space="preserve">50,445</t>
  </si>
  <si>
    <t xml:space="preserve">Exhibit 99.1, Condensed Consolidated Statements of Operations; row 'Research and development'; column 'Three months ended June 30, 2024'</t>
  </si>
  <si>
    <t xml:space="preserve">QA-0176</t>
  </si>
  <si>
    <t xml:space="preserve">94,868</t>
  </si>
  <si>
    <t xml:space="preserve">Exhibit 99.1, Condensed Consolidated Statements of Operations; row 'Research and development'; column 'Six months ended June 30, 2024'</t>
  </si>
  <si>
    <t xml:space="preserve">QA-0177</t>
  </si>
  <si>
    <t xml:space="preserve">56,509</t>
  </si>
  <si>
    <t xml:space="preserve">Exhibit 99.1, Condensed Consolidated Statements of Operations; row 'Research and development'; column 'Three months ended September 30, 2024'</t>
  </si>
  <si>
    <t xml:space="preserve">QA-0178</t>
  </si>
  <si>
    <t xml:space="preserve">151,377</t>
  </si>
  <si>
    <t xml:space="preserve">Exhibit 99.1, Condensed Consolidated Statements of Operations; row 'Research and development'; column 'Nine months ended September 30, 2024'</t>
  </si>
  <si>
    <t xml:space="preserve">QA-0179</t>
  </si>
  <si>
    <t xml:space="preserve">62,332</t>
  </si>
  <si>
    <t xml:space="preserve">Exhibit 99.1, Condensed Consolidated Statements of Operations; row 'Research and development'; column 'Three months ended December 31, 2024'</t>
  </si>
  <si>
    <t xml:space="preserve">QA-0180</t>
  </si>
  <si>
    <t xml:space="preserve">213,709</t>
  </si>
  <si>
    <t xml:space="preserve">Exhibit 99.1, Condensed Consolidated Statements of Operations; row 'Research and development'; column 'Year ended December 31, 2024'</t>
  </si>
  <si>
    <t xml:space="preserve">QA-0181</t>
  </si>
  <si>
    <t xml:space="preserve">69,385</t>
  </si>
  <si>
    <t xml:space="preserve">Exhibit 99.1, Condensed Consolidated Statements of Operations; row 'Research and development'; column 'Three months ended March 31, 2025'</t>
  </si>
  <si>
    <t xml:space="preserve">QA-0182</t>
  </si>
  <si>
    <t xml:space="preserve">87,039</t>
  </si>
  <si>
    <t xml:space="preserve">Exhibit 99.1, Condensed Consolidated Statements of Operations; row 'Research and development'; column 'Three months ended June 30, 2025'</t>
  </si>
  <si>
    <t xml:space="preserve">QA-0183</t>
  </si>
  <si>
    <t xml:space="preserve">156,424</t>
  </si>
  <si>
    <t xml:space="preserve">Exhibit 99.1, Condensed Consolidated Statements of Operations; row 'Research and development'; column 'Six months ended June 30, 2025'</t>
  </si>
  <si>
    <t xml:space="preserve">QA-0184</t>
  </si>
  <si>
    <t xml:space="preserve">79,453</t>
  </si>
  <si>
    <t xml:space="preserve">Exhibit 99.1, Condensed Consolidated Statements of Operations; row 'Research and development'; column 'Three months ended September 30, 2025'</t>
  </si>
  <si>
    <t xml:space="preserve">QA-0185</t>
  </si>
  <si>
    <t xml:space="preserve">235,877</t>
  </si>
  <si>
    <t xml:space="preserve">Exhibit 99.1, Condensed Consolidated Statements of Operations; row 'Research and development'; column 'Nine months ended September 30, 2025'</t>
  </si>
  <si>
    <t xml:space="preserve">QA-0186</t>
  </si>
  <si>
    <t xml:space="preserve">84,922</t>
  </si>
  <si>
    <t xml:space="preserve">Exhibit 99.1, Condensed Consolidated Statements of Operations; row 'Research and development'; column 'Three months ended December 31, 2025'</t>
  </si>
  <si>
    <t xml:space="preserve">QA-0187</t>
  </si>
  <si>
    <t xml:space="preserve">320,799</t>
  </si>
  <si>
    <t xml:space="preserve">Exhibit 99.1, Condensed Consolidated Statements of Operations; row 'Research and development'; column 'Year ended December 31, 2025'</t>
  </si>
  <si>
    <t xml:space="preserve">QA-0188</t>
  </si>
  <si>
    <t xml:space="preserve">92,020</t>
  </si>
  <si>
    <t xml:space="preserve">Exhibit 99.1, Condensed Consolidated Statements of Operations; row 'Research and development'; column 'Three months ended March 31, 2026'</t>
  </si>
  <si>
    <t xml:space="preserve">QA-0189</t>
  </si>
  <si>
    <t xml:space="preserve">99,307</t>
  </si>
  <si>
    <t xml:space="preserve">Exhibit 99.1, Condensed Consolidated Statements of Operations; row 'Research and development'; column 'Three months ended June 30, 2026'</t>
  </si>
  <si>
    <t xml:space="preserve">QA-0190</t>
  </si>
  <si>
    <t xml:space="preserve">191,327</t>
  </si>
  <si>
    <t xml:space="preserve">Exhibit 99.1, Condensed Consolidated Statements of Operations; row 'Research and development'; column 'Six months ended June 30, 2026'</t>
  </si>
  <si>
    <t xml:space="preserve">QA-0191</t>
  </si>
  <si>
    <t xml:space="preserve">Sales and marketing (GAAP)</t>
  </si>
  <si>
    <t xml:space="preserve">63,048</t>
  </si>
  <si>
    <t xml:space="preserve">Exhibit 99.1, Condensed Consolidated Statements of Operations; row 'Sales and marketing'; column 'Three months ended March 31, 2021'</t>
  </si>
  <si>
    <t xml:space="preserve">QA-0192</t>
  </si>
  <si>
    <t xml:space="preserve">61,057</t>
  </si>
  <si>
    <t xml:space="preserve">Exhibit 99.1, Condensed Consolidated Statements of Operations; row 'Sales and marketing'; column 'Three months ended June 30, 2021'</t>
  </si>
  <si>
    <t xml:space="preserve">QA-0193</t>
  </si>
  <si>
    <t xml:space="preserve">124,105</t>
  </si>
  <si>
    <t xml:space="preserve">Exhibit 99.1, Condensed Consolidated Statements of Operations; row 'Sales and marketing'; column 'Six months ended June 30, 2021'</t>
  </si>
  <si>
    <t xml:space="preserve">QA-0194</t>
  </si>
  <si>
    <t xml:space="preserve">67,443</t>
  </si>
  <si>
    <t xml:space="preserve">Exhibit 99.1, Condensed Consolidated Statements of Operations; row 'Sales and marketing'; column 'Three months ended September 30, 2021'</t>
  </si>
  <si>
    <t xml:space="preserve">QA-0195</t>
  </si>
  <si>
    <t xml:space="preserve">191,548</t>
  </si>
  <si>
    <t xml:space="preserve">Exhibit 99.1, Condensed Consolidated Statements of Operations; row 'Sales and marketing'; column 'Nine months ended September 30, 2021'</t>
  </si>
  <si>
    <t xml:space="preserve">QA-0196</t>
  </si>
  <si>
    <t xml:space="preserve">76,535</t>
  </si>
  <si>
    <t xml:space="preserve">Exhibit 99.1, Condensed Consolidated Statements of Operations; row 'Sales and marketing'; column 'Three months ended December 31, 2021'</t>
  </si>
  <si>
    <t xml:space="preserve">QA-0197</t>
  </si>
  <si>
    <t xml:space="preserve">268,083</t>
  </si>
  <si>
    <t xml:space="preserve">Exhibit 99.1, Condensed Consolidated Statements of Operations; row 'Sales and marketing'; column 'Year ended December 31, 2021'</t>
  </si>
  <si>
    <t xml:space="preserve">QA-0198</t>
  </si>
  <si>
    <t xml:space="preserve">115,973</t>
  </si>
  <si>
    <t xml:space="preserve">Exhibit 99.1, Condensed Consolidated Statements of Operations; row 'Sales and marketing'; column 'Three months ended March 31, 2022'</t>
  </si>
  <si>
    <t xml:space="preserve">QA-0199</t>
  </si>
  <si>
    <t xml:space="preserve">96,740</t>
  </si>
  <si>
    <t xml:space="preserve">Exhibit 99.1, Condensed Consolidated Statements of Operations; row 'Sales and marketing'; column 'Three months ended June 30, 2022'</t>
  </si>
  <si>
    <t xml:space="preserve">QA-0200</t>
  </si>
  <si>
    <t xml:space="preserve">212,713</t>
  </si>
  <si>
    <t xml:space="preserve">Exhibit 99.1, Condensed Consolidated Statements of Operations; row 'Sales and marketing'; column 'Six months ended June 30, 2022'</t>
  </si>
  <si>
    <t xml:space="preserve">QA-0201</t>
  </si>
  <si>
    <t xml:space="preserve">90,970</t>
  </si>
  <si>
    <t xml:space="preserve">Exhibit 99.1, Condensed Consolidated Statements of Operations; row 'Sales and marketing'; column 'Three months ended September 30, 2022'</t>
  </si>
  <si>
    <t xml:space="preserve">QA-0202</t>
  </si>
  <si>
    <t xml:space="preserve">303,683</t>
  </si>
  <si>
    <t xml:space="preserve">Exhibit 99.1, Condensed Consolidated Statements of Operations; row 'Sales and marketing'; column 'Nine months ended September 30, 2022'</t>
  </si>
  <si>
    <t xml:space="preserve">QA-0203</t>
  </si>
  <si>
    <t xml:space="preserve">88,385</t>
  </si>
  <si>
    <t xml:space="preserve">Exhibit 99.1, Condensed Consolidated Statements of Operations; row 'Sales and marketing'; column 'Three months ended December 31, 2022'</t>
  </si>
  <si>
    <t xml:space="preserve">QA-0204</t>
  </si>
  <si>
    <t xml:space="preserve">392,068</t>
  </si>
  <si>
    <t xml:space="preserve">Exhibit 99.1, Condensed Consolidated Statements of Operations; row 'Sales and marketing'; column 'Year ended December 31, 2022'</t>
  </si>
  <si>
    <t xml:space="preserve">QA-0205</t>
  </si>
  <si>
    <t xml:space="preserve">107,680</t>
  </si>
  <si>
    <t xml:space="preserve">Exhibit 99.1, Condensed Consolidated Statements of Operations; row 'Sales and marketing'; column 'Three months ended March 31, 2023'</t>
  </si>
  <si>
    <t xml:space="preserve">QA-0206</t>
  </si>
  <si>
    <t xml:space="preserve">107,443</t>
  </si>
  <si>
    <t xml:space="preserve">Exhibit 99.1, Condensed Consolidated Statements of Operations; row 'Sales and marketing'; column 'Three months ended June 30, 2023'</t>
  </si>
  <si>
    <t xml:space="preserve">QA-0207</t>
  </si>
  <si>
    <t xml:space="preserve">215,123</t>
  </si>
  <si>
    <t xml:space="preserve">Exhibit 99.1, Condensed Consolidated Statements of Operations; row 'Sales and marketing'; column 'Six months ended June 30, 2023'</t>
  </si>
  <si>
    <t xml:space="preserve">QA-0208</t>
  </si>
  <si>
    <t xml:space="preserve">108,360</t>
  </si>
  <si>
    <t xml:space="preserve">Exhibit 99.1, Condensed Consolidated Statements of Operations; row 'Sales and marketing'; column 'Three months ended September 30, 2023'</t>
  </si>
  <si>
    <t xml:space="preserve">QA-0209</t>
  </si>
  <si>
    <t xml:space="preserve">323,483</t>
  </si>
  <si>
    <t xml:space="preserve">Exhibit 99.1, Condensed Consolidated Statements of Operations; row 'Sales and marketing'; column 'Nine months ended September 30, 2023'</t>
  </si>
  <si>
    <t xml:space="preserve">QA-0210</t>
  </si>
  <si>
    <t xml:space="preserve">114,919</t>
  </si>
  <si>
    <t xml:space="preserve">Exhibit 99.1, Condensed Consolidated Statements of Operations; row 'Sales and marketing'; column 'Three months ended December 31, 2023'</t>
  </si>
  <si>
    <t xml:space="preserve">QA-0211</t>
  </si>
  <si>
    <t xml:space="preserve">438,402</t>
  </si>
  <si>
    <t xml:space="preserve">Exhibit 99.1, Condensed Consolidated Statements of Operations; row 'Sales and marketing'; column 'Year ended December 31, 2023'</t>
  </si>
  <si>
    <t xml:space="preserve">QA-0212</t>
  </si>
  <si>
    <t xml:space="preserve">128,141</t>
  </si>
  <si>
    <t xml:space="preserve">Exhibit 99.1, Condensed Consolidated Statements of Operations; row 'Sales and marketing'; column 'Three months ended March 31, 2024'</t>
  </si>
  <si>
    <t xml:space="preserve">QA-0213</t>
  </si>
  <si>
    <t xml:space="preserve">131,471</t>
  </si>
  <si>
    <t xml:space="preserve">Exhibit 99.1, Condensed Consolidated Statements of Operations; row 'Sales and marketing'; column 'Three months ended June 30, 2024'</t>
  </si>
  <si>
    <t xml:space="preserve">QA-0214</t>
  </si>
  <si>
    <t xml:space="preserve">259,612</t>
  </si>
  <si>
    <t xml:space="preserve">Exhibit 99.1, Condensed Consolidated Statements of Operations; row 'Sales and marketing'; column 'Six months ended June 30, 2024'</t>
  </si>
  <si>
    <t xml:space="preserve">QA-0215</t>
  </si>
  <si>
    <t xml:space="preserve">140,284</t>
  </si>
  <si>
    <t xml:space="preserve">Exhibit 99.1, Condensed Consolidated Statements of Operations; row 'Sales and marketing'; column 'Three months ended September 30, 2024'</t>
  </si>
  <si>
    <t xml:space="preserve">QA-0216</t>
  </si>
  <si>
    <t xml:space="preserve">399,896</t>
  </si>
  <si>
    <t xml:space="preserve">Exhibit 99.1, Condensed Consolidated Statements of Operations; row 'Sales and marketing'; column 'Nine months ended September 30, 2024'</t>
  </si>
  <si>
    <t xml:space="preserve">QA-0217</t>
  </si>
  <si>
    <t xml:space="preserve">133,643</t>
  </si>
  <si>
    <t xml:space="preserve">Exhibit 99.1, Condensed Consolidated Statements of Operations; row 'Sales and marketing'; column 'Three months ended December 31, 2024'</t>
  </si>
  <si>
    <t xml:space="preserve">QA-0218</t>
  </si>
  <si>
    <t xml:space="preserve">533,539</t>
  </si>
  <si>
    <t xml:space="preserve">Exhibit 99.1, Condensed Consolidated Statements of Operations; row 'Sales and marketing'; column 'Year ended December 31, 2024'</t>
  </si>
  <si>
    <t xml:space="preserve">QA-0219</t>
  </si>
  <si>
    <t xml:space="preserve">141,720</t>
  </si>
  <si>
    <t xml:space="preserve">Exhibit 99.1, Condensed Consolidated Statements of Operations; row 'Sales and marketing'; column 'Three months ended March 31, 2025'</t>
  </si>
  <si>
    <t xml:space="preserve">QA-0220</t>
  </si>
  <si>
    <t xml:space="preserve">152,590</t>
  </si>
  <si>
    <t xml:space="preserve">Exhibit 99.1, Condensed Consolidated Statements of Operations; row 'Sales and marketing'; column 'Three months ended June 30, 2025'</t>
  </si>
  <si>
    <t xml:space="preserve">QA-0221</t>
  </si>
  <si>
    <t xml:space="preserve">294,310</t>
  </si>
  <si>
    <t xml:space="preserve">Exhibit 99.1, Condensed Consolidated Statements of Operations; row 'Sales and marketing'; column 'Six months ended June 30, 2025'</t>
  </si>
  <si>
    <t xml:space="preserve">QA-0222</t>
  </si>
  <si>
    <t xml:space="preserve">165,808</t>
  </si>
  <si>
    <t xml:space="preserve">Exhibit 99.1, Condensed Consolidated Statements of Operations; row 'Sales and marketing'; column 'Three months ended September 30, 2025'</t>
  </si>
  <si>
    <t xml:space="preserve">QA-0223</t>
  </si>
  <si>
    <t xml:space="preserve">460,118</t>
  </si>
  <si>
    <t xml:space="preserve">Exhibit 99.1, Condensed Consolidated Statements of Operations; row 'Sales and marketing'; column 'Nine months ended September 30, 2025'</t>
  </si>
  <si>
    <t xml:space="preserve">QA-0224</t>
  </si>
  <si>
    <t xml:space="preserve">170,733</t>
  </si>
  <si>
    <t xml:space="preserve">Exhibit 99.1, Condensed Consolidated Statements of Operations; row 'Sales and marketing'; column 'Three months ended December 31, 2025'</t>
  </si>
  <si>
    <t xml:space="preserve">QA-0225</t>
  </si>
  <si>
    <t xml:space="preserve">630,851</t>
  </si>
  <si>
    <t xml:space="preserve">Exhibit 99.1, Condensed Consolidated Statements of Operations; row 'Sales and marketing'; column 'Year ended December 31, 2025'</t>
  </si>
  <si>
    <t xml:space="preserve">QA-0226</t>
  </si>
  <si>
    <t xml:space="preserve">165,395</t>
  </si>
  <si>
    <t xml:space="preserve">Exhibit 99.1, Condensed Consolidated Statements of Operations; row 'Sales and marketing'; column 'Three months ended March 31, 2026'</t>
  </si>
  <si>
    <t xml:space="preserve">QA-0227</t>
  </si>
  <si>
    <t xml:space="preserve">162,402</t>
  </si>
  <si>
    <t xml:space="preserve">Exhibit 99.1, Condensed Consolidated Statements of Operations; row 'Sales and marketing'; column 'Three months ended June 30, 2026'</t>
  </si>
  <si>
    <t xml:space="preserve">QA-0228</t>
  </si>
  <si>
    <t xml:space="preserve">327,797</t>
  </si>
  <si>
    <t xml:space="preserve">Exhibit 99.1, Condensed Consolidated Statements of Operations; row 'Sales and marketing'; column 'Six months ended June 30, 2026'</t>
  </si>
  <si>
    <t xml:space="preserve">QA-0229</t>
  </si>
  <si>
    <t xml:space="preserve">General and administrative (GAAP)</t>
  </si>
  <si>
    <t xml:space="preserve">10,266</t>
  </si>
  <si>
    <t xml:space="preserve">Exhibit 99.1, Condensed Consolidated Statements of Operations; row 'General and administrative'; column 'Three months ended March 31, 2021'</t>
  </si>
  <si>
    <t xml:space="preserve">QA-0230</t>
  </si>
  <si>
    <t xml:space="preserve">11,648</t>
  </si>
  <si>
    <t xml:space="preserve">Exhibit 99.1, Condensed Consolidated Statements of Operations; row 'General and administrative'; column 'Three months ended June 30, 2021'</t>
  </si>
  <si>
    <t xml:space="preserve">QA-0231</t>
  </si>
  <si>
    <t xml:space="preserve">21,914</t>
  </si>
  <si>
    <t xml:space="preserve">Exhibit 99.1, Condensed Consolidated Statements of Operations; row 'General and administrative'; column 'Six months ended June 30, 2021'</t>
  </si>
  <si>
    <t xml:space="preserve">QA-0232</t>
  </si>
  <si>
    <t xml:space="preserve">14,698</t>
  </si>
  <si>
    <t xml:space="preserve">Exhibit 99.1, Condensed Consolidated Statements of Operations; row 'General and administrative'; column 'Three months ended September 30, 2021'</t>
  </si>
  <si>
    <t xml:space="preserve">QA-0233</t>
  </si>
  <si>
    <t xml:space="preserve">36,612</t>
  </si>
  <si>
    <t xml:space="preserve">Exhibit 99.1, Condensed Consolidated Statements of Operations; row 'General and administrative'; column 'Nine months ended September 30, 2021'</t>
  </si>
  <si>
    <t xml:space="preserve">QA-0234</t>
  </si>
  <si>
    <t xml:space="preserve">16,881</t>
  </si>
  <si>
    <t xml:space="preserve">Exhibit 99.1, Condensed Consolidated Statements of Operations; row 'General and administrative'; column 'Three months ended December 31, 2021'</t>
  </si>
  <si>
    <t xml:space="preserve">QA-0235</t>
  </si>
  <si>
    <t xml:space="preserve">53,493</t>
  </si>
  <si>
    <t xml:space="preserve">Exhibit 99.1, Condensed Consolidated Statements of Operations; row 'General and administrative'; column 'Year ended December 31, 2021'</t>
  </si>
  <si>
    <t xml:space="preserve">QA-0236</t>
  </si>
  <si>
    <t xml:space="preserve">18,870</t>
  </si>
  <si>
    <t xml:space="preserve">Exhibit 99.1, Condensed Consolidated Statements of Operations; row 'General and administrative'; column 'Three months ended March 31, 2022'</t>
  </si>
  <si>
    <t xml:space="preserve">QA-0237</t>
  </si>
  <si>
    <t xml:space="preserve">22,466</t>
  </si>
  <si>
    <t xml:space="preserve">Exhibit 99.1, Condensed Consolidated Statements of Operations; row 'General and administrative'; column 'Three months ended June 30, 2022'</t>
  </si>
  <si>
    <t xml:space="preserve">QA-0238</t>
  </si>
  <si>
    <t xml:space="preserve">41,336</t>
  </si>
  <si>
    <t xml:space="preserve">Exhibit 99.1, Condensed Consolidated Statements of Operations; row 'General and administrative'; column 'Six months ended June 30, 2022'</t>
  </si>
  <si>
    <t xml:space="preserve">QA-0239</t>
  </si>
  <si>
    <t xml:space="preserve">22,348</t>
  </si>
  <si>
    <t xml:space="preserve">Exhibit 99.1, Condensed Consolidated Statements of Operations; row 'General and administrative'; column 'Three months ended September 30, 2022'</t>
  </si>
  <si>
    <t xml:space="preserve">QA-0240</t>
  </si>
  <si>
    <t xml:space="preserve">63,684</t>
  </si>
  <si>
    <t xml:space="preserve">Exhibit 99.1, Condensed Consolidated Statements of Operations; row 'General and administrative'; column 'Nine months ended September 30, 2022'</t>
  </si>
  <si>
    <t xml:space="preserve">QA-0241</t>
  </si>
  <si>
    <t xml:space="preserve">21,717</t>
  </si>
  <si>
    <t xml:space="preserve">Exhibit 99.1, Condensed Consolidated Statements of Operations; row 'General and administrative'; column 'Three months ended December 31, 2022'</t>
  </si>
  <si>
    <t xml:space="preserve">QA-0242</t>
  </si>
  <si>
    <t xml:space="preserve">85,401</t>
  </si>
  <si>
    <t xml:space="preserve">Exhibit 99.1, Condensed Consolidated Statements of Operations; row 'General and administrative'; column 'Year ended December 31, 2022'</t>
  </si>
  <si>
    <t xml:space="preserve">QA-0243</t>
  </si>
  <si>
    <t xml:space="preserve">23,251</t>
  </si>
  <si>
    <t xml:space="preserve">Exhibit 99.1, Condensed Consolidated Statements of Operations; row 'General and administrative'; column 'Three months ended March 31, 2023'</t>
  </si>
  <si>
    <t xml:space="preserve">QA-0244</t>
  </si>
  <si>
    <t xml:space="preserve">21,781</t>
  </si>
  <si>
    <t xml:space="preserve">Exhibit 99.1, Condensed Consolidated Statements of Operations; row 'General and administrative'; column 'Three months ended June 30, 2023'</t>
  </si>
  <si>
    <t xml:space="preserve">QA-0245</t>
  </si>
  <si>
    <t xml:space="preserve">45,032</t>
  </si>
  <si>
    <t xml:space="preserve">Exhibit 99.1, Condensed Consolidated Statements of Operations; row 'General and administrative'; column 'Six months ended June 30, 2023'</t>
  </si>
  <si>
    <t xml:space="preserve">QA-0246</t>
  </si>
  <si>
    <t xml:space="preserve">23,211</t>
  </si>
  <si>
    <t xml:space="preserve">Exhibit 99.1, Condensed Consolidated Statements of Operations; row 'General and administrative'; column 'Three months ended September 30, 2023'</t>
  </si>
  <si>
    <t xml:space="preserve">QA-0247</t>
  </si>
  <si>
    <t xml:space="preserve">68,243</t>
  </si>
  <si>
    <t xml:space="preserve">Exhibit 99.1, Condensed Consolidated Statements of Operations; row 'General and administrative'; column 'Nine months ended September 30, 2023'</t>
  </si>
  <si>
    <t xml:space="preserve">QA-0248</t>
  </si>
  <si>
    <t xml:space="preserve">24,490</t>
  </si>
  <si>
    <t xml:space="preserve">Exhibit 99.1, Condensed Consolidated Statements of Operations; row 'General and administrative'; column 'Three months ended December 31, 2023'</t>
  </si>
  <si>
    <t xml:space="preserve">QA-0249</t>
  </si>
  <si>
    <t xml:space="preserve">92,733</t>
  </si>
  <si>
    <t xml:space="preserve">Exhibit 99.1, Condensed Consolidated Statements of Operations; row 'General and administrative'; column 'Year ended December 31, 2023'</t>
  </si>
  <si>
    <t xml:space="preserve">QA-0250</t>
  </si>
  <si>
    <t xml:space="preserve">25,917</t>
  </si>
  <si>
    <t xml:space="preserve">Exhibit 99.1, Condensed Consolidated Statements of Operations; row 'General and administrative'; column 'Three months ended March 31, 2024'</t>
  </si>
  <si>
    <t xml:space="preserve">QA-0251</t>
  </si>
  <si>
    <t xml:space="preserve">28,633</t>
  </si>
  <si>
    <t xml:space="preserve">Exhibit 99.1, Condensed Consolidated Statements of Operations; row 'General and administrative'; column 'Three months ended June 30, 2024'</t>
  </si>
  <si>
    <t xml:space="preserve">QA-0252</t>
  </si>
  <si>
    <t xml:space="preserve">54,550</t>
  </si>
  <si>
    <t xml:space="preserve">Exhibit 99.1, Condensed Consolidated Statements of Operations; row 'General and administrative'; column 'Six months ended June 30, 2024'</t>
  </si>
  <si>
    <t xml:space="preserve">QA-0253</t>
  </si>
  <si>
    <t xml:space="preserve">55,637</t>
  </si>
  <si>
    <t xml:space="preserve">Exhibit 99.1, Condensed Consolidated Statements of Operations; row 'General and administrative'; column 'Three months ended September 30, 2024'</t>
  </si>
  <si>
    <t xml:space="preserve">QA-0254</t>
  </si>
  <si>
    <t xml:space="preserve">110,187</t>
  </si>
  <si>
    <t xml:space="preserve">Exhibit 99.1, Condensed Consolidated Statements of Operations; row 'General and administrative'; column 'Nine months ended September 30, 2024'</t>
  </si>
  <si>
    <t xml:space="preserve">QA-0255</t>
  </si>
  <si>
    <t xml:space="preserve">31,903</t>
  </si>
  <si>
    <t xml:space="preserve">Exhibit 99.1, Condensed Consolidated Statements of Operations; row 'General and administrative'; column 'Three months ended December 31, 2024'</t>
  </si>
  <si>
    <t xml:space="preserve">QA-0256</t>
  </si>
  <si>
    <t xml:space="preserve">142,090</t>
  </si>
  <si>
    <t xml:space="preserve">Exhibit 99.1, Condensed Consolidated Statements of Operations; row 'General and administrative'; column 'Year ended December 31, 2024'</t>
  </si>
  <si>
    <t xml:space="preserve">QA-0257</t>
  </si>
  <si>
    <t xml:space="preserve">32,544</t>
  </si>
  <si>
    <t xml:space="preserve">Exhibit 99.1, Condensed Consolidated Statements of Operations; row 'General and administrative'; column 'Three months ended March 31, 2025'</t>
  </si>
  <si>
    <t xml:space="preserve">QA-0258</t>
  </si>
  <si>
    <t xml:space="preserve">39,763</t>
  </si>
  <si>
    <t xml:space="preserve">Exhibit 99.1, Condensed Consolidated Statements of Operations; row 'General and administrative'; column 'Three months ended June 30, 2025'</t>
  </si>
  <si>
    <t xml:space="preserve">QA-0259</t>
  </si>
  <si>
    <t xml:space="preserve">72,307</t>
  </si>
  <si>
    <t xml:space="preserve">Exhibit 99.1, Condensed Consolidated Statements of Operations; row 'General and administrative'; column 'Six months ended June 30, 2025'</t>
  </si>
  <si>
    <t xml:space="preserve">QA-0260</t>
  </si>
  <si>
    <t xml:space="preserve">38,184</t>
  </si>
  <si>
    <t xml:space="preserve">Exhibit 99.1, Condensed Consolidated Statements of Operations; row 'General and administrative'; column 'Three months ended September 30, 2025'</t>
  </si>
  <si>
    <t xml:space="preserve">QA-0261</t>
  </si>
  <si>
    <t xml:space="preserve">110,491</t>
  </si>
  <si>
    <t xml:space="preserve">Exhibit 99.1, Condensed Consolidated Statements of Operations; row 'General and administrative'; column 'Nine months ended September 30, 2025'</t>
  </si>
  <si>
    <t xml:space="preserve">QA-0262</t>
  </si>
  <si>
    <t xml:space="preserve">38,505</t>
  </si>
  <si>
    <t xml:space="preserve">Exhibit 99.1, Condensed Consolidated Statements of Operations; row 'General and administrative'; column 'Three months ended December 31, 2025'</t>
  </si>
  <si>
    <t xml:space="preserve">QA-0263</t>
  </si>
  <si>
    <t xml:space="preserve">148,996</t>
  </si>
  <si>
    <t xml:space="preserve">Exhibit 99.1, Condensed Consolidated Statements of Operations; row 'General and administrative'; column 'Year ended December 31, 2025'</t>
  </si>
  <si>
    <t xml:space="preserve">QA-0264</t>
  </si>
  <si>
    <t xml:space="preserve">35,972</t>
  </si>
  <si>
    <t xml:space="preserve">Exhibit 99.1, Condensed Consolidated Statements of Operations; row 'General and administrative'; column 'Three months ended March 31, 2026'</t>
  </si>
  <si>
    <t xml:space="preserve">QA-0265</t>
  </si>
  <si>
    <t xml:space="preserve">40,359</t>
  </si>
  <si>
    <t xml:space="preserve">Exhibit 99.1, Condensed Consolidated Statements of Operations; row 'General and administrative'; column 'Three months ended June 30, 2026'</t>
  </si>
  <si>
    <t xml:space="preserve">QA-0266</t>
  </si>
  <si>
    <t xml:space="preserve">76,331</t>
  </si>
  <si>
    <t xml:space="preserve">Exhibit 99.1, Condensed Consolidated Statements of Operations; row 'General and administrative'; column 'Six months ended June 30, 2026'</t>
  </si>
  <si>
    <t xml:space="preserve">QA-0267</t>
  </si>
  <si>
    <t xml:space="preserve">Restructuring charges (GAAP operating expense line)</t>
  </si>
  <si>
    <t xml:space="preserve">21,436</t>
  </si>
  <si>
    <t xml:space="preserve">Exhibit 99.1, Condensed Consolidated Statements of Operations; row 'Restructuring charges'; column 'Three months ended June 30, 2026'</t>
  </si>
  <si>
    <t xml:space="preserve">QA-0268</t>
  </si>
  <si>
    <t xml:space="preserve">Exhibit 99.1, Condensed Consolidated Statements of Operations; row 'Restructuring charges'; column 'Six months ended June 30, 2026'</t>
  </si>
  <si>
    <t xml:space="preserve">QA-0269</t>
  </si>
  <si>
    <t xml:space="preserve">Total operating expenses (GAAP)</t>
  </si>
  <si>
    <t xml:space="preserve">88,895</t>
  </si>
  <si>
    <t xml:space="preserve">Exhibit 99.1, Condensed Consolidated Statements of Operations; row 'Total operating expenses'; column 'Three months ended March 31, 2021'</t>
  </si>
  <si>
    <t xml:space="preserve">QA-0270</t>
  </si>
  <si>
    <t xml:space="preserve">88,976</t>
  </si>
  <si>
    <t xml:space="preserve">Exhibit 99.1, Condensed Consolidated Statements of Operations; row 'Total operating expenses'; column 'Three months ended June 30, 2021'</t>
  </si>
  <si>
    <t xml:space="preserve">QA-0271</t>
  </si>
  <si>
    <t xml:space="preserve">177,871</t>
  </si>
  <si>
    <t xml:space="preserve">Exhibit 99.1, Condensed Consolidated Statements of Operations; row 'Total operating expenses'; column 'Six months ended June 30, 2021'</t>
  </si>
  <si>
    <t xml:space="preserve">QA-0272</t>
  </si>
  <si>
    <t xml:space="preserve">102,016</t>
  </si>
  <si>
    <t xml:space="preserve">Exhibit 99.1, Condensed Consolidated Statements of Operations; row 'Total operating expenses'; column 'Three months ended September 30, 2021'</t>
  </si>
  <si>
    <t xml:space="preserve">QA-0273</t>
  </si>
  <si>
    <t xml:space="preserve">279,887</t>
  </si>
  <si>
    <t xml:space="preserve">Exhibit 99.1, Condensed Consolidated Statements of Operations; row 'Total operating expenses'; column 'Nine months ended September 30, 2021'</t>
  </si>
  <si>
    <t xml:space="preserve">QA-0274</t>
  </si>
  <si>
    <t xml:space="preserve">115,375</t>
  </si>
  <si>
    <t xml:space="preserve">Exhibit 99.1, Condensed Consolidated Statements of Operations; row 'Total operating expenses'; column 'Three months ended December 31, 2021'</t>
  </si>
  <si>
    <t xml:space="preserve">QA-0275</t>
  </si>
  <si>
    <t xml:space="preserve">395,262</t>
  </si>
  <si>
    <t xml:space="preserve">Exhibit 99.1, Condensed Consolidated Statements of Operations; row 'Total operating expenses'; column 'Year ended December 31, 2021'</t>
  </si>
  <si>
    <t xml:space="preserve">QA-0276</t>
  </si>
  <si>
    <t xml:space="preserve">161,384</t>
  </si>
  <si>
    <t xml:space="preserve">Exhibit 99.1, Condensed Consolidated Statements of Operations; row 'Total operating expenses'; column 'Three months ended March 31, 2022'</t>
  </si>
  <si>
    <t xml:space="preserve">QA-0277</t>
  </si>
  <si>
    <t xml:space="preserve">153,168</t>
  </si>
  <si>
    <t xml:space="preserve">Exhibit 99.1, Condensed Consolidated Statements of Operations; row 'Total operating expenses'; column 'Three months ended June 30, 2022'</t>
  </si>
  <si>
    <t xml:space="preserve">QA-0278</t>
  </si>
  <si>
    <t xml:space="preserve">314,552</t>
  </si>
  <si>
    <t xml:space="preserve">Exhibit 99.1, Condensed Consolidated Statements of Operations; row 'Total operating expenses'; column 'Six months ended June 30, 2022'</t>
  </si>
  <si>
    <t xml:space="preserve">QA-0279</t>
  </si>
  <si>
    <t xml:space="preserve">147,302</t>
  </si>
  <si>
    <t xml:space="preserve">Exhibit 99.1, Condensed Consolidated Statements of Operations; row 'Total operating expenses'; column 'Three months ended September 30, 2022'</t>
  </si>
  <si>
    <t xml:space="preserve">QA-0280</t>
  </si>
  <si>
    <t xml:space="preserve">461,854</t>
  </si>
  <si>
    <t xml:space="preserve">Exhibit 99.1, Condensed Consolidated Statements of Operations; row 'Total operating expenses'; column 'Nine months ended September 30, 2022'</t>
  </si>
  <si>
    <t xml:space="preserve">QA-0281</t>
  </si>
  <si>
    <t xml:space="preserve">142,662</t>
  </si>
  <si>
    <t xml:space="preserve">Exhibit 99.1, Condensed Consolidated Statements of Operations; row 'Total operating expenses'; column 'Three months ended December 31, 2022'</t>
  </si>
  <si>
    <t xml:space="preserve">QA-0282</t>
  </si>
  <si>
    <t xml:space="preserve">604,516</t>
  </si>
  <si>
    <t xml:space="preserve">Exhibit 99.1, Condensed Consolidated Statements of Operations; row 'Total operating expenses'; column 'Year ended December 31, 2022'</t>
  </si>
  <si>
    <t xml:space="preserve">QA-0283</t>
  </si>
  <si>
    <t xml:space="preserve">167,994</t>
  </si>
  <si>
    <t xml:space="preserve">Exhibit 99.1, Condensed Consolidated Statements of Operations; row 'Total operating expenses'; column 'Three months ended March 31, 2023'</t>
  </si>
  <si>
    <t xml:space="preserve">QA-0284</t>
  </si>
  <si>
    <t xml:space="preserve">168,330</t>
  </si>
  <si>
    <t xml:space="preserve">Exhibit 99.1, Condensed Consolidated Statements of Operations; row 'Total operating expenses'; column 'Three months ended June 30, 2023'</t>
  </si>
  <si>
    <t xml:space="preserve">QA-0285</t>
  </si>
  <si>
    <t xml:space="preserve">336,324</t>
  </si>
  <si>
    <t xml:space="preserve">Exhibit 99.1, Condensed Consolidated Statements of Operations; row 'Total operating expenses'; column 'Six months ended June 30, 2023'</t>
  </si>
  <si>
    <t xml:space="preserve">QA-0286</t>
  </si>
  <si>
    <t xml:space="preserve">170,004</t>
  </si>
  <si>
    <t xml:space="preserve">Exhibit 99.1, Condensed Consolidated Statements of Operations; row 'Total operating expenses'; column 'Three months ended September 30, 2023'</t>
  </si>
  <si>
    <t xml:space="preserve">QA-0287</t>
  </si>
  <si>
    <t xml:space="preserve">506,328</t>
  </si>
  <si>
    <t xml:space="preserve">Exhibit 99.1, Condensed Consolidated Statements of Operations; row 'Total operating expenses'; column 'Nine months ended September 30, 2023'</t>
  </si>
  <si>
    <t xml:space="preserve">QA-0288</t>
  </si>
  <si>
    <t xml:space="preserve">181,307</t>
  </si>
  <si>
    <t xml:space="preserve">Exhibit 99.1, Condensed Consolidated Statements of Operations; row 'Total operating expenses'; column 'Three months ended December 31, 2023'</t>
  </si>
  <si>
    <t xml:space="preserve">QA-0289</t>
  </si>
  <si>
    <t xml:space="preserve">687,635</t>
  </si>
  <si>
    <t xml:space="preserve">Exhibit 99.1, Condensed Consolidated Statements of Operations; row 'Total operating expenses'; column 'Year ended December 31, 2023'</t>
  </si>
  <si>
    <t xml:space="preserve">QA-0290</t>
  </si>
  <si>
    <t xml:space="preserve">198,481</t>
  </si>
  <si>
    <t xml:space="preserve">Exhibit 99.1, Condensed Consolidated Statements of Operations; row 'Total operating expenses'; column 'Three months ended March 31, 2024'</t>
  </si>
  <si>
    <t xml:space="preserve">QA-0291</t>
  </si>
  <si>
    <t xml:space="preserve">210,549</t>
  </si>
  <si>
    <t xml:space="preserve">Exhibit 99.1, Condensed Consolidated Statements of Operations; row 'Total operating expenses'; column 'Three months ended June 30, 2024'</t>
  </si>
  <si>
    <t xml:space="preserve">QA-0292</t>
  </si>
  <si>
    <t xml:space="preserve">409,030</t>
  </si>
  <si>
    <t xml:space="preserve">Exhibit 99.1, Condensed Consolidated Statements of Operations; row 'Total operating expenses'; column 'Six months ended June 30, 2024'</t>
  </si>
  <si>
    <t xml:space="preserve">QA-0293</t>
  </si>
  <si>
    <t xml:space="preserve">252,430</t>
  </si>
  <si>
    <t xml:space="preserve">Exhibit 99.1, Condensed Consolidated Statements of Operations; row 'Total operating expenses'; column 'Three months ended September 30, 2024'</t>
  </si>
  <si>
    <t xml:space="preserve">QA-0294</t>
  </si>
  <si>
    <t xml:space="preserve">661,460</t>
  </si>
  <si>
    <t xml:space="preserve">Exhibit 99.1, Condensed Consolidated Statements of Operations; row 'Total operating expenses'; column 'Nine months ended September 30, 2024'</t>
  </si>
  <si>
    <t xml:space="preserve">QA-0295</t>
  </si>
  <si>
    <t xml:space="preserve">227,878</t>
  </si>
  <si>
    <t xml:space="preserve">Exhibit 99.1, Condensed Consolidated Statements of Operations; row 'Total operating expenses'; column 'Three months ended December 31, 2024'</t>
  </si>
  <si>
    <t xml:space="preserve">QA-0296</t>
  </si>
  <si>
    <t xml:space="preserve">889,338</t>
  </si>
  <si>
    <t xml:space="preserve">Exhibit 99.1, Condensed Consolidated Statements of Operations; row 'Total operating expenses'; column 'Year ended December 31, 2024'</t>
  </si>
  <si>
    <t xml:space="preserve">QA-0297</t>
  </si>
  <si>
    <t xml:space="preserve">243,649</t>
  </si>
  <si>
    <t xml:space="preserve">Exhibit 99.1, Condensed Consolidated Statements of Operations; row 'Total operating expenses'; column 'Three months ended March 31, 2025'</t>
  </si>
  <si>
    <t xml:space="preserve">QA-0298</t>
  </si>
  <si>
    <t xml:space="preserve">279,392</t>
  </si>
  <si>
    <t xml:space="preserve">Exhibit 99.1, Condensed Consolidated Statements of Operations; row 'Total operating expenses'; column 'Three months ended June 30, 2025'</t>
  </si>
  <si>
    <t xml:space="preserve">QA-0299</t>
  </si>
  <si>
    <t xml:space="preserve">523,041</t>
  </si>
  <si>
    <t xml:space="preserve">Exhibit 99.1, Condensed Consolidated Statements of Operations; row 'Total operating expenses'; column 'Six months ended June 30, 2025'</t>
  </si>
  <si>
    <t xml:space="preserve">QA-0300</t>
  </si>
  <si>
    <t xml:space="preserve">283,445</t>
  </si>
  <si>
    <t xml:space="preserve">Exhibit 99.1, Condensed Consolidated Statements of Operations; row 'Total operating expenses'; column 'Three months ended September 30, 2025'</t>
  </si>
  <si>
    <t xml:space="preserve">QA-0301</t>
  </si>
  <si>
    <t xml:space="preserve">806,486</t>
  </si>
  <si>
    <t xml:space="preserve">Exhibit 99.1, Condensed Consolidated Statements of Operations; row 'Total operating expenses'; column 'Nine months ended September 30, 2025'</t>
  </si>
  <si>
    <t xml:space="preserve">QA-0302</t>
  </si>
  <si>
    <t xml:space="preserve">294,160</t>
  </si>
  <si>
    <t xml:space="preserve">Exhibit 99.1, Condensed Consolidated Statements of Operations; row 'Total operating expenses'; column 'Three months ended December 31, 2025'</t>
  </si>
  <si>
    <t xml:space="preserve">QA-0303</t>
  </si>
  <si>
    <t xml:space="preserve">1,100,646</t>
  </si>
  <si>
    <t xml:space="preserve">Exhibit 99.1, Condensed Consolidated Statements of Operations; row 'Total operating expenses'; column 'Year ended December 31, 2025'</t>
  </si>
  <si>
    <t xml:space="preserve">QA-0304</t>
  </si>
  <si>
    <t xml:space="preserve">293,387</t>
  </si>
  <si>
    <t xml:space="preserve">Exhibit 99.1, Condensed Consolidated Statements of Operations; row 'Total operating expenses'; column 'Three months ended March 31, 2026'</t>
  </si>
  <si>
    <t xml:space="preserve">QA-0305</t>
  </si>
  <si>
    <t xml:space="preserve">323,504</t>
  </si>
  <si>
    <t xml:space="preserve">Exhibit 99.1, Condensed Consolidated Statements of Operations; row 'Total operating expenses'; column 'Three months ended June 30, 2026'</t>
  </si>
  <si>
    <t xml:space="preserve">QA-0306</t>
  </si>
  <si>
    <t xml:space="preserve">616,891</t>
  </si>
  <si>
    <t xml:space="preserve">Exhibit 99.1, Condensed Consolidated Statements of Operations; row 'Total operating expenses'; column 'Six months ended June 30, 2026'</t>
  </si>
  <si>
    <t xml:space="preserve">QA-0307</t>
  </si>
  <si>
    <t xml:space="preserve">Operating income (loss) (GAAP)</t>
  </si>
  <si>
    <t xml:space="preserve">(37,847)</t>
  </si>
  <si>
    <t xml:space="preserve">Exhibit 99.1, Condensed Consolidated Statements of Operations; row 'Operating loss'; column 'Three months ended March 31, 2021'</t>
  </si>
  <si>
    <t xml:space="preserve">QA-0308</t>
  </si>
  <si>
    <t xml:space="preserve">(27,469)</t>
  </si>
  <si>
    <t xml:space="preserve">Exhibit 99.1, Condensed Consolidated Statements of Operations; row 'Operating loss'; column 'Three months ended June 30, 2021'</t>
  </si>
  <si>
    <t xml:space="preserve">QA-0309</t>
  </si>
  <si>
    <t xml:space="preserve">(65,316)</t>
  </si>
  <si>
    <t xml:space="preserve">Exhibit 99.1, Condensed Consolidated Statements of Operations; row 'Operating loss'; column 'Six months ended June 30, 2021'</t>
  </si>
  <si>
    <t xml:space="preserve">QA-0310</t>
  </si>
  <si>
    <t xml:space="preserve">(29,211)</t>
  </si>
  <si>
    <t xml:space="preserve">Exhibit 99.1, Condensed Consolidated Statements of Operations; row 'Operating loss'; column 'Three months ended September 30, 2021'</t>
  </si>
  <si>
    <t xml:space="preserve">QA-0311</t>
  </si>
  <si>
    <t xml:space="preserve">(94,527)</t>
  </si>
  <si>
    <t xml:space="preserve">Exhibit 99.1, Condensed Consolidated Statements of Operations; row 'Operating loss'; column 'Nine months ended September 30, 2021'</t>
  </si>
  <si>
    <t xml:space="preserve">QA-0312</t>
  </si>
  <si>
    <t xml:space="preserve">(31,598)</t>
  </si>
  <si>
    <t xml:space="preserve">Exhibit 99.1, Condensed Consolidated Statements of Operations; row 'Operating loss'; column 'Three months ended December 31, 2021'</t>
  </si>
  <si>
    <t xml:space="preserve">QA-0313</t>
  </si>
  <si>
    <t xml:space="preserve">(126,125)</t>
  </si>
  <si>
    <t xml:space="preserve">Exhibit 99.1, Condensed Consolidated Statements of Operations; row 'Operating loss'; column 'Year ended December 31, 2021'</t>
  </si>
  <si>
    <t xml:space="preserve">QA-0314</t>
  </si>
  <si>
    <t xml:space="preserve">(67,496)</t>
  </si>
  <si>
    <t xml:space="preserve">Exhibit 99.1, Condensed Consolidated Statements of Operations; row 'Operating loss'; column 'Three months ended March 31, 2022'</t>
  </si>
  <si>
    <t xml:space="preserve">QA-0315</t>
  </si>
  <si>
    <t xml:space="preserve">(46,180)</t>
  </si>
  <si>
    <t xml:space="preserve">Exhibit 99.1, Condensed Consolidated Statements of Operations; row 'Operating loss'; column 'Three months ended June 30, 2022'</t>
  </si>
  <si>
    <t xml:space="preserve">QA-0316</t>
  </si>
  <si>
    <t xml:space="preserve">(113,676)</t>
  </si>
  <si>
    <t xml:space="preserve">Exhibit 99.1, Condensed Consolidated Statements of Operations; row 'Operating loss'; column 'Six months ended June 30, 2022'</t>
  </si>
  <si>
    <t xml:space="preserve">QA-0317</t>
  </si>
  <si>
    <t xml:space="preserve">(28,239)</t>
  </si>
  <si>
    <t xml:space="preserve">Exhibit 99.1, Condensed Consolidated Statements of Operations; row 'Operating loss'; column 'Three months ended September 30, 2022'</t>
  </si>
  <si>
    <t xml:space="preserve">QA-0318</t>
  </si>
  <si>
    <t xml:space="preserve">(141,915)</t>
  </si>
  <si>
    <t xml:space="preserve">Exhibit 99.1, Condensed Consolidated Statements of Operations; row 'Operating loss'; column 'Nine months ended September 30, 2022'</t>
  </si>
  <si>
    <t xml:space="preserve">QA-0319</t>
  </si>
  <si>
    <t xml:space="preserve">(10,100)</t>
  </si>
  <si>
    <t xml:space="preserve">Exhibit 99.1, Condensed Consolidated Statements of Operations; row 'Operating loss'; column 'Three months ended December 31, 2022'</t>
  </si>
  <si>
    <t xml:space="preserve">QA-0320</t>
  </si>
  <si>
    <t xml:space="preserve">(152,015)</t>
  </si>
  <si>
    <t xml:space="preserve">Exhibit 99.1, Condensed Consolidated Statements of Operations; row 'Operating loss'; column 'Year ended December 31, 2022'</t>
  </si>
  <si>
    <t xml:space="preserve">QA-0321</t>
  </si>
  <si>
    <t xml:space="preserve">(22,752)</t>
  </si>
  <si>
    <t xml:space="preserve">Exhibit 99.1, Condensed Consolidated Statements of Operations; row 'Operating loss'; column 'Three months ended March 31, 2023'</t>
  </si>
  <si>
    <t xml:space="preserve">QA-0322</t>
  </si>
  <si>
    <t xml:space="preserve">(12,167)</t>
  </si>
  <si>
    <t xml:space="preserve">Exhibit 99.1, Condensed Consolidated Statements of Operations; row 'Operating loss'; column 'Three months ended June 30, 2023'</t>
  </si>
  <si>
    <t xml:space="preserve">QA-0323</t>
  </si>
  <si>
    <t xml:space="preserve">(34,919)</t>
  </si>
  <si>
    <t xml:space="preserve">Exhibit 99.1, Condensed Consolidated Statements of Operations; row 'Operating loss'; column 'Six months ended June 30, 2023'</t>
  </si>
  <si>
    <t xml:space="preserve">QA-0324</t>
  </si>
  <si>
    <t xml:space="preserve">(2,521)</t>
  </si>
  <si>
    <t xml:space="preserve">Exhibit 99.1, Condensed Consolidated Statements of Operations; row 'Operating loss'; column 'Three months ended September 30, 2023'</t>
  </si>
  <si>
    <t xml:space="preserve">QA-0325</t>
  </si>
  <si>
    <t xml:space="preserve">(37,440)</t>
  </si>
  <si>
    <t xml:space="preserve">Exhibit 99.1, Condensed Consolidated Statements of Operations; row 'Operating loss'; column 'Nine months ended September 30, 2023'</t>
  </si>
  <si>
    <t xml:space="preserve">QA-0326</t>
  </si>
  <si>
    <t xml:space="preserve">(1,145)</t>
  </si>
  <si>
    <t xml:space="preserve">Exhibit 99.1, Condensed Consolidated Statements of Operations; row 'Operating loss'; column 'Three months ended December 31, 2023'</t>
  </si>
  <si>
    <t xml:space="preserve">QA-0327</t>
  </si>
  <si>
    <t xml:space="preserve">(38,585)</t>
  </si>
  <si>
    <t xml:space="preserve">Exhibit 99.1, Condensed Consolidated Statements of Operations; row 'Operating loss'; column 'Year ended December 31, 2023'</t>
  </si>
  <si>
    <t xml:space="preserve">QA-0328</t>
  </si>
  <si>
    <t xml:space="preserve">(5,022)</t>
  </si>
  <si>
    <t xml:space="preserve">Exhibit 99.1, Condensed Consolidated Statements of Operations; row 'Operating loss'; column 'Three months ended March 31, 2024'</t>
  </si>
  <si>
    <t xml:space="preserve">QA-0329</t>
  </si>
  <si>
    <t xml:space="preserve">1,794</t>
  </si>
  <si>
    <t xml:space="preserve">Exhibit 99.1, Condensed Consolidated Statements of Operations; row 'Operating income (loss)'; column 'Three months ended June 30, 2024'</t>
  </si>
  <si>
    <t xml:space="preserve">QA-0330</t>
  </si>
  <si>
    <t xml:space="preserve">(3,228)</t>
  </si>
  <si>
    <t xml:space="preserve">Exhibit 99.1, Condensed Consolidated Statements of Operations; row 'Operating income (loss)'; column 'Six months ended June 30, 2024'</t>
  </si>
  <si>
    <t xml:space="preserve">QA-0331</t>
  </si>
  <si>
    <t xml:space="preserve">(27,402)</t>
  </si>
  <si>
    <t xml:space="preserve">Exhibit 99.1, Condensed Consolidated Statements of Operations; row 'Operating loss'; column 'Three months ended September 30, 2024'</t>
  </si>
  <si>
    <t xml:space="preserve">QA-0332</t>
  </si>
  <si>
    <t xml:space="preserve">(30,630)</t>
  </si>
  <si>
    <t xml:space="preserve">Exhibit 99.1, Condensed Consolidated Statements of Operations; row 'Operating loss'; column 'Nine months ended September 30, 2024'</t>
  </si>
  <si>
    <t xml:space="preserve">QA-0333</t>
  </si>
  <si>
    <t xml:space="preserve">9,596</t>
  </si>
  <si>
    <t xml:space="preserve">Exhibit 99.1, Condensed Consolidated Statements of Operations; row 'Operating income (loss)'; column 'Three months ended December 31, 2024'</t>
  </si>
  <si>
    <t xml:space="preserve">QA-0334</t>
  </si>
  <si>
    <t xml:space="preserve">(21,034)</t>
  </si>
  <si>
    <t xml:space="preserve">Exhibit 99.1, Condensed Consolidated Statements of Operations; row 'Operating income (loss)'; column 'Year ended December 31, 2024'</t>
  </si>
  <si>
    <t xml:space="preserve">QA-0335</t>
  </si>
  <si>
    <t xml:space="preserve">9,796</t>
  </si>
  <si>
    <t xml:space="preserve">Exhibit 99.1, Condensed Consolidated Statements of Operations; row 'Operating income (loss)'; column 'Three months ended March 31, 2025'</t>
  </si>
  <si>
    <t xml:space="preserve">QA-0336</t>
  </si>
  <si>
    <t xml:space="preserve">(11,551)</t>
  </si>
  <si>
    <t xml:space="preserve">Exhibit 99.1, Condensed Consolidated Statements of Operations; row 'Operating income (loss)'; column 'Three months ended June 30, 2025'</t>
  </si>
  <si>
    <t xml:space="preserve">QA-0337</t>
  </si>
  <si>
    <t xml:space="preserve">(1,755)</t>
  </si>
  <si>
    <t xml:space="preserve">Exhibit 99.1, Condensed Consolidated Statements of Operations; row 'Operating income (loss)'; column 'Six months ended June 30, 2025'</t>
  </si>
  <si>
    <t xml:space="preserve">QA-0338</t>
  </si>
  <si>
    <t xml:space="preserve">(2,378)</t>
  </si>
  <si>
    <t xml:space="preserve">Exhibit 99.1, Condensed Consolidated Statements of Operations; row 'Operating loss'; column 'Three months ended September 30, 2025'</t>
  </si>
  <si>
    <t xml:space="preserve">QA-0339</t>
  </si>
  <si>
    <t xml:space="preserve">(4,133)</t>
  </si>
  <si>
    <t xml:space="preserve">Exhibit 99.1, Condensed Consolidated Statements of Operations; row 'Operating loss'; column 'Nine months ended September 30, 2025'</t>
  </si>
  <si>
    <t xml:space="preserve">QA-0340</t>
  </si>
  <si>
    <t xml:space="preserve">2,385</t>
  </si>
  <si>
    <t xml:space="preserve">Exhibit 99.1, Condensed Consolidated Statements of Operations; row 'Operating income (loss)'; column 'Three months ended December 31, 2025'</t>
  </si>
  <si>
    <t xml:space="preserve">QA-0341</t>
  </si>
  <si>
    <t xml:space="preserve">(1,748)</t>
  </si>
  <si>
    <t xml:space="preserve">Exhibit 99.1, Condensed Consolidated Statements of Operations; row 'Operating income (loss)'; column 'Year ended December 31, 2025'</t>
  </si>
  <si>
    <t xml:space="preserve">QA-0342</t>
  </si>
  <si>
    <t xml:space="preserve">19,754</t>
  </si>
  <si>
    <t xml:space="preserve">Exhibit 99.1, Condensed Consolidated Statements of Operations; row 'Operating income'; column 'Three months ended March 31, 2026'</t>
  </si>
  <si>
    <t xml:space="preserve">QA-0343</t>
  </si>
  <si>
    <t xml:space="preserve">(1,544)</t>
  </si>
  <si>
    <t xml:space="preserve">Exhibit 99.1, Condensed Consolidated Statements of Operations; row 'Operating income (loss)'; column 'Three months ended June 30, 2026'</t>
  </si>
  <si>
    <t xml:space="preserve">QA-0344</t>
  </si>
  <si>
    <t xml:space="preserve">18,210</t>
  </si>
  <si>
    <t xml:space="preserve">Exhibit 99.1, Condensed Consolidated Statements of Operations; row 'Operating income (loss)'; column 'Six months ended June 30, 2026'</t>
  </si>
  <si>
    <t xml:space="preserve">QA-0345</t>
  </si>
  <si>
    <t xml:space="preserve">Operating margin (GAAP), as reported</t>
  </si>
  <si>
    <t xml:space="preserve">(64)%</t>
  </si>
  <si>
    <t xml:space="preserve">Exhibit 99.1, Reconciliation of GAAP to Non-GAAP Financial Information &gt; Reconciliation of operating loss; row 'GAAP operating margin'; column 'Three months ended March 31, 2021'</t>
  </si>
  <si>
    <t xml:space="preserve">QA-0346</t>
  </si>
  <si>
    <t xml:space="preserve">(39)%</t>
  </si>
  <si>
    <t xml:space="preserve">Exhibit 99.1, Reconciliation of GAAP to Non-GAAP Financial Information &gt; Reconciliation of operating loss; row 'GAAP operating margin'; column 'Three months ended June 30, 2021'</t>
  </si>
  <si>
    <t xml:space="preserve">QA-0347</t>
  </si>
  <si>
    <t xml:space="preserve">(50)%</t>
  </si>
  <si>
    <t xml:space="preserve">Exhibit 99.1, Reconciliation of GAAP to Non-GAAP Financial Information &gt; Reconciliation of operating loss; row 'GAAP operating margin'; column 'Six months ended June 30, 2021'</t>
  </si>
  <si>
    <t xml:space="preserve">QA-0348</t>
  </si>
  <si>
    <t xml:space="preserve">(35)%</t>
  </si>
  <si>
    <t xml:space="preserve">Exhibit 99.1, Reconciliation of GAAP to Non-GAAP Financial Information &gt; Reconciliation of operating loss; row 'GAAP operating margin'; column 'Three months ended September 30, 2021'</t>
  </si>
  <si>
    <t xml:space="preserve">QA-0349</t>
  </si>
  <si>
    <t xml:space="preserve">(44)%</t>
  </si>
  <si>
    <t xml:space="preserve">Exhibit 99.1, Reconciliation of GAAP to Non-GAAP Financial Information &gt; Reconciliation of operating loss; row 'GAAP operating margin'; column 'Nine months ended September 30, 2021'</t>
  </si>
  <si>
    <t xml:space="preserve">QA-0350</t>
  </si>
  <si>
    <t xml:space="preserve">(33)%</t>
  </si>
  <si>
    <t xml:space="preserve">Exhibit 99.1, Reconciliation of GAAP to Non-GAAP Financial Information &gt; Reconciliation of operating loss; row 'GAAP operating margin'; column 'Three months ended December 31, 2021'</t>
  </si>
  <si>
    <t xml:space="preserve">QA-0351</t>
  </si>
  <si>
    <t xml:space="preserve">(41)%</t>
  </si>
  <si>
    <t xml:space="preserve">Exhibit 99.1, Reconciliation of GAAP to Non-GAAP Financial Information &gt; Reconciliation of operating loss; row 'GAAP operating margin'; column 'Year ended December 31, 2021'</t>
  </si>
  <si>
    <t xml:space="preserve">QA-0352</t>
  </si>
  <si>
    <t xml:space="preserve">(62)%</t>
  </si>
  <si>
    <t xml:space="preserve">Exhibit 99.1, Reconciliation of GAAP to Non-GAAP Financial Information &gt; Reconciliation of operating loss; row 'GAAP operating margin'; column 'Three months ended March 31, 2022'</t>
  </si>
  <si>
    <t xml:space="preserve">QA-0353</t>
  </si>
  <si>
    <t xml:space="preserve">(37)%</t>
  </si>
  <si>
    <t xml:space="preserve">Exhibit 99.1, Reconciliation of GAAP to Non-GAAP Financial Information &gt; Reconciliation of operating loss; row 'GAAP operating margin'; column 'Three months ended June 30, 2022'</t>
  </si>
  <si>
    <t xml:space="preserve">QA-0354</t>
  </si>
  <si>
    <t xml:space="preserve">(49)%</t>
  </si>
  <si>
    <t xml:space="preserve">Exhibit 99.1, Reconciliation of GAAP to Non-GAAP Financial Information &gt; Reconciliation of operating loss; row 'GAAP operating margin'; column 'Six months ended June 30, 2022'</t>
  </si>
  <si>
    <t xml:space="preserve">QA-0355</t>
  </si>
  <si>
    <t xml:space="preserve">(21)%</t>
  </si>
  <si>
    <t xml:space="preserve">Exhibit 99.1, Reconciliation of GAAP to Non-GAAP Financial Information &gt; Reconciliation of operating loss; row 'GAAP operating margin'; column 'Three months ended September 30, 2022'</t>
  </si>
  <si>
    <t xml:space="preserve">QA-0356</t>
  </si>
  <si>
    <t xml:space="preserve">(38)%</t>
  </si>
  <si>
    <t xml:space="preserve">Exhibit 99.1, Reconciliation of GAAP to Non-GAAP Financial Information &gt; Reconciliation of operating loss; row 'GAAP operating margin'; column 'Nine months ended September 30, 2022'</t>
  </si>
  <si>
    <t xml:space="preserve">QA-0357</t>
  </si>
  <si>
    <t xml:space="preserve">(7)%</t>
  </si>
  <si>
    <t xml:space="preserve">Exhibit 99.1, Reconciliation of GAAP to Non-GAAP Financial Information &gt; Reconciliation of operating income (loss); row 'GAAP operating margin'; column 'Three months ended December 31, 2022'</t>
  </si>
  <si>
    <t xml:space="preserve">QA-0358</t>
  </si>
  <si>
    <t xml:space="preserve">(29)%</t>
  </si>
  <si>
    <t xml:space="preserve">Exhibit 99.1, Reconciliation of GAAP to Non-GAAP Financial Information &gt; Reconciliation of operating income (loss); row 'GAAP operating margin'; column 'Year ended December 31, 2022'</t>
  </si>
  <si>
    <t xml:space="preserve">QA-0359</t>
  </si>
  <si>
    <t xml:space="preserve">(14)%</t>
  </si>
  <si>
    <t xml:space="preserve">Exhibit 99.1, Reconciliation of GAAP to Non-GAAP Financial Information &gt; Reconciliation of operating loss; row 'GAAP operating margin'; column 'Three months ended March 31, 2023'</t>
  </si>
  <si>
    <t xml:space="preserve">QA-0360</t>
  </si>
  <si>
    <t xml:space="preserve">Exhibit 99.1, Reconciliation of GAAP to Non-GAAP Financial Information &gt; Reconciliation of operating income (loss); row 'GAAP operating margin'; column 'Three months ended June 30, 2023'</t>
  </si>
  <si>
    <t xml:space="preserve">QA-0361</t>
  </si>
  <si>
    <t xml:space="preserve">(10)%</t>
  </si>
  <si>
    <t xml:space="preserve">Exhibit 99.1, Reconciliation of GAAP to Non-GAAP Financial Information &gt; Reconciliation of operating income (loss); row 'GAAP operating margin'; column 'Six months ended June 30, 2023'</t>
  </si>
  <si>
    <t xml:space="preserve">QA-0362</t>
  </si>
  <si>
    <t xml:space="preserve">(1)%</t>
  </si>
  <si>
    <t xml:space="preserve">Exhibit 99.1, Reconciliation of GAAP to Non-GAAP Financial Information &gt; Reconciliation of operating income (loss); row 'GAAP operating margin'; column 'Three months ended September 30, 2023'</t>
  </si>
  <si>
    <t xml:space="preserve">QA-0363</t>
  </si>
  <si>
    <t xml:space="preserve">Exhibit 99.1, Reconciliation of GAAP to Non-GAAP Financial Information &gt; Reconciliation of operating income (loss); row 'GAAP operating margin'; column 'Nine months ended September 30, 2023'</t>
  </si>
  <si>
    <t xml:space="preserve">QA-0364</t>
  </si>
  <si>
    <t xml:space="preserve">Exhibit 99.1, Reconciliation of GAAP to Non-GAAP Financial Information &gt; Reconciliation of operating income (loss); row 'GAAP operating margin'; column 'Three months ended December 31, 2023'</t>
  </si>
  <si>
    <t xml:space="preserve">QA-0365</t>
  </si>
  <si>
    <t xml:space="preserve">(5)%</t>
  </si>
  <si>
    <t xml:space="preserve">Exhibit 99.1, Reconciliation of GAAP to Non-GAAP Financial Information &gt; Reconciliation of operating income (loss); row 'GAAP operating margin'; column 'Year ended December 31, 2023'</t>
  </si>
  <si>
    <t xml:space="preserve">QA-0366</t>
  </si>
  <si>
    <t xml:space="preserve">(2)%</t>
  </si>
  <si>
    <t xml:space="preserve">Exhibit 99.1, Reconciliation of GAAP to Non-GAAP Financial Information &gt; Reconciliation of operating income (loss); row 'GAAP operating margin'; column 'Three months ended March 31, 2024'</t>
  </si>
  <si>
    <t xml:space="preserve">QA-0367</t>
  </si>
  <si>
    <t xml:space="preserve">1%</t>
  </si>
  <si>
    <t xml:space="preserve">Exhibit 99.1, Reconciliation of GAAP to Non-GAAP Financial Information &gt; Reconciliation of operating income (loss); row 'GAAP operating margin'; column 'Three months ended June 30, 2024'</t>
  </si>
  <si>
    <t xml:space="preserve">QA-0368</t>
  </si>
  <si>
    <t xml:space="preserve">Exhibit 99.1, Reconciliation of GAAP to Non-GAAP Financial Information &gt; Reconciliation of operating income (loss); row 'GAAP operating margin'; column 'Six months ended June 30, 2024'</t>
  </si>
  <si>
    <t xml:space="preserve">QA-0369</t>
  </si>
  <si>
    <t xml:space="preserve">(11)%</t>
  </si>
  <si>
    <t xml:space="preserve">Exhibit 99.1, Reconciliation of GAAP to Non-GAAP Financial Information &gt; Reconciliation of operating income (loss); row 'GAAP operating margin'; column 'Three months ended September 30, 2024'</t>
  </si>
  <si>
    <t xml:space="preserve">QA-0370</t>
  </si>
  <si>
    <t xml:space="preserve">(4)%</t>
  </si>
  <si>
    <t xml:space="preserve">Exhibit 99.1, Reconciliation of GAAP to Non-GAAP Financial Information &gt; Reconciliation of operating income (loss); row 'GAAP operating margin'; column 'Nine months ended September 30, 2024'</t>
  </si>
  <si>
    <t xml:space="preserve">QA-0371</t>
  </si>
  <si>
    <t xml:space="preserve">4%</t>
  </si>
  <si>
    <t xml:space="preserve">Exhibit 99.1, Reconciliation of GAAP to Non-GAAP Financial Information &gt; Reconciliation of operating income (loss); row 'GAAP operating margin'; column 'Three months ended December 31, 2024'</t>
  </si>
  <si>
    <t xml:space="preserve">QA-0372</t>
  </si>
  <si>
    <t xml:space="preserve">Exhibit 99.1, Reconciliation of GAAP to Non-GAAP Financial Information &gt; Reconciliation of operating income (loss); row 'GAAP operating margin'; column 'Year ended December 31, 2024'</t>
  </si>
  <si>
    <t xml:space="preserve">QA-0373</t>
  </si>
  <si>
    <t xml:space="preserve">3%</t>
  </si>
  <si>
    <t xml:space="preserve">Exhibit 99.1, Reconciliation of GAAP to Non-GAAP Financial Information &gt; Reconciliation of operating income (loss); row 'GAAP operating margin'; column 'Three months ended March 31, 2025'</t>
  </si>
  <si>
    <t xml:space="preserve">QA-0374</t>
  </si>
  <si>
    <t xml:space="preserve">Exhibit 99.1, Reconciliation of GAAP to Non-GAAP Financial Information &gt; Reconciliation of operating income (loss); row 'GAAP operating margin'; column 'Three months ended June 30, 2025'</t>
  </si>
  <si>
    <t xml:space="preserve">QA-0375</t>
  </si>
  <si>
    <t xml:space="preserve">—%</t>
  </si>
  <si>
    <t xml:space="preserve">Exhibit 99.1, Reconciliation of GAAP to Non-GAAP Financial Information &gt; Reconciliation of operating income (loss); row 'GAAP operating margin'; column 'Six months ended June 30, 2025'</t>
  </si>
  <si>
    <t xml:space="preserve">QA-0376</t>
  </si>
  <si>
    <t xml:space="preserve">Exhibit 99.1, Reconciliation of GAAP to Non-GAAP Financial Information &gt; Reconciliation of operating income (loss); row 'GAAP operating margin'; column 'Three months ended September 30, 2025'</t>
  </si>
  <si>
    <t xml:space="preserve">QA-0377</t>
  </si>
  <si>
    <t xml:space="preserve">Exhibit 99.1, Reconciliation of GAAP to Non-GAAP Financial Information &gt; Reconciliation of operating income (loss); row 'GAAP operating margin'; column 'Nine months ended September 30, 2025'</t>
  </si>
  <si>
    <t xml:space="preserve">QA-0378</t>
  </si>
  <si>
    <t xml:space="preserve">Exhibit 99.1, Reconciliation of GAAP to Non-GAAP Financial Information &gt; Reconciliation of operating income (loss); row 'GAAP operating margin'; column 'Three months ended December 31, 2025'</t>
  </si>
  <si>
    <t xml:space="preserve">QA-0379</t>
  </si>
  <si>
    <t xml:space="preserve">Exhibit 99.1, Reconciliation of GAAP to Non-GAAP Financial Information &gt; Reconciliation of operating income (loss); row 'GAAP operating margin'; column 'Year ended December 31, 2025'</t>
  </si>
  <si>
    <t xml:space="preserve">QA-0380</t>
  </si>
  <si>
    <t xml:space="preserve">6%</t>
  </si>
  <si>
    <t xml:space="preserve">Exhibit 99.1, Reconciliation of GAAP to Non-GAAP Financial Information &gt; Reconciliation of operating income (loss); row 'GAAP operating margin'; column 'Three months ended March 31, 2026'</t>
  </si>
  <si>
    <t xml:space="preserve">QA-0381</t>
  </si>
  <si>
    <t xml:space="preserve">Exhibit 99.1, Reconciliation of GAAP to Non-GAAP Financial Information &gt; Reconciliation of operating income (loss); row 'GAAP operating margin'; column 'Three months ended June 30, 2026'</t>
  </si>
  <si>
    <t xml:space="preserve">QA-0382</t>
  </si>
  <si>
    <t xml:space="preserve">Exhibit 99.1, Reconciliation of GAAP to Non-GAAP Financial Information &gt; Reconciliation of operating income (loss); row 'GAAP operating margin'; column 'Six months ended June 30, 2026'</t>
  </si>
  <si>
    <t xml:space="preserve">QA-0383</t>
  </si>
  <si>
    <t xml:space="preserve">Net income (loss) (GAAP)</t>
  </si>
  <si>
    <t xml:space="preserve">(38,952)</t>
  </si>
  <si>
    <t xml:space="preserve">Exhibit 99.1, Condensed Consolidated Statements of Operations; row 'Net loss'; column 'Three months ended March 31, 2021'</t>
  </si>
  <si>
    <t xml:space="preserve">QA-0384</t>
  </si>
  <si>
    <t xml:space="preserve">(28,891)</t>
  </si>
  <si>
    <t xml:space="preserve">Exhibit 99.1, Condensed Consolidated Statements of Operations; row 'Net loss'; column 'Three months ended June 30, 2021'</t>
  </si>
  <si>
    <t xml:space="preserve">QA-0385</t>
  </si>
  <si>
    <t xml:space="preserve">(67,843)</t>
  </si>
  <si>
    <t xml:space="preserve">Exhibit 99.1, Condensed Consolidated Statements of Operations; row 'Net loss'; column 'Six months ended June 30, 2021'</t>
  </si>
  <si>
    <t xml:space="preserve">QA-0386</t>
  </si>
  <si>
    <t xml:space="preserve">(28,846)</t>
  </si>
  <si>
    <t xml:space="preserve">Exhibit 99.1, Condensed Consolidated Statements of Operations; row 'Net loss'; column 'Three months ended September 30, 2021'</t>
  </si>
  <si>
    <t xml:space="preserve">QA-0387</t>
  </si>
  <si>
    <t xml:space="preserve">(96,689)</t>
  </si>
  <si>
    <t xml:space="preserve">Exhibit 99.1, Condensed Consolidated Statements of Operations; row 'Net loss'; column 'Nine months ended September 30, 2021'</t>
  </si>
  <si>
    <t xml:space="preserve">QA-0388</t>
  </si>
  <si>
    <t xml:space="preserve">(32,605)</t>
  </si>
  <si>
    <t xml:space="preserve">Exhibit 99.1, Condensed Consolidated Statements of Operations; row 'Net loss'; column 'Three months ended December 31, 2021'</t>
  </si>
  <si>
    <t xml:space="preserve">QA-0389</t>
  </si>
  <si>
    <t xml:space="preserve">(129,294)</t>
  </si>
  <si>
    <t xml:space="preserve">Exhibit 99.1, Condensed Consolidated Statements of Operations; row 'Net loss'; column 'Year ended December 31, 2021'</t>
  </si>
  <si>
    <t xml:space="preserve">QA-0390</t>
  </si>
  <si>
    <t xml:space="preserve">(66,678)</t>
  </si>
  <si>
    <t xml:space="preserve">Exhibit 99.1, Condensed Consolidated Statements of Operations; row 'Net loss'; column 'Three months ended March 31, 2022'</t>
  </si>
  <si>
    <t xml:space="preserve">QA-0391</t>
  </si>
  <si>
    <t xml:space="preserve">(45,671)</t>
  </si>
  <si>
    <t xml:space="preserve">Exhibit 99.1, Condensed Consolidated Statements of Operations; row 'Net loss'; column 'Three months ended June 30, 2022'</t>
  </si>
  <si>
    <t xml:space="preserve">QA-0392</t>
  </si>
  <si>
    <t xml:space="preserve">(112,349)</t>
  </si>
  <si>
    <t xml:space="preserve">Exhibit 99.1, Condensed Consolidated Statements of Operations; row 'Net loss'; column 'Six months ended June 30, 2022'</t>
  </si>
  <si>
    <t xml:space="preserve">QA-0393</t>
  </si>
  <si>
    <t xml:space="preserve">(23,030)</t>
  </si>
  <si>
    <t xml:space="preserve">Exhibit 99.1, Condensed Consolidated Statements of Operations; row 'Net loss'; column 'Three months ended September 30, 2022'</t>
  </si>
  <si>
    <t xml:space="preserve">QA-0394</t>
  </si>
  <si>
    <t xml:space="preserve">(135,379)</t>
  </si>
  <si>
    <t xml:space="preserve">Exhibit 99.1, Condensed Consolidated Statements of Operations; row 'Net loss'; column 'Nine months ended September 30, 2022'</t>
  </si>
  <si>
    <t xml:space="preserve">QA-0395</t>
  </si>
  <si>
    <t xml:space="preserve">(1,488)</t>
  </si>
  <si>
    <t xml:space="preserve">Exhibit 99.1, Condensed Consolidated Statements of Operations; row 'Net loss'; column 'Three months ended December 31, 2022'</t>
  </si>
  <si>
    <t xml:space="preserve">QA-0396</t>
  </si>
  <si>
    <t xml:space="preserve">(136,867)</t>
  </si>
  <si>
    <t xml:space="preserve">Exhibit 99.1, Condensed Consolidated Statements of Operations; row 'Net loss'; column 'Year ended December 31, 2022'</t>
  </si>
  <si>
    <t xml:space="preserve">QA-0397</t>
  </si>
  <si>
    <t xml:space="preserve">(14,667)</t>
  </si>
  <si>
    <t xml:space="preserve">Exhibit 99.1, Condensed Consolidated Statements of Operations; row 'Net loss'; column 'Three months ended March 31, 2023'</t>
  </si>
  <si>
    <t xml:space="preserve">QA-0398</t>
  </si>
  <si>
    <t xml:space="preserve">(7,035)</t>
  </si>
  <si>
    <t xml:space="preserve">Exhibit 99.1, Condensed Consolidated Statements of Operations; row 'Net loss'; column 'Three months ended June 30, 2023'</t>
  </si>
  <si>
    <t xml:space="preserve">QA-0399</t>
  </si>
  <si>
    <t xml:space="preserve">(21,702)</t>
  </si>
  <si>
    <t xml:space="preserve">Exhibit 99.1, Condensed Consolidated Statements of Operations; row 'Net loss'; column 'Six months ended June 30, 2023'</t>
  </si>
  <si>
    <t xml:space="preserve">QA-0400</t>
  </si>
  <si>
    <t xml:space="preserve">7,488</t>
  </si>
  <si>
    <t xml:space="preserve">Exhibit 99.1, Condensed Consolidated Statements of Operations; row 'Net income (loss)'; column 'Three months ended September 30, 2023'</t>
  </si>
  <si>
    <t xml:space="preserve">QA-0401</t>
  </si>
  <si>
    <t xml:space="preserve">(14,214)</t>
  </si>
  <si>
    <t xml:space="preserve">Exhibit 99.1, Condensed Consolidated Statements of Operations; row 'Net income (loss)'; column 'Nine months ended September 30, 2023'</t>
  </si>
  <si>
    <t xml:space="preserve">QA-0402</t>
  </si>
  <si>
    <t xml:space="preserve">12,337</t>
  </si>
  <si>
    <t xml:space="preserve">Exhibit 99.1, Condensed Consolidated Statements of Operations; row 'Net income (loss)'; column 'Three months ended December 31, 2023'</t>
  </si>
  <si>
    <t xml:space="preserve">QA-0403</t>
  </si>
  <si>
    <t xml:space="preserve">(1,877)</t>
  </si>
  <si>
    <t xml:space="preserve">Exhibit 99.1, Condensed Consolidated Statements of Operations; row 'Net income (loss)'; column 'Year ended December 31, 2023'</t>
  </si>
  <si>
    <t xml:space="preserve">QA-0404</t>
  </si>
  <si>
    <t xml:space="preserve">7,078</t>
  </si>
  <si>
    <t xml:space="preserve">Exhibit 99.1, Condensed Consolidated Statements of Operations; row 'Net income (loss)'; column 'Three months ended March 31, 2024'</t>
  </si>
  <si>
    <t xml:space="preserve">QA-0405</t>
  </si>
  <si>
    <t xml:space="preserve">14,315</t>
  </si>
  <si>
    <t xml:space="preserve">Exhibit 99.1, Condensed Consolidated Statements of Operations; row 'Net income (loss)'; column 'Three months ended June 30, 2024'</t>
  </si>
  <si>
    <t xml:space="preserve">QA-0406</t>
  </si>
  <si>
    <t xml:space="preserve">21,393</t>
  </si>
  <si>
    <t xml:space="preserve">Exhibit 99.1, Condensed Consolidated Statements of Operations; row 'Net income (loss)'; column 'Six months ended June 30, 2024'</t>
  </si>
  <si>
    <t xml:space="preserve">QA-0407</t>
  </si>
  <si>
    <t xml:space="preserve">(12,026)</t>
  </si>
  <si>
    <t xml:space="preserve">Exhibit 99.1, Condensed Consolidated Statements of Operations; row 'Net income (loss)'; column 'Three months ended September 30, 2024'</t>
  </si>
  <si>
    <t xml:space="preserve">QA-0408</t>
  </si>
  <si>
    <t xml:space="preserve">9,367</t>
  </si>
  <si>
    <t xml:space="preserve">Exhibit 99.1, Condensed Consolidated Statements of Operations; row 'Net income (loss)'; column 'Nine months ended September 30, 2024'</t>
  </si>
  <si>
    <t xml:space="preserve">QA-0409</t>
  </si>
  <si>
    <t xml:space="preserve">23,005</t>
  </si>
  <si>
    <t xml:space="preserve">Exhibit 99.1, Condensed Consolidated Statements of Operations; row 'Net income (loss)'; column 'Three months ended December 31, 2024'</t>
  </si>
  <si>
    <t xml:space="preserve">QA-0410</t>
  </si>
  <si>
    <t xml:space="preserve">32,372</t>
  </si>
  <si>
    <t xml:space="preserve">Exhibit 99.1, Condensed Consolidated Statements of Operations; row 'Net income (loss)'; column 'Year ended December 31, 2024'</t>
  </si>
  <si>
    <t xml:space="preserve">QA-0411</t>
  </si>
  <si>
    <t xml:space="preserve">27,425</t>
  </si>
  <si>
    <t xml:space="preserve">Exhibit 99.1, Condensed Consolidated Statements of Operations; row 'Net income'; column 'Three months ended March 31, 2025'</t>
  </si>
  <si>
    <t xml:space="preserve">QA-0412</t>
  </si>
  <si>
    <t xml:space="preserve">1,573</t>
  </si>
  <si>
    <t xml:space="preserve">Exhibit 99.1, Condensed Consolidated Statements of Operations; row 'Net income'; column 'Three months ended June 30, 2025'</t>
  </si>
  <si>
    <t xml:space="preserve">QA-0413</t>
  </si>
  <si>
    <t xml:space="preserve">28,998</t>
  </si>
  <si>
    <t xml:space="preserve">Exhibit 99.1, Condensed Consolidated Statements of Operations; row 'Net income'; column 'Six months ended June 30, 2025'</t>
  </si>
  <si>
    <t xml:space="preserve">QA-0414</t>
  </si>
  <si>
    <t xml:space="preserve">13,052</t>
  </si>
  <si>
    <t xml:space="preserve">Exhibit 99.1, Condensed Consolidated Statements of Operations; row 'Net income (loss)'; column 'Three months ended September 30, 2025'</t>
  </si>
  <si>
    <t xml:space="preserve">QA-0415</t>
  </si>
  <si>
    <t xml:space="preserve">42,050</t>
  </si>
  <si>
    <t xml:space="preserve">Exhibit 99.1, Condensed Consolidated Statements of Operations; row 'Net income (loss)'; column 'Nine months ended September 30, 2025'</t>
  </si>
  <si>
    <t xml:space="preserve">QA-0416</t>
  </si>
  <si>
    <t xml:space="preserve">76,692</t>
  </si>
  <si>
    <t xml:space="preserve">Exhibit 99.1, Condensed Consolidated Statements of Operations; row 'Net income'; column 'Three months ended December 31, 2025'</t>
  </si>
  <si>
    <t xml:space="preserve">QA-0417</t>
  </si>
  <si>
    <t xml:space="preserve">118,742</t>
  </si>
  <si>
    <t xml:space="preserve">Exhibit 99.1, Condensed Consolidated Statements of Operations; row 'Net income'; column 'Year ended December 31, 2025'</t>
  </si>
  <si>
    <t xml:space="preserve">QA-0418</t>
  </si>
  <si>
    <t xml:space="preserve">28,034</t>
  </si>
  <si>
    <t xml:space="preserve">Exhibit 99.1, Condensed Consolidated Statements of Operations; row 'Net income'; column 'Three months ended March 31, 2026'</t>
  </si>
  <si>
    <t xml:space="preserve">QA-0419</t>
  </si>
  <si>
    <t xml:space="preserve">3,460</t>
  </si>
  <si>
    <t xml:space="preserve">Exhibit 99.1, Condensed Consolidated Statements of Operations; row 'Net income'; column 'Three months ended June 30, 2026'</t>
  </si>
  <si>
    <t xml:space="preserve">QA-0420</t>
  </si>
  <si>
    <t xml:space="preserve">31,494</t>
  </si>
  <si>
    <t xml:space="preserve">Exhibit 99.1, Condensed Consolidated Statements of Operations; row 'Net income'; column 'Six months ended June 30, 2026'</t>
  </si>
  <si>
    <t xml:space="preserve">QA-0421</t>
  </si>
  <si>
    <t xml:space="preserve">Gross margin (GAAP), derived</t>
  </si>
  <si>
    <t xml:space="preserve">Computed from the two Sourced rows named in the formula column</t>
  </si>
  <si>
    <t xml:space="preserve">Normalized Value = H78/H2  [Gross profit (GAAP) / Revenue (same period); rows QA-0077 / QA-0001]</t>
  </si>
  <si>
    <t xml:space="preserve">Unrounded mechanical ratio of disclosed values; company-reported (rounded) margin is kept separately as Sourced.</t>
  </si>
  <si>
    <t xml:space="preserve">QA-0422</t>
  </si>
  <si>
    <t xml:space="preserve">Normalized Value = H79/H3  [Gross profit (GAAP) / Revenue (same period); rows QA-0078 / QA-0002]</t>
  </si>
  <si>
    <t xml:space="preserve">QA-0423</t>
  </si>
  <si>
    <t xml:space="preserve">Normalized Value = H81/H5  [Gross profit (GAAP) / Revenue (same period); rows QA-0080 / QA-0004]</t>
  </si>
  <si>
    <t xml:space="preserve">QA-0424</t>
  </si>
  <si>
    <t xml:space="preserve">Normalized Value = H83/H7  [Gross profit (GAAP) / Revenue (same period); rows QA-0082 / QA-0006]</t>
  </si>
  <si>
    <t xml:space="preserve">QA-0425</t>
  </si>
  <si>
    <t xml:space="preserve">Normalized Value = H84/H8  [Gross profit (GAAP) / Revenue (same period); rows QA-0083 / QA-0007]</t>
  </si>
  <si>
    <t xml:space="preserve">QA-0426</t>
  </si>
  <si>
    <t xml:space="preserve">Normalized Value = H85/H9  [Gross profit (GAAP) / Revenue (same period); rows QA-0084 / QA-0008]</t>
  </si>
  <si>
    <t xml:space="preserve">QA-0427</t>
  </si>
  <si>
    <t xml:space="preserve">Normalized Value = H86/H10  [Gross profit (GAAP) / Revenue (same period); rows QA-0085 / QA-0009]</t>
  </si>
  <si>
    <t xml:space="preserve">QA-0428</t>
  </si>
  <si>
    <t xml:space="preserve">Normalized Value = H88/H12  [Gross profit (GAAP) / Revenue (same period); rows QA-0087 / QA-0011]</t>
  </si>
  <si>
    <t xml:space="preserve">QA-0429</t>
  </si>
  <si>
    <t xml:space="preserve">Normalized Value = H90/H14  [Gross profit (GAAP) / Revenue (same period); rows QA-0089 / QA-0013]</t>
  </si>
  <si>
    <t xml:space="preserve">QA-0430</t>
  </si>
  <si>
    <t xml:space="preserve">Normalized Value = H91/H15  [Gross profit (GAAP) / Revenue (same period); rows QA-0090 / QA-0014]</t>
  </si>
  <si>
    <t xml:space="preserve">QA-0431</t>
  </si>
  <si>
    <t xml:space="preserve">Normalized Value = H92/H16  [Gross profit (GAAP) / Revenue (same period); rows QA-0091 / QA-0015]</t>
  </si>
  <si>
    <t xml:space="preserve">QA-0432</t>
  </si>
  <si>
    <t xml:space="preserve">Normalized Value = H93/H17  [Gross profit (GAAP) / Revenue (same period); rows QA-0092 / QA-0016]</t>
  </si>
  <si>
    <t xml:space="preserve">QA-0433</t>
  </si>
  <si>
    <t xml:space="preserve">Normalized Value = H95/H19  [Gross profit (GAAP) / Revenue (same period); rows QA-0094 / QA-0018]</t>
  </si>
  <si>
    <t xml:space="preserve">QA-0434</t>
  </si>
  <si>
    <t xml:space="preserve">Normalized Value = H97/H21  [Gross profit (GAAP) / Revenue (same period); rows QA-0096 / QA-0020]</t>
  </si>
  <si>
    <t xml:space="preserve">QA-0435</t>
  </si>
  <si>
    <t xml:space="preserve">Normalized Value = H98/H22  [Gross profit (GAAP) / Revenue (same period); rows QA-0097 / QA-0021]</t>
  </si>
  <si>
    <t xml:space="preserve">QA-0436</t>
  </si>
  <si>
    <t xml:space="preserve">Normalized Value = H99/H23  [Gross profit (GAAP) / Revenue (same period); rows QA-0098 / QA-0022]</t>
  </si>
  <si>
    <t xml:space="preserve">QA-0437</t>
  </si>
  <si>
    <t xml:space="preserve">Normalized Value = H100/H24  [Gross profit (GAAP) / Revenue (same period); rows QA-0099 / QA-0023]</t>
  </si>
  <si>
    <t xml:space="preserve">QA-0438</t>
  </si>
  <si>
    <t xml:space="preserve">Normalized Value = H102/H26  [Gross profit (GAAP) / Revenue (same period); rows QA-0101 / QA-0025]</t>
  </si>
  <si>
    <t xml:space="preserve">QA-0439</t>
  </si>
  <si>
    <t xml:space="preserve">Normalized Value = H104/H28  [Gross profit (GAAP) / Revenue (same period); rows QA-0103 / QA-0027]</t>
  </si>
  <si>
    <t xml:space="preserve">QA-0440</t>
  </si>
  <si>
    <t xml:space="preserve">Normalized Value = H105/H29  [Gross profit (GAAP) / Revenue (same period); rows QA-0104 / QA-0028]</t>
  </si>
  <si>
    <t xml:space="preserve">QA-0441</t>
  </si>
  <si>
    <t xml:space="preserve">Normalized Value = H106/H30  [Gross profit (GAAP) / Revenue (same period); rows QA-0105 / QA-0029]</t>
  </si>
  <si>
    <t xml:space="preserve">QA-0442</t>
  </si>
  <si>
    <t xml:space="preserve">Normalized Value = H107/H31  [Gross profit (GAAP) / Revenue (same period); rows QA-0106 / QA-0030]</t>
  </si>
  <si>
    <t xml:space="preserve">QA-0443</t>
  </si>
  <si>
    <t xml:space="preserve">Normalized Value = H109/H33  [Gross profit (GAAP) / Revenue (same period); rows QA-0108 / QA-0032]</t>
  </si>
  <si>
    <t xml:space="preserve">QA-0444</t>
  </si>
  <si>
    <t xml:space="preserve">Normalized Value = H111/H35  [Gross profit (GAAP) / Revenue (same period); rows QA-0110 / QA-0034]</t>
  </si>
  <si>
    <t xml:space="preserve">QA-0445</t>
  </si>
  <si>
    <t xml:space="preserve">Normalized Value = H112/H36  [Gross profit (GAAP) / Revenue (same period); rows QA-0111 / QA-0035]</t>
  </si>
  <si>
    <t xml:space="preserve">QA-0446</t>
  </si>
  <si>
    <t xml:space="preserve">Normalized Value = H113/H37  [Gross profit (GAAP) / Revenue (same period); rows QA-0112 / QA-0036]</t>
  </si>
  <si>
    <t xml:space="preserve">QA-0447</t>
  </si>
  <si>
    <t xml:space="preserve">Normalized Value = H114/H38  [Gross profit (GAAP) / Revenue (same period); rows QA-0113 / QA-0037]</t>
  </si>
  <si>
    <t xml:space="preserve">QA-0448</t>
  </si>
  <si>
    <t xml:space="preserve">Operating margin (GAAP), derived</t>
  </si>
  <si>
    <t xml:space="preserve">Normalized Value = H308/H2  [Operating income (loss) (GAAP) / Revenue (same period); rows QA-0307 / QA-0001]</t>
  </si>
  <si>
    <t xml:space="preserve">QA-0449</t>
  </si>
  <si>
    <t xml:space="preserve">Normalized Value = H309/H3  [Operating income (loss) (GAAP) / Revenue (same period); rows QA-0308 / QA-0002]</t>
  </si>
  <si>
    <t xml:space="preserve">QA-0450</t>
  </si>
  <si>
    <t xml:space="preserve">Normalized Value = H311/H5  [Operating income (loss) (GAAP) / Revenue (same period); rows QA-0310 / QA-0004]</t>
  </si>
  <si>
    <t xml:space="preserve">QA-0451</t>
  </si>
  <si>
    <t xml:space="preserve">Normalized Value = H313/H7  [Operating income (loss) (GAAP) / Revenue (same period); rows QA-0312 / QA-0006]</t>
  </si>
  <si>
    <t xml:space="preserve">QA-0452</t>
  </si>
  <si>
    <t xml:space="preserve">Normalized Value = H314/H8  [Operating income (loss) (GAAP) / Revenue (same period); rows QA-0313 / QA-0007]</t>
  </si>
  <si>
    <t xml:space="preserve">QA-0453</t>
  </si>
  <si>
    <t xml:space="preserve">Normalized Value = H315/H9  [Operating income (loss) (GAAP) / Revenue (same period); rows QA-0314 / QA-0008]</t>
  </si>
  <si>
    <t xml:space="preserve">QA-0454</t>
  </si>
  <si>
    <t xml:space="preserve">Normalized Value = H316/H10  [Operating income (loss) (GAAP) / Revenue (same period); rows QA-0315 / QA-0009]</t>
  </si>
  <si>
    <t xml:space="preserve">QA-0455</t>
  </si>
  <si>
    <t xml:space="preserve">Normalized Value = H318/H12  [Operating income (loss) (GAAP) / Revenue (same period); rows QA-0317 / QA-0011]</t>
  </si>
  <si>
    <t xml:space="preserve">QA-0456</t>
  </si>
  <si>
    <t xml:space="preserve">Normalized Value = H320/H14  [Operating income (loss) (GAAP) / Revenue (same period); rows QA-0319 / QA-0013]</t>
  </si>
  <si>
    <t xml:space="preserve">QA-0457</t>
  </si>
  <si>
    <t xml:space="preserve">Normalized Value = H321/H15  [Operating income (loss) (GAAP) / Revenue (same period); rows QA-0320 / QA-0014]</t>
  </si>
  <si>
    <t xml:space="preserve">QA-0458</t>
  </si>
  <si>
    <t xml:space="preserve">Normalized Value = H322/H16  [Operating income (loss) (GAAP) / Revenue (same period); rows QA-0321 / QA-0015]</t>
  </si>
  <si>
    <t xml:space="preserve">QA-0459</t>
  </si>
  <si>
    <t xml:space="preserve">Normalized Value = H323/H17  [Operating income (loss) (GAAP) / Revenue (same period); rows QA-0322 / QA-0016]</t>
  </si>
  <si>
    <t xml:space="preserve">QA-0460</t>
  </si>
  <si>
    <t xml:space="preserve">Normalized Value = H325/H19  [Operating income (loss) (GAAP) / Revenue (same period); rows QA-0324 / QA-0018]</t>
  </si>
  <si>
    <t xml:space="preserve">QA-0461</t>
  </si>
  <si>
    <t xml:space="preserve">Normalized Value = H327/H21  [Operating income (loss) (GAAP) / Revenue (same period); rows QA-0326 / QA-0020]</t>
  </si>
  <si>
    <t xml:space="preserve">QA-0462</t>
  </si>
  <si>
    <t xml:space="preserve">Normalized Value = H328/H22  [Operating income (loss) (GAAP) / Revenue (same period); rows QA-0327 / QA-0021]</t>
  </si>
  <si>
    <t xml:space="preserve">QA-0463</t>
  </si>
  <si>
    <t xml:space="preserve">Normalized Value = H329/H23  [Operating income (loss) (GAAP) / Revenue (same period); rows QA-0328 / QA-0022]</t>
  </si>
  <si>
    <t xml:space="preserve">QA-0464</t>
  </si>
  <si>
    <t xml:space="preserve">Normalized Value = H330/H24  [Operating income (loss) (GAAP) / Revenue (same period); rows QA-0329 / QA-0023]</t>
  </si>
  <si>
    <t xml:space="preserve">QA-0465</t>
  </si>
  <si>
    <t xml:space="preserve">Normalized Value = H332/H26  [Operating income (loss) (GAAP) / Revenue (same period); rows QA-0331 / QA-0025]</t>
  </si>
  <si>
    <t xml:space="preserve">QA-0466</t>
  </si>
  <si>
    <t xml:space="preserve">Normalized Value = H334/H28  [Operating income (loss) (GAAP) / Revenue (same period); rows QA-0333 / QA-0027]</t>
  </si>
  <si>
    <t xml:space="preserve">QA-0467</t>
  </si>
  <si>
    <t xml:space="preserve">Normalized Value = H335/H29  [Operating income (loss) (GAAP) / Revenue (same period); rows QA-0334 / QA-0028]</t>
  </si>
  <si>
    <t xml:space="preserve">QA-0468</t>
  </si>
  <si>
    <t xml:space="preserve">Normalized Value = H336/H30  [Operating income (loss) (GAAP) / Revenue (same period); rows QA-0335 / QA-0029]</t>
  </si>
  <si>
    <t xml:space="preserve">QA-0469</t>
  </si>
  <si>
    <t xml:space="preserve">Normalized Value = H337/H31  [Operating income (loss) (GAAP) / Revenue (same period); rows QA-0336 / QA-0030]</t>
  </si>
  <si>
    <t xml:space="preserve">QA-0470</t>
  </si>
  <si>
    <t xml:space="preserve">Normalized Value = H339/H33  [Operating income (loss) (GAAP) / Revenue (same period); rows QA-0338 / QA-0032]</t>
  </si>
  <si>
    <t xml:space="preserve">QA-0471</t>
  </si>
  <si>
    <t xml:space="preserve">Normalized Value = H341/H35  [Operating income (loss) (GAAP) / Revenue (same period); rows QA-0340 / QA-0034]</t>
  </si>
  <si>
    <t xml:space="preserve">QA-0472</t>
  </si>
  <si>
    <t xml:space="preserve">Normalized Value = H342/H36  [Operating income (loss) (GAAP) / Revenue (same period); rows QA-0341 / QA-0035]</t>
  </si>
  <si>
    <t xml:space="preserve">QA-0473</t>
  </si>
  <si>
    <t xml:space="preserve">Normalized Value = H343/H37  [Operating income (loss) (GAAP) / Revenue (same period); rows QA-0342 / QA-0036]</t>
  </si>
  <si>
    <t xml:space="preserve">QA-0474</t>
  </si>
  <si>
    <t xml:space="preserve">Normalized Value = H344/H38  [Operating income (loss) (GAAP) / Revenue (same period); rows QA-0343 / QA-0037]</t>
  </si>
  <si>
    <t xml:space="preserve">QA-0475</t>
  </si>
  <si>
    <t xml:space="preserve">P&amp;L (non-GAAP)</t>
  </si>
  <si>
    <t xml:space="preserve">Gross profit (non-GAAP)</t>
  </si>
  <si>
    <t xml:space="preserve">52,579</t>
  </si>
  <si>
    <t xml:space="preserve">Exhibit 99.1, Reconciliation of GAAP to Non-GAAP Financial Information &gt; Reconciliation of gross profit and gross margin; row 'Non-GAAP gross profit'; column 'Three months ended March 31, 2021'</t>
  </si>
  <si>
    <t xml:space="preserve">QA-0476</t>
  </si>
  <si>
    <t xml:space="preserve">63,340</t>
  </si>
  <si>
    <t xml:space="preserve">Exhibit 99.1, Reconciliation of GAAP to Non-GAAP Financial Information &gt; Reconciliation of gross profit and gross margin; row 'Non-GAAP gross profit'; column 'Three months ended June 30, 2021'</t>
  </si>
  <si>
    <t xml:space="preserve">QA-0477</t>
  </si>
  <si>
    <t xml:space="preserve">115,919</t>
  </si>
  <si>
    <t xml:space="preserve">Exhibit 99.1, Reconciliation of GAAP to Non-GAAP Financial Information &gt; Reconciliation of gross profit and gross margin; row 'Non-GAAP gross profit'; column 'Six months ended June 30, 2021'</t>
  </si>
  <si>
    <t xml:space="preserve">QA-0478</t>
  </si>
  <si>
    <t xml:space="preserve">74,912</t>
  </si>
  <si>
    <t xml:space="preserve">Exhibit 99.1, Reconciliation of GAAP to Non-GAAP Financial Information &gt; Reconciliation of gross profit and gross margin; row 'Non-GAAP gross profit'; column 'Three months ended September 30, 2021'</t>
  </si>
  <si>
    <t xml:space="preserve">QA-0479</t>
  </si>
  <si>
    <t xml:space="preserve">190,831</t>
  </si>
  <si>
    <t xml:space="preserve">Exhibit 99.1, Reconciliation of GAAP to Non-GAAP Financial Information &gt; Reconciliation of gross profit and gross margin; row 'Non-GAAP gross profit'; column 'Nine months ended September 30, 2021'</t>
  </si>
  <si>
    <t xml:space="preserve">QA-0480</t>
  </si>
  <si>
    <t xml:space="preserve">85,987</t>
  </si>
  <si>
    <t xml:space="preserve">Exhibit 99.1, Reconciliation of GAAP to Non-GAAP Financial Information &gt; Reconciliation of gross profit and gross margin; row 'Non-GAAP gross profit'; column 'Three months ended December 31, 2021'</t>
  </si>
  <si>
    <t xml:space="preserve">QA-0481</t>
  </si>
  <si>
    <t xml:space="preserve">276,818</t>
  </si>
  <si>
    <t xml:space="preserve">Exhibit 99.1, Reconciliation of GAAP to Non-GAAP Financial Information &gt; Reconciliation of gross profit and gross margin; row 'Non-GAAP gross profit'; column 'Year ended December 31, 2021'</t>
  </si>
  <si>
    <t xml:space="preserve">QA-0482</t>
  </si>
  <si>
    <t xml:space="preserve">96,329</t>
  </si>
  <si>
    <t xml:space="preserve">Exhibit 99.1, Reconciliation of GAAP to Non-GAAP Financial Information &gt; Reconciliation of gross profit and gross margin; row 'Non-GAAP gross profit'; column 'Three months ended March 31, 2022'</t>
  </si>
  <si>
    <t xml:space="preserve">QA-0483</t>
  </si>
  <si>
    <t xml:space="preserve">109,903</t>
  </si>
  <si>
    <t xml:space="preserve">Exhibit 99.1, Reconciliation of GAAP to Non-GAAP Financial Information &gt; Reconciliation of gross profit and gross margin; row 'Non-GAAP gross profit'; column 'Three months ended June 30, 2022'</t>
  </si>
  <si>
    <t xml:space="preserve">QA-0484</t>
  </si>
  <si>
    <t xml:space="preserve">206,232</t>
  </si>
  <si>
    <t xml:space="preserve">Exhibit 99.1, Reconciliation of GAAP to Non-GAAP Financial Information &gt; Reconciliation of gross profit and gross margin; row 'Non-GAAP gross profit'; column 'Six months ended June 30, 2022'</t>
  </si>
  <si>
    <t xml:space="preserve">QA-0485</t>
  </si>
  <si>
    <t xml:space="preserve">121,746</t>
  </si>
  <si>
    <t xml:space="preserve">Exhibit 99.1, Reconciliation of GAAP to Non-GAAP Financial Information &gt; Reconciliation of gross profit and gross margin; row 'Non-GAAP gross profit'; column 'Three months ended September 30, 2022'</t>
  </si>
  <si>
    <t xml:space="preserve">QA-0486</t>
  </si>
  <si>
    <t xml:space="preserve">327,978</t>
  </si>
  <si>
    <t xml:space="preserve">Exhibit 99.1, Reconciliation of GAAP to Non-GAAP Financial Information &gt; Reconciliation of gross profit and gross margin; row 'Non-GAAP gross profit'; column 'Nine months ended September 30, 2022'</t>
  </si>
  <si>
    <t xml:space="preserve">QA-0487</t>
  </si>
  <si>
    <t xml:space="preserve">134,929</t>
  </si>
  <si>
    <t xml:space="preserve">Exhibit 99.1, Reconciliation of GAAP to Non-GAAP Financial Information &gt; Reconciliation of gross profit and gross margin; row 'Non-GAAP gross profit'; column 'Three months ended December 31, 2022'</t>
  </si>
  <si>
    <t xml:space="preserve">QA-0488</t>
  </si>
  <si>
    <t xml:space="preserve">462,907</t>
  </si>
  <si>
    <t xml:space="preserve">Exhibit 99.1, Reconciliation of GAAP to Non-GAAP Financial Information &gt; Reconciliation of gross profit and gross margin; row 'Non-GAAP gross profit'; column 'Year ended December 31, 2022'</t>
  </si>
  <si>
    <t xml:space="preserve">QA-0489</t>
  </si>
  <si>
    <t xml:space="preserve">146,719</t>
  </si>
  <si>
    <t xml:space="preserve">Exhibit 99.1, Reconciliation of GAAP to Non-GAAP Financial Information &gt; Reconciliation of gross profit and gross margin; row 'Non-GAAP gross profit'; column 'Three months ended March 31, 2023'</t>
  </si>
  <si>
    <t xml:space="preserve">QA-0490</t>
  </si>
  <si>
    <t xml:space="preserve">158,008</t>
  </si>
  <si>
    <t xml:space="preserve">Exhibit 99.1, Reconciliation of GAAP to Non-GAAP Financial Information &gt; Reconciliation of gross profit and gross margin; row 'Non-GAAP gross profit'; column 'Three months ended June 30, 2023'</t>
  </si>
  <si>
    <t xml:space="preserve">QA-0491</t>
  </si>
  <si>
    <t xml:space="preserve">304,727</t>
  </si>
  <si>
    <t xml:space="preserve">Exhibit 99.1, Reconciliation of GAAP to Non-GAAP Financial Information &gt; Reconciliation of gross profit and gross margin; row 'Non-GAAP gross profit'; column 'Six months ended June 30, 2023'</t>
  </si>
  <si>
    <t xml:space="preserve">QA-0492</t>
  </si>
  <si>
    <t xml:space="preserve">168,866</t>
  </si>
  <si>
    <t xml:space="preserve">Exhibit 99.1, Reconciliation of GAAP to Non-GAAP Financial Information &gt; Reconciliation of gross profit and gross margin; row 'Non-GAAP gross profit'; column 'Three months ended September 30, 2023'</t>
  </si>
  <si>
    <t xml:space="preserve">QA-0493</t>
  </si>
  <si>
    <t xml:space="preserve">473,593</t>
  </si>
  <si>
    <t xml:space="preserve">Exhibit 99.1, Reconciliation of GAAP to Non-GAAP Financial Information &gt; Reconciliation of gross profit and gross margin; row 'Non-GAAP gross profit'; column 'Nine months ended September 30, 2023'</t>
  </si>
  <si>
    <t xml:space="preserve">QA-0494</t>
  </si>
  <si>
    <t xml:space="preserve">181,764</t>
  </si>
  <si>
    <t xml:space="preserve">Exhibit 99.1, Reconciliation of GAAP to Non-GAAP Financial Information &gt; Reconciliation of gross profit and gross margin; row 'Non-GAAP gross profit'; column 'Three months ended December 31, 2023'</t>
  </si>
  <si>
    <t xml:space="preserve">QA-0495</t>
  </si>
  <si>
    <t xml:space="preserve">655,357</t>
  </si>
  <si>
    <t xml:space="preserve">Exhibit 99.1, Reconciliation of GAAP to Non-GAAP Financial Information &gt; Reconciliation of gross profit and gross margin; row 'Non-GAAP gross profit'; column 'Year ended December 31, 2023'</t>
  </si>
  <si>
    <t xml:space="preserve">QA-0496</t>
  </si>
  <si>
    <t xml:space="preserve">194,703</t>
  </si>
  <si>
    <t xml:space="preserve">Exhibit 99.1, Reconciliation of GAAP to Non-GAAP Financial Information &gt; Reconciliation of gross profit and gross margin; row 'Non-GAAP gross profit'; column 'Three months ended March 31, 2024'</t>
  </si>
  <si>
    <t xml:space="preserve">QA-0497</t>
  </si>
  <si>
    <t xml:space="preserve">214,215</t>
  </si>
  <si>
    <t xml:space="preserve">Exhibit 99.1, Reconciliation of GAAP to Non-GAAP Financial Information &gt; Reconciliation of gross profit and gross margin; row 'Non-GAAP gross profit'; column 'Three months ended June 30, 2024'</t>
  </si>
  <si>
    <t xml:space="preserve">QA-0498</t>
  </si>
  <si>
    <t xml:space="preserve">408,918</t>
  </si>
  <si>
    <t xml:space="preserve">Exhibit 99.1, Reconciliation of GAAP to Non-GAAP Financial Information &gt; Reconciliation of gross profit and gross margin; row 'Non-GAAP gross profit'; column 'Six months ended June 30, 2024'</t>
  </si>
  <si>
    <t xml:space="preserve">QA-0499</t>
  </si>
  <si>
    <t xml:space="preserve">226,909</t>
  </si>
  <si>
    <t xml:space="preserve">Exhibit 99.1, Reconciliation of GAAP to Non-GAAP Financial Information &gt; Reconciliation of gross profit and gross margin; row 'Non-GAAP gross profit'; column 'Three months ended September 30, 2024'</t>
  </si>
  <si>
    <t xml:space="preserve">QA-0500</t>
  </si>
  <si>
    <t xml:space="preserve">635,827</t>
  </si>
  <si>
    <t xml:space="preserve">Exhibit 99.1, Reconciliation of GAAP to Non-GAAP Financial Information &gt; Reconciliation of gross profit and gross margin; row 'Non-GAAP gross profit'; column 'Nine months ended September 30, 2024'</t>
  </si>
  <si>
    <t xml:space="preserve">QA-0501</t>
  </si>
  <si>
    <t xml:space="preserve">239,080</t>
  </si>
  <si>
    <t xml:space="preserve">Exhibit 99.1, Reconciliation of GAAP to Non-GAAP Financial Information &gt; Reconciliation of gross profit and gross margin; row 'Non-GAAP gross profit'; column 'Three months ended December 31, 2024'</t>
  </si>
  <si>
    <t xml:space="preserve">QA-0502</t>
  </si>
  <si>
    <t xml:space="preserve">874,907</t>
  </si>
  <si>
    <t xml:space="preserve">Exhibit 99.1, Reconciliation of GAAP to Non-GAAP Financial Information &gt; Reconciliation of gross profit and gross margin; row 'Non-GAAP gross profit'; column 'Year ended December 31, 2024'</t>
  </si>
  <si>
    <t xml:space="preserve">QA-0503</t>
  </si>
  <si>
    <t xml:space="preserve">254,579</t>
  </si>
  <si>
    <t xml:space="preserve">Exhibit 99.1, Reconciliation of GAAP to Non-GAAP Financial Information &gt; Reconciliation of gross profit and gross margin; row 'Non-GAAP gross profit'; column 'Three months ended March 31, 2025'</t>
  </si>
  <si>
    <t xml:space="preserve">QA-0504</t>
  </si>
  <si>
    <t xml:space="preserve">270,113</t>
  </si>
  <si>
    <t xml:space="preserve">Exhibit 99.1, Reconciliation of GAAP to Non-GAAP Financial Information &gt; Reconciliation of gross profit and gross margin; row 'Non-GAAP gross profit'; column 'Three months ended June 30, 2025'</t>
  </si>
  <si>
    <t xml:space="preserve">QA-0505</t>
  </si>
  <si>
    <t xml:space="preserve">524,692</t>
  </si>
  <si>
    <t xml:space="preserve">Exhibit 99.1, Reconciliation of GAAP to Non-GAAP Financial Information &gt; Reconciliation of gross profit and gross margin; row 'Non-GAAP gross profit'; column 'Six months ended June 30, 2025'</t>
  </si>
  <si>
    <t xml:space="preserve">QA-0506</t>
  </si>
  <si>
    <t xml:space="preserve">284,031</t>
  </si>
  <si>
    <t xml:space="preserve">Exhibit 99.1, Reconciliation of GAAP to Non-GAAP Financial Information &gt; Reconciliation of gross profit and gross margin; row 'Non-GAAP gross profit'; column 'Three months ended September 30, 2025'</t>
  </si>
  <si>
    <t xml:space="preserve">QA-0507</t>
  </si>
  <si>
    <t xml:space="preserve">808,723</t>
  </si>
  <si>
    <t xml:space="preserve">Exhibit 99.1, Reconciliation of GAAP to Non-GAAP Financial Information &gt; Reconciliation of gross profit and gross margin; row 'Non-GAAP gross profit'; column 'Nine months ended September 30, 2025'</t>
  </si>
  <si>
    <t xml:space="preserve">QA-0508</t>
  </si>
  <si>
    <t xml:space="preserve">298,736</t>
  </si>
  <si>
    <t xml:space="preserve">Exhibit 99.1, Reconciliation of GAAP to Non-GAAP Financial Information &gt; Reconciliation of gross profit and gross margin; row 'Non-GAAP gross profit'; column 'Three months ended December 31, 2025'</t>
  </si>
  <si>
    <t xml:space="preserve">QA-0509</t>
  </si>
  <si>
    <t xml:space="preserve">1,107,459</t>
  </si>
  <si>
    <t xml:space="preserve">Exhibit 99.1, Reconciliation of GAAP to Non-GAAP Financial Information &gt; Reconciliation of gross profit and gross margin; row 'Non-GAAP gross profit'; column 'Year ended December 31, 2025'</t>
  </si>
  <si>
    <t xml:space="preserve">QA-0510</t>
  </si>
  <si>
    <t xml:space="preserve">314,190</t>
  </si>
  <si>
    <t xml:space="preserve">Exhibit 99.1, Reconciliation of GAAP to Non-GAAP Financial Information &gt; Reconciliation of gross profit and gross margin; row 'Non-GAAP gross profit'; column 'Three months ended March 31, 2026'</t>
  </si>
  <si>
    <t xml:space="preserve">QA-0511</t>
  </si>
  <si>
    <t xml:space="preserve">324,222</t>
  </si>
  <si>
    <t xml:space="preserve">Exhibit 99.1, Reconciliation of GAAP to Non-GAAP Financial Information &gt; Reconciliation of gross profit and gross margin; row 'Non-GAAP gross profit'; column 'Three months ended June 30, 2026'</t>
  </si>
  <si>
    <t xml:space="preserve">QA-0512</t>
  </si>
  <si>
    <t xml:space="preserve">638,412</t>
  </si>
  <si>
    <t xml:space="preserve">Exhibit 99.1, Reconciliation of GAAP to Non-GAAP Financial Information &gt; Reconciliation of gross profit and gross margin; row 'Non-GAAP gross profit'; column 'Six months ended June 30, 2026'</t>
  </si>
  <si>
    <t xml:space="preserve">QA-0513</t>
  </si>
  <si>
    <t xml:space="preserve">Gross margin (non-GAAP), as reported</t>
  </si>
  <si>
    <t xml:space="preserve">Exhibit 99.1, Reconciliation of GAAP to Non-GAAP Financial Information &gt; Reconciliation of gross profit and gross margin; row 'Non-GAAP gross margin'; column 'Three months ended March 31, 2021'</t>
  </si>
  <si>
    <t xml:space="preserve">QA-0514</t>
  </si>
  <si>
    <t xml:space="preserve">Exhibit 99.1, Reconciliation of GAAP to Non-GAAP Financial Information &gt; Reconciliation of gross profit and gross margin; row 'Non-GAAP gross margin'; column 'Three months ended June 30, 2021'</t>
  </si>
  <si>
    <t xml:space="preserve">QA-0515</t>
  </si>
  <si>
    <t xml:space="preserve">Exhibit 99.1, Reconciliation of GAAP to Non-GAAP Financial Information &gt; Reconciliation of gross profit and gross margin; row 'Non-GAAP gross margin'; column 'Six months ended June 30, 2021'</t>
  </si>
  <si>
    <t xml:space="preserve">QA-0516</t>
  </si>
  <si>
    <t xml:space="preserve">Exhibit 99.1, Reconciliation of GAAP to Non-GAAP Financial Information &gt; Reconciliation of gross profit and gross margin; row 'Non-GAAP gross margin'; column 'Three months ended September 30, 2021'</t>
  </si>
  <si>
    <t xml:space="preserve">QA-0517</t>
  </si>
  <si>
    <t xml:space="preserve">Exhibit 99.1, Reconciliation of GAAP to Non-GAAP Financial Information &gt; Reconciliation of gross profit and gross margin; row 'Non-GAAP gross margin'; column 'Nine months ended September 30, 2021'</t>
  </si>
  <si>
    <t xml:space="preserve">QA-0518</t>
  </si>
  <si>
    <t xml:space="preserve">Exhibit 99.1, Reconciliation of GAAP to Non-GAAP Financial Information &gt; Reconciliation of gross profit and gross margin; row 'Non-GAAP gross margin'; column 'Three months ended December 31, 2021'</t>
  </si>
  <si>
    <t xml:space="preserve">QA-0519</t>
  </si>
  <si>
    <t xml:space="preserve">Exhibit 99.1, Reconciliation of GAAP to Non-GAAP Financial Information &gt; Reconciliation of gross profit and gross margin; row 'Non-GAAP gross margin'; column 'Year ended December 31, 2021'</t>
  </si>
  <si>
    <t xml:space="preserve">QA-0520</t>
  </si>
  <si>
    <t xml:space="preserve">Exhibit 99.1, Reconciliation of GAAP to Non-GAAP Financial Information &gt; Reconciliation of gross profit and gross margin; row 'Non-GAAP gross margin'; column 'Three months ended March 31, 2022'</t>
  </si>
  <si>
    <t xml:space="preserve">QA-0521</t>
  </si>
  <si>
    <t xml:space="preserve">Exhibit 99.1, Reconciliation of GAAP to Non-GAAP Financial Information &gt; Reconciliation of gross profit and gross margin; row 'Non-GAAP gross margin'; column 'Three months ended June 30, 2022'</t>
  </si>
  <si>
    <t xml:space="preserve">QA-0522</t>
  </si>
  <si>
    <t xml:space="preserve">Exhibit 99.1, Reconciliation of GAAP to Non-GAAP Financial Information &gt; Reconciliation of gross profit and gross margin; row 'Non-GAAP gross margin'; column 'Six months ended June 30, 2022'</t>
  </si>
  <si>
    <t xml:space="preserve">QA-0523</t>
  </si>
  <si>
    <t xml:space="preserve">Exhibit 99.1, Reconciliation of GAAP to Non-GAAP Financial Information &gt; Reconciliation of gross profit and gross margin; row 'Non-GAAP gross margin'; column 'Three months ended September 30, 2022'</t>
  </si>
  <si>
    <t xml:space="preserve">QA-0524</t>
  </si>
  <si>
    <t xml:space="preserve">Exhibit 99.1, Reconciliation of GAAP to Non-GAAP Financial Information &gt; Reconciliation of gross profit and gross margin; row 'Non-GAAP gross margin'; column 'Nine months ended September 30, 2022'</t>
  </si>
  <si>
    <t xml:space="preserve">QA-0525</t>
  </si>
  <si>
    <t xml:space="preserve">Exhibit 99.1, Reconciliation of GAAP to Non-GAAP Financial Information &gt; Reconciliation of gross profit and gross margin; row 'Non-GAAP gross margin'; column 'Three months ended December 31, 2022'</t>
  </si>
  <si>
    <t xml:space="preserve">QA-0526</t>
  </si>
  <si>
    <t xml:space="preserve">Exhibit 99.1, Reconciliation of GAAP to Non-GAAP Financial Information &gt; Reconciliation of gross profit and gross margin; row 'Non-GAAP gross margin'; column 'Year ended December 31, 2022'</t>
  </si>
  <si>
    <t xml:space="preserve">QA-0527</t>
  </si>
  <si>
    <t xml:space="preserve">Exhibit 99.1, Reconciliation of GAAP to Non-GAAP Financial Information &gt; Reconciliation of gross profit and gross margin; row 'Non-GAAP gross margin'; column 'Three months ended March 31, 2023'</t>
  </si>
  <si>
    <t xml:space="preserve">QA-0528</t>
  </si>
  <si>
    <t xml:space="preserve">Exhibit 99.1, Reconciliation of GAAP to Non-GAAP Financial Information &gt; Reconciliation of gross profit and gross margin; row 'Non-GAAP gross margin'; column 'Three months ended June 30, 2023'</t>
  </si>
  <si>
    <t xml:space="preserve">QA-0529</t>
  </si>
  <si>
    <t xml:space="preserve">Exhibit 99.1, Reconciliation of GAAP to Non-GAAP Financial Information &gt; Reconciliation of gross profit and gross margin; row 'Non-GAAP gross margin'; column 'Six months ended June 30, 2023'</t>
  </si>
  <si>
    <t xml:space="preserve">QA-0530</t>
  </si>
  <si>
    <t xml:space="preserve">Exhibit 99.1, Reconciliation of GAAP to Non-GAAP Financial Information &gt; Reconciliation of gross profit and gross margin; row 'Non-GAAP gross margin'; column 'Three months ended September 30, 2023'</t>
  </si>
  <si>
    <t xml:space="preserve">QA-0531</t>
  </si>
  <si>
    <t xml:space="preserve">Exhibit 99.1, Reconciliation of GAAP to Non-GAAP Financial Information &gt; Reconciliation of gross profit and gross margin; row 'Non-GAAP gross margin'; column 'Nine months ended September 30, 2023'</t>
  </si>
  <si>
    <t xml:space="preserve">QA-0532</t>
  </si>
  <si>
    <t xml:space="preserve">Exhibit 99.1, Reconciliation of GAAP to Non-GAAP Financial Information &gt; Reconciliation of gross profit and gross margin; row 'Non-GAAP gross margin'; column 'Three months ended December 31, 2023'</t>
  </si>
  <si>
    <t xml:space="preserve">QA-0533</t>
  </si>
  <si>
    <t xml:space="preserve">Exhibit 99.1, Reconciliation of GAAP to Non-GAAP Financial Information &gt; Reconciliation of gross profit and gross margin; row 'Non-GAAP gross margin'; column 'Year ended December 31, 2023'</t>
  </si>
  <si>
    <t xml:space="preserve">QA-0534</t>
  </si>
  <si>
    <t xml:space="preserve">Exhibit 99.1, Reconciliation of GAAP to Non-GAAP Financial Information &gt; Reconciliation of gross profit and gross margin; row 'Non-GAAP gross margin'; column 'Three months ended March 31, 2024'</t>
  </si>
  <si>
    <t xml:space="preserve">QA-0535</t>
  </si>
  <si>
    <t xml:space="preserve">91%</t>
  </si>
  <si>
    <t xml:space="preserve">Exhibit 99.1, Reconciliation of GAAP to Non-GAAP Financial Information &gt; Reconciliation of gross profit and gross margin; row 'Non-GAAP gross margin'; column 'Three months ended June 30, 2024'</t>
  </si>
  <si>
    <t xml:space="preserve">QA-0536</t>
  </si>
  <si>
    <t xml:space="preserve">Exhibit 99.1, Reconciliation of GAAP to Non-GAAP Financial Information &gt; Reconciliation of gross profit and gross margin; row 'Non-GAAP gross margin'; column 'Six months ended June 30, 2024'</t>
  </si>
  <si>
    <t xml:space="preserve">QA-0537</t>
  </si>
  <si>
    <t xml:space="preserve">Exhibit 99.1, Reconciliation of GAAP to Non-GAAP Financial Information &gt; Reconciliation of gross profit and gross margin; row 'Non-GAAP gross margin'; column 'Three months ended September 30, 2024'</t>
  </si>
  <si>
    <t xml:space="preserve">QA-0538</t>
  </si>
  <si>
    <t xml:space="preserve">Exhibit 99.1, Reconciliation of GAAP to Non-GAAP Financial Information &gt; Reconciliation of gross profit and gross margin; row 'Non-GAAP gross margin'; column 'Nine months ended September 30, 2024'</t>
  </si>
  <si>
    <t xml:space="preserve">QA-0539</t>
  </si>
  <si>
    <t xml:space="preserve">Exhibit 99.1, Reconciliation of GAAP to Non-GAAP Financial Information &gt; Reconciliation of gross profit and gross margin; row 'Non-GAAP gross margin'; column 'Three months ended December 31, 2024'</t>
  </si>
  <si>
    <t xml:space="preserve">QA-0540</t>
  </si>
  <si>
    <t xml:space="preserve">Exhibit 99.1, Reconciliation of GAAP to Non-GAAP Financial Information &gt; Reconciliation of gross profit and gross margin; row 'Non-GAAP gross margin'; column 'Year ended December 31, 2024'</t>
  </si>
  <si>
    <t xml:space="preserve">QA-0541</t>
  </si>
  <si>
    <t xml:space="preserve">Exhibit 99.1, Reconciliation of GAAP to Non-GAAP Financial Information &gt; Reconciliation of gross profit and gross margin; row 'Non-GAAP gross margin'; column 'Three months ended March 31, 2025'</t>
  </si>
  <si>
    <t xml:space="preserve">QA-0542</t>
  </si>
  <si>
    <t xml:space="preserve">Exhibit 99.1, Reconciliation of GAAP to Non-GAAP Financial Information &gt; Reconciliation of gross profit and gross margin; row 'Non-GAAP gross margin'; column 'Three months ended June 30, 2025'</t>
  </si>
  <si>
    <t xml:space="preserve">QA-0543</t>
  </si>
  <si>
    <t xml:space="preserve">Exhibit 99.1, Reconciliation of GAAP to Non-GAAP Financial Information &gt; Reconciliation of gross profit and gross margin; row 'Non-GAAP gross margin'; column 'Six months ended June 30, 2025'</t>
  </si>
  <si>
    <t xml:space="preserve">QA-0544</t>
  </si>
  <si>
    <t xml:space="preserve">Exhibit 99.1, Reconciliation of GAAP to Non-GAAP Financial Information &gt; Reconciliation of gross profit and gross margin; row 'Non-GAAP gross margin'; column 'Three months ended September 30, 2025'</t>
  </si>
  <si>
    <t xml:space="preserve">QA-0545</t>
  </si>
  <si>
    <t xml:space="preserve">Exhibit 99.1, Reconciliation of GAAP to Non-GAAP Financial Information &gt; Reconciliation of gross profit and gross margin; row 'Non-GAAP gross margin'; column 'Nine months ended September 30, 2025'</t>
  </si>
  <si>
    <t xml:space="preserve">QA-0546</t>
  </si>
  <si>
    <t xml:space="preserve">Exhibit 99.1, Reconciliation of GAAP to Non-GAAP Financial Information &gt; Reconciliation of gross profit and gross margin; row 'Non-GAAP gross margin'; column 'Three months ended December 31, 2025'</t>
  </si>
  <si>
    <t xml:space="preserve">QA-0547</t>
  </si>
  <si>
    <t xml:space="preserve">Exhibit 99.1, Reconciliation of GAAP to Non-GAAP Financial Information &gt; Reconciliation of gross profit and gross margin; row 'Non-GAAP gross margin'; column 'Year ended December 31, 2025'</t>
  </si>
  <si>
    <t xml:space="preserve">QA-0548</t>
  </si>
  <si>
    <t xml:space="preserve">Exhibit 99.1, Reconciliation of GAAP to Non-GAAP Financial Information &gt; Reconciliation of gross profit and gross margin; row 'Non-GAAP gross margin'; column 'Three months ended March 31, 2026'</t>
  </si>
  <si>
    <t xml:space="preserve">QA-0549</t>
  </si>
  <si>
    <t xml:space="preserve">Exhibit 99.1, Reconciliation of GAAP to Non-GAAP Financial Information &gt; Reconciliation of gross profit and gross margin; row 'Non-GAAP gross margin'; column 'Three months ended June 30, 2026'</t>
  </si>
  <si>
    <t xml:space="preserve">QA-0550</t>
  </si>
  <si>
    <t xml:space="preserve">Exhibit 99.1, Reconciliation of GAAP to Non-GAAP Financial Information &gt; Reconciliation of gross profit and gross margin; row 'Non-GAAP gross margin'; column 'Six months ended June 30, 2026'</t>
  </si>
  <si>
    <t xml:space="preserve">QA-0551</t>
  </si>
  <si>
    <t xml:space="preserve">Research and development (non-GAAP)</t>
  </si>
  <si>
    <t xml:space="preserve">11,044</t>
  </si>
  <si>
    <t xml:space="preserve">Exhibit 99.1, Reconciliation of GAAP to Non-GAAP Financial Information &gt; Reconciliation of operating expenses; row 'Non-GAAP research and development'; column 'Three months ended March 31, 2021'</t>
  </si>
  <si>
    <t xml:space="preserve">QA-0552</t>
  </si>
  <si>
    <t xml:space="preserve">11,203</t>
  </si>
  <si>
    <t xml:space="preserve">Exhibit 99.1, Reconciliation of GAAP to Non-GAAP Financial Information &gt; Reconciliation of operating expenses; row 'Non-GAAP research and development'; column 'Three months ended June 30, 2021'</t>
  </si>
  <si>
    <t xml:space="preserve">QA-0553</t>
  </si>
  <si>
    <t xml:space="preserve">22,247</t>
  </si>
  <si>
    <t xml:space="preserve">Exhibit 99.1, Reconciliation of GAAP to Non-GAAP Financial Information &gt; Reconciliation of operating expenses; row 'Non-GAAP research and development'; column 'Six months ended June 30, 2021'</t>
  </si>
  <si>
    <t xml:space="preserve">QA-0554</t>
  </si>
  <si>
    <t xml:space="preserve">14,255</t>
  </si>
  <si>
    <t xml:space="preserve">Exhibit 99.1, Reconciliation of GAAP to Non-GAAP Financial Information &gt; Reconciliation of operating expenses; row 'Non-GAAP research and development'; column 'Three months ended September 30, 2021'</t>
  </si>
  <si>
    <t xml:space="preserve">QA-0555</t>
  </si>
  <si>
    <t xml:space="preserve">36,502</t>
  </si>
  <si>
    <t xml:space="preserve">Exhibit 99.1, Reconciliation of GAAP to Non-GAAP Financial Information &gt; Reconciliation of operating expenses; row 'Non-GAAP research and development'; column 'Nine months ended September 30, 2021'</t>
  </si>
  <si>
    <t xml:space="preserve">QA-0556</t>
  </si>
  <si>
    <t xml:space="preserve">15,405</t>
  </si>
  <si>
    <t xml:space="preserve">Exhibit 99.1, Reconciliation of GAAP to Non-GAAP Financial Information &gt; Reconciliation of operating expenses; row 'Non-GAAP research and development'; column 'Three months ended December 31, 2021'</t>
  </si>
  <si>
    <t xml:space="preserve">QA-0557</t>
  </si>
  <si>
    <t xml:space="preserve">51,907</t>
  </si>
  <si>
    <t xml:space="preserve">Exhibit 99.1, Reconciliation of GAAP to Non-GAAP Financial Information &gt; Reconciliation of operating expenses; row 'Non-GAAP research and development'; column 'Year ended December 31, 2021'</t>
  </si>
  <si>
    <t xml:space="preserve">QA-0558</t>
  </si>
  <si>
    <t xml:space="preserve">19,153</t>
  </si>
  <si>
    <t xml:space="preserve">Exhibit 99.1, Reconciliation of GAAP to Non-GAAP Financial Information &gt; Reconciliation of operating expenses; row 'Non-GAAP research and development'; column 'Three months ended March 31, 2022'</t>
  </si>
  <si>
    <t xml:space="preserve">QA-0559</t>
  </si>
  <si>
    <t xml:space="preserve">23,963</t>
  </si>
  <si>
    <t xml:space="preserve">Exhibit 99.1, Reconciliation of GAAP to Non-GAAP Financial Information &gt; Reconciliation of operating expenses; row 'Non-GAAP research and development'; column 'Three months ended June 30, 2022'</t>
  </si>
  <si>
    <t xml:space="preserve">QA-0560</t>
  </si>
  <si>
    <t xml:space="preserve">43,116</t>
  </si>
  <si>
    <t xml:space="preserve">Exhibit 99.1, Reconciliation of GAAP to Non-GAAP Financial Information &gt; Reconciliation of operating expenses; row 'Non-GAAP research and development'; column 'Six months ended June 30, 2022'</t>
  </si>
  <si>
    <t xml:space="preserve">QA-0561</t>
  </si>
  <si>
    <t xml:space="preserve">26,259</t>
  </si>
  <si>
    <t xml:space="preserve">Exhibit 99.1, Reconciliation of GAAP to Non-GAAP Financial Information &gt; Reconciliation of operating expenses; row 'Non-GAAP research and development'; column 'Three months ended September 30, 2022'</t>
  </si>
  <si>
    <t xml:space="preserve">QA-0562</t>
  </si>
  <si>
    <t xml:space="preserve">69,375</t>
  </si>
  <si>
    <t xml:space="preserve">Exhibit 99.1, Reconciliation of GAAP to Non-GAAP Financial Information &gt; Reconciliation of operating expenses; row 'Non-GAAP research and development'; column 'Nine months ended September 30, 2022'</t>
  </si>
  <si>
    <t xml:space="preserve">QA-0563</t>
  </si>
  <si>
    <t xml:space="preserve">24,715</t>
  </si>
  <si>
    <t xml:space="preserve">Exhibit 99.1, Reconciliation of GAAP to Non-GAAP Financial Information &gt; Reconciliation of operating expenses; row 'Non-GAAP research and development'; column 'Three months ended December 31, 2022'</t>
  </si>
  <si>
    <t xml:space="preserve">QA-0564</t>
  </si>
  <si>
    <t xml:space="preserve">94,090</t>
  </si>
  <si>
    <t xml:space="preserve">Exhibit 99.1, Reconciliation of GAAP to Non-GAAP Financial Information &gt; Reconciliation of operating expenses; row 'Non-GAAP research and development'; column 'Year ended December 31, 2022'</t>
  </si>
  <si>
    <t xml:space="preserve">QA-0565</t>
  </si>
  <si>
    <t xml:space="preserve">28,519</t>
  </si>
  <si>
    <t xml:space="preserve">Exhibit 99.1, Reconciliation of GAAP to Non-GAAP Financial Information &gt; Reconciliation of operating expenses; row 'Non-GAAP research and development'; column 'Three months ended March 31, 2023'</t>
  </si>
  <si>
    <t xml:space="preserve">QA-0566</t>
  </si>
  <si>
    <t xml:space="preserve">27,908</t>
  </si>
  <si>
    <t xml:space="preserve">Exhibit 99.1, Reconciliation of GAAP to Non-GAAP Financial Information &gt; Reconciliation of operating expenses; row 'Non-GAAP research and development'; column 'Three months ended June 30, 2023'</t>
  </si>
  <si>
    <t xml:space="preserve">QA-0567</t>
  </si>
  <si>
    <t xml:space="preserve">56,427</t>
  </si>
  <si>
    <t xml:space="preserve">Exhibit 99.1, Reconciliation of GAAP to Non-GAAP Financial Information &gt; Reconciliation of operating expenses; row 'Non-GAAP research and development'; column 'Six months ended June 30, 2023'</t>
  </si>
  <si>
    <t xml:space="preserve">QA-0568</t>
  </si>
  <si>
    <t xml:space="preserve">28,051</t>
  </si>
  <si>
    <t xml:space="preserve">Exhibit 99.1, Reconciliation of GAAP to Non-GAAP Financial Information &gt; Reconciliation of operating expenses; row 'Non-GAAP research and development'; column 'Three months ended September 30, 2023'</t>
  </si>
  <si>
    <t xml:space="preserve">QA-0569</t>
  </si>
  <si>
    <t xml:space="preserve">84,478</t>
  </si>
  <si>
    <t xml:space="preserve">Exhibit 99.1, Reconciliation of GAAP to Non-GAAP Financial Information &gt; Reconciliation of operating expenses; row 'Non-GAAP research and development'; column 'Nine months ended September 30, 2023'</t>
  </si>
  <si>
    <t xml:space="preserve">QA-0570</t>
  </si>
  <si>
    <t xml:space="preserve">33,285</t>
  </si>
  <si>
    <t xml:space="preserve">Exhibit 99.1, Reconciliation of GAAP to Non-GAAP Financial Information &gt; Reconciliation of operating expenses; row 'Non-GAAP research and development'; column 'Three months ended December 31, 2023'</t>
  </si>
  <si>
    <t xml:space="preserve">QA-0571</t>
  </si>
  <si>
    <t xml:space="preserve">117,763</t>
  </si>
  <si>
    <t xml:space="preserve">Exhibit 99.1, Reconciliation of GAAP to Non-GAAP Financial Information &gt; Reconciliation of operating expenses; row 'Non-GAAP research and development'; column 'Year ended December 31, 2023'</t>
  </si>
  <si>
    <t xml:space="preserve">QA-0572</t>
  </si>
  <si>
    <t xml:space="preserve">34,797</t>
  </si>
  <si>
    <t xml:space="preserve">Exhibit 99.1, Reconciliation of GAAP to Non-GAAP Financial Information &gt; Reconciliation of operating expenses; row 'Non-GAAP research and development'; column 'Three months ended March 31, 2024'</t>
  </si>
  <si>
    <t xml:space="preserve">QA-0573</t>
  </si>
  <si>
    <t xml:space="preserve">36,878</t>
  </si>
  <si>
    <t xml:space="preserve">Exhibit 99.1, Reconciliation of GAAP to Non-GAAP Financial Information &gt; Reconciliation of operating expenses; row 'Non-GAAP research and development'; column 'Three months ended June 30, 2024'</t>
  </si>
  <si>
    <t xml:space="preserve">QA-0574</t>
  </si>
  <si>
    <t xml:space="preserve">71,675</t>
  </si>
  <si>
    <t xml:space="preserve">Exhibit 99.1, Reconciliation of GAAP to Non-GAAP Financial Information &gt; Reconciliation of operating expenses; row 'Non-GAAP research and development'; column 'Six months ended June 30, 2024'</t>
  </si>
  <si>
    <t xml:space="preserve">QA-0575</t>
  </si>
  <si>
    <t xml:space="preserve">42,973</t>
  </si>
  <si>
    <t xml:space="preserve">Exhibit 99.1, Reconciliation of GAAP to Non-GAAP Financial Information &gt; Reconciliation of operating expenses; row 'Non-GAAP research and development'; column 'Three months ended September 30, 2024'</t>
  </si>
  <si>
    <t xml:space="preserve">QA-0576</t>
  </si>
  <si>
    <t xml:space="preserve">114,648</t>
  </si>
  <si>
    <t xml:space="preserve">Exhibit 99.1, Reconciliation of GAAP to Non-GAAP Financial Information &gt; Reconciliation of operating expenses; row 'Non-GAAP research and development'; column 'Nine months ended September 30, 2024'</t>
  </si>
  <si>
    <t xml:space="preserve">QA-0577</t>
  </si>
  <si>
    <t xml:space="preserve">48,066</t>
  </si>
  <si>
    <t xml:space="preserve">Exhibit 99.1, Reconciliation of GAAP to Non-GAAP Financial Information &gt; Reconciliation of operating expenses; row 'Non-GAAP research and development'; column 'Three months ended December 31, 2024'</t>
  </si>
  <si>
    <t xml:space="preserve">QA-0578</t>
  </si>
  <si>
    <t xml:space="preserve">162,714</t>
  </si>
  <si>
    <t xml:space="preserve">Exhibit 99.1, Reconciliation of GAAP to Non-GAAP Financial Information &gt; Reconciliation of operating expenses; row 'Non-GAAP research and development'; column 'Year ended December 31, 2024'</t>
  </si>
  <si>
    <t xml:space="preserve">QA-0579</t>
  </si>
  <si>
    <t xml:space="preserve">53,844</t>
  </si>
  <si>
    <t xml:space="preserve">Exhibit 99.1, Reconciliation of GAAP to Non-GAAP Financial Information &gt; Reconciliation of operating expenses; row 'Non-GAAP research and development'; column 'Three months ended March 31, 2025'</t>
  </si>
  <si>
    <t xml:space="preserve">QA-0580</t>
  </si>
  <si>
    <t xml:space="preserve">59,233</t>
  </si>
  <si>
    <t xml:space="preserve">Exhibit 99.1, Reconciliation of GAAP to Non-GAAP Financial Information &gt; Reconciliation of operating expenses; row 'Non-GAAP research and development'; column 'Three months ended June 30, 2025'</t>
  </si>
  <si>
    <t xml:space="preserve">QA-0581</t>
  </si>
  <si>
    <t xml:space="preserve">113,077</t>
  </si>
  <si>
    <t xml:space="preserve">Exhibit 99.1, Reconciliation of GAAP to Non-GAAP Financial Information &gt; Reconciliation of operating expenses; row 'Non-GAAP research and development'; column 'Six months ended June 30, 2025'</t>
  </si>
  <si>
    <t xml:space="preserve">QA-0582</t>
  </si>
  <si>
    <t xml:space="preserve">57,772</t>
  </si>
  <si>
    <t xml:space="preserve">Exhibit 99.1, Reconciliation of GAAP to Non-GAAP Financial Information &gt; Reconciliation of operating expenses; row 'Non-GAAP research and development'; column 'Three months ended September 30, 2025'</t>
  </si>
  <si>
    <t xml:space="preserve">QA-0583</t>
  </si>
  <si>
    <t xml:space="preserve">170,849</t>
  </si>
  <si>
    <t xml:space="preserve">Exhibit 99.1, Reconciliation of GAAP to Non-GAAP Financial Information &gt; Reconciliation of operating expenses; row 'Non-GAAP research and development'; column 'Nine months ended September 30, 2025'</t>
  </si>
  <si>
    <t xml:space="preserve">QA-0584</t>
  </si>
  <si>
    <t xml:space="preserve">67,700</t>
  </si>
  <si>
    <t xml:space="preserve">Exhibit 99.1, Reconciliation of GAAP to Non-GAAP Financial Information &gt; Reconciliation of operating expenses; row 'Non-GAAP research and development'; column 'Three months ended December 31, 2025'</t>
  </si>
  <si>
    <t xml:space="preserve">QA-0585</t>
  </si>
  <si>
    <t xml:space="preserve">238,549</t>
  </si>
  <si>
    <t xml:space="preserve">Exhibit 99.1, Reconciliation of GAAP to Non-GAAP Financial Information &gt; Reconciliation of operating expenses; row 'Non-GAAP research and development'; column 'Year ended December 31, 2025'</t>
  </si>
  <si>
    <t xml:space="preserve">QA-0586</t>
  </si>
  <si>
    <t xml:space="preserve">78,413</t>
  </si>
  <si>
    <t xml:space="preserve">Exhibit 99.1, Reconciliation of GAAP to Non-GAAP Financial Information &gt; Reconciliation of operating expenses; row 'Non-GAAP research and development'; column 'Three months ended March 31, 2026'</t>
  </si>
  <si>
    <t xml:space="preserve">QA-0587</t>
  </si>
  <si>
    <t xml:space="preserve">83,003</t>
  </si>
  <si>
    <t xml:space="preserve">Exhibit 99.1, Reconciliation of GAAP to Non-GAAP Financial Information &gt; Reconciliation of operating expenses; row 'Non-GAAP research and development'; column 'Three months ended June 30, 2026'</t>
  </si>
  <si>
    <t xml:space="preserve">QA-0588</t>
  </si>
  <si>
    <t xml:space="preserve">161,416</t>
  </si>
  <si>
    <t xml:space="preserve">Exhibit 99.1, Reconciliation of GAAP to Non-GAAP Financial Information &gt; Reconciliation of operating expenses; row 'Non-GAAP research and development'; column 'Six months ended June 30, 2026'</t>
  </si>
  <si>
    <t xml:space="preserve">QA-0589</t>
  </si>
  <si>
    <t xml:space="preserve">Sales and marketing (non-GAAP)</t>
  </si>
  <si>
    <t xml:space="preserve">59,014</t>
  </si>
  <si>
    <t xml:space="preserve">Exhibit 99.1, Reconciliation of GAAP to Non-GAAP Financial Information &gt; Reconciliation of operating expenses; row 'Non-GAAP sales and marketing'; column 'Three months ended March 31, 2021'</t>
  </si>
  <si>
    <t xml:space="preserve">QA-0590</t>
  </si>
  <si>
    <t xml:space="preserve">55,521</t>
  </si>
  <si>
    <t xml:space="preserve">Exhibit 99.1, Reconciliation of GAAP to Non-GAAP Financial Information &gt; Reconciliation of operating expenses; row 'Non-GAAP sales and marketing'; column 'Three months ended June 30, 2021'</t>
  </si>
  <si>
    <t xml:space="preserve">QA-0591</t>
  </si>
  <si>
    <t xml:space="preserve">114,535</t>
  </si>
  <si>
    <t xml:space="preserve">Exhibit 99.1, Reconciliation of GAAP to Non-GAAP Financial Information &gt; Reconciliation of operating expenses; row 'Non-GAAP sales and marketing'; column 'Six months ended June 30, 2021'</t>
  </si>
  <si>
    <t xml:space="preserve">QA-0592</t>
  </si>
  <si>
    <t xml:space="preserve">60,995</t>
  </si>
  <si>
    <t xml:space="preserve">Exhibit 99.1, Reconciliation of GAAP to Non-GAAP Financial Information &gt; Reconciliation of operating expenses; row 'Non-GAAP sales and marketing'; column 'Three months ended September 30, 2021'</t>
  </si>
  <si>
    <t xml:space="preserve">QA-0593</t>
  </si>
  <si>
    <t xml:space="preserve">175,530</t>
  </si>
  <si>
    <t xml:space="preserve">Exhibit 99.1, Reconciliation of GAAP to Non-GAAP Financial Information &gt; Reconciliation of operating expenses; row 'Non-GAAP sales and marketing'; column 'Nine months ended September 30, 2021'</t>
  </si>
  <si>
    <t xml:space="preserve">QA-0594</t>
  </si>
  <si>
    <t xml:space="preserve">69,418</t>
  </si>
  <si>
    <t xml:space="preserve">Exhibit 99.1, Reconciliation of GAAP to Non-GAAP Financial Information &gt; Reconciliation of operating expenses; row 'Non-GAAP sales and marketing'; column 'Three months ended December 31, 2021'</t>
  </si>
  <si>
    <t xml:space="preserve">QA-0595</t>
  </si>
  <si>
    <t xml:space="preserve">244,948</t>
  </si>
  <si>
    <t xml:space="preserve">Exhibit 99.1, Reconciliation of GAAP to Non-GAAP Financial Information &gt; Reconciliation of operating expenses; row 'Non-GAAP sales and marketing'; column 'Year ended December 31, 2021'</t>
  </si>
  <si>
    <t xml:space="preserve">QA-0596</t>
  </si>
  <si>
    <t xml:space="preserve">108,595</t>
  </si>
  <si>
    <t xml:space="preserve">Exhibit 99.1, Reconciliation of GAAP to Non-GAAP Financial Information &gt; Reconciliation of operating expenses; row 'Non-GAAP sales and marketing'; column 'Three months ended March 31, 2022'</t>
  </si>
  <si>
    <t xml:space="preserve">QA-0597</t>
  </si>
  <si>
    <t xml:space="preserve">86,665</t>
  </si>
  <si>
    <t xml:space="preserve">Exhibit 99.1, Reconciliation of GAAP to Non-GAAP Financial Information &gt; Reconciliation of operating expenses; row 'Non-GAAP sales and marketing'; column 'Three months ended June 30, 2022'</t>
  </si>
  <si>
    <t xml:space="preserve">QA-0598</t>
  </si>
  <si>
    <t xml:space="preserve">195,260</t>
  </si>
  <si>
    <t xml:space="preserve">Exhibit 99.1, Reconciliation of GAAP to Non-GAAP Financial Information &gt; Reconciliation of operating expenses; row 'Non-GAAP sales and marketing'; column 'Six months ended June 30, 2022'</t>
  </si>
  <si>
    <t xml:space="preserve">QA-0599</t>
  </si>
  <si>
    <t xml:space="preserve">82,432</t>
  </si>
  <si>
    <t xml:space="preserve">Exhibit 99.1, Reconciliation of GAAP to Non-GAAP Financial Information &gt; Reconciliation of operating expenses; row 'Non-GAAP sales and marketing'; column 'Three months ended September 30, 2022'</t>
  </si>
  <si>
    <t xml:space="preserve">QA-0600</t>
  </si>
  <si>
    <t xml:space="preserve">277,692</t>
  </si>
  <si>
    <t xml:space="preserve">Exhibit 99.1, Reconciliation of GAAP to Non-GAAP Financial Information &gt; Reconciliation of operating expenses; row 'Non-GAAP sales and marketing'; column 'Nine months ended September 30, 2022'</t>
  </si>
  <si>
    <t xml:space="preserve">QA-0601</t>
  </si>
  <si>
    <t xml:space="preserve">80,919</t>
  </si>
  <si>
    <t xml:space="preserve">Exhibit 99.1, Reconciliation of GAAP to Non-GAAP Financial Information &gt; Reconciliation of operating expenses; row 'Non-GAAP sales and marketing'; column 'Three months ended December 31, 2022'</t>
  </si>
  <si>
    <t xml:space="preserve">QA-0602</t>
  </si>
  <si>
    <t xml:space="preserve">358,611</t>
  </si>
  <si>
    <t xml:space="preserve">Exhibit 99.1, Reconciliation of GAAP to Non-GAAP Financial Information &gt; Reconciliation of operating expenses; row 'Non-GAAP sales and marketing'; column 'Year ended December 31, 2022'</t>
  </si>
  <si>
    <t xml:space="preserve">QA-0603</t>
  </si>
  <si>
    <t xml:space="preserve">102,652</t>
  </si>
  <si>
    <t xml:space="preserve">Exhibit 99.1, Reconciliation of GAAP to Non-GAAP Financial Information &gt; Reconciliation of operating expenses; row 'Non-GAAP sales and marketing'; column 'Three months ended March 31, 2023'</t>
  </si>
  <si>
    <t xml:space="preserve">QA-0604</t>
  </si>
  <si>
    <t xml:space="preserve">98,831</t>
  </si>
  <si>
    <t xml:space="preserve">Exhibit 99.1, Reconciliation of GAAP to Non-GAAP Financial Information &gt; Reconciliation of operating expenses; row 'Non-GAAP sales and marketing'; column 'Three months ended June 30, 2023'</t>
  </si>
  <si>
    <t xml:space="preserve">QA-0605</t>
  </si>
  <si>
    <t xml:space="preserve">201,483</t>
  </si>
  <si>
    <t xml:space="preserve">Exhibit 99.1, Reconciliation of GAAP to Non-GAAP Financial Information &gt; Reconciliation of operating expenses; row 'Non-GAAP sales and marketing'; column 'Six months ended June 30, 2023'</t>
  </si>
  <si>
    <t xml:space="preserve">QA-0606</t>
  </si>
  <si>
    <t xml:space="preserve">101,504</t>
  </si>
  <si>
    <t xml:space="preserve">Exhibit 99.1, Reconciliation of GAAP to Non-GAAP Financial Information &gt; Reconciliation of operating expenses; row 'Non-GAAP sales and marketing'; column 'Three months ended September 30, 2023'</t>
  </si>
  <si>
    <t xml:space="preserve">QA-0607</t>
  </si>
  <si>
    <t xml:space="preserve">302,987</t>
  </si>
  <si>
    <t xml:space="preserve">Exhibit 99.1, Reconciliation of GAAP to Non-GAAP Financial Information &gt; Reconciliation of operating expenses; row 'Non-GAAP sales and marketing'; column 'Nine months ended September 30, 2023'</t>
  </si>
  <si>
    <t xml:space="preserve">QA-0608</t>
  </si>
  <si>
    <t xml:space="preserve">110,020</t>
  </si>
  <si>
    <t xml:space="preserve">Exhibit 99.1, Reconciliation of GAAP to Non-GAAP Financial Information &gt; Reconciliation of operating expenses; row 'Non-GAAP sales and marketing'; column 'Three months ended December 31, 2023'</t>
  </si>
  <si>
    <t xml:space="preserve">QA-0609</t>
  </si>
  <si>
    <t xml:space="preserve">413,007</t>
  </si>
  <si>
    <t xml:space="preserve">Exhibit 99.1, Reconciliation of GAAP to Non-GAAP Financial Information &gt; Reconciliation of operating expenses; row 'Non-GAAP sales and marketing'; column 'Year ended December 31, 2023'</t>
  </si>
  <si>
    <t xml:space="preserve">QA-0610</t>
  </si>
  <si>
    <t xml:space="preserve">120,806</t>
  </si>
  <si>
    <t xml:space="preserve">Exhibit 99.1, Reconciliation of GAAP to Non-GAAP Financial Information &gt; Reconciliation of operating expenses; row 'Non-GAAP sales and marketing'; column 'Three months ended March 31, 2024'</t>
  </si>
  <si>
    <t xml:space="preserve">QA-0611</t>
  </si>
  <si>
    <t xml:space="preserve">120,738</t>
  </si>
  <si>
    <t xml:space="preserve">Exhibit 99.1, Reconciliation of GAAP to Non-GAAP Financial Information &gt; Reconciliation of operating expenses; row 'Non-GAAP sales and marketing'; column 'Three months ended June 30, 2024'</t>
  </si>
  <si>
    <t xml:space="preserve">QA-0612</t>
  </si>
  <si>
    <t xml:space="preserve">241,544</t>
  </si>
  <si>
    <t xml:space="preserve">Exhibit 99.1, Reconciliation of GAAP to Non-GAAP Financial Information &gt; Reconciliation of operating expenses; row 'Non-GAAP sales and marketing'; column 'Six months ended June 30, 2024'</t>
  </si>
  <si>
    <t xml:space="preserve">QA-0613</t>
  </si>
  <si>
    <t xml:space="preserve">130,339</t>
  </si>
  <si>
    <t xml:space="preserve">Exhibit 99.1, Reconciliation of GAAP to Non-GAAP Financial Information &gt; Reconciliation of operating expenses; row 'Non-GAAP sales and marketing'; column 'Three months ended September 30, 2024'</t>
  </si>
  <si>
    <t xml:space="preserve">QA-0614</t>
  </si>
  <si>
    <t xml:space="preserve">371,883</t>
  </si>
  <si>
    <t xml:space="preserve">Exhibit 99.1, Reconciliation of GAAP to Non-GAAP Financial Information &gt; Reconciliation of operating expenses; row 'Non-GAAP sales and marketing'; column 'Nine months ended September 30, 2024'</t>
  </si>
  <si>
    <t xml:space="preserve">QA-0615</t>
  </si>
  <si>
    <t xml:space="preserve">127,791</t>
  </si>
  <si>
    <t xml:space="preserve">Exhibit 99.1, Reconciliation of GAAP to Non-GAAP Financial Information &gt; Reconciliation of operating expenses; row 'Non-GAAP sales and marketing'; column 'Three months ended December 31, 2024'</t>
  </si>
  <si>
    <t xml:space="preserve">QA-0616</t>
  </si>
  <si>
    <t xml:space="preserve">499,674</t>
  </si>
  <si>
    <t xml:space="preserve">Exhibit 99.1, Reconciliation of GAAP to Non-GAAP Financial Information &gt; Reconciliation of operating expenses; row 'Non-GAAP sales and marketing'; column 'Year ended December 31, 2024'</t>
  </si>
  <si>
    <t xml:space="preserve">QA-0617</t>
  </si>
  <si>
    <t xml:space="preserve">135,882</t>
  </si>
  <si>
    <t xml:space="preserve">Exhibit 99.1, Reconciliation of GAAP to Non-GAAP Financial Information &gt; Reconciliation of operating expenses; row 'Non-GAAP sales and marketing'; column 'Three months ended March 31, 2025'</t>
  </si>
  <si>
    <t xml:space="preserve">QA-0618</t>
  </si>
  <si>
    <t xml:space="preserve">139,223</t>
  </si>
  <si>
    <t xml:space="preserve">Exhibit 99.1, Reconciliation of GAAP to Non-GAAP Financial Information &gt; Reconciliation of operating expenses; row 'Non-GAAP sales and marketing'; column 'Three months ended June 30, 2025'</t>
  </si>
  <si>
    <t xml:space="preserve">QA-0619</t>
  </si>
  <si>
    <t xml:space="preserve">275,105</t>
  </si>
  <si>
    <t xml:space="preserve">Exhibit 99.1, Reconciliation of GAAP to Non-GAAP Financial Information &gt; Reconciliation of operating expenses; row 'Non-GAAP sales and marketing'; column 'Six months ended June 30, 2025'</t>
  </si>
  <si>
    <t xml:space="preserve">QA-0620</t>
  </si>
  <si>
    <t xml:space="preserve">151,804</t>
  </si>
  <si>
    <t xml:space="preserve">Exhibit 99.1, Reconciliation of GAAP to Non-GAAP Financial Information &gt; Reconciliation of operating expenses; row 'Non-GAAP sales and marketing'; column 'Three months ended September 30, 2025'</t>
  </si>
  <si>
    <t xml:space="preserve">QA-0621</t>
  </si>
  <si>
    <t xml:space="preserve">426,909</t>
  </si>
  <si>
    <t xml:space="preserve">Exhibit 99.1, Reconciliation of GAAP to Non-GAAP Financial Information &gt; Reconciliation of operating expenses; row 'Non-GAAP sales and marketing'; column 'Nine months ended September 30, 2025'</t>
  </si>
  <si>
    <t xml:space="preserve">QA-0622</t>
  </si>
  <si>
    <t xml:space="preserve">159,858</t>
  </si>
  <si>
    <t xml:space="preserve">Exhibit 99.1, Reconciliation of GAAP to Non-GAAP Financial Information &gt; Reconciliation of operating expenses; row 'Non-GAAP sales and marketing'; column 'Three months ended December 31, 2025'</t>
  </si>
  <si>
    <t xml:space="preserve">QA-0623</t>
  </si>
  <si>
    <t xml:space="preserve">586,767</t>
  </si>
  <si>
    <t xml:space="preserve">Exhibit 99.1, Reconciliation of GAAP to Non-GAAP Financial Information &gt; Reconciliation of operating expenses; row 'Non-GAAP sales and marketing'; column 'Year ended December 31, 2025'</t>
  </si>
  <si>
    <t xml:space="preserve">QA-0624</t>
  </si>
  <si>
    <t xml:space="preserve">158,181</t>
  </si>
  <si>
    <t xml:space="preserve">Exhibit 99.1, Reconciliation of GAAP to Non-GAAP Financial Information &gt; Reconciliation of operating expenses; row 'Non-GAAP sales and marketing'; column 'Three months ended March 31, 2026'</t>
  </si>
  <si>
    <t xml:space="preserve">QA-0625</t>
  </si>
  <si>
    <t xml:space="preserve">149,444</t>
  </si>
  <si>
    <t xml:space="preserve">Exhibit 99.1, Reconciliation of GAAP to Non-GAAP Financial Information &gt; Reconciliation of operating expenses; row 'Non-GAAP sales and marketing'; column 'Three months ended June 30, 2026'</t>
  </si>
  <si>
    <t xml:space="preserve">QA-0626</t>
  </si>
  <si>
    <t xml:space="preserve">307,625</t>
  </si>
  <si>
    <t xml:space="preserve">Exhibit 99.1, Reconciliation of GAAP to Non-GAAP Financial Information &gt; Reconciliation of operating expenses; row 'Non-GAAP sales and marketing'; column 'Six months ended June 30, 2026'</t>
  </si>
  <si>
    <t xml:space="preserve">QA-0627</t>
  </si>
  <si>
    <t xml:space="preserve">General and administrative (non-GAAP)</t>
  </si>
  <si>
    <t xml:space="preserve">5,828</t>
  </si>
  <si>
    <t xml:space="preserve">Exhibit 99.1, Reconciliation of GAAP to Non-GAAP Financial Information &gt; Reconciliation of operating expenses; row 'Non-GAAP general and administrative'; column 'Three months ended March 31, 2021'</t>
  </si>
  <si>
    <t xml:space="preserve">QA-0628</t>
  </si>
  <si>
    <t xml:space="preserve">6,527</t>
  </si>
  <si>
    <t xml:space="preserve">Exhibit 99.1, Reconciliation of GAAP to Non-GAAP Financial Information &gt; Reconciliation of operating expenses; row 'Non-GAAP general and administrative'; column 'Three months ended June 30, 2021'</t>
  </si>
  <si>
    <t xml:space="preserve">QA-0629</t>
  </si>
  <si>
    <t xml:space="preserve">12,355</t>
  </si>
  <si>
    <t xml:space="preserve">Exhibit 99.1, Reconciliation of GAAP to Non-GAAP Financial Information &gt; Reconciliation of operating expenses; row 'Non-GAAP general and administrative'; column 'Six months ended June 30, 2021'</t>
  </si>
  <si>
    <t xml:space="preserve">QA-0630</t>
  </si>
  <si>
    <t xml:space="preserve">9,111</t>
  </si>
  <si>
    <t xml:space="preserve">Exhibit 99.1, Reconciliation of GAAP to Non-GAAP Financial Information &gt; Reconciliation of operating expenses; row 'Non-GAAP general and administrative'; column 'Three months ended September 30, 2021'</t>
  </si>
  <si>
    <t xml:space="preserve">QA-0631</t>
  </si>
  <si>
    <t xml:space="preserve">21,466</t>
  </si>
  <si>
    <t xml:space="preserve">Exhibit 99.1, Reconciliation of GAAP to Non-GAAP Financial Information &gt; Reconciliation of operating expenses; row 'Non-GAAP general and administrative'; column 'Nine months ended September 30, 2021'</t>
  </si>
  <si>
    <t xml:space="preserve">QA-0632</t>
  </si>
  <si>
    <t xml:space="preserve">11,093</t>
  </si>
  <si>
    <t xml:space="preserve">Exhibit 99.1, Reconciliation of GAAP to Non-GAAP Financial Information &gt; Reconciliation of operating expenses; row 'Non-GAAP general and administrative'; column 'Three months ended December 31, 2021'</t>
  </si>
  <si>
    <t xml:space="preserve">QA-0633</t>
  </si>
  <si>
    <t xml:space="preserve">32,559</t>
  </si>
  <si>
    <t xml:space="preserve">Exhibit 99.1, Reconciliation of GAAP to Non-GAAP Financial Information &gt; Reconciliation of operating expenses; row 'Non-GAAP general and administrative'; column 'Year ended December 31, 2021'</t>
  </si>
  <si>
    <t xml:space="preserve">QA-0634</t>
  </si>
  <si>
    <t xml:space="preserve">12,411</t>
  </si>
  <si>
    <t xml:space="preserve">Exhibit 99.1, Reconciliation of GAAP to Non-GAAP Financial Information &gt; Reconciliation of operating expenses; row 'Non-GAAP general and administrative'; column 'Three months ended March 31, 2022'</t>
  </si>
  <si>
    <t xml:space="preserve">QA-0635</t>
  </si>
  <si>
    <t xml:space="preserve">14,633</t>
  </si>
  <si>
    <t xml:space="preserve">Exhibit 99.1, Reconciliation of GAAP to Non-GAAP Financial Information &gt; Reconciliation of operating expenses; row 'Non-GAAP general and administrative'; column 'Three months ended June 30, 2022'</t>
  </si>
  <si>
    <t xml:space="preserve">QA-0636</t>
  </si>
  <si>
    <t xml:space="preserve">27,044</t>
  </si>
  <si>
    <t xml:space="preserve">Exhibit 99.1, Reconciliation of GAAP to Non-GAAP Financial Information &gt; Reconciliation of operating expenses; row 'Non-GAAP general and administrative'; column 'Six months ended June 30, 2022'</t>
  </si>
  <si>
    <t xml:space="preserve">QA-0637</t>
  </si>
  <si>
    <t xml:space="preserve">15,240</t>
  </si>
  <si>
    <t xml:space="preserve">Exhibit 99.1, Reconciliation of GAAP to Non-GAAP Financial Information &gt; Reconciliation of operating expenses; row 'Non-GAAP general and administrative'; column 'Three months ended September 30, 2022'</t>
  </si>
  <si>
    <t xml:space="preserve">QA-0638</t>
  </si>
  <si>
    <t xml:space="preserve">42,284</t>
  </si>
  <si>
    <t xml:space="preserve">Exhibit 99.1, Reconciliation of GAAP to Non-GAAP Financial Information &gt; Reconciliation of operating expenses; row 'Non-GAAP general and administrative'; column 'Nine months ended September 30, 2022'</t>
  </si>
  <si>
    <t xml:space="preserve">QA-0639</t>
  </si>
  <si>
    <t xml:space="preserve">15,017</t>
  </si>
  <si>
    <t xml:space="preserve">Exhibit 99.1, Reconciliation of GAAP to Non-GAAP Financial Information &gt; Reconciliation of operating expenses; row 'Non-GAAP general and administrative'; column 'Three months ended December 31, 2022'</t>
  </si>
  <si>
    <t xml:space="preserve">QA-0640</t>
  </si>
  <si>
    <t xml:space="preserve">57,301</t>
  </si>
  <si>
    <t xml:space="preserve">Exhibit 99.1, Reconciliation of GAAP to Non-GAAP Financial Information &gt; Reconciliation of operating expenses; row 'Non-GAAP general and administrative'; column 'Year ended December 31, 2022'</t>
  </si>
  <si>
    <t xml:space="preserve">QA-0641</t>
  </si>
  <si>
    <t xml:space="preserve">15,841</t>
  </si>
  <si>
    <t xml:space="preserve">Exhibit 99.1, Reconciliation of GAAP to Non-GAAP Financial Information &gt; Reconciliation of operating expenses; row 'Non-GAAP general and administrative'; column 'Three months ended March 31, 2023'</t>
  </si>
  <si>
    <t xml:space="preserve">QA-0642</t>
  </si>
  <si>
    <t xml:space="preserve">14,652</t>
  </si>
  <si>
    <t xml:space="preserve">Exhibit 99.1, Reconciliation of GAAP to Non-GAAP Financial Information &gt; Reconciliation of operating expenses; row 'Non-GAAP general and administrative'; column 'Three months ended June 30, 2023'</t>
  </si>
  <si>
    <t xml:space="preserve">QA-0643</t>
  </si>
  <si>
    <t xml:space="preserve">30,493</t>
  </si>
  <si>
    <t xml:space="preserve">Exhibit 99.1, Reconciliation of GAAP to Non-GAAP Financial Information &gt; Reconciliation of operating expenses; row 'Non-GAAP general and administrative'; column 'Six months ended June 30, 2023'</t>
  </si>
  <si>
    <t xml:space="preserve">QA-0644</t>
  </si>
  <si>
    <t xml:space="preserve">15,234</t>
  </si>
  <si>
    <t xml:space="preserve">Exhibit 99.1, Reconciliation of GAAP to Non-GAAP Financial Information &gt; Reconciliation of operating expenses; row 'Non-GAAP general and administrative'; column 'Three months ended September 30, 2023'</t>
  </si>
  <si>
    <t xml:space="preserve">QA-0645</t>
  </si>
  <si>
    <t xml:space="preserve">45,727</t>
  </si>
  <si>
    <t xml:space="preserve">Exhibit 99.1, Reconciliation of GAAP to Non-GAAP Financial Information &gt; Reconciliation of operating expenses; row 'Non-GAAP general and administrative'; column 'Nine months ended September 30, 2023'</t>
  </si>
  <si>
    <t xml:space="preserve">QA-0646</t>
  </si>
  <si>
    <t xml:space="preserve">17,259</t>
  </si>
  <si>
    <t xml:space="preserve">Exhibit 99.1, Reconciliation of GAAP to Non-GAAP Financial Information &gt; Reconciliation of operating expenses; row 'Non-GAAP general and administrative'; column 'Three months ended December 31, 2023'</t>
  </si>
  <si>
    <t xml:space="preserve">QA-0647</t>
  </si>
  <si>
    <t xml:space="preserve">62,986</t>
  </si>
  <si>
    <t xml:space="preserve">Exhibit 99.1, Reconciliation of GAAP to Non-GAAP Financial Information &gt; Reconciliation of operating expenses; row 'Non-GAAP general and administrative'; column 'Year ended December 31, 2023'</t>
  </si>
  <si>
    <t xml:space="preserve">QA-0648</t>
  </si>
  <si>
    <t xml:space="preserve">17,579</t>
  </si>
  <si>
    <t xml:space="preserve">Exhibit 99.1, Reconciliation of GAAP to Non-GAAP Financial Information &gt; Reconciliation of operating expenses; row 'Non-GAAP general and administrative'; column 'Three months ended March 31, 2024'</t>
  </si>
  <si>
    <t xml:space="preserve">QA-0649</t>
  </si>
  <si>
    <t xml:space="preserve">18,182</t>
  </si>
  <si>
    <t xml:space="preserve">Exhibit 99.1, Reconciliation of GAAP to Non-GAAP Financial Information &gt; Reconciliation of operating expenses; row 'Non-GAAP general and administrative'; column 'Three months ended June 30, 2024'</t>
  </si>
  <si>
    <t xml:space="preserve">QA-0650</t>
  </si>
  <si>
    <t xml:space="preserve">35,761</t>
  </si>
  <si>
    <t xml:space="preserve">Exhibit 99.1, Reconciliation of GAAP to Non-GAAP Financial Information &gt; Reconciliation of operating expenses; row 'Non-GAAP general and administrative'; column 'Six months ended June 30, 2024'</t>
  </si>
  <si>
    <t xml:space="preserve">QA-0651</t>
  </si>
  <si>
    <t xml:space="preserve">21,417</t>
  </si>
  <si>
    <t xml:space="preserve">Exhibit 99.1, Reconciliation of GAAP to Non-GAAP Financial Information &gt; Reconciliation of operating expenses; row 'Non-GAAP general and administrative'; column 'Three months ended September 30, 2024'</t>
  </si>
  <si>
    <t xml:space="preserve">QA-0652</t>
  </si>
  <si>
    <t xml:space="preserve">57,178</t>
  </si>
  <si>
    <t xml:space="preserve">Exhibit 99.1, Reconciliation of GAAP to Non-GAAP Financial Information &gt; Reconciliation of operating expenses; row 'Non-GAAP general and administrative'; column 'Nine months ended September 30, 2024'</t>
  </si>
  <si>
    <t xml:space="preserve">QA-0653</t>
  </si>
  <si>
    <t xml:space="preserve">22,958</t>
  </si>
  <si>
    <t xml:space="preserve">Exhibit 99.1, Reconciliation of GAAP to Non-GAAP Financial Information &gt; Reconciliation of operating expenses; row 'Non-GAAP general and administrative'; column 'Three months ended December 31, 2024'</t>
  </si>
  <si>
    <t xml:space="preserve">QA-0654</t>
  </si>
  <si>
    <t xml:space="preserve">80,136</t>
  </si>
  <si>
    <t xml:space="preserve">Exhibit 99.1, Reconciliation of GAAP to Non-GAAP Financial Information &gt; Reconciliation of operating expenses; row 'Non-GAAP general and administrative'; column 'Year ended December 31, 2024'</t>
  </si>
  <si>
    <t xml:space="preserve">QA-0655</t>
  </si>
  <si>
    <t xml:space="preserve">24,099</t>
  </si>
  <si>
    <t xml:space="preserve">Exhibit 99.1, Reconciliation of GAAP to Non-GAAP Financial Information &gt; Reconciliation of operating expenses; row 'Non-GAAP general and administrative'; column 'Three months ended March 31, 2025'</t>
  </si>
  <si>
    <t xml:space="preserve">QA-0656</t>
  </si>
  <si>
    <t xml:space="preserve">26,563</t>
  </si>
  <si>
    <t xml:space="preserve">Exhibit 99.1, Reconciliation of GAAP to Non-GAAP Financial Information &gt; Reconciliation of operating expenses; row 'Non-GAAP general and administrative'; column 'Three months ended June 30, 2025'</t>
  </si>
  <si>
    <t xml:space="preserve">QA-0657</t>
  </si>
  <si>
    <t xml:space="preserve">50,662</t>
  </si>
  <si>
    <t xml:space="preserve">Exhibit 99.1, Reconciliation of GAAP to Non-GAAP Financial Information &gt; Reconciliation of operating expenses; row 'Non-GAAP general and administrative'; column 'Six months ended June 30, 2025'</t>
  </si>
  <si>
    <t xml:space="preserve">QA-0658</t>
  </si>
  <si>
    <t xml:space="preserve">26,971</t>
  </si>
  <si>
    <t xml:space="preserve">Exhibit 99.1, Reconciliation of GAAP to Non-GAAP Financial Information &gt; Reconciliation of operating expenses; row 'Non-GAAP general and administrative'; column 'Three months ended September 30, 2025'</t>
  </si>
  <si>
    <t xml:space="preserve">QA-0659</t>
  </si>
  <si>
    <t xml:space="preserve">77,633</t>
  </si>
  <si>
    <t xml:space="preserve">Exhibit 99.1, Reconciliation of GAAP to Non-GAAP Financial Information &gt; Reconciliation of operating expenses; row 'Non-GAAP general and administrative'; column 'Nine months ended September 30, 2025'</t>
  </si>
  <si>
    <t xml:space="preserve">QA-0660</t>
  </si>
  <si>
    <t xml:space="preserve">29,247</t>
  </si>
  <si>
    <t xml:space="preserve">Exhibit 99.1, Reconciliation of GAAP to Non-GAAP Financial Information &gt; Reconciliation of operating expenses; row 'Non-GAAP general and administrative'; column 'Three months ended December 31, 2025'</t>
  </si>
  <si>
    <t xml:space="preserve">QA-0661</t>
  </si>
  <si>
    <t xml:space="preserve">106,880</t>
  </si>
  <si>
    <t xml:space="preserve">Exhibit 99.1, Reconciliation of GAAP to Non-GAAP Financial Information &gt; Reconciliation of operating expenses; row 'Non-GAAP general and administrative'; column 'Year ended December 31, 2025'</t>
  </si>
  <si>
    <t xml:space="preserve">QA-0662</t>
  </si>
  <si>
    <t xml:space="preserve">28,559</t>
  </si>
  <si>
    <t xml:space="preserve">Exhibit 99.1, Reconciliation of GAAP to Non-GAAP Financial Information &gt; Reconciliation of operating expenses; row 'Non-GAAP general and administrative'; column 'Three months ended March 31, 2026'</t>
  </si>
  <si>
    <t xml:space="preserve">QA-0663</t>
  </si>
  <si>
    <t xml:space="preserve">30,665</t>
  </si>
  <si>
    <t xml:space="preserve">Exhibit 99.1, Reconciliation of GAAP to Non-GAAP Financial Information &gt; Reconciliation of operating expenses; row 'Non-GAAP general and administrative'; column 'Three months ended June 30, 2026'</t>
  </si>
  <si>
    <t xml:space="preserve">QA-0664</t>
  </si>
  <si>
    <t xml:space="preserve">59,224</t>
  </si>
  <si>
    <t xml:space="preserve">Exhibit 99.1, Reconciliation of GAAP to Non-GAAP Financial Information &gt; Reconciliation of operating expenses; row 'Non-GAAP general and administrative'; column 'Six months ended June 30, 2026'</t>
  </si>
  <si>
    <t xml:space="preserve">QA-0665</t>
  </si>
  <si>
    <t xml:space="preserve">Operating income (loss) (non-GAAP)</t>
  </si>
  <si>
    <t xml:space="preserve">(23,307)</t>
  </si>
  <si>
    <t xml:space="preserve">Exhibit 99.1, Reconciliation of GAAP to Non-GAAP Financial Information &gt; Reconciliation of operating loss; row 'Non-GAAP operating loss'; column 'Three months ended March 31, 2021'</t>
  </si>
  <si>
    <t xml:space="preserve">QA-0666</t>
  </si>
  <si>
    <t xml:space="preserve">(9,911)</t>
  </si>
  <si>
    <t xml:space="preserve">Exhibit 99.1, Reconciliation of GAAP to Non-GAAP Financial Information &gt; Reconciliation of operating loss; row 'Non-GAAP operating loss'; column 'Three months ended June 30, 2021'</t>
  </si>
  <si>
    <t xml:space="preserve">QA-0667</t>
  </si>
  <si>
    <t xml:space="preserve">(33,218)</t>
  </si>
  <si>
    <t xml:space="preserve">Exhibit 99.1, Reconciliation of GAAP to Non-GAAP Financial Information &gt; Reconciliation of operating loss; row 'Non-GAAP operating loss'; column 'Six months ended June 30, 2021'</t>
  </si>
  <si>
    <t xml:space="preserve">QA-0668</t>
  </si>
  <si>
    <t xml:space="preserve">(9,449)</t>
  </si>
  <si>
    <t xml:space="preserve">Exhibit 99.1, Reconciliation of GAAP to Non-GAAP Financial Information &gt; Reconciliation of operating loss; row 'Non-GAAP operating loss'; column 'Three months ended September 30, 2021'</t>
  </si>
  <si>
    <t xml:space="preserve">QA-0669</t>
  </si>
  <si>
    <t xml:space="preserve">(42,667)</t>
  </si>
  <si>
    <t xml:space="preserve">Exhibit 99.1, Reconciliation of GAAP to Non-GAAP Financial Information &gt; Reconciliation of operating loss; row 'Non-GAAP operating loss'; column 'Nine months ended September 30, 2021'</t>
  </si>
  <si>
    <t xml:space="preserve">QA-0670</t>
  </si>
  <si>
    <t xml:space="preserve">(9,929)</t>
  </si>
  <si>
    <t xml:space="preserve">Exhibit 99.1, Reconciliation of GAAP to Non-GAAP Financial Information &gt; Reconciliation of operating loss; row 'Non-GAAP operating loss'; column 'Three months ended December 31, 2021'</t>
  </si>
  <si>
    <t xml:space="preserve">QA-0671</t>
  </si>
  <si>
    <t xml:space="preserve">(52,596)</t>
  </si>
  <si>
    <t xml:space="preserve">Exhibit 99.1, Reconciliation of GAAP to Non-GAAP Financial Information &gt; Reconciliation of operating loss; row 'Non-GAAP operating loss'; column 'Year ended December 31, 2021'</t>
  </si>
  <si>
    <t xml:space="preserve">QA-0672</t>
  </si>
  <si>
    <t xml:space="preserve">(43,830)</t>
  </si>
  <si>
    <t xml:space="preserve">Exhibit 99.1, Reconciliation of GAAP to Non-GAAP Financial Information &gt; Reconciliation of operating loss; row 'Non-GAAP operating loss'; column 'Three months ended March 31, 2022'</t>
  </si>
  <si>
    <t xml:space="preserve">QA-0673</t>
  </si>
  <si>
    <t xml:space="preserve">(15,358)</t>
  </si>
  <si>
    <t xml:space="preserve">Exhibit 99.1, Reconciliation of GAAP to Non-GAAP Financial Information &gt; Reconciliation of operating loss; row 'Non-GAAP operating loss'; column 'Three months ended June 30, 2022'</t>
  </si>
  <si>
    <t xml:space="preserve">QA-0674</t>
  </si>
  <si>
    <t xml:space="preserve">(59,188)</t>
  </si>
  <si>
    <t xml:space="preserve">Exhibit 99.1, Reconciliation of GAAP to Non-GAAP Financial Information &gt; Reconciliation of operating loss; row 'Non-GAAP operating loss'; column 'Six months ended June 30, 2022'</t>
  </si>
  <si>
    <t xml:space="preserve">QA-0675</t>
  </si>
  <si>
    <t xml:space="preserve">(2,185)</t>
  </si>
  <si>
    <t xml:space="preserve">Exhibit 99.1, Reconciliation of GAAP to Non-GAAP Financial Information &gt; Reconciliation of operating loss; row 'Non-GAAP operating loss'; column 'Three months ended September 30, 2022'</t>
  </si>
  <si>
    <t xml:space="preserve">QA-0676</t>
  </si>
  <si>
    <t xml:space="preserve">(61,373)</t>
  </si>
  <si>
    <t xml:space="preserve">Exhibit 99.1, Reconciliation of GAAP to Non-GAAP Financial Information &gt; Reconciliation of operating loss; row 'Non-GAAP operating loss'; column 'Nine months ended September 30, 2022'</t>
  </si>
  <si>
    <t xml:space="preserve">QA-0677</t>
  </si>
  <si>
    <t xml:space="preserve">14,278</t>
  </si>
  <si>
    <t xml:space="preserve">Exhibit 99.1, Reconciliation of GAAP to Non-GAAP Financial Information &gt; Reconciliation of operating income (loss); row 'Non-GAAP operating income (loss)'; column 'Three months ended December 31, 2022'</t>
  </si>
  <si>
    <t xml:space="preserve">QA-0678</t>
  </si>
  <si>
    <t xml:space="preserve">(47,095)</t>
  </si>
  <si>
    <t xml:space="preserve">Exhibit 99.1, Reconciliation of GAAP to Non-GAAP Financial Information &gt; Reconciliation of operating income (loss); row 'Non-GAAP operating income (loss)'; column 'Year ended December 31, 2022'</t>
  </si>
  <si>
    <t xml:space="preserve">QA-0679</t>
  </si>
  <si>
    <t xml:space="preserve">(293)</t>
  </si>
  <si>
    <t xml:space="preserve">Exhibit 99.1, Reconciliation of GAAP to Non-GAAP Financial Information &gt; Reconciliation of operating loss; row 'Non-GAAP operating loss'; column 'Three months ended March 31, 2023'</t>
  </si>
  <si>
    <t xml:space="preserve">QA-0680</t>
  </si>
  <si>
    <t xml:space="preserve">16,617</t>
  </si>
  <si>
    <t xml:space="preserve">Exhibit 99.1, Reconciliation of GAAP to Non-GAAP Financial Information &gt; Reconciliation of operating income (loss); row 'Non-GAAP operating income (loss)'; column 'Three months ended June 30, 2023'</t>
  </si>
  <si>
    <t xml:space="preserve">QA-0681</t>
  </si>
  <si>
    <t xml:space="preserve">16,324</t>
  </si>
  <si>
    <t xml:space="preserve">Exhibit 99.1, Reconciliation of GAAP to Non-GAAP Financial Information &gt; Reconciliation of operating income (loss); row 'Non-GAAP operating income (loss)'; column 'Six months ended June 30, 2023'</t>
  </si>
  <si>
    <t xml:space="preserve">QA-0682</t>
  </si>
  <si>
    <t xml:space="preserve">24,077</t>
  </si>
  <si>
    <t xml:space="preserve">Exhibit 99.1, Reconciliation of GAAP to Non-GAAP Financial Information &gt; Reconciliation of operating income (loss); row 'Non-GAAP operating income (loss)'; column 'Three months ended September 30, 2023'</t>
  </si>
  <si>
    <t xml:space="preserve">QA-0683</t>
  </si>
  <si>
    <t xml:space="preserve">40,401</t>
  </si>
  <si>
    <t xml:space="preserve">Exhibit 99.1, Reconciliation of GAAP to Non-GAAP Financial Information &gt; Reconciliation of operating income (loss); row 'Non-GAAP operating income (loss)'; column 'Nine months ended September 30, 2023'</t>
  </si>
  <si>
    <t xml:space="preserve">QA-0684</t>
  </si>
  <si>
    <t xml:space="preserve">21,200</t>
  </si>
  <si>
    <t xml:space="preserve">Exhibit 99.1, Reconciliation of GAAP to Non-GAAP Financial Information &gt; Reconciliation of operating income (loss); row 'Non-GAAP operating income (loss)'; column 'Three months ended December 31, 2023'</t>
  </si>
  <si>
    <t xml:space="preserve">QA-0685</t>
  </si>
  <si>
    <t xml:space="preserve">61,601</t>
  </si>
  <si>
    <t xml:space="preserve">Exhibit 99.1, Reconciliation of GAAP to Non-GAAP Financial Information &gt; Reconciliation of operating income (loss); row 'Non-GAAP operating income (loss)'; column 'Year ended December 31, 2023'</t>
  </si>
  <si>
    <t xml:space="preserve">QA-0686</t>
  </si>
  <si>
    <t xml:space="preserve">21,521</t>
  </si>
  <si>
    <t xml:space="preserve">Exhibit 99.1, Reconciliation of GAAP to Non-GAAP Financial Information &gt; Reconciliation of operating income (loss); row 'Non-GAAP operating income (loss)'; column 'Three months ended March 31, 2024'</t>
  </si>
  <si>
    <t xml:space="preserve">QA-0687</t>
  </si>
  <si>
    <t xml:space="preserve">38,417</t>
  </si>
  <si>
    <t xml:space="preserve">Exhibit 99.1, Reconciliation of GAAP to Non-GAAP Financial Information &gt; Reconciliation of operating income (loss); row 'Non-GAAP operating income'; column 'Three months ended June 30, 2024'</t>
  </si>
  <si>
    <t xml:space="preserve">QA-0688</t>
  </si>
  <si>
    <t xml:space="preserve">59,938</t>
  </si>
  <si>
    <t xml:space="preserve">Exhibit 99.1, Reconciliation of GAAP to Non-GAAP Financial Information &gt; Reconciliation of operating income (loss); row 'Non-GAAP operating income'; column 'Six months ended June 30, 2024'</t>
  </si>
  <si>
    <t xml:space="preserve">QA-0689</t>
  </si>
  <si>
    <t xml:space="preserve">32,180</t>
  </si>
  <si>
    <t xml:space="preserve">Exhibit 99.1, Reconciliation of GAAP to Non-GAAP Financial Information &gt; Reconciliation of operating income (loss); row 'Non-GAAP operating income'; column 'Three months ended September 30, 2024'</t>
  </si>
  <si>
    <t xml:space="preserve">QA-0690</t>
  </si>
  <si>
    <t xml:space="preserve">92,118</t>
  </si>
  <si>
    <t xml:space="preserve">Exhibit 99.1, Reconciliation of GAAP to Non-GAAP Financial Information &gt; Reconciliation of operating income (loss); row 'Non-GAAP operating income'; column 'Nine months ended September 30, 2024'</t>
  </si>
  <si>
    <t xml:space="preserve">QA-0691</t>
  </si>
  <si>
    <t xml:space="preserve">40,265</t>
  </si>
  <si>
    <t xml:space="preserve">Exhibit 99.1, Reconciliation of GAAP to Non-GAAP Financial Information &gt; Reconciliation of operating income (loss); row 'Non-GAAP operating income'; column 'Three months ended December 31, 2024'</t>
  </si>
  <si>
    <t xml:space="preserve">QA-0692</t>
  </si>
  <si>
    <t xml:space="preserve">132,383</t>
  </si>
  <si>
    <t xml:space="preserve">Exhibit 99.1, Reconciliation of GAAP to Non-GAAP Financial Information &gt; Reconciliation of operating income (loss); row 'Non-GAAP operating income'; column 'Year ended December 31, 2024'</t>
  </si>
  <si>
    <t xml:space="preserve">QA-0693</t>
  </si>
  <si>
    <t xml:space="preserve">40,754</t>
  </si>
  <si>
    <t xml:space="preserve">Exhibit 99.1, Reconciliation of GAAP to Non-GAAP Financial Information &gt; Reconciliation of operating income (loss); row 'Non-GAAP operating income'; column 'Three months ended March 31, 2025'</t>
  </si>
  <si>
    <t xml:space="preserve">QA-0694</t>
  </si>
  <si>
    <t xml:space="preserve">45,094</t>
  </si>
  <si>
    <t xml:space="preserve">Exhibit 99.1, Reconciliation of GAAP to Non-GAAP Financial Information &gt; Reconciliation of operating income (loss); row 'Non-GAAP operating income'; column 'Three months ended June 30, 2025'</t>
  </si>
  <si>
    <t xml:space="preserve">QA-0695</t>
  </si>
  <si>
    <t xml:space="preserve">85,848</t>
  </si>
  <si>
    <t xml:space="preserve">Exhibit 99.1, Reconciliation of GAAP to Non-GAAP Financial Information &gt; Reconciliation of operating income (loss); row 'Non-GAAP operating income'; column 'Six months ended June 30, 2025'</t>
  </si>
  <si>
    <t xml:space="preserve">QA-0696</t>
  </si>
  <si>
    <t xml:space="preserve">47,484</t>
  </si>
  <si>
    <t xml:space="preserve">Exhibit 99.1, Reconciliation of GAAP to Non-GAAP Financial Information &gt; Reconciliation of operating income (loss); row 'Non-GAAP operating income'; column 'Three months ended September 30, 2025'</t>
  </si>
  <si>
    <t xml:space="preserve">QA-0697</t>
  </si>
  <si>
    <t xml:space="preserve">133,332</t>
  </si>
  <si>
    <t xml:space="preserve">Exhibit 99.1, Reconciliation of GAAP to Non-GAAP Financial Information &gt; Reconciliation of operating income (loss); row 'Non-GAAP operating income'; column 'Nine months ended September 30, 2025'</t>
  </si>
  <si>
    <t xml:space="preserve">QA-0698</t>
  </si>
  <si>
    <t xml:space="preserve">41,931</t>
  </si>
  <si>
    <t xml:space="preserve">Exhibit 99.1, Reconciliation of GAAP to Non-GAAP Financial Information &gt; Reconciliation of operating income (loss); row 'Non-GAAP operating income'; column 'Three months ended December 31, 2025'</t>
  </si>
  <si>
    <t xml:space="preserve">QA-0699</t>
  </si>
  <si>
    <t xml:space="preserve">175,263</t>
  </si>
  <si>
    <t xml:space="preserve">Exhibit 99.1, Reconciliation of GAAP to Non-GAAP Financial Information &gt; Reconciliation of operating income (loss); row 'Non-GAAP operating income'; column 'Year ended December 31, 2025'</t>
  </si>
  <si>
    <t xml:space="preserve">QA-0700</t>
  </si>
  <si>
    <t xml:space="preserve">49,037</t>
  </si>
  <si>
    <t xml:space="preserve">Exhibit 99.1, Reconciliation of GAAP to Non-GAAP Financial Information &gt; Reconciliation of operating income (loss); row 'Non-GAAP operating income'; column 'Three months ended March 31, 2026'</t>
  </si>
  <si>
    <t xml:space="preserve">QA-0701</t>
  </si>
  <si>
    <t xml:space="preserve">61,110</t>
  </si>
  <si>
    <t xml:space="preserve">Exhibit 99.1, Reconciliation of GAAP to Non-GAAP Financial Information &gt; Reconciliation of operating income (loss); row 'Non-GAAP operating income'; column 'Three months ended June 30, 2026'</t>
  </si>
  <si>
    <t xml:space="preserve">QA-0702</t>
  </si>
  <si>
    <t xml:space="preserve">110,147</t>
  </si>
  <si>
    <t xml:space="preserve">Exhibit 99.1, Reconciliation of GAAP to Non-GAAP Financial Information &gt; Reconciliation of operating income (loss); row 'Non-GAAP operating income'; column 'Six months ended June 30, 2026'</t>
  </si>
  <si>
    <t xml:space="preserve">QA-0703</t>
  </si>
  <si>
    <t xml:space="preserve">Operating margin (non-GAAP), as reported</t>
  </si>
  <si>
    <t xml:space="preserve">(40)%</t>
  </si>
  <si>
    <t xml:space="preserve">Exhibit 99.1, Reconciliation of GAAP to Non-GAAP Financial Information &gt; Reconciliation of operating loss; row 'Non-GAAP operating margin'; column 'Three months ended March 31, 2021'</t>
  </si>
  <si>
    <t xml:space="preserve">QA-0704</t>
  </si>
  <si>
    <t xml:space="preserve">Exhibit 99.1, Reconciliation of GAAP to Non-GAAP Financial Information &gt; Reconciliation of operating loss; row 'Non-GAAP operating margin'; column 'Three months ended June 30, 2021'</t>
  </si>
  <si>
    <t xml:space="preserve">QA-0705</t>
  </si>
  <si>
    <t xml:space="preserve">(26)%</t>
  </si>
  <si>
    <t xml:space="preserve">Exhibit 99.1, Reconciliation of GAAP to Non-GAAP Financial Information &gt; Reconciliation of operating loss; row 'Non-GAAP operating margin'; column 'Six months ended June 30, 2021'</t>
  </si>
  <si>
    <t xml:space="preserve">QA-0706</t>
  </si>
  <si>
    <t xml:space="preserve">Exhibit 99.1, Reconciliation of GAAP to Non-GAAP Financial Information &gt; Reconciliation of operating loss; row 'Non-GAAP operating margin'; column 'Three months ended September 30, 2021'</t>
  </si>
  <si>
    <t xml:space="preserve">QA-0707</t>
  </si>
  <si>
    <t xml:space="preserve">(20)%</t>
  </si>
  <si>
    <t xml:space="preserve">Exhibit 99.1, Reconciliation of GAAP to Non-GAAP Financial Information &gt; Reconciliation of operating loss; row 'Non-GAAP operating margin'; column 'Nine months ended September 30, 2021'</t>
  </si>
  <si>
    <t xml:space="preserve">QA-0708</t>
  </si>
  <si>
    <t xml:space="preserve">Exhibit 99.1, Reconciliation of GAAP to Non-GAAP Financial Information &gt; Reconciliation of operating loss; row 'Non-GAAP operating margin'; column 'Three months ended December 31, 2021'</t>
  </si>
  <si>
    <t xml:space="preserve">QA-0709</t>
  </si>
  <si>
    <t xml:space="preserve">(17)%</t>
  </si>
  <si>
    <t xml:space="preserve">Exhibit 99.1, Reconciliation of GAAP to Non-GAAP Financial Information &gt; Reconciliation of operating loss; row 'Non-GAAP operating margin'; column 'Year ended December 31, 2021'</t>
  </si>
  <si>
    <t xml:space="preserve">QA-0710</t>
  </si>
  <si>
    <t xml:space="preserve">Exhibit 99.1, Reconciliation of GAAP to Non-GAAP Financial Information &gt; Reconciliation of operating loss; row 'Non-GAAP operating margin'; column 'Three months ended March 31, 2022'</t>
  </si>
  <si>
    <t xml:space="preserve">QA-0711</t>
  </si>
  <si>
    <t xml:space="preserve">(12)%</t>
  </si>
  <si>
    <t xml:space="preserve">Exhibit 99.1, Reconciliation of GAAP to Non-GAAP Financial Information &gt; Reconciliation of operating loss; row 'Non-GAAP operating margin'; column 'Three months ended June 30, 2022'</t>
  </si>
  <si>
    <t xml:space="preserve">QA-0712</t>
  </si>
  <si>
    <t xml:space="preserve">(25)%</t>
  </si>
  <si>
    <t xml:space="preserve">Exhibit 99.1, Reconciliation of GAAP to Non-GAAP Financial Information &gt; Reconciliation of operating loss; row 'Non-GAAP operating margin'; column 'Six months ended June 30, 2022'</t>
  </si>
  <si>
    <t xml:space="preserve">QA-0713</t>
  </si>
  <si>
    <t xml:space="preserve">Exhibit 99.1, Reconciliation of GAAP to Non-GAAP Financial Information &gt; Reconciliation of operating loss; row 'Non-GAAP operating margin'; column 'Three months ended September 30, 2022'</t>
  </si>
  <si>
    <t xml:space="preserve">QA-0714</t>
  </si>
  <si>
    <t xml:space="preserve">Exhibit 99.1, Reconciliation of GAAP to Non-GAAP Financial Information &gt; Reconciliation of operating loss; row 'Non-GAAP operating margin'; column 'Nine months ended September 30, 2022'</t>
  </si>
  <si>
    <t xml:space="preserve">QA-0715</t>
  </si>
  <si>
    <t xml:space="preserve">10%</t>
  </si>
  <si>
    <t xml:space="preserve">Exhibit 99.1, Reconciliation of GAAP to Non-GAAP Financial Information &gt; Reconciliation of operating income (loss); row 'Non-GAAP operating margin'; column 'Three months ended December 31, 2022'</t>
  </si>
  <si>
    <t xml:space="preserve">QA-0716</t>
  </si>
  <si>
    <t xml:space="preserve">(9)%</t>
  </si>
  <si>
    <t xml:space="preserve">Exhibit 99.1, Reconciliation of GAAP to Non-GAAP Financial Information &gt; Reconciliation of operating income (loss); row 'Non-GAAP operating margin'; column 'Year ended December 31, 2022'</t>
  </si>
  <si>
    <t xml:space="preserve">QA-0717</t>
  </si>
  <si>
    <t xml:space="preserve">Exhibit 99.1, Reconciliation of GAAP to Non-GAAP Financial Information &gt; Reconciliation of operating loss; row 'Non-GAAP operating margin'; column 'Three months ended March 31, 2023'</t>
  </si>
  <si>
    <t xml:space="preserve">QA-0718</t>
  </si>
  <si>
    <t xml:space="preserve">9%</t>
  </si>
  <si>
    <t xml:space="preserve">Exhibit 99.1, Reconciliation of GAAP to Non-GAAP Financial Information &gt; Reconciliation of operating income (loss); row 'Non-GAAP operating margin'; column 'Three months ended June 30, 2023'</t>
  </si>
  <si>
    <t xml:space="preserve">QA-0719</t>
  </si>
  <si>
    <t xml:space="preserve">5%</t>
  </si>
  <si>
    <t xml:space="preserve">Exhibit 99.1, Reconciliation of GAAP to Non-GAAP Financial Information &gt; Reconciliation of operating income (loss); row 'Non-GAAP operating margin'; column 'Six months ended June 30, 2023'</t>
  </si>
  <si>
    <t xml:space="preserve">QA-0720</t>
  </si>
  <si>
    <t xml:space="preserve">13%</t>
  </si>
  <si>
    <t xml:space="preserve">Exhibit 99.1, Reconciliation of GAAP to Non-GAAP Financial Information &gt; Reconciliation of operating income (loss); row 'Non-GAAP operating margin'; column 'Three months ended September 30, 2023'</t>
  </si>
  <si>
    <t xml:space="preserve">QA-0721</t>
  </si>
  <si>
    <t xml:space="preserve">8%</t>
  </si>
  <si>
    <t xml:space="preserve">Exhibit 99.1, Reconciliation of GAAP to Non-GAAP Financial Information &gt; Reconciliation of operating income (loss); row 'Non-GAAP operating margin'; column 'Nine months ended September 30, 2023'</t>
  </si>
  <si>
    <t xml:space="preserve">QA-0722</t>
  </si>
  <si>
    <t xml:space="preserve">Exhibit 99.1, Reconciliation of GAAP to Non-GAAP Financial Information &gt; Reconciliation of operating income (loss); row 'Non-GAAP operating margin'; column 'Three months ended December 31, 2023'</t>
  </si>
  <si>
    <t xml:space="preserve">QA-0723</t>
  </si>
  <si>
    <t xml:space="preserve">Exhibit 99.1, Reconciliation of GAAP to Non-GAAP Financial Information &gt; Reconciliation of operating income (loss); row 'Non-GAAP operating margin'; column 'Year ended December 31, 2023'</t>
  </si>
  <si>
    <t xml:space="preserve">QA-0724</t>
  </si>
  <si>
    <t xml:space="preserve">Exhibit 99.1, Reconciliation of GAAP to Non-GAAP Financial Information &gt; Reconciliation of operating income (loss); row 'Non-GAAP operating margin'; column 'Three months ended March 31, 2024'</t>
  </si>
  <si>
    <t xml:space="preserve">QA-0725</t>
  </si>
  <si>
    <t xml:space="preserve">16%</t>
  </si>
  <si>
    <t xml:space="preserve">Exhibit 99.1, Reconciliation of GAAP to Non-GAAP Financial Information &gt; Reconciliation of operating income (loss); row 'Non-GAAP operating margin'; column 'Three months ended June 30, 2024'</t>
  </si>
  <si>
    <t xml:space="preserve">QA-0726</t>
  </si>
  <si>
    <t xml:space="preserve">Exhibit 99.1, Reconciliation of GAAP to Non-GAAP Financial Information &gt; Reconciliation of operating income (loss); row 'Non-GAAP operating margin'; column 'Six months ended June 30, 2024'</t>
  </si>
  <si>
    <t xml:space="preserve">QA-0727</t>
  </si>
  <si>
    <t xml:space="preserve">Exhibit 99.1, Reconciliation of GAAP to Non-GAAP Financial Information &gt; Reconciliation of operating income (loss); row 'Non-GAAP operating margin'; column 'Three months ended September 30, 2024'</t>
  </si>
  <si>
    <t xml:space="preserve">QA-0728</t>
  </si>
  <si>
    <t xml:space="preserve">Exhibit 99.1, Reconciliation of GAAP to Non-GAAP Financial Information &gt; Reconciliation of operating income (loss); row 'Non-GAAP operating margin'; column 'Nine months ended September 30, 2024'</t>
  </si>
  <si>
    <t xml:space="preserve">QA-0729</t>
  </si>
  <si>
    <t xml:space="preserve">15%</t>
  </si>
  <si>
    <t xml:space="preserve">Exhibit 99.1, Reconciliation of GAAP to Non-GAAP Financial Information &gt; Reconciliation of operating income (loss); row 'Non-GAAP operating margin'; column 'Three months ended December 31, 2024'</t>
  </si>
  <si>
    <t xml:space="preserve">QA-0730</t>
  </si>
  <si>
    <t xml:space="preserve">14%</t>
  </si>
  <si>
    <t xml:space="preserve">Exhibit 99.1, Reconciliation of GAAP to Non-GAAP Financial Information &gt; Reconciliation of operating income (loss); row 'Non-GAAP operating margin'; column 'Year ended December 31, 2024'</t>
  </si>
  <si>
    <t xml:space="preserve">QA-0731</t>
  </si>
  <si>
    <t xml:space="preserve">Exhibit 99.1, Reconciliation of GAAP to Non-GAAP Financial Information &gt; Reconciliation of operating income (loss); row 'Non-GAAP operating margin'; column 'Three months ended March 31, 2025'</t>
  </si>
  <si>
    <t xml:space="preserve">QA-0732</t>
  </si>
  <si>
    <t xml:space="preserve">Exhibit 99.1, Reconciliation of GAAP to Non-GAAP Financial Information &gt; Reconciliation of operating income (loss); row 'Non-GAAP operating margin'; column 'Three months ended June 30, 2025'</t>
  </si>
  <si>
    <t xml:space="preserve">QA-0733</t>
  </si>
  <si>
    <t xml:space="preserve">Exhibit 99.1, Reconciliation of GAAP to Non-GAAP Financial Information &gt; Reconciliation of operating income (loss); row 'Non-GAAP operating margin'; column 'Six months ended June 30, 2025'</t>
  </si>
  <si>
    <t xml:space="preserve">QA-0734</t>
  </si>
  <si>
    <t xml:space="preserve">Exhibit 99.1, Reconciliation of GAAP to Non-GAAP Financial Information &gt; Reconciliation of operating income (loss); row 'Non-GAAP operating margin'; column 'Three months ended September 30, 2025'</t>
  </si>
  <si>
    <t xml:space="preserve">QA-0735</t>
  </si>
  <si>
    <t xml:space="preserve">Exhibit 99.1, Reconciliation of GAAP to Non-GAAP Financial Information &gt; Reconciliation of operating income (loss); row 'Non-GAAP operating margin'; column 'Nine months ended September 30, 2025'</t>
  </si>
  <si>
    <t xml:space="preserve">QA-0736</t>
  </si>
  <si>
    <t xml:space="preserve">Exhibit 99.1, Reconciliation of GAAP to Non-GAAP Financial Information &gt; Reconciliation of operating income (loss); row 'Non-GAAP operating margin'; column 'Three months ended December 31, 2025'</t>
  </si>
  <si>
    <t xml:space="preserve">QA-0737</t>
  </si>
  <si>
    <t xml:space="preserve">Exhibit 99.1, Reconciliation of GAAP to Non-GAAP Financial Information &gt; Reconciliation of operating income (loss); row 'Non-GAAP operating margin'; column 'Year ended December 31, 2025'</t>
  </si>
  <si>
    <t xml:space="preserve">QA-0738</t>
  </si>
  <si>
    <t xml:space="preserve">Exhibit 99.1, Reconciliation of GAAP to Non-GAAP Financial Information &gt; Reconciliation of operating income (loss); row 'Non-GAAP operating margin'; column 'Three months ended March 31, 2026'</t>
  </si>
  <si>
    <t xml:space="preserve">QA-0739</t>
  </si>
  <si>
    <t xml:space="preserve">17%</t>
  </si>
  <si>
    <t xml:space="preserve">Exhibit 99.1, Reconciliation of GAAP to Non-GAAP Financial Information &gt; Reconciliation of operating income (loss); row 'Non-GAAP operating margin'; column 'Three months ended June 30, 2026'</t>
  </si>
  <si>
    <t xml:space="preserve">QA-0740</t>
  </si>
  <si>
    <t xml:space="preserve">Exhibit 99.1, Reconciliation of GAAP to Non-GAAP Financial Information &gt; Reconciliation of operating income (loss); row 'Non-GAAP operating margin'; column 'Six months ended June 30, 2026'</t>
  </si>
  <si>
    <t xml:space="preserve">QA-0741</t>
  </si>
  <si>
    <t xml:space="preserve">Net income (loss) (non-GAAP)</t>
  </si>
  <si>
    <t xml:space="preserve">(24,412)</t>
  </si>
  <si>
    <t xml:space="preserve">Exhibit 99.1, Reconciliation of GAAP to Non-GAAP Financial Information &gt; Reconciliation of operating loss; row 'Non-GAAP net loss'; column 'Three months ended March 31, 2021'</t>
  </si>
  <si>
    <t xml:space="preserve">QA-0742</t>
  </si>
  <si>
    <t xml:space="preserve">(11,333)</t>
  </si>
  <si>
    <t xml:space="preserve">Exhibit 99.1, Reconciliation of GAAP to Non-GAAP Financial Information &gt; Reconciliation of net loss; row 'Non-GAAP net loss'; column 'Three months ended June 30, 2021'</t>
  </si>
  <si>
    <t xml:space="preserve">QA-0743</t>
  </si>
  <si>
    <t xml:space="preserve">(35,745)</t>
  </si>
  <si>
    <t xml:space="preserve">Exhibit 99.1, Reconciliation of GAAP to Non-GAAP Financial Information &gt; Reconciliation of net loss; row 'Non-GAAP net loss'; column 'Six months ended June 30, 2021'</t>
  </si>
  <si>
    <t xml:space="preserve">QA-0744</t>
  </si>
  <si>
    <t xml:space="preserve">(11,373)</t>
  </si>
  <si>
    <t xml:space="preserve">Exhibit 99.1, Reconciliation of GAAP to Non-GAAP Financial Information &gt; Reconciliation of net loss; row 'Non-GAAP net loss'; column 'Three months ended September 30, 2021'</t>
  </si>
  <si>
    <t xml:space="preserve">QA-0745</t>
  </si>
  <si>
    <t xml:space="preserve">(47,118)</t>
  </si>
  <si>
    <t xml:space="preserve">Exhibit 99.1, Reconciliation of GAAP to Non-GAAP Financial Information &gt; Reconciliation of net loss; row 'Non-GAAP net loss'; column 'Nine months ended September 30, 2021'</t>
  </si>
  <si>
    <t xml:space="preserve">QA-0746</t>
  </si>
  <si>
    <t xml:space="preserve">(11,716)</t>
  </si>
  <si>
    <t xml:space="preserve">Exhibit 99.1, Reconciliation of GAAP to Non-GAAP Financial Information &gt; Reconciliation of net loss; row 'Non-GAAP net loss'; column 'Three months ended December 31, 2021'</t>
  </si>
  <si>
    <t xml:space="preserve">QA-0747</t>
  </si>
  <si>
    <t xml:space="preserve">(58,834)</t>
  </si>
  <si>
    <t xml:space="preserve">Exhibit 99.1, Reconciliation of GAAP to Non-GAAP Financial Information &gt; Reconciliation of net loss; row 'Non-GAAP net loss'; column 'Year ended December 31, 2021'</t>
  </si>
  <si>
    <t xml:space="preserve">QA-0748</t>
  </si>
  <si>
    <t xml:space="preserve">(43,239)</t>
  </si>
  <si>
    <t xml:space="preserve">Exhibit 99.1, Reconciliation of GAAP to Non-GAAP Financial Information &gt; Reconciliation of operating loss; row 'Non-GAAP net loss'; column 'Three months ended March 31, 2022'</t>
  </si>
  <si>
    <t xml:space="preserve">QA-0749</t>
  </si>
  <si>
    <t xml:space="preserve">(14,917)</t>
  </si>
  <si>
    <t xml:space="preserve">Exhibit 99.1, Reconciliation of GAAP to Non-GAAP Financial Information &gt; Reconciliation of net loss; row 'Non-GAAP net loss'; column 'Three months ended June 30, 2022'</t>
  </si>
  <si>
    <t xml:space="preserve">QA-0750</t>
  </si>
  <si>
    <t xml:space="preserve">(58,156)</t>
  </si>
  <si>
    <t xml:space="preserve">Exhibit 99.1, Reconciliation of GAAP to Non-GAAP Financial Information &gt; Reconciliation of net loss; row 'Non-GAAP net loss'; column 'Six months ended June 30, 2022'</t>
  </si>
  <si>
    <t xml:space="preserve">QA-0751</t>
  </si>
  <si>
    <t xml:space="preserve">2,576</t>
  </si>
  <si>
    <t xml:space="preserve">Exhibit 99.1, Reconciliation of GAAP to Non-GAAP Financial Information &gt; Reconciliation of net income (loss); row 'Non-GAAP net income (loss)'; column 'Three months ended September 30, 2022'</t>
  </si>
  <si>
    <t xml:space="preserve">QA-0752</t>
  </si>
  <si>
    <t xml:space="preserve">(55,580)</t>
  </si>
  <si>
    <t xml:space="preserve">Exhibit 99.1, Reconciliation of GAAP to Non-GAAP Financial Information &gt; Reconciliation of net income (loss); row 'Non-GAAP net income (loss)'; column 'Nine months ended September 30, 2022'</t>
  </si>
  <si>
    <t xml:space="preserve">QA-0753</t>
  </si>
  <si>
    <t xml:space="preserve">22,202</t>
  </si>
  <si>
    <t xml:space="preserve">Exhibit 99.1, Reconciliation of GAAP to Non-GAAP Financial Information &gt; Reconciliation of net income (loss); row 'Non-GAAP net income (loss)'; column 'Three months ended December 31, 2022'</t>
  </si>
  <si>
    <t xml:space="preserve">QA-0754</t>
  </si>
  <si>
    <t xml:space="preserve">(33,378)</t>
  </si>
  <si>
    <t xml:space="preserve">Exhibit 99.1, Reconciliation of GAAP to Non-GAAP Financial Information &gt; Reconciliation of net income (loss); row 'Non-GAAP net income (loss)'; column 'Year ended December 31, 2022'</t>
  </si>
  <si>
    <t xml:space="preserve">QA-0755</t>
  </si>
  <si>
    <t xml:space="preserve">7,233</t>
  </si>
  <si>
    <t xml:space="preserve">Exhibit 99.1, Reconciliation of GAAP to Non-GAAP Financial Information &gt; Reconciliation of net income (loss); row 'Non-GAAP net income (loss)'; column 'Three months ended March 31, 2023'</t>
  </si>
  <si>
    <t xml:space="preserve">QA-0756</t>
  </si>
  <si>
    <t xml:space="preserve">20,963</t>
  </si>
  <si>
    <t xml:space="preserve">Exhibit 99.1, Reconciliation of GAAP to Non-GAAP Financial Information &gt; Reconciliation of net income (loss); row 'Non-GAAP net income (loss)'; column 'Three months ended June 30, 2023'</t>
  </si>
  <si>
    <t xml:space="preserve">QA-0757</t>
  </si>
  <si>
    <t xml:space="preserve">28,196</t>
  </si>
  <si>
    <t xml:space="preserve">Exhibit 99.1, Reconciliation of GAAP to Non-GAAP Financial Information &gt; Reconciliation of net income (loss); row 'Non-GAAP net income (loss)'; column 'Six months ended June 30, 2023'</t>
  </si>
  <si>
    <t xml:space="preserve">QA-0758</t>
  </si>
  <si>
    <t xml:space="preserve">33,011</t>
  </si>
  <si>
    <t xml:space="preserve">Exhibit 99.1, Reconciliation of GAAP to Non-GAAP Financial Information &gt; Reconciliation of net income (loss); row 'Non-GAAP net income (loss)'; column 'Three months ended September 30, 2023'</t>
  </si>
  <si>
    <t xml:space="preserve">QA-0759</t>
  </si>
  <si>
    <t xml:space="preserve">61,207</t>
  </si>
  <si>
    <t xml:space="preserve">Exhibit 99.1, Reconciliation of GAAP to Non-GAAP Financial Information &gt; Reconciliation of net income (loss); row 'Non-GAAP net income (loss)'; column 'Nine months ended September 30, 2023'</t>
  </si>
  <si>
    <t xml:space="preserve">QA-0760</t>
  </si>
  <si>
    <t xml:space="preserve">33,710</t>
  </si>
  <si>
    <t xml:space="preserve">Exhibit 99.1, Reconciliation of GAAP to Non-GAAP Financial Information &gt; Reconciliation of net income (loss); row 'Non-GAAP net income (loss)'; column 'Three months ended December 31, 2023'</t>
  </si>
  <si>
    <t xml:space="preserve">QA-0761</t>
  </si>
  <si>
    <t xml:space="preserve">94,917</t>
  </si>
  <si>
    <t xml:space="preserve">Exhibit 99.1, Reconciliation of GAAP to Non-GAAP Financial Information &gt; Reconciliation of net income (loss); row 'Non-GAAP net income (loss)'; column 'Year ended December 31, 2023'</t>
  </si>
  <si>
    <t xml:space="preserve">QA-0762</t>
  </si>
  <si>
    <t xml:space="preserve">31,716</t>
  </si>
  <si>
    <t xml:space="preserve">Exhibit 99.1, Reconciliation of GAAP to Non-GAAP Financial Information &gt; Reconciliation of net income (loss); row 'Non-GAAP net income'; column 'Three months ended March 31, 2024'</t>
  </si>
  <si>
    <t xml:space="preserve">QA-0763</t>
  </si>
  <si>
    <t xml:space="preserve">49,318</t>
  </si>
  <si>
    <t xml:space="preserve">Exhibit 99.1, Reconciliation of GAAP to Non-GAAP Financial Information &gt; Reconciliation of net income (loss); row 'Non-GAAP net income'; column 'Three months ended June 30, 2024'</t>
  </si>
  <si>
    <t xml:space="preserve">QA-0764</t>
  </si>
  <si>
    <t xml:space="preserve">81,034</t>
  </si>
  <si>
    <t xml:space="preserve">Exhibit 99.1, Reconciliation of GAAP to Non-GAAP Financial Information &gt; Reconciliation of net income (loss); row 'Non-GAAP net income'; column 'Six months ended June 30, 2024'</t>
  </si>
  <si>
    <t xml:space="preserve">QA-0765</t>
  </si>
  <si>
    <t xml:space="preserve">44,969</t>
  </si>
  <si>
    <t xml:space="preserve">Exhibit 99.1, Reconciliation of GAAP to Non-GAAP Financial Information &gt; Reconciliation of net income (loss); row 'Non-GAAP net income'; column 'Three months ended September 30, 2024'</t>
  </si>
  <si>
    <t xml:space="preserve">QA-0766</t>
  </si>
  <si>
    <t xml:space="preserve">126,003</t>
  </si>
  <si>
    <t xml:space="preserve">Exhibit 99.1, Reconciliation of GAAP to Non-GAAP Financial Information &gt; Reconciliation of net income (loss); row 'Non-GAAP net income'; column 'Nine months ended September 30, 2024'</t>
  </si>
  <si>
    <t xml:space="preserve">QA-0767</t>
  </si>
  <si>
    <t xml:space="preserve">57,300</t>
  </si>
  <si>
    <t xml:space="preserve">Exhibit 99.1, Reconciliation of GAAP to Non-GAAP Financial Information &gt; Reconciliation of net income (loss); row 'Non-GAAP net income'; column 'Three months ended December 31, 2024'</t>
  </si>
  <si>
    <t xml:space="preserve">QA-0768</t>
  </si>
  <si>
    <t xml:space="preserve">183,303</t>
  </si>
  <si>
    <t xml:space="preserve">Exhibit 99.1, Reconciliation of GAAP to Non-GAAP Financial Information &gt; Reconciliation of net income (loss); row 'Non-GAAP net income'; column 'Year ended December 31, 2024'</t>
  </si>
  <si>
    <t xml:space="preserve">QA-0769</t>
  </si>
  <si>
    <t xml:space="preserve">58,383</t>
  </si>
  <si>
    <t xml:space="preserve">Exhibit 99.1, Reconciliation of GAAP to Non-GAAP Financial Information &gt; Reconciliation of net income; row 'Non-GAAP net income'; column 'Three months ended March 31, 2025'</t>
  </si>
  <si>
    <t xml:space="preserve">QA-0770</t>
  </si>
  <si>
    <t xml:space="preserve">58,296</t>
  </si>
  <si>
    <t xml:space="preserve">Exhibit 99.1, Reconciliation of GAAP to Non-GAAP Financial Information &gt; Reconciliation of net income; row 'Non-GAAP net income'; column 'Three months ended June 30, 2025'</t>
  </si>
  <si>
    <t xml:space="preserve">QA-0771</t>
  </si>
  <si>
    <t xml:space="preserve">116,679</t>
  </si>
  <si>
    <t xml:space="preserve">Exhibit 99.1, Reconciliation of GAAP to Non-GAAP Financial Information &gt; Reconciliation of net income; row 'Non-GAAP net income'; column 'Six months ended June 30, 2025'</t>
  </si>
  <si>
    <t xml:space="preserve">QA-0772</t>
  </si>
  <si>
    <t xml:space="preserve">61,899</t>
  </si>
  <si>
    <t xml:space="preserve">Exhibit 99.1, Reconciliation of GAAP to Non-GAAP Financial Information &gt; Reconciliation of net income (loss); row 'Non-GAAP net income'; column 'Three months ended September 30, 2025'</t>
  </si>
  <si>
    <t xml:space="preserve">QA-0773</t>
  </si>
  <si>
    <t xml:space="preserve">178,578</t>
  </si>
  <si>
    <t xml:space="preserve">Exhibit 99.1, Reconciliation of GAAP to Non-GAAP Financial Information &gt; Reconciliation of net income (loss); row 'Non-GAAP net income'; column 'Nine months ended September 30, 2025'</t>
  </si>
  <si>
    <t xml:space="preserve">QA-0774</t>
  </si>
  <si>
    <t xml:space="preserve">55,008</t>
  </si>
  <si>
    <t xml:space="preserve">Exhibit 99.1, Reconciliation of GAAP to Non-GAAP Financial Information &gt; Reconciliation of net income; row 'Non-GAAP net income'; column 'Three months ended December 31, 2025'</t>
  </si>
  <si>
    <t xml:space="preserve">QA-0775</t>
  </si>
  <si>
    <t xml:space="preserve">233,586</t>
  </si>
  <si>
    <t xml:space="preserve">Exhibit 99.1, Reconciliation of GAAP to Non-GAAP Financial Information &gt; Reconciliation of net income; row 'Non-GAAP net income'; column 'Year ended December 31, 2025'</t>
  </si>
  <si>
    <t xml:space="preserve">QA-0776</t>
  </si>
  <si>
    <t xml:space="preserve">56,004</t>
  </si>
  <si>
    <t xml:space="preserve">Exhibit 99.1, Reconciliation of GAAP to Non-GAAP Financial Information &gt; Reconciliation of net income; row 'Non-GAAP net income'; column 'Three months ended March 31, 2026'</t>
  </si>
  <si>
    <t xml:space="preserve">QA-0777</t>
  </si>
  <si>
    <t xml:space="preserve">65,635</t>
  </si>
  <si>
    <t xml:space="preserve">Exhibit 99.1, Reconciliation of GAAP to Non-GAAP Financial Information &gt; Reconciliation of net income; row 'Non-GAAP net income'; column 'Three months ended June 30, 2026'</t>
  </si>
  <si>
    <t xml:space="preserve">QA-0778</t>
  </si>
  <si>
    <t xml:space="preserve">121,639</t>
  </si>
  <si>
    <t xml:space="preserve">Exhibit 99.1, Reconciliation of GAAP to Non-GAAP Financial Information &gt; Reconciliation of net income; row 'Non-GAAP net income'; column 'Six months ended June 30, 2026'</t>
  </si>
  <si>
    <t xml:space="preserve">QA-0779</t>
  </si>
  <si>
    <t xml:space="preserve">Gross margin (non-GAAP), derived</t>
  </si>
  <si>
    <t xml:space="preserve">Normalized Value = H476/H2  [Gross profit (non-GAAP) / Revenue (same period); rows QA-0475 / QA-0001]</t>
  </si>
  <si>
    <t xml:space="preserve">QA-0780</t>
  </si>
  <si>
    <t xml:space="preserve">Normalized Value = H477/H3  [Gross profit (non-GAAP) / Revenue (same period); rows QA-0476 / QA-0002]</t>
  </si>
  <si>
    <t xml:space="preserve">QA-0781</t>
  </si>
  <si>
    <t xml:space="preserve">Normalized Value = H479/H5  [Gross profit (non-GAAP) / Revenue (same period); rows QA-0478 / QA-0004]</t>
  </si>
  <si>
    <t xml:space="preserve">QA-0782</t>
  </si>
  <si>
    <t xml:space="preserve">Normalized Value = H481/H7  [Gross profit (non-GAAP) / Revenue (same period); rows QA-0480 / QA-0006]</t>
  </si>
  <si>
    <t xml:space="preserve">QA-0783</t>
  </si>
  <si>
    <t xml:space="preserve">Normalized Value = H482/H8  [Gross profit (non-GAAP) / Revenue (same period); rows QA-0481 / QA-0007]</t>
  </si>
  <si>
    <t xml:space="preserve">QA-0784</t>
  </si>
  <si>
    <t xml:space="preserve">Normalized Value = H483/H9  [Gross profit (non-GAAP) / Revenue (same period); rows QA-0482 / QA-0008]</t>
  </si>
  <si>
    <t xml:space="preserve">QA-0785</t>
  </si>
  <si>
    <t xml:space="preserve">Normalized Value = H484/H10  [Gross profit (non-GAAP) / Revenue (same period); rows QA-0483 / QA-0009]</t>
  </si>
  <si>
    <t xml:space="preserve">QA-0786</t>
  </si>
  <si>
    <t xml:space="preserve">Normalized Value = H486/H12  [Gross profit (non-GAAP) / Revenue (same period); rows QA-0485 / QA-0011]</t>
  </si>
  <si>
    <t xml:space="preserve">QA-0787</t>
  </si>
  <si>
    <t xml:space="preserve">Normalized Value = H488/H14  [Gross profit (non-GAAP) / Revenue (same period); rows QA-0487 / QA-0013]</t>
  </si>
  <si>
    <t xml:space="preserve">QA-0788</t>
  </si>
  <si>
    <t xml:space="preserve">Normalized Value = H489/H15  [Gross profit (non-GAAP) / Revenue (same period); rows QA-0488 / QA-0014]</t>
  </si>
  <si>
    <t xml:space="preserve">QA-0789</t>
  </si>
  <si>
    <t xml:space="preserve">Normalized Value = H490/H16  [Gross profit (non-GAAP) / Revenue (same period); rows QA-0489 / QA-0015]</t>
  </si>
  <si>
    <t xml:space="preserve">QA-0790</t>
  </si>
  <si>
    <t xml:space="preserve">Normalized Value = H491/H17  [Gross profit (non-GAAP) / Revenue (same period); rows QA-0490 / QA-0016]</t>
  </si>
  <si>
    <t xml:space="preserve">QA-0791</t>
  </si>
  <si>
    <t xml:space="preserve">Normalized Value = H493/H19  [Gross profit (non-GAAP) / Revenue (same period); rows QA-0492 / QA-0018]</t>
  </si>
  <si>
    <t xml:space="preserve">QA-0792</t>
  </si>
  <si>
    <t xml:space="preserve">Normalized Value = H495/H21  [Gross profit (non-GAAP) / Revenue (same period); rows QA-0494 / QA-0020]</t>
  </si>
  <si>
    <t xml:space="preserve">QA-0793</t>
  </si>
  <si>
    <t xml:space="preserve">Normalized Value = H496/H22  [Gross profit (non-GAAP) / Revenue (same period); rows QA-0495 / QA-0021]</t>
  </si>
  <si>
    <t xml:space="preserve">QA-0794</t>
  </si>
  <si>
    <t xml:space="preserve">Normalized Value = H497/H23  [Gross profit (non-GAAP) / Revenue (same period); rows QA-0496 / QA-0022]</t>
  </si>
  <si>
    <t xml:space="preserve">QA-0795</t>
  </si>
  <si>
    <t xml:space="preserve">Normalized Value = H498/H24  [Gross profit (non-GAAP) / Revenue (same period); rows QA-0497 / QA-0023]</t>
  </si>
  <si>
    <t xml:space="preserve">QA-0796</t>
  </si>
  <si>
    <t xml:space="preserve">Normalized Value = H500/H26  [Gross profit (non-GAAP) / Revenue (same period); rows QA-0499 / QA-0025]</t>
  </si>
  <si>
    <t xml:space="preserve">QA-0797</t>
  </si>
  <si>
    <t xml:space="preserve">Normalized Value = H502/H28  [Gross profit (non-GAAP) / Revenue (same period); rows QA-0501 / QA-0027]</t>
  </si>
  <si>
    <t xml:space="preserve">QA-0798</t>
  </si>
  <si>
    <t xml:space="preserve">Normalized Value = H503/H29  [Gross profit (non-GAAP) / Revenue (same period); rows QA-0502 / QA-0028]</t>
  </si>
  <si>
    <t xml:space="preserve">QA-0799</t>
  </si>
  <si>
    <t xml:space="preserve">Normalized Value = H504/H30  [Gross profit (non-GAAP) / Revenue (same period); rows QA-0503 / QA-0029]</t>
  </si>
  <si>
    <t xml:space="preserve">QA-0800</t>
  </si>
  <si>
    <t xml:space="preserve">Normalized Value = H505/H31  [Gross profit (non-GAAP) / Revenue (same period); rows QA-0504 / QA-0030]</t>
  </si>
  <si>
    <t xml:space="preserve">QA-0801</t>
  </si>
  <si>
    <t xml:space="preserve">Normalized Value = H507/H33  [Gross profit (non-GAAP) / Revenue (same period); rows QA-0506 / QA-0032]</t>
  </si>
  <si>
    <t xml:space="preserve">QA-0802</t>
  </si>
  <si>
    <t xml:space="preserve">Normalized Value = H509/H35  [Gross profit (non-GAAP) / Revenue (same period); rows QA-0508 / QA-0034]</t>
  </si>
  <si>
    <t xml:space="preserve">QA-0803</t>
  </si>
  <si>
    <t xml:space="preserve">Normalized Value = H510/H36  [Gross profit (non-GAAP) / Revenue (same period); rows QA-0509 / QA-0035]</t>
  </si>
  <si>
    <t xml:space="preserve">QA-0804</t>
  </si>
  <si>
    <t xml:space="preserve">Normalized Value = H511/H37  [Gross profit (non-GAAP) / Revenue (same period); rows QA-0510 / QA-0036]</t>
  </si>
  <si>
    <t xml:space="preserve">QA-0805</t>
  </si>
  <si>
    <t xml:space="preserve">Normalized Value = H512/H38  [Gross profit (non-GAAP) / Revenue (same period); rows QA-0511 / QA-0037]</t>
  </si>
  <si>
    <t xml:space="preserve">QA-0806</t>
  </si>
  <si>
    <t xml:space="preserve">Operating margin (non-GAAP), derived</t>
  </si>
  <si>
    <t xml:space="preserve">Normalized Value = H666/H2  [Operating income (loss) (non-GAAP) / Revenue (same period); rows QA-0665 / QA-0001]</t>
  </si>
  <si>
    <t xml:space="preserve">QA-0807</t>
  </si>
  <si>
    <t xml:space="preserve">Normalized Value = H667/H3  [Operating income (loss) (non-GAAP) / Revenue (same period); rows QA-0666 / QA-0002]</t>
  </si>
  <si>
    <t xml:space="preserve">QA-0808</t>
  </si>
  <si>
    <t xml:space="preserve">Normalized Value = H669/H5  [Operating income (loss) (non-GAAP) / Revenue (same period); rows QA-0668 / QA-0004]</t>
  </si>
  <si>
    <t xml:space="preserve">QA-0809</t>
  </si>
  <si>
    <t xml:space="preserve">Normalized Value = H671/H7  [Operating income (loss) (non-GAAP) / Revenue (same period); rows QA-0670 / QA-0006]</t>
  </si>
  <si>
    <t xml:space="preserve">QA-0810</t>
  </si>
  <si>
    <t xml:space="preserve">Normalized Value = H672/H8  [Operating income (loss) (non-GAAP) / Revenue (same period); rows QA-0671 / QA-0007]</t>
  </si>
  <si>
    <t xml:space="preserve">QA-0811</t>
  </si>
  <si>
    <t xml:space="preserve">Normalized Value = H673/H9  [Operating income (loss) (non-GAAP) / Revenue (same period); rows QA-0672 / QA-0008]</t>
  </si>
  <si>
    <t xml:space="preserve">QA-0812</t>
  </si>
  <si>
    <t xml:space="preserve">Normalized Value = H674/H10  [Operating income (loss) (non-GAAP) / Revenue (same period); rows QA-0673 / QA-0009]</t>
  </si>
  <si>
    <t xml:space="preserve">QA-0813</t>
  </si>
  <si>
    <t xml:space="preserve">Normalized Value = H676/H12  [Operating income (loss) (non-GAAP) / Revenue (same period); rows QA-0675 / QA-0011]</t>
  </si>
  <si>
    <t xml:space="preserve">QA-0814</t>
  </si>
  <si>
    <t xml:space="preserve">Normalized Value = H678/H14  [Operating income (loss) (non-GAAP) / Revenue (same period); rows QA-0677 / QA-0013]</t>
  </si>
  <si>
    <t xml:space="preserve">QA-0815</t>
  </si>
  <si>
    <t xml:space="preserve">Normalized Value = H679/H15  [Operating income (loss) (non-GAAP) / Revenue (same period); rows QA-0678 / QA-0014]</t>
  </si>
  <si>
    <t xml:space="preserve">QA-0816</t>
  </si>
  <si>
    <t xml:space="preserve">Normalized Value = H680/H16  [Operating income (loss) (non-GAAP) / Revenue (same period); rows QA-0679 / QA-0015]</t>
  </si>
  <si>
    <t xml:space="preserve">QA-0817</t>
  </si>
  <si>
    <t xml:space="preserve">Normalized Value = H681/H17  [Operating income (loss) (non-GAAP) / Revenue (same period); rows QA-0680 / QA-0016]</t>
  </si>
  <si>
    <t xml:space="preserve">QA-0818</t>
  </si>
  <si>
    <t xml:space="preserve">Normalized Value = H683/H19  [Operating income (loss) (non-GAAP) / Revenue (same period); rows QA-0682 / QA-0018]</t>
  </si>
  <si>
    <t xml:space="preserve">QA-0819</t>
  </si>
  <si>
    <t xml:space="preserve">Normalized Value = H685/H21  [Operating income (loss) (non-GAAP) / Revenue (same period); rows QA-0684 / QA-0020]</t>
  </si>
  <si>
    <t xml:space="preserve">QA-0820</t>
  </si>
  <si>
    <t xml:space="preserve">Normalized Value = H686/H22  [Operating income (loss) (non-GAAP) / Revenue (same period); rows QA-0685 / QA-0021]</t>
  </si>
  <si>
    <t xml:space="preserve">QA-0821</t>
  </si>
  <si>
    <t xml:space="preserve">Normalized Value = H687/H23  [Operating income (loss) (non-GAAP) / Revenue (same period); rows QA-0686 / QA-0022]</t>
  </si>
  <si>
    <t xml:space="preserve">QA-0822</t>
  </si>
  <si>
    <t xml:space="preserve">Normalized Value = H688/H24  [Operating income (loss) (non-GAAP) / Revenue (same period); rows QA-0687 / QA-0023]</t>
  </si>
  <si>
    <t xml:space="preserve">QA-0823</t>
  </si>
  <si>
    <t xml:space="preserve">Normalized Value = H690/H26  [Operating income (loss) (non-GAAP) / Revenue (same period); rows QA-0689 / QA-0025]</t>
  </si>
  <si>
    <t xml:space="preserve">QA-0824</t>
  </si>
  <si>
    <t xml:space="preserve">Normalized Value = H692/H28  [Operating income (loss) (non-GAAP) / Revenue (same period); rows QA-0691 / QA-0027]</t>
  </si>
  <si>
    <t xml:space="preserve">QA-0825</t>
  </si>
  <si>
    <t xml:space="preserve">Normalized Value = H693/H29  [Operating income (loss) (non-GAAP) / Revenue (same period); rows QA-0692 / QA-0028]</t>
  </si>
  <si>
    <t xml:space="preserve">QA-0826</t>
  </si>
  <si>
    <t xml:space="preserve">Normalized Value = H694/H30  [Operating income (loss) (non-GAAP) / Revenue (same period); rows QA-0693 / QA-0029]</t>
  </si>
  <si>
    <t xml:space="preserve">QA-0827</t>
  </si>
  <si>
    <t xml:space="preserve">Normalized Value = H695/H31  [Operating income (loss) (non-GAAP) / Revenue (same period); rows QA-0694 / QA-0030]</t>
  </si>
  <si>
    <t xml:space="preserve">QA-0828</t>
  </si>
  <si>
    <t xml:space="preserve">Normalized Value = H697/H33  [Operating income (loss) (non-GAAP) / Revenue (same period); rows QA-0696 / QA-0032]</t>
  </si>
  <si>
    <t xml:space="preserve">QA-0829</t>
  </si>
  <si>
    <t xml:space="preserve">Normalized Value = H699/H35  [Operating income (loss) (non-GAAP) / Revenue (same period); rows QA-0698 / QA-0034]</t>
  </si>
  <si>
    <t xml:space="preserve">QA-0830</t>
  </si>
  <si>
    <t xml:space="preserve">Normalized Value = H700/H36  [Operating income (loss) (non-GAAP) / Revenue (same period); rows QA-0699 / QA-0035]</t>
  </si>
  <si>
    <t xml:space="preserve">QA-0831</t>
  </si>
  <si>
    <t xml:space="preserve">Normalized Value = H701/H37  [Operating income (loss) (non-GAAP) / Revenue (same period); rows QA-0700 / QA-0036]</t>
  </si>
  <si>
    <t xml:space="preserve">QA-0832</t>
  </si>
  <si>
    <t xml:space="preserve">Normalized Value = H702/H38  [Operating income (loss) (non-GAAP) / Revenue (same period); rows QA-0701 / QA-0037]</t>
  </si>
  <si>
    <t xml:space="preserve">QA-0833</t>
  </si>
  <si>
    <t xml:space="preserve">Share-based compensation</t>
  </si>
  <si>
    <t xml:space="preserve">Share-based compensation - total (per non-GAAP operating income reconciliation)</t>
  </si>
  <si>
    <t xml:space="preserve">14,540</t>
  </si>
  <si>
    <t xml:space="preserve">Exhibit 99.1, Reconciliation of GAAP to Non-GAAP Financial Information &gt; Reconciliation of operating loss; row 'Share-based compensation'; column 'Three months ended March 31, 2021'</t>
  </si>
  <si>
    <t xml:space="preserve">QA-0834</t>
  </si>
  <si>
    <t xml:space="preserve">17,558</t>
  </si>
  <si>
    <t xml:space="preserve">Exhibit 99.1, Reconciliation of GAAP to Non-GAAP Financial Information &gt; Reconciliation of operating loss; row 'Share-based compensation'; column 'Three months ended June 30, 2021'</t>
  </si>
  <si>
    <t xml:space="preserve">QA-0835</t>
  </si>
  <si>
    <t xml:space="preserve">32,098</t>
  </si>
  <si>
    <t xml:space="preserve">Exhibit 99.1, Reconciliation of GAAP to Non-GAAP Financial Information &gt; Reconciliation of operating loss; row 'Share-based compensation'; column 'Six months ended June 30, 2021'</t>
  </si>
  <si>
    <t xml:space="preserve">QA-0836</t>
  </si>
  <si>
    <t xml:space="preserve">19,762</t>
  </si>
  <si>
    <t xml:space="preserve">Exhibit 99.1, Reconciliation of GAAP to Non-GAAP Financial Information &gt; Reconciliation of operating loss; row 'Share-based compensation'; column 'Three months ended September 30, 2021'</t>
  </si>
  <si>
    <t xml:space="preserve">QA-0837</t>
  </si>
  <si>
    <t xml:space="preserve">51,860</t>
  </si>
  <si>
    <t xml:space="preserve">Exhibit 99.1, Reconciliation of GAAP to Non-GAAP Financial Information &gt; Reconciliation of operating loss; row 'Share-based compensation'; column 'Nine months ended September 30, 2021'</t>
  </si>
  <si>
    <t xml:space="preserve">QA-0838</t>
  </si>
  <si>
    <t xml:space="preserve">21,669</t>
  </si>
  <si>
    <t xml:space="preserve">Exhibit 99.1, Reconciliation of GAAP to Non-GAAP Financial Information &gt; Reconciliation of operating loss; row 'Share-based compensation'; column 'Three months ended December 31, 2021'</t>
  </si>
  <si>
    <t xml:space="preserve">QA-0839</t>
  </si>
  <si>
    <t xml:space="preserve">73,529</t>
  </si>
  <si>
    <t xml:space="preserve">Exhibit 99.1, Reconciliation of GAAP to Non-GAAP Financial Information &gt; Reconciliation of operating loss; row 'Share-based compensation'; column 'Year ended December 31, 2021'</t>
  </si>
  <si>
    <t xml:space="preserve">QA-0840</t>
  </si>
  <si>
    <t xml:space="preserve">23,666</t>
  </si>
  <si>
    <t xml:space="preserve">Exhibit 99.1, Reconciliation of GAAP to Non-GAAP Financial Information &gt; Reconciliation of operating loss; row 'Share-based compensation'; column 'Three months ended March 31, 2022'</t>
  </si>
  <si>
    <t xml:space="preserve">QA-0841</t>
  </si>
  <si>
    <t xml:space="preserve">30,822</t>
  </si>
  <si>
    <t xml:space="preserve">Exhibit 99.1, Reconciliation of GAAP to Non-GAAP Financial Information &gt; Reconciliation of operating loss; row 'Share-based compensation'; column 'Three months ended June 30, 2022'</t>
  </si>
  <si>
    <t xml:space="preserve">QA-0842</t>
  </si>
  <si>
    <t xml:space="preserve">54,488</t>
  </si>
  <si>
    <t xml:space="preserve">Exhibit 99.1, Reconciliation of GAAP to Non-GAAP Financial Information &gt; Reconciliation of operating loss; row 'Share-based compensation'; column 'Six months ended June 30, 2022'</t>
  </si>
  <si>
    <t xml:space="preserve">QA-0843</t>
  </si>
  <si>
    <t xml:space="preserve">26,054</t>
  </si>
  <si>
    <t xml:space="preserve">Exhibit 99.1, Reconciliation of GAAP to Non-GAAP Financial Information &gt; Reconciliation of operating loss; row 'Share-based compensation'; column 'Three months ended September 30, 2022'</t>
  </si>
  <si>
    <t xml:space="preserve">QA-0844</t>
  </si>
  <si>
    <t xml:space="preserve">80,542</t>
  </si>
  <si>
    <t xml:space="preserve">Exhibit 99.1, Reconciliation of GAAP to Non-GAAP Financial Information &gt; Reconciliation of operating loss; row 'Share-based compensation'; column 'Nine months ended September 30, 2022'</t>
  </si>
  <si>
    <t xml:space="preserve">QA-0845</t>
  </si>
  <si>
    <t xml:space="preserve">24,378</t>
  </si>
  <si>
    <t xml:space="preserve">Exhibit 99.1, Reconciliation of GAAP to Non-GAAP Financial Information &gt; Reconciliation of operating income (loss); row 'Share-based compensation'; column 'Three months ended December 31, 2022'</t>
  </si>
  <si>
    <t xml:space="preserve">QA-0846</t>
  </si>
  <si>
    <t xml:space="preserve">104,920</t>
  </si>
  <si>
    <t xml:space="preserve">Exhibit 99.1, Reconciliation of GAAP to Non-GAAP Financial Information &gt; Reconciliation of operating income (loss); row 'Share-based compensation'; column 'Year ended December 31, 2022'</t>
  </si>
  <si>
    <t xml:space="preserve">QA-0847</t>
  </si>
  <si>
    <t xml:space="preserve">22,459</t>
  </si>
  <si>
    <t xml:space="preserve">Exhibit 99.1, Reconciliation of GAAP to Non-GAAP Financial Information &gt; Reconciliation of operating loss; row 'Share-based compensation'; column 'Three months ended March 31, 2023'</t>
  </si>
  <si>
    <t xml:space="preserve">QA-0848</t>
  </si>
  <si>
    <t xml:space="preserve">28,784</t>
  </si>
  <si>
    <t xml:space="preserve">Exhibit 99.1, Reconciliation of GAAP to Non-GAAP Financial Information &gt; Reconciliation of operating income (loss); row 'Share-based compensation'; column 'Three months ended June 30, 2023'</t>
  </si>
  <si>
    <t xml:space="preserve">QA-0849</t>
  </si>
  <si>
    <t xml:space="preserve">51,243</t>
  </si>
  <si>
    <t xml:space="preserve">Exhibit 99.1, Reconciliation of GAAP to Non-GAAP Financial Information &gt; Reconciliation of operating income (loss); row 'Share-based compensation'; column 'Six months ended June 30, 2023'</t>
  </si>
  <si>
    <t xml:space="preserve">QA-0850</t>
  </si>
  <si>
    <t xml:space="preserve">26,598</t>
  </si>
  <si>
    <t xml:space="preserve">Exhibit 99.1, Reconciliation of GAAP to Non-GAAP Financial Information &gt; Reconciliation of operating income (loss); row 'Share-based compensation'; column 'Three months ended September 30, 2023'</t>
  </si>
  <si>
    <t xml:space="preserve">QA-0851</t>
  </si>
  <si>
    <t xml:space="preserve">77,841</t>
  </si>
  <si>
    <t xml:space="preserve">Exhibit 99.1, Reconciliation of GAAP to Non-GAAP Financial Information &gt; Reconciliation of operating income (loss); row 'Share-based compensation'; column 'Nine months ended September 30, 2023'</t>
  </si>
  <si>
    <t xml:space="preserve">QA-0852</t>
  </si>
  <si>
    <t xml:space="preserve">22,345</t>
  </si>
  <si>
    <t xml:space="preserve">Exhibit 99.1, Reconciliation of GAAP to Non-GAAP Financial Information &gt; Reconciliation of operating income (loss); row 'Share-based compensation'; column 'Three months ended December 31, 2023'</t>
  </si>
  <si>
    <t xml:space="preserve">QA-0853</t>
  </si>
  <si>
    <t xml:space="preserve">100,186</t>
  </si>
  <si>
    <t xml:space="preserve">Exhibit 99.1, Reconciliation of GAAP to Non-GAAP Financial Information &gt; Reconciliation of operating income (loss); row 'Share-based compensation'; column 'Year ended December 31, 2023'</t>
  </si>
  <si>
    <t xml:space="preserve">QA-0854</t>
  </si>
  <si>
    <t xml:space="preserve">26,543</t>
  </si>
  <si>
    <t xml:space="preserve">Exhibit 99.1, Reconciliation of GAAP to Non-GAAP Financial Information &gt; Reconciliation of operating income (loss); row 'Share-based compensation'; column 'Three months ended March 31, 2024'</t>
  </si>
  <si>
    <t xml:space="preserve">QA-0855</t>
  </si>
  <si>
    <t xml:space="preserve">36,623</t>
  </si>
  <si>
    <t xml:space="preserve">Exhibit 99.1, Reconciliation of GAAP to Non-GAAP Financial Information &gt; Reconciliation of operating income (loss); row 'Share-based compensation'; column 'Three months ended June 30, 2024'</t>
  </si>
  <si>
    <t xml:space="preserve">QA-0856</t>
  </si>
  <si>
    <t xml:space="preserve">63,166</t>
  </si>
  <si>
    <t xml:space="preserve">Exhibit 99.1, Reconciliation of GAAP to Non-GAAP Financial Information &gt; Reconciliation of operating income (loss); row 'Share-based compensation'; column 'Six months ended June 30, 2024'</t>
  </si>
  <si>
    <t xml:space="preserve">QA-0857</t>
  </si>
  <si>
    <t xml:space="preserve">35,374</t>
  </si>
  <si>
    <t xml:space="preserve">Exhibit 99.1, Reconciliation of GAAP to Non-GAAP Financial Information &gt; Reconciliation of operating income (loss); row 'Share-based compensation'; column 'Three months ended September 30, 2024'</t>
  </si>
  <si>
    <t xml:space="preserve">QA-0858</t>
  </si>
  <si>
    <t xml:space="preserve">98,540</t>
  </si>
  <si>
    <t xml:space="preserve">Exhibit 99.1, Reconciliation of GAAP to Non-GAAP Financial Information &gt; Reconciliation of operating income (loss); row 'Share-based compensation'; column 'Nine months ended September 30, 2024'</t>
  </si>
  <si>
    <t xml:space="preserve">QA-0859</t>
  </si>
  <si>
    <t xml:space="preserve">30,669</t>
  </si>
  <si>
    <t xml:space="preserve">Exhibit 99.1, Reconciliation of GAAP to Non-GAAP Financial Information &gt; Reconciliation of operating income (loss); row 'Share-based compensation'; column 'Three months ended December 31, 2024'</t>
  </si>
  <si>
    <t xml:space="preserve">QA-0860</t>
  </si>
  <si>
    <t xml:space="preserve">129,209</t>
  </si>
  <si>
    <t xml:space="preserve">Exhibit 99.1, Reconciliation of GAAP to Non-GAAP Financial Information &gt; Reconciliation of operating income (loss); row 'Share-based compensation'; column 'Year ended December 31, 2024'</t>
  </si>
  <si>
    <t xml:space="preserve">QA-0861</t>
  </si>
  <si>
    <t xml:space="preserve">30,958</t>
  </si>
  <si>
    <t xml:space="preserve">Exhibit 99.1, Reconciliation of GAAP to Non-GAAP Financial Information &gt; Reconciliation of operating income (loss); row 'Share-based compensation'; column 'Three months ended March 31, 2025'</t>
  </si>
  <si>
    <t xml:space="preserve">QA-0862</t>
  </si>
  <si>
    <t xml:space="preserve">56,645</t>
  </si>
  <si>
    <t xml:space="preserve">Exhibit 99.1, Reconciliation of GAAP to Non-GAAP Financial Information &gt; Reconciliation of operating income (loss); row 'Share-based compensation'; column 'Three months ended June 30, 2025'</t>
  </si>
  <si>
    <t xml:space="preserve">QA-0863</t>
  </si>
  <si>
    <t xml:space="preserve">87,603</t>
  </si>
  <si>
    <t xml:space="preserve">Exhibit 99.1, Reconciliation of GAAP to Non-GAAP Financial Information &gt; Reconciliation of operating income (loss); row 'Share-based compensation'; column 'Six months ended June 30, 2025'</t>
  </si>
  <si>
    <t xml:space="preserve">QA-0864</t>
  </si>
  <si>
    <t xml:space="preserve">49,862</t>
  </si>
  <si>
    <t xml:space="preserve">Exhibit 99.1, Reconciliation of GAAP to Non-GAAP Financial Information &gt; Reconciliation of operating income (loss); row 'Share-based compensation'; column 'Three months ended September 30, 2025'</t>
  </si>
  <si>
    <t xml:space="preserve">QA-0865</t>
  </si>
  <si>
    <t xml:space="preserve">137,465</t>
  </si>
  <si>
    <t xml:space="preserve">Exhibit 99.1, Reconciliation of GAAP to Non-GAAP Financial Information &gt; Reconciliation of operating income (loss); row 'Share-based compensation'; column 'Nine months ended September 30, 2025'</t>
  </si>
  <si>
    <t xml:space="preserve">QA-0866</t>
  </si>
  <si>
    <t xml:space="preserve">39,546</t>
  </si>
  <si>
    <t xml:space="preserve">Exhibit 99.1, Reconciliation of GAAP to Non-GAAP Financial Information &gt; Reconciliation of operating income (loss); row 'Share-based compensation'; column 'Three months ended December 31, 2025'</t>
  </si>
  <si>
    <t xml:space="preserve">QA-0867</t>
  </si>
  <si>
    <t xml:space="preserve">177,011</t>
  </si>
  <si>
    <t xml:space="preserve">Exhibit 99.1, Reconciliation of GAAP to Non-GAAP Financial Information &gt; Reconciliation of operating income (loss); row 'Share-based compensation'; column 'Year ended December 31, 2025'</t>
  </si>
  <si>
    <t xml:space="preserve">QA-0868</t>
  </si>
  <si>
    <t xml:space="preserve">29,283</t>
  </si>
  <si>
    <t xml:space="preserve">Exhibit 99.1, Reconciliation of GAAP to Non-GAAP Financial Information &gt; Reconciliation of operating income (loss); row 'Share-based compensation'; column 'Three months ended March 31, 2026'</t>
  </si>
  <si>
    <t xml:space="preserve">QA-0869</t>
  </si>
  <si>
    <t xml:space="preserve">41,218</t>
  </si>
  <si>
    <t xml:space="preserve">Exhibit 99.1, Reconciliation of GAAP to Non-GAAP Financial Information &gt; Reconciliation of operating income (loss); row 'Share-based compensation'; column 'Three months ended June 30, 2026'</t>
  </si>
  <si>
    <t xml:space="preserve">QA-0870</t>
  </si>
  <si>
    <t xml:space="preserve">70,501</t>
  </si>
  <si>
    <t xml:space="preserve">Exhibit 99.1, Reconciliation of GAAP to Non-GAAP Financial Information &gt; Reconciliation of operating income (loss); row 'Share-based compensation'; column 'Six months ended June 30, 2026'</t>
  </si>
  <si>
    <t xml:space="preserve">QA-0871</t>
  </si>
  <si>
    <t xml:space="preserve">Share-based compensation (cash flow statement adjustment)</t>
  </si>
  <si>
    <t xml:space="preserve">Exhibit 99.1, Condensed Consolidated Statements of Cash Flows; row 'Share-based compensation'; column 'Three months ended March 31, 2021'</t>
  </si>
  <si>
    <t xml:space="preserve">QA-0872</t>
  </si>
  <si>
    <t xml:space="preserve">Exhibit 99.1, Condensed Consolidated Statements of Cash Flows; row 'Share-based compensation'; column 'Three months ended June 30, 2021'</t>
  </si>
  <si>
    <t xml:space="preserve">QA-0873</t>
  </si>
  <si>
    <t xml:space="preserve">Exhibit 99.1, Condensed Consolidated Statements of Cash Flows; row 'Share-based compensation'; column 'Six months ended June 30, 2021'</t>
  </si>
  <si>
    <t xml:space="preserve">QA-0874</t>
  </si>
  <si>
    <t xml:space="preserve">Exhibit 99.1, Condensed Consolidated Statements of Cash Flows; row 'Share-based compensation'; column 'Three months ended September 30, 2021'</t>
  </si>
  <si>
    <t xml:space="preserve">QA-0875</t>
  </si>
  <si>
    <t xml:space="preserve">Exhibit 99.1, Condensed Consolidated Statements of Cash Flows; row 'Share-based compensation'; column 'Nine months ended September 30, 2021'</t>
  </si>
  <si>
    <t xml:space="preserve">QA-0876</t>
  </si>
  <si>
    <t xml:space="preserve">Exhibit 99.1, Condensed Consolidated Statements of Cash Flows; row 'Share-based compensation'; column 'Three months ended December 31, 2021'</t>
  </si>
  <si>
    <t xml:space="preserve">QA-0877</t>
  </si>
  <si>
    <t xml:space="preserve">Exhibit 99.1, Condensed Consolidated Statements of Cash Flows; row 'Share-based compensation'; column 'Year ended December 31, 2021'</t>
  </si>
  <si>
    <t xml:space="preserve">QA-0878</t>
  </si>
  <si>
    <t xml:space="preserve">Exhibit 99.1, Condensed Consolidated Statements of Cash Flows; row 'Share-based compensation'; column 'Three months ended March 31, 2022'</t>
  </si>
  <si>
    <t xml:space="preserve">QA-0879</t>
  </si>
  <si>
    <t xml:space="preserve">Exhibit 99.1, Condensed Consolidated Statements of Cash Flows; row 'Share-based compensation'; column 'Three months ended June 30, 2022'</t>
  </si>
  <si>
    <t xml:space="preserve">QA-0880</t>
  </si>
  <si>
    <t xml:space="preserve">Exhibit 99.1, Condensed Consolidated Statements of Cash Flows; row 'Share-based compensation'; column 'Six months ended June 30, 2022'</t>
  </si>
  <si>
    <t xml:space="preserve">QA-0881</t>
  </si>
  <si>
    <t xml:space="preserve">Exhibit 99.1, Condensed Consolidated Statements of Cash Flows; row 'Share-based compensation'; column 'Three months ended September 30, 2022'</t>
  </si>
  <si>
    <t xml:space="preserve">QA-0882</t>
  </si>
  <si>
    <t xml:space="preserve">Exhibit 99.1, Condensed Consolidated Statements of Cash Flows; row 'Share-based compensation'; column 'Nine months ended September 30, 2022'</t>
  </si>
  <si>
    <t xml:space="preserve">QA-0883</t>
  </si>
  <si>
    <t xml:space="preserve">Exhibit 99.1, Condensed Consolidated Statements of Cash Flows; row 'Share-based compensation'; column 'Three months ended December 31, 2022'</t>
  </si>
  <si>
    <t xml:space="preserve">QA-0884</t>
  </si>
  <si>
    <t xml:space="preserve">Exhibit 99.1, Condensed Consolidated Statements of Cash Flows; row 'Share-based compensation'; column 'Year ended December 31, 2022'</t>
  </si>
  <si>
    <t xml:space="preserve">QA-0885</t>
  </si>
  <si>
    <t xml:space="preserve">Exhibit 99.1, Condensed Consolidated Statements of Cash Flows; row 'Share-based compensation'; column 'Three months ended March 31, 2023'</t>
  </si>
  <si>
    <t xml:space="preserve">QA-0886</t>
  </si>
  <si>
    <t xml:space="preserve">Exhibit 99.1, Condensed Consolidated Statements of Cash Flows; row 'Share-based compensation'; column 'Three months ended June 30, 2023'</t>
  </si>
  <si>
    <t xml:space="preserve">QA-0887</t>
  </si>
  <si>
    <t xml:space="preserve">Exhibit 99.1, Condensed Consolidated Statements of Cash Flows; row 'Share-based compensation'; column 'Six months ended June 30, 2023'</t>
  </si>
  <si>
    <t xml:space="preserve">QA-0888</t>
  </si>
  <si>
    <t xml:space="preserve">Exhibit 99.1, Condensed Consolidated Statements of Cash Flows; row 'Share-based compensation'; column 'Three months ended September 30, 2023'</t>
  </si>
  <si>
    <t xml:space="preserve">QA-0889</t>
  </si>
  <si>
    <t xml:space="preserve">Exhibit 99.1, Condensed Consolidated Statements of Cash Flows; row 'Share-based compensation'; column 'Nine months ended September 30, 2023'</t>
  </si>
  <si>
    <t xml:space="preserve">QA-0890</t>
  </si>
  <si>
    <t xml:space="preserve">Exhibit 99.1, Condensed Consolidated Statements of Cash Flows; row 'Share-based compensation'; column 'Three months ended December 31, 2023'</t>
  </si>
  <si>
    <t xml:space="preserve">QA-0891</t>
  </si>
  <si>
    <t xml:space="preserve">Exhibit 99.1, Condensed Consolidated Statements of Cash Flows; row 'Share-based compensation'; column 'Year ended December 31, 2023'</t>
  </si>
  <si>
    <t xml:space="preserve">QA-0892</t>
  </si>
  <si>
    <t xml:space="preserve">Exhibit 99.1, Condensed Consolidated Statements of Cash Flows; row 'Share-based compensation'; column 'Three months ended March 31, 2024'</t>
  </si>
  <si>
    <t xml:space="preserve">QA-0893</t>
  </si>
  <si>
    <t xml:space="preserve">Exhibit 99.1, Condensed Consolidated Statements of Cash Flows; row 'Share-based compensation'; column 'Three months ended June 30, 2024'</t>
  </si>
  <si>
    <t xml:space="preserve">QA-0894</t>
  </si>
  <si>
    <t xml:space="preserve">Exhibit 99.1, Condensed Consolidated Statements of Cash Flows; row 'Share-based compensation'; column 'Six months ended June 30, 2024'</t>
  </si>
  <si>
    <t xml:space="preserve">QA-0895</t>
  </si>
  <si>
    <t xml:space="preserve">Exhibit 99.1, Condensed Consolidated Statements of Cash Flows; row 'Share-based compensation'; column 'Three months ended September 30, 2024'</t>
  </si>
  <si>
    <t xml:space="preserve">QA-0896</t>
  </si>
  <si>
    <t xml:space="preserve">Exhibit 99.1, Condensed Consolidated Statements of Cash Flows; row 'Share-based compensation'; column 'Nine months ended September 30, 2024'</t>
  </si>
  <si>
    <t xml:space="preserve">QA-0897</t>
  </si>
  <si>
    <t xml:space="preserve">Exhibit 99.1, Condensed Consolidated Statements of Cash Flows; row 'Share-based compensation'; column 'Three months ended December 31, 2024'</t>
  </si>
  <si>
    <t xml:space="preserve">QA-0898</t>
  </si>
  <si>
    <t xml:space="preserve">Exhibit 99.1, Condensed Consolidated Statements of Cash Flows; row 'Share-based compensation'; column 'Year ended December 31, 2024'</t>
  </si>
  <si>
    <t xml:space="preserve">QA-0899</t>
  </si>
  <si>
    <t xml:space="preserve">Exhibit 99.1, Condensed Consolidated Statements of Cash Flows; row 'Share-based compensation'; column 'Three months ended March 31, 2025'</t>
  </si>
  <si>
    <t xml:space="preserve">QA-0900</t>
  </si>
  <si>
    <t xml:space="preserve">Exhibit 99.1, Condensed Consolidated Statements of Cash Flows; row 'Share-based compensation'; column 'Three months ended June 30, 2025'</t>
  </si>
  <si>
    <t xml:space="preserve">QA-0901</t>
  </si>
  <si>
    <t xml:space="preserve">Exhibit 99.1, Condensed Consolidated Statements of Cash Flows; row 'Share-based compensation'; column 'Six months ended June 30, 2025'</t>
  </si>
  <si>
    <t xml:space="preserve">QA-0902</t>
  </si>
  <si>
    <t xml:space="preserve">Exhibit 99.1, Condensed Consolidated Statements of Cash Flows; row 'Share-based compensation'; column 'Three months ended September 30, 2025'</t>
  </si>
  <si>
    <t xml:space="preserve">QA-0903</t>
  </si>
  <si>
    <t xml:space="preserve">Exhibit 99.1, Condensed Consolidated Statements of Cash Flows; row 'Share-based compensation'; column 'Nine months ended September 30, 2025'</t>
  </si>
  <si>
    <t xml:space="preserve">QA-0904</t>
  </si>
  <si>
    <t xml:space="preserve">Exhibit 99.1, Condensed Consolidated Statements of Cash Flows; row 'Share-based compensation'; column 'Three months ended December 31, 2025'</t>
  </si>
  <si>
    <t xml:space="preserve">QA-0905</t>
  </si>
  <si>
    <t xml:space="preserve">Exhibit 99.1, Condensed Consolidated Statements of Cash Flows; row 'Share-based compensation'; column 'Year ended December 31, 2025'</t>
  </si>
  <si>
    <t xml:space="preserve">QA-0906</t>
  </si>
  <si>
    <t xml:space="preserve">Exhibit 99.1, Condensed Consolidated Statements of Cash Flows; row 'Share-based compensation'; column 'Three months ended March 31, 2026'</t>
  </si>
  <si>
    <t xml:space="preserve">QA-0907</t>
  </si>
  <si>
    <t xml:space="preserve">Exhibit 99.1, Condensed Consolidated Statements of Cash Flows; row 'Share-based compensation'; column 'Three months ended June 30, 2026'</t>
  </si>
  <si>
    <t xml:space="preserve">QA-0908</t>
  </si>
  <si>
    <t xml:space="preserve">Exhibit 99.1, Condensed Consolidated Statements of Cash Flows; row 'Share-based compensation'; column 'Six months ended June 30, 2026'</t>
  </si>
  <si>
    <t xml:space="preserve">QA-0909</t>
  </si>
  <si>
    <t xml:space="preserve">Share-based compensation granted / charitable share contribution to foundation (cash flow statement)</t>
  </si>
  <si>
    <t xml:space="preserve">17,908</t>
  </si>
  <si>
    <t xml:space="preserve">Exhibit 99.1, Condensed Consolidated Statements of Cash Flows; row 'Share-based compensation granted to foundation'; column 'Three months ended September 30, 2024'</t>
  </si>
  <si>
    <t xml:space="preserve">QA-0910</t>
  </si>
  <si>
    <t xml:space="preserve">Exhibit 99.1, Condensed Consolidated Statements of Cash Flows; row 'Share-based compensation granted to foundation'; column 'Nine months ended September 30, 2024'</t>
  </si>
  <si>
    <t xml:space="preserve">QA-0911</t>
  </si>
  <si>
    <t xml:space="preserve">—</t>
  </si>
  <si>
    <t xml:space="preserve">Exhibit 99.1, Condensed Consolidated Statements of Cash Flows; row 'Charitable share contribution to foundation'; column 'Three months ended December 31, 2024'</t>
  </si>
  <si>
    <t xml:space="preserve">QA-0912</t>
  </si>
  <si>
    <t xml:space="preserve">Exhibit 99.1, Condensed Consolidated Statements of Cash Flows; row 'Charitable share contribution to foundation'; column 'Year ended December 31, 2024'</t>
  </si>
  <si>
    <t xml:space="preserve">QA-0913</t>
  </si>
  <si>
    <t xml:space="preserve">Exhibit 99.1, Condensed Consolidated Statements of Cash Flows; row 'Share-based compensation granted to foundation'; column 'Three months ended September 30, 2025'</t>
  </si>
  <si>
    <t xml:space="preserve">QA-0914</t>
  </si>
  <si>
    <t xml:space="preserve">Exhibit 99.1, Condensed Consolidated Statements of Cash Flows; row 'Share-based compensation granted to foundation'; column 'Nine months ended September 30, 2025'</t>
  </si>
  <si>
    <t xml:space="preserve">QA-0915</t>
  </si>
  <si>
    <t xml:space="preserve">Exhibit 99.1, Condensed Consolidated Statements of Cash Flows; row 'Share-based compensation granted to foundation'; column 'Three months ended December 31, 2025'</t>
  </si>
  <si>
    <t xml:space="preserve">QA-0916</t>
  </si>
  <si>
    <t xml:space="preserve">Exhibit 99.1, Condensed Consolidated Statements of Cash Flows; row 'Share-based compensation granted to foundation'; column 'Year ended December 31, 2025'</t>
  </si>
  <si>
    <t xml:space="preserve">QA-0917</t>
  </si>
  <si>
    <t xml:space="preserve">Restructuring</t>
  </si>
  <si>
    <t xml:space="preserve">Restructuring charges (non-GAAP operating income adjustment)</t>
  </si>
  <si>
    <t xml:space="preserve">Exhibit 99.1, Reconciliation of GAAP to Non-GAAP Financial Information &gt; Reconciliation of operating income (loss); row 'Restructuring charges (1)'; column 'Three months ended June 30, 2026'</t>
  </si>
  <si>
    <t xml:space="preserve">QA-0918</t>
  </si>
  <si>
    <t xml:space="preserve">Exhibit 99.1, Reconciliation of GAAP to Non-GAAP Financial Information &gt; Reconciliation of operating income (loss); row 'Restructuring charges (1)'; column 'Six months ended June 30, 2026'</t>
  </si>
  <si>
    <t xml:space="preserve">QA-0919</t>
  </si>
  <si>
    <t xml:space="preserve">Restructuring charges (non-cash adjustment, cash flow statement)</t>
  </si>
  <si>
    <t xml:space="preserve">Exhibit 99.1, Condensed Consolidated Statements of Cash Flows; row 'Restructuring charges'; column 'Three months ended June 30, 2026'</t>
  </si>
  <si>
    <t xml:space="preserve">QA-0920</t>
  </si>
  <si>
    <t xml:space="preserve">Exhibit 99.1, Condensed Consolidated Statements of Cash Flows; row 'Restructuring charges'; column 'Six months ended June 30, 2026'</t>
  </si>
  <si>
    <t xml:space="preserve">QA-0921</t>
  </si>
  <si>
    <t xml:space="preserve">Other non-GAAP adjustments</t>
  </si>
  <si>
    <t xml:space="preserve">Charitable contribution to foundation (non-GAAP operating income adjustment)</t>
  </si>
  <si>
    <t xml:space="preserve">24,208</t>
  </si>
  <si>
    <t xml:space="preserve">Exhibit 99.1, Reconciliation of GAAP to Non-GAAP Financial Information &gt; Reconciliation of operating income (loss); row 'Charitable contribution to foundation (1)'; column 'Three months ended September 30, 2024'</t>
  </si>
  <si>
    <t xml:space="preserve">QA-0922</t>
  </si>
  <si>
    <t xml:space="preserve">Exhibit 99.1, Reconciliation of GAAP to Non-GAAP Financial Information &gt; Reconciliation of operating income (loss); row 'Charitable contribution to foundation (1)'; column 'Nine months ended September 30, 2024'</t>
  </si>
  <si>
    <t xml:space="preserve">QA-0923</t>
  </si>
  <si>
    <t xml:space="preserve">Exhibit 99.1, Reconciliation of GAAP to Non-GAAP Financial Information &gt; Reconciliation of operating income (loss); row 'Charitable contribution to foundation (1)'; column 'Three months ended December 31, 2024'</t>
  </si>
  <si>
    <t xml:space="preserve">QA-0924</t>
  </si>
  <si>
    <t xml:space="preserve">Exhibit 99.1, Reconciliation of GAAP to Non-GAAP Financial Information &gt; Reconciliation of operating income (loss); row 'Charitable contribution to foundation (1)'; column 'Year ended December 31, 2024'</t>
  </si>
  <si>
    <t xml:space="preserve">QA-0925</t>
  </si>
  <si>
    <t xml:space="preserve">Exhibit 99.1, Reconciliation of GAAP to Non-GAAP Financial Information &gt; Reconciliation of operating income (loss); row 'Charitable contribution to foundation (1)'; column 'Three months ended September 30, 2025'</t>
  </si>
  <si>
    <t xml:space="preserve">QA-0926</t>
  </si>
  <si>
    <t xml:space="preserve">Exhibit 99.1, Reconciliation of GAAP to Non-GAAP Financial Information &gt; Reconciliation of operating income (loss); row 'Charitable contribution to foundation (1)'; column 'Nine months ended September 30, 2025'</t>
  </si>
  <si>
    <t xml:space="preserve">QA-0927</t>
  </si>
  <si>
    <t xml:space="preserve">Exhibit 99.1, Reconciliation of GAAP to Non-GAAP Financial Information &gt; Reconciliation of operating income (loss); row 'Charitable contribution to foundation (1)'; column 'Three months ended December 31, 2025'</t>
  </si>
  <si>
    <t xml:space="preserve">QA-0928</t>
  </si>
  <si>
    <t xml:space="preserve">Exhibit 99.1, Reconciliation of GAAP to Non-GAAP Financial Information &gt; Reconciliation of operating income (loss); row 'Charitable contribution to foundation (1)'; column 'Year ended December 31, 2025'</t>
  </si>
  <si>
    <t xml:space="preserve">QA-0929</t>
  </si>
  <si>
    <t xml:space="preserve">Cash flow</t>
  </si>
  <si>
    <t xml:space="preserve">Net cash provided by (used in) operating activities</t>
  </si>
  <si>
    <t xml:space="preserve">(599)</t>
  </si>
  <si>
    <t xml:space="preserve">Exhibit 99.1, Condensed Consolidated Statements of Cash Flows; row 'Net cash used in operating activities'; column 'Three months ended March 31, 2021'</t>
  </si>
  <si>
    <t xml:space="preserve">QA-0930</t>
  </si>
  <si>
    <t xml:space="preserve">(355)</t>
  </si>
  <si>
    <t xml:space="preserve">Exhibit 99.1, Condensed Consolidated Statements of Cash Flows; row 'Net cash used in operating activities'; column 'Three months ended June 30, 2021'</t>
  </si>
  <si>
    <t xml:space="preserve">QA-0931</t>
  </si>
  <si>
    <t xml:space="preserve">(954)</t>
  </si>
  <si>
    <t xml:space="preserve">Exhibit 99.1, Condensed Consolidated Statements of Cash Flows; row 'Net cash used in operating activities'; column 'Six months ended June 30, 2021'</t>
  </si>
  <si>
    <t xml:space="preserve">QA-0932</t>
  </si>
  <si>
    <t xml:space="preserve">3,793</t>
  </si>
  <si>
    <t xml:space="preserve">Exhibit 99.1, Condensed Consolidated Statements of Cash Flows; row 'Net cash provided by (used in) operating activities'; column 'Three months ended September 30, 2021'</t>
  </si>
  <si>
    <t xml:space="preserve">QA-0933</t>
  </si>
  <si>
    <t xml:space="preserve">2,839</t>
  </si>
  <si>
    <t xml:space="preserve">Exhibit 99.1, Condensed Consolidated Statements of Cash Flows; row 'Net cash provided by (used in) operating activities'; column 'Nine months ended September 30, 2021'</t>
  </si>
  <si>
    <t xml:space="preserve">QA-0934</t>
  </si>
  <si>
    <t xml:space="preserve">13,516</t>
  </si>
  <si>
    <t xml:space="preserve">Exhibit 99.1, Condensed Consolidated Statements of Cash Flows; row 'Net cash provided by (used in) operating activities'; column 'Three months ended December 31, 2021'</t>
  </si>
  <si>
    <t xml:space="preserve">QA-0935</t>
  </si>
  <si>
    <t xml:space="preserve">16,355</t>
  </si>
  <si>
    <t xml:space="preserve">Exhibit 99.1, Condensed Consolidated Statements of Cash Flows; row 'Net cash provided by (used in) operating activities'; column 'Year ended December 31, 2021'</t>
  </si>
  <si>
    <t xml:space="preserve">QA-0936</t>
  </si>
  <si>
    <t xml:space="preserve">(12,912)</t>
  </si>
  <si>
    <t xml:space="preserve">Exhibit 99.1, Condensed Consolidated Statements of Cash Flows; row 'Net cash used in operating activities'; column 'Three months ended March 31, 2022'</t>
  </si>
  <si>
    <t xml:space="preserve">QA-0937</t>
  </si>
  <si>
    <t xml:space="preserve">(14,061)</t>
  </si>
  <si>
    <t xml:space="preserve">Exhibit 99.1, Condensed Consolidated Statements of Cash Flows; row 'Net cash used in operating activities'; column 'Three months ended June 30, 2022'</t>
  </si>
  <si>
    <t xml:space="preserve">QA-0938</t>
  </si>
  <si>
    <t xml:space="preserve">(26,973)</t>
  </si>
  <si>
    <t xml:space="preserve">Exhibit 99.1, Condensed Consolidated Statements of Cash Flows; row 'Net cash used in operating activities'; column 'Six months ended June 30, 2022'</t>
  </si>
  <si>
    <t xml:space="preserve">QA-0939</t>
  </si>
  <si>
    <t xml:space="preserve">20,030</t>
  </si>
  <si>
    <t xml:space="preserve">Exhibit 99.1, Condensed Consolidated Statements of Cash Flows; row 'Net cash provided by (used in) operating activities'; column 'Three months ended September 30, 2022'</t>
  </si>
  <si>
    <t xml:space="preserve">QA-0940</t>
  </si>
  <si>
    <t xml:space="preserve">(6,943)</t>
  </si>
  <si>
    <t xml:space="preserve">Exhibit 99.1, Condensed Consolidated Statements of Cash Flows; row 'Net cash provided by (used in) operating activities'; column 'Nine months ended September 30, 2022'</t>
  </si>
  <si>
    <t xml:space="preserve">QA-0941</t>
  </si>
  <si>
    <t xml:space="preserve">34,081</t>
  </si>
  <si>
    <t xml:space="preserve">Exhibit 99.1, Condensed Consolidated Statements of Cash Flows; row 'Net cash provided by operating activities'; column 'Three months ended December 31, 2022'</t>
  </si>
  <si>
    <t xml:space="preserve">QA-0942</t>
  </si>
  <si>
    <t xml:space="preserve">27,138</t>
  </si>
  <si>
    <t xml:space="preserve">Exhibit 99.1, Condensed Consolidated Statements of Cash Flows; row 'Net cash provided by operating activities'; column 'Year ended December 31, 2022'</t>
  </si>
  <si>
    <t xml:space="preserve">QA-0943</t>
  </si>
  <si>
    <t xml:space="preserve">42,728</t>
  </si>
  <si>
    <t xml:space="preserve">Exhibit 99.1, Condensed Consolidated Statements of Cash Flows; row 'Net cash provided by (used in) operating activities'; column 'Three months ended March 31, 2023'</t>
  </si>
  <si>
    <t xml:space="preserve">QA-0944</t>
  </si>
  <si>
    <t xml:space="preserve">47,589</t>
  </si>
  <si>
    <t xml:space="preserve">Exhibit 99.1, Condensed Consolidated Statements of Cash Flows; row 'Net cash provided by (used in) operating activities'; column 'Three months ended June 30, 2023'</t>
  </si>
  <si>
    <t xml:space="preserve">QA-0945</t>
  </si>
  <si>
    <t xml:space="preserve">90,317</t>
  </si>
  <si>
    <t xml:space="preserve">Exhibit 99.1, Condensed Consolidated Statements of Cash Flows; row 'Net cash provided by (used in) operating activities'; column 'Six months ended June 30, 2023'</t>
  </si>
  <si>
    <t xml:space="preserve">QA-0946</t>
  </si>
  <si>
    <t xml:space="preserve">66,579</t>
  </si>
  <si>
    <t xml:space="preserve">Exhibit 99.1, Condensed Consolidated Statements of Cash Flows; row 'Net cash provided by (used in) operating activities'; column 'Three months ended September 30, 2023'</t>
  </si>
  <si>
    <t xml:space="preserve">QA-0947</t>
  </si>
  <si>
    <t xml:space="preserve">156,896</t>
  </si>
  <si>
    <t xml:space="preserve">Exhibit 99.1, Condensed Consolidated Statements of Cash Flows; row 'Net cash provided by (used in) operating activities'; column 'Nine months ended September 30, 2023'</t>
  </si>
  <si>
    <t xml:space="preserve">QA-0948</t>
  </si>
  <si>
    <t xml:space="preserve">58,508</t>
  </si>
  <si>
    <t xml:space="preserve">Exhibit 99.1, Condensed Consolidated Statements of Cash Flows; row 'Net cash provided by operating activities'; column 'Three months ended December 31, 2023'</t>
  </si>
  <si>
    <t xml:space="preserve">QA-0949</t>
  </si>
  <si>
    <t xml:space="preserve">215,404</t>
  </si>
  <si>
    <t xml:space="preserve">Exhibit 99.1, Condensed Consolidated Statements of Cash Flows; row 'Net cash provided by operating activities'; column 'Year ended December 31, 2023'</t>
  </si>
  <si>
    <t xml:space="preserve">QA-0950</t>
  </si>
  <si>
    <t xml:space="preserve">91,955</t>
  </si>
  <si>
    <t xml:space="preserve">Exhibit 99.1, Condensed Consolidated Statements of Cash Flows; row 'Net cash provided by operating activities'; column 'Three months ended March 31, 2024'</t>
  </si>
  <si>
    <t xml:space="preserve">QA-0951</t>
  </si>
  <si>
    <t xml:space="preserve">55,794</t>
  </si>
  <si>
    <t xml:space="preserve">Exhibit 99.1, Condensed Consolidated Statements of Cash Flows; row 'Net cash provided by operating activities'; column 'Three months ended June 30, 2024'</t>
  </si>
  <si>
    <t xml:space="preserve">QA-0952</t>
  </si>
  <si>
    <t xml:space="preserve">147,749</t>
  </si>
  <si>
    <t xml:space="preserve">Exhibit 99.1, Condensed Consolidated Statements of Cash Flows; row 'Net cash provided by operating activities'; column 'Six months ended June 30, 2024'</t>
  </si>
  <si>
    <t xml:space="preserve">QA-0953</t>
  </si>
  <si>
    <t xml:space="preserve">86,605</t>
  </si>
  <si>
    <t xml:space="preserve">Exhibit 99.1, Condensed Consolidated Statements of Cash Flows; row 'Net cash provided by operating activities'; column 'Three months ended September 30, 2024'</t>
  </si>
  <si>
    <t xml:space="preserve">QA-0954</t>
  </si>
  <si>
    <t xml:space="preserve">234,354</t>
  </si>
  <si>
    <t xml:space="preserve">Exhibit 99.1, Condensed Consolidated Statements of Cash Flows; row 'Net cash provided by operating activities'; column 'Nine months ended September 30, 2024'</t>
  </si>
  <si>
    <t xml:space="preserve">QA-0955</t>
  </si>
  <si>
    <t xml:space="preserve">76,711</t>
  </si>
  <si>
    <t xml:space="preserve">Exhibit 99.1, Condensed Consolidated Statements of Cash Flows; row 'Net cash provided by operating activities'; column 'Three months ended December 31, 2024'</t>
  </si>
  <si>
    <t xml:space="preserve">QA-0956</t>
  </si>
  <si>
    <t xml:space="preserve">311,065</t>
  </si>
  <si>
    <t xml:space="preserve">Exhibit 99.1, Condensed Consolidated Statements of Cash Flows; row 'Net cash provided by operating activities'; column 'Year ended December 31, 2024'</t>
  </si>
  <si>
    <t xml:space="preserve">QA-0957</t>
  </si>
  <si>
    <t xml:space="preserve">111,970</t>
  </si>
  <si>
    <t xml:space="preserve">Exhibit 99.1, Condensed Consolidated Statements of Cash Flows; row 'Net cash provided by operating activities'; column 'Three months ended March 31, 2025'</t>
  </si>
  <si>
    <t xml:space="preserve">QA-0958</t>
  </si>
  <si>
    <t xml:space="preserve">66,837</t>
  </si>
  <si>
    <t xml:space="preserve">Exhibit 99.1, Condensed Consolidated Statements of Cash Flows; row 'Net cash provided by operating activities'; column 'Three months ended June 30, 2025'</t>
  </si>
  <si>
    <t xml:space="preserve">QA-0959</t>
  </si>
  <si>
    <t xml:space="preserve">178,807</t>
  </si>
  <si>
    <t xml:space="preserve">Exhibit 99.1, Condensed Consolidated Statements of Cash Flows; row 'Net cash provided by operating activities'; column 'Six months ended June 30, 2025'</t>
  </si>
  <si>
    <t xml:space="preserve">QA-0960</t>
  </si>
  <si>
    <t xml:space="preserve">95,144</t>
  </si>
  <si>
    <t xml:space="preserve">Exhibit 99.1, Condensed Consolidated Statements of Cash Flows; row 'Net cash provided by operating activities'; column 'Three months ended September 30, 2025'</t>
  </si>
  <si>
    <t xml:space="preserve">QA-0961</t>
  </si>
  <si>
    <t xml:space="preserve">273,951</t>
  </si>
  <si>
    <t xml:space="preserve">Exhibit 99.1, Condensed Consolidated Statements of Cash Flows; row 'Net cash provided by operating activities'; column 'Nine months ended September 30, 2025'</t>
  </si>
  <si>
    <t xml:space="preserve">QA-0962</t>
  </si>
  <si>
    <t xml:space="preserve">59,693</t>
  </si>
  <si>
    <t xml:space="preserve">Exhibit 99.1, Condensed Consolidated Statements of Cash Flows; row 'Net cash provided by operating activities'; column 'Three months ended December 31, 2025'</t>
  </si>
  <si>
    <t xml:space="preserve">QA-0963</t>
  </si>
  <si>
    <t xml:space="preserve">333,644</t>
  </si>
  <si>
    <t xml:space="preserve">Exhibit 99.1, Condensed Consolidated Statements of Cash Flows; row 'Net cash provided by operating activities'; column 'Year ended December 31, 2025'</t>
  </si>
  <si>
    <t xml:space="preserve">QA-0964</t>
  </si>
  <si>
    <t xml:space="preserve">104,687</t>
  </si>
  <si>
    <t xml:space="preserve">Exhibit 99.1, Condensed Consolidated Statements of Cash Flows; row 'Net cash provided by operating activities'; column 'Three months ended March 31, 2026'</t>
  </si>
  <si>
    <t xml:space="preserve">QA-0965</t>
  </si>
  <si>
    <t xml:space="preserve">55,354</t>
  </si>
  <si>
    <t xml:space="preserve">Exhibit 99.1, Condensed Consolidated Statements of Cash Flows; row 'Net cash provided by operating activities'; column 'Three months ended June 30, 2026'</t>
  </si>
  <si>
    <t xml:space="preserve">QA-0966</t>
  </si>
  <si>
    <t xml:space="preserve">160,041</t>
  </si>
  <si>
    <t xml:space="preserve">Exhibit 99.1, Condensed Consolidated Statements of Cash Flows; row 'Net cash provided by operating activities'; column 'Six months ended June 30, 2026'</t>
  </si>
  <si>
    <t xml:space="preserve">QA-0967</t>
  </si>
  <si>
    <t xml:space="preserve">Purchase of property and equipment (FCF reconciliation)</t>
  </si>
  <si>
    <t xml:space="preserve">(4,223)</t>
  </si>
  <si>
    <t xml:space="preserve">Exhibit 99.1, Reconciliation of net cash used in operating activities to adjusted free cash flow; row 'Purchase of property and equipment'; column 'Three months ended March 31, 2021'</t>
  </si>
  <si>
    <t xml:space="preserve">QA-0968</t>
  </si>
  <si>
    <t xml:space="preserve">(1,358)</t>
  </si>
  <si>
    <t xml:space="preserve">Exhibit 99.1, Reconciliation of net cash provided by operating activities to adjusted free cash flow; row 'Purchase of property and equipment'; column 'Three months ended June 30, 2021'</t>
  </si>
  <si>
    <t xml:space="preserve">QA-0969</t>
  </si>
  <si>
    <t xml:space="preserve">(5,581)</t>
  </si>
  <si>
    <t xml:space="preserve">Exhibit 99.1, Reconciliation of net cash provided by operating activities to adjusted free cash flow; row 'Purchase of property and equipment'; column 'Six months ended June 30, 2021'</t>
  </si>
  <si>
    <t xml:space="preserve">QA-0970</t>
  </si>
  <si>
    <t xml:space="preserve">(3,023)</t>
  </si>
  <si>
    <t xml:space="preserve">Exhibit 99.1, Reconciliation of net cash provided by operating activities to adjusted free cash flow; row 'Purchase of property and equipment'; column 'Three months ended September 30, 2021'</t>
  </si>
  <si>
    <t xml:space="preserve">QA-0971</t>
  </si>
  <si>
    <t xml:space="preserve">(8,604)</t>
  </si>
  <si>
    <t xml:space="preserve">Exhibit 99.1, Reconciliation of net cash provided by operating activities to adjusted free cash flow; row 'Purchase of property and equipment'; column 'Nine months ended September 30, 2021'</t>
  </si>
  <si>
    <t xml:space="preserve">QA-0972</t>
  </si>
  <si>
    <t xml:space="preserve">(2,974)</t>
  </si>
  <si>
    <t xml:space="preserve">Exhibit 99.1, Reconciliation of net cash provided by (used in) operating activities to adjusted free cash flow; row 'Purchase of property and equipment'; column 'Three months ended December 31, 2021'</t>
  </si>
  <si>
    <t xml:space="preserve">QA-0973</t>
  </si>
  <si>
    <t xml:space="preserve">(11,578)</t>
  </si>
  <si>
    <t xml:space="preserve">Exhibit 99.1, Reconciliation of net cash provided by (used in) operating activities to adjusted free cash flow; row 'Purchase of property and equipment'; column 'Year ended December 31, 2021'</t>
  </si>
  <si>
    <t xml:space="preserve">QA-0974</t>
  </si>
  <si>
    <t xml:space="preserve">(2,354)</t>
  </si>
  <si>
    <t xml:space="preserve">Exhibit 99.1, Reconciliation of net cash used in operating activities to adjusted free cash flow; row 'Purchase of property and equipment'; column 'Three months ended March 31, 2022'</t>
  </si>
  <si>
    <t xml:space="preserve">QA-0975</t>
  </si>
  <si>
    <t xml:space="preserve">(4,550)</t>
  </si>
  <si>
    <t xml:space="preserve">Exhibit 99.1, Reconciliation of net cash used in operating activities to adjusted free cash flow; row 'Purchase of property and equipment'; column 'Three months ended June 30, 2022'</t>
  </si>
  <si>
    <t xml:space="preserve">QA-0976</t>
  </si>
  <si>
    <t xml:space="preserve">(6,904)</t>
  </si>
  <si>
    <t xml:space="preserve">Exhibit 99.1, Reconciliation of net cash used in operating activities to adjusted free cash flow; row 'Purchase of property and equipment'; column 'Six months ended June 30, 2022'</t>
  </si>
  <si>
    <t xml:space="preserve">QA-0977</t>
  </si>
  <si>
    <t xml:space="preserve">(5,339)</t>
  </si>
  <si>
    <t xml:space="preserve">Exhibit 99.1, Reconciliation of net cash provided by (used in) operating activities to adjusted free cash flow; row 'Purchase of property and equipment'; column 'Three months ended September 30, 2022'</t>
  </si>
  <si>
    <t xml:space="preserve">QA-0978</t>
  </si>
  <si>
    <t xml:space="preserve">(12,243)</t>
  </si>
  <si>
    <t xml:space="preserve">Exhibit 99.1, Reconciliation of net cash provided by (used in) operating activities to adjusted free cash flow; row 'Purchase of property and equipment'; column 'Nine months ended September 30, 2022'</t>
  </si>
  <si>
    <t xml:space="preserve">QA-0979</t>
  </si>
  <si>
    <t xml:space="preserve">(3,760)</t>
  </si>
  <si>
    <t xml:space="preserve">Exhibit 99.1, Reconciliation of net cash provided by operating activities to adjusted free cash flow; row 'Purchase of property and equipment'; column 'Three months ended December 31, 2022'</t>
  </si>
  <si>
    <t xml:space="preserve">QA-0980</t>
  </si>
  <si>
    <t xml:space="preserve">(16,003)</t>
  </si>
  <si>
    <t xml:space="preserve">Exhibit 99.1, Reconciliation of net cash provided by operating activities to adjusted free cash flow; row 'Purchase of property and equipment'; column 'Year ended December 31, 2022'</t>
  </si>
  <si>
    <t xml:space="preserve">QA-0981</t>
  </si>
  <si>
    <t xml:space="preserve">(3,561)</t>
  </si>
  <si>
    <t xml:space="preserve">Exhibit 99.1, Reconciliation of net cash provided by (used in) operating activities to free cash flow; row 'Purchase of property and equipment'; column 'Three months ended March 31, 2023'</t>
  </si>
  <si>
    <t xml:space="preserve">QA-0982</t>
  </si>
  <si>
    <t xml:space="preserve">(1,123)</t>
  </si>
  <si>
    <t xml:space="preserve">Exhibit 99.1, Reconciliation of net cash provided by (used in) operating activities to free cash flow; row 'Purchase of property and equipment'; column 'Three months ended June 30, 2023'</t>
  </si>
  <si>
    <t xml:space="preserve">QA-0983</t>
  </si>
  <si>
    <t xml:space="preserve">(4,684)</t>
  </si>
  <si>
    <t xml:space="preserve">Exhibit 99.1, Reconciliation of net cash provided by (used in) operating activities to free cash flow; row 'Purchase of property and equipment'; column 'Six months ended June 30, 2023'</t>
  </si>
  <si>
    <t xml:space="preserve">QA-0984</t>
  </si>
  <si>
    <t xml:space="preserve">(779)</t>
  </si>
  <si>
    <t xml:space="preserve">Exhibit 99.1, Reconciliation of net cash provided by (used in) operating activities to free cash flow; row 'Purchase of property and equipment'; column 'Three months ended September 30, 2023'</t>
  </si>
  <si>
    <t xml:space="preserve">QA-0985</t>
  </si>
  <si>
    <t xml:space="preserve">(5,463)</t>
  </si>
  <si>
    <t xml:space="preserve">Exhibit 99.1, Reconciliation of net cash provided by (used in) operating activities to free cash flow; row 'Purchase of property and equipment'; column 'Nine months ended September 30, 2023'</t>
  </si>
  <si>
    <t xml:space="preserve">QA-0986</t>
  </si>
  <si>
    <t xml:space="preserve">(2,438)</t>
  </si>
  <si>
    <t xml:space="preserve">Exhibit 99.1, Reconciliation of net cash provided by operating activities to free cash flow; row 'Purchase of property and equipment'; column 'Three months ended December 31, 2023'</t>
  </si>
  <si>
    <t xml:space="preserve">QA-0987</t>
  </si>
  <si>
    <t xml:space="preserve">(7,901)</t>
  </si>
  <si>
    <t xml:space="preserve">Exhibit 99.1, Reconciliation of net cash provided by operating activities to free cash flow; row 'Purchase of property and equipment'; column 'Year ended December 31, 2023'</t>
  </si>
  <si>
    <t xml:space="preserve">QA-0988</t>
  </si>
  <si>
    <t xml:space="preserve">(1,460)</t>
  </si>
  <si>
    <t xml:space="preserve">Exhibit 99.1, Reconciliation of net cash provided by operating activities to free cash flow; row 'Purchase of property and equipment'; column 'Three months ended March 31, 2024'</t>
  </si>
  <si>
    <t xml:space="preserve">QA-0989</t>
  </si>
  <si>
    <t xml:space="preserve">(4,504)</t>
  </si>
  <si>
    <t xml:space="preserve">Exhibit 99.1, Reconciliation of net cash provided by operating activities to free cash flow; row 'Purchase of property and equipment'; column 'Three months ended June 30, 2024'</t>
  </si>
  <si>
    <t xml:space="preserve">QA-0990</t>
  </si>
  <si>
    <t xml:space="preserve">(5,964)</t>
  </si>
  <si>
    <t xml:space="preserve">Exhibit 99.1, Reconciliation of net cash provided by operating activities to free cash flow; row 'Purchase of property and equipment'; column 'Six months ended June 30, 2024'</t>
  </si>
  <si>
    <t xml:space="preserve">QA-0991</t>
  </si>
  <si>
    <t xml:space="preserve">(3,800)</t>
  </si>
  <si>
    <t xml:space="preserve">Exhibit 99.1, Reconciliation of net cash provided by operating activities to free; row 'Purchase of property and equipment'; column 'Three months ended September 30, 2024'</t>
  </si>
  <si>
    <t xml:space="preserve">QA-0992</t>
  </si>
  <si>
    <t xml:space="preserve">(9,764)</t>
  </si>
  <si>
    <t xml:space="preserve">Exhibit 99.1, Reconciliation of net cash provided by operating activities to free; row 'Purchase of property and equipment'; column 'Nine months ended September 30, 2024'</t>
  </si>
  <si>
    <t xml:space="preserve">QA-0993</t>
  </si>
  <si>
    <t xml:space="preserve">(3,447)</t>
  </si>
  <si>
    <t xml:space="preserve">Exhibit 99.1, Reconciliation of net cash provided by operating activities to free cash flow; row 'Purchase of property and equipment'; column 'Three months ended December 31, 2024'</t>
  </si>
  <si>
    <t xml:space="preserve">QA-0994</t>
  </si>
  <si>
    <t xml:space="preserve">(13,211)</t>
  </si>
  <si>
    <t xml:space="preserve">Exhibit 99.1, Reconciliation of net cash provided by operating activities to free cash flow; row 'Purchase of property and equipment'; column 'Year ended December 31, 2024'</t>
  </si>
  <si>
    <t xml:space="preserve">QA-0995</t>
  </si>
  <si>
    <t xml:space="preserve">(3,687)</t>
  </si>
  <si>
    <t xml:space="preserve">Exhibit 99.1, Reconciliation of net cash provided by operating activities to adjusted free cash flow; row 'Purchase of property and equipment'; column 'Three months ended March 31, 2025'</t>
  </si>
  <si>
    <t xml:space="preserve">QA-0996</t>
  </si>
  <si>
    <t xml:space="preserve">(5,884)</t>
  </si>
  <si>
    <t xml:space="preserve">Exhibit 99.1, Reconciliation of net cash provided by operating activities to adjusted free cash flow; row 'Purchase of property and equipment'; column 'Three months ended June 30, 2025'</t>
  </si>
  <si>
    <t xml:space="preserve">QA-0997</t>
  </si>
  <si>
    <t xml:space="preserve">(9,571)</t>
  </si>
  <si>
    <t xml:space="preserve">Exhibit 99.1, Reconciliation of net cash provided by operating activities to adjusted free cash flow; row 'Purchase of property and equipment'; column 'Six months ended June 30, 2025'</t>
  </si>
  <si>
    <t xml:space="preserve">QA-0998</t>
  </si>
  <si>
    <t xml:space="preserve">(3,984)</t>
  </si>
  <si>
    <t xml:space="preserve">Exhibit 99.1, Reconciliation of net cash provided by operating activities to adjusted free cash flow; row 'Purchase of property and equipment'; column 'Three months ended September 30, 2025'</t>
  </si>
  <si>
    <t xml:space="preserve">QA-0999</t>
  </si>
  <si>
    <t xml:space="preserve">(13,555)</t>
  </si>
  <si>
    <t xml:space="preserve">Exhibit 99.1, Reconciliation of net cash provided by operating activities to adjusted free cash flow; row 'Purchase of property and equipment'; column 'Nine months ended September 30, 2025'</t>
  </si>
  <si>
    <t xml:space="preserve">QA-1000</t>
  </si>
  <si>
    <t xml:space="preserve">(6,807)</t>
  </si>
  <si>
    <t xml:space="preserve">Exhibit 99.1, Reconciliation of net cash provided by operating activities to adjusted free cash flow; row 'Purchase of property and equipment'; column 'Three months ended December 31, 2025'</t>
  </si>
  <si>
    <t xml:space="preserve">QA-1001</t>
  </si>
  <si>
    <t xml:space="preserve">(20,362)</t>
  </si>
  <si>
    <t xml:space="preserve">Exhibit 99.1, Reconciliation of net cash provided by operating activities to adjusted free cash flow; row 'Purchase of property and equipment'; column 'Year ended December 31, 2025'</t>
  </si>
  <si>
    <t xml:space="preserve">QA-1002</t>
  </si>
  <si>
    <t xml:space="preserve">(2,447)</t>
  </si>
  <si>
    <t xml:space="preserve">Exhibit 99.1, Reconciliation of net cash provided by operating activities to adjusted free cash flow; row 'Purchase of property and equipment'; column 'Three months ended March 31, 2026'</t>
  </si>
  <si>
    <t xml:space="preserve">QA-1003</t>
  </si>
  <si>
    <t xml:space="preserve">(3,790)</t>
  </si>
  <si>
    <t xml:space="preserve">Exhibit 99.1, Reconciliation of net cash provided by operating activities to adjusted free cash flow; row 'Purchase of property and equipment'; column 'Three months ended June 30, 2026'</t>
  </si>
  <si>
    <t xml:space="preserve">QA-1004</t>
  </si>
  <si>
    <t xml:space="preserve">(6,237)</t>
  </si>
  <si>
    <t xml:space="preserve">Exhibit 99.1, Reconciliation of net cash provided by operating activities to adjusted free cash flow; row 'Purchase of property and equipment'; column 'Six months ended June 30, 2026'</t>
  </si>
  <si>
    <t xml:space="preserve">QA-1005</t>
  </si>
  <si>
    <t xml:space="preserve">Capitalized software development costs (FCF reconciliation)</t>
  </si>
  <si>
    <t xml:space="preserve">(440)</t>
  </si>
  <si>
    <t xml:space="preserve">Exhibit 99.1, Reconciliation of net cash used in operating activities to adjusted free cash flow; row 'Capitalized software development costs'; column 'Three months ended March 31, 2021'</t>
  </si>
  <si>
    <t xml:space="preserve">QA-1006</t>
  </si>
  <si>
    <t xml:space="preserve">(718)</t>
  </si>
  <si>
    <t xml:space="preserve">Exhibit 99.1, Reconciliation of net cash provided by operating activities to adjusted free cash flow; row 'Capitalized software development costs'; column 'Three months ended June 30, 2021'</t>
  </si>
  <si>
    <t xml:space="preserve">QA-1007</t>
  </si>
  <si>
    <t xml:space="preserve">(1,158)</t>
  </si>
  <si>
    <t xml:space="preserve">Exhibit 99.1, Reconciliation of net cash provided by operating activities to adjusted free cash flow; row 'Capitalized software development costs'; column 'Six months ended June 30, 2021'</t>
  </si>
  <si>
    <t xml:space="preserve">QA-1008</t>
  </si>
  <si>
    <t xml:space="preserve">(590)</t>
  </si>
  <si>
    <t xml:space="preserve">Exhibit 99.1, Reconciliation of net cash provided by operating activities to adjusted free cash flow; row 'Capitalized software development costs'; column 'Three months ended September 30, 2021'</t>
  </si>
  <si>
    <t xml:space="preserve">QA-1009</t>
  </si>
  <si>
    <t xml:space="preserve">Exhibit 99.1, Reconciliation of net cash provided by operating activities to adjusted free cash flow; row 'Capitalized software development costs'; column 'Nine months ended September 30, 2021'</t>
  </si>
  <si>
    <t xml:space="preserve">QA-1010</t>
  </si>
  <si>
    <t xml:space="preserve">(432)</t>
  </si>
  <si>
    <t xml:space="preserve">Exhibit 99.1, Reconciliation of net cash provided by (used in) operating activities to adjusted free cash flow; row 'Capitalized software development costs'; column 'Three months ended December 31, 2021'</t>
  </si>
  <si>
    <t xml:space="preserve">QA-1011</t>
  </si>
  <si>
    <t xml:space="preserve">(2,180)</t>
  </si>
  <si>
    <t xml:space="preserve">Exhibit 99.1, Reconciliation of net cash provided by (used in) operating activities to adjusted free cash flow; row 'Capitalized software development costs'; column 'Year ended December 31, 2021'</t>
  </si>
  <si>
    <t xml:space="preserve">QA-1012</t>
  </si>
  <si>
    <t xml:space="preserve">(926)</t>
  </si>
  <si>
    <t xml:space="preserve">Exhibit 99.1, Reconciliation of net cash used in operating activities to adjusted free cash flow; row 'Capitalized software development costs'; column 'Three months ended March 31, 2022'</t>
  </si>
  <si>
    <t xml:space="preserve">QA-1013</t>
  </si>
  <si>
    <t xml:space="preserve">(684)</t>
  </si>
  <si>
    <t xml:space="preserve">Exhibit 99.1, Reconciliation of net cash used in operating activities to adjusted free cash flow; row 'Capitalized software development costs'; column 'Three months ended June 30, 2022'</t>
  </si>
  <si>
    <t xml:space="preserve">QA-1014</t>
  </si>
  <si>
    <t xml:space="preserve">(1,610)</t>
  </si>
  <si>
    <t xml:space="preserve">Exhibit 99.1, Reconciliation of net cash used in operating activities to adjusted free cash flow; row 'Capitalized software development costs'; column 'Six months ended June 30, 2022'</t>
  </si>
  <si>
    <t xml:space="preserve">QA-1015</t>
  </si>
  <si>
    <t xml:space="preserve">(732)</t>
  </si>
  <si>
    <t xml:space="preserve">Exhibit 99.1, Reconciliation of net cash provided by (used in) operating activities to adjusted free cash flow; row 'Capitalized software development costs'; column 'Three months ended September 30, 2022'</t>
  </si>
  <si>
    <t xml:space="preserve">QA-1016</t>
  </si>
  <si>
    <t xml:space="preserve">(2,342)</t>
  </si>
  <si>
    <t xml:space="preserve">Exhibit 99.1, Reconciliation of net cash provided by (used in) operating activities to adjusted free cash flow; row 'Capitalized software development costs'; column 'Nine months ended September 30, 2022'</t>
  </si>
  <si>
    <t xml:space="preserve">QA-1017</t>
  </si>
  <si>
    <t xml:space="preserve">(656)</t>
  </si>
  <si>
    <t xml:space="preserve">Exhibit 99.1, Reconciliation of net cash provided by operating activities to adjusted free cash flow; row 'Capitalized software development costs'; column 'Three months ended December 31, 2022'</t>
  </si>
  <si>
    <t xml:space="preserve">QA-1018</t>
  </si>
  <si>
    <t xml:space="preserve">(2,998)</t>
  </si>
  <si>
    <t xml:space="preserve">Exhibit 99.1, Reconciliation of net cash provided by operating activities to adjusted free cash flow; row 'Capitalized software development costs'; column 'Year ended December 31, 2022'</t>
  </si>
  <si>
    <t xml:space="preserve">QA-1019</t>
  </si>
  <si>
    <t xml:space="preserve">(485)</t>
  </si>
  <si>
    <t xml:space="preserve">Exhibit 99.1, Reconciliation of net cash provided by (used in) operating activities to free cash flow; row 'Capitalized software development costs'; column 'Three months ended March 31, 2023'</t>
  </si>
  <si>
    <t xml:space="preserve">QA-1020</t>
  </si>
  <si>
    <t xml:space="preserve">(534)</t>
  </si>
  <si>
    <t xml:space="preserve">Exhibit 99.1, Reconciliation of net cash provided by (used in) operating activities to free cash flow; row 'Capitalized software development costs'; column 'Three months ended June 30, 2023'</t>
  </si>
  <si>
    <t xml:space="preserve">QA-1021</t>
  </si>
  <si>
    <t xml:space="preserve">(1,019)</t>
  </si>
  <si>
    <t xml:space="preserve">Exhibit 99.1, Reconciliation of net cash provided by (used in) operating activities to free cash flow; row 'Capitalized software development costs'; column 'Six months ended June 30, 2023'</t>
  </si>
  <si>
    <t xml:space="preserve">QA-1022</t>
  </si>
  <si>
    <t xml:space="preserve">(910)</t>
  </si>
  <si>
    <t xml:space="preserve">Exhibit 99.1, Reconciliation of net cash provided by (used in) operating activities to free cash flow; row 'Capitalized software development costs'; column 'Three months ended September 30, 2023'</t>
  </si>
  <si>
    <t xml:space="preserve">QA-1023</t>
  </si>
  <si>
    <t xml:space="preserve">(1,929)</t>
  </si>
  <si>
    <t xml:space="preserve">Exhibit 99.1, Reconciliation of net cash provided by (used in) operating activities to free cash flow; row 'Capitalized software development costs'; column 'Nine months ended September 30, 2023'</t>
  </si>
  <si>
    <t xml:space="preserve">QA-1024</t>
  </si>
  <si>
    <t xml:space="preserve">(629)</t>
  </si>
  <si>
    <t xml:space="preserve">Exhibit 99.1, Reconciliation of net cash provided by operating activities to free cash flow; row 'Capitalized software development costs'; column 'Three months ended December 31, 2023'</t>
  </si>
  <si>
    <t xml:space="preserve">QA-1025</t>
  </si>
  <si>
    <t xml:space="preserve">(2,558)</t>
  </si>
  <si>
    <t xml:space="preserve">Exhibit 99.1, Reconciliation of net cash provided by operating activities to free cash flow; row 'Capitalized software development costs'; column 'Year ended December 31, 2023'</t>
  </si>
  <si>
    <t xml:space="preserve">QA-1026</t>
  </si>
  <si>
    <t xml:space="preserve">(601)</t>
  </si>
  <si>
    <t xml:space="preserve">Exhibit 99.1, Reconciliation of net cash provided by operating activities to free cash flow; row 'Capitalized software development costs'; column 'Three months ended March 31, 2024'</t>
  </si>
  <si>
    <t xml:space="preserve">QA-1027</t>
  </si>
  <si>
    <t xml:space="preserve">(469)</t>
  </si>
  <si>
    <t xml:space="preserve">Exhibit 99.1, Reconciliation of net cash provided by operating activities to free cash flow; row 'Capitalized software development costs'; column 'Three months ended June 30, 2024'</t>
  </si>
  <si>
    <t xml:space="preserve">QA-1028</t>
  </si>
  <si>
    <t xml:space="preserve">(1,070)</t>
  </si>
  <si>
    <t xml:space="preserve">Exhibit 99.1, Reconciliation of net cash provided by operating activities to free cash flow; row 'Capitalized software development costs'; column 'Six months ended June 30, 2024'</t>
  </si>
  <si>
    <t xml:space="preserve">QA-1029</t>
  </si>
  <si>
    <t xml:space="preserve">(393)</t>
  </si>
  <si>
    <t xml:space="preserve">Exhibit 99.1, Reconciliation of net cash provided by operating activities to free; row 'Capitalized software development costs'; column 'Three months ended September 30, 2024'</t>
  </si>
  <si>
    <t xml:space="preserve">QA-1030</t>
  </si>
  <si>
    <t xml:space="preserve">(1,463)</t>
  </si>
  <si>
    <t xml:space="preserve">Exhibit 99.1, Reconciliation of net cash provided by operating activities to free; row 'Capitalized software development costs'; column 'Nine months ended September 30, 2024'</t>
  </si>
  <si>
    <t xml:space="preserve">QA-1031</t>
  </si>
  <si>
    <t xml:space="preserve">(561)</t>
  </si>
  <si>
    <t xml:space="preserve">Exhibit 99.1, Reconciliation of net cash provided by operating activities to free cash flow; row 'Capitalized software development costs'; column 'Three months ended December 31, 2024'</t>
  </si>
  <si>
    <t xml:space="preserve">QA-1032</t>
  </si>
  <si>
    <t xml:space="preserve">(2,024)</t>
  </si>
  <si>
    <t xml:space="preserve">Exhibit 99.1, Reconciliation of net cash provided by operating activities to free cash flow; row 'Capitalized software development costs'; column 'Year ended December 31, 2024'</t>
  </si>
  <si>
    <t xml:space="preserve">QA-1033</t>
  </si>
  <si>
    <t xml:space="preserve">Exhibit 99.1, Reconciliation of net cash provided by operating activities to adjusted free cash flow; row 'Capitalized software development costs'; column 'Three months ended March 31, 2025'</t>
  </si>
  <si>
    <t xml:space="preserve">QA-1034</t>
  </si>
  <si>
    <t xml:space="preserve">(924)</t>
  </si>
  <si>
    <t xml:space="preserve">Exhibit 99.1, Reconciliation of net cash provided by operating activities to adjusted free cash flow; row 'Capitalized software development costs'; column 'Three months ended June 30, 2025'</t>
  </si>
  <si>
    <t xml:space="preserve">QA-1035</t>
  </si>
  <si>
    <t xml:space="preserve">(1,703)</t>
  </si>
  <si>
    <t xml:space="preserve">Exhibit 99.1, Reconciliation of net cash provided by operating activities to adjusted free cash flow; row 'Capitalized software development costs'; column 'Six months ended June 30, 2025'</t>
  </si>
  <si>
    <t xml:space="preserve">QA-1036</t>
  </si>
  <si>
    <t xml:space="preserve">(941)</t>
  </si>
  <si>
    <t xml:space="preserve">Exhibit 99.1, Reconciliation of net cash provided by operating activities to adjusted free cash flow; row 'Capitalized software development costs'; column 'Three months ended September 30, 2025'</t>
  </si>
  <si>
    <t xml:space="preserve">QA-1037</t>
  </si>
  <si>
    <t xml:space="preserve">(2,644)</t>
  </si>
  <si>
    <t xml:space="preserve">Exhibit 99.1, Reconciliation of net cash provided by operating activities to adjusted free cash flow; row 'Capitalized software development costs'; column 'Nine months ended September 30, 2025'</t>
  </si>
  <si>
    <t xml:space="preserve">QA-1038</t>
  </si>
  <si>
    <t xml:space="preserve">(736)</t>
  </si>
  <si>
    <t xml:space="preserve">Exhibit 99.1, Reconciliation of net cash provided by operating activities to adjusted free cash flow; row 'Capitalized software development costs'; column 'Three months ended December 31, 2025'</t>
  </si>
  <si>
    <t xml:space="preserve">QA-1039</t>
  </si>
  <si>
    <t xml:space="preserve">(3,380)</t>
  </si>
  <si>
    <t xml:space="preserve">Exhibit 99.1, Reconciliation of net cash provided by operating activities to adjusted free cash flow; row 'Capitalized software development costs'; column 'Year ended December 31, 2025'</t>
  </si>
  <si>
    <t xml:space="preserve">QA-1040</t>
  </si>
  <si>
    <t xml:space="preserve">(484)</t>
  </si>
  <si>
    <t xml:space="preserve">Exhibit 99.1, Reconciliation of net cash provided by operating activities to adjusted free cash flow; row 'Capitalized software development costs'; column 'Three months ended March 31, 2026'</t>
  </si>
  <si>
    <t xml:space="preserve">QA-1041</t>
  </si>
  <si>
    <t xml:space="preserve">(1,106)</t>
  </si>
  <si>
    <t xml:space="preserve">Exhibit 99.1, Reconciliation of net cash provided by operating activities to adjusted free cash flow; row 'Capitalized software development costs'; column 'Three months ended June 30, 2026'</t>
  </si>
  <si>
    <t xml:space="preserve">QA-1042</t>
  </si>
  <si>
    <t xml:space="preserve">(1,590)</t>
  </si>
  <si>
    <t xml:space="preserve">Exhibit 99.1, Reconciliation of net cash provided by operating activities to adjusted free cash flow; row 'Capitalized software development costs'; column 'Six months ended June 30, 2026'</t>
  </si>
  <si>
    <t xml:space="preserve">QA-1043</t>
  </si>
  <si>
    <t xml:space="preserve">Purchase of PP&amp;E related to corporate headquarters build-out (FCF add-back)</t>
  </si>
  <si>
    <t xml:space="preserve">3,667</t>
  </si>
  <si>
    <t xml:space="preserve">Exhibit 99.1, Reconciliation of net cash used in operating activities to adjusted free cash flow; row 'Purchase of property and equipment related to build-out of our new corporate headquarters'; column 'Three months ended March 31, 2021'</t>
  </si>
  <si>
    <t xml:space="preserve">QA-1044</t>
  </si>
  <si>
    <t xml:space="preserve">951</t>
  </si>
  <si>
    <t xml:space="preserve">Exhibit 99.1, Reconciliation of net cash provided by operating activities to adjusted free cash flow; row 'Purchase of property and equipment related to build-out of our new corporate headquarters'; column 'Three months ended June 30, 2021'</t>
  </si>
  <si>
    <t xml:space="preserve">QA-1045</t>
  </si>
  <si>
    <t xml:space="preserve">4,618</t>
  </si>
  <si>
    <t xml:space="preserve">Exhibit 99.1, Reconciliation of net cash provided by operating activities to adjusted free cash flow; row 'Purchase of property and equipment related to build-out of our new corporate headquarters'; column 'Six months ended June 30, 2021'</t>
  </si>
  <si>
    <t xml:space="preserve">QA-1046</t>
  </si>
  <si>
    <t xml:space="preserve">2,685</t>
  </si>
  <si>
    <t xml:space="preserve">Exhibit 99.1, Reconciliation of net cash provided by operating activities to adjusted free cash flow; row 'Purchase of property and equipment related to build-out of our new corporate headquarters'; column 'Three months ended September 30, 2021'</t>
  </si>
  <si>
    <t xml:space="preserve">QA-1047</t>
  </si>
  <si>
    <t xml:space="preserve">7,303</t>
  </si>
  <si>
    <t xml:space="preserve">Exhibit 99.1, Reconciliation of net cash provided by operating activities to adjusted free cash flow; row 'Purchase of property and equipment related to build-out of our new corporate headquarters'; column 'Nine months ended September 30, 2021'</t>
  </si>
  <si>
    <t xml:space="preserve">QA-1048</t>
  </si>
  <si>
    <t xml:space="preserve">Exhibit 99.1, Reconciliation of net cash provided by (used in) operating activities to adjusted free cash flow; row 'Purchase of property and equipment related to build-out of our new corporate headquarters'; column 'Three months ended December 31, 2021'</t>
  </si>
  <si>
    <t xml:space="preserve">QA-1049</t>
  </si>
  <si>
    <t xml:space="preserve">Exhibit 99.1, Reconciliation of net cash provided by (used in) operating activities to adjusted free cash flow; row 'Purchase of property and equipment related to build-out of our new corporate headquarters'; column 'Year ended December 31, 2021'</t>
  </si>
  <si>
    <t xml:space="preserve">QA-1050</t>
  </si>
  <si>
    <t xml:space="preserve">Exhibit 99.1, Reconciliation of net cash used in operating activities to adjusted free cash flow; row 'Purchase of property and equipment related to build-out of our new corporate headquarters'; column 'Three months ended March 31, 2022'</t>
  </si>
  <si>
    <t xml:space="preserve">QA-1051</t>
  </si>
  <si>
    <t xml:space="preserve">Exhibit 99.1, Reconciliation of net cash used in operating activities to adjusted free cash flow; row 'Purchase of property and equipment related to build-out of our new corporate headquarters'; column 'Three months ended June 30, 2022'</t>
  </si>
  <si>
    <t xml:space="preserve">QA-1052</t>
  </si>
  <si>
    <t xml:space="preserve">Exhibit 99.1, Reconciliation of net cash used in operating activities to adjusted free cash flow; row 'Purchase of property and equipment related to build-out of our new corporate headquarters'; column 'Six months ended June 30, 2022'</t>
  </si>
  <si>
    <t xml:space="preserve">QA-1053</t>
  </si>
  <si>
    <t xml:space="preserve">Exhibit 99.1, Reconciliation of net cash provided by (used in) operating activities to adjusted free cash flow; row 'Purchase of property and equipment related to build-out of our new corporate headquarters'; column 'Three months ended September 30, 2022'</t>
  </si>
  <si>
    <t xml:space="preserve">QA-1054</t>
  </si>
  <si>
    <t xml:space="preserve">Exhibit 99.1, Reconciliation of net cash provided by (used in) operating activities to adjusted free cash flow; row 'Purchase of property and equipment related to build-out of our new corporate headquarters'; column 'Nine months ended September 30, 2022'</t>
  </si>
  <si>
    <t xml:space="preserve">QA-1055</t>
  </si>
  <si>
    <t xml:space="preserve">Exhibit 99.1, Reconciliation of net cash provided by operating activities to adjusted free cash flow; row 'Purchase of property and equipment related to build-out of our new corporate headquarters'; column 'Three months ended December 31, 2022'</t>
  </si>
  <si>
    <t xml:space="preserve">QA-1056</t>
  </si>
  <si>
    <t xml:space="preserve">Exhibit 99.1, Reconciliation of net cash provided by operating activities to adjusted free cash flow; row 'Purchase of property and equipment related to build-out of our new corporate headquarters'; column 'Year ended December 31, 2022'</t>
  </si>
  <si>
    <t xml:space="preserve">QA-1057</t>
  </si>
  <si>
    <t xml:space="preserve">2,028</t>
  </si>
  <si>
    <t xml:space="preserve">Exhibit 99.1, Reconciliation of net cash provided by operating activities to adjusted free cash flow; row 'Purchase of property and equipment related to build-out and expansion of our corporate headquarters'; column 'Three months ended March 31, 2025'</t>
  </si>
  <si>
    <t xml:space="preserve">QA-1058</t>
  </si>
  <si>
    <t xml:space="preserve">4,064</t>
  </si>
  <si>
    <t xml:space="preserve">Exhibit 99.1, Reconciliation of net cash provided by operating activities to adjusted free cash flow; row 'Purchase of property and equipment related to build-out and expansion of our corporate headquarters'; column 'Three months ended June 30, 2025'</t>
  </si>
  <si>
    <t xml:space="preserve">QA-1059</t>
  </si>
  <si>
    <t xml:space="preserve">6,092</t>
  </si>
  <si>
    <t xml:space="preserve">Exhibit 99.1, Reconciliation of net cash provided by operating activities to adjusted free cash flow; row 'Purchase of property and equipment related to build-out and expansion of our corporate headquarters'; column 'Six months ended June 30, 2025'</t>
  </si>
  <si>
    <t xml:space="preserve">QA-1060</t>
  </si>
  <si>
    <t xml:space="preserve">2,082</t>
  </si>
  <si>
    <t xml:space="preserve">Exhibit 99.1, Reconciliation of net cash provided by operating activities to adjusted free cash flow; row 'Purchase of property and equipment related to build-out and expansion of our corporate headquarters'; column 'Three months ended September 30, 2025'</t>
  </si>
  <si>
    <t xml:space="preserve">QA-1061</t>
  </si>
  <si>
    <t xml:space="preserve">8,174</t>
  </si>
  <si>
    <t xml:space="preserve">Exhibit 99.1, Reconciliation of net cash provided by operating activities to adjusted free cash flow; row 'Purchase of property and equipment related to build-out and expansion of our corporate headquarters'; column 'Nine months ended September 30, 2025'</t>
  </si>
  <si>
    <t xml:space="preserve">QA-1062</t>
  </si>
  <si>
    <t xml:space="preserve">4,584</t>
  </si>
  <si>
    <t xml:space="preserve">Exhibit 99.1, Reconciliation of net cash provided by operating activities to adjusted free cash flow; row 'Purchase of property and equipment related to build-out and expansion of our corporate headquarters'; column 'Three months ended December 31, 2025'</t>
  </si>
  <si>
    <t xml:space="preserve">QA-1063</t>
  </si>
  <si>
    <t xml:space="preserve">12,758</t>
  </si>
  <si>
    <t xml:space="preserve">Exhibit 99.1, Reconciliation of net cash provided by operating activities to adjusted free cash flow; row 'Purchase of property and equipment related to build-out and expansion of our corporate headquarters'; column 'Year ended December 31, 2025'</t>
  </si>
  <si>
    <t xml:space="preserve">QA-1064</t>
  </si>
  <si>
    <t xml:space="preserve">1,022</t>
  </si>
  <si>
    <t xml:space="preserve">Exhibit 99.1, Reconciliation of net cash provided by operating activities to adjusted free cash flow; row 'Purchase of property and equipment related to build-out and expansion of our corporate headquarters'; column 'Three months ended March 31, 2026'</t>
  </si>
  <si>
    <t xml:space="preserve">QA-1065</t>
  </si>
  <si>
    <t xml:space="preserve">1,886</t>
  </si>
  <si>
    <t xml:space="preserve">Exhibit 99.1, Reconciliation of net cash provided by operating activities to adjusted free cash flow; row 'Purchase of property and equipment related to build-out of our corporate headquarters (1)'; column 'Three months ended June 30, 2026'</t>
  </si>
  <si>
    <t xml:space="preserve">Footnote (1): for Q1-Q2 2026 mainly renovation costs at an Israel office capitalized before the decision to vacate it in Q2 2026; related leasehold improvements later impaired within restructuring charges.</t>
  </si>
  <si>
    <t xml:space="preserve">QA-1066</t>
  </si>
  <si>
    <t xml:space="preserve">2,908</t>
  </si>
  <si>
    <t xml:space="preserve">Exhibit 99.1, Reconciliation of net cash provided by operating activities to adjusted free cash flow; row 'Purchase of property and equipment related to build-out of our corporate headquarters (1)'; column 'Six months ended June 30, 2026'</t>
  </si>
  <si>
    <t xml:space="preserve">QA-1067</t>
  </si>
  <si>
    <t xml:space="preserve">Adjusted free cash flow / free cash flow (company-defined; label as reported)</t>
  </si>
  <si>
    <t xml:space="preserve">(1,595)</t>
  </si>
  <si>
    <t xml:space="preserve">Exhibit 99.1, Reconciliation of net cash used in operating activities to adjusted free cash flow; row 'Adjusted free cash flow'; column 'Three months ended March 31, 2021'</t>
  </si>
  <si>
    <t xml:space="preserve">Q1 2021 preceded the June 2021 IPO; no Q1 2021 release exists. Value is the prior-year comparative column in the Q1 2022 earnings release. Company label in this release: 'Adjusted free cash flow'. See Definitions (FCF vs adjusted FCF changes in 2023 and 2025).</t>
  </si>
  <si>
    <t xml:space="preserve">QA-1068</t>
  </si>
  <si>
    <t xml:space="preserve">(1,480)</t>
  </si>
  <si>
    <t xml:space="preserve">Exhibit 99.1, Reconciliation of net cash provided by operating activities to adjusted free cash flow; row 'Adjusted free cash flow'; column 'Three months ended June 30, 2021'</t>
  </si>
  <si>
    <t xml:space="preserve">Company label in this release: 'Adjusted free cash flow'. See Definitions (FCF vs adjusted FCF changes in 2023 and 2025).</t>
  </si>
  <si>
    <t xml:space="preserve">QA-1069</t>
  </si>
  <si>
    <t xml:space="preserve">(3,075)</t>
  </si>
  <si>
    <t xml:space="preserve">Exhibit 99.1, Reconciliation of net cash provided by operating activities to adjusted free cash flow; row 'Adjusted free cash flow'; column 'Six months ended June 30, 2021'</t>
  </si>
  <si>
    <t xml:space="preserve">QA-1070</t>
  </si>
  <si>
    <t xml:space="preserve">2,865</t>
  </si>
  <si>
    <t xml:space="preserve">Exhibit 99.1, Reconciliation of net cash provided by operating activities to adjusted free cash flow; row 'Adjusted free cash flow'; column 'Three months ended September 30, 2021'</t>
  </si>
  <si>
    <t xml:space="preserve">QA-1071</t>
  </si>
  <si>
    <t xml:space="preserve">(210)</t>
  </si>
  <si>
    <t xml:space="preserve">Exhibit 99.1, Reconciliation of net cash provided by operating activities to adjusted free cash flow; row 'Adjusted free cash flow'; column 'Nine months ended September 30, 2021'</t>
  </si>
  <si>
    <t xml:space="preserve">QA-1072</t>
  </si>
  <si>
    <t xml:space="preserve">10,110</t>
  </si>
  <si>
    <t xml:space="preserve">Exhibit 99.1, Reconciliation of net cash provided by (used in) operating activities to adjusted free cash flow; row 'Adjusted free cash flow'; column 'Three months ended December 31, 2021'</t>
  </si>
  <si>
    <t xml:space="preserve">QA-1073</t>
  </si>
  <si>
    <t xml:space="preserve">9,900</t>
  </si>
  <si>
    <t xml:space="preserve">Exhibit 99.1, Reconciliation of net cash provided by (used in) operating activities to adjusted free cash flow; row 'Adjusted free cash flow'; column 'Year ended December 31, 2021'</t>
  </si>
  <si>
    <t xml:space="preserve">Company label in this release: 'Adjusted free cash flow'. See Definitions (FCF vs adjusted FCF changes in 2023 and 2025). CONFLICT FLAG: a different value for this metric/period appears in 20F-FY2023 (row QA-1563); this row is CURRENT. Components reconcile to 9,900 and four other primary documents report 9,900.</t>
  </si>
  <si>
    <t xml:space="preserve">QA-1074</t>
  </si>
  <si>
    <t xml:space="preserve">(16,192)</t>
  </si>
  <si>
    <t xml:space="preserve">Exhibit 99.1, Reconciliation of net cash used in operating activities to adjusted free cash flow; row 'Adjusted free cash flow'; column 'Three months ended March 31, 2022'</t>
  </si>
  <si>
    <t xml:space="preserve">QA-1075</t>
  </si>
  <si>
    <t xml:space="preserve">(19,295)</t>
  </si>
  <si>
    <t xml:space="preserve">Exhibit 99.1, Reconciliation of net cash used in operating activities to adjusted free cash flow; row 'Adjusted free cash flow'; column 'Three months ended June 30, 2022'</t>
  </si>
  <si>
    <t xml:space="preserve">QA-1076</t>
  </si>
  <si>
    <t xml:space="preserve">(35,487)</t>
  </si>
  <si>
    <t xml:space="preserve">Exhibit 99.1, Reconciliation of net cash used in operating activities to adjusted free cash flow; row 'Adjusted free cash flow'; column 'Six months ended June 30, 2022'</t>
  </si>
  <si>
    <t xml:space="preserve">QA-1077</t>
  </si>
  <si>
    <t xml:space="preserve">13,959</t>
  </si>
  <si>
    <t xml:space="preserve">Exhibit 99.1, Reconciliation of net cash provided by (used in) operating activities to adjusted free cash flow; row 'Adjusted free cash flow'; column 'Three months ended September 30, 2022'</t>
  </si>
  <si>
    <t xml:space="preserve">QA-1078</t>
  </si>
  <si>
    <t xml:space="preserve">(21,528)</t>
  </si>
  <si>
    <t xml:space="preserve">Exhibit 99.1, Reconciliation of net cash provided by (used in) operating activities to adjusted free cash flow; row 'Adjusted free cash flow'; column 'Nine months ended September 30, 2022'</t>
  </si>
  <si>
    <t xml:space="preserve">QA-1079</t>
  </si>
  <si>
    <t xml:space="preserve">29,665</t>
  </si>
  <si>
    <t xml:space="preserve">Exhibit 99.1, Reconciliation of net cash provided by operating activities to adjusted free cash flow; row 'Adjusted free cash flow'; column 'Three months ended December 31, 2022'</t>
  </si>
  <si>
    <t xml:space="preserve">QA-1080</t>
  </si>
  <si>
    <t xml:space="preserve">8,137</t>
  </si>
  <si>
    <t xml:space="preserve">Exhibit 99.1, Reconciliation of net cash provided by operating activities to adjusted free cash flow; row 'Adjusted free cash flow'; column 'Year ended December 31, 2022'</t>
  </si>
  <si>
    <t xml:space="preserve">QA-1081</t>
  </si>
  <si>
    <t xml:space="preserve">38,682</t>
  </si>
  <si>
    <t xml:space="preserve">Exhibit 99.1, Reconciliation of net cash provided by (used in) operating activities to free cash flow; row 'Free cash flow'; column 'Three months ended March 31, 2023'</t>
  </si>
  <si>
    <t xml:space="preserve">Company label in this release: 'Free cash flow'. See Definitions (FCF vs adjusted FCF changes in 2023 and 2025).</t>
  </si>
  <si>
    <t xml:space="preserve">QA-1082</t>
  </si>
  <si>
    <t xml:space="preserve">45,932</t>
  </si>
  <si>
    <t xml:space="preserve">Exhibit 99.1, Reconciliation of net cash provided by (used in) operating activities to free cash flow; row 'Free cash flow'; column 'Three months ended June 30, 2023'</t>
  </si>
  <si>
    <t xml:space="preserve">QA-1083</t>
  </si>
  <si>
    <t xml:space="preserve">84,614</t>
  </si>
  <si>
    <t xml:space="preserve">Exhibit 99.1, Reconciliation of net cash provided by (used in) operating activities to free cash flow; row 'Free cash flow'; column 'Six months ended June 30, 2023'</t>
  </si>
  <si>
    <t xml:space="preserve">QA-1084</t>
  </si>
  <si>
    <t xml:space="preserve">64,890</t>
  </si>
  <si>
    <t xml:space="preserve">Exhibit 99.1, Reconciliation of net cash provided by (used in) operating activities to free cash flow; row 'Free cash flow'; column 'Three months ended September 30, 2023'</t>
  </si>
  <si>
    <t xml:space="preserve">QA-1085</t>
  </si>
  <si>
    <t xml:space="preserve">149,504</t>
  </si>
  <si>
    <t xml:space="preserve">Exhibit 99.1, Reconciliation of net cash provided by (used in) operating activities to free cash flow; row 'Free cash flow'; column 'Nine months ended September 30, 2023'</t>
  </si>
  <si>
    <t xml:space="preserve">QA-1086</t>
  </si>
  <si>
    <t xml:space="preserve">55,441</t>
  </si>
  <si>
    <t xml:space="preserve">Exhibit 99.1, Reconciliation of net cash provided by operating activities to free cash flow; row 'Free cash flow'; column 'Three months ended December 31, 2023'</t>
  </si>
  <si>
    <t xml:space="preserve">QA-1087</t>
  </si>
  <si>
    <t xml:space="preserve">204,945</t>
  </si>
  <si>
    <t xml:space="preserve">Exhibit 99.1, Reconciliation of net cash provided by operating activities to free cash flow; row 'Free cash flow'; column 'Year ended December 31, 2023'</t>
  </si>
  <si>
    <t xml:space="preserve">QA-1088</t>
  </si>
  <si>
    <t xml:space="preserve">89,894</t>
  </si>
  <si>
    <t xml:space="preserve">Exhibit 99.1, Reconciliation of net cash provided by operating activities to free cash flow; row 'Free cash flow'; column 'Three months ended March 31, 2024'</t>
  </si>
  <si>
    <t xml:space="preserve">QA-1089</t>
  </si>
  <si>
    <t xml:space="preserve">50,821</t>
  </si>
  <si>
    <t xml:space="preserve">Exhibit 99.1, Reconciliation of net cash provided by operating activities to free cash flow; row 'Free cash flow'; column 'Three months ended June 30, 2024'</t>
  </si>
  <si>
    <t xml:space="preserve">QA-1090</t>
  </si>
  <si>
    <t xml:space="preserve">140,715</t>
  </si>
  <si>
    <t xml:space="preserve">Exhibit 99.1, Reconciliation of net cash provided by operating activities to free cash flow; row 'Free cash flow'; column 'Six months ended June 30, 2024'</t>
  </si>
  <si>
    <t xml:space="preserve">QA-1091</t>
  </si>
  <si>
    <t xml:space="preserve">82,412</t>
  </si>
  <si>
    <t xml:space="preserve">Exhibit 99.1, Reconciliation of net cash provided by operating activities to free; row 'Free cash flow'; column 'Three months ended September 30, 2024'</t>
  </si>
  <si>
    <t xml:space="preserve">QA-1092</t>
  </si>
  <si>
    <t xml:space="preserve">223,127</t>
  </si>
  <si>
    <t xml:space="preserve">Exhibit 99.1, Reconciliation of net cash provided by operating activities to free; row 'Free cash flow'; column 'Nine months ended September 30, 2024'</t>
  </si>
  <si>
    <t xml:space="preserve">QA-1093</t>
  </si>
  <si>
    <t xml:space="preserve">72,703</t>
  </si>
  <si>
    <t xml:space="preserve">Exhibit 99.1, Reconciliation of net cash provided by operating activities to free cash flow; row 'Free cash flow'; column 'Three months ended December 31, 2024'</t>
  </si>
  <si>
    <t xml:space="preserve">QA-1094</t>
  </si>
  <si>
    <t xml:space="preserve">295,830</t>
  </si>
  <si>
    <t xml:space="preserve">Exhibit 99.1, Reconciliation of net cash provided by operating activities to free cash flow; row 'Free cash flow'; column 'Year ended December 31, 2024'</t>
  </si>
  <si>
    <t xml:space="preserve">QA-1095</t>
  </si>
  <si>
    <t xml:space="preserve">109,532</t>
  </si>
  <si>
    <t xml:space="preserve">Exhibit 99.1, Reconciliation of net cash provided by operating activities to adjusted free cash flow; row 'Adjusted free cash flow'; column 'Three months ended March 31, 2025'</t>
  </si>
  <si>
    <t xml:space="preserve">QA-1096</t>
  </si>
  <si>
    <t xml:space="preserve">64,093</t>
  </si>
  <si>
    <t xml:space="preserve">Exhibit 99.1, Reconciliation of net cash provided by operating activities to adjusted free cash flow; row 'Adjusted free cash flow'; column 'Three months ended June 30, 2025'</t>
  </si>
  <si>
    <t xml:space="preserve">QA-1097</t>
  </si>
  <si>
    <t xml:space="preserve">173,625</t>
  </si>
  <si>
    <t xml:space="preserve">Exhibit 99.1, Reconciliation of net cash provided by operating activities to adjusted free cash flow; row 'Adjusted free cash flow'; column 'Six months ended June 30, 2025'</t>
  </si>
  <si>
    <t xml:space="preserve">QA-1098</t>
  </si>
  <si>
    <t xml:space="preserve">92,301</t>
  </si>
  <si>
    <t xml:space="preserve">Exhibit 99.1, Reconciliation of net cash provided by operating activities to adjusted free cash flow; row 'Adjusted free cash flow'; column 'Three months ended September 30, 2025'</t>
  </si>
  <si>
    <t xml:space="preserve">QA-1099</t>
  </si>
  <si>
    <t xml:space="preserve">265,926</t>
  </si>
  <si>
    <t xml:space="preserve">Exhibit 99.1, Reconciliation of net cash provided by operating activities to adjusted free cash flow; row 'Adjusted free cash flow'; column 'Nine months ended September 30, 2025'</t>
  </si>
  <si>
    <t xml:space="preserve">QA-1100</t>
  </si>
  <si>
    <t xml:space="preserve">56,734</t>
  </si>
  <si>
    <t xml:space="preserve">Exhibit 99.1, Reconciliation of net cash provided by operating activities to adjusted free cash flow; row 'Adjusted free cash flow'; column 'Three months ended December 31, 2025'</t>
  </si>
  <si>
    <t xml:space="preserve">QA-1101</t>
  </si>
  <si>
    <t xml:space="preserve">322,660</t>
  </si>
  <si>
    <t xml:space="preserve">Exhibit 99.1, Reconciliation of net cash provided by operating activities to adjusted free cash flow; row 'Adjusted free cash flow'; column 'Year ended December 31, 2025'</t>
  </si>
  <si>
    <t xml:space="preserve">QA-1102</t>
  </si>
  <si>
    <t xml:space="preserve">102,778</t>
  </si>
  <si>
    <t xml:space="preserve">Exhibit 99.1, Reconciliation of net cash provided by operating activities to adjusted free cash flow; row 'Adjusted free cash flow'; column 'Three months ended March 31, 2026'</t>
  </si>
  <si>
    <t xml:space="preserve">QA-1103</t>
  </si>
  <si>
    <t xml:space="preserve">52,344</t>
  </si>
  <si>
    <t xml:space="preserve">Exhibit 99.1, Reconciliation of net cash provided by operating activities to adjusted free cash flow; row 'Adjusted free cash flow'; column 'Three months ended June 30, 2026'</t>
  </si>
  <si>
    <t xml:space="preserve">QA-1104</t>
  </si>
  <si>
    <t xml:space="preserve">155,122</t>
  </si>
  <si>
    <t xml:space="preserve">Exhibit 99.1, Reconciliation of net cash provided by operating activities to adjusted free cash flow; row 'Adjusted free cash flow'; column 'Six months ended June 30, 2026'</t>
  </si>
  <si>
    <t xml:space="preserve">QA-1105</t>
  </si>
  <si>
    <t xml:space="preserve">Adjusted free cash flow / free cash flow margin, as reported</t>
  </si>
  <si>
    <t xml:space="preserve">Exhibit 99.1, Reconciliation of net cash provided by (used in) operating activities to adjusted free cash flow; row 'Adjusted free cash flow margin'; column 'Three months ended September 30, 2022'</t>
  </si>
  <si>
    <t xml:space="preserve">QA-1106</t>
  </si>
  <si>
    <t xml:space="preserve">(6)%</t>
  </si>
  <si>
    <t xml:space="preserve">Exhibit 99.1, Reconciliation of net cash provided by (used in) operating activities to adjusted free cash flow; row 'Adjusted free cash flow margin'; column 'Nine months ended September 30, 2022'</t>
  </si>
  <si>
    <t xml:space="preserve">QA-1107</t>
  </si>
  <si>
    <t xml:space="preserve">20%</t>
  </si>
  <si>
    <t xml:space="preserve">Exhibit 99.1, Reconciliation of net cash provided by operating activities to adjusted free cash flow; row 'Adjusted free cash flow margin'; column 'Three months ended December 31, 2022'</t>
  </si>
  <si>
    <t xml:space="preserve">QA-1108</t>
  </si>
  <si>
    <t xml:space="preserve">2%</t>
  </si>
  <si>
    <t xml:space="preserve">Exhibit 99.1, Reconciliation of net cash provided by operating activities to adjusted free cash flow; row 'Adjusted free cash flow margin'; column 'Year ended December 31, 2022'</t>
  </si>
  <si>
    <t xml:space="preserve">QA-1109</t>
  </si>
  <si>
    <t xml:space="preserve">24%</t>
  </si>
  <si>
    <t xml:space="preserve">Exhibit 99.1, Reconciliation of net cash provided by (used in) operating activities to free cash flow; row 'Free cash flow margin'; column 'Three months ended March 31, 2023'</t>
  </si>
  <si>
    <t xml:space="preserve">QA-1110</t>
  </si>
  <si>
    <t xml:space="preserve">26%</t>
  </si>
  <si>
    <t xml:space="preserve">Exhibit 99.1, Reconciliation of net cash provided by (used in) operating activities to free cash flow; row 'Free cash flow margin'; column 'Three months ended June 30, 2023'</t>
  </si>
  <si>
    <t xml:space="preserve">QA-1111</t>
  </si>
  <si>
    <t xml:space="preserve">25%</t>
  </si>
  <si>
    <t xml:space="preserve">Exhibit 99.1, Reconciliation of net cash provided by (used in) operating activities to free cash flow; row 'Free cash flow margin'; column 'Six months ended June 30, 2023'</t>
  </si>
  <si>
    <t xml:space="preserve">QA-1112</t>
  </si>
  <si>
    <t xml:space="preserve">34%</t>
  </si>
  <si>
    <t xml:space="preserve">Exhibit 99.1, Reconciliation of net cash provided by (used in) operating activities to free cash flow; row 'Free cash flow margin'; column 'Three months ended September 30, 2023'</t>
  </si>
  <si>
    <t xml:space="preserve">QA-1113</t>
  </si>
  <si>
    <t xml:space="preserve">28%</t>
  </si>
  <si>
    <t xml:space="preserve">Exhibit 99.1, Reconciliation of net cash provided by (used in) operating activities to free cash flow; row 'Free cash flow margin'; column 'Nine months ended September 30, 2023'</t>
  </si>
  <si>
    <t xml:space="preserve">QA-1114</t>
  </si>
  <si>
    <t xml:space="preserve">27%</t>
  </si>
  <si>
    <t xml:space="preserve">Exhibit 99.1, Reconciliation of net cash provided by operating activities to free cash flow; row 'Free cash flow margin'; column 'Three months ended December 31, 2023'</t>
  </si>
  <si>
    <t xml:space="preserve">QA-1115</t>
  </si>
  <si>
    <t xml:space="preserve">Exhibit 99.1, Reconciliation of net cash provided by operating activities to free cash flow; row 'Free cash flow margin'; column 'Year ended December 31, 2023'</t>
  </si>
  <si>
    <t xml:space="preserve">QA-1116</t>
  </si>
  <si>
    <t xml:space="preserve">41%</t>
  </si>
  <si>
    <t xml:space="preserve">Exhibit 99.1, Reconciliation of net cash provided by operating activities to free cash flow; row 'Free cash flow margin'; column 'Three months ended March 31, 2024'</t>
  </si>
  <si>
    <t xml:space="preserve">QA-1117</t>
  </si>
  <si>
    <t xml:space="preserve">22%</t>
  </si>
  <si>
    <t xml:space="preserve">Exhibit 99.1, Reconciliation of net cash provided by operating activities to free cash flow; row 'Free cash flow margin'; column 'Three months ended June 30, 2024'</t>
  </si>
  <si>
    <t xml:space="preserve">QA-1118</t>
  </si>
  <si>
    <t xml:space="preserve">31%</t>
  </si>
  <si>
    <t xml:space="preserve">Exhibit 99.1, Reconciliation of net cash provided by operating activities to free cash flow; row 'Free cash flow margin'; column 'Six months ended June 30, 2024'</t>
  </si>
  <si>
    <t xml:space="preserve">QA-1119</t>
  </si>
  <si>
    <t xml:space="preserve">33%</t>
  </si>
  <si>
    <t xml:space="preserve">Exhibit 99.1, Reconciliation of net cash provided by operating activities to free; row 'Free cash flow margin'; column 'Three months ended September 30, 2024'</t>
  </si>
  <si>
    <t xml:space="preserve">QA-1120</t>
  </si>
  <si>
    <t xml:space="preserve">32%</t>
  </si>
  <si>
    <t xml:space="preserve">Exhibit 99.1, Reconciliation of net cash provided by operating activities to free; row 'Free cash flow margin'; column 'Nine months ended September 30, 2024'</t>
  </si>
  <si>
    <t xml:space="preserve">QA-1121</t>
  </si>
  <si>
    <t xml:space="preserve">Exhibit 99.1, Reconciliation of net cash provided by operating activities to free cash flow; row 'Free cash flow margin'; column 'Three months ended December 31, 2024'</t>
  </si>
  <si>
    <t xml:space="preserve">QA-1122</t>
  </si>
  <si>
    <t xml:space="preserve">30%</t>
  </si>
  <si>
    <t xml:space="preserve">Exhibit 99.1, Reconciliation of net cash provided by operating activities to free cash flow; row 'Free cash flow margin'; column 'Year ended December 31, 2024'</t>
  </si>
  <si>
    <t xml:space="preserve">QA-1123</t>
  </si>
  <si>
    <t xml:space="preserve">39%</t>
  </si>
  <si>
    <t xml:space="preserve">Exhibit 99.1, Reconciliation of net cash provided by operating activities to adjusted free cash flow; row 'Adjusted free cash flow margin'; column 'Three months ended March 31, 2025'</t>
  </si>
  <si>
    <t xml:space="preserve">QA-1124</t>
  </si>
  <si>
    <t xml:space="preserve">21%</t>
  </si>
  <si>
    <t xml:space="preserve">Exhibit 99.1, Reconciliation of net cash provided by operating activities to adjusted free cash flow; row 'Adjusted free cash flow margin'; column 'Three months ended June 30, 2025'</t>
  </si>
  <si>
    <t xml:space="preserve">QA-1125</t>
  </si>
  <si>
    <t xml:space="preserve">Exhibit 99.1, Reconciliation of net cash provided by operating activities to adjusted free cash flow; row 'Adjusted free cash flow margin'; column 'Six months ended June 30, 2025'</t>
  </si>
  <si>
    <t xml:space="preserve">QA-1126</t>
  </si>
  <si>
    <t xml:space="preserve">29%</t>
  </si>
  <si>
    <t xml:space="preserve">Exhibit 99.1, Reconciliation of net cash provided by operating activities to adjusted free cash flow; row 'Adjusted free cash flow margin'; column 'Three months ended September 30, 2025'</t>
  </si>
  <si>
    <t xml:space="preserve">QA-1127</t>
  </si>
  <si>
    <t xml:space="preserve">Exhibit 99.1, Reconciliation of net cash provided by operating activities to adjusted free cash flow; row 'Adjusted free cash flow margin'; column 'Nine months ended September 30, 2025'</t>
  </si>
  <si>
    <t xml:space="preserve">QA-1128</t>
  </si>
  <si>
    <t xml:space="preserve">Exhibit 99.1, Reconciliation of net cash provided by operating activities to adjusted free cash flow; row 'Adjusted free cash flow margin'; column 'Three months ended December 31, 2025'</t>
  </si>
  <si>
    <t xml:space="preserve">QA-1129</t>
  </si>
  <si>
    <t xml:space="preserve">Exhibit 99.1, Reconciliation of net cash provided by operating activities to adjusted free cash flow; row 'Adjusted free cash flow margin'; column 'Year ended December 31, 2025'</t>
  </si>
  <si>
    <t xml:space="preserve">QA-1130</t>
  </si>
  <si>
    <t xml:space="preserve">Exhibit 99.1, Reconciliation of net cash provided by operating activities to adjusted free cash flow; row 'Adjusted free cash flow margin'; column 'Three months ended March 31, 2026'</t>
  </si>
  <si>
    <t xml:space="preserve">QA-1131</t>
  </si>
  <si>
    <t xml:space="preserve">Exhibit 99.1, Reconciliation of net cash provided by operating activities to adjusted free cash flow; row 'Adjusted free cash flow margin'; column 'Three months ended June 30, 2026'</t>
  </si>
  <si>
    <t xml:space="preserve">QA-1132</t>
  </si>
  <si>
    <t xml:space="preserve">Exhibit 99.1, Reconciliation of net cash provided by operating activities to adjusted free cash flow; row 'Adjusted free cash flow margin'; column 'Six months ended June 30, 2026'</t>
  </si>
  <si>
    <t xml:space="preserve">QA-1133</t>
  </si>
  <si>
    <t xml:space="preserve">Depreciation and amortization (cash flow statement)</t>
  </si>
  <si>
    <t xml:space="preserve">547</t>
  </si>
  <si>
    <t xml:space="preserve">Exhibit 99.1, Condensed Consolidated Statements of Cash Flows; row 'Depreciation and amortization'; column 'Three months ended March 31, 2021'</t>
  </si>
  <si>
    <t xml:space="preserve">QA-1134</t>
  </si>
  <si>
    <t xml:space="preserve">527</t>
  </si>
  <si>
    <t xml:space="preserve">Exhibit 99.1, Condensed Consolidated Statements of Cash Flows; row 'Depreciation and amortization'; column 'Three months ended June 30, 2021'</t>
  </si>
  <si>
    <t xml:space="preserve">QA-1135</t>
  </si>
  <si>
    <t xml:space="preserve">1,074</t>
  </si>
  <si>
    <t xml:space="preserve">Exhibit 99.1, Condensed Consolidated Statements of Cash Flows; row 'Depreciation and amortization'; column 'Six months ended June 30, 2021'</t>
  </si>
  <si>
    <t xml:space="preserve">QA-1136</t>
  </si>
  <si>
    <t xml:space="preserve">709</t>
  </si>
  <si>
    <t xml:space="preserve">Exhibit 99.1, Condensed Consolidated Statements of Cash Flows; row 'Depreciation and amortization'; column 'Three months ended September 30, 2021'</t>
  </si>
  <si>
    <t xml:space="preserve">QA-1137</t>
  </si>
  <si>
    <t xml:space="preserve">1,783</t>
  </si>
  <si>
    <t xml:space="preserve">Exhibit 99.1, Condensed Consolidated Statements of Cash Flows; row 'Depreciation and amortization'; column 'Nine months ended September 30, 2021'</t>
  </si>
  <si>
    <t xml:space="preserve">QA-1138</t>
  </si>
  <si>
    <t xml:space="preserve">963</t>
  </si>
  <si>
    <t xml:space="preserve">Exhibit 99.1, Condensed Consolidated Statements of Cash Flows; row 'Depreciation and amortization'; column 'Three months ended December 31, 2021'</t>
  </si>
  <si>
    <t xml:space="preserve">QA-1139</t>
  </si>
  <si>
    <t xml:space="preserve">2,746</t>
  </si>
  <si>
    <t xml:space="preserve">Exhibit 99.1, Condensed Consolidated Statements of Cash Flows; row 'Depreciation and amortization'; column 'Year ended December 31, 2021'</t>
  </si>
  <si>
    <t xml:space="preserve">QA-1140</t>
  </si>
  <si>
    <t xml:space="preserve">1,127</t>
  </si>
  <si>
    <t xml:space="preserve">Exhibit 99.1, Condensed Consolidated Statements of Cash Flows; row 'Depreciation and amortization'; column 'Three months ended March 31, 2022'</t>
  </si>
  <si>
    <t xml:space="preserve">QA-1141</t>
  </si>
  <si>
    <t xml:space="preserve">1,397</t>
  </si>
  <si>
    <t xml:space="preserve">Exhibit 99.1, Condensed Consolidated Statements of Cash Flows; row 'Depreciation and amortization'; column 'Three months ended June 30, 2022'</t>
  </si>
  <si>
    <t xml:space="preserve">QA-1142</t>
  </si>
  <si>
    <t xml:space="preserve">2,524</t>
  </si>
  <si>
    <t xml:space="preserve">Exhibit 99.1, Condensed Consolidated Statements of Cash Flows; row 'Depreciation and amortization'; column 'Six months ended June 30, 2022'</t>
  </si>
  <si>
    <t xml:space="preserve">QA-1143</t>
  </si>
  <si>
    <t xml:space="preserve">2,860</t>
  </si>
  <si>
    <t xml:space="preserve">Exhibit 99.1, Condensed Consolidated Statements of Cash Flows; row 'Depreciation and amortization'; column 'Three months ended September 30, 2022'</t>
  </si>
  <si>
    <t xml:space="preserve">QA-1144</t>
  </si>
  <si>
    <t xml:space="preserve">5,384</t>
  </si>
  <si>
    <t xml:space="preserve">Exhibit 99.1, Condensed Consolidated Statements of Cash Flows; row 'Depreciation and amortization'; column 'Nine months ended September 30, 2022'</t>
  </si>
  <si>
    <t xml:space="preserve">QA-1145</t>
  </si>
  <si>
    <t xml:space="preserve">3,183</t>
  </si>
  <si>
    <t xml:space="preserve">Exhibit 99.1, Condensed Consolidated Statements of Cash Flows; row 'Depreciation and amortization'; column 'Three months ended December 31, 2022'</t>
  </si>
  <si>
    <t xml:space="preserve">QA-1146</t>
  </si>
  <si>
    <t xml:space="preserve">8,567</t>
  </si>
  <si>
    <t xml:space="preserve">Exhibit 99.1, Condensed Consolidated Statements of Cash Flows; row 'Depreciation and amortization'; column 'Year ended December 31, 2022'</t>
  </si>
  <si>
    <t xml:space="preserve">QA-1147</t>
  </si>
  <si>
    <t xml:space="preserve">1,972</t>
  </si>
  <si>
    <t xml:space="preserve">Exhibit 99.1, Condensed Consolidated Statements of Cash Flows; row 'Depreciation and amortization'; column 'Three months ended March 31, 2023'</t>
  </si>
  <si>
    <t xml:space="preserve">QA-1148</t>
  </si>
  <si>
    <t xml:space="preserve">2,164</t>
  </si>
  <si>
    <t xml:space="preserve">Exhibit 99.1, Condensed Consolidated Statements of Cash Flows; row 'Depreciation and amortization'; column 'Three months ended June 30, 2023'</t>
  </si>
  <si>
    <t xml:space="preserve">QA-1149</t>
  </si>
  <si>
    <t xml:space="preserve">4,136</t>
  </si>
  <si>
    <t xml:space="preserve">Exhibit 99.1, Condensed Consolidated Statements of Cash Flows; row 'Depreciation and amortization'; column 'Six months ended June 30, 2023'</t>
  </si>
  <si>
    <t xml:space="preserve">QA-1150</t>
  </si>
  <si>
    <t xml:space="preserve">2,331</t>
  </si>
  <si>
    <t xml:space="preserve">Exhibit 99.1, Condensed Consolidated Statements of Cash Flows; row 'Depreciation and amortization'; column 'Three months ended September 30, 2023'</t>
  </si>
  <si>
    <t xml:space="preserve">QA-1151</t>
  </si>
  <si>
    <t xml:space="preserve">6,467</t>
  </si>
  <si>
    <t xml:space="preserve">Exhibit 99.1, Condensed Consolidated Statements of Cash Flows; row 'Depreciation and amortization'; column 'Nine months ended September 30, 2023'</t>
  </si>
  <si>
    <t xml:space="preserve">QA-1152</t>
  </si>
  <si>
    <t xml:space="preserve">2,556</t>
  </si>
  <si>
    <t xml:space="preserve">Exhibit 99.1, Condensed Consolidated Statements of Cash Flows; row 'Depreciation and amortization'; column 'Three months ended December 31, 2023'</t>
  </si>
  <si>
    <t xml:space="preserve">QA-1153</t>
  </si>
  <si>
    <t xml:space="preserve">9,023</t>
  </si>
  <si>
    <t xml:space="preserve">Exhibit 99.1, Condensed Consolidated Statements of Cash Flows; row 'Depreciation and amortization'; column 'Year ended December 31, 2023'</t>
  </si>
  <si>
    <t xml:space="preserve">QA-1154</t>
  </si>
  <si>
    <t xml:space="preserve">2,533</t>
  </si>
  <si>
    <t xml:space="preserve">Exhibit 99.1, Condensed Consolidated Statements of Cash Flows; row 'Depreciation and amortization'; column 'Three months ended March 31, 2024'</t>
  </si>
  <si>
    <t xml:space="preserve">QA-1155</t>
  </si>
  <si>
    <t xml:space="preserve">2,920</t>
  </si>
  <si>
    <t xml:space="preserve">Exhibit 99.1, Condensed Consolidated Statements of Cash Flows; row 'Depreciation and amortization'; column 'Three months ended June 30, 2024'</t>
  </si>
  <si>
    <t xml:space="preserve">QA-1156</t>
  </si>
  <si>
    <t xml:space="preserve">5,453</t>
  </si>
  <si>
    <t xml:space="preserve">Exhibit 99.1, Condensed Consolidated Statements of Cash Flows; row 'Depreciation and amortization'; column 'Six months ended June 30, 2024'</t>
  </si>
  <si>
    <t xml:space="preserve">QA-1157</t>
  </si>
  <si>
    <t xml:space="preserve">3,205</t>
  </si>
  <si>
    <t xml:space="preserve">Exhibit 99.1, Condensed Consolidated Statements of Cash Flows; row 'Depreciation and amortization'; column 'Three months ended September 30, 2024'</t>
  </si>
  <si>
    <t xml:space="preserve">QA-1158</t>
  </si>
  <si>
    <t xml:space="preserve">8,658</t>
  </si>
  <si>
    <t xml:space="preserve">Exhibit 99.1, Condensed Consolidated Statements of Cash Flows; row 'Depreciation and amortization'; column 'Nine months ended September 30, 2024'</t>
  </si>
  <si>
    <t xml:space="preserve">QA-1159</t>
  </si>
  <si>
    <t xml:space="preserve">3,216</t>
  </si>
  <si>
    <t xml:space="preserve">Exhibit 99.1, Condensed Consolidated Statements of Cash Flows; row 'Depreciation and amortization'; column 'Three months ended December 31, 2024'</t>
  </si>
  <si>
    <t xml:space="preserve">QA-1160</t>
  </si>
  <si>
    <t xml:space="preserve">11,858</t>
  </si>
  <si>
    <t xml:space="preserve">Exhibit 99.1, Condensed Consolidated Statements of Cash Flows; row 'Depreciation and amortization'; column 'Year ended December 31, 2024'</t>
  </si>
  <si>
    <t xml:space="preserve">QA-1161</t>
  </si>
  <si>
    <t xml:space="preserve">3,250</t>
  </si>
  <si>
    <t xml:space="preserve">Exhibit 99.1, Condensed Consolidated Statements of Cash Flows; row 'Depreciation and amortization'; column 'Three months ended March 31, 2025'</t>
  </si>
  <si>
    <t xml:space="preserve">QA-1162</t>
  </si>
  <si>
    <t xml:space="preserve">3,375</t>
  </si>
  <si>
    <t xml:space="preserve">Exhibit 99.1, Condensed Consolidated Statements of Cash Flows; row 'Depreciation and amortization'; column 'Three months ended June 30, 2025'</t>
  </si>
  <si>
    <t xml:space="preserve">QA-1163</t>
  </si>
  <si>
    <t xml:space="preserve">6,625</t>
  </si>
  <si>
    <t xml:space="preserve">Exhibit 99.1, Condensed Consolidated Statements of Cash Flows; row 'Depreciation and amortization'; column 'Six months ended June 30, 2025'</t>
  </si>
  <si>
    <t xml:space="preserve">QA-1164</t>
  </si>
  <si>
    <t xml:space="preserve">3,500</t>
  </si>
  <si>
    <t xml:space="preserve">Exhibit 99.1, Condensed Consolidated Statements of Cash Flows; row 'Depreciation and amortization'; column 'Three months ended September 30, 2025'</t>
  </si>
  <si>
    <t xml:space="preserve">QA-1165</t>
  </si>
  <si>
    <t xml:space="preserve">10,125</t>
  </si>
  <si>
    <t xml:space="preserve">Exhibit 99.1, Condensed Consolidated Statements of Cash Flows; row 'Depreciation and amortization'; column 'Nine months ended September 30, 2025'</t>
  </si>
  <si>
    <t xml:space="preserve">QA-1166</t>
  </si>
  <si>
    <t xml:space="preserve">3,738</t>
  </si>
  <si>
    <t xml:space="preserve">Exhibit 99.1, Condensed Consolidated Statements of Cash Flows; row 'Depreciation and amortization'; column 'Three months ended December 31, 2025'</t>
  </si>
  <si>
    <t xml:space="preserve">QA-1167</t>
  </si>
  <si>
    <t xml:space="preserve">13,805</t>
  </si>
  <si>
    <t xml:space="preserve">Exhibit 99.1, Condensed Consolidated Statements of Cash Flows; row 'Depreciation and amortization'; column 'Year ended December 31, 2025'</t>
  </si>
  <si>
    <t xml:space="preserve">QA-1168</t>
  </si>
  <si>
    <t xml:space="preserve">3,848</t>
  </si>
  <si>
    <t xml:space="preserve">Exhibit 99.1, Condensed Consolidated Statements of Cash Flows; row 'Depreciation and amortization'; column 'Three months ended March 31, 2026'</t>
  </si>
  <si>
    <t xml:space="preserve">QA-1169</t>
  </si>
  <si>
    <t xml:space="preserve">3,967</t>
  </si>
  <si>
    <t xml:space="preserve">Exhibit 99.1, Condensed Consolidated Statements of Cash Flows; row 'Depreciation and amortization'; column 'Three months ended June 30, 2026'</t>
  </si>
  <si>
    <t xml:space="preserve">QA-1170</t>
  </si>
  <si>
    <t xml:space="preserve">7,815</t>
  </si>
  <si>
    <t xml:space="preserve">Exhibit 99.1, Condensed Consolidated Statements of Cash Flows; row 'Depreciation and amortization'; column 'Six months ended June 30, 2026'</t>
  </si>
  <si>
    <t xml:space="preserve">QA-1171</t>
  </si>
  <si>
    <t xml:space="preserve">Adjusted free cash flow / free cash flow margin, derived</t>
  </si>
  <si>
    <t xml:space="preserve">Normalized Value = H1068/H2  [Adjusted free cash flow / free cash flow (company-defined; label as reported) / Revenue (same period); rows QA-1067 / QA-0001]</t>
  </si>
  <si>
    <t xml:space="preserve">QA-1172</t>
  </si>
  <si>
    <t xml:space="preserve">Normalized Value = H1069/H3  [Adjusted free cash flow / free cash flow (company-defined; label as reported) / Revenue (same period); rows QA-1068 / QA-0002]</t>
  </si>
  <si>
    <t xml:space="preserve">QA-1173</t>
  </si>
  <si>
    <t xml:space="preserve">Normalized Value = H1071/H5  [Adjusted free cash flow / free cash flow (company-defined; label as reported) / Revenue (same period); rows QA-1070 / QA-0004]</t>
  </si>
  <si>
    <t xml:space="preserve">QA-1174</t>
  </si>
  <si>
    <t xml:space="preserve">Normalized Value = H1073/H7  [Adjusted free cash flow / free cash flow (company-defined; label as reported) / Revenue (same period); rows QA-1072 / QA-0006]</t>
  </si>
  <si>
    <t xml:space="preserve">QA-1175</t>
  </si>
  <si>
    <t xml:space="preserve">Normalized Value = H1074/H8  [Adjusted free cash flow / free cash flow (company-defined; label as reported) / Revenue (same period); rows QA-1073 / QA-0007]</t>
  </si>
  <si>
    <t xml:space="preserve">QA-1176</t>
  </si>
  <si>
    <t xml:space="preserve">Normalized Value = H1075/H9  [Adjusted free cash flow / free cash flow (company-defined; label as reported) / Revenue (same period); rows QA-1074 / QA-0008]</t>
  </si>
  <si>
    <t xml:space="preserve">QA-1177</t>
  </si>
  <si>
    <t xml:space="preserve">Normalized Value = H1076/H10  [Adjusted free cash flow / free cash flow (company-defined; label as reported) / Revenue (same period); rows QA-1075 / QA-0009]</t>
  </si>
  <si>
    <t xml:space="preserve">QA-1178</t>
  </si>
  <si>
    <t xml:space="preserve">Normalized Value = H1078/H12  [Adjusted free cash flow / free cash flow (company-defined; label as reported) / Revenue (same period); rows QA-1077 / QA-0011]</t>
  </si>
  <si>
    <t xml:space="preserve">QA-1179</t>
  </si>
  <si>
    <t xml:space="preserve">Normalized Value = H1080/H14  [Adjusted free cash flow / free cash flow (company-defined; label as reported) / Revenue (same period); rows QA-1079 / QA-0013]</t>
  </si>
  <si>
    <t xml:space="preserve">QA-1180</t>
  </si>
  <si>
    <t xml:space="preserve">Normalized Value = H1081/H15  [Adjusted free cash flow / free cash flow (company-defined; label as reported) / Revenue (same period); rows QA-1080 / QA-0014]</t>
  </si>
  <si>
    <t xml:space="preserve">QA-1181</t>
  </si>
  <si>
    <t xml:space="preserve">Normalized Value = H1082/H16  [Adjusted free cash flow / free cash flow (company-defined; label as reported) / Revenue (same period); rows QA-1081 / QA-0015]</t>
  </si>
  <si>
    <t xml:space="preserve">QA-1182</t>
  </si>
  <si>
    <t xml:space="preserve">Normalized Value = H1083/H17  [Adjusted free cash flow / free cash flow (company-defined; label as reported) / Revenue (same period); rows QA-1082 / QA-0016]</t>
  </si>
  <si>
    <t xml:space="preserve">QA-1183</t>
  </si>
  <si>
    <t xml:space="preserve">Normalized Value = H1085/H19  [Adjusted free cash flow / free cash flow (company-defined; label as reported) / Revenue (same period); rows QA-1084 / QA-0018]</t>
  </si>
  <si>
    <t xml:space="preserve">QA-1184</t>
  </si>
  <si>
    <t xml:space="preserve">Normalized Value = H1087/H21  [Adjusted free cash flow / free cash flow (company-defined; label as reported) / Revenue (same period); rows QA-1086 / QA-0020]</t>
  </si>
  <si>
    <t xml:space="preserve">QA-1185</t>
  </si>
  <si>
    <t xml:space="preserve">Normalized Value = H1088/H22  [Adjusted free cash flow / free cash flow (company-defined; label as reported) / Revenue (same period); rows QA-1087 / QA-0021]</t>
  </si>
  <si>
    <t xml:space="preserve">QA-1186</t>
  </si>
  <si>
    <t xml:space="preserve">Normalized Value = H1089/H23  [Adjusted free cash flow / free cash flow (company-defined; label as reported) / Revenue (same period); rows QA-1088 / QA-0022]</t>
  </si>
  <si>
    <t xml:space="preserve">QA-1187</t>
  </si>
  <si>
    <t xml:space="preserve">Normalized Value = H1090/H24  [Adjusted free cash flow / free cash flow (company-defined; label as reported) / Revenue (same period); rows QA-1089 / QA-0023]</t>
  </si>
  <si>
    <t xml:space="preserve">QA-1188</t>
  </si>
  <si>
    <t xml:space="preserve">Normalized Value = H1092/H26  [Adjusted free cash flow / free cash flow (company-defined; label as reported) / Revenue (same period); rows QA-1091 / QA-0025]</t>
  </si>
  <si>
    <t xml:space="preserve">QA-1189</t>
  </si>
  <si>
    <t xml:space="preserve">Normalized Value = H1094/H28  [Adjusted free cash flow / free cash flow (company-defined; label as reported) / Revenue (same period); rows QA-1093 / QA-0027]</t>
  </si>
  <si>
    <t xml:space="preserve">QA-1190</t>
  </si>
  <si>
    <t xml:space="preserve">Normalized Value = H1095/H29  [Adjusted free cash flow / free cash flow (company-defined; label as reported) / Revenue (same period); rows QA-1094 / QA-0028]</t>
  </si>
  <si>
    <t xml:space="preserve">QA-1191</t>
  </si>
  <si>
    <t xml:space="preserve">Normalized Value = H1096/H30  [Adjusted free cash flow / free cash flow (company-defined; label as reported) / Revenue (same period); rows QA-1095 / QA-0029]</t>
  </si>
  <si>
    <t xml:space="preserve">QA-1192</t>
  </si>
  <si>
    <t xml:space="preserve">Normalized Value = H1097/H31  [Adjusted free cash flow / free cash flow (company-defined; label as reported) / Revenue (same period); rows QA-1096 / QA-0030]</t>
  </si>
  <si>
    <t xml:space="preserve">QA-1193</t>
  </si>
  <si>
    <t xml:space="preserve">Normalized Value = H1099/H33  [Adjusted free cash flow / free cash flow (company-defined; label as reported) / Revenue (same period); rows QA-1098 / QA-0032]</t>
  </si>
  <si>
    <t xml:space="preserve">QA-1194</t>
  </si>
  <si>
    <t xml:space="preserve">Normalized Value = H1101/H35  [Adjusted free cash flow / free cash flow (company-defined; label as reported) / Revenue (same period); rows QA-1100 / QA-0034]</t>
  </si>
  <si>
    <t xml:space="preserve">QA-1195</t>
  </si>
  <si>
    <t xml:space="preserve">Normalized Value = H1102/H36  [Adjusted free cash flow / free cash flow (company-defined; label as reported) / Revenue (same period); rows QA-1101 / QA-0035]</t>
  </si>
  <si>
    <t xml:space="preserve">QA-1196</t>
  </si>
  <si>
    <t xml:space="preserve">Normalized Value = H1103/H37  [Adjusted free cash flow / free cash flow (company-defined; label as reported) / Revenue (same period); rows QA-1102 / QA-0036]</t>
  </si>
  <si>
    <t xml:space="preserve">QA-1197</t>
  </si>
  <si>
    <t xml:space="preserve">Normalized Value = H1104/H38  [Adjusted free cash flow / free cash flow (company-defined; label as reported) / Revenue (same period); rows QA-1103 / QA-0037]</t>
  </si>
  <si>
    <t xml:space="preserve">QA-1198</t>
  </si>
  <si>
    <t xml:space="preserve">Share repurchases</t>
  </si>
  <si>
    <t xml:space="preserve">Repurchase of ordinary shares (cash flow statement, financing)</t>
  </si>
  <si>
    <t xml:space="preserve">(135,028)</t>
  </si>
  <si>
    <t xml:space="preserve">Exhibit 99.1, Condensed Consolidated Statements of Cash Flows; row 'Repurchase of ordinary shares'; column 'Three months ended December 31, 2025'</t>
  </si>
  <si>
    <t xml:space="preserve">QA-1199</t>
  </si>
  <si>
    <t xml:space="preserve">Exhibit 99.1, Condensed Consolidated Statements of Cash Flows; row 'Repurchase of ordinary shares'; column 'Year ended December 31, 2025'</t>
  </si>
  <si>
    <t xml:space="preserve">QA-1200</t>
  </si>
  <si>
    <t xml:space="preserve">(552,612)</t>
  </si>
  <si>
    <t xml:space="preserve">Exhibit 99.1, Condensed Consolidated Statements of Cash Flows; row 'Repurchase of ordinary shares'; column 'Three months ended March 31, 2026'</t>
  </si>
  <si>
    <t xml:space="preserve">QA-1201</t>
  </si>
  <si>
    <t xml:space="preserve">(182,359)</t>
  </si>
  <si>
    <t xml:space="preserve">Exhibit 99.1, Condensed Consolidated Statements of Cash Flows; row 'Repurchase of ordinary shares'; column 'Three months ended June 30, 2026'</t>
  </si>
  <si>
    <t xml:space="preserve">QA-1202</t>
  </si>
  <si>
    <t xml:space="preserve">(734,971)</t>
  </si>
  <si>
    <t xml:space="preserve">Exhibit 99.1, Condensed Consolidated Statements of Cash Flows; row 'Repurchase of ordinary shares'; column 'Six months ended June 30, 2026'</t>
  </si>
  <si>
    <t xml:space="preserve">QA-1203</t>
  </si>
  <si>
    <t xml:space="preserve">Shares repurchased (approximate, per release)</t>
  </si>
  <si>
    <t xml:space="preserve">approximately 884,000</t>
  </si>
  <si>
    <t xml:space="preserve">shares</t>
  </si>
  <si>
    <t xml:space="preserve">Exhibit 99.1, 'Recent Business Highlights' bullet: "The company repurchased approximately 884,000 of its ordinary shares for $135 million as part of its share repurchase program. As of the end of Q4, of the $870 million authorized, approximately $735 million remains available for future share repurchases under the program."</t>
  </si>
  <si>
    <t xml:space="preserve">Release rounds to the nearest thousand shares; exact counts are in the 20-F / interim financial statements (Annual sheet).</t>
  </si>
  <si>
    <t xml:space="preserve">QA-1204</t>
  </si>
  <si>
    <t xml:space="preserve">approximately 7,269,000</t>
  </si>
  <si>
    <t xml:space="preserve">Exhibit 99.1, 'Recent Business Highlights' bullet: "The company repurchased approximately 7,269,000 of its ordinary shares for approximately $553 million as part of its share repurchase program. As of the end of Q1, of the $870 million authorized, approximately $182 million remains available for future share repurchases under the program."</t>
  </si>
  <si>
    <t xml:space="preserve">QA-1205</t>
  </si>
  <si>
    <t xml:space="preserve">approximately 2,333,000</t>
  </si>
  <si>
    <t xml:space="preserve">Exhibit 99.1, 'Recent Business Highlights' bullet: "The company repurchased approximately 2,333,000 of its ordinary shares for approximately $182 million as part of its share repurchase program. As of the end of Q2, the entire $870 million authorized was utilized and no shares are available for future share repurchases under the program."</t>
  </si>
  <si>
    <t xml:space="preserve">QA-1206</t>
  </si>
  <si>
    <t xml:space="preserve">Share repurchases in USD (per release text)</t>
  </si>
  <si>
    <t xml:space="preserve">$135 million</t>
  </si>
  <si>
    <t xml:space="preserve">USD millions</t>
  </si>
  <si>
    <t xml:space="preserve">Rounded; see cash-flow line (USD thousands) for the exact cash outflow.</t>
  </si>
  <si>
    <t xml:space="preserve">QA-1207</t>
  </si>
  <si>
    <t xml:space="preserve">approximately $553 million</t>
  </si>
  <si>
    <t xml:space="preserve">QA-1208</t>
  </si>
  <si>
    <t xml:space="preserve">approximately $182 million</t>
  </si>
  <si>
    <t xml:space="preserve">QA-1209</t>
  </si>
  <si>
    <t xml:space="preserve">Point-in-time</t>
  </si>
  <si>
    <t xml:space="preserve">Remaining repurchase authorization (end of period)</t>
  </si>
  <si>
    <t xml:space="preserve">approximately $735 million</t>
  </si>
  <si>
    <t xml:space="preserve">Program: $870 million authorized September 15, 2025 (see Annual sheet).</t>
  </si>
  <si>
    <t xml:space="preserve">QA-1210</t>
  </si>
  <si>
    <t xml:space="preserve">QA-1211</t>
  </si>
  <si>
    <t xml:space="preserve">the entire $870 million authorized was utilized</t>
  </si>
  <si>
    <t xml:space="preserve">QA-1212</t>
  </si>
  <si>
    <t xml:space="preserve">Balance sheet</t>
  </si>
  <si>
    <t xml:space="preserve">Cash and cash equivalents</t>
  </si>
  <si>
    <t xml:space="preserve">124,281</t>
  </si>
  <si>
    <t xml:space="preserve">Exhibit 99.1, Condensed Consolidated Statements of Cash Flows &gt; Reconciliation of cash, cash equivalents and restricted cash; row 'Cash and cash equivalents'; column 'Three months ended March 31, 2021'</t>
  </si>
  <si>
    <t xml:space="preserve">Q1 2021 balance sheet not published in any release; value taken from the cash-flow statement reconciliation of cash, cash equivalents and restricted cash (prior-year column) in the Q1 2022 release.</t>
  </si>
  <si>
    <t xml:space="preserve">QA-1213</t>
  </si>
  <si>
    <t xml:space="preserve">865,328</t>
  </si>
  <si>
    <t xml:space="preserve">Exhibit 99.1, Condensed Consolidated Balance Sheets; row 'Cash and cash equivalents'; column 'As of June 30, 2021'</t>
  </si>
  <si>
    <t xml:space="preserve">QA-1214</t>
  </si>
  <si>
    <t xml:space="preserve">876,220</t>
  </si>
  <si>
    <t xml:space="preserve">Exhibit 99.1, Condensed Consolidated Balance Sheets; row 'Cash and cash equivalents'; column 'As of September 30, 2021'</t>
  </si>
  <si>
    <t xml:space="preserve">QA-1215</t>
  </si>
  <si>
    <t xml:space="preserve">886,812</t>
  </si>
  <si>
    <t xml:space="preserve">Exhibit 99.1, Condensed Consolidated Balance Sheets; row 'Cash and cash equivalents'; column 'As of December 31, 2021'</t>
  </si>
  <si>
    <t xml:space="preserve">QA-1216</t>
  </si>
  <si>
    <t xml:space="preserve">849,576</t>
  </si>
  <si>
    <t xml:space="preserve">Exhibit 99.1, Condensed Consolidated Balance Sheets; row 'Cash and cash equivalents'; column 'As of March 31, 2022'</t>
  </si>
  <si>
    <t xml:space="preserve">QA-1217</t>
  </si>
  <si>
    <t xml:space="preserve">834,620</t>
  </si>
  <si>
    <t xml:space="preserve">Exhibit 99.1, Condensed Consolidated Balance Sheets; row 'Cash and cash equivalents'; column 'As of June 30, 2022'</t>
  </si>
  <si>
    <t xml:space="preserve">QA-1218</t>
  </si>
  <si>
    <t xml:space="preserve">852,568</t>
  </si>
  <si>
    <t xml:space="preserve">Exhibit 99.1, Condensed Consolidated Balance Sheets; row 'Cash and cash equivalents'; column 'As of September 30, 2022'</t>
  </si>
  <si>
    <t xml:space="preserve">QA-1219</t>
  </si>
  <si>
    <t xml:space="preserve">885,894</t>
  </si>
  <si>
    <t xml:space="preserve">Exhibit 99.1, Condensed Consolidated Balance Sheets; row 'Cash and cash equivalents'; column 'As of December 31, 2022'</t>
  </si>
  <si>
    <t xml:space="preserve">QA-1220</t>
  </si>
  <si>
    <t xml:space="preserve">935,565</t>
  </si>
  <si>
    <t xml:space="preserve">Exhibit 99.1, Condensed Consolidated Balance Sheets; row 'Cash and cash equivalents'; column 'As of March 31, 2023'</t>
  </si>
  <si>
    <t xml:space="preserve">QA-1221</t>
  </si>
  <si>
    <t xml:space="preserve">989,377</t>
  </si>
  <si>
    <t xml:space="preserve">Exhibit 99.1, Condensed Consolidated Balance Sheets; row 'Cash and cash equivalents'; column 'As of June 30, 2023'</t>
  </si>
  <si>
    <t xml:space="preserve">QA-1222</t>
  </si>
  <si>
    <t xml:space="preserve">1,054,270</t>
  </si>
  <si>
    <t xml:space="preserve">Exhibit 99.1, Condensed Consolidated Balance Sheets; row 'Cash and cash equivalents'; column 'As of September 30, 2023'</t>
  </si>
  <si>
    <t xml:space="preserve">QA-1223</t>
  </si>
  <si>
    <t xml:space="preserve">1,116,128</t>
  </si>
  <si>
    <t xml:space="preserve">Exhibit 99.1, Condensed Consolidated Balance Sheets; row 'Cash and cash equivalents'; column 'As of December 31, 2023'</t>
  </si>
  <si>
    <t xml:space="preserve">QA-1224</t>
  </si>
  <si>
    <t xml:space="preserve">1,224,544</t>
  </si>
  <si>
    <t xml:space="preserve">Exhibit 99.1, Condensed Consolidated Balance Sheets; row 'Cash and cash equivalents'; column 'As of March 31, 2024'</t>
  </si>
  <si>
    <t xml:space="preserve">QA-1225</t>
  </si>
  <si>
    <t xml:space="preserve">1,290,242</t>
  </si>
  <si>
    <t xml:space="preserve">Exhibit 99.1, Condensed Consolidated Balance Sheets; row 'Cash and cash equivalents'; column 'As of June 30, 2024'</t>
  </si>
  <si>
    <t xml:space="preserve">QA-1226</t>
  </si>
  <si>
    <t xml:space="preserve">1,337,155</t>
  </si>
  <si>
    <t xml:space="preserve">Exhibit 99.1, Condensed Consolidated Balance Sheets; row 'Cash and cash equivalents'; column 'As of September 30, 2024'</t>
  </si>
  <si>
    <t xml:space="preserve">QA-1227</t>
  </si>
  <si>
    <t xml:space="preserve">1,411,602</t>
  </si>
  <si>
    <t xml:space="preserve">Exhibit 99.1, Condensed Consolidated Balance Sheets; row 'Cash and cash equivalents'; column 'As of December 31, 2024'</t>
  </si>
  <si>
    <t xml:space="preserve">QA-1228</t>
  </si>
  <si>
    <t xml:space="preserve">1,527,605</t>
  </si>
  <si>
    <t xml:space="preserve">Exhibit 99.1, Condensed Consolidated Balance Sheets; row 'Cash and cash equivalents'; column 'As of March 31, 2025'</t>
  </si>
  <si>
    <t xml:space="preserve">QA-1229</t>
  </si>
  <si>
    <t xml:space="preserve">1,590,515</t>
  </si>
  <si>
    <t xml:space="preserve">Exhibit 99.1, Condensed Consolidated Balance Sheets; row 'Cash and cash equivalents'; column 'As of June 30, 2025'</t>
  </si>
  <si>
    <t xml:space="preserve">QA-1230</t>
  </si>
  <si>
    <t xml:space="preserve">1,527,246</t>
  </si>
  <si>
    <t xml:space="preserve">Exhibit 99.1, Condensed Consolidated Balance Sheets; row 'Cash and cash equivalents'; column 'As of September 30, 2025'</t>
  </si>
  <si>
    <t xml:space="preserve">QA-1231</t>
  </si>
  <si>
    <t xml:space="preserve">1,503,149</t>
  </si>
  <si>
    <t xml:space="preserve">Exhibit 99.1, Condensed Consolidated Balance Sheets; row 'Cash and cash equivalents'; column 'As of December 31, 2025'</t>
  </si>
  <si>
    <t xml:space="preserve">QA-1232</t>
  </si>
  <si>
    <t xml:space="preserve">997,135</t>
  </si>
  <si>
    <t xml:space="preserve">Exhibit 99.1, Condensed Consolidated Balance Sheets; row 'Cash and cash equivalents'; column 'As of March 31, 2026'</t>
  </si>
  <si>
    <t xml:space="preserve">QA-1233</t>
  </si>
  <si>
    <t xml:space="preserve">853,402</t>
  </si>
  <si>
    <t xml:space="preserve">Exhibit 99.1, Condensed Consolidated Balance Sheets; row 'Cash and cash equivalents'; column 'As of June 30, 2026'</t>
  </si>
  <si>
    <t xml:space="preserve">QA-1234</t>
  </si>
  <si>
    <t xml:space="preserve">Short-term deposits</t>
  </si>
  <si>
    <t xml:space="preserve">10,051</t>
  </si>
  <si>
    <t xml:space="preserve">Exhibit 99.1, Condensed Consolidated Balance Sheets; row 'Short term deposits'; column 'As of June 30, 2021'</t>
  </si>
  <si>
    <t xml:space="preserve">QA-1235</t>
  </si>
  <si>
    <t xml:space="preserve">Exhibit 99.1, Condensed Consolidated Balance Sheets; row 'Short term deposits'; column 'As of September 30, 2021'</t>
  </si>
  <si>
    <t xml:space="preserve">QA-1236</t>
  </si>
  <si>
    <t xml:space="preserve">Exhibit 99.1, Condensed Consolidated Balance Sheets; row 'Short term deposits'; column 'As of December 31, 2021'</t>
  </si>
  <si>
    <t xml:space="preserve">QA-1237</t>
  </si>
  <si>
    <t xml:space="preserve">Marketable securities</t>
  </si>
  <si>
    <t xml:space="preserve">50,667</t>
  </si>
  <si>
    <t xml:space="preserve">Exhibit 99.1, Condensed Consolidated Balance Sheets; row 'Marketable securities'; column 'As of September 30, 2024'</t>
  </si>
  <si>
    <t xml:space="preserve">QA-1238</t>
  </si>
  <si>
    <t xml:space="preserve">50,004</t>
  </si>
  <si>
    <t xml:space="preserve">Exhibit 99.1, Condensed Consolidated Balance Sheets; row 'Marketable securities'; column 'As of December 31, 2024'</t>
  </si>
  <si>
    <t xml:space="preserve">QA-1239</t>
  </si>
  <si>
    <t xml:space="preserve">60,730</t>
  </si>
  <si>
    <t xml:space="preserve">Exhibit 99.1, Condensed Consolidated Balance Sheets; row 'Marketable securities'; column 'As of March 31, 2025'</t>
  </si>
  <si>
    <t xml:space="preserve">QA-1240</t>
  </si>
  <si>
    <t xml:space="preserve">60,102</t>
  </si>
  <si>
    <t xml:space="preserve">Exhibit 99.1, Condensed Consolidated Balance Sheets; row 'Marketable securities'; column 'As of June 30, 2025'</t>
  </si>
  <si>
    <t xml:space="preserve">QA-1241</t>
  </si>
  <si>
    <t xml:space="preserve">211,740</t>
  </si>
  <si>
    <t xml:space="preserve">Exhibit 99.1, Condensed Consolidated Balance Sheets; row 'Marketable securities'; column 'As of September 30, 2025'</t>
  </si>
  <si>
    <t xml:space="preserve">QA-1242</t>
  </si>
  <si>
    <t xml:space="preserve">162,308</t>
  </si>
  <si>
    <t xml:space="preserve">Exhibit 99.1, Condensed Consolidated Balance Sheets; row 'Marketable securities'; column 'As of December 31, 2025'</t>
  </si>
  <si>
    <t xml:space="preserve">QA-1243</t>
  </si>
  <si>
    <t xml:space="preserve">215,141</t>
  </si>
  <si>
    <t xml:space="preserve">Exhibit 99.1, Condensed Consolidated Balance Sheets; row 'Marketable securities'; column 'As of March 31, 2026'</t>
  </si>
  <si>
    <t xml:space="preserve">QA-1244</t>
  </si>
  <si>
    <t xml:space="preserve">219,353</t>
  </si>
  <si>
    <t xml:space="preserve">Exhibit 99.1, Condensed Consolidated Balance Sheets; row 'Marketable securities'; column 'As of June 30, 2026'</t>
  </si>
  <si>
    <t xml:space="preserve">QA-1245</t>
  </si>
  <si>
    <t xml:space="preserve">Deferred revenue, current</t>
  </si>
  <si>
    <t xml:space="preserve">101,923</t>
  </si>
  <si>
    <t xml:space="preserve">Exhibit 99.1, Condensed Consolidated Balance Sheets; row 'Deferred revenue'; column 'As of June 30, 2021'</t>
  </si>
  <si>
    <t xml:space="preserve">QA-1246</t>
  </si>
  <si>
    <t xml:space="preserve">117,174</t>
  </si>
  <si>
    <t xml:space="preserve">Exhibit 99.1, Condensed Consolidated Balance Sheets; row 'Deferred revenue'; column 'As of September 30, 2021'</t>
  </si>
  <si>
    <t xml:space="preserve">QA-1247</t>
  </si>
  <si>
    <t xml:space="preserve">134,438</t>
  </si>
  <si>
    <t xml:space="preserve">Exhibit 99.1, Condensed Consolidated Balance Sheets; row 'Deferred revenue'; column 'As of December 31, 2021'</t>
  </si>
  <si>
    <t xml:space="preserve">QA-1248</t>
  </si>
  <si>
    <t xml:space="preserve">160,930</t>
  </si>
  <si>
    <t xml:space="preserve">Exhibit 99.1, Condensed Consolidated Balance Sheets; row 'Deferred revenue'; column 'As of March 31, 2022'</t>
  </si>
  <si>
    <t xml:space="preserve">QA-1249</t>
  </si>
  <si>
    <t xml:space="preserve">177,882</t>
  </si>
  <si>
    <t xml:space="preserve">Exhibit 99.1, Condensed Consolidated Balance Sheets; row 'Deferred revenue'; column 'As of June 30, 2022'</t>
  </si>
  <si>
    <t xml:space="preserve">QA-1250</t>
  </si>
  <si>
    <t xml:space="preserve">189,385</t>
  </si>
  <si>
    <t xml:space="preserve">Exhibit 99.1, Condensed Consolidated Balance Sheets; row 'Deferred revenue'; column 'As of September 30, 2022'</t>
  </si>
  <si>
    <t xml:space="preserve">QA-1251</t>
  </si>
  <si>
    <t xml:space="preserve">198,099</t>
  </si>
  <si>
    <t xml:space="preserve">Exhibit 99.1, Condensed Consolidated Balance Sheets; row 'Deferred revenue'; column 'As of December 31, 2022'</t>
  </si>
  <si>
    <t xml:space="preserve">QA-1252</t>
  </si>
  <si>
    <t xml:space="preserve">229,064</t>
  </si>
  <si>
    <t xml:space="preserve">Exhibit 99.1, Condensed Consolidated Balance Sheets; row 'Deferred revenue, current'; column 'As of March 31, 2023'</t>
  </si>
  <si>
    <t xml:space="preserve">QA-1253</t>
  </si>
  <si>
    <t xml:space="preserve">246,610</t>
  </si>
  <si>
    <t xml:space="preserve">Exhibit 99.1, Condensed Consolidated Balance Sheets; row 'Deferred revenue, current'; column 'As of June 30, 2023'</t>
  </si>
  <si>
    <t xml:space="preserve">QA-1254</t>
  </si>
  <si>
    <t xml:space="preserve">257,629</t>
  </si>
  <si>
    <t xml:space="preserve">Exhibit 99.1, Condensed Consolidated Balance Sheets; row 'Deferred revenue, current'; column 'As of September 30, 2023'</t>
  </si>
  <si>
    <t xml:space="preserve">QA-1255</t>
  </si>
  <si>
    <t xml:space="preserve">266,284</t>
  </si>
  <si>
    <t xml:space="preserve">Exhibit 99.1, Condensed Consolidated Balance Sheets; row 'Deferred revenue, current'; column 'As of December 31, 2023'</t>
  </si>
  <si>
    <t xml:space="preserve">QA-1256</t>
  </si>
  <si>
    <t xml:space="preserve">302,481</t>
  </si>
  <si>
    <t xml:space="preserve">Exhibit 99.1, Condensed Consolidated Balance Sheets; row 'Deferred revenue, current'; column 'As of March 31, 2024'</t>
  </si>
  <si>
    <t xml:space="preserve">QA-1257</t>
  </si>
  <si>
    <t xml:space="preserve">317,069</t>
  </si>
  <si>
    <t xml:space="preserve">Exhibit 99.1, Condensed Consolidated Balance Sheets; row 'Deferred revenue, current'; column 'As of June 30, 2024'</t>
  </si>
  <si>
    <t xml:space="preserve">QA-1258</t>
  </si>
  <si>
    <t xml:space="preserve">330,053</t>
  </si>
  <si>
    <t xml:space="preserve">Exhibit 99.1, Condensed Consolidated Balance Sheets; row 'Deferred revenue, current'; column 'As of September 30, 2024'</t>
  </si>
  <si>
    <t xml:space="preserve">QA-1259</t>
  </si>
  <si>
    <t xml:space="preserve">339,951</t>
  </si>
  <si>
    <t xml:space="preserve">Exhibit 99.1, Condensed Consolidated Balance Sheets; row 'Deferred revenue, current'; column 'As of December 31, 2024'</t>
  </si>
  <si>
    <t xml:space="preserve">QA-1260</t>
  </si>
  <si>
    <t xml:space="preserve">384,031</t>
  </si>
  <si>
    <t xml:space="preserve">Exhibit 99.1, Condensed Consolidated Balance Sheets; row 'Deferred revenue, current'; column 'As of March 31, 2025'</t>
  </si>
  <si>
    <t xml:space="preserve">QA-1261</t>
  </si>
  <si>
    <t xml:space="preserve">402,794</t>
  </si>
  <si>
    <t xml:space="preserve">Exhibit 99.1, Condensed Consolidated Balance Sheets; row 'Deferred revenue, current'; column 'As of June 30, 2025'</t>
  </si>
  <si>
    <t xml:space="preserve">QA-1262</t>
  </si>
  <si>
    <t xml:space="preserve">406,231</t>
  </si>
  <si>
    <t xml:space="preserve">Exhibit 99.1, Condensed Consolidated Balance Sheets; row 'Deferred revenue, current'; column 'As of September 30, 2025'</t>
  </si>
  <si>
    <t xml:space="preserve">QA-1263</t>
  </si>
  <si>
    <t xml:space="preserve">409,677</t>
  </si>
  <si>
    <t xml:space="preserve">Exhibit 99.1, Condensed Consolidated Balance Sheets; row 'Deferred revenue, current'; column 'As of December 31, 2025'</t>
  </si>
  <si>
    <t xml:space="preserve">QA-1264</t>
  </si>
  <si>
    <t xml:space="preserve">455,131</t>
  </si>
  <si>
    <t xml:space="preserve">Exhibit 99.1, Condensed Consolidated Balance Sheets; row 'Deferred revenue, current'; column 'As of March 31, 2026'</t>
  </si>
  <si>
    <t xml:space="preserve">QA-1265</t>
  </si>
  <si>
    <t xml:space="preserve">451,577</t>
  </si>
  <si>
    <t xml:space="preserve">Exhibit 99.1, Condensed Consolidated Balance Sheets; row 'Deferred revenue, current'; column 'As of June 30, 2026'</t>
  </si>
  <si>
    <t xml:space="preserve">QA-1266</t>
  </si>
  <si>
    <t xml:space="preserve">Deferred revenue, non-current</t>
  </si>
  <si>
    <t xml:space="preserve">2,442</t>
  </si>
  <si>
    <t xml:space="preserve">Exhibit 99.1, Condensed Consolidated Balance Sheets; row 'Deferred revenue, non-current'; column 'As of December 31, 2022'</t>
  </si>
  <si>
    <t xml:space="preserve">QA-1267</t>
  </si>
  <si>
    <t xml:space="preserve">2,443</t>
  </si>
  <si>
    <t xml:space="preserve">Exhibit 99.1, Condensed Consolidated Balance Sheets; row 'Deferred revenue, non-current'; column 'As of March 31, 2023'</t>
  </si>
  <si>
    <t xml:space="preserve">QA-1268</t>
  </si>
  <si>
    <t xml:space="preserve">3,046</t>
  </si>
  <si>
    <t xml:space="preserve">Exhibit 99.1, Condensed Consolidated Balance Sheets; row 'Deferred revenue, non-current'; column 'As of June 30, 2023'</t>
  </si>
  <si>
    <t xml:space="preserve">QA-1269</t>
  </si>
  <si>
    <t xml:space="preserve">3,854</t>
  </si>
  <si>
    <t xml:space="preserve">Exhibit 99.1, Condensed Consolidated Balance Sheets; row 'Deferred revenue, non-current'; column 'As of September 30, 2023'</t>
  </si>
  <si>
    <t xml:space="preserve">QA-1270</t>
  </si>
  <si>
    <t xml:space="preserve">3,189</t>
  </si>
  <si>
    <t xml:space="preserve">Exhibit 99.1, Condensed Consolidated Balance Sheets; row 'Deferred revenue, non-current'; column 'As of December 31, 2023'</t>
  </si>
  <si>
    <t xml:space="preserve">QA-1271</t>
  </si>
  <si>
    <t xml:space="preserve">2,696</t>
  </si>
  <si>
    <t xml:space="preserve">Exhibit 99.1, Condensed Consolidated Balance Sheets; row 'Deferred revenue, non-current'; column 'As of March 31, 2024'</t>
  </si>
  <si>
    <t xml:space="preserve">QA-1272</t>
  </si>
  <si>
    <t xml:space="preserve">2,653</t>
  </si>
  <si>
    <t xml:space="preserve">Exhibit 99.1, Condensed Consolidated Balance Sheets; row 'Deferred revenue, non-current'; column 'As of June 30, 2024'</t>
  </si>
  <si>
    <t xml:space="preserve">QA-1273</t>
  </si>
  <si>
    <t xml:space="preserve">2,487</t>
  </si>
  <si>
    <t xml:space="preserve">Exhibit 99.1, Condensed Consolidated Balance Sheets; row 'Deferred revenue, non-current'; column 'As of September 30, 2024'</t>
  </si>
  <si>
    <t xml:space="preserve">QA-1274</t>
  </si>
  <si>
    <t xml:space="preserve">2,639</t>
  </si>
  <si>
    <t xml:space="preserve">Exhibit 99.1, Condensed Consolidated Balance Sheets; row 'Deferred revenue, non-current'; column 'As of December 31, 2024'</t>
  </si>
  <si>
    <t xml:space="preserve">QA-1275</t>
  </si>
  <si>
    <t xml:space="preserve">2,660</t>
  </si>
  <si>
    <t xml:space="preserve">Exhibit 99.1, Condensed Consolidated Balance Sheets; row 'Deferred revenue, non-current'; column 'As of March 31, 2025'</t>
  </si>
  <si>
    <t xml:space="preserve">QA-1276</t>
  </si>
  <si>
    <t xml:space="preserve">2,299</t>
  </si>
  <si>
    <t xml:space="preserve">Exhibit 99.1, Condensed Consolidated Balance Sheets; row 'Deferred revenue, non-current'; column 'As of June 30, 2025'</t>
  </si>
  <si>
    <t xml:space="preserve">QA-1277</t>
  </si>
  <si>
    <t xml:space="preserve">2,179</t>
  </si>
  <si>
    <t xml:space="preserve">Exhibit 99.1, Condensed Consolidated Balance Sheets; row 'Deferred revenue, non-current'; column 'As of September 30, 2025'</t>
  </si>
  <si>
    <t xml:space="preserve">QA-1278</t>
  </si>
  <si>
    <t xml:space="preserve">1,942</t>
  </si>
  <si>
    <t xml:space="preserve">Exhibit 99.1, Condensed Consolidated Balance Sheets; row 'Deferred revenue, non-current'; column 'As of December 31, 2025'</t>
  </si>
  <si>
    <t xml:space="preserve">QA-1279</t>
  </si>
  <si>
    <t xml:space="preserve">2,086</t>
  </si>
  <si>
    <t xml:space="preserve">Exhibit 99.1, Condensed Consolidated Balance Sheets; row 'Deferred revenue, non-current'; column 'As of March 31, 2026'</t>
  </si>
  <si>
    <t xml:space="preserve">QA-1280</t>
  </si>
  <si>
    <t xml:space="preserve">2,100</t>
  </si>
  <si>
    <t xml:space="preserve">Exhibit 99.1, Condensed Consolidated Balance Sheets; row 'Deferred revenue, non-current'; column 'As of June 30, 2026'</t>
  </si>
  <si>
    <t xml:space="preserve">QA-1281</t>
  </si>
  <si>
    <t xml:space="preserve">Cash, cash equivalents, short-term deposits and marketable securities (total), derived</t>
  </si>
  <si>
    <t xml:space="preserve">Sum of the balance-sheet rows named in the formula column</t>
  </si>
  <si>
    <t xml:space="preserve">Normalized Value = H1214+H1235  [Cash and cash equivalents + Short-term deposits (same balance-sheet date; components not presented on the balance sheet at this date are treated as not held, per the release balance sheet); rows QA-1213, QA-1234]</t>
  </si>
  <si>
    <t xml:space="preserve">Excludes restricted cash. Components shown separately as Sourced rows.</t>
  </si>
  <si>
    <t xml:space="preserve">QA-1282</t>
  </si>
  <si>
    <t xml:space="preserve">Normalized Value = H1215+H1236  [Cash and cash equivalents + Short-term deposits (same balance-sheet date; components not presented on the balance sheet at this date are treated as not held, per the release balance sheet); rows QA-1214, QA-1235]</t>
  </si>
  <si>
    <t xml:space="preserve">QA-1283</t>
  </si>
  <si>
    <t xml:space="preserve">Normalized Value = H1216+H1237  [Cash and cash equivalents + Short-term deposits (same balance-sheet date; components not presented on the balance sheet at this date are treated as not held, per the release balance sheet); rows QA-1215, QA-1236]</t>
  </si>
  <si>
    <t xml:space="preserve">QA-1284</t>
  </si>
  <si>
    <t xml:space="preserve">Normalized Value = H1217  [Cash and cash equivalents (same balance-sheet date; components not presented on the balance sheet at this date are treated as not held, per the release balance sheet); rows QA-1216]</t>
  </si>
  <si>
    <t xml:space="preserve">QA-1285</t>
  </si>
  <si>
    <t xml:space="preserve">Normalized Value = H1218  [Cash and cash equivalents (same balance-sheet date; components not presented on the balance sheet at this date are treated as not held, per the release balance sheet); rows QA-1217]</t>
  </si>
  <si>
    <t xml:space="preserve">QA-1286</t>
  </si>
  <si>
    <t xml:space="preserve">Normalized Value = H1219  [Cash and cash equivalents (same balance-sheet date; components not presented on the balance sheet at this date are treated as not held, per the release balance sheet); rows QA-1218]</t>
  </si>
  <si>
    <t xml:space="preserve">QA-1287</t>
  </si>
  <si>
    <t xml:space="preserve">Normalized Value = H1220  [Cash and cash equivalents (same balance-sheet date; components not presented on the balance sheet at this date are treated as not held, per the release balance sheet); rows QA-1219]</t>
  </si>
  <si>
    <t xml:space="preserve">QA-1288</t>
  </si>
  <si>
    <t xml:space="preserve">Normalized Value = H1221  [Cash and cash equivalents (same balance-sheet date; components not presented on the balance sheet at this date are treated as not held, per the release balance sheet); rows QA-1220]</t>
  </si>
  <si>
    <t xml:space="preserve">QA-1289</t>
  </si>
  <si>
    <t xml:space="preserve">Normalized Value = H1222  [Cash and cash equivalents (same balance-sheet date; components not presented on the balance sheet at this date are treated as not held, per the release balance sheet); rows QA-1221]</t>
  </si>
  <si>
    <t xml:space="preserve">QA-1290</t>
  </si>
  <si>
    <t xml:space="preserve">Normalized Value = H1223  [Cash and cash equivalents (same balance-sheet date; components not presented on the balance sheet at this date are treated as not held, per the release balance sheet); rows QA-1222]</t>
  </si>
  <si>
    <t xml:space="preserve">QA-1291</t>
  </si>
  <si>
    <t xml:space="preserve">Normalized Value = H1224  [Cash and cash equivalents (same balance-sheet date; components not presented on the balance sheet at this date are treated as not held, per the release balance sheet); rows QA-1223]</t>
  </si>
  <si>
    <t xml:space="preserve">QA-1292</t>
  </si>
  <si>
    <t xml:space="preserve">Normalized Value = H1225  [Cash and cash equivalents (same balance-sheet date; components not presented on the balance sheet at this date are treated as not held, per the release balance sheet); rows QA-1224]</t>
  </si>
  <si>
    <t xml:space="preserve">QA-1293</t>
  </si>
  <si>
    <t xml:space="preserve">Normalized Value = H1226  [Cash and cash equivalents (same balance-sheet date; components not presented on the balance sheet at this date are treated as not held, per the release balance sheet); rows QA-1225]</t>
  </si>
  <si>
    <t xml:space="preserve">QA-1294</t>
  </si>
  <si>
    <t xml:space="preserve">Normalized Value = H1227+H1238  [Cash and cash equivalents + Marketable securities (same balance-sheet date; components not presented on the balance sheet at this date are treated as not held, per the release balance sheet); rows QA-1226, QA-1237]</t>
  </si>
  <si>
    <t xml:space="preserve">QA-1295</t>
  </si>
  <si>
    <t xml:space="preserve">Normalized Value = H1228+H1239  [Cash and cash equivalents + Marketable securities (same balance-sheet date; components not presented on the balance sheet at this date are treated as not held, per the release balance sheet); rows QA-1227, QA-1238]</t>
  </si>
  <si>
    <t xml:space="preserve">QA-1296</t>
  </si>
  <si>
    <t xml:space="preserve">Normalized Value = H1229+H1240  [Cash and cash equivalents + Marketable securities (same balance-sheet date; components not presented on the balance sheet at this date are treated as not held, per the release balance sheet); rows QA-1228, QA-1239]</t>
  </si>
  <si>
    <t xml:space="preserve">QA-1297</t>
  </si>
  <si>
    <t xml:space="preserve">Normalized Value = H1230+H1241  [Cash and cash equivalents + Marketable securities (same balance-sheet date; components not presented on the balance sheet at this date are treated as not held, per the release balance sheet); rows QA-1229, QA-1240]</t>
  </si>
  <si>
    <t xml:space="preserve">QA-1298</t>
  </si>
  <si>
    <t xml:space="preserve">Normalized Value = H1231+H1242  [Cash and cash equivalents + Marketable securities (same balance-sheet date; components not presented on the balance sheet at this date are treated as not held, per the release balance sheet); rows QA-1230, QA-1241]</t>
  </si>
  <si>
    <t xml:space="preserve">QA-1299</t>
  </si>
  <si>
    <t xml:space="preserve">Normalized Value = H1232+H1243  [Cash and cash equivalents + Marketable securities (same balance-sheet date; components not presented on the balance sheet at this date are treated as not held, per the release balance sheet); rows QA-1231, QA-1242]</t>
  </si>
  <si>
    <t xml:space="preserve">QA-1300</t>
  </si>
  <si>
    <t xml:space="preserve">Normalized Value = H1233+H1244  [Cash and cash equivalents + Marketable securities (same balance-sheet date; components not presented on the balance sheet at this date are treated as not held, per the release balance sheet); rows QA-1232, QA-1243]</t>
  </si>
  <si>
    <t xml:space="preserve">QA-1301</t>
  </si>
  <si>
    <t xml:space="preserve">Normalized Value = H1234+H1245  [Cash and cash equivalents + Marketable securities (same balance-sheet date; components not presented on the balance sheet at this date are treated as not held, per the release balance sheet); rows QA-1233, QA-1244]</t>
  </si>
  <si>
    <t xml:space="preserve">QA-1302</t>
  </si>
  <si>
    <t xml:space="preserve">Point-in-time (quarter end); see Definitions for NDR measurement basis</t>
  </si>
  <si>
    <t xml:space="preserve">KPI - net dollar retention</t>
  </si>
  <si>
    <t xml:space="preserve">Net dollar retention rate - all customers</t>
  </si>
  <si>
    <t xml:space="preserve">over 120%</t>
  </si>
  <si>
    <t xml:space="preserve">Exhibit 99.1, 'Recent Business Highlights' bullet: "Net dollar retention rate was over 120%."</t>
  </si>
  <si>
    <t xml:space="preserve">Disclosed only as a lower bound ('over'); normalized low = stated floor, no point value. Not comparable with exact values disclosed from Q4 2023 onward.</t>
  </si>
  <si>
    <t xml:space="preserve">QA-1303</t>
  </si>
  <si>
    <t xml:space="preserve">over 125%</t>
  </si>
  <si>
    <t xml:space="preserve">Exhibit 99.1, 'Recent Business Highlights' bullet: "Net dollar retention rate was over 125%."</t>
  </si>
  <si>
    <t xml:space="preserve">QA-1304</t>
  </si>
  <si>
    <t xml:space="preserve">QA-1305</t>
  </si>
  <si>
    <t xml:space="preserve">QA-1306</t>
  </si>
  <si>
    <t xml:space="preserve">Disclosed only as a lower bound ('over'); normalized low = stated floor, no point value. Not comparable with exact values disclosed from Q4 2023 onward. Exact value later disclosed in 20F-FY2024 (separate row).</t>
  </si>
  <si>
    <t xml:space="preserve">QA-1307</t>
  </si>
  <si>
    <t xml:space="preserve">over 115%</t>
  </si>
  <si>
    <t xml:space="preserve">Exhibit 99.1, 'Recent Business Highlights' bullet: "Net dollar retention rate was over 115%."</t>
  </si>
  <si>
    <t xml:space="preserve">QA-1308</t>
  </si>
  <si>
    <t xml:space="preserve">over 110%</t>
  </si>
  <si>
    <t xml:space="preserve">Exhibit 99.1, 'Recent Business Highlights' bullet: "Net dollar retention rate was over 110%."</t>
  </si>
  <si>
    <t xml:space="preserve">QA-1309</t>
  </si>
  <si>
    <t xml:space="preserve">QA-1310</t>
  </si>
  <si>
    <t xml:space="preserve">110%</t>
  </si>
  <si>
    <t xml:space="preserve">Exhibit 99.1, 'Recent Business Highlights' bullet: "Net dollar retention rate was 110%."</t>
  </si>
  <si>
    <t xml:space="preserve">QA-1311</t>
  </si>
  <si>
    <t xml:space="preserve">QA-1312</t>
  </si>
  <si>
    <t xml:space="preserve">QA-1313</t>
  </si>
  <si>
    <t xml:space="preserve">111%</t>
  </si>
  <si>
    <t xml:space="preserve">Exhibit 99.1, 'Recent Business Highlights' bullet: "Net dollar retention rate was 111%."</t>
  </si>
  <si>
    <t xml:space="preserve">QA-1314</t>
  </si>
  <si>
    <t xml:space="preserve">112%</t>
  </si>
  <si>
    <t xml:space="preserve">Exhibit 99.1, 'Recent Business Highlights' bullet: "Net dollar retention rate was 112%."</t>
  </si>
  <si>
    <t xml:space="preserve">QA-1315</t>
  </si>
  <si>
    <t xml:space="preserve">QA-1316</t>
  </si>
  <si>
    <t xml:space="preserve">QA-1317</t>
  </si>
  <si>
    <t xml:space="preserve">QA-1318</t>
  </si>
  <si>
    <t xml:space="preserve">QA-1319</t>
  </si>
  <si>
    <t xml:space="preserve">QA-1320</t>
  </si>
  <si>
    <t xml:space="preserve">109%</t>
  </si>
  <si>
    <t xml:space="preserve">Exhibit 99.1, 'Recent Business Highlights' bullet: "Net dollar retention rate was 109%."</t>
  </si>
  <si>
    <t xml:space="preserve">QA-1321</t>
  </si>
  <si>
    <t xml:space="preserve">Three months ended December 31, 2022 (per 20-F wording)</t>
  </si>
  <si>
    <t xml:space="preserve">121%</t>
  </si>
  <si>
    <t xml:space="preserve">Form 20-F FY2024, Item 5 (Part 4) - Key Business Metrics - Net Dollar Retention Rate: "Our Net Dollar Retention Rate for all of our customers was 112%, 110%, and 121% for the three months ended December 31, 2024, 2023, and 2022, respectively. Net Dollar Retention Rate for Customers with more than $50,000 in ARR was 115%, 115%, and 137% ... Net Dollar Retention Rate for Customers with more than $100,000 in ARR was 116%, 114%, and 135% ... Our Net Dollar Retention Rate for customers with more than 10 users was 115%, 115%, and 130% for the three months ended December 31, 2024, December 31, 2023, and December 31, 2022, respectively."</t>
  </si>
  <si>
    <t xml:space="preserve">Exact value first disclosed in the FY2024 20-F (three months ended December 31, 2022). Consistent with the release lower bound ('over 120%').</t>
  </si>
  <si>
    <t xml:space="preserve">QA-1322</t>
  </si>
  <si>
    <t xml:space="preserve">Net dollar retention rate - customers with more than $100,000 in ARR</t>
  </si>
  <si>
    <t xml:space="preserve">114%</t>
  </si>
  <si>
    <t xml:space="preserve">Exhibit 99.1, 'Recent Business Highlights' bullet: "Net dollar retention rate for customers with more than $100,000 in ARR was 114%."</t>
  </si>
  <si>
    <t xml:space="preserve">QA-1323</t>
  </si>
  <si>
    <t xml:space="preserve">113%</t>
  </si>
  <si>
    <t xml:space="preserve">Exhibit 99.1, 'Recent Business Highlights' bullet: "Net dollar retention rate for customers with more than $100,000 in ARR was 113%."</t>
  </si>
  <si>
    <t xml:space="preserve">QA-1324</t>
  </si>
  <si>
    <t xml:space="preserve">QA-1325</t>
  </si>
  <si>
    <t xml:space="preserve">115%</t>
  </si>
  <si>
    <t xml:space="preserve">Exhibit 99.1, 'Recent Business Highlights' bullet: "Net dollar retention rate for customers with more than $100,000 in ARR was 115%."</t>
  </si>
  <si>
    <t xml:space="preserve">QA-1326</t>
  </si>
  <si>
    <t xml:space="preserve">116%</t>
  </si>
  <si>
    <t xml:space="preserve">Exhibit 99.1, 'Recent Business Highlights' bullet: "Net dollar retention rate for customers with more than $100,000 in ARR was 116%."</t>
  </si>
  <si>
    <t xml:space="preserve">QA-1327</t>
  </si>
  <si>
    <t xml:space="preserve">117%</t>
  </si>
  <si>
    <t xml:space="preserve">Exhibit 99.1, 'Recent Business Highlights' bullet: "Net dollar retention rate for customers with more than $100,000 in ARR was 117%."</t>
  </si>
  <si>
    <t xml:space="preserve">QA-1328</t>
  </si>
  <si>
    <t xml:space="preserve">QA-1329</t>
  </si>
  <si>
    <t xml:space="preserve">QA-1330</t>
  </si>
  <si>
    <t xml:space="preserve">QA-1331</t>
  </si>
  <si>
    <t xml:space="preserve">QA-1332</t>
  </si>
  <si>
    <t xml:space="preserve">QA-1333</t>
  </si>
  <si>
    <t xml:space="preserve">135%</t>
  </si>
  <si>
    <t xml:space="preserve">Exact value first disclosed in the FY2024 20-F (three months ended December 31, 2022). Not disclosed in the Q4 2022 release.</t>
  </si>
  <si>
    <t xml:space="preserve">QA-1334</t>
  </si>
  <si>
    <t xml:space="preserve">Net dollar retention rate - customers with more than $50,000 in ARR</t>
  </si>
  <si>
    <t xml:space="preserve">over 150%</t>
  </si>
  <si>
    <t xml:space="preserve">Exhibit 99.1, 'Recent Business Highlights' bullet: "Net dollar retention rate for customers with more than $50,000 in annual recurring revenue (“ARR”) was over 150%."</t>
  </si>
  <si>
    <t xml:space="preserve">QA-1335</t>
  </si>
  <si>
    <t xml:space="preserve">QA-1336</t>
  </si>
  <si>
    <t xml:space="preserve">over 145%</t>
  </si>
  <si>
    <t xml:space="preserve">Exhibit 99.1, 'Recent Business Highlights' bullet: "Net dollar retention rate for customers with more than $50,000 in annual recurring revenue (“ARR”) was over 145%."</t>
  </si>
  <si>
    <t xml:space="preserve">QA-1337</t>
  </si>
  <si>
    <t xml:space="preserve">over 135%</t>
  </si>
  <si>
    <t xml:space="preserve">Exhibit 99.1, 'Recent Business Highlights' bullet: "Net dollar retention rate for customers with more than $50,000 in annual recurring revenue (“ARR”) was over 135%."</t>
  </si>
  <si>
    <t xml:space="preserve">QA-1338</t>
  </si>
  <si>
    <t xml:space="preserve">Exhibit 99.1, 'Recent Business Highlights' bullet: "Net dollar retention rate for customers with more than $50,000 in annual recurring revenue (“ARR”) was over 125%."</t>
  </si>
  <si>
    <t xml:space="preserve">QA-1339</t>
  </si>
  <si>
    <t xml:space="preserve">Exhibit 99.1, 'Recent Business Highlights' bullet: "Net dollar retention rate for customers with more than $50,000 in annual recurring revenue (“ARR”) was over 120%."</t>
  </si>
  <si>
    <t xml:space="preserve">QA-1340</t>
  </si>
  <si>
    <t xml:space="preserve">Exhibit 99.1, 'Recent Business Highlights' bullet: "Net dollar retention rate for customers with more than $50,000 in annual recurring revenue (“ARR”) was over 115%."</t>
  </si>
  <si>
    <t xml:space="preserve">QA-1341</t>
  </si>
  <si>
    <t xml:space="preserve">Exhibit 99.1, 'Recent Business Highlights' bullet: "Net dollar retention rate for customers with more than $50,000 in annual recurring revenue (“ARR”) was 115%."</t>
  </si>
  <si>
    <t xml:space="preserve">QA-1342</t>
  </si>
  <si>
    <t xml:space="preserve">Exhibit 99.1, 'Recent Business Highlights' bullet: "Net dollar retention rate for customers with more than $50,000 in annual recurring revenue (“ARR”) was 114%."</t>
  </si>
  <si>
    <t xml:space="preserve">QA-1343</t>
  </si>
  <si>
    <t xml:space="preserve">QA-1344</t>
  </si>
  <si>
    <t xml:space="preserve">Exhibit 99.1, 'Recent Business Highlights' bullet: "Net dollar retention rate for customers with more than $50,000 in ARR was 115%."</t>
  </si>
  <si>
    <t xml:space="preserve">QA-1345</t>
  </si>
  <si>
    <t xml:space="preserve">QA-1346</t>
  </si>
  <si>
    <t xml:space="preserve">Exhibit 99.1, 'Recent Business Highlights' bullet: "Net dollar retention rate for customers with more than $50,000 in ARR was 116%."</t>
  </si>
  <si>
    <t xml:space="preserve">QA-1347</t>
  </si>
  <si>
    <t xml:space="preserve">QA-1348</t>
  </si>
  <si>
    <t xml:space="preserve">Exhibit 99.1, 'Recent Business Highlights' bullet: "Net dollar retention rate for customers with more than $50,000 in ARR was 117%."</t>
  </si>
  <si>
    <t xml:space="preserve">QA-1349</t>
  </si>
  <si>
    <t xml:space="preserve">QA-1350</t>
  </si>
  <si>
    <t xml:space="preserve">QA-1351</t>
  </si>
  <si>
    <t xml:space="preserve">QA-1352</t>
  </si>
  <si>
    <t xml:space="preserve">137%</t>
  </si>
  <si>
    <t xml:space="preserve">Exact value first disclosed in the FY2024 20-F (three months ended December 31, 2022). Consistent with the release lower bound ('over 135%').</t>
  </si>
  <si>
    <t xml:space="preserve">QA-1353</t>
  </si>
  <si>
    <t xml:space="preserve">Net dollar retention rate - customers with more than 10 users</t>
  </si>
  <si>
    <t xml:space="preserve">Exhibit 99.1, 'Recent Business Highlights' bullet: "Our net dollar retention rate for customers with more than 10 users was over 125%."</t>
  </si>
  <si>
    <t xml:space="preserve">QA-1354</t>
  </si>
  <si>
    <t xml:space="preserve">over 130%</t>
  </si>
  <si>
    <t xml:space="preserve">Exhibit 99.1, 'Recent Business Highlights' bullet: "Our net dollar retention rate for customers with more than 10 users was over 130%."</t>
  </si>
  <si>
    <t xml:space="preserve">QA-1355</t>
  </si>
  <si>
    <t xml:space="preserve">Exhibit 99.1, 'Recent Business Highlights' bullet: "Net dollar retention rate for customers with more than 10 users was over 135%."</t>
  </si>
  <si>
    <t xml:space="preserve">QA-1356</t>
  </si>
  <si>
    <t xml:space="preserve">QA-1357</t>
  </si>
  <si>
    <t xml:space="preserve">QA-1358</t>
  </si>
  <si>
    <t xml:space="preserve">QA-1359</t>
  </si>
  <si>
    <t xml:space="preserve">Exhibit 99.1, 'Recent Business Highlights' bullet: "Net dollar retention rate for customers with more than 10 users was over 130%."</t>
  </si>
  <si>
    <t xml:space="preserve">QA-1360</t>
  </si>
  <si>
    <t xml:space="preserve">Exhibit 99.1, 'Recent Business Highlights' bullet: "Net dollar retention rate for customers with more than 10 users was over 125%."</t>
  </si>
  <si>
    <t xml:space="preserve">QA-1361</t>
  </si>
  <si>
    <t xml:space="preserve">Exhibit 99.1, 'Recent Business Highlights' bullet: "Net dollar retention rate for customers with more than 10 users was over 120%."</t>
  </si>
  <si>
    <t xml:space="preserve">QA-1362</t>
  </si>
  <si>
    <t xml:space="preserve">Exhibit 99.1, 'Recent Business Highlights' bullet: "Net dollar retention rate for customers with more than 10 users was over 115%."</t>
  </si>
  <si>
    <t xml:space="preserve">QA-1363</t>
  </si>
  <si>
    <t xml:space="preserve">Exhibit 99.1, 'Recent Business Highlights' bullet: "Net dollar retention rate for customers with more than 10 users was 115%."</t>
  </si>
  <si>
    <t xml:space="preserve">QA-1364</t>
  </si>
  <si>
    <t xml:space="preserve">Exhibit 99.1, 'Recent Business Highlights' bullet: "Net dollar retention rate for customers with more than 10 users was 114%."</t>
  </si>
  <si>
    <t xml:space="preserve">QA-1365</t>
  </si>
  <si>
    <t xml:space="preserve">QA-1366</t>
  </si>
  <si>
    <t xml:space="preserve">QA-1367</t>
  </si>
  <si>
    <t xml:space="preserve">QA-1368</t>
  </si>
  <si>
    <t xml:space="preserve">QA-1369</t>
  </si>
  <si>
    <t xml:space="preserve">QA-1370</t>
  </si>
  <si>
    <t xml:space="preserve">QA-1371</t>
  </si>
  <si>
    <t xml:space="preserve">QA-1372</t>
  </si>
  <si>
    <t xml:space="preserve">QA-1373</t>
  </si>
  <si>
    <t xml:space="preserve">Exhibit 99.1, 'Recent Business Highlights' bullet: "Net dollar retention rate for customers with more than 10 users was 113%."</t>
  </si>
  <si>
    <t xml:space="preserve">QA-1374</t>
  </si>
  <si>
    <t xml:space="preserve">130%</t>
  </si>
  <si>
    <t xml:space="preserve">Exact value first disclosed in the FY2024 20-F (three months ended December 31, 2022). DISCREPANCY FLAG: the Q4 2022 release and the FY2022/FY2023 20-Fs state 'over 130%', while the FY2024 20-F states exactly 130%. Both kept; the exact 130% is the most recent statement but is inconsistent with a strict reading of 'over 130%' (possibly rounding). Use with caution.</t>
  </si>
  <si>
    <t xml:space="preserve">QA-1375</t>
  </si>
  <si>
    <t xml:space="preserve">Point-in-time (quarter end)</t>
  </si>
  <si>
    <t xml:space="preserve">KPI - paid customers</t>
  </si>
  <si>
    <t xml:space="preserve">Paid customers - total</t>
  </si>
  <si>
    <t xml:space="preserve">152,048</t>
  </si>
  <si>
    <t xml:space="preserve">customer count</t>
  </si>
  <si>
    <t xml:space="preserve">Exhibit 99.1, 'Recent Business Highlights' bullet: "The total number of paid customers was 152,048, up 34% from 113,888 as of December 31, 2020."</t>
  </si>
  <si>
    <t xml:space="preserve">Confirmed by prior-year comparative in ER-2022Q4.</t>
  </si>
  <si>
    <t xml:space="preserve">QA-1376</t>
  </si>
  <si>
    <t xml:space="preserve">186,477</t>
  </si>
  <si>
    <t xml:space="preserve">Exhibit 99.1, 'Recent Business Highlights' bullet: "The total number of paid customers was 186,477, up 23% from 152,048 as of December 31, 2021."</t>
  </si>
  <si>
    <t xml:space="preserve">QA-1377</t>
  </si>
  <si>
    <t xml:space="preserve">Point-in-time vs. same date prior year</t>
  </si>
  <si>
    <t xml:space="preserve">Paid customers - total - year-over-year growth, as reported</t>
  </si>
  <si>
    <t xml:space="preserve">up 34%</t>
  </si>
  <si>
    <t xml:space="preserve">Used only in Checks (growth consistency).</t>
  </si>
  <si>
    <t xml:space="preserve">QA-1378</t>
  </si>
  <si>
    <t xml:space="preserve">up 23%</t>
  </si>
  <si>
    <t xml:space="preserve">QA-1379</t>
  </si>
  <si>
    <t xml:space="preserve">Paid customers with more than $100,000 in ARR</t>
  </si>
  <si>
    <t xml:space="preserve">Exhibit 99.1 (Q4 2023 release), 'Recent Business Highlights' bullet, prior-year comparative: "The number of paid customers with more than $100,000 in ARR was 833, up 58% from 527 as of December 31, 2022."</t>
  </si>
  <si>
    <t xml:space="preserve">Not disclosed in the Q4 2022 release; first disclosed as the prior-year comparative in the Q4 2023 release.</t>
  </si>
  <si>
    <t xml:space="preserve">QA-1380</t>
  </si>
  <si>
    <t xml:space="preserve">588</t>
  </si>
  <si>
    <t xml:space="preserve">Exhibit 99.1 (Q1 2024 release), 'Recent Business Highlights' bullet, prior-year comparative: "The number of paid customers with more than $100,000 in ARR was 911, up 55% from 588 as of March 31, 2023."</t>
  </si>
  <si>
    <t xml:space="preserve">Not disclosed in the Q1 2023 release; first disclosed as the prior-year comparative in the Q1 2024 release.</t>
  </si>
  <si>
    <t xml:space="preserve">QA-1381</t>
  </si>
  <si>
    <t xml:space="preserve">677</t>
  </si>
  <si>
    <t xml:space="preserve">Exhibit 99.1 (Q2 2024 release), 'Recent Business Highlights' bullet, prior-year comparative: "The number of paid customers with more than $100,000 in ARR was 1,009, up 49% from 677 as of June 30, 2023."</t>
  </si>
  <si>
    <t xml:space="preserve">Not disclosed in the Q2 2023 release; first disclosed as the prior-year comparative in the Q2 2024 release.</t>
  </si>
  <si>
    <t xml:space="preserve">QA-1382</t>
  </si>
  <si>
    <t xml:space="preserve">749</t>
  </si>
  <si>
    <t xml:space="preserve">Exhibit 99.1 (Q3 2024 release), 'Recent Business Highlights' bullet, prior-year comparative: "The number of paid customers with more than $100,000 in ARR was 1,080, up 44% from 749 as of September 30, 2023."</t>
  </si>
  <si>
    <t xml:space="preserve">Not disclosed in the Q3 2023 release; first disclosed as the prior-year comparative in the Q3 2024 release.</t>
  </si>
  <si>
    <t xml:space="preserve">QA-1383</t>
  </si>
  <si>
    <t xml:space="preserve">833</t>
  </si>
  <si>
    <t xml:space="preserve">Exhibit 99.1, 'Recent Business Highlights' bullet: "The number of paid customers with more than $100,000 in ARR was 833, up 58% from 527 as of December 31, 2022."</t>
  </si>
  <si>
    <t xml:space="preserve">Confirmed by prior-year comparative in ER-2024Q4.</t>
  </si>
  <si>
    <t xml:space="preserve">QA-1384</t>
  </si>
  <si>
    <t xml:space="preserve">911</t>
  </si>
  <si>
    <t xml:space="preserve">Exhibit 99.1, 'Recent Business Highlights' bullet: "The number of paid customers with more than $100,000 in ARR was 911, up 55% from 588 as of March 31, 2023."</t>
  </si>
  <si>
    <t xml:space="preserve">Confirmed by prior-year comparative in ER-2025Q1.</t>
  </si>
  <si>
    <t xml:space="preserve">QA-1385</t>
  </si>
  <si>
    <t xml:space="preserve">1,009</t>
  </si>
  <si>
    <t xml:space="preserve">Exhibit 99.1, 'Recent Business Highlights' bullet: "The number of paid customers with more than $100,000 in ARR was 1,009, up 49% from 677 as of June 30, 2023."</t>
  </si>
  <si>
    <t xml:space="preserve">Confirmed by prior-year comparative in ER-2025Q2.</t>
  </si>
  <si>
    <t xml:space="preserve">QA-1386</t>
  </si>
  <si>
    <t xml:space="preserve">1,080</t>
  </si>
  <si>
    <t xml:space="preserve">Exhibit 99.1, 'Recent Business Highlights' bullet: "The number of paid customers with more than $100,000 in ARR was 1,080, up 44% from 749 as of September 30, 2023."</t>
  </si>
  <si>
    <t xml:space="preserve">Confirmed by prior-year comparative in ER-2025Q3.</t>
  </si>
  <si>
    <t xml:space="preserve">QA-1387</t>
  </si>
  <si>
    <t xml:space="preserve">1,207</t>
  </si>
  <si>
    <t xml:space="preserve">Exhibit 99.1, 'Recent Business Highlights' bullet: "The number of paid customers with more than $100,000 in ARR was 1,207, up 45% from 833 as of December 31, 2023."</t>
  </si>
  <si>
    <t xml:space="preserve">Confirmed by prior-year comparative in ER-2025Q4.</t>
  </si>
  <si>
    <t xml:space="preserve">QA-1388</t>
  </si>
  <si>
    <t xml:space="preserve">1,328</t>
  </si>
  <si>
    <t xml:space="preserve">Exhibit 99.1, 'Recent Business Highlights' bullet: "The number of paid customers with more than $100,000 in ARR was 1,328, up 46% from 911 as of March 31, 2024."</t>
  </si>
  <si>
    <t xml:space="preserve">Confirmed by prior-year comparative in ER-2026Q1.</t>
  </si>
  <si>
    <t xml:space="preserve">QA-1389</t>
  </si>
  <si>
    <t xml:space="preserve">1,472</t>
  </si>
  <si>
    <t xml:space="preserve">Exhibit 99.1, 'Recent Business Highlights' bullet: "The number of paid customers with more than $100,000 in ARR was 1,472, up 46% from 1,009 as of June 30, 2024."</t>
  </si>
  <si>
    <t xml:space="preserve">Confirmed by prior-year comparative in ER-2026Q2.</t>
  </si>
  <si>
    <t xml:space="preserve">QA-1390</t>
  </si>
  <si>
    <t xml:space="preserve">1,603</t>
  </si>
  <si>
    <t xml:space="preserve">Exhibit 99.1, 'Recent Business Highlights' bullet: "The number of paid customers with more than $100,000 in ARR was 1,603, up 48% from 1,080 as of September 30, 2024."</t>
  </si>
  <si>
    <t xml:space="preserve">QA-1391</t>
  </si>
  <si>
    <t xml:space="preserve">1,756</t>
  </si>
  <si>
    <t xml:space="preserve">Exhibit 99.1, 'Recent Business Highlights' bullet: "The number of paid customers with more than $100,000 in ARR was 1,756, up 45% from 1,207 as of December 31, 2024."</t>
  </si>
  <si>
    <t xml:space="preserve">QA-1392</t>
  </si>
  <si>
    <t xml:space="preserve">1,844</t>
  </si>
  <si>
    <t xml:space="preserve">Exhibit 99.1, 'Recent Business Highlights' bullet: "The number of paid customers with more than $100,000 in ARR was 1,844, up 39% from 1,328 as of March 31, 2025."</t>
  </si>
  <si>
    <t xml:space="preserve">QA-1393</t>
  </si>
  <si>
    <t xml:space="preserve">2,019</t>
  </si>
  <si>
    <t xml:space="preserve">Exhibit 99.1, 'Recent Business Highlights' bullet: "The number of paid customers with more than $100,000 in ARR was 2,019, up 37% from 1,472 as of June 30, 2025."</t>
  </si>
  <si>
    <t xml:space="preserve">QA-1394</t>
  </si>
  <si>
    <t xml:space="preserve">Paid customers with more than $100,000 in ARR - year-over-year growth, as reported</t>
  </si>
  <si>
    <t xml:space="preserve">up 58%</t>
  </si>
  <si>
    <t xml:space="preserve">QA-1395</t>
  </si>
  <si>
    <t xml:space="preserve">up 55%</t>
  </si>
  <si>
    <t xml:space="preserve">QA-1396</t>
  </si>
  <si>
    <t xml:space="preserve">up 49%</t>
  </si>
  <si>
    <t xml:space="preserve">QA-1397</t>
  </si>
  <si>
    <t xml:space="preserve">up 44%</t>
  </si>
  <si>
    <t xml:space="preserve">QA-1398</t>
  </si>
  <si>
    <t xml:space="preserve">up 45%</t>
  </si>
  <si>
    <t xml:space="preserve">QA-1399</t>
  </si>
  <si>
    <t xml:space="preserve">up 46%</t>
  </si>
  <si>
    <t xml:space="preserve">QA-1400</t>
  </si>
  <si>
    <t xml:space="preserve">QA-1401</t>
  </si>
  <si>
    <t xml:space="preserve">up 48%</t>
  </si>
  <si>
    <t xml:space="preserve">QA-1402</t>
  </si>
  <si>
    <t xml:space="preserve">QA-1403</t>
  </si>
  <si>
    <t xml:space="preserve">up 39%</t>
  </si>
  <si>
    <t xml:space="preserve">QA-1404</t>
  </si>
  <si>
    <t xml:space="preserve">up 37%</t>
  </si>
  <si>
    <t xml:space="preserve">QA-1405</t>
  </si>
  <si>
    <t xml:space="preserve">Paid customers with more than $50,000 in ARR</t>
  </si>
  <si>
    <t xml:space="preserve">335</t>
  </si>
  <si>
    <t xml:space="preserve">Exhibit 99.1 (Q1 2022 release), 'Recent Business Highlights' bullet, prior-year comparative: "The number of paid customers with more than $50,000 in ARR was 960, up 187% from 335 as of March 31, 2021."</t>
  </si>
  <si>
    <t xml:space="preserve">Not disclosed in the Q1 2021 release; first disclosed as the prior-year comparative in the Q1 2022 release.</t>
  </si>
  <si>
    <t xml:space="preserve">QA-1406</t>
  </si>
  <si>
    <t xml:space="preserve">470</t>
  </si>
  <si>
    <t xml:space="preserve">Exhibit 99.1, 'Recent Business Highlights' bullet: "The number of paid enterprise customers with more than $50,000 in annual recurring revenue was 470, up 226% from 144, in the second quarter of 2020."</t>
  </si>
  <si>
    <t xml:space="preserve">Confirmed by prior-year comparative in ER-2022Q2.</t>
  </si>
  <si>
    <t xml:space="preserve">QA-1407</t>
  </si>
  <si>
    <t xml:space="preserve">613</t>
  </si>
  <si>
    <t xml:space="preserve">Exhibit 99.1, 'Recent Business Highlights' bullet: "The number of paid enterprise customers with more than $50,000 in annual recurring revenue was 613, up 231% from 185, in the third quarter of 2020."</t>
  </si>
  <si>
    <t xml:space="preserve">Confirmed by prior-year comparative in ER-2022Q3.</t>
  </si>
  <si>
    <t xml:space="preserve">QA-1408</t>
  </si>
  <si>
    <t xml:space="preserve">793</t>
  </si>
  <si>
    <t xml:space="preserve">Exhibit 99.1, 'Recent Business Highlights' bullet: "The number of paid customers with more than $50,000 in annual recurring revenue (“ARR”) was 793, up 200% from 264 as of December 31, 2020."</t>
  </si>
  <si>
    <t xml:space="preserve">QA-1409</t>
  </si>
  <si>
    <t xml:space="preserve">960</t>
  </si>
  <si>
    <t xml:space="preserve">Exhibit 99.1, 'Recent Business Highlights' bullet: "The number of paid customers with more than $50,000 in ARR was 960, up 187% from 335 as of March 31, 2021."</t>
  </si>
  <si>
    <t xml:space="preserve">Confirmed by prior-year comparative in ER-2023Q1.</t>
  </si>
  <si>
    <t xml:space="preserve">QA-1410</t>
  </si>
  <si>
    <t xml:space="preserve">1,160</t>
  </si>
  <si>
    <t xml:space="preserve">Exhibit 99.1, 'Recent Business Highlights' bullet: "The number of paid customers with more than $50,000 in ARR was 1,160, up 147% from 470 as of June 30, 2021."</t>
  </si>
  <si>
    <t xml:space="preserve">Confirmed by prior-year comparative in ER-2023Q2.</t>
  </si>
  <si>
    <t xml:space="preserve">QA-1411</t>
  </si>
  <si>
    <t xml:space="preserve">1,323</t>
  </si>
  <si>
    <t xml:space="preserve">Exhibit 99.1, 'Recent Business Highlights' bullet: "The number of paid customers with more than $50,000 in ARR was 1,323, up 116% from 613 as of September 30, 2021."</t>
  </si>
  <si>
    <t xml:space="preserve">Confirmed by prior-year comparative in ER-2023Q3.</t>
  </si>
  <si>
    <t xml:space="preserve">QA-1412</t>
  </si>
  <si>
    <t xml:space="preserve">1,474</t>
  </si>
  <si>
    <t xml:space="preserve">Exhibit 99.1, 'Recent Business Highlights' bullet: "The number of paid customers with more than $50,000 in ARR was 1,474, up 86% from 793 as of December 31, 2021."</t>
  </si>
  <si>
    <t xml:space="preserve">Confirmed by prior-year comparative in ER-2023Q4.</t>
  </si>
  <si>
    <t xml:space="preserve">QA-1413</t>
  </si>
  <si>
    <t xml:space="preserve">1,683</t>
  </si>
  <si>
    <t xml:space="preserve">Exhibit 99.1, 'Recent Business Highlights' bullet: "The number of paid customers with more than $50,000 in ARR was 1,683, up 75% from 960 as of March 31, 2022."</t>
  </si>
  <si>
    <t xml:space="preserve">Confirmed by prior-year comparative in ER-2024Q1.</t>
  </si>
  <si>
    <t xml:space="preserve">QA-1414</t>
  </si>
  <si>
    <t xml:space="preserve">1,892</t>
  </si>
  <si>
    <t xml:space="preserve">Exhibit 99.1, 'Recent Business Highlights' bullet: "The number of paid customers with more than $50,000 in ARR was 1,892, up 63% from 1,160 as of June 30, 2022."</t>
  </si>
  <si>
    <t xml:space="preserve">Confirmed by prior-year comparative in ER-2024Q2.</t>
  </si>
  <si>
    <t xml:space="preserve">QA-1415</t>
  </si>
  <si>
    <t xml:space="preserve">2,077</t>
  </si>
  <si>
    <t xml:space="preserve">Exhibit 99.1, 'Recent Business Highlights' bullet: "The number of paid customers with more than $50,000 in ARR was 2,077, up 57% from 1,323 as of September 30, 2022."</t>
  </si>
  <si>
    <t xml:space="preserve">Confirmed by prior-year comparative in ER-2024Q3.</t>
  </si>
  <si>
    <t xml:space="preserve">QA-1416</t>
  </si>
  <si>
    <t xml:space="preserve">2,295</t>
  </si>
  <si>
    <t xml:space="preserve">Exhibit 99.1, 'Recent Business Highlights' bullet: "The number of paid customers with more than $50,000 in ARR was 2,295, up 56% from 1,474 as of December 31, 2022."</t>
  </si>
  <si>
    <t xml:space="preserve">QA-1417</t>
  </si>
  <si>
    <t xml:space="preserve">2,491</t>
  </si>
  <si>
    <t xml:space="preserve">Exhibit 99.1, 'Recent Business Highlights' bullet: "The number of paid customers with more than $50,000 in ARR was 2,491, up 48% from 1,683 as of March 31, 2023."</t>
  </si>
  <si>
    <t xml:space="preserve">QA-1418</t>
  </si>
  <si>
    <t xml:space="preserve">2,713</t>
  </si>
  <si>
    <t xml:space="preserve">Exhibit 99.1, 'Recent Business Highlights' bullet: "The number of paid customers with more than $50,000 in ARR was 2,713, up 43% from 1,892 as of June 30, 2023."</t>
  </si>
  <si>
    <t xml:space="preserve">QA-1419</t>
  </si>
  <si>
    <t xml:space="preserve">2,907</t>
  </si>
  <si>
    <t xml:space="preserve">Exhibit 99.1, 'Recent Business Highlights' bullet: "The number of paid customers with more than $50,000 in ARR was 2,907, up 40% from 2,077 as of September 30, 2023."</t>
  </si>
  <si>
    <t xml:space="preserve">QA-1420</t>
  </si>
  <si>
    <t xml:space="preserve">3,201</t>
  </si>
  <si>
    <t xml:space="preserve">Exhibit 99.1, 'Recent Business Highlights' bullet: "The number of paid customers with more than $50,000 in ARR was 3,201, up 39% from 2,295 as of December 31, 2023."</t>
  </si>
  <si>
    <t xml:space="preserve">QA-1421</t>
  </si>
  <si>
    <t xml:space="preserve">3,444</t>
  </si>
  <si>
    <t xml:space="preserve">Exhibit 99.1, 'Recent Business Highlights' bullet: "The number of paid customers with more than $50,000 in ARR was 3,444, up 38% from 2,491 as of March 31, 2024."</t>
  </si>
  <si>
    <t xml:space="preserve">QA-1422</t>
  </si>
  <si>
    <t xml:space="preserve">3,702</t>
  </si>
  <si>
    <t xml:space="preserve">Exhibit 99.1, 'Recent Business Highlights' bullet: "The number of paid customers with more than $50,000 in ARR was 3,702, up 36% from 2,713 as of June 30, 2024."</t>
  </si>
  <si>
    <t xml:space="preserve">QA-1423</t>
  </si>
  <si>
    <t xml:space="preserve">3,993</t>
  </si>
  <si>
    <t xml:space="preserve">Exhibit 99.1, 'Recent Business Highlights' bullet: "The number of paid customers with more than $50,000 in ARR was 3,993, up 37% from 2,907 as of September 30, 2024."</t>
  </si>
  <si>
    <t xml:space="preserve">QA-1424</t>
  </si>
  <si>
    <t xml:space="preserve">4,281</t>
  </si>
  <si>
    <t xml:space="preserve">Exhibit 99.1, 'Recent Business Highlights' bullet: "The number of paid customers with more than $50,000 in ARR was 4,281, up 34% from 3,201 as of December 31, 2024."</t>
  </si>
  <si>
    <t xml:space="preserve">QA-1425</t>
  </si>
  <si>
    <t xml:space="preserve">4,547</t>
  </si>
  <si>
    <t xml:space="preserve">Exhibit 99.1, 'Recent Business Highlights' bullet: "The number of paid customers with more than $50,000 in ARR was 4,547, up 32% from 3,444 as of March 31, 2025."</t>
  </si>
  <si>
    <t xml:space="preserve">QA-1426</t>
  </si>
  <si>
    <t xml:space="preserve">4,834</t>
  </si>
  <si>
    <t xml:space="preserve">Exhibit 99.1, 'Recent Business Highlights' bullet: "The number of paid customers with more than $50,000 in ARR was 4,834, up 31% from 3,702 as of June 30, 2025."</t>
  </si>
  <si>
    <t xml:space="preserve">QA-1427</t>
  </si>
  <si>
    <t xml:space="preserve">Paid customers with more than $50,000 in ARR - year-over-year growth, as reported</t>
  </si>
  <si>
    <t xml:space="preserve">up 226%</t>
  </si>
  <si>
    <t xml:space="preserve">QA-1428</t>
  </si>
  <si>
    <t xml:space="preserve">up 231%</t>
  </si>
  <si>
    <t xml:space="preserve">QA-1429</t>
  </si>
  <si>
    <t xml:space="preserve">up 200%</t>
  </si>
  <si>
    <t xml:space="preserve">QA-1430</t>
  </si>
  <si>
    <t xml:space="preserve">up 187%</t>
  </si>
  <si>
    <t xml:space="preserve">QA-1431</t>
  </si>
  <si>
    <t xml:space="preserve">up 147%</t>
  </si>
  <si>
    <t xml:space="preserve">QA-1432</t>
  </si>
  <si>
    <t xml:space="preserve">up 116%</t>
  </si>
  <si>
    <t xml:space="preserve">QA-1433</t>
  </si>
  <si>
    <t xml:space="preserve">up 86%</t>
  </si>
  <si>
    <t xml:space="preserve">QA-1434</t>
  </si>
  <si>
    <t xml:space="preserve">up 75%</t>
  </si>
  <si>
    <t xml:space="preserve">QA-1435</t>
  </si>
  <si>
    <t xml:space="preserve">up 63%</t>
  </si>
  <si>
    <t xml:space="preserve">QA-1436</t>
  </si>
  <si>
    <t xml:space="preserve">up 57%</t>
  </si>
  <si>
    <t xml:space="preserve">QA-1437</t>
  </si>
  <si>
    <t xml:space="preserve">up 56%</t>
  </si>
  <si>
    <t xml:space="preserve">QA-1438</t>
  </si>
  <si>
    <t xml:space="preserve">QA-1439</t>
  </si>
  <si>
    <t xml:space="preserve">up 43%</t>
  </si>
  <si>
    <t xml:space="preserve">QA-1440</t>
  </si>
  <si>
    <t xml:space="preserve">up 40%</t>
  </si>
  <si>
    <t xml:space="preserve">QA-1441</t>
  </si>
  <si>
    <t xml:space="preserve">QA-1442</t>
  </si>
  <si>
    <t xml:space="preserve">up 38%</t>
  </si>
  <si>
    <t xml:space="preserve">QA-1443</t>
  </si>
  <si>
    <t xml:space="preserve">up 36%</t>
  </si>
  <si>
    <t xml:space="preserve">QA-1444</t>
  </si>
  <si>
    <t xml:space="preserve">QA-1445</t>
  </si>
  <si>
    <t xml:space="preserve">QA-1446</t>
  </si>
  <si>
    <t xml:space="preserve">up 32%</t>
  </si>
  <si>
    <t xml:space="preserve">QA-1447</t>
  </si>
  <si>
    <t xml:space="preserve">up 31%</t>
  </si>
  <si>
    <t xml:space="preserve">QA-1448</t>
  </si>
  <si>
    <t xml:space="preserve">Paid customers with more than $500,000 in ARR</t>
  </si>
  <si>
    <t xml:space="preserve">45</t>
  </si>
  <si>
    <t xml:space="preserve">Exhibit 99.1 (Q3 2025 release), 'Recent Business Highlights' bullet, prior-year comparative: "The number of paid customers with more than $500,000 in ARR was 78, up 73% from 45 as of September 30, 2024."</t>
  </si>
  <si>
    <t xml:space="preserve">Not disclosed in the Q3 2024 release; first disclosed as the prior-year comparative in the Q3 2025 release.</t>
  </si>
  <si>
    <t xml:space="preserve">QA-1449</t>
  </si>
  <si>
    <t xml:space="preserve">50</t>
  </si>
  <si>
    <t xml:space="preserve">Exhibit 99.1 (Q4 2025 release), 'Recent Business Highlights' bullet, prior-year comparative: "The number of paid customers with more than $500,000 in ARR was 87, up 74% from 50 as of December 31, 2024."</t>
  </si>
  <si>
    <t xml:space="preserve">Not disclosed in the Q4 2024 release; first disclosed as the prior-year comparative in the Q4 2025 release.</t>
  </si>
  <si>
    <t xml:space="preserve">QA-1450</t>
  </si>
  <si>
    <t xml:space="preserve">57</t>
  </si>
  <si>
    <t xml:space="preserve">Exhibit 99.1 (Q1 2026 release), 'Recent Business Highlights' bullet, prior-year comparative: "The number of paid customers with more than $500,000 in ARR was 99, up 74% from 57 as of March 31, 2025."</t>
  </si>
  <si>
    <t xml:space="preserve">Not disclosed in the Q1 2025 release; first disclosed as the prior-year comparative in the Q1 2026 release.</t>
  </si>
  <si>
    <t xml:space="preserve">QA-1451</t>
  </si>
  <si>
    <t xml:space="preserve">68</t>
  </si>
  <si>
    <t xml:space="preserve">Exhibit 99.1 (Q2 2026 release), 'Recent Business Highlights' bullet, prior-year comparative: "The number of paid customers with more than $500,000 in ARR was 114, up 68% from 68 as of June 30, 2025."</t>
  </si>
  <si>
    <t xml:space="preserve">Not disclosed in the Q2 2025 release; first disclosed as the prior-year comparative in the Q2 2026 release.</t>
  </si>
  <si>
    <t xml:space="preserve">QA-1452</t>
  </si>
  <si>
    <t xml:space="preserve">78</t>
  </si>
  <si>
    <t xml:space="preserve">Exhibit 99.1, 'Recent Business Highlights' bullet: "The number of paid customers with more than $500,000 in ARR was 78, up 73% from 45 as of September 30, 2024."</t>
  </si>
  <si>
    <t xml:space="preserve">QA-1453</t>
  </si>
  <si>
    <t xml:space="preserve">87</t>
  </si>
  <si>
    <t xml:space="preserve">Exhibit 99.1, 'Recent Business Highlights' bullet: "The number of paid customers with more than $500,000 in ARR was 87, up 74% from 50 as of December 31, 2024."</t>
  </si>
  <si>
    <t xml:space="preserve">QA-1454</t>
  </si>
  <si>
    <t xml:space="preserve">99</t>
  </si>
  <si>
    <t xml:space="preserve">Exhibit 99.1, 'Recent Business Highlights' bullet: "The number of paid customers with more than $500,000 in ARR was 99, up 74% from 57 as of March 31, 2025."</t>
  </si>
  <si>
    <t xml:space="preserve">QA-1455</t>
  </si>
  <si>
    <t xml:space="preserve">114</t>
  </si>
  <si>
    <t xml:space="preserve">Exhibit 99.1, 'Recent Business Highlights' bullet: "The number of paid customers with more than $500,000 in ARR was 114, up 68% from 68 as of June 30, 2025."</t>
  </si>
  <si>
    <t xml:space="preserve">QA-1456</t>
  </si>
  <si>
    <t xml:space="preserve">Paid customers with more than $500,000 in ARR - year-over-year growth, as reported</t>
  </si>
  <si>
    <t xml:space="preserve">up 73%</t>
  </si>
  <si>
    <t xml:space="preserve">QA-1457</t>
  </si>
  <si>
    <t xml:space="preserve">up 74%</t>
  </si>
  <si>
    <t xml:space="preserve">QA-1458</t>
  </si>
  <si>
    <t xml:space="preserve">QA-1459</t>
  </si>
  <si>
    <t xml:space="preserve">up 68%</t>
  </si>
  <si>
    <t xml:space="preserve">QA-1460</t>
  </si>
  <si>
    <t xml:space="preserve">Paid customers with more than 10 users</t>
  </si>
  <si>
    <t xml:space="preserve">47,228</t>
  </si>
  <si>
    <t xml:space="preserve">Exhibit 99.1 (Q1 2024 release), 'Recent Business Highlights' bullet, prior-year comparative: "The number of paid customers with 10+ users was 55,515, up 18% from 47,228 as of March 31, 2023."</t>
  </si>
  <si>
    <t xml:space="preserve">QA-1461</t>
  </si>
  <si>
    <t xml:space="preserve">49,936</t>
  </si>
  <si>
    <t xml:space="preserve">Exhibit 99.1 (Q2 2024 release), 'Recent Business Highlights' bullet, prior-year comparative: "The number of paid customers with more than 10 users was 57,203, up 15% from 49,936 as of June 30, 2023."</t>
  </si>
  <si>
    <t xml:space="preserve">QA-1462</t>
  </si>
  <si>
    <t xml:space="preserve">52,015</t>
  </si>
  <si>
    <t xml:space="preserve">Exhibit 99.1 (Q3 2024 release), 'Recent Business Highlights' bullet, prior-year comparative: "The number of paid customers with more than 10 users was 58,760, up 13% from 52,015 as of September 30, 2023."</t>
  </si>
  <si>
    <t xml:space="preserve">QA-1463</t>
  </si>
  <si>
    <t xml:space="preserve">53,688</t>
  </si>
  <si>
    <t xml:space="preserve">Exhibit 99.1 (Q4 2024 release), 'Recent Business Highlights' bullet, prior-year comparative: "The number of paid customers with more than 10 users was 59,214, up 10% from 53,688 as of December 31, 2023."</t>
  </si>
  <si>
    <t xml:space="preserve">Not disclosed in the Q4 2023 release; first disclosed as the prior-year comparative in the Q4 2024 release.</t>
  </si>
  <si>
    <t xml:space="preserve">QA-1464</t>
  </si>
  <si>
    <t xml:space="preserve">55,515</t>
  </si>
  <si>
    <t xml:space="preserve">Exhibit 99.1, 'Recent Business Highlights' bullet: "The number of paid customers with 10+ users was 55,515, up 18% from 47,228 as of March 31, 2023."</t>
  </si>
  <si>
    <t xml:space="preserve">QA-1465</t>
  </si>
  <si>
    <t xml:space="preserve">57,203</t>
  </si>
  <si>
    <t xml:space="preserve">Exhibit 99.1, 'Recent Business Highlights' bullet: "The number of paid customers with more than 10 users was 57,203, up 15% from 49,936 as of June 30, 2023."</t>
  </si>
  <si>
    <t xml:space="preserve">QA-1466</t>
  </si>
  <si>
    <t xml:space="preserve">58,760</t>
  </si>
  <si>
    <t xml:space="preserve">Exhibit 99.1, 'Recent Business Highlights' bullet: "The number of paid customers with more than 10 users was 58,760, up 13% from 52,015 as of September 30, 2023."</t>
  </si>
  <si>
    <t xml:space="preserve">QA-1467</t>
  </si>
  <si>
    <t xml:space="preserve">59,214</t>
  </si>
  <si>
    <t xml:space="preserve">Exhibit 99.1, 'Recent Business Highlights' bullet: "The number of paid customers with more than 10 users was 59,214, up 10% from 53,688 as of December 31, 2023."</t>
  </si>
  <si>
    <t xml:space="preserve">QA-1468</t>
  </si>
  <si>
    <t xml:space="preserve">60,566</t>
  </si>
  <si>
    <t xml:space="preserve">Exhibit 99.1, 'Recent Business Highlights' bullet: "The number of paid customers with more than 10 users was 60,566, up 9% from 55,515 as of March 31, 2024."</t>
  </si>
  <si>
    <t xml:space="preserve">QA-1469</t>
  </si>
  <si>
    <t xml:space="preserve">61,803</t>
  </si>
  <si>
    <t xml:space="preserve">Exhibit 99.1, 'Recent Business Highlights' bullet: "The number of paid customers with more than 10 users was 61,803, up 8% from 57,203 as of June 30, 2024."</t>
  </si>
  <si>
    <t xml:space="preserve">QA-1470</t>
  </si>
  <si>
    <t xml:space="preserve">63,075</t>
  </si>
  <si>
    <t xml:space="preserve">Exhibit 99.1, 'Recent Business Highlights' bullet: "The number of paid customers with more than 10 users was 63,075, up 7% from 58,760 as of September 30, 2024."</t>
  </si>
  <si>
    <t xml:space="preserve">QA-1471</t>
  </si>
  <si>
    <t xml:space="preserve">63,914</t>
  </si>
  <si>
    <t xml:space="preserve">Exhibit 99.1, 'Recent Business Highlights' bullet: "The number of paid customers with more than 10 users was 63,914, up 8% from 59,214 as of December 31, 2024."</t>
  </si>
  <si>
    <t xml:space="preserve">QA-1472</t>
  </si>
  <si>
    <t xml:space="preserve">65,016</t>
  </si>
  <si>
    <t xml:space="preserve">Exhibit 99.1, 'Recent Business Highlights' bullet: "The number of paid customers with more than 10 users was 65,016, up 7% from 60,566 as of March 31, 2025."</t>
  </si>
  <si>
    <t xml:space="preserve">QA-1473</t>
  </si>
  <si>
    <t xml:space="preserve">65,783</t>
  </si>
  <si>
    <t xml:space="preserve">Exhibit 99.1, 'Recent Business Highlights' bullet: "The number of paid customers with more than 10 users was 65,783, up 6% from 61,803 as of June 30, 2025."</t>
  </si>
  <si>
    <t xml:space="preserve">QA-1474</t>
  </si>
  <si>
    <t xml:space="preserve">Paid customers with more than 10 users - year-over-year growth, as reported</t>
  </si>
  <si>
    <t xml:space="preserve">up 18%</t>
  </si>
  <si>
    <t xml:space="preserve">QA-1475</t>
  </si>
  <si>
    <t xml:space="preserve">up 15%</t>
  </si>
  <si>
    <t xml:space="preserve">QA-1476</t>
  </si>
  <si>
    <t xml:space="preserve">up 13%</t>
  </si>
  <si>
    <t xml:space="preserve">QA-1477</t>
  </si>
  <si>
    <t xml:space="preserve">up 10%</t>
  </si>
  <si>
    <t xml:space="preserve">QA-1478</t>
  </si>
  <si>
    <t xml:space="preserve">up 9%</t>
  </si>
  <si>
    <t xml:space="preserve">QA-1479</t>
  </si>
  <si>
    <t xml:space="preserve">up 8%</t>
  </si>
  <si>
    <t xml:space="preserve">QA-1480</t>
  </si>
  <si>
    <t xml:space="preserve">up 7%</t>
  </si>
  <si>
    <t xml:space="preserve">QA-1481</t>
  </si>
  <si>
    <t xml:space="preserve">QA-1482</t>
  </si>
  <si>
    <t xml:space="preserve">QA-1483</t>
  </si>
  <si>
    <t xml:space="preserve">up 6%</t>
  </si>
  <si>
    <t xml:space="preserve">QA-1484</t>
  </si>
  <si>
    <t xml:space="preserve">KPI - share of ARR</t>
  </si>
  <si>
    <t xml:space="preserve">Share of ARR - customers with more than $100,000 in ARR</t>
  </si>
  <si>
    <t xml:space="preserve">Exhibit 99.1 (Q3 2025 release), 'Recent Business Highlights' bullet, prior-year comparative: "Customers with more than $100,000 in ARR now represent 27% of ARR, up from 22% as of September 30, 2024."</t>
  </si>
  <si>
    <t xml:space="preserve">QA-1485</t>
  </si>
  <si>
    <t xml:space="preserve">Exhibit 99.1 (Q4 2025 release), 'Recent Business Highlights' bullet, prior-year comparative: "Customers with more than $100,000 in ARR now represent 28% of ARR, up from 24% as of December 31, 2024."</t>
  </si>
  <si>
    <t xml:space="preserve">QA-1486</t>
  </si>
  <si>
    <t xml:space="preserve">Exhibit 99.1 (Q1 2026 release), 'Recent Business Highlights' bullet, prior-year comparative: "Customers with more than $100,000 in ARR now represent 29% of ARR, up from 24% as of March 31, 2025."</t>
  </si>
  <si>
    <t xml:space="preserve">QA-1487</t>
  </si>
  <si>
    <t xml:space="preserve">Exhibit 99.1 (Q2 2026 release), 'Recent Business Highlights' bullet, prior-year comparative: "Customers with more than $100,000 in ARR now represent 30% of ARR, up from 26% as of June 30, 2025."</t>
  </si>
  <si>
    <t xml:space="preserve">QA-1488</t>
  </si>
  <si>
    <t xml:space="preserve">Exhibit 99.1, 'Recent Business Highlights' bullet: "Customers with more than $100,000 in ARR now represent 27% of ARR, up from 22% as of September 30, 2024."</t>
  </si>
  <si>
    <t xml:space="preserve">QA-1489</t>
  </si>
  <si>
    <t xml:space="preserve">Exhibit 99.1, 'Recent Business Highlights' bullet: "Customers with more than $100,000 in ARR now represent 28% of ARR, up from 24% as of December 31, 2024."</t>
  </si>
  <si>
    <t xml:space="preserve">QA-1490</t>
  </si>
  <si>
    <t xml:space="preserve">Exhibit 99.1, 'Recent Business Highlights' bullet: "Customers with more than $100,000 in ARR now represent 29% of ARR, up from 24% as of March 31, 2025."</t>
  </si>
  <si>
    <t xml:space="preserve">QA-1491</t>
  </si>
  <si>
    <t xml:space="preserve">Exhibit 99.1, 'Recent Business Highlights' bullet: "Customers with more than $100,000 in ARR now represent 30% of ARR, up from 26% as of June 30, 2025."</t>
  </si>
  <si>
    <t xml:space="preserve">QA-1492</t>
  </si>
  <si>
    <t xml:space="preserve">Share of ARR - customers with more than $50,000 in ARR</t>
  </si>
  <si>
    <t xml:space="preserve">12%</t>
  </si>
  <si>
    <t xml:space="preserve">Exhibit 99.1 (Q1 2022 release), 'Recent Business Highlights' bullet, prior-year comparative: "The percentage of ARR attributable to customers with more than $50,000 in ARR was 22%, up from 12% in the first quarter of 2021."</t>
  </si>
  <si>
    <t xml:space="preserve">QA-1493</t>
  </si>
  <si>
    <t xml:space="preserve">Exhibit 99.1, 'Recent Business Highlights' bullet: "The percentage of ARR attributable to customers with more than $50,000 in ARR was 22%, up from 12% in the first quarter of 2021."</t>
  </si>
  <si>
    <t xml:space="preserve">QA-1494</t>
  </si>
  <si>
    <t xml:space="preserve">Exhibit 99.1 (Q3 2025 release), 'Recent Business Highlights' bullet, prior-year comparative: "Customers with more than $50,000 in ARR now represent 40% of ARR, up from 34% as of September 30, 2024."</t>
  </si>
  <si>
    <t xml:space="preserve">QA-1495</t>
  </si>
  <si>
    <t xml:space="preserve">36%</t>
  </si>
  <si>
    <t xml:space="preserve">Exhibit 99.1 (Q4 2025 release), 'Recent Business Highlights' bullet, prior-year comparative: "Customers with more than $50,000 in ARR now represent 41% of ARR, up from 36% as of December 31, 2024."</t>
  </si>
  <si>
    <t xml:space="preserve">QA-1496</t>
  </si>
  <si>
    <t xml:space="preserve">37%</t>
  </si>
  <si>
    <t xml:space="preserve">Exhibit 99.1 (Q1 2026 release), 'Recent Business Highlights' bullet, prior-year comparative: "Customers with more than $50,000 in ARR now represent 42% of ARR, up from 37% as of March 31, 2025."</t>
  </si>
  <si>
    <t xml:space="preserve">QA-1497</t>
  </si>
  <si>
    <t xml:space="preserve">38%</t>
  </si>
  <si>
    <t xml:space="preserve">Exhibit 99.1 (Q2 2026 release), 'Recent Business Highlights' bullet, prior-year comparative: "Customers with more than $50,000 in ARR now represent 43% of ARR, up from 38% as of June 30, 2025."</t>
  </si>
  <si>
    <t xml:space="preserve">QA-1498</t>
  </si>
  <si>
    <t xml:space="preserve">40%</t>
  </si>
  <si>
    <t xml:space="preserve">Exhibit 99.1, 'Recent Business Highlights' bullet: "Customers with more than $50,000 in ARR now represent 40% of ARR, up from 34% as of September 30, 2024."</t>
  </si>
  <si>
    <t xml:space="preserve">QA-1499</t>
  </si>
  <si>
    <t xml:space="preserve">Exhibit 99.1, 'Recent Business Highlights' bullet: "Customers with more than $50,000 in ARR now represent 41% of ARR, up from 36% as of December 31, 2024."</t>
  </si>
  <si>
    <t xml:space="preserve">QA-1500</t>
  </si>
  <si>
    <t xml:space="preserve">42%</t>
  </si>
  <si>
    <t xml:space="preserve">Exhibit 99.1, 'Recent Business Highlights' bullet: "Customers with more than $50,000 in ARR now represent 42% of ARR, up from 37% as of March 31, 2025."</t>
  </si>
  <si>
    <t xml:space="preserve">QA-1501</t>
  </si>
  <si>
    <t xml:space="preserve">43%</t>
  </si>
  <si>
    <t xml:space="preserve">Exhibit 99.1, 'Recent Business Highlights' bullet: "Customers with more than $50,000 in ARR now represent 43% of ARR, up from 38% as of June 30, 2025."</t>
  </si>
  <si>
    <t xml:space="preserve">QA-1502</t>
  </si>
  <si>
    <t xml:space="preserve">Share of ARR - customers with more than $500,000 in ARR</t>
  </si>
  <si>
    <t xml:space="preserve">Exhibit 99.1 (Q3 2025 release), 'Recent Business Highlights' bullet, prior-year comparative: "Customers with more than $500,000 in ARR now represent 6% of ARR, up from 4% as of September 30, 2024."</t>
  </si>
  <si>
    <t xml:space="preserve">QA-1503</t>
  </si>
  <si>
    <t xml:space="preserve">Exhibit 99.1 (Q4 2025 release), 'Recent Business Highlights' bullet, prior-year comparative: "Customers with more than $500,000 in ARR now represent 6% of ARR, up from 4% as of December 31, 2024."</t>
  </si>
  <si>
    <t xml:space="preserve">QA-1504</t>
  </si>
  <si>
    <t xml:space="preserve">Exhibit 99.1 (Q1 2026 release), 'Recent Business Highlights' bullet, prior-year comparative: "Customers with more than $500,000 in ARR now represent 6% of ARR, up from 5% as of March 31, 2025."</t>
  </si>
  <si>
    <t xml:space="preserve">QA-1505</t>
  </si>
  <si>
    <t xml:space="preserve">Exhibit 99.1 (Q2 2026 release), 'Recent Business Highlights' bullet, prior-year comparative: "Customers with more than $500,000 in ARR now represent 7% of ARR, up from 5% as of June 30, 2025."</t>
  </si>
  <si>
    <t xml:space="preserve">QA-1506</t>
  </si>
  <si>
    <t xml:space="preserve">Exhibit 99.1, 'Recent Business Highlights' bullet: "Customers with more than $500,000 in ARR now represent 6% of ARR, up from 4% as of September 30, 2024."</t>
  </si>
  <si>
    <t xml:space="preserve">QA-1507</t>
  </si>
  <si>
    <t xml:space="preserve">Exhibit 99.1, 'Recent Business Highlights' bullet: "Customers with more than $500,000 in ARR now represent 6% of ARR, up from 4% as of December 31, 2024."</t>
  </si>
  <si>
    <t xml:space="preserve">QA-1508</t>
  </si>
  <si>
    <t xml:space="preserve">Exhibit 99.1, 'Recent Business Highlights' bullet: "Customers with more than $500,000 in ARR now represent 6% of ARR, up from 5% as of March 31, 2025."</t>
  </si>
  <si>
    <t xml:space="preserve">QA-1509</t>
  </si>
  <si>
    <t xml:space="preserve">7%</t>
  </si>
  <si>
    <t xml:space="preserve">Exhibit 99.1, 'Recent Business Highlights' bullet: "Customers with more than $500,000 in ARR now represent 7% of ARR, up from 5% as of June 30, 2025."</t>
  </si>
  <si>
    <t xml:space="preserve">QA-1510</t>
  </si>
  <si>
    <t xml:space="preserve">Share of ARR - customers with more than 10 users</t>
  </si>
  <si>
    <t xml:space="preserve">72%</t>
  </si>
  <si>
    <t xml:space="preserve">Exhibit 99.1, 'Recent Business Highlights' bullet: "The percentage of ARR attributable to customers with more than 10 users was 72%, up from 63% in the fourth quarter of 2020."</t>
  </si>
  <si>
    <t xml:space="preserve">QA-1511</t>
  </si>
  <si>
    <t xml:space="preserve">79%</t>
  </si>
  <si>
    <t xml:space="preserve">Exhibit 99.1 (Q3 2025 release), 'Recent Business Highlights' bullet, prior-year comparative: "Customers with more than 10 users now represent 81% of ARR, up from 79% as of September 30, 2024."</t>
  </si>
  <si>
    <t xml:space="preserve">QA-1512</t>
  </si>
  <si>
    <t xml:space="preserve">Exhibit 99.1 (Q4 2025 release), 'Recent Business Highlights' bullet, prior-year comparative: "Customers with more than 10 users now represent 81% of ARR, up from 79% as of December 31, 2024."</t>
  </si>
  <si>
    <t xml:space="preserve">QA-1513</t>
  </si>
  <si>
    <t xml:space="preserve">80%</t>
  </si>
  <si>
    <t xml:space="preserve">Exhibit 99.1 (Q1 2026 release), 'Recent Business Highlights' bullet, prior-year comparative: "Customers with more than 10 users now represent 82% of ARR, up from 80% as of March 31, 2025."</t>
  </si>
  <si>
    <t xml:space="preserve">QA-1514</t>
  </si>
  <si>
    <t xml:space="preserve">Exhibit 99.1 (Q2 2026 release), 'Recent Business Highlights' bullet, prior-year comparative: "Customers with more than 10 users now represent 82% of ARR, up from 80% as of June 30, 2025."</t>
  </si>
  <si>
    <t xml:space="preserve">QA-1515</t>
  </si>
  <si>
    <t xml:space="preserve">81%</t>
  </si>
  <si>
    <t xml:space="preserve">Exhibit 99.1, 'Recent Business Highlights' bullet: "Customers with more than 10 users now represent 81% of ARR, up from 79% as of September 30, 2024."</t>
  </si>
  <si>
    <t xml:space="preserve">QA-1516</t>
  </si>
  <si>
    <t xml:space="preserve">Exhibit 99.1, 'Recent Business Highlights' bullet: "Customers with more than 10 users now represent 81% of ARR, up from 79% as of December 31, 2024."</t>
  </si>
  <si>
    <t xml:space="preserve">QA-1517</t>
  </si>
  <si>
    <t xml:space="preserve">82%</t>
  </si>
  <si>
    <t xml:space="preserve">Exhibit 99.1, 'Recent Business Highlights' bullet: "Customers with more than 10 users now represent 82% of ARR, up from 80% as of March 31, 2025."</t>
  </si>
  <si>
    <t xml:space="preserve">QA-1518</t>
  </si>
  <si>
    <t xml:space="preserve">Exhibit 99.1, 'Recent Business Highlights' bullet: "Customers with more than 10 users now represent 82% of ARR, up from 80% as of June 30, 2025."</t>
  </si>
  <si>
    <t xml:space="preserve">QA-1519</t>
  </si>
  <si>
    <t xml:space="preserve">KPI - RPO</t>
  </si>
  <si>
    <t xml:space="preserve">Current remaining performance obligations (cRPO)</t>
  </si>
  <si>
    <t xml:space="preserve">$516 million</t>
  </si>
  <si>
    <t xml:space="preserve">Exhibit 99.1 (Q4 2025 release), 'Recent Business Highlights' bullet, prior-year comparative: "Current remaining performance obligations (cRPOs) were $676 million, up 31% from $516 million as of December 31, 2024."</t>
  </si>
  <si>
    <t xml:space="preserve">QA-1520</t>
  </si>
  <si>
    <t xml:space="preserve">$568 million</t>
  </si>
  <si>
    <t xml:space="preserve">Exhibit 99.1 (Q1 2026 release), 'Recent Business Highlights' bullet, prior-year comparative: "Current remaining performance obligations (cRPOs) were $716 million, up 26% from $568 million as of March 31, 2025."</t>
  </si>
  <si>
    <t xml:space="preserve">QA-1521</t>
  </si>
  <si>
    <t xml:space="preserve">$588 million</t>
  </si>
  <si>
    <t xml:space="preserve">Exhibit 99.1 (Q2 2026 release), 'Recent Business Highlights' bullet, prior-year comparative: "Current remaining performance obligations (cRPOs) were $750 million, up 27% from $588 million as of June 30, 2025."</t>
  </si>
  <si>
    <t xml:space="preserve">Not disclosed in the Q2 2025 release; first disclosed as the prior-year comparative in the Q2 2026 release. Note: H1FS-2025 implies a different June 30, 2025 RPO base (see RPO recast flag); cRPO itself was not disclosed in H1FS-2025.</t>
  </si>
  <si>
    <t xml:space="preserve">QA-1522</t>
  </si>
  <si>
    <t xml:space="preserve">$676 million</t>
  </si>
  <si>
    <t xml:space="preserve">Exhibit 99.1, 'Recent Business Highlights' bullet: "Current remaining performance obligations (cRPOs) were $676 million, up 31% from $516 million as of December 31, 2024."</t>
  </si>
  <si>
    <t xml:space="preserve">QA-1523</t>
  </si>
  <si>
    <t xml:space="preserve">$716 million</t>
  </si>
  <si>
    <t xml:space="preserve">Exhibit 99.1, 'Recent Business Highlights' bullet: "Current remaining performance obligations (cRPOs) were $716 million, up 26% from $568 million as of March 31, 2025."</t>
  </si>
  <si>
    <t xml:space="preserve">QA-1524</t>
  </si>
  <si>
    <t xml:space="preserve">$750 million</t>
  </si>
  <si>
    <t xml:space="preserve">Exhibit 99.1, 'Recent Business Highlights' bullet: "Current remaining performance obligations (cRPOs) were $750 million, up 27% from $588 million as of June 30, 2025."</t>
  </si>
  <si>
    <t xml:space="preserve">QA-1525</t>
  </si>
  <si>
    <t xml:space="preserve">Current remaining performance obligations (cRPO) - year-over-year growth, as reported</t>
  </si>
  <si>
    <t xml:space="preserve">QA-1526</t>
  </si>
  <si>
    <t xml:space="preserve">up 26%</t>
  </si>
  <si>
    <t xml:space="preserve">QA-1527</t>
  </si>
  <si>
    <t xml:space="preserve">up 27%</t>
  </si>
  <si>
    <t xml:space="preserve">QA-1528</t>
  </si>
  <si>
    <t xml:space="preserve">Remaining performance obligations (RPO) - total</t>
  </si>
  <si>
    <t xml:space="preserve">$548 million</t>
  </si>
  <si>
    <t xml:space="preserve">Exhibit 99.1 (Q3 2025 release), 'Recent Business Highlights' bullet, prior-year comparative: "Remaining performance obligations (RPO) were $747 million, up 36% from $548 million as of September 30, 2024."</t>
  </si>
  <si>
    <t xml:space="preserve">QA-1529</t>
  </si>
  <si>
    <t xml:space="preserve">$614 million</t>
  </si>
  <si>
    <t xml:space="preserve">Exhibit 99.1 (Q4 2025 release), 'Recent Business Highlights' bullet, prior-year comparative: "Total remaining performance obligations (RPOs) were $839 million, up 37% from $614 million as of December 31, 2024."</t>
  </si>
  <si>
    <t xml:space="preserve">QA-1530</t>
  </si>
  <si>
    <t xml:space="preserve">$660 million</t>
  </si>
  <si>
    <t xml:space="preserve">Exhibit 99.1 (Q1 2026 release), 'Recent Business Highlights' bullet, prior-year comparative: "Total remaining performance obligations (RPOs) were $880 million, up 33% from $660 million as of March 31, 2025."</t>
  </si>
  <si>
    <t xml:space="preserve">QA-1531</t>
  </si>
  <si>
    <t xml:space="preserve">$699 million</t>
  </si>
  <si>
    <t xml:space="preserve">Exhibit 99.1 (Q2 2026 release), 'Recent Business Highlights' bullet, prior-year comparative: "Total remaining performance obligations (RPOs) were $937 million, up 34% from $699 million as of June 30, 2025."</t>
  </si>
  <si>
    <t xml:space="preserve">Not disclosed in the Q2 2025 release; first disclosed as the prior-year comparative in the Q2 2026 release. CURRENT value for this date; conflicts with $767,789 thousand originally reported in H1FS-2025 (see row "RPO - per financial statement note", Q2 2025). Recast without stated explanation.</t>
  </si>
  <si>
    <t xml:space="preserve">QA-1532</t>
  </si>
  <si>
    <t xml:space="preserve">$747 million</t>
  </si>
  <si>
    <t xml:space="preserve">Exhibit 99.1, 'Recent Business Highlights' bullet: "Remaining performance obligations (RPO) were $747 million, up 36% from $548 million as of September 30, 2024."</t>
  </si>
  <si>
    <t xml:space="preserve">QA-1533</t>
  </si>
  <si>
    <t xml:space="preserve">$839 million</t>
  </si>
  <si>
    <t xml:space="preserve">Exhibit 99.1, 'Recent Business Highlights' bullet: "Total remaining performance obligations (RPOs) were $839 million, up 37% from $614 million as of December 31, 2024."</t>
  </si>
  <si>
    <t xml:space="preserve">QA-1534</t>
  </si>
  <si>
    <t xml:space="preserve">$880 million</t>
  </si>
  <si>
    <t xml:space="preserve">Exhibit 99.1, 'Recent Business Highlights' bullet: "Total remaining performance obligations (RPOs) were $880 million, up 33% from $660 million as of March 31, 2025."</t>
  </si>
  <si>
    <t xml:space="preserve">QA-1535</t>
  </si>
  <si>
    <t xml:space="preserve">$937 million</t>
  </si>
  <si>
    <t xml:space="preserve">Exhibit 99.1, 'Recent Business Highlights' bullet: "Total remaining performance obligations (RPOs) were $937 million, up 34% from $699 million as of June 30, 2025."</t>
  </si>
  <si>
    <t xml:space="preserve">QA-1536</t>
  </si>
  <si>
    <t xml:space="preserve">Remaining performance obligations (RPO) - total - year-over-year growth, as reported</t>
  </si>
  <si>
    <t xml:space="preserve">QA-1537</t>
  </si>
  <si>
    <t xml:space="preserve">QA-1538</t>
  </si>
  <si>
    <t xml:space="preserve">up 33%</t>
  </si>
  <si>
    <t xml:space="preserve">QA-1539</t>
  </si>
  <si>
    <t xml:space="preserve">QA-1540</t>
  </si>
  <si>
    <t xml:space="preserve">Remaining performance obligations - per financial statement note</t>
  </si>
  <si>
    <t xml:space="preserve">$767,789</t>
  </si>
  <si>
    <t xml:space="preserve">Exhibit 99.2 (H1 2025 interim FS), Note 'Deferred Revenue and Remaining Performance Obligations': "As of June 30, 2025 (unaudited), the Company's remaining performance obligations from contracts with customers were $767,789, of which the Company expects to recognize approximately 86% as revenues over the next 12 months"</t>
  </si>
  <si>
    <t xml:space="preserve">RESTATEMENT/RECAST FLAG: originally reported $767,789 thousand (H1 2025 interim FS, Aug 11, 2025). The Q2 2026 release (Aug 10, 2026) states June 30, 2025 RPO as $699 million (and cRPO $588 million). Difference about $69 million; no explanation, restatement note or methodology statement found in any primary source. Both kept; the $699 million (later, on the release KPI basis used for all quarterly RPO/cRPO values) is marked CURRENT for comparability; this original value is retained for audit trail.</t>
  </si>
  <si>
    <t xml:space="preserve">QA-1541</t>
  </si>
  <si>
    <t xml:space="preserve">$838,942</t>
  </si>
  <si>
    <t xml:space="preserve">Form 20-F FY2025, Item 18, Note 2 (revenue recognition / RPO): "As of December 31, 2025, the Company's RPOs from contracts with customers were $838,942, of which the Company expects to recognize approximately 81% as revenue over the next 12 months"</t>
  </si>
  <si>
    <t xml:space="preserve">QA-1542</t>
  </si>
  <si>
    <t xml:space="preserve">$937,274</t>
  </si>
  <si>
    <t xml:space="preserve">Exhibit 99.2 (H1 2026 interim FS), Note 'Deferred Revenue and Remaining Performance Obligations': "As of June 30, 2026 (unaudited), the Company's remaining performance obligations from contracts with customers were $937,274 of which the Company expects to recognize approximately 80% as revenues over the next 12 months"</t>
  </si>
  <si>
    <t xml:space="preserve">QA-1543</t>
  </si>
  <si>
    <t xml:space="preserve">RPO - share expected to be recognized in next 12 months (financial statement note)</t>
  </si>
  <si>
    <t xml:space="preserve">approximately 86%</t>
  </si>
  <si>
    <t xml:space="preserve">Approximate percentage as stated.</t>
  </si>
  <si>
    <t xml:space="preserve">QA-1544</t>
  </si>
  <si>
    <t xml:space="preserve">approximately 81%</t>
  </si>
  <si>
    <t xml:space="preserve">QA-1545</t>
  </si>
  <si>
    <t xml:space="preserve">approximately 80%</t>
  </si>
  <si>
    <t xml:space="preserve">QA-1546</t>
  </si>
  <si>
    <t xml:space="preserve">FX</t>
  </si>
  <si>
    <t xml:space="preserve">FX impact on year-over-year revenue growth</t>
  </si>
  <si>
    <t xml:space="preserve">Impact of foreign currency exchange rates: 1% (revenue growth as reported 84%; FX-adjusted 85%)</t>
  </si>
  <si>
    <t xml:space="preserve">basis points</t>
  </si>
  <si>
    <t xml:space="preserve">Exhibit 99.1, FX-adjusted revenue growth table, column Three months ended March 31, 2022</t>
  </si>
  <si>
    <t xml:space="preserve">Sign convention: negative = unfavorable FX effect on the reported metric; positive = favorable. Not disclosed in the Q1 2022 release; first disclosed in the Q3 2022 release FX table (also repeated in later FX tables, consistent). FX tables use whole percentage points (1% = 100 bps); precision is +/-50 bps.</t>
  </si>
  <si>
    <t xml:space="preserve">QA-1547</t>
  </si>
  <si>
    <t xml:space="preserve">Impact of foreign currency exchange rates: 2% (as reported 75%; FX-adjusted 77%)</t>
  </si>
  <si>
    <t xml:space="preserve">Exhibit 99.1, FX-adjusted revenue growth table, column Three months ended June 30, 2022</t>
  </si>
  <si>
    <t xml:space="preserve">Sign convention: negative = unfavorable FX effect on the reported metric; positive = favorable. Not disclosed in the Q2 2022 release; first disclosed in the Q3 2022 release FX table (also repeated in later FX tables, consistent). FX tables use whole percentage points (1% = 100 bps); precision is +/-50 bps.</t>
  </si>
  <si>
    <t xml:space="preserve">QA-1548</t>
  </si>
  <si>
    <t xml:space="preserve">Impact of foreign currency exchange rates: 3% (as reported 65%; FX-adjusted 68%)</t>
  </si>
  <si>
    <t xml:space="preserve">Exhibit 99.1, FX-adjusted revenue growth table, column Three months ended September 30, 2022</t>
  </si>
  <si>
    <t xml:space="preserve">Sign convention: negative = unfavorable FX effect on the reported metric; positive = favorable.  FX tables use whole percentage points (1% = 100 bps); precision is +/-50 bps.</t>
  </si>
  <si>
    <t xml:space="preserve">QA-1549</t>
  </si>
  <si>
    <t xml:space="preserve">Impact of foreign currency exchange rates: 3% (as reported 57%; FX-adjusted 60%)</t>
  </si>
  <si>
    <t xml:space="preserve">Exhibit 99.1, FX-adjusted revenue growth table, column Three months ended December 31, 2022</t>
  </si>
  <si>
    <t xml:space="preserve">QA-1550</t>
  </si>
  <si>
    <t xml:space="preserve">Impact of foreign currency exchange rates: 3% (as reported 68%; FX-adjusted 71%)</t>
  </si>
  <si>
    <t xml:space="preserve">Exhibit 99.1, FX-adjusted revenue growth table, column Year ended December 31, 2022</t>
  </si>
  <si>
    <t xml:space="preserve">Sign convention: negative = unfavorable FX effect on the reported metric; positive = favorable.</t>
  </si>
  <si>
    <t xml:space="preserve">QA-1551</t>
  </si>
  <si>
    <t xml:space="preserve">Impact of foreign currency: 1% (as reported 50%; FX adjusted 51%)</t>
  </si>
  <si>
    <t xml:space="preserve">Exhibit 99.1, FX-adjusted revenue growth table, column Three months ended March 31, 2023</t>
  </si>
  <si>
    <t xml:space="preserve">QA-1552</t>
  </si>
  <si>
    <t xml:space="preserve">Impact of foreign currency: 1% (as reported 42%; FX adjusted 43%)</t>
  </si>
  <si>
    <t xml:space="preserve">Exhibit 99.1, FX-adjusted revenue growth table, column Three months ended June 30, 2023</t>
  </si>
  <si>
    <t xml:space="preserve">QA-1553</t>
  </si>
  <si>
    <t xml:space="preserve">Impact of foreign currency: 0% (as reported 38%; FX adjusted 38%)</t>
  </si>
  <si>
    <t xml:space="preserve">Exhibit 99.1, FX-adjusted revenue growth table, column Three months ended September 30, 2023</t>
  </si>
  <si>
    <t xml:space="preserve">QA-1554</t>
  </si>
  <si>
    <t xml:space="preserve">Impact of foreign currency: 0% (as reported 35%; FX adjusted 35%)</t>
  </si>
  <si>
    <t xml:space="preserve">Exhibit 99.1, FX-adjusted revenue growth table, column Three months ended December 31, 2023</t>
  </si>
  <si>
    <t xml:space="preserve">QA-1555</t>
  </si>
  <si>
    <t xml:space="preserve">Impact of foreign currency: 0% (as reported 41%; FX adjusted 41%)</t>
  </si>
  <si>
    <t xml:space="preserve">Exhibit 99.1, FX-adjusted revenue growth table, column Year ended December 31, 2023</t>
  </si>
  <si>
    <t xml:space="preserve">QA-1556</t>
  </si>
  <si>
    <t xml:space="preserve">Impact of foreign currency: 0% (as reported 34%; FX adjusted 34%)</t>
  </si>
  <si>
    <t xml:space="preserve">Exhibit 99.1, FX-adjusted revenue growth table, column Three months ended March 31, 2024</t>
  </si>
  <si>
    <t xml:space="preserve">QA-1557</t>
  </si>
  <si>
    <t xml:space="preserve">Exhibit 99.1, FX-adjusted revenue growth table, column Three months ended June 30, 2024</t>
  </si>
  <si>
    <t xml:space="preserve">QA-1558</t>
  </si>
  <si>
    <t xml:space="preserve">Revenue was $364.6 million, an increase of 22% year-over-year, including an approximately 110 basis point favorable impact from FX.</t>
  </si>
  <si>
    <t xml:space="preserve">Exhibit 99.1, 'Second Quarter Fiscal 2026 Financial Highlights' bullet</t>
  </si>
  <si>
    <t xml:space="preserve">QA-1559</t>
  </si>
  <si>
    <t xml:space="preserve">FX impact on non-GAAP operating margin</t>
  </si>
  <si>
    <t xml:space="preserve">Non-GAAP operating margin was 13%, compared to 15% in the fourth quarter of 2024, reflecting an approximately 180 basis point negative impact from FX.</t>
  </si>
  <si>
    <t xml:space="preserve">Exhibit 99.1, 'Fourth Quarter Fiscal 2025 Financial Highlights' bullet</t>
  </si>
  <si>
    <t xml:space="preserve">QA-1560</t>
  </si>
  <si>
    <t xml:space="preserve">Non-GAAP operating margin was 14%, the same as in fiscal 2024, reflecting an approximately 110 basis point negative impact from FX.</t>
  </si>
  <si>
    <t xml:space="preserve">Exhibit 99.1, 'Fiscal Year 2025 Financial Highlights' bullet</t>
  </si>
  <si>
    <t xml:space="preserve">QA-1561</t>
  </si>
  <si>
    <t xml:space="preserve">Non-GAAP operating margin was 14%, same as in the first quarter of 2025, despite an approximately 190 basis point negative impact from FX.</t>
  </si>
  <si>
    <t xml:space="preserve">Exhibit 99.1, 'First Quarter Fiscal 2026 Financial Highlights' bullet</t>
  </si>
  <si>
    <t xml:space="preserve">QA-1562</t>
  </si>
  <si>
    <t xml:space="preserve">Non-GAAP operating margin was 17%, compared to 15% in the second quarter of 2025, despite an approximately 210 basis point negative impact from FX.</t>
  </si>
  <si>
    <t xml:space="preserve">QA-1563</t>
  </si>
  <si>
    <t xml:space="preserve">Form 20-F FY2023, Item 5.A Non-GAAP Financial Measures - reconciliation of adjusted free cash flow to net cash provided by operating activities, row "Adjusted free cash flow", 2021 column</t>
  </si>
  <si>
    <t xml:space="preserve">CONFLICT FLAG (NOT CURRENT): the same table shows FY2021 components OCF 16,355, PP&amp;E (11,578), capitalized software (2,180), HQ build-out add-back 7,303, which sum to 9,900; the total row repeats 7,303. FY2021 adjusted FCF is 9,900 in the Q4 2021 and Q4 2022 releases and the FY2021/FY2022 20-Fs.</t>
  </si>
  <si>
    <t xml:space="preserve">Release Date</t>
  </si>
  <si>
    <t xml:space="preserve">Issued With (results period)</t>
  </si>
  <si>
    <t xml:space="preserve">Period Covered</t>
  </si>
  <si>
    <t xml:space="preserve">As Reported - Prior Guidance</t>
  </si>
  <si>
    <t xml:space="preserve">Prior Low</t>
  </si>
  <si>
    <t xml:space="preserve">Prior High</t>
  </si>
  <si>
    <t xml:space="preserve">Prior Midpoint</t>
  </si>
  <si>
    <t xml:space="preserve">As Reported - New Guidance</t>
  </si>
  <si>
    <t xml:space="preserve">New Low</t>
  </si>
  <si>
    <t xml:space="preserve">New High</t>
  </si>
  <si>
    <t xml:space="preserve">New Midpoint</t>
  </si>
  <si>
    <t xml:space="preserve">Midpoint Change</t>
  </si>
  <si>
    <t xml:space="preserve">Management's Stated Reason for Change (only if explicit)</t>
  </si>
  <si>
    <t xml:space="preserve">FX Assumption (as stated)</t>
  </si>
  <si>
    <t xml:space="preserve">Source Location</t>
  </si>
  <si>
    <t xml:space="preserve">GH-0001</t>
  </si>
  <si>
    <t xml:space="preserve">Non-GAAP operating income (loss)</t>
  </si>
  <si>
    <t xml:space="preserve">Non-GAAP operating loss of $93 million to $91 million and negative operating margin of between 33% and 32%.</t>
  </si>
  <si>
    <t xml:space="preserve">Low/High: Sourced; Prior columns: links to prior vintage row; Midpoints and change: Derived</t>
  </si>
  <si>
    <t xml:space="preserve">Exhibit 99.1, 'Financial Outlook' - For the full year 2021</t>
  </si>
  <si>
    <t xml:space="preserve">Initial full-year guidance vintage. Guided as an operating LOSS; normalized as negative operating income (low = larger loss).</t>
  </si>
  <si>
    <t xml:space="preserve">GH-0002</t>
  </si>
  <si>
    <t xml:space="preserve">Total revenue of $280 million to $282 million, representing year-over-year growth of 74% to 75%.</t>
  </si>
  <si>
    <t xml:space="preserve">Initial full-year guidance vintage.</t>
  </si>
  <si>
    <t xml:space="preserve">GH-0003</t>
  </si>
  <si>
    <t xml:space="preserve">Non-GAAP operating loss of $26 million to $25 million.</t>
  </si>
  <si>
    <t xml:space="preserve">Exhibit 99.1, 'Financial Outlook' - next-quarter outlook (Q3 2021)</t>
  </si>
  <si>
    <t xml:space="preserve">Next-quarter guidance (issued once; no prior vintage for the same quarter). Guided as an operating LOSS; normalized as negative operating income (low = larger loss).</t>
  </si>
  <si>
    <t xml:space="preserve">GH-0004</t>
  </si>
  <si>
    <t xml:space="preserve">Total revenue of $74 to $75 million, representing year-over-year growth of 74% to 76%.</t>
  </si>
  <si>
    <t xml:space="preserve">Next-quarter guidance (issued once; no prior vintage for the same quarter).</t>
  </si>
  <si>
    <t xml:space="preserve">GH-0005</t>
  </si>
  <si>
    <t xml:space="preserve">Non-GAAP operating loss of $65 million to $64 million and negative operating margin of 22% to 21%.</t>
  </si>
  <si>
    <t xml:space="preserve">Guided as an operating LOSS; normalized as negative operating income (low = larger loss).</t>
  </si>
  <si>
    <t xml:space="preserve">GH-0006</t>
  </si>
  <si>
    <t xml:space="preserve">Total revenue of $300 million to $301 million, representing year-over-year growth of 86% to 87%.</t>
  </si>
  <si>
    <t xml:space="preserve">GH-0007</t>
  </si>
  <si>
    <t xml:space="preserve">Non-GAAP operating loss of $23 million to $22 million.</t>
  </si>
  <si>
    <t xml:space="preserve">Exhibit 99.1, 'Financial Outlook' - next-quarter outlook (Q4 2021)</t>
  </si>
  <si>
    <t xml:space="preserve">GH-0008</t>
  </si>
  <si>
    <t xml:space="preserve">Total revenue of $87 to $88 million, representing year-over-year growth of 74% to 75%.</t>
  </si>
  <si>
    <t xml:space="preserve">GH-0009</t>
  </si>
  <si>
    <t xml:space="preserve">Non-GAAP operating loss of $147 million to $142 million and negative operating margin of 31% to 30%.</t>
  </si>
  <si>
    <t xml:space="preserve">Exhibit 99.1, 'Financial Outlook' - For the full year 2022</t>
  </si>
  <si>
    <t xml:space="preserve">GH-0010</t>
  </si>
  <si>
    <t xml:space="preserve">Total revenue of $470 million to $475 million, representing year-over-year growth of 53% to 54%.</t>
  </si>
  <si>
    <t xml:space="preserve">GH-0011</t>
  </si>
  <si>
    <t xml:space="preserve">Non-GAAP operating loss of $47 million to $45 million.</t>
  </si>
  <si>
    <t xml:space="preserve">Exhibit 99.1, 'Financial Outlook' - next-quarter outlook (Q1 2022)</t>
  </si>
  <si>
    <t xml:space="preserve">GH-0012</t>
  </si>
  <si>
    <t xml:space="preserve">Total revenue of $100 to $102 million, representing year-over-year growth of 70% to 73%.</t>
  </si>
  <si>
    <t xml:space="preserve">GH-0013</t>
  </si>
  <si>
    <t xml:space="preserve">Non-GAAP operating loss of $139 million to $135 million and negative operating margin of 28% to 27%.</t>
  </si>
  <si>
    <t xml:space="preserve">GH-0014</t>
  </si>
  <si>
    <t xml:space="preserve">Total revenue of $488 million to $492 million, representing year-over-year growth of 58% to 60%.</t>
  </si>
  <si>
    <t xml:space="preserve">GH-0015</t>
  </si>
  <si>
    <t xml:space="preserve">Non-GAAP operating loss of $35 million to $33 million and negative operating margin of 30% to 28%.</t>
  </si>
  <si>
    <t xml:space="preserve">Exhibit 99.1, 'Financial Outlook' - next-quarter outlook (Q2 2022)</t>
  </si>
  <si>
    <t xml:space="preserve">GH-0016</t>
  </si>
  <si>
    <t xml:space="preserve">Total revenue of $117 million to $119 million, representing year-over-year growth of 66% to 69%.</t>
  </si>
  <si>
    <t xml:space="preserve">GH-0017</t>
  </si>
  <si>
    <t xml:space="preserve">Non-GAAP operating loss of $112 million to $108 million and negative operating margin of 22% to 21%.</t>
  </si>
  <si>
    <t xml:space="preserve">GH-0018</t>
  </si>
  <si>
    <t xml:space="preserve">Total revenue of $498 million to $502 million, representing year-over-year growth of 62% to 63%.</t>
  </si>
  <si>
    <t xml:space="preserve">Given the concerns about the macro economy and the market, we have provided prudent yet achievable forward-looking guidance. It should be noted that we did see some softness in demand in Europe at the end of Q2. And while one month is not enough data to extrapolate a larger trend, we are closely monitoring the demand environment across all areas of our business and will be transparent with our investors about our expectations.</t>
  </si>
  <si>
    <t xml:space="preserve">With the recent strengthening of the US dollar, we now expect FX to negatively impact our full year revenue growth estimates by approximately 300 basis points.</t>
  </si>
  <si>
    <t xml:space="preserve">GH-0019</t>
  </si>
  <si>
    <t xml:space="preserve">Non-GAAP operating loss of $25 million to $24 million and negative operating margin of 19% to 18%.</t>
  </si>
  <si>
    <t xml:space="preserve">Exhibit 99.1, 'Financial Outlook' - next-quarter outlook (Q3 2022)</t>
  </si>
  <si>
    <t xml:space="preserve">GH-0020</t>
  </si>
  <si>
    <t xml:space="preserve">Total revenue of $130 million to $131 million, representing year-over-year growth of 57% to 58%.</t>
  </si>
  <si>
    <t xml:space="preserve">GH-0021</t>
  </si>
  <si>
    <t xml:space="preserve">Non-GAAP operating loss of $83 million to $81 million and negative operating margin of approximately 16%.</t>
  </si>
  <si>
    <t xml:space="preserve">GH-0022</t>
  </si>
  <si>
    <t xml:space="preserve">Total revenue of $509 million to $511 million, representing year-over-year growth of 65% to 66%.</t>
  </si>
  <si>
    <t xml:space="preserve">Due to the recent strengthening of the US dollar, monday.com now expects FX to negatively impact our full year revenue growth estimates by approximately 300 basis points.</t>
  </si>
  <si>
    <t xml:space="preserve">GH-0023</t>
  </si>
  <si>
    <t xml:space="preserve">Non-GAAP operating loss of $22 million to $20 million and negative operating margin of 15% to 14%.</t>
  </si>
  <si>
    <t xml:space="preserve">Exhibit 99.1, 'Financial Outlook' - next-quarter outlook (Q4 2022)</t>
  </si>
  <si>
    <t xml:space="preserve">GH-0024</t>
  </si>
  <si>
    <t xml:space="preserve">Total revenue of $140 million to $142 million, representing year-over-year growth of 47% to 49%.</t>
  </si>
  <si>
    <t xml:space="preserve">GH-0025</t>
  </si>
  <si>
    <t xml:space="preserve">Non-GAAP operating loss of $36 million to $32 million and negative operating margin of approximately 5%.</t>
  </si>
  <si>
    <t xml:space="preserve">Exhibit 99.1, 'Financial Outlook' - For the full year 2023</t>
  </si>
  <si>
    <t xml:space="preserve">GH-0026</t>
  </si>
  <si>
    <t xml:space="preserve">Total revenue of $688 million to $693 million, representing year-over-year growth of 33% to 34%.</t>
  </si>
  <si>
    <t xml:space="preserve">GH-0027</t>
  </si>
  <si>
    <t xml:space="preserve">Non-GAAP operating loss of $19 million to $17 million and negative operating margin of 13% to 12%.</t>
  </si>
  <si>
    <t xml:space="preserve">Exhibit 99.1, 'Financial Outlook' - next-quarter outlook (Q1 2023)</t>
  </si>
  <si>
    <t xml:space="preserve">GH-0028</t>
  </si>
  <si>
    <t xml:space="preserve">Total revenue of $154 million to $156 million, representing year-over-year growth of 42% to 44%.</t>
  </si>
  <si>
    <t xml:space="preserve">GH-0029</t>
  </si>
  <si>
    <t xml:space="preserve">Non-GAAP operating income of $8 million to $12 million and operating margin of approximately 1%.</t>
  </si>
  <si>
    <t xml:space="preserve">GH-0030</t>
  </si>
  <si>
    <t xml:space="preserve">Total revenue of $702 million to $706 million, representing year-over-year growth of 35% to 36%.</t>
  </si>
  <si>
    <t xml:space="preserve">GH-0031</t>
  </si>
  <si>
    <t xml:space="preserve">Non-GAAP operating income of $2 million to $4 million and operating margin of 1% to 2%.</t>
  </si>
  <si>
    <t xml:space="preserve">Exhibit 99.1, 'Financial Outlook' - next-quarter outlook (Q2 2023)</t>
  </si>
  <si>
    <t xml:space="preserve">GH-0032</t>
  </si>
  <si>
    <t xml:space="preserve">Total revenue of $168 million to $170 million, representing year-over-year growth of 36% to 37%.</t>
  </si>
  <si>
    <t xml:space="preserve">GH-0033</t>
  </si>
  <si>
    <t xml:space="preserve">Non-GAAP operating income of $24 million to $28 million and operating margin of 3% to 4%.</t>
  </si>
  <si>
    <t xml:space="preserve">GH-0034</t>
  </si>
  <si>
    <t xml:space="preserve">Total revenue of $713 million to $717 million, representing year-over-year growth of 37% to 38%.</t>
  </si>
  <si>
    <t xml:space="preserve">GH-0035</t>
  </si>
  <si>
    <t xml:space="preserve">Non-GAAP operating income of $4 million to $6 million and operating margin of 2% to 3%.</t>
  </si>
  <si>
    <t xml:space="preserve">Exhibit 99.1, 'Financial Outlook' - next-quarter outlook (Q3 2023)</t>
  </si>
  <si>
    <t xml:space="preserve">GH-0036</t>
  </si>
  <si>
    <t xml:space="preserve">Total revenue of $181 million to $183 million, representing year-over-year growth of 32% to 34%.</t>
  </si>
  <si>
    <t xml:space="preserve">GH-0037</t>
  </si>
  <si>
    <t xml:space="preserve">Non-GAAP operating income of $47 million to $49 million and operating margin of approximately 7%.</t>
  </si>
  <si>
    <t xml:space="preserve">GH-0038</t>
  </si>
  <si>
    <t xml:space="preserve">Total revenue of $723 million to $725 million, representing year-over-year growth of 39% to 40%.</t>
  </si>
  <si>
    <t xml:space="preserve">GH-0039</t>
  </si>
  <si>
    <t xml:space="preserve">Non-GAAP operating income of $7 million to $9 million and operating margin of 4% to 5%.</t>
  </si>
  <si>
    <t xml:space="preserve">Exhibit 99.1, 'Financial Outlook' - next-quarter outlook (Q4 2023)</t>
  </si>
  <si>
    <t xml:space="preserve">GH-0040</t>
  </si>
  <si>
    <t xml:space="preserve">Total revenue of $196 million to $198 million, representing year-over-year growth of 31% to 32%.</t>
  </si>
  <si>
    <t xml:space="preserve">GH-0041</t>
  </si>
  <si>
    <t xml:space="preserve">Free cash flow</t>
  </si>
  <si>
    <t xml:space="preserve">Free cash flow of $200 million to $206 million and free cash flow margin of approximately 22%.</t>
  </si>
  <si>
    <t xml:space="preserve">Exhibit 99.1, 'Financial Outlook' - For the full year 2024</t>
  </si>
  <si>
    <t xml:space="preserve">GH-0042</t>
  </si>
  <si>
    <t xml:space="preserve">Non-GAAP operating income of $58 million to $64 million and operating margin of 6% to 7%.</t>
  </si>
  <si>
    <t xml:space="preserve">GH-0043</t>
  </si>
  <si>
    <t xml:space="preserve">Total revenue of $926 million to $932 million, representing year-over-year growth of 27% to 28%.</t>
  </si>
  <si>
    <t xml:space="preserve">GH-0044</t>
  </si>
  <si>
    <t xml:space="preserve">Free cash flow of $56 million to $60 million and free cash flow margin of 27% to 29%.</t>
  </si>
  <si>
    <t xml:space="preserve">Exhibit 99.1, 'Financial Outlook' - next-quarter outlook (Q1 2024)</t>
  </si>
  <si>
    <t xml:space="preserve">GH-0045</t>
  </si>
  <si>
    <t xml:space="preserve">Non-GAAP operating income of $8 million to $12 million and operating margin of 4% to 6%.</t>
  </si>
  <si>
    <t xml:space="preserve">GH-0046</t>
  </si>
  <si>
    <t xml:space="preserve">Total revenue of $207 million to $211 million, representing year-over-year growth of 28% to 30%.</t>
  </si>
  <si>
    <t xml:space="preserve">GH-0047</t>
  </si>
  <si>
    <t xml:space="preserve">Free cash flow of $238 million to $244 million and free cash flow margin of 25% to 26%.</t>
  </si>
  <si>
    <t xml:space="preserve">GH-0048</t>
  </si>
  <si>
    <t xml:space="preserve">Non-GAAP operating income of $77 million to $83 million and operating margin of 8% to 9%.</t>
  </si>
  <si>
    <t xml:space="preserve">GH-0049</t>
  </si>
  <si>
    <t xml:space="preserve">Total revenue of $942 million to $948 million, representing year-over-year growth of 29% to 30%.</t>
  </si>
  <si>
    <t xml:space="preserve">GH-0050</t>
  </si>
  <si>
    <t xml:space="preserve">Free cash flow of $47 million to $51 million and free cash flow margin of 21% to 22%.</t>
  </si>
  <si>
    <t xml:space="preserve">Exhibit 99.1, 'Financial Outlook' - next-quarter outlook (Q2 2024)</t>
  </si>
  <si>
    <t xml:space="preserve">GH-0051</t>
  </si>
  <si>
    <t xml:space="preserve">Non-GAAP operating income of $17 million to $21 million and operating margin of 8% to 9%.</t>
  </si>
  <si>
    <t xml:space="preserve">GH-0052</t>
  </si>
  <si>
    <t xml:space="preserve">Total revenue of $226 million to $230 million, representing year-over-year growth of 29% to 31%.</t>
  </si>
  <si>
    <t xml:space="preserve">GH-0053</t>
  </si>
  <si>
    <t xml:space="preserve">Free cash flow of $270 million to $275 million and free cash flow margin of 28% to 29%.</t>
  </si>
  <si>
    <t xml:space="preserve">GH-0054</t>
  </si>
  <si>
    <t xml:space="preserve">Non-GAAP operating income of $100 million to $105 million and operating margin of 10% to 11%.</t>
  </si>
  <si>
    <t xml:space="preserve">GH-0055</t>
  </si>
  <si>
    <t xml:space="preserve">Total revenue of $956 million to $961 million, representing year-over-year growth of 31% to 32%.</t>
  </si>
  <si>
    <t xml:space="preserve">GH-0056</t>
  </si>
  <si>
    <t xml:space="preserve">Free cash flow of $70 million to $74 million and free cash flow margin of 29% to 30%.</t>
  </si>
  <si>
    <t xml:space="preserve">Exhibit 99.1, 'Financial Outlook' - next-quarter outlook (Q3 2024)</t>
  </si>
  <si>
    <t xml:space="preserve">GH-0057</t>
  </si>
  <si>
    <t xml:space="preserve">Non-GAAP operating income of $19 million to $23 million and operating margin of 8% to 9%.</t>
  </si>
  <si>
    <t xml:space="preserve">GH-0058</t>
  </si>
  <si>
    <t xml:space="preserve">Total revenue of $243 million to $247 million, representing year-over-year growth of 28% to 31%.</t>
  </si>
  <si>
    <t xml:space="preserve">GH-0059</t>
  </si>
  <si>
    <t xml:space="preserve">Free cash flow of $286 million to $289 million and free cash flow margin of approximately 30%.</t>
  </si>
  <si>
    <t xml:space="preserve">GH-0060</t>
  </si>
  <si>
    <t xml:space="preserve">Non-GAAP operating income of $121 million to $123 million and operating margin of 12% to 13%.</t>
  </si>
  <si>
    <t xml:space="preserve">GH-0061</t>
  </si>
  <si>
    <t xml:space="preserve">Total revenue of $964 million to $966 million, representing year-over-year growth of approximately 32%.</t>
  </si>
  <si>
    <t xml:space="preserve">GH-0062</t>
  </si>
  <si>
    <t xml:space="preserve">Free cash flow of $63 million to $66 million and free cash flow margin of 24% to 25%.</t>
  </si>
  <si>
    <t xml:space="preserve">Exhibit 99.1, 'Financial Outlook' - next-quarter outlook (Q4 2024)</t>
  </si>
  <si>
    <t xml:space="preserve">GH-0063</t>
  </si>
  <si>
    <t xml:space="preserve">Non-GAAP operating income of $29 million to $31 million and operating margin of 11% to 12%.</t>
  </si>
  <si>
    <t xml:space="preserve">GH-0064</t>
  </si>
  <si>
    <t xml:space="preserve">Total revenue of $260 million to $262 million, representing year-over-year growth of 28% to 29%.</t>
  </si>
  <si>
    <t xml:space="preserve">GH-0065</t>
  </si>
  <si>
    <t xml:space="preserve">Free cash flow of $300 million to $308 million and free cash flow margin of approximately 25%.</t>
  </si>
  <si>
    <t xml:space="preserve">Exhibit 99.1, 'Financial Outlook' - For the full year 2025</t>
  </si>
  <si>
    <t xml:space="preserve">GH-0066</t>
  </si>
  <si>
    <t xml:space="preserve">Non-GAAP operating income of $134 million to $142 million and operating margin of 11% to 12%.</t>
  </si>
  <si>
    <t xml:space="preserve">GH-0067</t>
  </si>
  <si>
    <t xml:space="preserve">Total revenue of $1,208 million to $1,221 million, representing year-over-year growth of 24% to 26%, and assumes a negative FX impact of 100 to 200 basis points.</t>
  </si>
  <si>
    <t xml:space="preserve">assumes a negative FX impact of 100 to 200 basis points</t>
  </si>
  <si>
    <t xml:space="preserve">GH-0068</t>
  </si>
  <si>
    <t xml:space="preserve">Non-GAAP operating income of $25 million to $27 million and operating margin of 9% to 10%.</t>
  </si>
  <si>
    <t xml:space="preserve">Exhibit 99.1, 'Financial Outlook' - next-quarter outlook (Q1 2025)</t>
  </si>
  <si>
    <t xml:space="preserve">GH-0069</t>
  </si>
  <si>
    <t xml:space="preserve">Total revenue of $274 million to $276 million, representing year-over-year growth of 26% to 27%.</t>
  </si>
  <si>
    <t xml:space="preserve">GH-0070</t>
  </si>
  <si>
    <t xml:space="preserve">Adjusted free cash flow</t>
  </si>
  <si>
    <t xml:space="preserve">Adjusted free cash flow of $310 million to $316 million and adjusted free cash flow margin of 25% to 26%.</t>
  </si>
  <si>
    <t xml:space="preserve">Metric definition changed between vintages: prior vintage guided 'Free cash flow', this vintage guides 'Adjusted free cash flow'. Midpoint change is therefore not like-for-like.</t>
  </si>
  <si>
    <t xml:space="preserve">GH-0071</t>
  </si>
  <si>
    <t xml:space="preserve">Non-GAAP operating income of $144 million to $150 million and operating margin of approximately 12%.</t>
  </si>
  <si>
    <t xml:space="preserve">GH-0072</t>
  </si>
  <si>
    <t xml:space="preserve">Total revenue of $1,220 million to $1,226 million, representing year-over-year growth of 25% to 26%.</t>
  </si>
  <si>
    <t xml:space="preserve">GH-0073</t>
  </si>
  <si>
    <t xml:space="preserve">Non-GAAP operating income of $32 million to $34 million and operating margin of 11% to 12%.</t>
  </si>
  <si>
    <t xml:space="preserve">Exhibit 99.1, 'Financial Outlook' - next-quarter outlook (Q2 2025)</t>
  </si>
  <si>
    <t xml:space="preserve">GH-0074</t>
  </si>
  <si>
    <t xml:space="preserve">Total revenue of $292 million to $294 million, representing year-over-year growth of 24% to 25%.</t>
  </si>
  <si>
    <t xml:space="preserve">GH-0075</t>
  </si>
  <si>
    <t xml:space="preserve">Adjusted free cash flow of $320 million to $326 million and adjusted free cash flow margin of 26% to 27%.</t>
  </si>
  <si>
    <t xml:space="preserve">GH-0076</t>
  </si>
  <si>
    <t xml:space="preserve">Non-GAAP operating income of $154 million to $158 million and operating margin of approximately 13%.</t>
  </si>
  <si>
    <t xml:space="preserve">GH-0077</t>
  </si>
  <si>
    <t xml:space="preserve">Total revenue of $1,224 million to $1,229 million, representing year-over-year growth of approximately 26%.</t>
  </si>
  <si>
    <t xml:space="preserve">GH-0078</t>
  </si>
  <si>
    <t xml:space="preserve">Non-GAAP operating income of $34 million to $36 million and operating margin of 11% to 12%.</t>
  </si>
  <si>
    <t xml:space="preserve">Exhibit 99.1, 'Financial Outlook' - next-quarter outlook (Q3 2025)</t>
  </si>
  <si>
    <t xml:space="preserve">GH-0079</t>
  </si>
  <si>
    <t xml:space="preserve">Total revenue of $311 million to $313 million, representing year-over-year growth of 24% to 25%.</t>
  </si>
  <si>
    <t xml:space="preserve">GH-0080</t>
  </si>
  <si>
    <t xml:space="preserve">Adjusted free cash flow of $330 million to $334 million and adjusted free cash flow margin of approximately 27%.</t>
  </si>
  <si>
    <t xml:space="preserve">GH-0081</t>
  </si>
  <si>
    <t xml:space="preserve">Non-GAAP operating income of $167 million to $169 million and operating margin of approximately 14%.</t>
  </si>
  <si>
    <t xml:space="preserve">GH-0082</t>
  </si>
  <si>
    <t xml:space="preserve">Total revenue of $1,226 million to $1,228 million, representing year-over-year growth of approximately 26%.</t>
  </si>
  <si>
    <t xml:space="preserve">GH-0083</t>
  </si>
  <si>
    <t xml:space="preserve">Non-GAAP operating income of $36 million to $38 million and operating margin of 11% to 12%.</t>
  </si>
  <si>
    <t xml:space="preserve">Exhibit 99.1, 'Financial Outlook' - next-quarter outlook (Q4 2025)</t>
  </si>
  <si>
    <t xml:space="preserve">GH-0084</t>
  </si>
  <si>
    <t xml:space="preserve">Total revenue of $328 million to $330 million, representing year-over-year growth of 22% to 23%.</t>
  </si>
  <si>
    <t xml:space="preserve">GH-0085</t>
  </si>
  <si>
    <t xml:space="preserve">FY 2026</t>
  </si>
  <si>
    <t xml:space="preserve">Adjusted free cash flow of $275 million to $290 million and adjusted free cash flow margin of 19% to 20%, assuming a negative FX impact of 100 to 200 basis points.</t>
  </si>
  <si>
    <t xml:space="preserve">assuming a negative FX impact of 100 to 200 basis points</t>
  </si>
  <si>
    <t xml:space="preserve">Exhibit 99.1, 'Financial Outlook' - For the full year 2026</t>
  </si>
  <si>
    <t xml:space="preserve">GH-0086</t>
  </si>
  <si>
    <t xml:space="preserve">Non-GAAP operating income of $165 million to $175 million and operating margin of 11% to 12%, assuming a negative FX impact of 100 to 200 basis points.</t>
  </si>
  <si>
    <t xml:space="preserve">GH-0087</t>
  </si>
  <si>
    <t xml:space="preserve">Total revenue of $1,452 million to $1,462 million, representing year-over-year growth of 18% to 19%.</t>
  </si>
  <si>
    <t xml:space="preserve">GH-0088</t>
  </si>
  <si>
    <t xml:space="preserve">Non-GAAP operating income of $37 million to $39 million and operating margin of 11% to 12%, assuming a negative FX impact of 100 to 200 basis points.</t>
  </si>
  <si>
    <t xml:space="preserve">Exhibit 99.1, 'Financial Outlook' - next-quarter outlook (Q1 2026)</t>
  </si>
  <si>
    <t xml:space="preserve">GH-0089</t>
  </si>
  <si>
    <t xml:space="preserve">Total revenue of $338 million to $340 million, representing year-over-year growth of approximately 20%.</t>
  </si>
  <si>
    <t xml:space="preserve">GH-0090</t>
  </si>
  <si>
    <t xml:space="preserve">Adjusted free cash flow of $280 million to $290 million and adjusted free cash flow margin of 19% to 20%, assuming a negative FX impact of 100 to 200 basis points.</t>
  </si>
  <si>
    <t xml:space="preserve">GH-0091</t>
  </si>
  <si>
    <t xml:space="preserve">Non-GAAP operating income of $185 million to $191 million and operating margin of approximately 13%, assuming a negative FX impact of 100 to 200 basis points.</t>
  </si>
  <si>
    <t xml:space="preserve">GH-0092</t>
  </si>
  <si>
    <t xml:space="preserve">Total revenue of $1,466 million to $1,474 million, representing year-over-year growth of 19% to 20%.</t>
  </si>
  <si>
    <t xml:space="preserve">GH-0093</t>
  </si>
  <si>
    <t xml:space="preserve">Non-GAAP operating income of $46 million to $48 million and operating margin of 13% to 14%, assuming a negative FX impact of 100 to 200 basis points.</t>
  </si>
  <si>
    <t xml:space="preserve">Exhibit 99.1, 'Financial Outlook' - next-quarter outlook (Q2 2026)</t>
  </si>
  <si>
    <t xml:space="preserve">GH-0094</t>
  </si>
  <si>
    <t xml:space="preserve">Total revenue of $354 million to $356 million, representing year-over-year growth of 18% to 19%.</t>
  </si>
  <si>
    <t xml:space="preserve">GH-0095</t>
  </si>
  <si>
    <t xml:space="preserve">Interim update (6-K, no results)</t>
  </si>
  <si>
    <t xml:space="preserve">FY 2026 adjusted free cash flow margin (%)</t>
  </si>
  <si>
    <t xml:space="preserve">Adjusted Free Cash Flow Margin - Previous: 19%-20%</t>
  </si>
  <si>
    <t xml:space="preserve">Adjusted Free Cash Flow Margin - Current: 19%-20%</t>
  </si>
  <si>
    <t xml:space="preserve">Full-year 2026 projections for Non-GAAP Operating Margin and Adjusted Free Cash Flow Margin continue to incorporate an estimated adverse foreign currency exchange impact of approximately 100 to 200 basis points and exclude any estimated restructuring charges from the Plan.</t>
  </si>
  <si>
    <t xml:space="preserve">6-K dated July 22, 2026 (Explanatory Note), table 'FY26 Outlook | Previous | Current'</t>
  </si>
  <si>
    <t xml:space="preserve">Interim outlook update issued with the restructuring plan announcement, between the Q1 and Q2 2026 releases; stated only as growth/margin percentages (no USD amounts). "Previous" column as printed by the company refers to the guidance from the Q1 2026 earnings call. Approximate (~) values normalized as low = high = stated value. Company statement: "The Company expects its full-year 2026 financial results to be in-line with or above its guidance as provided on its fiscal 2026 first quarter earnings call". No explicit reason for the margin change is stated.</t>
  </si>
  <si>
    <t xml:space="preserve">GH-0096</t>
  </si>
  <si>
    <t xml:space="preserve">FY 2026 non-GAAP operating margin (%)</t>
  </si>
  <si>
    <t xml:space="preserve">Non-GAAP Operating Margin - Previous: ~13%</t>
  </si>
  <si>
    <t xml:space="preserve">Non-GAAP Operating Margin - Current: ~15%</t>
  </si>
  <si>
    <t xml:space="preserve">GH-0097</t>
  </si>
  <si>
    <t xml:space="preserve">FY 2026 revenue growth (year-over-year, %)</t>
  </si>
  <si>
    <t xml:space="preserve">Y/Y Revenue Growth - Previous: 19%-20%</t>
  </si>
  <si>
    <t xml:space="preserve">Y/Y Revenue Growth - Current: 19%-20%</t>
  </si>
  <si>
    <t xml:space="preserve">GH-0098</t>
  </si>
  <si>
    <t xml:space="preserve">Range unchanged from prior vintage.</t>
  </si>
  <si>
    <t xml:space="preserve">GH-0099</t>
  </si>
  <si>
    <t xml:space="preserve">Non-GAAP operating income of $230 million to $234 million and operating margin of approximately 16%, assuming a negative FX impact of 100 to 200 basis points.</t>
  </si>
  <si>
    <t xml:space="preserve">GH-0100</t>
  </si>
  <si>
    <t xml:space="preserve">GH-0101</t>
  </si>
  <si>
    <t xml:space="preserve">Q3 2026</t>
  </si>
  <si>
    <t xml:space="preserve">Non-GAAP operating income of $57 million to $59 million and operating margin of approximately 16%, assuming a negative FX impact of 100 to 200 basis points.</t>
  </si>
  <si>
    <t xml:space="preserve">Exhibit 99.1, 'Financial Outlook' - next-quarter outlook (Q3 2026)</t>
  </si>
  <si>
    <t xml:space="preserve">GH-0102</t>
  </si>
  <si>
    <t xml:space="preserve">Total revenue of $368 million to $370 million, representing year-over-year growth of 16% to 17%.</t>
  </si>
  <si>
    <t xml:space="preserve">Period / Date</t>
  </si>
  <si>
    <t xml:space="preserve">AN-0001</t>
  </si>
  <si>
    <t xml:space="preserve">FY</t>
  </si>
  <si>
    <t xml:space="preserve">audited_statements</t>
  </si>
  <si>
    <t xml:space="preserve">Revenue (audited, 20-F)</t>
  </si>
  <si>
    <t xml:space="preserve">Form 20-F FY2021, Item 18 - Consolidated Statements of Operations, row "Revenue", column year ended December 31, 2021</t>
  </si>
  <si>
    <t xml:space="preserve">Used for release-vs-audited cross-checks.</t>
  </si>
  <si>
    <t xml:space="preserve">AN-0002</t>
  </si>
  <si>
    <t xml:space="preserve">Total operating expenses (audited, 20-F)</t>
  </si>
  <si>
    <t xml:space="preserve">Form 20-F FY2021, Item 18 - Consolidated Statements of Operations, row "Total operating expenses", column year ended December 31, 2021</t>
  </si>
  <si>
    <t xml:space="preserve">AN-0003</t>
  </si>
  <si>
    <t xml:space="preserve">Operating income (loss) (audited, 20-F)</t>
  </si>
  <si>
    <t xml:space="preserve">Form 20-F FY2021, Item 18 - Consolidated Statements of Operations, row "Operating loss", column year ended December 31, 2021</t>
  </si>
  <si>
    <t xml:space="preserve">AN-0004</t>
  </si>
  <si>
    <t xml:space="preserve">Net income (loss) (audited, 20-F)</t>
  </si>
  <si>
    <t xml:space="preserve">Form 20-F FY2021, Item 18 - Consolidated Statements of Operations, row "Net income (loss)" / "Net loss", column year ended December 31, 2021</t>
  </si>
  <si>
    <t xml:space="preserve">AN-0005</t>
  </si>
  <si>
    <t xml:space="preserve">Net cash provided by (used in) operating activities (audited, 20-F)</t>
  </si>
  <si>
    <t xml:space="preserve">Form 20-F FY2021, Item 18 - Consolidated Statements of Cash Flows, row "Net cash provided by (used in) operating activities", column year ended December 31, 2021</t>
  </si>
  <si>
    <t xml:space="preserve">AN-0006</t>
  </si>
  <si>
    <t xml:space="preserve">Share-based compensation (cash flow statement) (audited, 20-F)</t>
  </si>
  <si>
    <t xml:space="preserve">Form 20-F FY2021, Item 18 - Consolidated Statements of Cash Flows, row "Share-based compensation", column year ended December 31, 2021</t>
  </si>
  <si>
    <t xml:space="preserve">AN-0007</t>
  </si>
  <si>
    <t xml:space="preserve">Form 20-F FY2022, Item 18 - Consolidated Statements of Operations, row "Revenue", column year ended December 31, 2022</t>
  </si>
  <si>
    <t xml:space="preserve">AN-0008</t>
  </si>
  <si>
    <t xml:space="preserve">Form 20-F FY2022, Item 18 - Consolidated Statements of Operations, row "Total operating expenses", column year ended December 31, 2022</t>
  </si>
  <si>
    <t xml:space="preserve">AN-0009</t>
  </si>
  <si>
    <t xml:space="preserve">Form 20-F FY2022, Item 18 - Consolidated Statements of Operations, row "Operating loss", column year ended December 31, 2022</t>
  </si>
  <si>
    <t xml:space="preserve">AN-0010</t>
  </si>
  <si>
    <t xml:space="preserve">Form 20-F FY2022, Item 18 - Consolidated Statements of Operations, row "Net income (loss)" / "Net loss", column year ended December 31, 2022</t>
  </si>
  <si>
    <t xml:space="preserve">AN-0011</t>
  </si>
  <si>
    <t xml:space="preserve">Form 20-F FY2022, Item 18 - Consolidated Statements of Cash Flows, row "Net cash provided by (used in) operating activities", column year ended December 31, 2022</t>
  </si>
  <si>
    <t xml:space="preserve">AN-0012</t>
  </si>
  <si>
    <t xml:space="preserve">Form 20-F FY2022, Item 18 - Consolidated Statements of Cash Flows, row "Share-based compensation", column year ended December 31, 2022</t>
  </si>
  <si>
    <t xml:space="preserve">AN-0013</t>
  </si>
  <si>
    <t xml:space="preserve">Form 20-F FY2023, Item 18 - Consolidated Statements of Operations, row "Revenue", column year ended December 31, 2023</t>
  </si>
  <si>
    <t xml:space="preserve">AN-0014</t>
  </si>
  <si>
    <t xml:space="preserve">Form 20-F FY2023, Item 18 - Consolidated Statements of Operations, row "Total operating expenses", column year ended December 31, 2023</t>
  </si>
  <si>
    <t xml:space="preserve">AN-0015</t>
  </si>
  <si>
    <t xml:space="preserve">Form 20-F FY2023, Item 18 - Consolidated Statements of Operations, row "Operating loss", column year ended December 31, 2023</t>
  </si>
  <si>
    <t xml:space="preserve">AN-0016</t>
  </si>
  <si>
    <t xml:space="preserve">Form 20-F FY2023, Item 18 - Consolidated Statements of Operations, row "Net income (loss)" / "Net loss", column year ended December 31, 2023</t>
  </si>
  <si>
    <t xml:space="preserve">AN-0017</t>
  </si>
  <si>
    <t xml:space="preserve">Form 20-F FY2023, Item 18 - Consolidated Statements of Cash Flows, row "Net cash provided by (used in) operating activities", column year ended December 31, 2023</t>
  </si>
  <si>
    <t xml:space="preserve">AN-0018</t>
  </si>
  <si>
    <t xml:space="preserve">Form 20-F FY2023, Item 18 - Consolidated Statements of Cash Flows, row "Share-based compensation", column year ended December 31, 2023</t>
  </si>
  <si>
    <t xml:space="preserve">AN-0019</t>
  </si>
  <si>
    <t xml:space="preserve">Form 20-F FY2024, Item 18 - Consolidated Statements of Operations, row "Revenue", column year ended December 31, 2024</t>
  </si>
  <si>
    <t xml:space="preserve">AN-0020</t>
  </si>
  <si>
    <t xml:space="preserve">Form 20-F FY2024, Item 18 - Consolidated Statements of Operations, row "Total operating expenses", column year ended December 31, 2024</t>
  </si>
  <si>
    <t xml:space="preserve">AN-0021</t>
  </si>
  <si>
    <t xml:space="preserve">Form 20-F FY2024, Item 18 - Consolidated Statements of Operations, row "Operating loss", column year ended December 31, 2024</t>
  </si>
  <si>
    <t xml:space="preserve">AN-0022</t>
  </si>
  <si>
    <t xml:space="preserve">Form 20-F FY2024, Item 18 - Consolidated Statements of Operations, row "Net income (loss)" / "Net loss", column year ended December 31, 2024</t>
  </si>
  <si>
    <t xml:space="preserve">AN-0023</t>
  </si>
  <si>
    <t xml:space="preserve">Form 20-F FY2024, Item 18 - Consolidated Statements of Cash Flows, row "Net cash provided by (used in) operating activities", column year ended December 31, 2024</t>
  </si>
  <si>
    <t xml:space="preserve">AN-0024</t>
  </si>
  <si>
    <t xml:space="preserve">Form 20-F FY2024, Item 18 - Consolidated Statements of Cash Flows, row "Share-based compensation", column year ended December 31, 2024</t>
  </si>
  <si>
    <t xml:space="preserve">AN-0025</t>
  </si>
  <si>
    <t xml:space="preserve">Form 20-F FY2025, Item 18 - Consolidated Statements of Operations, row "Revenue", column year ended December 31, 2025</t>
  </si>
  <si>
    <t xml:space="preserve">AN-0026</t>
  </si>
  <si>
    <t xml:space="preserve">Form 20-F FY2025, Item 18 - Consolidated Statements of Operations, row "Total operating expenses", column year ended December 31, 2025</t>
  </si>
  <si>
    <t xml:space="preserve">AN-0027</t>
  </si>
  <si>
    <t xml:space="preserve">Form 20-F FY2025, Item 18 - Consolidated Statements of Operations, row "Operating loss", column year ended December 31, 2025</t>
  </si>
  <si>
    <t xml:space="preserve">AN-0028</t>
  </si>
  <si>
    <t xml:space="preserve">Form 20-F FY2025, Item 18 - Consolidated Statements of Operations, row "Net income (loss)" / "Net loss", column year ended December 31, 2025</t>
  </si>
  <si>
    <t xml:space="preserve">AN-0029</t>
  </si>
  <si>
    <t xml:space="preserve">Form 20-F FY2025, Item 18 - Consolidated Statements of Cash Flows, row "Net cash provided by (used in) operating activities", column year ended December 31, 2025</t>
  </si>
  <si>
    <t xml:space="preserve">AN-0030</t>
  </si>
  <si>
    <t xml:space="preserve">Form 20-F FY2025, Item 18 - Consolidated Statements of Cash Flows, row "Share-based compensation", column year ended December 31, 2025</t>
  </si>
  <si>
    <t xml:space="preserve">AN-0031</t>
  </si>
  <si>
    <t xml:space="preserve">Total operating expenses (Item 5.A summary table, 20-F)</t>
  </si>
  <si>
    <t xml:space="preserve">395,292</t>
  </si>
  <si>
    <t xml:space="preserve">Form 20-F FY2021, Item 5.A Operating Results - summary consolidated statements of operations table, row "Total operating expenses", 2021 column</t>
  </si>
  <si>
    <t xml:space="preserve">CONFLICT FLAG: the audited statements (Item 18) and the Item 5 period-comparison table in the same 20-F show 395,262; R&amp;D 73,686 + S&amp;M 268,083 + G&amp;A 53,493 = 395,262 in the Q4 2021 release. Use 395,262 (audited, components reconcile). 395,292 appears to be a typographical error; retained for audit trail.</t>
  </si>
  <si>
    <t xml:space="preserve">AN-0032</t>
  </si>
  <si>
    <t xml:space="preserve">2021-12-31</t>
  </si>
  <si>
    <t xml:space="preserve">PIT</t>
  </si>
  <si>
    <t xml:space="preserve">employees</t>
  </si>
  <si>
    <t xml:space="preserve">Accrued employee compensation and benefits</t>
  </si>
  <si>
    <t xml:space="preserve">Accrued employee compensation and benefits | 44,639 | 51,953</t>
  </si>
  <si>
    <t xml:space="preserve">Item 18 Financial Statements &gt; Notes to Consolidated Financial Statements &gt; Note 5 Accrued Expenses and Other Current Liabilities</t>
  </si>
  <si>
    <t xml:space="preserve">[Manually re-checked against source text.]</t>
  </si>
  <si>
    <t xml:space="preserve">AN-0033</t>
  </si>
  <si>
    <t xml:space="preserve">2022-12-31</t>
  </si>
  <si>
    <t xml:space="preserve">AN-0034</t>
  </si>
  <si>
    <t xml:space="preserve">Accrued employee compensation and benefits | $ | 63,440 | $ | 44,639</t>
  </si>
  <si>
    <t xml:space="preserve">Item 18 Financial Statements &gt; Notes to Consolidated Financial Statements &gt; Note 5: Accrued Expenses and Other Current Liabilities</t>
  </si>
  <si>
    <t xml:space="preserve">AN-0035</t>
  </si>
  <si>
    <t xml:space="preserve">2023-12-31</t>
  </si>
  <si>
    <t xml:space="preserve">AN-0036</t>
  </si>
  <si>
    <t xml:space="preserve">Accrued employee compensation and benefits | $ | 95,960 | $ | 63,440</t>
  </si>
  <si>
    <t xml:space="preserve">Item 18 (Part 5 - Consolidated Financial Statements) - Note 6: Accrued Expenses and Other Current Liabilities</t>
  </si>
  <si>
    <t xml:space="preserve">AN-0037</t>
  </si>
  <si>
    <t xml:space="preserve">2024-12-31</t>
  </si>
  <si>
    <t xml:space="preserve">AN-0038</t>
  </si>
  <si>
    <t xml:space="preserve">|| Accrued employee compensation and benefits | $ | 132,264 | $ | 95,960</t>
  </si>
  <si>
    <t xml:space="preserve">Item 18 / Consolidated Financial Statements - Notes to Consolidated Financial Statements - Note 6: Accrued Expenses and Other Current Liabilities</t>
  </si>
  <si>
    <t xml:space="preserve">AN-0039</t>
  </si>
  <si>
    <t xml:space="preserve">2025-12-31</t>
  </si>
  <si>
    <t xml:space="preserve">AN-0040</t>
  </si>
  <si>
    <t xml:space="preserve">FY2023</t>
  </si>
  <si>
    <t xml:space="preserve">Aggregate compensation of directors and executive officers (incl. SBC)</t>
  </si>
  <si>
    <t xml:space="preserve">The aggregate compensation paid by us and our subsidiaries to our directors and executive officers, including share-based compensation expenses recorded in our financial statements, for the year ended December 31, 2023, was approximately $23.8 million.</t>
  </si>
  <si>
    <t xml:space="preserve">Part 7 - Additional Information (Item 6.B) &gt; Compensation &gt; Compensation of directors and executive officers</t>
  </si>
  <si>
    <t xml:space="preserve">AN-0041</t>
  </si>
  <si>
    <t xml:space="preserve">FY2025</t>
  </si>
  <si>
    <t xml:space="preserve">Aggregate compensation to directors and executive officers (incl. SBC)</t>
  </si>
  <si>
    <t xml:space="preserve">The aggregate compensation paid by us and our subsidiaries to our directors and executive officers, including share-based compensation expenses recorded in our financial statements, for the year ended December 31, 2025, was approximately $31.1 million.</t>
  </si>
  <si>
    <t xml:space="preserve">Item 6.B / Part 7 - Additional Information - Compensation</t>
  </si>
  <si>
    <t xml:space="preserve">AN-0042</t>
  </si>
  <si>
    <t xml:space="preserve">Builders group (R&amp;D + product) employees</t>
  </si>
  <si>
    <t xml:space="preserve">As of December 31, 2022, we had 313 employees in our builders group.</t>
  </si>
  <si>
    <t xml:space="preserve">Part 1 - Who We Are (Item 4.B Business Overview) &gt; Research and development &gt; Builders</t>
  </si>
  <si>
    <t xml:space="preserve">AN-0043</t>
  </si>
  <si>
    <t xml:space="preserve">Builders group (R&amp;D) employees</t>
  </si>
  <si>
    <t xml:space="preserve">As of December 31, 2021, we had 232 employees in our builders group.</t>
  </si>
  <si>
    <t xml:space="preserve">Item 4.B Business Overview &gt; Research and Development</t>
  </si>
  <si>
    <t xml:space="preserve">AN-0044</t>
  </si>
  <si>
    <t xml:space="preserve">Builders group (R&amp;D, product and product design) employees</t>
  </si>
  <si>
    <t xml:space="preserve">As of December 31, 2025, we had 875 employees in our builders group.</t>
  </si>
  <si>
    <t xml:space="preserve">Item 4.B / Part 1 - Who we are - Research and development - Builders</t>
  </si>
  <si>
    <t xml:space="preserve">Builders group = R&amp;D group together with product and product design groups.</t>
  </si>
  <si>
    <t xml:space="preserve">AN-0045</t>
  </si>
  <si>
    <t xml:space="preserve">FY2022</t>
  </si>
  <si>
    <t xml:space="preserve">Directors and executive officers aggregate compensation (incl. SBC)</t>
  </si>
  <si>
    <t xml:space="preserve">The aggregate compensation paid by us and our subsidiaries to our directors and executive officers, including share-based compensation expenses recorded in our financial statements, for the year ended December 31, 2022, was approximately $17.5 million.</t>
  </si>
  <si>
    <t xml:space="preserve">Part 7 - Additional Information &gt; Compensation (Item 6.B) &gt; Compensation of directors and executive officers</t>
  </si>
  <si>
    <t xml:space="preserve">AN-0046</t>
  </si>
  <si>
    <t xml:space="preserve">FY2021</t>
  </si>
  <si>
    <t xml:space="preserve">Employee growth YoY</t>
  </si>
  <si>
    <t xml:space="preserve">representing a 51% growth since December 31, 2020</t>
  </si>
  <si>
    <t xml:space="preserve">percent</t>
  </si>
  <si>
    <t xml:space="preserve">Item 6.D Employees</t>
  </si>
  <si>
    <t xml:space="preserve">Prior-year headcount not stated in this filing.</t>
  </si>
  <si>
    <t xml:space="preserve">AN-0047</t>
  </si>
  <si>
    <t xml:space="preserve">Employee headcount growth YoY</t>
  </si>
  <si>
    <t xml:space="preserve">we had 1,549 employees, representing a 45.6% growth since December 31, 2021</t>
  </si>
  <si>
    <t xml:space="preserve">Part 7 - Additional Information &gt; Employees (Item 6.D)</t>
  </si>
  <si>
    <t xml:space="preserve">AN-0048</t>
  </si>
  <si>
    <t xml:space="preserve">FY2024</t>
  </si>
  <si>
    <t xml:space="preserve">...representing a 35% growth since December 31, 2023.</t>
  </si>
  <si>
    <t xml:space="preserve">Item 6.D (Part 7 - Additional Information) - Employees</t>
  </si>
  <si>
    <t xml:space="preserve">AN-0049</t>
  </si>
  <si>
    <t xml:space="preserve">As of December 31, 2025, we had 3,155 employees, representing a 26% growth since December 31, 2024.</t>
  </si>
  <si>
    <t xml:space="preserve">Item 6.D / Part 7 - Additional Information - Employees</t>
  </si>
  <si>
    <t xml:space="preserve">AN-0050</t>
  </si>
  <si>
    <t xml:space="preserve">Employee volunteer hours</t>
  </si>
  <si>
    <t xml:space="preserve">In 2022, our employees volunteered over 690 hours to support nonprofit organizations</t>
  </si>
  <si>
    <t xml:space="preserve">count</t>
  </si>
  <si>
    <t xml:space="preserve">Part 1 - Who We Are (Item 4.B Business Overview) &gt; The monday.com Digital Lift Initiative</t>
  </si>
  <si>
    <t xml:space="preserve">Stated as 'over 690'.</t>
  </si>
  <si>
    <t xml:space="preserve">AN-0051</t>
  </si>
  <si>
    <t xml:space="preserve">Employees (total headcount)</t>
  </si>
  <si>
    <t xml:space="preserve">Also Item 4.B 'Our workforce': 'As of December 31, 2025, we had 3,155 employees worldwide.' Prior-year headcount not stated as a number.</t>
  </si>
  <si>
    <t xml:space="preserve">AN-0052</t>
  </si>
  <si>
    <t xml:space="preserve">Employees by region - APAC</t>
  </si>
  <si>
    <t xml:space="preserve">APAC | 46</t>
  </si>
  <si>
    <t xml:space="preserve">Item 4.B Business Overview &gt; monday.com ESG &gt; Our Workforce (employees by region table)</t>
  </si>
  <si>
    <t xml:space="preserve">AN-0053</t>
  </si>
  <si>
    <t xml:space="preserve">|| Region | Americas | Europe | APAC | IL || Employee count | 625 | 271 | 118 | 1,494</t>
  </si>
  <si>
    <t xml:space="preserve">Item 4.B (Part 1 - Who we are) - Our workforce (breakdown of employees by region table)</t>
  </si>
  <si>
    <t xml:space="preserve">AN-0054</t>
  </si>
  <si>
    <t xml:space="preserve">|| Region | Americas | Europe | APAC | IL || Employee count | 755 | 514 | 157 | 1,729</t>
  </si>
  <si>
    <t xml:space="preserve">Item 4.B / Part 1 - Who we are - Our workforce (employees by region table)</t>
  </si>
  <si>
    <t xml:space="preserve">AN-0055</t>
  </si>
  <si>
    <t xml:space="preserve">Employees by region - Americas</t>
  </si>
  <si>
    <t xml:space="preserve">Americas | 291</t>
  </si>
  <si>
    <t xml:space="preserve">AN-0056</t>
  </si>
  <si>
    <t xml:space="preserve">AN-0057</t>
  </si>
  <si>
    <t xml:space="preserve">AN-0058</t>
  </si>
  <si>
    <t xml:space="preserve">Employees by region - EMEA</t>
  </si>
  <si>
    <t xml:space="preserve">EMEA | 727</t>
  </si>
  <si>
    <t xml:space="preserve">AN-0059</t>
  </si>
  <si>
    <t xml:space="preserve">Employees by region - Europe</t>
  </si>
  <si>
    <t xml:space="preserve">AN-0060</t>
  </si>
  <si>
    <t xml:space="preserve">AN-0061</t>
  </si>
  <si>
    <t xml:space="preserve">Employees by region - IL (Israel)</t>
  </si>
  <si>
    <t xml:space="preserve">AN-0062</t>
  </si>
  <si>
    <t xml:space="preserve">AN-0063</t>
  </si>
  <si>
    <t xml:space="preserve">Employees in builders group (R&amp;D + product + product design)</t>
  </si>
  <si>
    <t xml:space="preserve">As of December 31, 2023, we had 409 employees in our builders group.</t>
  </si>
  <si>
    <t xml:space="preserve">Part 1 - Who We Are (Item 4.B) &gt; Research and development &gt; Builders</t>
  </si>
  <si>
    <t xml:space="preserve">AN-0064</t>
  </si>
  <si>
    <t xml:space="preserve">As of December 31, 2024, we had 629 employees in our builders group.</t>
  </si>
  <si>
    <t xml:space="preserve">Item 4.B (Part 1 - Who we are) - Research and development - Builders</t>
  </si>
  <si>
    <t xml:space="preserve">'builders group' = R&amp;D group together with product and product design groups.</t>
  </si>
  <si>
    <t xml:space="preserve">AN-0065</t>
  </si>
  <si>
    <t xml:space="preserve">Employees worldwide (headcount)</t>
  </si>
  <si>
    <t xml:space="preserve">As of December 31, 2023, we had 1,854 employees, representing a 20% growth since December 31, 2022.</t>
  </si>
  <si>
    <t xml:space="preserve">Part 7 - Additional Information (Item 6.D) &gt; Employees</t>
  </si>
  <si>
    <t xml:space="preserve">Also in Part 1 - Who We Are &gt; Our workforce. The breakdown of employees by region referenced there ('Provided below is a breakdown of employees by region:') is not present in the text (likely an image).</t>
  </si>
  <si>
    <t xml:space="preserve">AN-0066</t>
  </si>
  <si>
    <t xml:space="preserve">FY (outlook)</t>
  </si>
  <si>
    <t xml:space="preserve">Expected headcount growth in 2025</t>
  </si>
  <si>
    <t xml:space="preserve">In 2025, monday.com will continue to build on this strategy and expects to grow headcount by 30 percent, with heavier investments to build out the sales teams.</t>
  </si>
  <si>
    <t xml:space="preserve">Press release dated April 3, 2025 (Exhibit 99.1) - CRO appointment</t>
  </si>
  <si>
    <t xml:space="preserve">Base headcount not stated</t>
  </si>
  <si>
    <t xml:space="preserve">AN-0067</t>
  </si>
  <si>
    <t xml:space="preserve">Headcount growth YoY</t>
  </si>
  <si>
    <t xml:space="preserve">AN-0068</t>
  </si>
  <si>
    <t xml:space="preserve">Israeli severance expense (Section 14 deposits)</t>
  </si>
  <si>
    <t xml:space="preserve">Severance expenses for the years ended December 31, 2023, 2022 and 2021, amounted to $ 8,435 , $ 7,289 , and $ 4,608 , respectively.</t>
  </si>
  <si>
    <t xml:space="preserve">Item 18 Financial Statements &gt; Notes to Consolidated Financial Statements &gt; Note 2: Significant Accounting Policies &gt; J. Employee Related Obligations</t>
  </si>
  <si>
    <t xml:space="preserve">AN-0069</t>
  </si>
  <si>
    <t xml:space="preserve">AN-0070</t>
  </si>
  <si>
    <t xml:space="preserve">AN-0071</t>
  </si>
  <si>
    <t xml:space="preserve">2019-12-31</t>
  </si>
  <si>
    <t xml:space="preserve">Sales, partners and customer success team employees</t>
  </si>
  <si>
    <t xml:space="preserve">We have more than tripled our sales, partners and customer success teams from 166 employees at the end of 2019 to 774 employees as of December 31, 2022.</t>
  </si>
  <si>
    <t xml:space="preserve">Part 4 - Operating and Financial Review and Prospects (Item 5) &gt; Key Business Metrics &gt; A Large and Diversified Customer Base</t>
  </si>
  <si>
    <t xml:space="preserve">AN-0072</t>
  </si>
  <si>
    <t xml:space="preserve">AN-0073</t>
  </si>
  <si>
    <t xml:space="preserve">Sales, partners and customer success teams</t>
  </si>
  <si>
    <t xml:space="preserve">from 166 employees at the end of 2019</t>
  </si>
  <si>
    <t xml:space="preserve">Item 5 Operating and Financial Review and Prospects &gt; Key Business Metrics &gt; A Large and Diversified Customer Base</t>
  </si>
  <si>
    <t xml:space="preserve">AN-0074</t>
  </si>
  <si>
    <t xml:space="preserve">from 166 employees at the end of 2019 to 567 employees as of December 31, 2021</t>
  </si>
  <si>
    <t xml:space="preserve">AN-0075</t>
  </si>
  <si>
    <t xml:space="preserve">Severance expenses (Israel, Section 14)</t>
  </si>
  <si>
    <t xml:space="preserve">Severance expenses for the years ended December 31, 2024, 2023 and 2022, amounted to $ 11,086 , $ 8,435 and $ 7,289 , respectively.</t>
  </si>
  <si>
    <t xml:space="preserve">Item 18 (Part 5 - Consolidated Financial Statements) - Note 2: Significant Accounting Policies - L. Employee Related Obligations</t>
  </si>
  <si>
    <t xml:space="preserve">AN-0076</t>
  </si>
  <si>
    <t xml:space="preserve">AN-0077</t>
  </si>
  <si>
    <t xml:space="preserve">Severance expenses for the years ended December 31, 2025, 2024 and 2023, amounted to $15,636, $11,086 and $8,435, respectively.</t>
  </si>
  <si>
    <t xml:space="preserve">Item 18 / Consolidated Financial Statements - Notes to Consolidated Financial Statements - Note 2: Significant Accounting Policies - L. Employee Related Obligations</t>
  </si>
  <si>
    <t xml:space="preserve">AN-0078</t>
  </si>
  <si>
    <t xml:space="preserve">AN-0079</t>
  </si>
  <si>
    <t xml:space="preserve">AN-0080</t>
  </si>
  <si>
    <t xml:space="preserve">AN-0081</t>
  </si>
  <si>
    <t xml:space="preserve">FY2020</t>
  </si>
  <si>
    <t xml:space="preserve">Severance expenses (Israeli Section 14 deposits)</t>
  </si>
  <si>
    <t xml:space="preserve">Severance expenses for the years ended December 31, 2022, 2021 and 2020, amounted to $ 7,289 , $ 4,608 and $ 2,721 , respectively.</t>
  </si>
  <si>
    <t xml:space="preserve">Item 18 Financial Statements &gt; Notes to Consolidated Financial Statements &gt; Note 2J Employee Related Obligations</t>
  </si>
  <si>
    <t xml:space="preserve">AN-0082</t>
  </si>
  <si>
    <t xml:space="preserve">AN-0083</t>
  </si>
  <si>
    <t xml:space="preserve">AN-0084</t>
  </si>
  <si>
    <t xml:space="preserve">Total employees</t>
  </si>
  <si>
    <t xml:space="preserve">As of December 31, 2022, we had 1,549 employees, representing a 45.6% growth since December 31, 2021.</t>
  </si>
  <si>
    <t xml:space="preserve">Also stated in Part 1 &gt; Our workforce: 'As of December 31, 2022, we had 1,549 employees worldwide.'</t>
  </si>
  <si>
    <t xml:space="preserve">AN-0085</t>
  </si>
  <si>
    <t xml:space="preserve">As of December 31, 2024, we had 2,508 employees, representing a 35% growth since December 31, 2023.</t>
  </si>
  <si>
    <t xml:space="preserve">Also in Item 4.B (Part 1 - Who we are - Our workforce): 'As of December 31, 2024, we had 2,508 employees worldwide.'</t>
  </si>
  <si>
    <t xml:space="preserve">AN-0086</t>
  </si>
  <si>
    <t xml:space="preserve">Total employees (full-time)</t>
  </si>
  <si>
    <t xml:space="preserve">As of December 31, 2021 we had 1,064 employees, representing a 51% growth since December 31, 2020.</t>
  </si>
  <si>
    <t xml:space="preserve">Item 4.B 'Our Workforce' says 1,064 full-time employees worldwide.</t>
  </si>
  <si>
    <t xml:space="preserve">AN-0087</t>
  </si>
  <si>
    <t xml:space="preserve">U.S. 401(k) employer contributions</t>
  </si>
  <si>
    <t xml:space="preserve">The expenses recorded by the U.S. subsidiary for employer’s contributions were $ 1,551 , $ 915 and $ 529 for the years ended December 31, 2022, 2021 and 2020, respectively.</t>
  </si>
  <si>
    <t xml:space="preserve">AN-0088</t>
  </si>
  <si>
    <t xml:space="preserve">AN-0089</t>
  </si>
  <si>
    <t xml:space="preserve">The expenses recorded by the U.S. subsidiary for employer’s contributions were $ 1,898 , $ 1,551 , and $ 915 for the years ended December 31, 2023, 2022 and 2021, respectively.</t>
  </si>
  <si>
    <t xml:space="preserve">AN-0090</t>
  </si>
  <si>
    <t xml:space="preserve">AN-0091</t>
  </si>
  <si>
    <t xml:space="preserve">AN-0092</t>
  </si>
  <si>
    <t xml:space="preserve">The expenses recorded by the U.S. subsidiary for employer's contributions were $ 2,493 , $ 1,898 and $ 1,551 for the years ended December 31, 2024, 2023 and 2022, respectively.</t>
  </si>
  <si>
    <t xml:space="preserve">AN-0093</t>
  </si>
  <si>
    <t xml:space="preserve">AN-0094</t>
  </si>
  <si>
    <t xml:space="preserve">AN-0095</t>
  </si>
  <si>
    <t xml:space="preserve">AN-0096</t>
  </si>
  <si>
    <t xml:space="preserve">US 401(k) employer contributions</t>
  </si>
  <si>
    <t xml:space="preserve">The expenses recorded by the U.S. subsidiary for employer’s contributions were $3,453, $2,493 and $1,898 for the years ended December 31, 2025, 2024 and 2023, respectively.</t>
  </si>
  <si>
    <t xml:space="preserve">AN-0097</t>
  </si>
  <si>
    <t xml:space="preserve">AN-0098</t>
  </si>
  <si>
    <t xml:space="preserve">AN-0099</t>
  </si>
  <si>
    <t xml:space="preserve">2024-06-30</t>
  </si>
  <si>
    <t xml:space="preserve">kpi</t>
  </si>
  <si>
    <t xml:space="preserve">ARR from customers with &gt;$100,000 ARR YoY growth</t>
  </si>
  <si>
    <t xml:space="preserve">The ARR from such enterprise customers grew by 57% from June 30, 2023, to June 30, 2024.</t>
  </si>
  <si>
    <t xml:space="preserve">H1 2024 MD&amp;A (Exhibit 99.3), Key Business Metrics - Consistent Growth of Enterprise Customers</t>
  </si>
  <si>
    <t xml:space="preserve">AN-0100</t>
  </si>
  <si>
    <t xml:space="preserve">2025-06-30</t>
  </si>
  <si>
    <t xml:space="preserve">The ARR from such enterprise customers grew by 51% from June 30, 2024, to June 30, 2025.</t>
  </si>
  <si>
    <t xml:space="preserve">H1 2025 MD&amp;A (Exhibit 99.3), Key Business Metrics - Consistent Growth of Enterprise Customers</t>
  </si>
  <si>
    <t xml:space="preserve">AN-0101</t>
  </si>
  <si>
    <t xml:space="preserve">2026-06-30</t>
  </si>
  <si>
    <t xml:space="preserve">The ARR from such enterprise customers grew by 43% from June 30, 2025 to June 30, 2026.</t>
  </si>
  <si>
    <t xml:space="preserve">H1 2026 MD&amp;A (Exhibit 99.3), Key Business Metrics - Consistent Growth of Enterprise Customers</t>
  </si>
  <si>
    <t xml:space="preserve">AN-0102</t>
  </si>
  <si>
    <t xml:space="preserve">ARR from customers with &gt;$500,000 ARR YoY growth</t>
  </si>
  <si>
    <t xml:space="preserve">The ARR from such enterprise customers grew by 66% from June 30, 2025 to June 30, 2026.</t>
  </si>
  <si>
    <t xml:space="preserve">AN-0103</t>
  </si>
  <si>
    <t xml:space="preserve">ARR from customers with &gt;10 users YoY growth</t>
  </si>
  <si>
    <t xml:space="preserve">The ARR from such customers grew by 29% from June 30, 2024 to June 30, 2025.</t>
  </si>
  <si>
    <t xml:space="preserve">H1 2025 MD&amp;A (Exhibit 99.3), Key Business Metrics - customers with more than 10 users</t>
  </si>
  <si>
    <t xml:space="preserve">AN-0104</t>
  </si>
  <si>
    <t xml:space="preserve">ARR from customers with more than $100,000 in ARR - YoY growth</t>
  </si>
  <si>
    <t xml:space="preserve">The ARR from such enterprise customers grew by 49% from December 31, 2024, to December 31, 2025.</t>
  </si>
  <si>
    <t xml:space="preserve">Item 5 / Part 4 - Operating and Financial Review and Prospects - Key Business Metrics - Consistent Growth of Enterprise Customers</t>
  </si>
  <si>
    <t xml:space="preserve">AN-0105</t>
  </si>
  <si>
    <t xml:space="preserve">ARR from customers with more than $50,000 in ARR - YoY growth</t>
  </si>
  <si>
    <t xml:space="preserve">The ARR from such enterprise customers grew by 42% from December 31, 2024, to December 31, 2025, outpacing our overall ARR growth.</t>
  </si>
  <si>
    <t xml:space="preserve">Overall ARR growth rate itself not disclosed.</t>
  </si>
  <si>
    <t xml:space="preserve">AN-0106</t>
  </si>
  <si>
    <t xml:space="preserve">ARR from customers with more than $500,000 in ARR - YoY growth</t>
  </si>
  <si>
    <t xml:space="preserve">The ARR from such enterprise customers grew by 87% from December 31, 2024, to December 31, 2025.</t>
  </si>
  <si>
    <t xml:space="preserve">AN-0107</t>
  </si>
  <si>
    <t xml:space="preserve">ARR from enterprise customers (&gt;$50,000 ARR) YoY growth</t>
  </si>
  <si>
    <t xml:space="preserve">The ARR from such enterprise customers grew by 51% from June 30, 2023, to June 30, 2024, outpacing our overall ARR growth.</t>
  </si>
  <si>
    <t xml:space="preserve">AN-0108</t>
  </si>
  <si>
    <t xml:space="preserve">The ARR from such enterprise customers grew by 44% from June 30, 2024, to June 30, 2025, outpacing our overall ARR growth.</t>
  </si>
  <si>
    <t xml:space="preserve">AN-0109</t>
  </si>
  <si>
    <t xml:space="preserve">The ARR from such enterprise customers grew by 37% from June 30, 2025 to June 30, 2026, outpacing our overall ARR growth.</t>
  </si>
  <si>
    <t xml:space="preserve">AN-0110</t>
  </si>
  <si>
    <t xml:space="preserve">ARR from enterprise customers (&gt;$50,000 ARR) growth</t>
  </si>
  <si>
    <t xml:space="preserve">and by 297% from 2019 to 2020</t>
  </si>
  <si>
    <t xml:space="preserve">Item 5 Operating and Financial Review and Prospects &gt; Key Business Metrics &gt; Rapid growth of Enterprise Customers</t>
  </si>
  <si>
    <t xml:space="preserve">AN-0111</t>
  </si>
  <si>
    <t xml:space="preserve">The ARR from such enterprise customers grew by 239% from 2020 to 2021 and by 297% from 2019 to 2020, outpacing our overall ARR growth as a company.</t>
  </si>
  <si>
    <t xml:space="preserve">AN-0112</t>
  </si>
  <si>
    <t xml:space="preserve">ARR growth from customers &gt;$100,000 ARR</t>
  </si>
  <si>
    <t xml:space="preserve">The ARR from such enterprise customers grew by 53% from December 31, 2023 to December 31, 2024.</t>
  </si>
  <si>
    <t xml:space="preserve">Item 5 (Part 4 - Operating and Financial Review and Prospects) - Key business metrics - Consistent growth of enterprise customers</t>
  </si>
  <si>
    <t xml:space="preserve">AN-0113</t>
  </si>
  <si>
    <t xml:space="preserve">ARR growth from customers &gt;$50,000 ARR</t>
  </si>
  <si>
    <t xml:space="preserve">The ARR from such enterprise customers grew by 47% from December 31, 2023 to December 31, 2024, outpacing our overall ARR growth.</t>
  </si>
  <si>
    <t xml:space="preserve">Overall ARR growth not quantified.</t>
  </si>
  <si>
    <t xml:space="preserve">AN-0114</t>
  </si>
  <si>
    <t xml:space="preserve">ARR growth from customers with more than $100,000 ARR</t>
  </si>
  <si>
    <t xml:space="preserve">The ARR from such enterprise customers grew by 63% from 2022 to 2023 and by 112% from 2021 to 2022.</t>
  </si>
  <si>
    <t xml:space="preserve">Part 4 - Operating and Financial Review and Prospects (Item 5) &gt; Key Business Metrics &gt; Consistent Growth of Enterprise Customers</t>
  </si>
  <si>
    <t xml:space="preserve">AN-0115</t>
  </si>
  <si>
    <t xml:space="preserve">AN-0116</t>
  </si>
  <si>
    <t xml:space="preserve">ARR growth from customers with more than $50,000 ARR</t>
  </si>
  <si>
    <t xml:space="preserve">The ARR from such enterprise customers grew by 59% from 2022 to 2023 and by 99% from 2021 to 2022, outpacing our overall ARR growth as a company.</t>
  </si>
  <si>
    <t xml:space="preserve">AN-0117</t>
  </si>
  <si>
    <t xml:space="preserve">AN-0118</t>
  </si>
  <si>
    <t xml:space="preserve">ARR growth from customers with more than 10 users</t>
  </si>
  <si>
    <t xml:space="preserve">The ARR from such customers grew by 33% from December 31, 2023 to December 31, 2024.</t>
  </si>
  <si>
    <t xml:space="preserve">AN-0119</t>
  </si>
  <si>
    <t xml:space="preserve">2024-08-26</t>
  </si>
  <si>
    <t xml:space="preserve">ARR milestone - $1 million ARR reached (years before $1B)</t>
  </si>
  <si>
    <t xml:space="preserve">eight years since it reached $1 million in ARR</t>
  </si>
  <si>
    <t xml:space="preserve">years</t>
  </si>
  <si>
    <t xml:space="preserve">Press release dated August 26, 2024 (Exhibit 99.1)</t>
  </si>
  <si>
    <t xml:space="preserve">AN-0120</t>
  </si>
  <si>
    <t xml:space="preserve">|| Adjusted free cash flow | $ | 322,660 | $ | 295,830 | $ | 204,945</t>
  </si>
  <si>
    <t xml:space="preserve">Item 5 / Part 4 - Operating and Financial Review and Prospects - Non-GAAP Financial Measures - Adjusted Free Cash Flow (reconciliation table)</t>
  </si>
  <si>
    <t xml:space="preserve">AN-0121</t>
  </si>
  <si>
    <t xml:space="preserve">AN-0122</t>
  </si>
  <si>
    <t xml:space="preserve">AN-0123</t>
  </si>
  <si>
    <t xml:space="preserve">H1 2024</t>
  </si>
  <si>
    <t xml:space="preserve">6M</t>
  </si>
  <si>
    <t xml:space="preserve">Adjusted free cash flow | $ | 173,625 | $ | 140,715</t>
  </si>
  <si>
    <t xml:space="preserve">H1 2025 MD&amp;A (Exhibit 99.3), Non-GAAP Financial Measures - Adjusted Free Cash Flow reconciliation</t>
  </si>
  <si>
    <t xml:space="preserve">AN-0124</t>
  </si>
  <si>
    <t xml:space="preserve">H1 2025</t>
  </si>
  <si>
    <t xml:space="preserve">AN-0125</t>
  </si>
  <si>
    <t xml:space="preserve">Adjusted free cash flow | $ | 155,122 | $ | 173,625</t>
  </si>
  <si>
    <t xml:space="preserve">H1 2026 MD&amp;A (Exhibit 99.3), Non-GAAP Financial Measures - Adjusted Free Cash Flow reconciliation</t>
  </si>
  <si>
    <t xml:space="preserve">AN-0126</t>
  </si>
  <si>
    <t xml:space="preserve">H1 2026</t>
  </si>
  <si>
    <t xml:space="preserve">AN-0127</t>
  </si>
  <si>
    <t xml:space="preserve">Adjusted free cash flow as % of revenue</t>
  </si>
  <si>
    <t xml:space="preserve">$323M Adjusted free cash flow, representing 26% of revenue (2)</t>
  </si>
  <si>
    <t xml:space="preserve">Item 5 / Part 4 - monday.com FY-25 overview in numbers</t>
  </si>
  <si>
    <t xml:space="preserve">Overview graphic; layout of text cells is scrambled in .txt. [Manually re-checked against source text.]</t>
  </si>
  <si>
    <t xml:space="preserve">AN-0128</t>
  </si>
  <si>
    <t xml:space="preserve">$174M Adjusted free cash flow, representing 30% of revenue</t>
  </si>
  <si>
    <t xml:space="preserve">H1 2025 MD&amp;A (Exhibit 99.3), monday.com H1-25 overview in numbers</t>
  </si>
  <si>
    <t xml:space="preserve">AN-0129</t>
  </si>
  <si>
    <t xml:space="preserve">Annual recurring revenue (ARR) milestone</t>
  </si>
  <si>
    <t xml:space="preserve">monday.com Ltd. (NASDAQ: MNDY) (“monday.com”), the multi-product platform that runs all core aspects of work, announced today that it has reached $1 billion in annual recurring revenue (ARR) 1 . The company recently achieved this significant financial milestone, just a decade after it launched its Work Operating System (Work OS) and eight years since it reached $1 million in ARR.</t>
  </si>
  <si>
    <t xml:space="preserve">USD billions</t>
  </si>
  <si>
    <t xml:space="preserve">Exact measurement date not stated ('recently achieved'); footnote 1 defines ARR</t>
  </si>
  <si>
    <t xml:space="preserve">AN-0130</t>
  </si>
  <si>
    <t xml:space="preserve">Apps in marketplace</t>
  </si>
  <si>
    <t xml:space="preserve">As of December 31 2023, we had 409 apps in the marketplace and 236 apps collecting payments.</t>
  </si>
  <si>
    <t xml:space="preserve">Part 1 - Who We Are (Item 4.B) &gt; Our platform / app marketplace</t>
  </si>
  <si>
    <t xml:space="preserve">AN-0131</t>
  </si>
  <si>
    <t xml:space="preserve">Channel partners</t>
  </si>
  <si>
    <t xml:space="preserve">As of December 31, 2023, we have 219 channel partners in more than 50 countries.</t>
  </si>
  <si>
    <t xml:space="preserve">Part 1 - Who We Are (Item 4.B) &gt; CRO Team / partner ecosystem</t>
  </si>
  <si>
    <t xml:space="preserve">AN-0132</t>
  </si>
  <si>
    <t xml:space="preserve">As of December 31, 2025, we have 300 channel partners in ~50 countries and territories.</t>
  </si>
  <si>
    <t xml:space="preserve">Item 4.B / Part 1 - Who we are - CRO Team - Our partners</t>
  </si>
  <si>
    <t xml:space="preserve">AN-0133</t>
  </si>
  <si>
    <t xml:space="preserve">Channel partners recruited</t>
  </si>
  <si>
    <t xml:space="preserve">Since establishing our partner program, we have recruited more than 149 channel partners, in 48 countries across the world.</t>
  </si>
  <si>
    <t xml:space="preserve">Item 4.B Business Overview &gt; Our Partners</t>
  </si>
  <si>
    <t xml:space="preserve">Date not explicitly stated (as of filing). 'more than'.</t>
  </si>
  <si>
    <t xml:space="preserve">AN-0134</t>
  </si>
  <si>
    <t xml:space="preserve">Customer concentration - top 100 customers share of revenue</t>
  </si>
  <si>
    <t xml:space="preserve">no single customer accounts for more than 1% of our revenues, and our top 100 customers accounted for less than 10% of our revenues for the six months ended June 30, 2024, and 2023</t>
  </si>
  <si>
    <t xml:space="preserve">H1 2024 MD&amp;A (Exhibit 99.3), Key Business Metrics - A Large and Diversified Customer Base</t>
  </si>
  <si>
    <t xml:space="preserve">Upper bound ('less than 10%'); no single customer &gt;1%. Also applies to H1 2023.</t>
  </si>
  <si>
    <t xml:space="preserve">AN-0135</t>
  </si>
  <si>
    <t xml:space="preserve">no single customer accounts for more than 1% of our revenues, and our top 100 customers accounted for less than 10% of our revenues for the six months ended June 30, 2025, and 2024</t>
  </si>
  <si>
    <t xml:space="preserve">H1 2025 MD&amp;A (Exhibit 99.3), Key Business Metrics - A Large and Diversified Customer Base</t>
  </si>
  <si>
    <t xml:space="preserve">Upper bound ('less than 10%')</t>
  </si>
  <si>
    <t xml:space="preserve">AN-0136</t>
  </si>
  <si>
    <t xml:space="preserve">no single customer accounts for more than 1% of our revenues, and our top 100 customers accounted for less than 10% of our revenues for the six months ended June 30, 2026 and 2025</t>
  </si>
  <si>
    <t xml:space="preserve">H1 2026 MD&amp;A (Exhibit 99.3), Key Business Metrics - A Large and Diversified Customer Base</t>
  </si>
  <si>
    <t xml:space="preserve">Upper bound</t>
  </si>
  <si>
    <t xml:space="preserve">AN-0137</t>
  </si>
  <si>
    <t xml:space="preserve">Customer count growth YoY</t>
  </si>
  <si>
    <t xml:space="preserve">more than 186,000 customers as of December 31, 2022, an increase of 23% from the more than 152,000 customers as of December 31, 2021</t>
  </si>
  <si>
    <t xml:space="preserve">Part 1 - Who We Are (Item 4.B Business Overview) &gt; Our customers</t>
  </si>
  <si>
    <t xml:space="preserve">AN-0138</t>
  </si>
  <si>
    <t xml:space="preserve">Customers &gt;$100,000 ARR</t>
  </si>
  <si>
    <t xml:space="preserve">...from 833 customers as of December 31, 2023...</t>
  </si>
  <si>
    <t xml:space="preserve">AN-0139</t>
  </si>
  <si>
    <t xml:space="preserve">Customers with more than $100,000 in ARR grew by 45% during the 12 months ending on December 31, 2024, from 833 customers as of December 31, 2023, to 1,207 customers as of December 31, 2024.</t>
  </si>
  <si>
    <t xml:space="preserve">AN-0140</t>
  </si>
  <si>
    <t xml:space="preserve">Customers &gt;$100,000 ARR YoY growth in count</t>
  </si>
  <si>
    <t xml:space="preserve">Customers with more than $100,000 in ARR grew by 45% during the 12 months ending on December 31, 2024</t>
  </si>
  <si>
    <t xml:space="preserve">AN-0141</t>
  </si>
  <si>
    <t xml:space="preserve">2023-06-30</t>
  </si>
  <si>
    <t xml:space="preserve">Customers with &gt;$100,000 ARR</t>
  </si>
  <si>
    <t xml:space="preserve">from 677 customers as of June 30, 2023</t>
  </si>
  <si>
    <t xml:space="preserve">AN-0142</t>
  </si>
  <si>
    <t xml:space="preserve">from 677 customers as of June 30, 2023, to 1,009 customers as of June 30, 2024</t>
  </si>
  <si>
    <t xml:space="preserve">AN-0143</t>
  </si>
  <si>
    <t xml:space="preserve">from 1,009 customers as of June 30, 2024</t>
  </si>
  <si>
    <t xml:space="preserve">AN-0144</t>
  </si>
  <si>
    <t xml:space="preserve">Customers with more than $100,000 in ARR grew by 46% during the 12 months ended June 30, 2025, from 1,009 customers as of June 30, 2024, to 1,472 customers as of June 30, 2025.</t>
  </si>
  <si>
    <t xml:space="preserve">AN-0145</t>
  </si>
  <si>
    <t xml:space="preserve">Customers with more than $100,000 in ARR grew by 37% during the 12 months ended on June 30, 2026, from 1,472 customers as of June 30, 2025 to 2,019 customers as of June 30, 2026.</t>
  </si>
  <si>
    <t xml:space="preserve">AN-0146</t>
  </si>
  <si>
    <t xml:space="preserve">Customers with &gt;$100,000 ARR YoY growth</t>
  </si>
  <si>
    <t xml:space="preserve">Customers with more than $100,000 in ARR grew by 49% during the 12 months ending on June 30, 2024</t>
  </si>
  <si>
    <t xml:space="preserve">AN-0147</t>
  </si>
  <si>
    <t xml:space="preserve">Customers with more than $100,000 in ARR grew by 46% during the 12 months ended June 30, 2025</t>
  </si>
  <si>
    <t xml:space="preserve">AN-0148</t>
  </si>
  <si>
    <t xml:space="preserve">Customers with more than $100,000 in ARR grew by 37% during the 12 months ended on June 30, 2026</t>
  </si>
  <si>
    <t xml:space="preserve">AN-0149</t>
  </si>
  <si>
    <t xml:space="preserve">Customers with &gt;$500,000 ARR</t>
  </si>
  <si>
    <t xml:space="preserve">from 68 customers as of June 30, 2025</t>
  </si>
  <si>
    <t xml:space="preserve">AN-0150</t>
  </si>
  <si>
    <t xml:space="preserve">2026-03-31</t>
  </si>
  <si>
    <t xml:space="preserve">99 customers above $500,000 in ARR, growing 74%.</t>
  </si>
  <si>
    <t xml:space="preserve">2026 Proxy Statement dated July 2, 2026 (Exhibit 99.1), Letter to shareholders</t>
  </si>
  <si>
    <t xml:space="preserve">AN-0151</t>
  </si>
  <si>
    <t xml:space="preserve">Customers with more than $500,000 in ARR grew by 68% during the 12 months ended on June 30, 2026, from 68 customers as of June 30, 2025 to 114 customers as of June 30, 2026.</t>
  </si>
  <si>
    <t xml:space="preserve">AN-0152</t>
  </si>
  <si>
    <t xml:space="preserve">Customers with &gt;$500,000 ARR YoY growth</t>
  </si>
  <si>
    <t xml:space="preserve">Customers above $500,000 in ARR — the largest enterprise accounts — grew 74% year-over-year as of the end of Q1 2026</t>
  </si>
  <si>
    <t xml:space="preserve">2026 Proxy Statement dated July 2, 2026 (Exhibit 99.1), Business highlights (page 05)</t>
  </si>
  <si>
    <t xml:space="preserve">AN-0153</t>
  </si>
  <si>
    <t xml:space="preserve">Customers with more than $500,000 in ARR grew by 68% during the 12 months ended on June 30, 2026</t>
  </si>
  <si>
    <t xml:space="preserve">AN-0154</t>
  </si>
  <si>
    <t xml:space="preserve">Customers with &gt;10 users</t>
  </si>
  <si>
    <t xml:space="preserve">from 57,203 customers as of June 30, 2024</t>
  </si>
  <si>
    <t xml:space="preserve">AN-0155</t>
  </si>
  <si>
    <t xml:space="preserve">We grew the number of such customers on our platform by 8% from 57,203 customers as of June 30, 2024, to 61,803 as of June 30, 2025.</t>
  </si>
  <si>
    <t xml:space="preserve">AN-0156</t>
  </si>
  <si>
    <t xml:space="preserve">Customers with &gt;10 users YoY growth</t>
  </si>
  <si>
    <t xml:space="preserve">We grew the number of such customers on our platform by 8%</t>
  </si>
  <si>
    <t xml:space="preserve">AN-0157</t>
  </si>
  <si>
    <t xml:space="preserve">Customers with more than $100,000 in ARR</t>
  </si>
  <si>
    <t xml:space="preserve">Customers with more than $100,000 in ARR grew by 58% during 2023, from 527 customers as of December 31, 2022 to 833 customers as of December 31, 2023, and by 97% during 2022, from 267 customers as of December 31, 2021.</t>
  </si>
  <si>
    <t xml:space="preserve">AN-0158</t>
  </si>
  <si>
    <t xml:space="preserve">AN-0159</t>
  </si>
  <si>
    <t xml:space="preserve">AN-0160</t>
  </si>
  <si>
    <t xml:space="preserve">Customers with more than $100,000 in ARR grew by 45% during the 12 months ending on December 31, 2025, from 1,207 customers as of December 31, 2024, to 1,756 customers as of December 31, 2025.</t>
  </si>
  <si>
    <t xml:space="preserve">AN-0161</t>
  </si>
  <si>
    <t xml:space="preserve">AN-0162</t>
  </si>
  <si>
    <t xml:space="preserve">Customers with more than $100,000 in ARR - YoY growth</t>
  </si>
  <si>
    <t xml:space="preserve">AN-0163</t>
  </si>
  <si>
    <t xml:space="preserve">Customers with more than $50,000 in ARR (enterprise customers)</t>
  </si>
  <si>
    <t xml:space="preserve">We grew the number of enterprise customers on our platform, which we define as customers with more than $50,000 in ARR by 56% during 2023, from 1,474 customers as of December 31, 2022 to 2,295 customers as of December 31, 2023, and by 86% during 2022, from 793 customers as of December 31, 2021.</t>
  </si>
  <si>
    <t xml:space="preserve">AN-0164</t>
  </si>
  <si>
    <t xml:space="preserve">AN-0165</t>
  </si>
  <si>
    <t xml:space="preserve">AN-0166</t>
  </si>
  <si>
    <t xml:space="preserve">We grew the number of enterprise customers, which we define as customers with more than $50,000 in Annual Recurring Revenue (“ARR”) (defined below), on our platform by 34% from 3,201 customers as of December 31, 2024, to 4,281 customers as of December 31, 2025.</t>
  </si>
  <si>
    <t xml:space="preserve">AN-0167</t>
  </si>
  <si>
    <t xml:space="preserve">Also in Item 4.B 'Our customers': 'As of December 31, 2025, we had 4,281 enterprise customers with more than $50,000 in ARR.'</t>
  </si>
  <si>
    <t xml:space="preserve">AN-0168</t>
  </si>
  <si>
    <t xml:space="preserve">Customers with more than $50,000 in ARR - YoY growth</t>
  </si>
  <si>
    <t xml:space="preserve">AN-0169</t>
  </si>
  <si>
    <t xml:space="preserve">Customers with more than $500,000 in ARR</t>
  </si>
  <si>
    <t xml:space="preserve">Customers with more than $500,000 in ARR grew by 74% during the 12 months ending on December 31, 2025, from 50 customers as of December 31, 2024, to 87 customers as of December 31, 2025.</t>
  </si>
  <si>
    <t xml:space="preserve">AN-0170</t>
  </si>
  <si>
    <t xml:space="preserve">AN-0171</t>
  </si>
  <si>
    <t xml:space="preserve">Customers with more than $500,000 in ARR - YoY growth</t>
  </si>
  <si>
    <t xml:space="preserve">AN-0172</t>
  </si>
  <si>
    <t xml:space="preserve">Customers with more than 10 users</t>
  </si>
  <si>
    <t xml:space="preserve">...from 53,688 customers as of December 31, 2023...</t>
  </si>
  <si>
    <t xml:space="preserve">AN-0173</t>
  </si>
  <si>
    <t xml:space="preserve">We grew the number of such customers on our platform by 10% from 53,688 customers as of December 31, 2023, to 59,214 as of December 31, 2024.</t>
  </si>
  <si>
    <t xml:space="preserve">AN-0174</t>
  </si>
  <si>
    <t xml:space="preserve">Customers with more than 10 users YoY growth in count</t>
  </si>
  <si>
    <t xml:space="preserve">We grew the number of such customers on our platform by 10%</t>
  </si>
  <si>
    <t xml:space="preserve">AN-0175</t>
  </si>
  <si>
    <t xml:space="preserve">Dollar-based net retention rate (all customers) cited in revenue discussion</t>
  </si>
  <si>
    <t xml:space="preserve">as reflected by our dollar-based net retention rate of over 120% as of December 31, 2022</t>
  </si>
  <si>
    <t xml:space="preserve">Part 4 - Operating and Financial Review and Prospects (Item 5) &gt; A. Operating Results (Item 5.A) &gt; Comparison of the Years Ended December 31, 2022 and 2021 &gt; Revenue</t>
  </si>
  <si>
    <t xml:space="preserve">Worded 'as of December 31, 2022' here vs 'three months ended' in Key Business Metrics.</t>
  </si>
  <si>
    <t xml:space="preserve">AN-0176</t>
  </si>
  <si>
    <t xml:space="preserve">Also listed under employees category.</t>
  </si>
  <si>
    <t xml:space="preserve">AN-0177</t>
  </si>
  <si>
    <t xml:space="preserve">Enterprise customers (&gt;$50,000 ARR)</t>
  </si>
  <si>
    <t xml:space="preserve">define as customers with more than $50,000 in ARR by 200% in 2021, from 264 customers as of December 31, 2020, to 793 customers as of December 31, 2021, and by 247% in 2020, from 76 customers as of December 31, 2019</t>
  </si>
  <si>
    <t xml:space="preserve">AN-0178</t>
  </si>
  <si>
    <t xml:space="preserve">2020-12-31</t>
  </si>
  <si>
    <t xml:space="preserve">AN-0179</t>
  </si>
  <si>
    <t xml:space="preserve">AN-0180</t>
  </si>
  <si>
    <t xml:space="preserve">from 1,892 customers as of June 30, 2023</t>
  </si>
  <si>
    <t xml:space="preserve">AN-0181</t>
  </si>
  <si>
    <t xml:space="preserve">...by 39% from 2,295 customers as of December 31, 2023...</t>
  </si>
  <si>
    <t xml:space="preserve">AN-0182</t>
  </si>
  <si>
    <t xml:space="preserve">grew the number of enterprise customers... by 43% from 1,892 customers as of June 30, 2023, to 2,713 customers as of June 30, 2024</t>
  </si>
  <si>
    <t xml:space="preserve">AN-0183</t>
  </si>
  <si>
    <t xml:space="preserve">from 2,713 customers as of June 30, 2024</t>
  </si>
  <si>
    <t xml:space="preserve">AN-0184</t>
  </si>
  <si>
    <t xml:space="preserve">...on our platform by 39% from 2,295 customers as of December 31, 2023, to 3,201 customers as of December 31, 2024.</t>
  </si>
  <si>
    <t xml:space="preserve">AN-0185</t>
  </si>
  <si>
    <t xml:space="preserve">We grew the number of enterprise customers... by 36% from 2,713 customers as of June 30, 2024, to 3,702 customers as of June 30, 2025.</t>
  </si>
  <si>
    <t xml:space="preserve">AN-0186</t>
  </si>
  <si>
    <t xml:space="preserve">from 3,702 customers as of June 30, 2025</t>
  </si>
  <si>
    <t xml:space="preserve">AN-0187</t>
  </si>
  <si>
    <t xml:space="preserve">We ended Q1 2026 with over 4,500 enterprise customers with more than $50,000 in ARR 1 , growing 32% year-over-year</t>
  </si>
  <si>
    <t xml:space="preserve">Lower bound ('over 4,500')</t>
  </si>
  <si>
    <t xml:space="preserve">AN-0188</t>
  </si>
  <si>
    <t xml:space="preserve">by 31% from 3,702 customers as of June 30, 2025 to 4,834 customers as of June 30, 2026</t>
  </si>
  <si>
    <t xml:space="preserve">AN-0189</t>
  </si>
  <si>
    <t xml:space="preserve">Enterprise customers (&gt;$50,000 ARR) YoY growth</t>
  </si>
  <si>
    <t xml:space="preserve">by 43% from 1,892 customers as of June 30, 2023, to 2,713 customers as of June 30, 2024</t>
  </si>
  <si>
    <t xml:space="preserve">AN-0190</t>
  </si>
  <si>
    <t xml:space="preserve">by 36% from 2,713 customers as of June 30, 2024, to 3,702 customers as of June 30, 2025</t>
  </si>
  <si>
    <t xml:space="preserve">AN-0191</t>
  </si>
  <si>
    <t xml:space="preserve">over 4,500 enterprise customers with more than $50,000 in ARR, growing 32% year-over-year</t>
  </si>
  <si>
    <t xml:space="preserve">AN-0192</t>
  </si>
  <si>
    <t xml:space="preserve">on our platform by 31% from 3,702 customers as of June 30, 2025 to 4,834 customers as of June 30, 2026</t>
  </si>
  <si>
    <t xml:space="preserve">AN-0193</t>
  </si>
  <si>
    <t xml:space="preserve">Enterprise customers (&gt;$50,000 ARR) YoY growth in count</t>
  </si>
  <si>
    <t xml:space="preserve">We grew the number of enterprise customers ... by 39% from 2,295 customers as of December 31, 2023, to 3,201 customers as of December 31, 2024.</t>
  </si>
  <si>
    <t xml:space="preserve">AN-0194</t>
  </si>
  <si>
    <t xml:space="preserve">Enterprise customers (&gt;$50,000 ARR) growth</t>
  </si>
  <si>
    <t xml:space="preserve">and by 247% in 2020, from 76 customers as of December 31, 2019</t>
  </si>
  <si>
    <t xml:space="preserve">AN-0195</t>
  </si>
  <si>
    <t xml:space="preserve">by 200% in 2021, from 264 customers as of December 31, 2020, to 793 customers</t>
  </si>
  <si>
    <t xml:space="preserve">AN-0196</t>
  </si>
  <si>
    <t xml:space="preserve">Enterprise customers (customers with more than $50,000 in ARR)</t>
  </si>
  <si>
    <t xml:space="preserve">from 793 customers as of December 31, 2021 to 1,474 customers as of December 31, 2022, and by 200% during 2021, from 264 customers as of December 31, 2020</t>
  </si>
  <si>
    <t xml:space="preserve">Part 4 - Operating and Financial Review and Prospects (Item 5) &gt; Key Business Metrics &gt; Rapid growth of Enterprise Customers</t>
  </si>
  <si>
    <t xml:space="preserve">AN-0197</t>
  </si>
  <si>
    <t xml:space="preserve">AN-0198</t>
  </si>
  <si>
    <t xml:space="preserve">AN-0199</t>
  </si>
  <si>
    <t xml:space="preserve">Free cash flow | $ | 295,830 | $ | 204,945 | $ | 8,137</t>
  </si>
  <si>
    <t xml:space="preserve">Item 5 (Part 4 - Operating and Financial Review and Prospects) - Non-GAAP Financial Measures - Free Cash Flow (reconciliation table, in thousands)</t>
  </si>
  <si>
    <t xml:space="preserve">Non-GAAP.</t>
  </si>
  <si>
    <t xml:space="preserve">AN-0200</t>
  </si>
  <si>
    <t xml:space="preserve">AN-0201</t>
  </si>
  <si>
    <t xml:space="preserve">AN-0202</t>
  </si>
  <si>
    <t xml:space="preserve">H1 2023</t>
  </si>
  <si>
    <t xml:space="preserve">Free cash flow | $ | 140,715 | $ | 84,614</t>
  </si>
  <si>
    <t xml:space="preserve">H1 2024 MD&amp;A (Exhibit 99.3), Non-GAAP Financial Measures - Free Cash Flow reconciliation table</t>
  </si>
  <si>
    <t xml:space="preserve">AN-0203</t>
  </si>
  <si>
    <t xml:space="preserve">AN-0204</t>
  </si>
  <si>
    <t xml:space="preserve">General and administrative as % of revenue</t>
  </si>
  <si>
    <t xml:space="preserve">For the years ended December 31, 2025, 2024 and 2023, our general and administrative expenses as a percentage of revenue were approximately 12%, 15% and 13%, respectively.</t>
  </si>
  <si>
    <t xml:space="preserve">Item 5.A / Part 4 - A. Operating Results - Components of Results of Operations - General and Administrative Expenses</t>
  </si>
  <si>
    <t xml:space="preserve">AN-0205</t>
  </si>
  <si>
    <t xml:space="preserve">AN-0206</t>
  </si>
  <si>
    <t xml:space="preserve">AN-0207</t>
  </si>
  <si>
    <t xml:space="preserve">Gross margin</t>
  </si>
  <si>
    <t xml:space="preserve">|| Gross profit | 89% | 89%</t>
  </si>
  <si>
    <t xml:space="preserve">Item 5.A / Part 4 - Comparison of the Years Ended December 31, 2025 and 2024 - Cost of Revenue and Gross Profit</t>
  </si>
  <si>
    <t xml:space="preserve">89% in 2025 and 2024 (and 2023 per % of revenue table).</t>
  </si>
  <si>
    <t xml:space="preserve">AN-0208</t>
  </si>
  <si>
    <t xml:space="preserve">$581M Revenue 28% YoY revenue growth 90% Gross margin 111% Net dollar retention rate of all customers</t>
  </si>
  <si>
    <t xml:space="preserve">AN-0209</t>
  </si>
  <si>
    <t xml:space="preserve">Growth in ARR from enterprise customers (&gt;$50k ARR)</t>
  </si>
  <si>
    <t xml:space="preserve">The ARR from such enterprise customers grew by 99% from 2021 to 2022 and by 239% from 2020 to 2021</t>
  </si>
  <si>
    <t xml:space="preserve">AN-0210</t>
  </si>
  <si>
    <t xml:space="preserve">The ARR from such enterprise customers grew by 99% from 2021 to 2022 and by 239% from 2020 to 2021, outpacing our overall ARR growth as a company.</t>
  </si>
  <si>
    <t xml:space="preserve">Period-end ARR Dec 31, 2022 vs Dec 31, 2021.</t>
  </si>
  <si>
    <t xml:space="preserve">AN-0211</t>
  </si>
  <si>
    <t xml:space="preserve">Growth in customers with more than $100,000 ARR</t>
  </si>
  <si>
    <t xml:space="preserve">AN-0212</t>
  </si>
  <si>
    <t xml:space="preserve">AN-0213</t>
  </si>
  <si>
    <t xml:space="preserve">Growth in customers with more than $50,000 ARR</t>
  </si>
  <si>
    <t xml:space="preserve">AN-0214</t>
  </si>
  <si>
    <t xml:space="preserve">AN-0215</t>
  </si>
  <si>
    <t xml:space="preserve">Growth in enterprise customers (&gt;$50k ARR)</t>
  </si>
  <si>
    <t xml:space="preserve">and by 200% during 2021, from 264 customers as of December 31, 2020</t>
  </si>
  <si>
    <t xml:space="preserve">AN-0216</t>
  </si>
  <si>
    <t xml:space="preserve">We grew the number of enterprise customers on our platform, which we define as customers with more than $50,000 in ARR by 86% during 2022</t>
  </si>
  <si>
    <t xml:space="preserve">AN-0217</t>
  </si>
  <si>
    <t xml:space="preserve">Largest single customer share of revenue (upper bound)</t>
  </si>
  <si>
    <t xml:space="preserve">no single customer accounts for more than 1% of our revenues, and our top 100 customers accounted for less than 10% of our revenues for the years ended December 31, 2022 and 2021.</t>
  </si>
  <si>
    <t xml:space="preserve">Stated as 'more than 1%' cap; applies to 2022 and 2021.</t>
  </si>
  <si>
    <t xml:space="preserve">AN-0218</t>
  </si>
  <si>
    <t xml:space="preserve">no single customer accounts for more than 1% of our revenues, and our top 100 customers accounted for less than 10% of our revenues for the years ended December 31, 2025 and 2024.</t>
  </si>
  <si>
    <t xml:space="preserve">Item 5 / Part 4 - Operating and Financial Review and Prospects - Key Business Metrics - A Large and Diversified Customer Base</t>
  </si>
  <si>
    <t xml:space="preserve">Upper bound; applies to FY2025 and FY2024.</t>
  </si>
  <si>
    <t xml:space="preserve">AN-0219</t>
  </si>
  <si>
    <t xml:space="preserve">Marketplace apps</t>
  </si>
  <si>
    <t xml:space="preserve">As of December 31, 2025, we had 869 apps in the marketplace and 704 apps with native monetization.</t>
  </si>
  <si>
    <t xml:space="preserve">Item 4.B / Part 1 - Who we are - monday marketplace</t>
  </si>
  <si>
    <t xml:space="preserve">AN-0220</t>
  </si>
  <si>
    <t xml:space="preserve">Marketplace apps collecting payments</t>
  </si>
  <si>
    <t xml:space="preserve">AN-0221</t>
  </si>
  <si>
    <t xml:space="preserve">Marketplace apps with native monetization</t>
  </si>
  <si>
    <t xml:space="preserve">AN-0222</t>
  </si>
  <si>
    <t xml:space="preserve">Q2 (three months ended 2023-06-30)</t>
  </si>
  <si>
    <t xml:space="preserve">Net Dollar Retention Rate - all customers</t>
  </si>
  <si>
    <t xml:space="preserve">and 114% for the three months ended June 30, 2023</t>
  </si>
  <si>
    <t xml:space="preserve">H1 2024 MD&amp;A (Exhibit 99.3), Key Business Metrics - Net Dollar Retention Rate</t>
  </si>
  <si>
    <t xml:space="preserve">AN-0223</t>
  </si>
  <si>
    <t xml:space="preserve">Q2 (three months ended 2024-06-30)</t>
  </si>
  <si>
    <t xml:space="preserve">Our Net Dollar Retention Rate for all customers was 110% for the three months ended June 30, 2024, and 114% for the three months ended June 30, 2023.</t>
  </si>
  <si>
    <t xml:space="preserve">Revenue section also says 'dollar-based net retention rate of 110% as of June 30, 2024'</t>
  </si>
  <si>
    <t xml:space="preserve">AN-0224</t>
  </si>
  <si>
    <t xml:space="preserve">Our Net Dollar Retention Rate for all of our customers was 111% and 110% for the three months ended June 30, 2025 and June 30, 2024, respectively.</t>
  </si>
  <si>
    <t xml:space="preserve">H1 2025 MD&amp;A (Exhibit 99.3), Key Business Metrics - Net Dollar Retention Rate</t>
  </si>
  <si>
    <t xml:space="preserve">AN-0225</t>
  </si>
  <si>
    <t xml:space="preserve">Q2 (three months ended 2025-06-30)</t>
  </si>
  <si>
    <t xml:space="preserve">AN-0226</t>
  </si>
  <si>
    <t xml:space="preserve">Our Net Dollar Retention Rate for all of our customers was 109% and 111% for the three months ended June 30, 2026 and June 30, 2025, respectively.</t>
  </si>
  <si>
    <t xml:space="preserve">H1 2026 MD&amp;A (Exhibit 99.3), Key Business Metrics - Net Dollar Retention Rate</t>
  </si>
  <si>
    <t xml:space="preserve">AN-0227</t>
  </si>
  <si>
    <t xml:space="preserve">Q2 (three months ended 2026-06-30)</t>
  </si>
  <si>
    <t xml:space="preserve">AN-0228</t>
  </si>
  <si>
    <t xml:space="preserve">Q4 2020</t>
  </si>
  <si>
    <t xml:space="preserve">Q4</t>
  </si>
  <si>
    <t xml:space="preserve">our Net Dollar Retention rate for all of our customers was over 120% for the three months ended December 31, 2022 and 2021, and 105%, for the three months ended December 31, 2020.</t>
  </si>
  <si>
    <t xml:space="preserve">Part 4 - Operating and Financial Review and Prospects (Item 5) &gt; Key Business Metrics &gt; Net Dollar Retention Rate</t>
  </si>
  <si>
    <t xml:space="preserve">Stated as '105%' (no 'over').</t>
  </si>
  <si>
    <t xml:space="preserve">AN-0229</t>
  </si>
  <si>
    <t xml:space="preserve">Stated as 'over 120%'.</t>
  </si>
  <si>
    <t xml:space="preserve">AN-0230</t>
  </si>
  <si>
    <t xml:space="preserve">Q4 2021 (three months ended 2021-12-31)</t>
  </si>
  <si>
    <t xml:space="preserve">Additionally, our Net Dollar Retention rate for all of our customers was 110% for the three months ended December 31, 2023 and over 120% for the three months ended December 31, 2022 and 2021.</t>
  </si>
  <si>
    <t xml:space="preserve">Lower bound only: 'over 120%'.</t>
  </si>
  <si>
    <t xml:space="preserve">AN-0231</t>
  </si>
  <si>
    <t xml:space="preserve">AN-0232</t>
  </si>
  <si>
    <t xml:space="preserve">Our Net Dollar Retention Rate for all of our customers was 112%, 110%, and 121% for the three months ended December 31, 2024, 2023, and 2022, respectively.</t>
  </si>
  <si>
    <t xml:space="preserve">Item 5 (Part 4 - Operating and Financial Review and Prospects) - Key business metrics - Net Dollar Retention Rate</t>
  </si>
  <si>
    <t xml:space="preserve">Stated 'for the three months ended December 31'; the definition describes quarterly NDR plus a separate trailing-12-month weighted-average calculation; the filing does not say which of the two these figures are beyond the 'three months ended' wording.</t>
  </si>
  <si>
    <t xml:space="preserve">AN-0233</t>
  </si>
  <si>
    <t xml:space="preserve">Q4 2022 (three months ended 2022-12-31)</t>
  </si>
  <si>
    <t xml:space="preserve">AN-0234</t>
  </si>
  <si>
    <t xml:space="preserve">AN-0235</t>
  </si>
  <si>
    <t xml:space="preserve">Our Net Dollar Retention Rate for all of our customers was 110%, 112% and 110% for the three months ended December 31, 2025, 2024, and 2023, respectively.</t>
  </si>
  <si>
    <t xml:space="preserve">Item 5 / Part 4 - Operating and Financial Review and Prospects - Key Business Metrics - Net Dollar Retention Rate</t>
  </si>
  <si>
    <t xml:space="preserve">Also stated in Item 4.B 'Our growth strategies' and Part 4 'monday.com FY-25 overview in numbers' (110%). Trailing-12-month weighted average NDR not disclosed in this filing.</t>
  </si>
  <si>
    <t xml:space="preserve">AN-0236</t>
  </si>
  <si>
    <t xml:space="preserve">Q4 2023 (three months ended 2023-12-31)</t>
  </si>
  <si>
    <t xml:space="preserve">Also stated in Item 5.A Revenue discussion as 'dollar-based net retention rate of 110% as of December 31, 2023'.</t>
  </si>
  <si>
    <t xml:space="preserve">AN-0237</t>
  </si>
  <si>
    <t xml:space="preserve">AN-0238</t>
  </si>
  <si>
    <t xml:space="preserve">AN-0239</t>
  </si>
  <si>
    <t xml:space="preserve">AN-0240</t>
  </si>
  <si>
    <t xml:space="preserve">Net Dollar Retention Rate - all customers (as cited in revenue discussion)</t>
  </si>
  <si>
    <t xml:space="preserve">...as reflected by our Net Dollar Retention Rate of 112% as of December 31, 2024.</t>
  </si>
  <si>
    <t xml:space="preserve">Item 5 (Part 4 - Operating and Financial Review and Prospects) - A. Operating Results - Comparison of the Years Ended December 31, 2024 and 2023 - Revenue</t>
  </si>
  <si>
    <t xml:space="preserve">AN-0241</t>
  </si>
  <si>
    <t xml:space="preserve">Net Dollar Retention Rate - all customers (revenue discussion)</t>
  </si>
  <si>
    <t xml:space="preserve">as reflected by our dollar-based net retention rate of 110% as of December 31, 2023.</t>
  </si>
  <si>
    <t xml:space="preserve">Part 4 - Operating and Financial Review and Prospects (Item 5.A) &gt; A. Operating Results &gt; Comparison of the Years Ended December 31, 2023 and 2022 &gt; Revenue</t>
  </si>
  <si>
    <t xml:space="preserve">Same metric as the Q4 2023 all-customer NDR; phrased 'as of' date here.</t>
  </si>
  <si>
    <t xml:space="preserve">AN-0242</t>
  </si>
  <si>
    <t xml:space="preserve">Net Dollar Retention Rate - customers &gt;$100,000 ARR</t>
  </si>
  <si>
    <t xml:space="preserve">Net Dollar Retention Rate for Customers with more than $100,000 in ARR was 116%, 114%, and 135% for the three months ended December 31, 2024, 2023, and 2022, respectively.</t>
  </si>
  <si>
    <t xml:space="preserve">AN-0243</t>
  </si>
  <si>
    <t xml:space="preserve">AN-0244</t>
  </si>
  <si>
    <t xml:space="preserve">AN-0245</t>
  </si>
  <si>
    <t xml:space="preserve">Net Dollar Retention Rate - customers &gt;$50,000 ARR</t>
  </si>
  <si>
    <t xml:space="preserve">Net Dollar Retention Rate for Customers with more than $50,000 in ARR was 115%, 115%, and 137% for the three months ended December 31, 2024, 2023, and 2022, respectively.</t>
  </si>
  <si>
    <t xml:space="preserve">AN-0246</t>
  </si>
  <si>
    <t xml:space="preserve">AN-0247</t>
  </si>
  <si>
    <t xml:space="preserve">AN-0248</t>
  </si>
  <si>
    <t xml:space="preserve">Net Dollar Retention Rate - customers with &gt;$100,000 ARR</t>
  </si>
  <si>
    <t xml:space="preserve">Net Dollar Retention Rate for Customers with more than $100,000 in ARR was 117% and 114% for the three months ended June 30, 2025 and June 30, 2024, respectively.</t>
  </si>
  <si>
    <t xml:space="preserve">AN-0249</t>
  </si>
  <si>
    <t xml:space="preserve">AN-0250</t>
  </si>
  <si>
    <t xml:space="preserve">Net Dollar Retention Rate for customers with more than $100,000 in ARR was 115% and 117% for the three months ended June 30, 2026 and June 30, 2025, respectively.</t>
  </si>
  <si>
    <t xml:space="preserve">AN-0251</t>
  </si>
  <si>
    <t xml:space="preserve">AN-0252</t>
  </si>
  <si>
    <t xml:space="preserve">Net Dollar Retention Rate - customers with &gt;$50,000 ARR</t>
  </si>
  <si>
    <t xml:space="preserve">Net Dollar Retention Rate for Customers with more than $50,000 in ARR was 116% and 114% for the three months ended June 30, 2025 and June 30, 2024, respectively.</t>
  </si>
  <si>
    <t xml:space="preserve">AN-0253</t>
  </si>
  <si>
    <t xml:space="preserve">AN-0254</t>
  </si>
  <si>
    <t xml:space="preserve">Net Dollar Retention Rate for customers with more than $50,000 in ARR was 115% and 116% for the three months ended June 30, 2026 and June 30, 2025, respectively.</t>
  </si>
  <si>
    <t xml:space="preserve">AN-0255</t>
  </si>
  <si>
    <t xml:space="preserve">AN-0256</t>
  </si>
  <si>
    <t xml:space="preserve">Net Dollar Retention Rate - customers with &gt;10 users</t>
  </si>
  <si>
    <t xml:space="preserve">and 120% for the three months ended June 30, 2023</t>
  </si>
  <si>
    <t xml:space="preserve">AN-0257</t>
  </si>
  <si>
    <t xml:space="preserve">our Net Dollar Retention rate for customers with more than 10 users was 114% for the three months ended June 30, 2024, and 120% for the three months ended June 30, 2023.</t>
  </si>
  <si>
    <t xml:space="preserve">AN-0258</t>
  </si>
  <si>
    <t xml:space="preserve">our Net Dollar Retention Rate for customers with more than 10 users was 115% and 114% for the three months ended June 30, 2025 and June 30, 2024, respectively.</t>
  </si>
  <si>
    <t xml:space="preserve">AN-0259</t>
  </si>
  <si>
    <t xml:space="preserve">AN-0260</t>
  </si>
  <si>
    <t xml:space="preserve">Net Dollar Retention Rate - customers with more than $100,000 in ARR</t>
  </si>
  <si>
    <t xml:space="preserve">Net dollar Retention Rate for Customers with more than $100,000 in ARR was 116%, 116% and 114% for the three months ended December 31, 2025, 2024, and 2023, respectively.</t>
  </si>
  <si>
    <t xml:space="preserve">AN-0261</t>
  </si>
  <si>
    <t xml:space="preserve">AN-0262</t>
  </si>
  <si>
    <t xml:space="preserve">AN-0263</t>
  </si>
  <si>
    <t xml:space="preserve">Net Dollar Retention Rate - customers with more than $50,000 in ARR</t>
  </si>
  <si>
    <t xml:space="preserve">Net Dollar Retention Rate for Customers with more than $50,000 in ARR was 116%, 115% and 115% for the three months ended December 31, 2025, 2024, and 2023, respectively.</t>
  </si>
  <si>
    <t xml:space="preserve">Also stated in Item 4.B 'Our growth strategies'.</t>
  </si>
  <si>
    <t xml:space="preserve">AN-0264</t>
  </si>
  <si>
    <t xml:space="preserve">AN-0265</t>
  </si>
  <si>
    <t xml:space="preserve">AN-0266</t>
  </si>
  <si>
    <t xml:space="preserve">Net Dollar Retention Rate - customers with more than 10 users</t>
  </si>
  <si>
    <t xml:space="preserve">Our Net Dollar Retention Rate for customers with more than 10 users was over 130% for the three months ended December 31, 2022, over 135% for the three months ended December 31, 2021, and over 115% for the three months ended December 31, 2020.</t>
  </si>
  <si>
    <t xml:space="preserve">Stated as 'over'; lower bound. Same figures repeated in Part 1 &gt; Our growth strategies.</t>
  </si>
  <si>
    <t xml:space="preserve">AN-0267</t>
  </si>
  <si>
    <t xml:space="preserve">AN-0268</t>
  </si>
  <si>
    <t xml:space="preserve">Our Net Dollar Retention Rate for customers with more than 10 users was 115% for the three months ended December 31, 2023, over 130% for the three months ended December 31, 2022, and over 135% for the three months ended December 31, 2021.</t>
  </si>
  <si>
    <t xml:space="preserve">Disclosed only as a lower bound: 'over 135%'. Value is the floor.</t>
  </si>
  <si>
    <t xml:space="preserve">AN-0269</t>
  </si>
  <si>
    <t xml:space="preserve">AN-0270</t>
  </si>
  <si>
    <t xml:space="preserve">Our Net Dollar Retention Rate for customers with more than 10 users was 115%, 115%, and 130% for the three months ended December 31, 2024, December 31, 2023, and December 31, 2022, respectively.</t>
  </si>
  <si>
    <t xml:space="preserve">AN-0271</t>
  </si>
  <si>
    <t xml:space="preserve">Disclosed only as a lower bound: 'over 130%'. Value is the floor, not a point estimate.</t>
  </si>
  <si>
    <t xml:space="preserve">AN-0272</t>
  </si>
  <si>
    <t xml:space="preserve">AN-0273</t>
  </si>
  <si>
    <t xml:space="preserve">Trailing-12-month weighted average per definition. Same sentence repeated in Part 1 - Who We Are &gt; Our growth strategies (Item 4.B).</t>
  </si>
  <si>
    <t xml:space="preserve">AN-0274</t>
  </si>
  <si>
    <t xml:space="preserve">AN-0275</t>
  </si>
  <si>
    <t xml:space="preserve">Net Dollar Retention Rate - enterprise customers (&gt;$50,000 ARR)</t>
  </si>
  <si>
    <t xml:space="preserve">Net dollar retention for this cohort stands at 116% as of the end of Q1 2026</t>
  </si>
  <si>
    <t xml:space="preserve">Cohort = enterprise customers (&gt;$50K ARR) per context</t>
  </si>
  <si>
    <t xml:space="preserve">AN-0276</t>
  </si>
  <si>
    <t xml:space="preserve">Q4 2019</t>
  </si>
  <si>
    <t xml:space="preserve">Net Dollar Retention Rate, all customers</t>
  </si>
  <si>
    <t xml:space="preserve">our Net Dollar Retention rate for all of our customers was over 120%, 105% and 100%, for the three months ended December 31, 2021, 2020 and 2019, respectively.</t>
  </si>
  <si>
    <t xml:space="preserve">Item 5 Operating and Financial Review and Prospects &gt; Key Business Metrics &gt; Increase in Net Dollar Retention Rate</t>
  </si>
  <si>
    <t xml:space="preserve">Stated as 'over'; lower bound.</t>
  </si>
  <si>
    <t xml:space="preserve">AN-0277</t>
  </si>
  <si>
    <t xml:space="preserve">AN-0278</t>
  </si>
  <si>
    <t xml:space="preserve">AN-0279</t>
  </si>
  <si>
    <t xml:space="preserve">Net Dollar Retention Rate, all customers (as cited in revenue discussion)</t>
  </si>
  <si>
    <t xml:space="preserve">as reflected by our dollar-based net retention rate of over 120% as of December 31, 2021.</t>
  </si>
  <si>
    <t xml:space="preserve">Item 5.A Operating Results &gt; Comparison of the Years Ended December 31, 2021, and 2020 &gt; Revenue</t>
  </si>
  <si>
    <t xml:space="preserve">Same figure as Q4 2021 all-customer NDR, phrased 'as of'.</t>
  </si>
  <si>
    <t xml:space="preserve">AN-0280</t>
  </si>
  <si>
    <t xml:space="preserve">Net Dollar Retention Rate, customers with more than 10 users</t>
  </si>
  <si>
    <t xml:space="preserve">Our Net Dollar Retention Rate for customers with more than 10 users was over 135% for the three months ended December 31, 2021, and over 115% for each of the three months ended December 31, 2020, and 2019.</t>
  </si>
  <si>
    <t xml:space="preserve">Stated as 'over'; lower bound. Also repeated in Item 4.B Our Growth Strategies.</t>
  </si>
  <si>
    <t xml:space="preserve">AN-0281</t>
  </si>
  <si>
    <t xml:space="preserve">AN-0282</t>
  </si>
  <si>
    <t xml:space="preserve">AN-0283</t>
  </si>
  <si>
    <t xml:space="preserve">Net cash provided by operating activities as % of revenue</t>
  </si>
  <si>
    <t xml:space="preserve">$334M Net cash provided by operating activities representing 27% of revenue</t>
  </si>
  <si>
    <t xml:space="preserve">Overview graphic; cell assignment of '27% of revenue' to operating cash flow inferred from layout. [Manually re-checked against source text.]</t>
  </si>
  <si>
    <t xml:space="preserve">AN-0284</t>
  </si>
  <si>
    <t xml:space="preserve">$179M Net cash provided by operating activities, representing 31% of revenue</t>
  </si>
  <si>
    <t xml:space="preserve">AN-0285</t>
  </si>
  <si>
    <t xml:space="preserve">Non-GAAP operating income</t>
  </si>
  <si>
    <t xml:space="preserve">|| Non-GAAP operating income | $ | 175,263 | $ | 132,383 | $ | 61,601</t>
  </si>
  <si>
    <t xml:space="preserve">Item 5 / Part 4 - Operating and Financial Review and Prospects - Non-GAAP Financial Measures</t>
  </si>
  <si>
    <t xml:space="preserve">AN-0286</t>
  </si>
  <si>
    <t xml:space="preserve">AN-0287</t>
  </si>
  <si>
    <t xml:space="preserve">AN-0288</t>
  </si>
  <si>
    <t xml:space="preserve">|| Non-GAAP operating income | 175,263</t>
  </si>
  <si>
    <t xml:space="preserve">2026 Proxy Statement dated July 2, 2026 (Exhibit 99.1), Exhibit A - Non-GAAP Financial Measures reconciliation</t>
  </si>
  <si>
    <t xml:space="preserve">Units not stated in table; presumed USD thousands consistent with GAAP operating loss (1,748)</t>
  </si>
  <si>
    <t xml:space="preserve">AN-0289</t>
  </si>
  <si>
    <t xml:space="preserve">Non-GAAP operating income | $ | 59,938 | $ | 16,324</t>
  </si>
  <si>
    <t xml:space="preserve">H1 2024 MD&amp;A (Exhibit 99.3), Non-GAAP Financial Measures - Non-GAAP Operating income reconciliation table</t>
  </si>
  <si>
    <t xml:space="preserve">AN-0290</t>
  </si>
  <si>
    <t xml:space="preserve">AN-0291</t>
  </si>
  <si>
    <t xml:space="preserve">Non-GAAP operating income | $ | 85,848 | $ | 59,938</t>
  </si>
  <si>
    <t xml:space="preserve">H1 2025 MD&amp;A (Exhibit 99.3), Non-GAAP Financial Measures - Non-GAAP Operating income reconciliation</t>
  </si>
  <si>
    <t xml:space="preserve">AN-0292</t>
  </si>
  <si>
    <t xml:space="preserve">AN-0293</t>
  </si>
  <si>
    <t xml:space="preserve">Non-GAAP operating income | $ | 110,147 | $ | 85,848</t>
  </si>
  <si>
    <t xml:space="preserve">H1 2026 MD&amp;A (Exhibit 99.3), Non-GAAP Financial Measures - reconciliation</t>
  </si>
  <si>
    <t xml:space="preserve">AN-0294</t>
  </si>
  <si>
    <t xml:space="preserve">AN-0295</t>
  </si>
  <si>
    <t xml:space="preserve">Non-GAAP operating income (loss) | $ | 132,383 | $ | 61,601 | $ | (47,095)</t>
  </si>
  <si>
    <t xml:space="preserve">Item 5 (Part 4 - Operating and Financial Review and Prospects) - Non-GAAP Financial Measures - Non-GAAP operating income (loss) (reconciliation table, in thousands)</t>
  </si>
  <si>
    <t xml:space="preserve">FY2024 adds back SBC 129,209 and charitable contribution to foundation 24,208; FY2023/FY2022 add back SBC only.</t>
  </si>
  <si>
    <t xml:space="preserve">AN-0296</t>
  </si>
  <si>
    <t xml:space="preserve">AN-0297</t>
  </si>
  <si>
    <t xml:space="preserve">AN-0298</t>
  </si>
  <si>
    <t xml:space="preserve">Non-GAAP operating margin</t>
  </si>
  <si>
    <t xml:space="preserve">|| Non-GAAP operating margin | 14%</t>
  </si>
  <si>
    <t xml:space="preserve">2026 Proxy Statement dated July 2, 2026 (Exhibit 99.1), Exhibit A</t>
  </si>
  <si>
    <t xml:space="preserve">AN-0299</t>
  </si>
  <si>
    <t xml:space="preserve">Non-GAAP reconciliation - charitable contribution to foundation add-back</t>
  </si>
  <si>
    <t xml:space="preserve">Charitable contribution to foundation (1) | 24,208 | - | -</t>
  </si>
  <si>
    <t xml:space="preserve">Item 5 (Part 4 - Operating and Financial Review and Prospects) - Non-GAAP Financial Measures - Non-GAAP operating income (loss)</t>
  </si>
  <si>
    <t xml:space="preserve">Note: = $17.9M equity grant + $6.3M cash contribution per footnote (1).</t>
  </si>
  <si>
    <t xml:space="preserve">AN-0300</t>
  </si>
  <si>
    <t xml:space="preserve">Non-GAAP reconciliation - share based compensation add-back</t>
  </si>
  <si>
    <t xml:space="preserve">Share based compensation | 129,209 | 100,186 | 104,920</t>
  </si>
  <si>
    <t xml:space="preserve">Excludes the $17.9M Foundation equity grant, which is added back separately in 'Charitable contribution to foundation'.</t>
  </si>
  <si>
    <t xml:space="preserve">AN-0301</t>
  </si>
  <si>
    <t xml:space="preserve">Nonprofits receiving Digital Lift discounts - ARR value</t>
  </si>
  <si>
    <t xml:space="preserve">we have provided discounts to over 8,500 nonprofits amounting to a total of $7.2 million in annual recurring revenue (as of December 31, 2021).</t>
  </si>
  <si>
    <t xml:space="preserve">Item 4.B Business Overview &gt; The monday.com Digital Lift Initiative</t>
  </si>
  <si>
    <t xml:space="preserve">Discount value expressed in ARR; also in charitable.</t>
  </si>
  <si>
    <t xml:space="preserve">AN-0302</t>
  </si>
  <si>
    <t xml:space="preserve">Paid customers (approximate total)</t>
  </si>
  <si>
    <t xml:space="preserve">With approximately 250,000 customers, we are not reliant on any specific customer</t>
  </si>
  <si>
    <t xml:space="preserve">Approximate; period-end date implied by report date, stated in H1 2026 MD&amp;A</t>
  </si>
  <si>
    <t xml:space="preserve">AN-0303</t>
  </si>
  <si>
    <t xml:space="preserve">Partner-built marketplace applications monetizing</t>
  </si>
  <si>
    <t xml:space="preserve">our partners built, listed, and started monetizing 280 applications on the monday.com marketplace</t>
  </si>
  <si>
    <t xml:space="preserve">Also: 58 listed and partner-built solutions on the platform.</t>
  </si>
  <si>
    <t xml:space="preserve">AN-0304</t>
  </si>
  <si>
    <t xml:space="preserve">Partner-built monetized marketplace applications</t>
  </si>
  <si>
    <t xml:space="preserve">our partners built, listed, and started monetizing 67 applications on the monday. com marketplace</t>
  </si>
  <si>
    <t xml:space="preserve">AN-0305</t>
  </si>
  <si>
    <t xml:space="preserve">Partner-built solutions on platform</t>
  </si>
  <si>
    <t xml:space="preserve">We have 35 partner-built solutions on the monday.com platform</t>
  </si>
  <si>
    <t xml:space="preserve">AN-0306</t>
  </si>
  <si>
    <t xml:space="preserve">Paying customers (total)</t>
  </si>
  <si>
    <t xml:space="preserve">compared to over 113,000 as of December 31, 2020</t>
  </si>
  <si>
    <t xml:space="preserve">AN-0307</t>
  </si>
  <si>
    <t xml:space="preserve">As of December 31, 2021, we had over 152,000 paying customers, compared to over 113,000 as of December 31, 2020.</t>
  </si>
  <si>
    <t xml:space="preserve">AN-0308</t>
  </si>
  <si>
    <t xml:space="preserve">As of December 31, 2022, we had over 186,000 paying customers, compared to over 152,000 as of December 31, 2021.</t>
  </si>
  <si>
    <t xml:space="preserve">Stated as 'over 152,000'; lower bound.</t>
  </si>
  <si>
    <t xml:space="preserve">AN-0309</t>
  </si>
  <si>
    <t xml:space="preserve">Stated as 'over 186,000'; lower bound.</t>
  </si>
  <si>
    <t xml:space="preserve">AN-0310</t>
  </si>
  <si>
    <t xml:space="preserve">As of December 31, 2023, we had over 225,000 paying customers, compared to over 186,000 as of December 31, 2022.</t>
  </si>
  <si>
    <t xml:space="preserve">Lower bound ('over 186,000').</t>
  </si>
  <si>
    <t xml:space="preserve">AN-0311</t>
  </si>
  <si>
    <t xml:space="preserve">Lower bound ('over 225,000').</t>
  </si>
  <si>
    <t xml:space="preserve">AN-0312</t>
  </si>
  <si>
    <t xml:space="preserve">...compared to over 225,000 as of December 31, 2023.</t>
  </si>
  <si>
    <t xml:space="preserve">Item 5 (Part 4 - Operating and Financial Review and Prospects) - Key business metrics - A large and diversified customer base</t>
  </si>
  <si>
    <t xml:space="preserve">Approximate ('over'); exact count not disclosed.</t>
  </si>
  <si>
    <t xml:space="preserve">AN-0313</t>
  </si>
  <si>
    <t xml:space="preserve">As of December 31, 2024, we had nearly 245,000 paying customers, compared to over 225,000 as of December 31, 2023.</t>
  </si>
  <si>
    <t xml:space="preserve">Approximate ('nearly'); exact count not disclosed. Also stated in Item 4.B (Part 1 - Who we are - Our customers): 'nearly 245,000 customers as of December 31, 2024'.</t>
  </si>
  <si>
    <t xml:space="preserve">AN-0314</t>
  </si>
  <si>
    <t xml:space="preserve">As of December 31, 2025, we had over 250,000 paying customers, compared to nearly 245,000 as of December 31, 2024.</t>
  </si>
  <si>
    <t xml:space="preserve">Stated as 'nearly 245,000' (approximate, upper bound).</t>
  </si>
  <si>
    <t xml:space="preserve">AN-0315</t>
  </si>
  <si>
    <t xml:space="preserve">Stated as 'over 250,000' (lower bound, approximate). Also 'over 250,000 customers as of December 31, 2025' in Item 4.B 'Our customers'.</t>
  </si>
  <si>
    <t xml:space="preserve">AN-0316</t>
  </si>
  <si>
    <t xml:space="preserve">Paying customers growth YoY</t>
  </si>
  <si>
    <t xml:space="preserve">more than 152,000 customers as of December 31, 2021, an increase of 34% from the more than 113,000 customers as of December 31, 2020</t>
  </si>
  <si>
    <t xml:space="preserve">Item 4.B Business Overview &gt; Our Customers</t>
  </si>
  <si>
    <t xml:space="preserve">AN-0317</t>
  </si>
  <si>
    <t xml:space="preserve">over 225,000 customers as of December 31, 2023, an increase of 21% from the more than 186,000 customers as of December 31, 2022</t>
  </si>
  <si>
    <t xml:space="preserve">Part 1 - Who We Are (Item 4.B) &gt; Our customers</t>
  </si>
  <si>
    <t xml:space="preserve">AN-0318</t>
  </si>
  <si>
    <t xml:space="preserve">Research and development as % of revenue</t>
  </si>
  <si>
    <t xml:space="preserve">For the years ended December 31, 2025, 2024 and 2023, our research and development expenses as a percentage of revenue were approximately 26%, 22% and 21%, respectively.</t>
  </si>
  <si>
    <t xml:space="preserve">Item 5.A / Part 4 - A. Operating Results - Components of Results of Operations - Research and Development Expenses</t>
  </si>
  <si>
    <t xml:space="preserve">AN-0319</t>
  </si>
  <si>
    <t xml:space="preserve">AN-0320</t>
  </si>
  <si>
    <t xml:space="preserve">AN-0321</t>
  </si>
  <si>
    <t xml:space="preserve">|| Revenue | $ | 1,231,997 | $ | 971,995 | $ | 729,695</t>
  </si>
  <si>
    <t xml:space="preserve">Item 18 / Consolidated Financial Statements - Consolidated Statements of Operations</t>
  </si>
  <si>
    <t xml:space="preserve">Text: 'Our revenue was $1,232.0 million, $972.0 million, and $729.7 million...' (Part 4 Growth at scale).</t>
  </si>
  <si>
    <t xml:space="preserve">AN-0322</t>
  </si>
  <si>
    <t xml:space="preserve">AN-0323</t>
  </si>
  <si>
    <t xml:space="preserve">AN-0324</t>
  </si>
  <si>
    <t xml:space="preserve">Revenue | $ | 453,019 | $ | 337,935</t>
  </si>
  <si>
    <t xml:space="preserve">H1 2024 interim financial statements (Exhibit 99.2), Condensed Consolidated Statements of Operations</t>
  </si>
  <si>
    <t xml:space="preserve">AN-0325</t>
  </si>
  <si>
    <t xml:space="preserve">AN-0326</t>
  </si>
  <si>
    <t xml:space="preserve">Revenue | $ | 581,264 | $ | 453,019</t>
  </si>
  <si>
    <t xml:space="preserve">H1 2025 interim financial statements (Exhibit 99.2), Condensed Consolidated Statements of Operations</t>
  </si>
  <si>
    <t xml:space="preserve">AN-0327</t>
  </si>
  <si>
    <t xml:space="preserve">Revenue | $ | 715,886 | $ | 581,264</t>
  </si>
  <si>
    <t xml:space="preserve">H1 2026 interim financial statements (Exhibit 99.2), Condensed Consolidated Statements of Operations</t>
  </si>
  <si>
    <t xml:space="preserve">AN-0328</t>
  </si>
  <si>
    <t xml:space="preserve">Revenue YoY growth</t>
  </si>
  <si>
    <t xml:space="preserve">Year-over-Year Revenue Growth : An increase of 27%, 33%, and 41% in the years ended December 31, 2025, 2024 and 2023, respectively.</t>
  </si>
  <si>
    <t xml:space="preserve">Item 5 / Part 4 - Operating and Financial Review and Prospects - Growth at scale</t>
  </si>
  <si>
    <t xml:space="preserve">AN-0329</t>
  </si>
  <si>
    <t xml:space="preserve">AN-0330</t>
  </si>
  <si>
    <t xml:space="preserve">AN-0331</t>
  </si>
  <si>
    <t xml:space="preserve">An increase of 34% and 46% for the six months ended June 30, 2024, and June 30, 2023, respectively.</t>
  </si>
  <si>
    <t xml:space="preserve">H1 2024 MD&amp;A (Exhibit 99.3), Hyper-growth at scale</t>
  </si>
  <si>
    <t xml:space="preserve">AN-0332</t>
  </si>
  <si>
    <t xml:space="preserve">Year over Year Revenue Growth: An increase of 34% and 46% for the six months ended June 30, 2024, and June 30, 2023, respectively.</t>
  </si>
  <si>
    <t xml:space="preserve">AN-0333</t>
  </si>
  <si>
    <t xml:space="preserve">Our revenue growth was 28% and 34% for the six months ended June 30, 2025, and June 30, 2024, respectively.</t>
  </si>
  <si>
    <t xml:space="preserve">H1 2025 MD&amp;A (Exhibit 99.3), Growth at scale</t>
  </si>
  <si>
    <t xml:space="preserve">AN-0334</t>
  </si>
  <si>
    <t xml:space="preserve">Our revenue growth was 23% and 28% for the six months ended June 30 2026, and June 30, 2025, respectively.</t>
  </si>
  <si>
    <t xml:space="preserve">H1 2026 MD&amp;A (Exhibit 99.3), Growth at scale</t>
  </si>
  <si>
    <t xml:space="preserve">AN-0335</t>
  </si>
  <si>
    <t xml:space="preserve">Revenue concentration - largest single customer</t>
  </si>
  <si>
    <t xml:space="preserve">no single customer accounts for more than 1% of our revenues, and our top 100 customers accounted for less than 10% of our revenues for the years ended December 31, 2024 and 2023.</t>
  </si>
  <si>
    <t xml:space="preserve">Upper bound ('no more than 1%'); top-100 &lt; 10% for FY2024 and FY2023.</t>
  </si>
  <si>
    <t xml:space="preserve">AN-0336</t>
  </si>
  <si>
    <t xml:space="preserve">Revenue concentration - top 100 customers</t>
  </si>
  <si>
    <t xml:space="preserve">our top 100 customers accounted for less than 10% of our revenues for the years ended December 31, 2024 and 2023.</t>
  </si>
  <si>
    <t xml:space="preserve">Upper bound ('less than 10%'); applies to FY2024 and FY2023.</t>
  </si>
  <si>
    <t xml:space="preserve">AN-0337</t>
  </si>
  <si>
    <t xml:space="preserve">Revenue derived from current period activity</t>
  </si>
  <si>
    <t xml:space="preserve">$716.0 million was derived from current period activity, including contract renewals, expansions, and new client acquisitions.</t>
  </si>
  <si>
    <t xml:space="preserve">Item 5.A / Part 4 - Comparison of the Years Ended December 31, 2025 and 2024 - Revenue</t>
  </si>
  <si>
    <t xml:space="preserve">AN-0338</t>
  </si>
  <si>
    <t xml:space="preserve">$254.8 million was derived from current period activity, including contract renewals, expansions, and new client acquisitions</t>
  </si>
  <si>
    <t xml:space="preserve">H1 2026 MD&amp;A (Exhibit 99.3), Revenue</t>
  </si>
  <si>
    <t xml:space="preserve">AN-0339</t>
  </si>
  <si>
    <t xml:space="preserve">Revenue from performance obligations from prior periods</t>
  </si>
  <si>
    <t xml:space="preserve">out of the $1,232.0 million of revenue for 2025, $516.0 million was associated with performance obligations from prior periods and $716.0 million was derived from current period activity</t>
  </si>
  <si>
    <t xml:space="preserve">AN-0340</t>
  </si>
  <si>
    <t xml:space="preserve">out of the $715.9 million of revenue for the six months ended June 30, 2026, $461.1 million was associated with performance obligations from prior periods and $254.8 million was derived from current period activity</t>
  </si>
  <si>
    <t xml:space="preserve">H1 2026 MD&amp;A (Exhibit 99.3), Comparison of the Six Months Ended June 30, 2026 and 2025 - Revenue</t>
  </si>
  <si>
    <t xml:space="preserve">AN-0341</t>
  </si>
  <si>
    <t xml:space="preserve">Revenue increase from deferred revenue and open sales orders from prior periods</t>
  </si>
  <si>
    <t xml:space="preserve">This increase was driven primarily by a combination of deferred revenue and open sales orders from prior periods' transactions in the amount of $141.0 million, and new business activity from the current period of $119.0 million.</t>
  </si>
  <si>
    <t xml:space="preserve">AN-0342</t>
  </si>
  <si>
    <t xml:space="preserve">a combination of deferred revenue and open sales orders from prior periods' transactions in the amount of $105.7 million and new business activity from the current period of $28.9 million</t>
  </si>
  <si>
    <t xml:space="preserve">Components of the $134.6M YoY increase</t>
  </si>
  <si>
    <t xml:space="preserve">AN-0343</t>
  </si>
  <si>
    <t xml:space="preserve">Revenue increase from new business activity in current period</t>
  </si>
  <si>
    <t xml:space="preserve">new business activity from the current period of $119.0 million.</t>
  </si>
  <si>
    <t xml:space="preserve">AN-0344</t>
  </si>
  <si>
    <t xml:space="preserve">new business activity from the current period of $28.9 million</t>
  </si>
  <si>
    <t xml:space="preserve">AN-0345</t>
  </si>
  <si>
    <t xml:space="preserve">Sales and marketing as % of revenue</t>
  </si>
  <si>
    <t xml:space="preserve">For the years ended December 31, 2025, 2024 and 2023, our sales and marketing expenses as a percentage of revenue were approximately 51%, 55% and 60%, respectively.</t>
  </si>
  <si>
    <t xml:space="preserve">Item 5.A / Part 4 - A. Operating Results - Components of Results of Operations - Sales and Marketing Expenses</t>
  </si>
  <si>
    <t xml:space="preserve">AN-0346</t>
  </si>
  <si>
    <t xml:space="preserve">AN-0347</t>
  </si>
  <si>
    <t xml:space="preserve">AN-0348</t>
  </si>
  <si>
    <t xml:space="preserve">Sales related commissions as % of revenue</t>
  </si>
  <si>
    <t xml:space="preserve">Our sales related commissions as a percentage of revenue were approximately 2%, 5% and 6% for the years ended December 31, 2025, 2024, and 2023, respectively. The year-over-year decrease is related to changes in our commissions model.</t>
  </si>
  <si>
    <t xml:space="preserve">AN-0349</t>
  </si>
  <si>
    <t xml:space="preserve">AN-0350</t>
  </si>
  <si>
    <t xml:space="preserve">AN-0351</t>
  </si>
  <si>
    <t xml:space="preserve">Sales, partners and customer success team headcount</t>
  </si>
  <si>
    <t xml:space="preserve">AN-0352</t>
  </si>
  <si>
    <t xml:space="preserve">We have more than tripled our sales, partners and customer success teams from 166 employees at the end of 2019 to 567 employees as of December 31, 2021.</t>
  </si>
  <si>
    <t xml:space="preserve">AN-0353</t>
  </si>
  <si>
    <t xml:space="preserve">Share of ARR - customers &gt;$100,000 ARR</t>
  </si>
  <si>
    <t xml:space="preserve">...accounted for 24% and 20% of our ARR, respectively.</t>
  </si>
  <si>
    <t xml:space="preserve">AN-0354</t>
  </si>
  <si>
    <t xml:space="preserve">As of December 31, 2024 and December 31, 2023, such enterprise customers accounted for 24% and 20% of our ARR, respectively.</t>
  </si>
  <si>
    <t xml:space="preserve">AN-0355</t>
  </si>
  <si>
    <t xml:space="preserve">Share of ARR - customers &gt;$50,000 ARR</t>
  </si>
  <si>
    <t xml:space="preserve">...accounted for 36% and 32% of our ARR, respectively.</t>
  </si>
  <si>
    <t xml:space="preserve">AN-0356</t>
  </si>
  <si>
    <t xml:space="preserve">As of December 31, 2024 and December 31, 2023, such enterprise customers accounted for 36% and 32% of our ARR, respectively.</t>
  </si>
  <si>
    <t xml:space="preserve">AN-0357</t>
  </si>
  <si>
    <t xml:space="preserve">As of December 31, 2025 and December 31, 2024, such enterprise customers accounted for 28% and 24% of our ARR, respectively.</t>
  </si>
  <si>
    <t xml:space="preserve">AN-0358</t>
  </si>
  <si>
    <t xml:space="preserve">AN-0359</t>
  </si>
  <si>
    <t xml:space="preserve">As of December 31, 2025 and December 31, 2024, such enterprise customers accounted for 41% and 36% of our ARR, respectively.</t>
  </si>
  <si>
    <t xml:space="preserve">AN-0360</t>
  </si>
  <si>
    <t xml:space="preserve">AN-0361</t>
  </si>
  <si>
    <t xml:space="preserve">As of December 31, 2025, and December 31, 2024, such enterprise customers accounted for 6% and 4% of our ARR, respectively.</t>
  </si>
  <si>
    <t xml:space="preserve">AN-0362</t>
  </si>
  <si>
    <t xml:space="preserve">AN-0363</t>
  </si>
  <si>
    <t xml:space="preserve">...such customers accounted for 79% and 78% of our ARR, respectively.</t>
  </si>
  <si>
    <t xml:space="preserve">AN-0364</t>
  </si>
  <si>
    <t xml:space="preserve">As of December 31, 2024 and December 31, 2023, such customers accounted for 79% and 78% of our ARR, respectively.</t>
  </si>
  <si>
    <t xml:space="preserve">AN-0365</t>
  </si>
  <si>
    <t xml:space="preserve">Share of ARR from customers with &gt;$100,000 ARR</t>
  </si>
  <si>
    <t xml:space="preserve">such enterprise customers accounted for 26% and 21% of our ARR, respectively</t>
  </si>
  <si>
    <t xml:space="preserve">AN-0366</t>
  </si>
  <si>
    <t xml:space="preserve">As of June 30, 2025 and June 30, 2024, such enterprise customers accounted for 26% and 21% of our ARR, respectively.</t>
  </si>
  <si>
    <t xml:space="preserve">AN-0367</t>
  </si>
  <si>
    <t xml:space="preserve">such enterprise customers accounted for 30% and 26% of our ARR, respectively</t>
  </si>
  <si>
    <t xml:space="preserve">AN-0368</t>
  </si>
  <si>
    <t xml:space="preserve">As of June 30, 2026 and June 30, 2025, such enterprise customers accounted for 30% and 26% of our ARR, respectively.</t>
  </si>
  <si>
    <t xml:space="preserve">AN-0369</t>
  </si>
  <si>
    <t xml:space="preserve">Share of ARR from customers with &gt;$500,000 ARR</t>
  </si>
  <si>
    <t xml:space="preserve">such enterprise customers accounted for 7% and 5% of our ARR, respectively</t>
  </si>
  <si>
    <t xml:space="preserve">AN-0370</t>
  </si>
  <si>
    <t xml:space="preserve">As of June 30, 2026, and June 30, 2025, such enterprise customers accounted for 7% and 5% of our ARR, respectively.</t>
  </si>
  <si>
    <t xml:space="preserve">AN-0371</t>
  </si>
  <si>
    <t xml:space="preserve">Share of ARR from customers with &gt;10 users</t>
  </si>
  <si>
    <t xml:space="preserve">As of June 30, 2024, and June 30, 2023, our customers with more than 10 users accounted for 78% and 77% of our ARR, respectively.</t>
  </si>
  <si>
    <t xml:space="preserve">H1 2024 MD&amp;A (Exhibit 99.3), Key Business Metrics - Strong base of Customers with more than 10 users</t>
  </si>
  <si>
    <t xml:space="preserve">AN-0372</t>
  </si>
  <si>
    <t xml:space="preserve">AN-0373</t>
  </si>
  <si>
    <t xml:space="preserve">such customers accounted for 80% and 78% of our ARR, respectively</t>
  </si>
  <si>
    <t xml:space="preserve">AN-0374</t>
  </si>
  <si>
    <t xml:space="preserve">As of June 30, 2025 and June 30, 2024, such customers accounted for 80% and 78% of our ARR, respectively.</t>
  </si>
  <si>
    <t xml:space="preserve">AN-0375</t>
  </si>
  <si>
    <t xml:space="preserve">Share of ARR from customers with more than 10 users</t>
  </si>
  <si>
    <t xml:space="preserve">As of December 31, 2021, 2020 and 2019, our customers with more than 10 users accounted for 72%, 63% and 53% of ARR</t>
  </si>
  <si>
    <t xml:space="preserve">Item 5 Operating and Financial Review and Prospects &gt; Key Business Metrics &gt; Continuous increase in Customers with More than 10 Users</t>
  </si>
  <si>
    <t xml:space="preserve">AN-0376</t>
  </si>
  <si>
    <t xml:space="preserve">AN-0377</t>
  </si>
  <si>
    <t xml:space="preserve">As of December 31, 2022, 2021 and 2020, our customers with more than 10 users accounted for 76%, 72% and 63% of our ARR</t>
  </si>
  <si>
    <t xml:space="preserve">Part 4 - Operating and Financial Review and Prospects (Item 5) &gt; Key Business Metrics &gt; Continuous increase in Customers with More than 10 Users</t>
  </si>
  <si>
    <t xml:space="preserve">AN-0378</t>
  </si>
  <si>
    <t xml:space="preserve">AN-0379</t>
  </si>
  <si>
    <t xml:space="preserve">AN-0380</t>
  </si>
  <si>
    <t xml:space="preserve">As of December 31, 2023, 2022 and 2021, our customers with more than 10 users accounted for 78%, 76% and 72% of our ARR (“Annual Recurring Revenue”), respectively.</t>
  </si>
  <si>
    <t xml:space="preserve">Part 4 - Operating and Financial Review and Prospects (Item 5) &gt; Key Business Metrics &gt; Strong base of Customers with more than 10 users</t>
  </si>
  <si>
    <t xml:space="preserve">AN-0381</t>
  </si>
  <si>
    <t xml:space="preserve">AN-0382</t>
  </si>
  <si>
    <t xml:space="preserve">AN-0383</t>
  </si>
  <si>
    <t xml:space="preserve">AN-0384</t>
  </si>
  <si>
    <t xml:space="preserve">Share of ARR from enterprise customers (&gt;$50,000 ARR)</t>
  </si>
  <si>
    <t xml:space="preserve">such enterprise customers accounted for 38% and 33% of our ARR, respectively</t>
  </si>
  <si>
    <t xml:space="preserve">AN-0385</t>
  </si>
  <si>
    <t xml:space="preserve">As of June 30, 2025 and June 30, 2024, such enterprise customers accounted for 38% and 33% of our ARR, respectively.</t>
  </si>
  <si>
    <t xml:space="preserve">AN-0386</t>
  </si>
  <si>
    <t xml:space="preserve">such enterprise customers accounted for 43% and 38% of our ARR, respectively</t>
  </si>
  <si>
    <t xml:space="preserve">AN-0387</t>
  </si>
  <si>
    <t xml:space="preserve">Enterprise customers now represent more than 42% of total ARR as of the end of Q1 2026.</t>
  </si>
  <si>
    <t xml:space="preserve">Lower bound ('more than 42%')</t>
  </si>
  <si>
    <t xml:space="preserve">AN-0388</t>
  </si>
  <si>
    <t xml:space="preserve">As of June 30, 2026 and June 30, 2025, such enterprise customers accounted for 43% and 38% of our ARR, respectively.</t>
  </si>
  <si>
    <t xml:space="preserve">AN-0389</t>
  </si>
  <si>
    <t xml:space="preserve">Share of customers in traditionally non-tech industries</t>
  </si>
  <si>
    <t xml:space="preserve">more than 70% of our customers working in traditionally non-tech industries</t>
  </si>
  <si>
    <t xml:space="preserve">Stated as 'more than 70%'.</t>
  </si>
  <si>
    <t xml:space="preserve">AN-0390</t>
  </si>
  <si>
    <t xml:space="preserve">Share of enterprise (&gt;$50,000 ARR) customers with multiple products</t>
  </si>
  <si>
    <t xml:space="preserve">As of December 31, 2025, 29% of our enterprise customers had multiple products as compared to 6% of our sub-$50,000 ARR customers.</t>
  </si>
  <si>
    <t xml:space="preserve">AN-0391</t>
  </si>
  <si>
    <t xml:space="preserve">Share of sub-$50,000 ARR customers with multiple products</t>
  </si>
  <si>
    <t xml:space="preserve">AN-0392</t>
  </si>
  <si>
    <t xml:space="preserve">Top 100 customers share of revenue (upper bound)</t>
  </si>
  <si>
    <t xml:space="preserve">our top 100 customers accounted for less than 10% of our revenues for the years ended December 31, 2021, and 2020.</t>
  </si>
  <si>
    <t xml:space="preserve">Stated as 'less than 10%'.</t>
  </si>
  <si>
    <t xml:space="preserve">AN-0393</t>
  </si>
  <si>
    <t xml:space="preserve">No single customer accounts for more than 1% of our revenues, and our top 100 customers accounted for less than 10% of our revenues for the years ended December 31, 2021, and 2020.</t>
  </si>
  <si>
    <t xml:space="preserve">Stated as 'less than 10%' for both FY2021 and FY2020; no single customer &gt;1%.</t>
  </si>
  <si>
    <t xml:space="preserve">AN-0394</t>
  </si>
  <si>
    <t xml:space="preserve">AN-0395</t>
  </si>
  <si>
    <t xml:space="preserve">AN-0396</t>
  </si>
  <si>
    <t xml:space="preserve">our top 100 customers accounted for less than 10% of our revenues for the years ended December 31, 2025 and 2024.</t>
  </si>
  <si>
    <t xml:space="preserve">Upper bound ('less than 10%'); applies to FY2025 and FY2024.</t>
  </si>
  <si>
    <t xml:space="preserve">AN-0397</t>
  </si>
  <si>
    <t xml:space="preserve">rpo</t>
  </si>
  <si>
    <t xml:space="preserve">Advances from customers</t>
  </si>
  <si>
    <t xml:space="preserve">Advances from customers | 2,134 | 1,556</t>
  </si>
  <si>
    <t xml:space="preserve">Item 18 &gt; Note 5 Accrued Expenses and Other Current Liabilities</t>
  </si>
  <si>
    <t xml:space="preserve">AN-0398</t>
  </si>
  <si>
    <t xml:space="preserve">AN-0399</t>
  </si>
  <si>
    <t xml:space="preserve">Advances from customers | 2,805 | 2,134</t>
  </si>
  <si>
    <t xml:space="preserve">AN-0400</t>
  </si>
  <si>
    <t xml:space="preserve">AN-0401</t>
  </si>
  <si>
    <t xml:space="preserve">Advances from customers | 2,801 | 2,805</t>
  </si>
  <si>
    <t xml:space="preserve">AN-0402</t>
  </si>
  <si>
    <t xml:space="preserve">AN-0403</t>
  </si>
  <si>
    <t xml:space="preserve">Amortization of deferred contract costs</t>
  </si>
  <si>
    <t xml:space="preserve">Amortization expenses related to deferred contract costs amounted to $ 6,382 in 2024, and $ 0 in each of 2023 and 2022.</t>
  </si>
  <si>
    <t xml:space="preserve">Item 18 (Part 5 - Consolidated Financial Statements) - Note 2: Significant Accounting Policies - N. Revenue Recognition - Contract costs</t>
  </si>
  <si>
    <t xml:space="preserve">Recorded within sales and marketing. Note: zero amortization in 2023 despite a $3,675K balance at 2023-12-31; filing gives no explanation.</t>
  </si>
  <si>
    <t xml:space="preserve">AN-0404</t>
  </si>
  <si>
    <t xml:space="preserve">AN-0405</t>
  </si>
  <si>
    <t xml:space="preserve">AN-0406</t>
  </si>
  <si>
    <t xml:space="preserve">Change in deferred revenue (cash flow statement)</t>
  </si>
  <si>
    <t xml:space="preserve">Deferred revenue | 64,491 | 64,372 | 29,738</t>
  </si>
  <si>
    <t xml:space="preserve">Item 18 Financial Statements &gt; Consolidated Statements of Cash Flows (U.S. dollars in thousands)</t>
  </si>
  <si>
    <t xml:space="preserve">AN-0407</t>
  </si>
  <si>
    <t xml:space="preserve">AN-0408</t>
  </si>
  <si>
    <t xml:space="preserve">Deferred revenue | 68,932 | 64,491 | 64,372</t>
  </si>
  <si>
    <t xml:space="preserve">Item 18 Financial Statements &gt; Consolidated Statements of Cash Flows (U.S. dollars in thousands) &gt; Changes in operating assets and liabilities</t>
  </si>
  <si>
    <t xml:space="preserve">AN-0409</t>
  </si>
  <si>
    <t xml:space="preserve">AN-0410</t>
  </si>
  <si>
    <t xml:space="preserve">AN-0411</t>
  </si>
  <si>
    <t xml:space="preserve">Deferred revenue | 73,117 | 68,932 | 64,491</t>
  </si>
  <si>
    <t xml:space="preserve">Item 18 (Part 5 - Consolidated Financial Statements) - Consolidated Statements of Cash Flows (U.S. dollars in thousands)</t>
  </si>
  <si>
    <t xml:space="preserve">AN-0412</t>
  </si>
  <si>
    <t xml:space="preserve">AN-0413</t>
  </si>
  <si>
    <t xml:space="preserve">AN-0414</t>
  </si>
  <si>
    <t xml:space="preserve">|| Deferred revenue | 69,029 | 73,117 | 68,932</t>
  </si>
  <si>
    <t xml:space="preserve">Item 18 / Consolidated Statements of Cash Flows</t>
  </si>
  <si>
    <t xml:space="preserve">AN-0415</t>
  </si>
  <si>
    <t xml:space="preserve">AN-0416</t>
  </si>
  <si>
    <t xml:space="preserve">AN-0417</t>
  </si>
  <si>
    <t xml:space="preserve">AN-0418</t>
  </si>
  <si>
    <t xml:space="preserve">FY2019</t>
  </si>
  <si>
    <t xml:space="preserve">Change in deferred revenue (cash flow)</t>
  </si>
  <si>
    <t xml:space="preserve">Deferred revenue | 63,719 | 29,738 | 22,495</t>
  </si>
  <si>
    <t xml:space="preserve">Item 18 &gt; Consolidated Statements of Cash Flows</t>
  </si>
  <si>
    <t xml:space="preserve">AN-0419</t>
  </si>
  <si>
    <t xml:space="preserve">AN-0420</t>
  </si>
  <si>
    <t xml:space="preserve">AN-0421</t>
  </si>
  <si>
    <t xml:space="preserve">Deferred contract acquisition costs - amortization</t>
  </si>
  <si>
    <t xml:space="preserve">|| Beginning balance | $ | 20,522 | $ | 3,675 || Capitalization of deferred contract costs | 88,425 | 23,229 || Amortization | ( 23,139 ) | ( 6,382 ) || Ending balance | $ | 85,808 | $ | 20,522</t>
  </si>
  <si>
    <t xml:space="preserve">Item 18 / Consolidated Financial Statements - Notes to Consolidated Financial Statements - Note 2: Significant Accounting Policies - N. Revenue Recognition - Contract costs (deferred contract acquisition costs table)</t>
  </si>
  <si>
    <t xml:space="preserve">Amortization recorded within sales and marketing; period of benefit three years.</t>
  </si>
  <si>
    <t xml:space="preserve">AN-0422</t>
  </si>
  <si>
    <t xml:space="preserve">AN-0423</t>
  </si>
  <si>
    <t xml:space="preserve">Deferred contract acquisition costs - beginning balance</t>
  </si>
  <si>
    <t xml:space="preserve">AN-0424</t>
  </si>
  <si>
    <t xml:space="preserve">AN-0425</t>
  </si>
  <si>
    <t xml:space="preserve">Deferred contract acquisition costs - capitalization</t>
  </si>
  <si>
    <t xml:space="preserve">AN-0426</t>
  </si>
  <si>
    <t xml:space="preserve">AN-0427</t>
  </si>
  <si>
    <t xml:space="preserve">Deferred contract acquisition costs - ending balance</t>
  </si>
  <si>
    <t xml:space="preserve">AN-0428</t>
  </si>
  <si>
    <t xml:space="preserve">AN-0429</t>
  </si>
  <si>
    <t xml:space="preserve">Deferred contract costs (current, in prepaid expenses)</t>
  </si>
  <si>
    <t xml:space="preserve">Deferred contract costs | 10,409 | 1,810</t>
  </si>
  <si>
    <t xml:space="preserve">Item 18 (Part 5 - Consolidated Financial Statements) - Note 4: Prepaid Expenses and Other Current Assets</t>
  </si>
  <si>
    <t xml:space="preserve">AN-0430</t>
  </si>
  <si>
    <t xml:space="preserve">AN-0431</t>
  </si>
  <si>
    <t xml:space="preserve">Deferred contract costs (total)</t>
  </si>
  <si>
    <t xml:space="preserve">Deferred contract costs amounted to $ 20,522 and $ 3,675 as of December 31, 2024 and 2023, respectively.</t>
  </si>
  <si>
    <t xml:space="preserve">AN-0432</t>
  </si>
  <si>
    <t xml:space="preserve">AN-0433</t>
  </si>
  <si>
    <t xml:space="preserve">Deferred revenue (current)</t>
  </si>
  <si>
    <t xml:space="preserve">Deferred revenue | 134,438 | 70,719</t>
  </si>
  <si>
    <t xml:space="preserve">Item 18 Financial Statements &gt; Consolidated Balance Sheets (U.S. dollars in thousands)</t>
  </si>
  <si>
    <t xml:space="preserve">AN-0434</t>
  </si>
  <si>
    <t xml:space="preserve">AN-0435</t>
  </si>
  <si>
    <t xml:space="preserve">Deferred revenue | 198,099 | 134,438</t>
  </si>
  <si>
    <t xml:space="preserve">AN-0436</t>
  </si>
  <si>
    <t xml:space="preserve">AN-0437</t>
  </si>
  <si>
    <t xml:space="preserve">Deferred revenue | 266,284 | 198,099</t>
  </si>
  <si>
    <t xml:space="preserve">AN-0438</t>
  </si>
  <si>
    <t xml:space="preserve">AN-0439</t>
  </si>
  <si>
    <t xml:space="preserve">Deferred revenue | 339,951 | 266,284</t>
  </si>
  <si>
    <t xml:space="preserve">Item 18 (Part 5 - Consolidated Financial Statements) - Consolidated Balance Sheets (U.S. dollars in thousands)</t>
  </si>
  <si>
    <t xml:space="preserve">AN-0440</t>
  </si>
  <si>
    <t xml:space="preserve">AN-0441</t>
  </si>
  <si>
    <t xml:space="preserve">Deferred revenue (total)</t>
  </si>
  <si>
    <t xml:space="preserve">As of December 31, 2022 and 2021, we had deferred revenue of $200.5 million and $136.1 million, respectively.</t>
  </si>
  <si>
    <t xml:space="preserve">Part 4 - Operating and Financial Review and Prospects (Item 5) &gt; B. Liquidity and Capital Resources (Item 5.B)</t>
  </si>
  <si>
    <t xml:space="preserve">AN-0442</t>
  </si>
  <si>
    <t xml:space="preserve">AN-0443</t>
  </si>
  <si>
    <t xml:space="preserve">...deferred revenue of $342.6 million and $269.5 million, respectively.</t>
  </si>
  <si>
    <t xml:space="preserve">Item 5 (Part 4 - Operating and Financial Review and Prospects) - B. Liquidity and Capital Resources</t>
  </si>
  <si>
    <t xml:space="preserve">Stated as $269.5 million. [Manually re-checked against source text.]</t>
  </si>
  <si>
    <t xml:space="preserve">AN-0444</t>
  </si>
  <si>
    <t xml:space="preserve">As of December 31, 2024 and 2023, we had deferred revenue of $342.6 million and $269.5 million, respectively.</t>
  </si>
  <si>
    <t xml:space="preserve">Stated as $342.6 million; converted to thousands (342,600) for consistency; equals current 339,951 + non-current 2,639 per balance sheet. [Manually re-checked against source text.]</t>
  </si>
  <si>
    <t xml:space="preserve">AN-0445</t>
  </si>
  <si>
    <t xml:space="preserve">As of December 31, 2025 and 2024, we had deferred revenue of $411.6 million and $342.6 million, respectively.</t>
  </si>
  <si>
    <t xml:space="preserve">Item 5.B / Part 4 - B. Liquidity and Capital Resources</t>
  </si>
  <si>
    <t xml:space="preserve">AN-0446</t>
  </si>
  <si>
    <t xml:space="preserve">AN-0447</t>
  </si>
  <si>
    <t xml:space="preserve">Deferred revenue (total, current + non-current)</t>
  </si>
  <si>
    <t xml:space="preserve">As of December 31, 2023 and 2022, we had deferred revenue of $269.5 million and $200.5 million, respectively.</t>
  </si>
  <si>
    <t xml:space="preserve">Part 4 (Item 5.B) &gt; B. Liquidity and Capital Resources</t>
  </si>
  <si>
    <t xml:space="preserve">AN-0448</t>
  </si>
  <si>
    <t xml:space="preserve">Liquidity text states 'The majority of our deferred revenue is expected to be recognized as revenue during the succeeding 12-month period'.</t>
  </si>
  <si>
    <t xml:space="preserve">AN-0449</t>
  </si>
  <si>
    <t xml:space="preserve">Deferred revenue increase (cash flow)</t>
  </si>
  <si>
    <t xml:space="preserve">Deferred revenue | 50,249 | 49,115</t>
  </si>
  <si>
    <t xml:space="preserve">H1 2024 interim financial statements (Exhibit 99.2), Condensed Consolidated Statements of Cash Flows</t>
  </si>
  <si>
    <t xml:space="preserve">AN-0450</t>
  </si>
  <si>
    <t xml:space="preserve">AN-0451</t>
  </si>
  <si>
    <t xml:space="preserve">Deferred revenue | 62,503 | 50,249</t>
  </si>
  <si>
    <t xml:space="preserve">H1 2025 interim financial statements (Exhibit 99.2), Condensed Consolidated Statements of Cash Flows</t>
  </si>
  <si>
    <t xml:space="preserve">AN-0452</t>
  </si>
  <si>
    <t xml:space="preserve">Deferred revenue | 42,058 | 62,503</t>
  </si>
  <si>
    <t xml:space="preserve">H1 2026 interim financial statements (Exhibit 99.2), Condensed Consolidated Statements of Cash Flows</t>
  </si>
  <si>
    <t xml:space="preserve">AN-0453</t>
  </si>
  <si>
    <t xml:space="preserve">Deferred revenue, current | 317,069 | 266,284</t>
  </si>
  <si>
    <t xml:space="preserve">H1 2024 interim financial statements (Exhibit 99.2), Condensed Consolidated Balance Sheets</t>
  </si>
  <si>
    <t xml:space="preserve">AN-0454</t>
  </si>
  <si>
    <t xml:space="preserve">AN-0455</t>
  </si>
  <si>
    <t xml:space="preserve">|| Deferred revenue | 409,677 | 339,951</t>
  </si>
  <si>
    <t xml:space="preserve">Item 18 / Consolidated Balance Sheets</t>
  </si>
  <si>
    <t xml:space="preserve">AN-0456</t>
  </si>
  <si>
    <t xml:space="preserve">Deferred revenue, current | 402,794 | 339,951</t>
  </si>
  <si>
    <t xml:space="preserve">H1 2025 interim financial statements (Exhibit 99.2), Condensed Consolidated Balance Sheets</t>
  </si>
  <si>
    <t xml:space="preserve">AN-0457</t>
  </si>
  <si>
    <t xml:space="preserve">AN-0458</t>
  </si>
  <si>
    <t xml:space="preserve">AN-0459</t>
  </si>
  <si>
    <t xml:space="preserve">Deferred revenue, current | 451,577 | 409,677</t>
  </si>
  <si>
    <t xml:space="preserve">H1 2026 interim financial statements (Exhibit 99.2), Condensed Consolidated Balance Sheets</t>
  </si>
  <si>
    <t xml:space="preserve">AN-0460</t>
  </si>
  <si>
    <t xml:space="preserve">AN-0461</t>
  </si>
  <si>
    <t xml:space="preserve">Deferred revenue, non-current | 2,442 | 1,612</t>
  </si>
  <si>
    <t xml:space="preserve">AN-0462</t>
  </si>
  <si>
    <t xml:space="preserve">AN-0463</t>
  </si>
  <si>
    <t xml:space="preserve">Deferred revenue, non-current | 3,189 | 2,442</t>
  </si>
  <si>
    <t xml:space="preserve">AN-0464</t>
  </si>
  <si>
    <t xml:space="preserve">AN-0465</t>
  </si>
  <si>
    <t xml:space="preserve">Deferred revenue, non-current | 2,639 | 3,189</t>
  </si>
  <si>
    <t xml:space="preserve">AN-0466</t>
  </si>
  <si>
    <t xml:space="preserve">Deferred revenue, non-current | 2,653 | 3,189</t>
  </si>
  <si>
    <t xml:space="preserve">AN-0467</t>
  </si>
  <si>
    <t xml:space="preserve">AN-0468</t>
  </si>
  <si>
    <t xml:space="preserve">AN-0469</t>
  </si>
  <si>
    <t xml:space="preserve">|| Deferred revenue, non-current | 1,942 | 2,639</t>
  </si>
  <si>
    <t xml:space="preserve">AN-0470</t>
  </si>
  <si>
    <t xml:space="preserve">Deferred revenue, non-current | 2,299 | 2,639</t>
  </si>
  <si>
    <t xml:space="preserve">AN-0471</t>
  </si>
  <si>
    <t xml:space="preserve">AN-0472</t>
  </si>
  <si>
    <t xml:space="preserve">AN-0473</t>
  </si>
  <si>
    <t xml:space="preserve">Deferred revenue, non-current | 2,100 | 1,942</t>
  </si>
  <si>
    <t xml:space="preserve">AN-0474</t>
  </si>
  <si>
    <t xml:space="preserve">AN-0475</t>
  </si>
  <si>
    <t xml:space="preserve">Deferred revenue, total</t>
  </si>
  <si>
    <t xml:space="preserve">we had deferred revenue of $319.7 million and $269.5 million, respectively</t>
  </si>
  <si>
    <t xml:space="preserve">H1 2024 MD&amp;A (Exhibit 99.3), B. Liquidity and Capital Resources</t>
  </si>
  <si>
    <t xml:space="preserve">AN-0476</t>
  </si>
  <si>
    <t xml:space="preserve">As of June 30, 2024, and December 31, 2023, we had deferred revenue of $319.7 million and $269.5 million, respectively.</t>
  </si>
  <si>
    <t xml:space="preserve">AN-0477</t>
  </si>
  <si>
    <t xml:space="preserve">we had deferred revenue of $405.1 million and $342.6 million, respectively</t>
  </si>
  <si>
    <t xml:space="preserve">H1 2025 MD&amp;A (Exhibit 99.3), B. Liquidity and Capital Resources</t>
  </si>
  <si>
    <t xml:space="preserve">AN-0478</t>
  </si>
  <si>
    <t xml:space="preserve">As of June 30, 2025, and December 31, 2024, we had deferred revenue of $405.1 million and $342.6 million, respectively.</t>
  </si>
  <si>
    <t xml:space="preserve">AN-0479</t>
  </si>
  <si>
    <t xml:space="preserve">we had deferred revenue of $453.7 million and $411.6 million, respectively</t>
  </si>
  <si>
    <t xml:space="preserve">H1 2026 MD&amp;A (Exhibit 99.3), B. Liquidity and Capital Resources</t>
  </si>
  <si>
    <t xml:space="preserve">AN-0480</t>
  </si>
  <si>
    <t xml:space="preserve">As of June 30, 2026, and December 31, 2025, we had deferred revenue of $453.7 million and $411.6 million, respectively.</t>
  </si>
  <si>
    <t xml:space="preserve">AN-0481</t>
  </si>
  <si>
    <t xml:space="preserve">RPO % expected to be recognized in next 12 months</t>
  </si>
  <si>
    <t xml:space="preserve">of which the Company expects to recognize approximately 86% as revenues over the next 12 months</t>
  </si>
  <si>
    <t xml:space="preserve">H1 2025 interim financial statements (Exhibit 99.2), Note 3 Revenue Recognition</t>
  </si>
  <si>
    <t xml:space="preserve">AN-0482</t>
  </si>
  <si>
    <t xml:space="preserve">of which the Company expects to recognize approximately 81% as revenue over the next 12 months and the remainder thereafter.</t>
  </si>
  <si>
    <t xml:space="preserve">Item 18 / Consolidated Financial Statements - Notes to Consolidated Financial Statements - Note 2: Significant Accounting Policies - N. Revenue Recognition - Remaining performance obligations</t>
  </si>
  <si>
    <t xml:space="preserve">Dollar amount of cRPO not stated.</t>
  </si>
  <si>
    <t xml:space="preserve">AN-0483</t>
  </si>
  <si>
    <t xml:space="preserve">of which the Company expects to recognize approximately 80% as revenues over the next 12 months</t>
  </si>
  <si>
    <t xml:space="preserve">H1 2026 interim financial statements (Exhibit 99.2), Note 3 Revenue Recognition</t>
  </si>
  <si>
    <t xml:space="preserve">AN-0484</t>
  </si>
  <si>
    <t xml:space="preserve">Remaining performance obligations</t>
  </si>
  <si>
    <t xml:space="preserve">As of June 30, 2025 (unaudited), the Company's remaining performance obligations from contracts with customers were $ 767,789 , of which the Company expects to recognize approximately 86% as revenues over the next 12 months and the remainder thereafter.</t>
  </si>
  <si>
    <t xml:space="preserve">H1 2025 interim financial statements (Exhibit 99.2), Note 3 Revenue Recognition - Deferred Revenue and Remaining Performance Obligations</t>
  </si>
  <si>
    <t xml:space="preserve">AN-0485</t>
  </si>
  <si>
    <t xml:space="preserve">As of June 30, 2026 (unaudited), the Company's remaining performance obligations from contracts with customers were $ 937,274 of which the Company expects to recognize approximately 80% as revenues over the next 12 months and the remainder thereafter.</t>
  </si>
  <si>
    <t xml:space="preserve">AN-0486</t>
  </si>
  <si>
    <t xml:space="preserve">Remaining performance obligations (total)</t>
  </si>
  <si>
    <t xml:space="preserve">As of December 31, 2025, the Company’s RPOs from contracts with customers were $838,942, of which the Company expects to recognize approximately 81% as revenue over the next 12 months</t>
  </si>
  <si>
    <t xml:space="preserve">Prior-year RPO not disclosed in this filing.</t>
  </si>
  <si>
    <t xml:space="preserve">AN-0487</t>
  </si>
  <si>
    <t xml:space="preserve">Revenue recognized from opening deferred revenue balance</t>
  </si>
  <si>
    <t xml:space="preserve">The Company recognized $ 134,438 and $ 70,719 of revenue during the years ended December 31, 2022 and 2021, respectively, from deferred revenue balances as of January 1, 2022 and 2021</t>
  </si>
  <si>
    <t xml:space="preserve">Item 18 Financial Statements &gt; Notes to Consolidated Financial Statements &gt; Note 2L Revenue Recognition</t>
  </si>
  <si>
    <t xml:space="preserve">AN-0488</t>
  </si>
  <si>
    <t xml:space="preserve">The Company recognized $ 198,099 , $ 134,438 , and $ 70,719 of revenue during the years ended December 31, 2023, 2022 and 2021, respectively, that were included in the deferred revenue balance at the beginning of the respective year.</t>
  </si>
  <si>
    <t xml:space="preserve">Item 18 Financial Statements &gt; Notes to Consolidated Financial Statements &gt; Note 2: Significant Accounting Policies &gt; L. Revenue Recognition &gt; Contract balances</t>
  </si>
  <si>
    <t xml:space="preserve">AN-0489</t>
  </si>
  <si>
    <t xml:space="preserve">AN-0490</t>
  </si>
  <si>
    <t xml:space="preserve">AN-0491</t>
  </si>
  <si>
    <t xml:space="preserve">The Company recognized $ 266,284 , $ 198,099 and $ 134,438 of revenue during the years ended December 31, 2024, 2023 and 2022, respectively, that were included in the deferred revenue balance at the beginning of the respective year.</t>
  </si>
  <si>
    <t xml:space="preserve">Item 18 (Part 5 - Consolidated Financial Statements) - Note 2: Significant Accounting Policies - N. Revenue Recognition - Contract balances</t>
  </si>
  <si>
    <t xml:space="preserve">AN-0492</t>
  </si>
  <si>
    <t xml:space="preserve">AN-0493</t>
  </si>
  <si>
    <t xml:space="preserve">AN-0494</t>
  </si>
  <si>
    <t xml:space="preserve">The Company recognized $339,951, $266,284 and $198,099 of revenue during the years ended December 31, 2025, 2024 and 2023, respectively, that were included in the deferred revenue balance at the beginning of the respective year.</t>
  </si>
  <si>
    <t xml:space="preserve">Item 18 / Consolidated Financial Statements - Notes to Consolidated Financial Statements - Note 2: Significant Accounting Policies - N. Revenue Recognition - Contract balances</t>
  </si>
  <si>
    <t xml:space="preserve">AN-0495</t>
  </si>
  <si>
    <t xml:space="preserve">AN-0496</t>
  </si>
  <si>
    <t xml:space="preserve">AN-0497</t>
  </si>
  <si>
    <t xml:space="preserve">AN-0498</t>
  </si>
  <si>
    <t xml:space="preserve">The Company recognized $ 208,362 and $ 173,093 of revenue during the six months ended ... June 30, 2023</t>
  </si>
  <si>
    <t xml:space="preserve">H1 2024 interim financial statements (Exhibit 99.2), Note 3 Revenue Recognition</t>
  </si>
  <si>
    <t xml:space="preserve">AN-0499</t>
  </si>
  <si>
    <t xml:space="preserve">The Company recognized $ 208,362 and $ 173,093 of revenue during the six months ended June 30, 2024 (unaudited) and June 30, 2023 (unaudited), respectively, that were included in the deferred revenue balances as of January 1, 2024, and 2023</t>
  </si>
  <si>
    <t xml:space="preserve">AN-0500</t>
  </si>
  <si>
    <t xml:space="preserve">The Company recognized $ 291,230 and $ 208,362 of revenue during the six months ended June 30, 2025 (unaudited) and June 30, 2024 (unaudited), respectively, that were included in the deferred revenue balances as of January 1, 2025, and 2024</t>
  </si>
  <si>
    <t xml:space="preserve">AN-0501</t>
  </si>
  <si>
    <t xml:space="preserve">The Company recognized $ 324,860 and $ 291,230 of revenue during the six months ended June 30, 2026 (unaudited) and June 30, 2025</t>
  </si>
  <si>
    <t xml:space="preserve">AN-0502</t>
  </si>
  <si>
    <t xml:space="preserve">sbc</t>
  </si>
  <si>
    <t xml:space="preserve">2021 Plan annual evergreen increase</t>
  </si>
  <si>
    <t xml:space="preserve">...in an amount equal to 5% of the total number of shares of capital stock outstanding on December 31 of the preceding calendar year (hereafter: “ESOP evergreen”).</t>
  </si>
  <si>
    <t xml:space="preserve">Item 18 (Part 5 - Consolidated Financial Statements) - Note 13: Shareholders' Equity - C. Share-based compensation (SBC expense table)</t>
  </si>
  <si>
    <t xml:space="preserve">AN-0503</t>
  </si>
  <si>
    <t xml:space="preserve">2021 Plan automatic share reserve increase since Jan 1, 2022</t>
  </si>
  <si>
    <t xml:space="preserve">Since January 1, 2022, the share reserve under the 2021 Plan has been automatically increased by an aggregate of 2,246,202 shares.</t>
  </si>
  <si>
    <t xml:space="preserve">Item 18 Financial Statements &gt; Notes to Consolidated Financial Statements &gt; Note 13F Share based compensation</t>
  </si>
  <si>
    <t xml:space="preserve">Evergreen: 5% of total shares outstanding on Dec 31 of preceding year.</t>
  </si>
  <si>
    <t xml:space="preserve">AN-0504</t>
  </si>
  <si>
    <t xml:space="preserve">Burn rate</t>
  </si>
  <si>
    <t xml:space="preserve">The Company’s burn rate for 2025 was 1.8%, calculated as the number of shares underlying equity awards granted during the year divided by total shares outstanding.</t>
  </si>
  <si>
    <t xml:space="preserve">2026 Proxy Statement dated July 2, 2026 (Exhibit 99.1), Proposal No. 2 - Equity Management and Dilution</t>
  </si>
  <si>
    <t xml:space="preserve">AN-0505</t>
  </si>
  <si>
    <t xml:space="preserve">2023-2025</t>
  </si>
  <si>
    <t xml:space="preserve">multi-year</t>
  </si>
  <si>
    <t xml:space="preserve">Burn rate - three-year average 2023-2025</t>
  </si>
  <si>
    <t xml:space="preserve">On a three-year average basis (2023-2025), the Company’s burn rate was 1.9%.</t>
  </si>
  <si>
    <t xml:space="preserve">AN-0506</t>
  </si>
  <si>
    <t xml:space="preserve">2026-07-01</t>
  </si>
  <si>
    <t xml:space="preserve">event</t>
  </si>
  <si>
    <t xml:space="preserve">Cancellation of unissued ordinary shares reserved under the 2021 share incentive plan</t>
  </si>
  <si>
    <t xml:space="preserve">On July 1, 2026, the Company's Board approved the cancellation of 10,875,000 unissued ordinary shares previously reserved under the 2021 share incentive plan. The cancellation has no effect on any outstanding equity awards.</t>
  </si>
  <si>
    <t xml:space="preserve">H1 2026 interim financial statements (Exhibit 99.2), Note 18 a. Subsequent Events</t>
  </si>
  <si>
    <t xml:space="preserve">AN-0507</t>
  </si>
  <si>
    <t xml:space="preserve">Cancellation of unissued shares reserved under 2021 Share Incentive Plan</t>
  </si>
  <si>
    <t xml:space="preserve">On July 1, 2026, following review and approval by the Compensation Committee of the Board and by the Board, the Company cancelled 10,875,000 unissued ordinary shares that had previously been reserved for issuance under the Company’s 2021 Share Incentive Plan</t>
  </si>
  <si>
    <t xml:space="preserve">Supplement to 2026 Proxy Statement dated July 17, 2026 (Exhibit 99.1) - Cancellation of Shares Reserved Under the 2021 Share Incentive Plan</t>
  </si>
  <si>
    <t xml:space="preserve">Board determined reserve exceeded anticipated needs</t>
  </si>
  <si>
    <t xml:space="preserve">AN-0508</t>
  </si>
  <si>
    <t xml:space="preserve">Charitable share contribution to Foundation (non-cash, presented within SBC table in G&amp;A)</t>
  </si>
  <si>
    <t xml:space="preserve">Charitable share contribution to Foundation | 17,908 | – | –</t>
  </si>
  <si>
    <t xml:space="preserve">AN-0509</t>
  </si>
  <si>
    <t xml:space="preserve">FY2027</t>
  </si>
  <si>
    <t xml:space="preserve">policy</t>
  </si>
  <si>
    <t xml:space="preserve">Co-CEO annual equity grant cap per CEO - 2027</t>
  </si>
  <si>
    <t xml:space="preserve">The equity award for each CEO will be capped in the first year (2027) at $9.5 million, in the second year (2028) at $13 million, and in the third year (2029) at $13.65 million.</t>
  </si>
  <si>
    <t xml:space="preserve">2026 Proxy Statement dated July 2, 2026 (Exhibit 99.1), Proposal No. 3 - Co-CEO Compensation Package - Equity-Based Compensation</t>
  </si>
  <si>
    <t xml:space="preserve">Mix shifts to 60% performance / 40% time-based; performance payout cap raised from 100% to 200%</t>
  </si>
  <si>
    <t xml:space="preserve">AN-0510</t>
  </si>
  <si>
    <t xml:space="preserve">FY2028</t>
  </si>
  <si>
    <t xml:space="preserve">Co-CEO annual equity grant cap per CEO - 2028</t>
  </si>
  <si>
    <t xml:space="preserve">in the second year (2028) at $13 million</t>
  </si>
  <si>
    <t xml:space="preserve">2026 Proxy Statement dated July 2, 2026 (Exhibit 99.1), Proposal No. 3</t>
  </si>
  <si>
    <t xml:space="preserve">AN-0511</t>
  </si>
  <si>
    <t xml:space="preserve">FY2029</t>
  </si>
  <si>
    <t xml:space="preserve">Co-CEO annual equity grant cap per CEO - 2029</t>
  </si>
  <si>
    <t xml:space="preserve">and in the third year (2029) at $13.65 million</t>
  </si>
  <si>
    <t xml:space="preserve">AN-0512</t>
  </si>
  <si>
    <t xml:space="preserve">Dilution adjusted for repurchased shares</t>
  </si>
  <si>
    <t xml:space="preserve">Adjusting for this effect by adding repurchased shares back to total shares outstanding, dilution as of July 1, 2026 would be reduced by 1.81% to 8.13%.</t>
  </si>
  <si>
    <t xml:space="preserve">AN-0513</t>
  </si>
  <si>
    <t xml:space="preserve">ESPP compensation expense</t>
  </si>
  <si>
    <t xml:space="preserve">the Company recognized $ 2,320 and $ 2,081 of compensation expense in connection with the ESPP</t>
  </si>
  <si>
    <t xml:space="preserve">H1 2024 interim financial statements (Exhibit 99.2), Note 12 Shareholders' Equity - c. Employee Share Purchase Plan</t>
  </si>
  <si>
    <t xml:space="preserve">AN-0514</t>
  </si>
  <si>
    <t xml:space="preserve">AN-0515</t>
  </si>
  <si>
    <t xml:space="preserve">the Company recognized $ 3,613 and $ 2,320 of compensation expense in connection with the ESPP</t>
  </si>
  <si>
    <t xml:space="preserve">H1 2025 interim financial statements (Exhibit 99.2), Note 13 c. Employee Share Purchase Plan</t>
  </si>
  <si>
    <t xml:space="preserve">AN-0516</t>
  </si>
  <si>
    <t xml:space="preserve">ESPP shares issued</t>
  </si>
  <si>
    <t xml:space="preserve">Issuance of ordinary shares under employee share purchase plan | — | — | — | 80,853 | 8,782 | — | — | 8,782</t>
  </si>
  <si>
    <t xml:space="preserve">Item 18 Financial Statements &gt; Consolidated Statements of Shareholders' Equity</t>
  </si>
  <si>
    <t xml:space="preserve">USD 8,782 thousand proceeds to APIC. Cumulative ESPP purchases 119,092 shares as of Dec 31, 2023 (Note 12E).</t>
  </si>
  <si>
    <t xml:space="preserve">AN-0517</t>
  </si>
  <si>
    <t xml:space="preserve">|| Issuance of ordinary shares under employee share purchase plan | — | 107,802 | 20,024</t>
  </si>
  <si>
    <t xml:space="preserve">Item 18 / Consolidated Statements of Shareholders' Equity</t>
  </si>
  <si>
    <t xml:space="preserve">APIC $20,024 thousand.</t>
  </si>
  <si>
    <t xml:space="preserve">AN-0518</t>
  </si>
  <si>
    <t xml:space="preserve">ESPP shares purchased</t>
  </si>
  <si>
    <t xml:space="preserve">employees purchased 212,941 and 37,861 ordinary shares ... at average prices of $ 61.74 and $ 226.01 per share</t>
  </si>
  <si>
    <t xml:space="preserve">H1 2026 interim financial statements (Exhibit 99.2), Note 15 c. Employee Share Purchase Plan</t>
  </si>
  <si>
    <t xml:space="preserve">ESPP compensation expense amount not stated in H1 2026</t>
  </si>
  <si>
    <t xml:space="preserve">AN-0519</t>
  </si>
  <si>
    <t xml:space="preserve">Equity dilution level (2021 Plan, fully diluted)</t>
  </si>
  <si>
    <t xml:space="preserve">is committed to carefully managing its equity dilution levels, which is currently 9.94%.</t>
  </si>
  <si>
    <t xml:space="preserve">Supplement: 'As of July 1, 2026, total dilution under the 2021 Plan is 9.94% on a fully diluted basis.'</t>
  </si>
  <si>
    <t xml:space="preserve">AN-0520</t>
  </si>
  <si>
    <t xml:space="preserve">2026-08-06</t>
  </si>
  <si>
    <t xml:space="preserve">Executive equity grant cap - Co-CEOs (on-target dollar value per year)</t>
  </si>
  <si>
    <t xml:space="preserve">the dollar value of the award, on an “on-target” basis, may not exceed $13,650,000</t>
  </si>
  <si>
    <t xml:space="preserve">USD</t>
  </si>
  <si>
    <t xml:space="preserve">2026 Proxy Statement dated July 2, 2026 (Exhibit 99.1), Proposal No. 2 - Principal Amendments (iii) Equity Grant Caps</t>
  </si>
  <si>
    <t xml:space="preserve">Also share caps: 0.50% of issued share capital (RSU/PSU), 1.0% (options); overachievement up to 200%. Approved at AGM Aug 6, 2026</t>
  </si>
  <si>
    <t xml:space="preserve">AN-0521</t>
  </si>
  <si>
    <t xml:space="preserve">Executive equity grant cap - other Executive Officers (on-target dollar value per year)</t>
  </si>
  <si>
    <t xml:space="preserve">the dollar value of the award, on an “on-target” basis, may not exceed $10,000,000</t>
  </si>
  <si>
    <t xml:space="preserve">Share caps 0.375% (no exercise price) / 0.75% (with exercise price)</t>
  </si>
  <si>
    <t xml:space="preserve">AN-0522</t>
  </si>
  <si>
    <t xml:space="preserve">Intrinsic value of options exercised</t>
  </si>
  <si>
    <t xml:space="preserve">The intrinsic value of options exercised in the years ended 2022, 2021, and 2020 was approximately $ 346,600 , $ 321,891 and $ 18,868 , respectively.</t>
  </si>
  <si>
    <t xml:space="preserve">Item 18 Financial Statements &gt; Notes to Consolidated Financial Statements &gt; Note 13F Share based compensation (Share option activity table)</t>
  </si>
  <si>
    <t xml:space="preserve">AN-0523</t>
  </si>
  <si>
    <t xml:space="preserve">The intrinsic value of options exercised in the years ended 2021, 2020, and 2019 was approximately $321,891, $18,868 and $17,478</t>
  </si>
  <si>
    <t xml:space="preserve">Item 18 &gt; Note 12g</t>
  </si>
  <si>
    <t xml:space="preserve">AN-0524</t>
  </si>
  <si>
    <t xml:space="preserve">AN-0525</t>
  </si>
  <si>
    <t xml:space="preserve">AN-0526</t>
  </si>
  <si>
    <t xml:space="preserve">The intrinsic value of options exercised in the years ended 2023, 2022, and 2021 was approximately $ 112,799 , $ 346,600 and $ 321,891 , respectively.</t>
  </si>
  <si>
    <t xml:space="preserve">Item 18 Financial Statements &gt; Notes to Consolidated Financial Statements &gt; Note 12: Shareholders' Equity &gt; D. Share based compensation &gt; Share option activity</t>
  </si>
  <si>
    <t xml:space="preserve">AN-0527</t>
  </si>
  <si>
    <t xml:space="preserve">The intrinsic value of options exercised in the years ended 2024, 2023, and 2022 was approximately $ 265,405 , $ 112,799 and $ 346,600 , respectively.</t>
  </si>
  <si>
    <t xml:space="preserve">Item 18 (Part 5 - Consolidated Financial Statements) - Note 13: Shareholders' Equity - Share option activity</t>
  </si>
  <si>
    <t xml:space="preserve">AN-0528</t>
  </si>
  <si>
    <t xml:space="preserve">Issuance of ordinary shares under ESPP</t>
  </si>
  <si>
    <t xml:space="preserve">Issuance of ordinary shares under employee share purchase plan | – | 77,375 | 13,284 | – | – | 13,284</t>
  </si>
  <si>
    <t xml:space="preserve">Item 18 (Part 5 - Consolidated Financial Statements) - Consolidated Statements of Shareholders' Equity</t>
  </si>
  <si>
    <t xml:space="preserve">Proceeds $13,284K. ESPP evergreen for 2024 was cancelled (Note 13.D).</t>
  </si>
  <si>
    <t xml:space="preserve">AN-0529</t>
  </si>
  <si>
    <t xml:space="preserve">Options exercisable</t>
  </si>
  <si>
    <t xml:space="preserve">Exercisable — December 31, 2021 | 3,832,645 | $ | 3.14 | 6.21 | $ | 1,171,168</t>
  </si>
  <si>
    <t xml:space="preserve">Item 18 &gt; Note 12g share option activity table</t>
  </si>
  <si>
    <t xml:space="preserve">AN-0530</t>
  </si>
  <si>
    <t xml:space="preserve">Exercisable — December 31, 2022 (*) | 2,126,460 | $ | 19.4 | 6.86 | $ | 223,393</t>
  </si>
  <si>
    <t xml:space="preserve">AN-0531</t>
  </si>
  <si>
    <t xml:space="preserve">Exercisable — December 31, 2023 (*) | 2,106,504 | $ | 32.98 | 6.25 | $ | 329,924</t>
  </si>
  <si>
    <t xml:space="preserve">AN-0532</t>
  </si>
  <si>
    <t xml:space="preserve">Options exercised</t>
  </si>
  <si>
    <t xml:space="preserve">Exercised | ( 1,090,670 | ) | $ | 4.83</t>
  </si>
  <si>
    <t xml:space="preserve">AN-0533</t>
  </si>
  <si>
    <t xml:space="preserve">Exercised | ( 2,693,614 | ) | $ | 2.28</t>
  </si>
  <si>
    <t xml:space="preserve">AN-0534</t>
  </si>
  <si>
    <t xml:space="preserve">Exercised | ( 767,148 | ) | $ | 15.18</t>
  </si>
  <si>
    <t xml:space="preserve">AN-0535</t>
  </si>
  <si>
    <t xml:space="preserve">Exercised | ( 1,220,551 ) | $ | 23.99</t>
  </si>
  <si>
    <t xml:space="preserve">Item 18 (Part 5 - Consolidated Financial Statements) - Note 13: Shareholders' Equity - Share option activity table</t>
  </si>
  <si>
    <t xml:space="preserve">AN-0536</t>
  </si>
  <si>
    <t xml:space="preserve">|| Exercised | ( 505,473 ) | $ | 37.85</t>
  </si>
  <si>
    <t xml:space="preserve">Item 18 / Consolidated Financial Statements - Notes to Consolidated Financial Statements - Note 13: Shareholders' Equity - C. Share-based compensation (share option activity table)</t>
  </si>
  <si>
    <t xml:space="preserve">AN-0537</t>
  </si>
  <si>
    <t xml:space="preserve">Options granted</t>
  </si>
  <si>
    <t xml:space="preserve">Granted | 1,706,770 | $ | 39.02</t>
  </si>
  <si>
    <t xml:space="preserve">AN-0538</t>
  </si>
  <si>
    <t xml:space="preserve">Granted (*) | 406,575 | $ | 192.91</t>
  </si>
  <si>
    <t xml:space="preserve">Includes 91,344 performance options granted to the Co-CEOs.</t>
  </si>
  <si>
    <t xml:space="preserve">AN-0539</t>
  </si>
  <si>
    <t xml:space="preserve">Granted (*) | 207,305 | $ | 122.62</t>
  </si>
  <si>
    <t xml:space="preserve">Includes 74,108 performance options granted to Co-CEOs in 2023.</t>
  </si>
  <si>
    <t xml:space="preserve">AN-0540</t>
  </si>
  <si>
    <t xml:space="preserve">|| Granted (*) | 42,897 | $ | 0.87</t>
  </si>
  <si>
    <t xml:space="preserve">AN-0541</t>
  </si>
  <si>
    <t xml:space="preserve">Options granted - weighted-average exercise price</t>
  </si>
  <si>
    <t xml:space="preserve">USD per share</t>
  </si>
  <si>
    <t xml:space="preserve">AN-0542</t>
  </si>
  <si>
    <t xml:space="preserve">Options granted to directors and executive officers</t>
  </si>
  <si>
    <t xml:space="preserve">our directors and executive officers were granted options to purchase an aggregate of 199,514 ordinary shares, at a weighted average exercise price of $211.78 per share, and 24,504 RSUs</t>
  </si>
  <si>
    <t xml:space="preserve">AN-0543</t>
  </si>
  <si>
    <t xml:space="preserve">Options outstanding</t>
  </si>
  <si>
    <t xml:space="preserve">Outstanding — December 31, 2021 | 6,204,605 | $ | 13.53 | 7.21 | $ | 1,831,568</t>
  </si>
  <si>
    <t xml:space="preserve">WAEP $13.53</t>
  </si>
  <si>
    <t xml:space="preserve">AN-0544</t>
  </si>
  <si>
    <t xml:space="preserve">2022-01-01</t>
  </si>
  <si>
    <t xml:space="preserve">Outstanding — January 1, 2022 | 6,204,605 | $ | 13.53 | 7.21 | $ | 1,831,568</t>
  </si>
  <si>
    <t xml:space="preserve">AN-0545</t>
  </si>
  <si>
    <t xml:space="preserve">Outstanding — December 31, 2022 | 3,800,024 | $ | 39.6 | 7.46 | $ | 347,627</t>
  </si>
  <si>
    <t xml:space="preserve">AN-0546</t>
  </si>
  <si>
    <t xml:space="preserve">2023-01-01</t>
  </si>
  <si>
    <t xml:space="preserve">Outstanding — January 1, 2023 (*) | 3,800,024 | $ | 39.60 | 7.46 | $ | 347,627</t>
  </si>
  <si>
    <t xml:space="preserve">AN-0547</t>
  </si>
  <si>
    <t xml:space="preserve">Outstanding — December 31, 2023 | 3,079,252 | $ | 48.82 | 6.71 | $ | 435,699</t>
  </si>
  <si>
    <t xml:space="preserve">Weighted-average exercise price $48.82; aggregate intrinsic value $435,699 thousand.</t>
  </si>
  <si>
    <t xml:space="preserve">AN-0548</t>
  </si>
  <si>
    <t xml:space="preserve">December 31, 2024 | 1,768,230 | $ | 62.90 | 6.04 | $ | 305,379</t>
  </si>
  <si>
    <t xml:space="preserve">WA exercise price $62.90; aggregate intrinsic value $305,379K.</t>
  </si>
  <si>
    <t xml:space="preserve">AN-0549</t>
  </si>
  <si>
    <t xml:space="preserve">|| Outstanding — December 31, 2025 | 1,257,067 | $ | 70.64 | 5.17 | $ | 111,600</t>
  </si>
  <si>
    <t xml:space="preserve">AN-0550</t>
  </si>
  <si>
    <t xml:space="preserve">Ordinary shares outstanding</t>
  </si>
  <si>
    <t xml:space="preserve">Issued and Outstanding: 48,923,903 and 47,737,868 as of December 31, 2023, and 2022 respectively</t>
  </si>
  <si>
    <t xml:space="preserve">AN-0551</t>
  </si>
  <si>
    <t xml:space="preserve">As of December 31, 2023, the registrant had outstanding 48,923,903 ordinary shares, no par value per share.</t>
  </si>
  <si>
    <t xml:space="preserve">Cover page; also Consolidated Balance Sheets</t>
  </si>
  <si>
    <t xml:space="preserve">AN-0552</t>
  </si>
  <si>
    <t xml:space="preserve">Ordinary shares | 49,858,787 | 48,923,903</t>
  </si>
  <si>
    <t xml:space="preserve">H1 2024 interim financial statements (Exhibit 99.2), Note 12 a. Ordinary shares</t>
  </si>
  <si>
    <t xml:space="preserve">AN-0553</t>
  </si>
  <si>
    <t xml:space="preserve">Ordinary shares | 51,551,462 | 50,773,337</t>
  </si>
  <si>
    <t xml:space="preserve">H1 2025 interim financial statements (Exhibit 99.2), Note 13 a.</t>
  </si>
  <si>
    <t xml:space="preserve">AN-0554</t>
  </si>
  <si>
    <t xml:space="preserve">Ordinary shares | 42,274,119 | 51,160,822</t>
  </si>
  <si>
    <t xml:space="preserve">H1 2026 interim financial statements (Exhibit 99.2), Note 15 a.</t>
  </si>
  <si>
    <t xml:space="preserve">AN-0555</t>
  </si>
  <si>
    <t xml:space="preserve">Dec 31 2025: 51,160,822</t>
  </si>
  <si>
    <t xml:space="preserve">AN-0556</t>
  </si>
  <si>
    <t xml:space="preserve">Ordinary shares purchased under ESPP (cumulative)</t>
  </si>
  <si>
    <t xml:space="preserve">As of December 31, 2022, 38,239 ordinary shares had been purchased under the ESPP.</t>
  </si>
  <si>
    <t xml:space="preserve">Item 18 Financial Statements &gt; Notes to Consolidated Financial Statements &gt; Note 13G Employee Share Purchase Plan</t>
  </si>
  <si>
    <t xml:space="preserve">AN-0557</t>
  </si>
  <si>
    <t xml:space="preserve">Outstanding share options</t>
  </si>
  <si>
    <t xml:space="preserve">Outstanding — June 30, 2024 | 2,355,980 | $ | 55.74 | 6.43 | $ | 436,030</t>
  </si>
  <si>
    <t xml:space="preserve">H1 2024 interim financial statements (Exhibit 99.2), Note 12 - share option activity table</t>
  </si>
  <si>
    <t xml:space="preserve">WAEP $55.74; aggregate intrinsic value $436,030 thousand</t>
  </si>
  <si>
    <t xml:space="preserve">AN-0558</t>
  </si>
  <si>
    <t xml:space="preserve">Outstanding — June 30, 2025 | 1,361,703 | $ | 68.54 | 5.68 | $ | 334,903</t>
  </si>
  <si>
    <t xml:space="preserve">H1 2025 interim financial statements (Exhibit 99.2), Note 13 - share option activity</t>
  </si>
  <si>
    <t xml:space="preserve">AN-0559</t>
  </si>
  <si>
    <t xml:space="preserve">Outstanding — June 30, 2026 | 1,150,320 | $ | 68.12 | 5.21 | $ | 43,467</t>
  </si>
  <si>
    <t xml:space="preserve">H1 2026 interim financial statements (Exhibit 99.2), Note 15 - share option activity</t>
  </si>
  <si>
    <t xml:space="preserve">AN-0560</t>
  </si>
  <si>
    <t xml:space="preserve">Outstanding share options and RSUs</t>
  </si>
  <si>
    <t xml:space="preserve">Outstanding share options and RSUs | 4,617,018 | 6,302,344</t>
  </si>
  <si>
    <t xml:space="preserve">Item 18 Financial Statements &gt; Notes to Consolidated Financial Statements &gt; Note 13A Ordinary shares (reserved shares table)</t>
  </si>
  <si>
    <t xml:space="preserve">AN-0561</t>
  </si>
  <si>
    <t xml:space="preserve">AN-0562</t>
  </si>
  <si>
    <t xml:space="preserve">Outstanding share options and RSUs | 4,294,853 | 4,617,018</t>
  </si>
  <si>
    <t xml:space="preserve">Item 18 Financial Statements &gt; Notes to Consolidated Financial Statements &gt; Note 12: Shareholders' Equity &gt; A. Ordinary shares</t>
  </si>
  <si>
    <t xml:space="preserve">AN-0563</t>
  </si>
  <si>
    <t xml:space="preserve">AN-0564</t>
  </si>
  <si>
    <t xml:space="preserve">Outstanding share options and RSUs | 3,164,395 | 4,294,853</t>
  </si>
  <si>
    <t xml:space="preserve">Item 18 (Part 5 - Consolidated Financial Statements) - Note 13: Shareholders' Equity - A. Ordinary shares (reserved for future issuance table)</t>
  </si>
  <si>
    <t xml:space="preserve">AN-0565</t>
  </si>
  <si>
    <t xml:space="preserve">AN-0566</t>
  </si>
  <si>
    <t xml:space="preserve">Performance options granted to Co-CEOs</t>
  </si>
  <si>
    <t xml:space="preserve">(*) Includes 91,344 performance options granted to the Company’s Co-CEOs.</t>
  </si>
  <si>
    <t xml:space="preserve">AN-0567</t>
  </si>
  <si>
    <t xml:space="preserve">Proceeds from exercise of share options and ESPP</t>
  </si>
  <si>
    <t xml:space="preserve">Proceeds from exercise of share options and employee share purchase plan | 21,243 | 12,181 | 5,249</t>
  </si>
  <si>
    <t xml:space="preserve">AN-0568</t>
  </si>
  <si>
    <t xml:space="preserve">RSUs canceled</t>
  </si>
  <si>
    <t xml:space="preserve">Canceled | ( 64,297 | ) | $ | 149.96</t>
  </si>
  <si>
    <t xml:space="preserve">Item 18 Financial Statements &gt; Notes to Consolidated Financial Statements &gt; Note 13F Share based compensation (RSU activity table)</t>
  </si>
  <si>
    <t xml:space="preserve">AN-0569</t>
  </si>
  <si>
    <t xml:space="preserve">|| Canceled | ( 212,747 | ) | $ | 195.19</t>
  </si>
  <si>
    <t xml:space="preserve">Item 18 / Consolidated Financial Statements - Notes to Consolidated Financial Statements - Note 13: Shareholders' Equity - C. Share-based compensation (RSU activity table)</t>
  </si>
  <si>
    <t xml:space="preserve">AN-0570</t>
  </si>
  <si>
    <t xml:space="preserve">RSUs granted</t>
  </si>
  <si>
    <t xml:space="preserve">Granted | 100,678 | $ | 277.7</t>
  </si>
  <si>
    <t xml:space="preserve">Item 18 &gt; Note 12g RSU activity table</t>
  </si>
  <si>
    <t xml:space="preserve">AN-0571</t>
  </si>
  <si>
    <t xml:space="preserve">Granted | 865,528 | $ | 116.16</t>
  </si>
  <si>
    <t xml:space="preserve">AN-0572</t>
  </si>
  <si>
    <t xml:space="preserve">Granted (*) | 846,540 | $ | 138.84</t>
  </si>
  <si>
    <t xml:space="preserve">Item 18 Financial Statements &gt; Notes to Consolidated Financial Statements &gt; Note 12: Shareholders' Equity &gt; D. Share based compensation &gt; RSU activity</t>
  </si>
  <si>
    <t xml:space="preserve">Weighted-average fair value $138.84; includes 22,928 performance shares granted to Co-CEOs in 2023.</t>
  </si>
  <si>
    <t xml:space="preserve">AN-0573</t>
  </si>
  <si>
    <t xml:space="preserve">Granted (*) | 824,855 | $ | 216.30</t>
  </si>
  <si>
    <t xml:space="preserve">Item 18 (Part 5 - Consolidated Financial Statements) - Note 13: Shareholders' Equity - RSU activity table</t>
  </si>
  <si>
    <t xml:space="preserve">Weighted-average grant-date fair value $216.30.</t>
  </si>
  <si>
    <t xml:space="preserve">AN-0574</t>
  </si>
  <si>
    <t xml:space="preserve">|| Granted (*) | 871,602 | $ | 258.17</t>
  </si>
  <si>
    <t xml:space="preserve">Weighted-average fair value $258.17</t>
  </si>
  <si>
    <t xml:space="preserve">AN-0575</t>
  </si>
  <si>
    <t xml:space="preserve">Granted (*) | 616,182 | $ | 201.98</t>
  </si>
  <si>
    <t xml:space="preserve">H1 2024 interim financial statements (Exhibit 99.2), Note 12 - RSU activity table</t>
  </si>
  <si>
    <t xml:space="preserve">weighted-average fair value $201.98</t>
  </si>
  <si>
    <t xml:space="preserve">AN-0576</t>
  </si>
  <si>
    <t xml:space="preserve">Granted (*) | 696,448 | $ | 269.61</t>
  </si>
  <si>
    <t xml:space="preserve">H1 2025 interim financial statements (Exhibit 99.2), Note 13 - RSU activity</t>
  </si>
  <si>
    <t xml:space="preserve">weighted-average fair value $269.61</t>
  </si>
  <si>
    <t xml:space="preserve">AN-0577</t>
  </si>
  <si>
    <t xml:space="preserve">Granted (*) | 1,783,617 | $ | 75.47</t>
  </si>
  <si>
    <t xml:space="preserve">H1 2026 interim financial statements (Exhibit 99.2), Note 15 - RSU activity</t>
  </si>
  <si>
    <t xml:space="preserve">weighted-average fair value $75.47; includes 258,656 performance shares granted in 2026</t>
  </si>
  <si>
    <t xml:space="preserve">AN-0578</t>
  </si>
  <si>
    <t xml:space="preserve">RSUs granted - weighted-average fair value</t>
  </si>
  <si>
    <t xml:space="preserve">AN-0579</t>
  </si>
  <si>
    <t xml:space="preserve">RSUs granted to directors and executive officers</t>
  </si>
  <si>
    <t xml:space="preserve">and 24,504 RSUs per our 2021 Share Incentive Plan, or the 2021 Plan.</t>
  </si>
  <si>
    <t xml:space="preserve">AN-0580</t>
  </si>
  <si>
    <t xml:space="preserve">RSUs outstanding</t>
  </si>
  <si>
    <t xml:space="preserve">Balance at December 31, 2021 | 97,739 | $ | 278.46</t>
  </si>
  <si>
    <t xml:space="preserve">AN-0581</t>
  </si>
  <si>
    <t xml:space="preserve">Balance at December 31, 2022 | 816,994 | $ | 126.29</t>
  </si>
  <si>
    <t xml:space="preserve">AN-0582</t>
  </si>
  <si>
    <t xml:space="preserve">Balance at January 1, 2023 | 816,994 | $ | 126.29</t>
  </si>
  <si>
    <t xml:space="preserve">AN-0583</t>
  </si>
  <si>
    <t xml:space="preserve">Balance at December 31, 2023 (*) | 1,215,601 | $ | 134.41</t>
  </si>
  <si>
    <t xml:space="preserve">AN-0584</t>
  </si>
  <si>
    <t xml:space="preserve">Balance at December 31, 2024 (*) | 1,396,165 | $ | 177.72</t>
  </si>
  <si>
    <t xml:space="preserve">Weighted-average fair value $177.72; includes performance-based awards.</t>
  </si>
  <si>
    <t xml:space="preserve">AN-0585</t>
  </si>
  <si>
    <t xml:space="preserve">|| Balance at December 31, 2025 (*) | 1,396,897 | $ | 221.68</t>
  </si>
  <si>
    <t xml:space="preserve">AN-0586</t>
  </si>
  <si>
    <t xml:space="preserve">RSUs vested</t>
  </si>
  <si>
    <t xml:space="preserve">Vested | ( 81,976 | ) | $ | 182.21</t>
  </si>
  <si>
    <t xml:space="preserve">AN-0587</t>
  </si>
  <si>
    <t xml:space="preserve">Vested | ( 338,034 | ) | $ | 128.44</t>
  </si>
  <si>
    <t xml:space="preserve">AN-0588</t>
  </si>
  <si>
    <t xml:space="preserve">Vested | ( 483,508 ) | $ | 142.35</t>
  </si>
  <si>
    <t xml:space="preserve">AN-0589</t>
  </si>
  <si>
    <t xml:space="preserve">|| Vested | ( 658,123 | ) | $ | 185.31</t>
  </si>
  <si>
    <t xml:space="preserve">AN-0590</t>
  </si>
  <si>
    <t xml:space="preserve">Reduction of 2024 ESOP evergreen</t>
  </si>
  <si>
    <t xml:space="preserve">In December 2023, the board approved to reduce the ESOP evergreen for 2024 by 778,500 shares.</t>
  </si>
  <si>
    <t xml:space="preserve">AN-0591</t>
  </si>
  <si>
    <t xml:space="preserve">SBC - Capitalized share-based compensation</t>
  </si>
  <si>
    <t xml:space="preserve">Capitalized share-based compensation expense | 1,522 | 380 | 100</t>
  </si>
  <si>
    <t xml:space="preserve">Item 18 &gt; Note 12g Shareholders' Equity - Share based compensation (SBC expense table)</t>
  </si>
  <si>
    <t xml:space="preserve">AN-0592</t>
  </si>
  <si>
    <t xml:space="preserve">AN-0593</t>
  </si>
  <si>
    <t xml:space="preserve">AN-0594</t>
  </si>
  <si>
    <t xml:space="preserve">SBC - Capitalized share-based compensation expense</t>
  </si>
  <si>
    <t xml:space="preserve">Capitalized share-based compensation expense | 2,282 | 1,522 | 380</t>
  </si>
  <si>
    <t xml:space="preserve">Item 18 Financial Statements &gt; Notes to Consolidated Financial Statements &gt; Note 13F Shareholders' Equity - Share based compensation (SBC expense table)</t>
  </si>
  <si>
    <t xml:space="preserve">Includes secondary-transaction related expense in 2020.</t>
  </si>
  <si>
    <t xml:space="preserve">AN-0595</t>
  </si>
  <si>
    <t xml:space="preserve">AN-0596</t>
  </si>
  <si>
    <t xml:space="preserve">AN-0597</t>
  </si>
  <si>
    <t xml:space="preserve">Capitalized share-based compensation expense | $ | 648 | $ | 956</t>
  </si>
  <si>
    <t xml:space="preserve">H1 2024 interim financial statements (Exhibit 99.2), Note 12 Shareholders' Equity - b. Share based compensation (SBC expense table)</t>
  </si>
  <si>
    <t xml:space="preserve">AN-0598</t>
  </si>
  <si>
    <t xml:space="preserve">AN-0599</t>
  </si>
  <si>
    <t xml:space="preserve">Capitalized share-based compensation expense | 1,055 | 648</t>
  </si>
  <si>
    <t xml:space="preserve">H1 2025 interim financial statements (Exhibit 99.2), Note 13 Shareholders' Equity - b. Share-based compensation (SBC expense table)</t>
  </si>
  <si>
    <t xml:space="preserve">AN-0600</t>
  </si>
  <si>
    <t xml:space="preserve">Capitalized share-based compensation expense | 432 | 1,055</t>
  </si>
  <si>
    <t xml:space="preserve">H1 2026 interim financial statements (Exhibit 99.2), Note 15 Shareholders' Equity - b. Share-based compensation (SBC expense table)</t>
  </si>
  <si>
    <t xml:space="preserve">AN-0601</t>
  </si>
  <si>
    <t xml:space="preserve">SBC - Co-CEO fully vested options granted Dec 2020 (in G&amp;A)</t>
  </si>
  <si>
    <t xml:space="preserve">Share-based compensation expenses in 2020 includes costs related to the fair value of fully vested options granted to the Company’s Co-CEO in December 2020 in the amount of $ 30,424 .</t>
  </si>
  <si>
    <t xml:space="preserve">AN-0602</t>
  </si>
  <si>
    <t xml:space="preserve">SBC - Cost of revenue</t>
  </si>
  <si>
    <t xml:space="preserve">Cost of revenues | $ | 7,681 | $ | 2,720 | $ | 970</t>
  </si>
  <si>
    <t xml:space="preserve">AN-0603</t>
  </si>
  <si>
    <t xml:space="preserve">AN-0604</t>
  </si>
  <si>
    <t xml:space="preserve">AN-0605</t>
  </si>
  <si>
    <t xml:space="preserve">Cost of revenue | 3,311 | 3,406</t>
  </si>
  <si>
    <t xml:space="preserve">AN-0606</t>
  </si>
  <si>
    <t xml:space="preserve">SBC - Cost of revenues</t>
  </si>
  <si>
    <t xml:space="preserve">Cost of revenues | $ | 10,406 | $ | 7,681 | $ | 2,720</t>
  </si>
  <si>
    <t xml:space="preserve">AN-0607</t>
  </si>
  <si>
    <t xml:space="preserve">AN-0608</t>
  </si>
  <si>
    <t xml:space="preserve">AN-0609</t>
  </si>
  <si>
    <t xml:space="preserve">Cost of revenues | $ | 3,116 | $ | 3,322</t>
  </si>
  <si>
    <t xml:space="preserve">AN-0610</t>
  </si>
  <si>
    <t xml:space="preserve">AN-0611</t>
  </si>
  <si>
    <t xml:space="preserve">Cost of revenues | 3,406 | 3,116</t>
  </si>
  <si>
    <t xml:space="preserve">AN-0612</t>
  </si>
  <si>
    <t xml:space="preserve">SBC - General and administrative</t>
  </si>
  <si>
    <t xml:space="preserve">General and administrative *) | 20,934 | 39,415 | 8,190</t>
  </si>
  <si>
    <t xml:space="preserve">AN-0613</t>
  </si>
  <si>
    <t xml:space="preserve">AN-0614</t>
  </si>
  <si>
    <t xml:space="preserve">General and administrative *) | 28,100 | 20,934 | 39,415</t>
  </si>
  <si>
    <t xml:space="preserve">AN-0615</t>
  </si>
  <si>
    <t xml:space="preserve">AN-0616</t>
  </si>
  <si>
    <t xml:space="preserve">AN-0617</t>
  </si>
  <si>
    <t xml:space="preserve">AN-0618</t>
  </si>
  <si>
    <t xml:space="preserve">General and administrative | $ | 18,789 | $ | 14,539</t>
  </si>
  <si>
    <t xml:space="preserve">AN-0619</t>
  </si>
  <si>
    <t xml:space="preserve">AN-0620</t>
  </si>
  <si>
    <t xml:space="preserve">General and administrative | 21,645 | 18,789</t>
  </si>
  <si>
    <t xml:space="preserve">AN-0621</t>
  </si>
  <si>
    <t xml:space="preserve">General and administrative | 17,107 | 21,645</t>
  </si>
  <si>
    <t xml:space="preserve">AN-0622</t>
  </si>
  <si>
    <t xml:space="preserve">SBC - Research and development</t>
  </si>
  <si>
    <t xml:space="preserve">Research and development | 21,779 | 12,142 | 9,396</t>
  </si>
  <si>
    <t xml:space="preserve">AN-0623</t>
  </si>
  <si>
    <t xml:space="preserve">AN-0624</t>
  </si>
  <si>
    <t xml:space="preserve">Research and development | 32,957 | 21,779 | 12,142</t>
  </si>
  <si>
    <t xml:space="preserve">AN-0625</t>
  </si>
  <si>
    <t xml:space="preserve">AN-0626</t>
  </si>
  <si>
    <t xml:space="preserve">AN-0627</t>
  </si>
  <si>
    <t xml:space="preserve">AN-0628</t>
  </si>
  <si>
    <t xml:space="preserve">Research and development | $ | 23,193 | $ | 19,742</t>
  </si>
  <si>
    <t xml:space="preserve">AN-0629</t>
  </si>
  <si>
    <t xml:space="preserve">AN-0630</t>
  </si>
  <si>
    <t xml:space="preserve">Research and development | 43,347 | 23,193</t>
  </si>
  <si>
    <t xml:space="preserve">AN-0631</t>
  </si>
  <si>
    <t xml:space="preserve">Research and development | 29,911 | 43,347</t>
  </si>
  <si>
    <t xml:space="preserve">AN-0632</t>
  </si>
  <si>
    <t xml:space="preserve">SBC - Sales and marketing</t>
  </si>
  <si>
    <t xml:space="preserve">Sales and marketing | 23,135 | 10,068 | 3,283</t>
  </si>
  <si>
    <t xml:space="preserve">AN-0633</t>
  </si>
  <si>
    <t xml:space="preserve">AN-0634</t>
  </si>
  <si>
    <t xml:space="preserve">Sales and marketing | 33,457 | 23,135 | 10,068</t>
  </si>
  <si>
    <t xml:space="preserve">AN-0635</t>
  </si>
  <si>
    <t xml:space="preserve">AN-0636</t>
  </si>
  <si>
    <t xml:space="preserve">AN-0637</t>
  </si>
  <si>
    <t xml:space="preserve">AN-0638</t>
  </si>
  <si>
    <t xml:space="preserve">Sales and marketing | $ | 18,068 | $ | 13,640</t>
  </si>
  <si>
    <t xml:space="preserve">AN-0639</t>
  </si>
  <si>
    <t xml:space="preserve">AN-0640</t>
  </si>
  <si>
    <t xml:space="preserve">Sales and marketing | 19,205 | 18,068</t>
  </si>
  <si>
    <t xml:space="preserve">AN-0641</t>
  </si>
  <si>
    <t xml:space="preserve">Sales and marketing | 20,172 | 19,205</t>
  </si>
  <si>
    <t xml:space="preserve">AN-0642</t>
  </si>
  <si>
    <t xml:space="preserve">SBC - Share-based compensation, net of amounts capitalized</t>
  </si>
  <si>
    <t xml:space="preserve">Share-based compensation, net of amounts capitalized | $ | 104,920 | $ | 73,529 | $ | 64,345</t>
  </si>
  <si>
    <t xml:space="preserve">AN-0643</t>
  </si>
  <si>
    <t xml:space="preserve">AN-0644</t>
  </si>
  <si>
    <t xml:space="preserve">AN-0645</t>
  </si>
  <si>
    <t xml:space="preserve">Share-based compensation, net of amounts capitalized | $ | 63,166 | $ | 51,243</t>
  </si>
  <si>
    <t xml:space="preserve">AN-0646</t>
  </si>
  <si>
    <t xml:space="preserve">AN-0647</t>
  </si>
  <si>
    <t xml:space="preserve">Share-based compensation, net of amounts capitalized | 87,603 | 63,166</t>
  </si>
  <si>
    <t xml:space="preserve">AN-0648</t>
  </si>
  <si>
    <t xml:space="preserve">Share-based compensation, net of amounts capitalized | 70,501 | 87,603</t>
  </si>
  <si>
    <t xml:space="preserve">AN-0649</t>
  </si>
  <si>
    <t xml:space="preserve">SBC - Total (net of amounts capitalized)</t>
  </si>
  <si>
    <t xml:space="preserve">Share-based compensation, net of amounts capitalized | $ | 73,529 | $ | 64,345 | $ | 21,839</t>
  </si>
  <si>
    <t xml:space="preserve">Includes secondary-transaction-related SBC in 2020/2019.</t>
  </si>
  <si>
    <t xml:space="preserve">AN-0650</t>
  </si>
  <si>
    <t xml:space="preserve">AN-0651</t>
  </si>
  <si>
    <t xml:space="preserve">AN-0652</t>
  </si>
  <si>
    <t xml:space="preserve">SBC - Total share-based compensation</t>
  </si>
  <si>
    <t xml:space="preserve">Total share-based compensation | $ | 63,814 | $ | 52,199</t>
  </si>
  <si>
    <t xml:space="preserve">AN-0653</t>
  </si>
  <si>
    <t xml:space="preserve">AN-0654</t>
  </si>
  <si>
    <t xml:space="preserve">Total share-based compensation | 88,658 | 63,814</t>
  </si>
  <si>
    <t xml:space="preserve">AN-0655</t>
  </si>
  <si>
    <t xml:space="preserve">Total share-based compensation | 70,933 | 88,658</t>
  </si>
  <si>
    <t xml:space="preserve">AN-0656</t>
  </si>
  <si>
    <t xml:space="preserve">SBC - Total share-based compensation (incl. capitalized)</t>
  </si>
  <si>
    <t xml:space="preserve">Total share-based compensation | $ | 107,202 | $ | 75,051 | $ | 64,725</t>
  </si>
  <si>
    <t xml:space="preserve">AN-0657</t>
  </si>
  <si>
    <t xml:space="preserve">AN-0658</t>
  </si>
  <si>
    <t xml:space="preserve">AN-0659</t>
  </si>
  <si>
    <t xml:space="preserve">SBC - Total share-based compensation incl. capitalized</t>
  </si>
  <si>
    <t xml:space="preserve">Total share-based compensation | $ | 75,051 | $ | 64,725 | $ | 21,939</t>
  </si>
  <si>
    <t xml:space="preserve">AN-0660</t>
  </si>
  <si>
    <t xml:space="preserve">AN-0661</t>
  </si>
  <si>
    <t xml:space="preserve">AN-0662</t>
  </si>
  <si>
    <t xml:space="preserve">SBC - capitalized</t>
  </si>
  <si>
    <t xml:space="preserve">|| Cost of revenues | $ | 8,561 | $ | 6,603 | $ | 6,307 || Research and development | 82,250 | 50,995 | 38,737 || Sales and marketing | 44,084 | 33,865 | 25,395 || General and administrative | 42,116 | 55,654 | 29,747 || Share-based compensation, net of amounts capitalized | $ | 177,011 | $ | 147,117 | $ | 100,186 || Capitalized share-based compensation costs | 1,814 | 1,144 | 1,997 || Total share-based compensation | $ | 178,825 | $ | 148,261 | $ | 102,183</t>
  </si>
  <si>
    <t xml:space="preserve">Item 18 / Consolidated Financial Statements - Notes to Consolidated Financial Statements - Note 13: Shareholders' Equity - C. Share-based compensation (SBC expense table)</t>
  </si>
  <si>
    <t xml:space="preserve">AN-0663</t>
  </si>
  <si>
    <t xml:space="preserve">AN-0664</t>
  </si>
  <si>
    <t xml:space="preserve">AN-0665</t>
  </si>
  <si>
    <t xml:space="preserve">SBC - cost of revenue</t>
  </si>
  <si>
    <t xml:space="preserve">AN-0666</t>
  </si>
  <si>
    <t xml:space="preserve">AN-0667</t>
  </si>
  <si>
    <t xml:space="preserve">AN-0668</t>
  </si>
  <si>
    <t xml:space="preserve">SBC - general and administrative</t>
  </si>
  <si>
    <t xml:space="preserve">AN-0669</t>
  </si>
  <si>
    <t xml:space="preserve">2024 G&amp;A and totals include the $17.9 million (17,908) equity grant of 68,000 shares to the monday.com Foundation (see MD&amp;A footnote (2)); cash-flow statement and non-GAAP reconciliation show 2024 SBC of 129,209 excluding the Foundation share contribution.</t>
  </si>
  <si>
    <t xml:space="preserve">AN-0670</t>
  </si>
  <si>
    <t xml:space="preserve">AN-0671</t>
  </si>
  <si>
    <t xml:space="preserve">SBC - net of amounts capitalized (expensed total)</t>
  </si>
  <si>
    <t xml:space="preserve">AN-0672</t>
  </si>
  <si>
    <t xml:space="preserve">AN-0673</t>
  </si>
  <si>
    <t xml:space="preserve">AN-0674</t>
  </si>
  <si>
    <t xml:space="preserve">SBC - research and development</t>
  </si>
  <si>
    <t xml:space="preserve">AN-0675</t>
  </si>
  <si>
    <t xml:space="preserve">AN-0676</t>
  </si>
  <si>
    <t xml:space="preserve">AN-0677</t>
  </si>
  <si>
    <t xml:space="preserve">SBC - sales and marketing</t>
  </si>
  <si>
    <t xml:space="preserve">AN-0678</t>
  </si>
  <si>
    <t xml:space="preserve">AN-0679</t>
  </si>
  <si>
    <t xml:space="preserve">AN-0680</t>
  </si>
  <si>
    <t xml:space="preserve">SBC - secondary sales of ordinary shares by employees</t>
  </si>
  <si>
    <t xml:space="preserve">resulted in aggregate share-based compensation cost of $ 10,487 , recorded in operating expenses. There were no secondary transactions in 2022 and 2021.</t>
  </si>
  <si>
    <t xml:space="preserve">Item 18 Financial Statements &gt; Notes to Consolidated Financial Statements &gt; Note 13E Secondary transactions</t>
  </si>
  <si>
    <t xml:space="preserve">MD&amp;A footnote states $10.5 million.</t>
  </si>
  <si>
    <t xml:space="preserve">AN-0681</t>
  </si>
  <si>
    <t xml:space="preserve">SBC - total including capitalized</t>
  </si>
  <si>
    <t xml:space="preserve">AN-0682</t>
  </si>
  <si>
    <t xml:space="preserve">AN-0683</t>
  </si>
  <si>
    <t xml:space="preserve">AN-0684</t>
  </si>
  <si>
    <t xml:space="preserve">SBC excluding Foundation share contribution (cash flow / non-GAAP basis)</t>
  </si>
  <si>
    <t xml:space="preserve">|| Share based compensation | 177,011 | 129,209 | 100,186</t>
  </si>
  <si>
    <t xml:space="preserve">Item 5 / Part 4 - Operating and Financial Review and Prospects - Non-GAAP Financial Measures - Non-GAAP Operating income reconciliation; also Consolidated Statements of Cash Flows</t>
  </si>
  <si>
    <t xml:space="preserve">Differs from 147,117 in Note 13 table by 17,908 Foundation share grant, shown separately as 'Charitable share contribution to foundation'.</t>
  </si>
  <si>
    <t xml:space="preserve">AN-0685</t>
  </si>
  <si>
    <t xml:space="preserve">SBC for fully vested options granted to Co-CEO (in G&amp;A)</t>
  </si>
  <si>
    <t xml:space="preserve">Share-based compensation expenses in 2020 includes costs related to the fair value of fully vested options granted to the Company's Co-CEO in December 2020 in the amount of $30,424.</t>
  </si>
  <si>
    <t xml:space="preserve">Item 18 &gt; Note 12g Shareholders' Equity - Share based compensation (SBC expense table) footnote</t>
  </si>
  <si>
    <t xml:space="preserve">AN-0686</t>
  </si>
  <si>
    <t xml:space="preserve">SBC related to secondary sales of ordinary shares</t>
  </si>
  <si>
    <t xml:space="preserve">and $13,145</t>
  </si>
  <si>
    <t xml:space="preserve">Item 18 &gt; Note 12f Secondary transactions</t>
  </si>
  <si>
    <t xml:space="preserve">AN-0687</t>
  </si>
  <si>
    <t xml:space="preserve">resulted in aggregate share-based compensation cost of $10,487 and $13,145 and for the years ended December 31, 2020 and 2019, respectively</t>
  </si>
  <si>
    <t xml:space="preserve">Item 5.A footnote: $10.5 million and $13.1 million. No secondary transactions in 2021.</t>
  </si>
  <si>
    <t xml:space="preserve">AN-0688</t>
  </si>
  <si>
    <t xml:space="preserve">2022-2025</t>
  </si>
  <si>
    <t xml:space="preserve">Share of evergreen capacity drawn 2022-2025</t>
  </si>
  <si>
    <t xml:space="preserve">From 2022 through 2025, the Company drew approximately 85% of the total evergreen capacity available over that period</t>
  </si>
  <si>
    <t xml:space="preserve">Equity plans and ESPP include evergreen provisions up to specified % of outstanding shares per year (percentages not stated)</t>
  </si>
  <si>
    <t xml:space="preserve">AN-0689</t>
  </si>
  <si>
    <t xml:space="preserve">Share-based compensation (non-GAAP reconciliation)</t>
  </si>
  <si>
    <t xml:space="preserve">|| Share-based compensation | 177,011</t>
  </si>
  <si>
    <t xml:space="preserve">AN-0690</t>
  </si>
  <si>
    <t xml:space="preserve">Share-based compensation - Capitalized share-based compensation costs</t>
  </si>
  <si>
    <t xml:space="preserve">Capitalized share-based compensation costs | 1,997 | 2,282 | 1,522</t>
  </si>
  <si>
    <t xml:space="preserve">Item 18 Financial Statements &gt; Notes to Consolidated Financial Statements &gt; Note 12: Shareholders' Equity &gt; D. Share based compensation &gt; Share-based compensation expense table</t>
  </si>
  <si>
    <t xml:space="preserve">AN-0691</t>
  </si>
  <si>
    <t xml:space="preserve">Cash flow statement supplemental disclosure shows capitalized share-based compensation costs of $1,934 for 2022 (vs 2,282 here); internal inconsistency in filing. Note 12 total 107,202 equals 104,920 + 2,282.</t>
  </si>
  <si>
    <t xml:space="preserve">AN-0692</t>
  </si>
  <si>
    <t xml:space="preserve">Capitalized share-based compensation costs | 1,144 | 1,997 | 2,282</t>
  </si>
  <si>
    <t xml:space="preserve">Inconsistency: cash flow statement supplemental disclosure shows 'Capitalized share-based compensation costs' of $1,934K for 2022 vs 2,282 in Note 13.</t>
  </si>
  <si>
    <t xml:space="preserve">AN-0693</t>
  </si>
  <si>
    <t xml:space="preserve">AN-0694</t>
  </si>
  <si>
    <t xml:space="preserve">AN-0695</t>
  </si>
  <si>
    <t xml:space="preserve">AN-0696</t>
  </si>
  <si>
    <t xml:space="preserve">Share-based compensation - Cost of revenue</t>
  </si>
  <si>
    <t xml:space="preserve">Cost of revenues | $ | 6,603 | $ | 6,307 | $ | 10,406</t>
  </si>
  <si>
    <t xml:space="preserve">AN-0697</t>
  </si>
  <si>
    <t xml:space="preserve">AN-0698</t>
  </si>
  <si>
    <t xml:space="preserve">AN-0699</t>
  </si>
  <si>
    <t xml:space="preserve">Share-based compensation - Cost of revenues</t>
  </si>
  <si>
    <t xml:space="preserve">Cost of revenues | $ | 6,307 | $ | 10,406 | $ | 7,681</t>
  </si>
  <si>
    <t xml:space="preserve">AN-0700</t>
  </si>
  <si>
    <t xml:space="preserve">AN-0701</t>
  </si>
  <si>
    <t xml:space="preserve">AN-0702</t>
  </si>
  <si>
    <t xml:space="preserve">Share-based compensation - General and administrative</t>
  </si>
  <si>
    <t xml:space="preserve">General and administrative | 29,747 | 28,100 | 20,934</t>
  </si>
  <si>
    <t xml:space="preserve">AN-0703</t>
  </si>
  <si>
    <t xml:space="preserve">AN-0704</t>
  </si>
  <si>
    <t xml:space="preserve">General and administrative | 55,654 | 29,747 | 28,100</t>
  </si>
  <si>
    <t xml:space="preserve">AN-0705</t>
  </si>
  <si>
    <t xml:space="preserve">AN-0706</t>
  </si>
  <si>
    <t xml:space="preserve">AN-0707</t>
  </si>
  <si>
    <t xml:space="preserve">FY2024 figures include the $17,908K fair value of 68,000 shares contributed to the monday.com Foundation (in G&amp;A), per Item 5 table footnote (2).</t>
  </si>
  <si>
    <t xml:space="preserve">AN-0708</t>
  </si>
  <si>
    <t xml:space="preserve">Share-based compensation - Research and development</t>
  </si>
  <si>
    <t xml:space="preserve">Research and development | 38,737 | 32,957 | 21,779</t>
  </si>
  <si>
    <t xml:space="preserve">AN-0709</t>
  </si>
  <si>
    <t xml:space="preserve">AN-0710</t>
  </si>
  <si>
    <t xml:space="preserve">Research and development | 50,995 | 38,737 | 32,957</t>
  </si>
  <si>
    <t xml:space="preserve">AN-0711</t>
  </si>
  <si>
    <t xml:space="preserve">AN-0712</t>
  </si>
  <si>
    <t xml:space="preserve">AN-0713</t>
  </si>
  <si>
    <t xml:space="preserve">AN-0714</t>
  </si>
  <si>
    <t xml:space="preserve">Share-based compensation - Sales and marketing</t>
  </si>
  <si>
    <t xml:space="preserve">Sales and marketing | 25,395 | 33,457 | 23,135</t>
  </si>
  <si>
    <t xml:space="preserve">AN-0715</t>
  </si>
  <si>
    <t xml:space="preserve">AN-0716</t>
  </si>
  <si>
    <t xml:space="preserve">Sales and marketing | 33,865 | 25,395 | 33,457</t>
  </si>
  <si>
    <t xml:space="preserve">AN-0717</t>
  </si>
  <si>
    <t xml:space="preserve">AN-0718</t>
  </si>
  <si>
    <t xml:space="preserve">AN-0719</t>
  </si>
  <si>
    <t xml:space="preserve">AN-0720</t>
  </si>
  <si>
    <t xml:space="preserve">Share-based compensation - Total (net of amounts capitalized)</t>
  </si>
  <si>
    <t xml:space="preserve">Share-based compensation, net of amounts capitalized | $ | 100,186 | $ | 104,920 | $ | 73,529</t>
  </si>
  <si>
    <t xml:space="preserve">Same totals in Item 5.A footnote table and in non-GAAP reconciliation.</t>
  </si>
  <si>
    <t xml:space="preserve">AN-0721</t>
  </si>
  <si>
    <t xml:space="preserve">AN-0722</t>
  </si>
  <si>
    <t xml:space="preserve">AN-0723</t>
  </si>
  <si>
    <t xml:space="preserve">Share-based compensation - Total share-based compensation (incl. capitalized)</t>
  </si>
  <si>
    <t xml:space="preserve">Total share-based compensation | $ | 102,183 | $ | 107,202 | $ | 75,051</t>
  </si>
  <si>
    <t xml:space="preserve">AN-0724</t>
  </si>
  <si>
    <t xml:space="preserve">AN-0725</t>
  </si>
  <si>
    <t xml:space="preserve">Total share-based compensation | $ | 148,261 | $ | 102,183 | $ | 107,202</t>
  </si>
  <si>
    <t xml:space="preserve">AN-0726</t>
  </si>
  <si>
    <t xml:space="preserve">AN-0727</t>
  </si>
  <si>
    <t xml:space="preserve">AN-0728</t>
  </si>
  <si>
    <t xml:space="preserve">AN-0729</t>
  </si>
  <si>
    <t xml:space="preserve">Share-based compensation - Total, net of amounts capitalized</t>
  </si>
  <si>
    <t xml:space="preserve">Share-based compensation, net of amounts capitalized | $ | 147,117 | $ | 100,186 | $ | 104,920</t>
  </si>
  <si>
    <t xml:space="preserve">AN-0730</t>
  </si>
  <si>
    <t xml:space="preserve">AN-0731</t>
  </si>
  <si>
    <t xml:space="preserve">AN-0732</t>
  </si>
  <si>
    <t xml:space="preserve">Share-based compensation excluding Foundation share contribution (cash flow / non-GAAP / segment basis)</t>
  </si>
  <si>
    <t xml:space="preserve">Share-based compensation | 129,209 | 100,186 | 104,920</t>
  </si>
  <si>
    <t xml:space="preserve">Cash flow statement presents 'Charitable share contribution to Foundation' 17,908 separately; same 129,209 used in non-GAAP reconciliation and Note 16 segment table.</t>
  </si>
  <si>
    <t xml:space="preserve">AN-0733</t>
  </si>
  <si>
    <t xml:space="preserve">AN-0734</t>
  </si>
  <si>
    <t xml:space="preserve">AN-0735</t>
  </si>
  <si>
    <t xml:space="preserve">Share-based compensation included in capitalized software development costs (cash flow supplemental)</t>
  </si>
  <si>
    <t xml:space="preserve">Share-based compensation included in capitalized software development costs | $ | 1,934 | $ | 1,522 | $ | 380</t>
  </si>
  <si>
    <t xml:space="preserve">Item 18 Financial Statements &gt; Consolidated Statements of Cash Flows (U.S. dollars in thousands) &gt; Non-cash investing and financing activities</t>
  </si>
  <si>
    <t xml:space="preserve">AN-0736</t>
  </si>
  <si>
    <t xml:space="preserve">AN-0737</t>
  </si>
  <si>
    <t xml:space="preserve">FY2022 differs from Note 13F capitalized SBC of 2,282; both as reported.</t>
  </si>
  <si>
    <t xml:space="preserve">AN-0738</t>
  </si>
  <si>
    <t xml:space="preserve">Shares available for future grants under 2021 Plan</t>
  </si>
  <si>
    <t xml:space="preserve">Shares available for future grants under the 2021 plan | 6,243,273 | 5,087,335</t>
  </si>
  <si>
    <t xml:space="preserve">AN-0739</t>
  </si>
  <si>
    <t xml:space="preserve">AN-0740</t>
  </si>
  <si>
    <t xml:space="preserve">Shares available for future grants under the 2021 plan | 7,847,149 | 6,243,273</t>
  </si>
  <si>
    <t xml:space="preserve">2021 Plan reserve automatically increases each Jan 1 by 5% of shares outstanding at prior Dec 31; aggregate increase since Jan 1, 2022: 4,633,095 shares.</t>
  </si>
  <si>
    <t xml:space="preserve">AN-0741</t>
  </si>
  <si>
    <t xml:space="preserve">Shares available for future grants under 2021 plan</t>
  </si>
  <si>
    <t xml:space="preserve">|| Shares available for future grants under the 2021 plan | 10,841,262 | 8,941,243</t>
  </si>
  <si>
    <t xml:space="preserve">Item 18 / Consolidated Financial Statements - Notes to Consolidated Financial Statements - Note 13: Shareholders' Equity - A. Ordinary shares</t>
  </si>
  <si>
    <t xml:space="preserve">Evergreen: 5% of outstanding shares added each January 1.</t>
  </si>
  <si>
    <t xml:space="preserve">AN-0742</t>
  </si>
  <si>
    <t xml:space="preserve">Shares available for future grants under the 2021 Plan (table in supplement)</t>
  </si>
  <si>
    <t xml:space="preserve">Shares available for future grants under the 2021 Plan | 11,797,025</t>
  </si>
  <si>
    <t xml:space="preserve">Supplement to 2026 Proxy Statement dated July 17, 2026 (Exhibit 99.1) - reserved shares table</t>
  </si>
  <si>
    <t xml:space="preserve">Table is as of June 30, 2026 (pre-cancellation figure) though introduced with 'Accordingly'; footnote notes July 1 cancellation of 10,875,000</t>
  </si>
  <si>
    <t xml:space="preserve">AN-0743</t>
  </si>
  <si>
    <t xml:space="preserve">Shares available for future grants under the 2021 plan</t>
  </si>
  <si>
    <t xml:space="preserve">Shares available for future grants under the 2021 plan | 9,026,219 | 7,847,149</t>
  </si>
  <si>
    <t xml:space="preserve">H1 2024 interim financial statements (Exhibit 99.2), Note 12 a. Ordinary shares - shares reserved for future issuance</t>
  </si>
  <si>
    <t xml:space="preserve">AN-0744</t>
  </si>
  <si>
    <t xml:space="preserve">AN-0745</t>
  </si>
  <si>
    <t xml:space="preserve">Shares available for future grants under the 2021 plan | 8,941,243 | 7,847,149</t>
  </si>
  <si>
    <t xml:space="preserve">AN-0746</t>
  </si>
  <si>
    <t xml:space="preserve">Shares available for future grants under the 2021 plan | 10,871,688 | 8,941,243</t>
  </si>
  <si>
    <t xml:space="preserve">H1 2025 interim financial statements (Exhibit 99.2), Note 13 a. Ordinary shares</t>
  </si>
  <si>
    <t xml:space="preserve">AN-0747</t>
  </si>
  <si>
    <t xml:space="preserve">Dec 31 2024: 8,941,243</t>
  </si>
  <si>
    <t xml:space="preserve">AN-0748</t>
  </si>
  <si>
    <t xml:space="preserve">Shares available for future grants under the 2021 plan | 11,797,025 | 10,841,262</t>
  </si>
  <si>
    <t xml:space="preserve">H1 2026 interim financial statements (Exhibit 99.2), Note 15 a. Ordinary shares</t>
  </si>
  <si>
    <t xml:space="preserve">AN-0749</t>
  </si>
  <si>
    <t xml:space="preserve">Subsequently, on July 1, 2026, 10,875,000 unissued shares reserved under the 2021 plan were cancelled</t>
  </si>
  <si>
    <t xml:space="preserve">AN-0750</t>
  </si>
  <si>
    <t xml:space="preserve">Shares subject to ESPP</t>
  </si>
  <si>
    <t xml:space="preserve">Shares subject to the employee share purchase plan | 721,469 | 194,625</t>
  </si>
  <si>
    <t xml:space="preserve">AN-0751</t>
  </si>
  <si>
    <t xml:space="preserve">Shares subject to the employee share purchase plan</t>
  </si>
  <si>
    <t xml:space="preserve">Shares subject to the employee share purchase plan | 1,233,812 | 721,469</t>
  </si>
  <si>
    <t xml:space="preserve">AN-0752</t>
  </si>
  <si>
    <t xml:space="preserve">Shares subject to the employee share purchase plan | 1,193,972 | 1,233,812</t>
  </si>
  <si>
    <t xml:space="preserve">AN-0753</t>
  </si>
  <si>
    <t xml:space="preserve">Shares subject to the employee share purchase plan | 1,118,576 | 1,156,437</t>
  </si>
  <si>
    <t xml:space="preserve">AN-0754</t>
  </si>
  <si>
    <t xml:space="preserve">Shares subject to the employee share purchase plan | 835,694 | 1,048,635</t>
  </si>
  <si>
    <t xml:space="preserve">AN-0755</t>
  </si>
  <si>
    <t xml:space="preserve">Tax benefit (expense) related to share-based compensation</t>
  </si>
  <si>
    <t xml:space="preserve">Tax benefit (expense) related to share-based compensation | ( 78 | ) | 3,525</t>
  </si>
  <si>
    <t xml:space="preserve">H1 2025 interim financial statements (Exhibit 99.2), Note 15 Segment Reporting</t>
  </si>
  <si>
    <t xml:space="preserve">AN-0756</t>
  </si>
  <si>
    <t xml:space="preserve">H1 2024: 3,525</t>
  </si>
  <si>
    <t xml:space="preserve">AN-0757</t>
  </si>
  <si>
    <t xml:space="preserve">Tax benefit (expense) related to share-based compensation | 1,791 | ( 78 | )</t>
  </si>
  <si>
    <t xml:space="preserve">H1 2026 interim financial statements (Exhibit 99.2), Note 17 Segment Reporting</t>
  </si>
  <si>
    <t xml:space="preserve">AN-0758</t>
  </si>
  <si>
    <t xml:space="preserve">Total dilution under the 2021 Plan (fully diluted)</t>
  </si>
  <si>
    <t xml:space="preserve">As of July 1, 2026, total dilution under the 2021 Plan is 9.94% on a fully diluted basis.</t>
  </si>
  <si>
    <t xml:space="preserve">Supplement to 2026 Proxy Statement dated July 17, 2026 (Exhibit 99.1)</t>
  </si>
  <si>
    <t xml:space="preserve">AN-0759</t>
  </si>
  <si>
    <t xml:space="preserve">Unamortized (unrecognized) share-based compensation expense - total</t>
  </si>
  <si>
    <t xml:space="preserve">As of December 31, 2022, 2021, and 2020, unamortized share-based compensation expense was $ 107,411 , $ 101,027 and $ 31,018 , respectively, which is expected to be recognized over weighted average periods of 1.79 , 1.97 and 1.78 years, respectively.</t>
  </si>
  <si>
    <t xml:space="preserve">AN-0760</t>
  </si>
  <si>
    <t xml:space="preserve">AN-0761</t>
  </si>
  <si>
    <t xml:space="preserve">AN-0762</t>
  </si>
  <si>
    <t xml:space="preserve">Unamortized SBC weighted-average recognition period</t>
  </si>
  <si>
    <t xml:space="preserve">expected to be recognized over weighted average periods of 1.97, 1.78, and 1.76, years, respectively</t>
  </si>
  <si>
    <t xml:space="preserve">Item 18 &gt; Note 12g Share based compensation</t>
  </si>
  <si>
    <t xml:space="preserve">AN-0763</t>
  </si>
  <si>
    <t xml:space="preserve">AN-0764</t>
  </si>
  <si>
    <t xml:space="preserve">AN-0765</t>
  </si>
  <si>
    <t xml:space="preserve">Unamortized share-based compensation - weighted-average recognition period</t>
  </si>
  <si>
    <t xml:space="preserve">which is expected to be recognized over weighted average periods of 1.77, 1.76 and 1.75 years, respectively.</t>
  </si>
  <si>
    <t xml:space="preserve">Item 18 / Consolidated Financial Statements - Notes to Consolidated Financial Statements - Note 13: Shareholders' Equity - C. Share-based compensation</t>
  </si>
  <si>
    <t xml:space="preserve">AN-0766</t>
  </si>
  <si>
    <t xml:space="preserve">AN-0767</t>
  </si>
  <si>
    <t xml:space="preserve">AN-0768</t>
  </si>
  <si>
    <t xml:space="preserve">Unamortized share-based compensation expense</t>
  </si>
  <si>
    <t xml:space="preserve">As of December 31, 2021, 2020, and 2019, unamortized share-based compensation expense was $101,027, $31,018, and $10,058, respectively, which is expected to be recognized over weighted average periods of 1.97, 1.78, and 1.76, years</t>
  </si>
  <si>
    <t xml:space="preserve">AN-0769</t>
  </si>
  <si>
    <t xml:space="preserve">AN-0770</t>
  </si>
  <si>
    <t xml:space="preserve">AN-0771</t>
  </si>
  <si>
    <t xml:space="preserve">Unamortized share-based compensation expense (all awards)</t>
  </si>
  <si>
    <t xml:space="preserve">As of December 31, 2023, 2022, and 2021, unamortized share-based compensation expense was $ 118,311 , $ 107,411 and $ 101,027 , respectively, which is expected to be recognized over weighted average periods of 1.75 , 1.79 and 1.97 years, respectively.</t>
  </si>
  <si>
    <t xml:space="preserve">AN-0772</t>
  </si>
  <si>
    <t xml:space="preserve">AN-0773</t>
  </si>
  <si>
    <t xml:space="preserve">AN-0774</t>
  </si>
  <si>
    <t xml:space="preserve">As of December 31, 2025, 2024, and 2023, unamortized share-based compensation expense was $170,313, $146,335 and $118,311, respectively, which is expected to be recognized over weighted average periods of 1.77, 1.76 and 1.75 years, respectively.</t>
  </si>
  <si>
    <t xml:space="preserve">AN-0775</t>
  </si>
  <si>
    <t xml:space="preserve">AN-0776</t>
  </si>
  <si>
    <t xml:space="preserve">AN-0777</t>
  </si>
  <si>
    <t xml:space="preserve">Unamortized share-based compensation expense (total)</t>
  </si>
  <si>
    <t xml:space="preserve">As of December 31, 2024, 2023, and 2022, unamortized share-based compensation expense was $ 146,335 , $ 118,311 and $ 107,411 , respectively, which is expected to be recognized over weighted average periods of 1.76 , 1.75 and 1.79 years, respectively.</t>
  </si>
  <si>
    <t xml:space="preserve">AN-0778</t>
  </si>
  <si>
    <t xml:space="preserve">unamortized share-based compensation expense was $ 173,557 and $ 132,470 ... 1.84 and 1.81 years</t>
  </si>
  <si>
    <t xml:space="preserve">H1 2024 interim financial statements (Exhibit 99.2), Note 12 Shareholders' Equity - b. Share based compensation</t>
  </si>
  <si>
    <t xml:space="preserve">weighted-average period 1.81 years</t>
  </si>
  <si>
    <t xml:space="preserve">AN-0779</t>
  </si>
  <si>
    <t xml:space="preserve">AN-0780</t>
  </si>
  <si>
    <t xml:space="preserve">As of June 30, 2024 (unaudited) and June 30, 2023 (unaudited), unamortized share-based compensation expense was $ 173,557 and $ 132,470 , respectively, which is expected to be recognized over weighted average periods of 1.84 and 1.81 years</t>
  </si>
  <si>
    <t xml:space="preserve">weighted-average period 1.84 years</t>
  </si>
  <si>
    <t xml:space="preserve">AN-0781</t>
  </si>
  <si>
    <t xml:space="preserve">AN-0782</t>
  </si>
  <si>
    <t xml:space="preserve">As of June 30, 2025 (unaudited) and June 30, 2024 (unaudited), unamortized share-based compensation expense was $ 241,268 and $ 173,557 , respectively, which is expected to be recognized over weighted average periods of 1.88 and 1.84 years</t>
  </si>
  <si>
    <t xml:space="preserve">H1 2025 interim financial statements (Exhibit 99.2), Note 13 b.</t>
  </si>
  <si>
    <t xml:space="preserve">weighted-average period 1.88 years</t>
  </si>
  <si>
    <t xml:space="preserve">AN-0783</t>
  </si>
  <si>
    <t xml:space="preserve">As of June 30, 2026 (unaudited) and June 30, 2025 (unaudited), unamortized share-based compensation expense was $ 204,008 and $ 241,268 , respectively, which is expected to be recognized over weighted-average periods of 1.82 and 1.88 years</t>
  </si>
  <si>
    <t xml:space="preserve">H1 2026 interim financial statements (Exhibit 99.2), Note 15 b.</t>
  </si>
  <si>
    <t xml:space="preserve">weighted-average period 1.82 years</t>
  </si>
  <si>
    <t xml:space="preserve">AN-0784</t>
  </si>
  <si>
    <t xml:space="preserve">Units vested and converted into ordinary shares on July 1, 2026</t>
  </si>
  <si>
    <t xml:space="preserve">** On July 1st, 2026 19,667 units were vested and converted into ordinary shares</t>
  </si>
  <si>
    <t xml:space="preserve">Supplement to 2026 Proxy Statement dated July 17, 2026 (Exhibit 99.1) - reserved shares table footnote</t>
  </si>
  <si>
    <t xml:space="preserve">AN-0785</t>
  </si>
  <si>
    <t xml:space="preserve">Unrecognized RSU compensation cost - weighted-average period</t>
  </si>
  <si>
    <t xml:space="preserve">which is expected to be recognized over a weighted-average period of 1.77, 1.77 and 1.80 years, respectively.</t>
  </si>
  <si>
    <t xml:space="preserve">AN-0786</t>
  </si>
  <si>
    <t xml:space="preserve">AN-0787</t>
  </si>
  <si>
    <t xml:space="preserve">AN-0788</t>
  </si>
  <si>
    <t xml:space="preserve">Unrecognized compensation cost - unvested RSUs</t>
  </si>
  <si>
    <t xml:space="preserve">As of December 31, 2021 there was $22,821 of total unrecognized compensation cost related to unvested restricted share units which is expected to be recognized over a weighted-average period of 1.98 years.</t>
  </si>
  <si>
    <t xml:space="preserve">Weighted-average period 1.98 years; none as of Dec 31, 2020. Relationship to the $101,027 total not stated.</t>
  </si>
  <si>
    <t xml:space="preserve">AN-0789</t>
  </si>
  <si>
    <t xml:space="preserve">As of December 31, 2022 and 2021 there was $ 64,458 , and $ 22,821 of total unrecognized compensation cost related to unvested restricted share units which is expected to be recognized over a weighted-average period of 1.85 and 1.98 years, respectively.</t>
  </si>
  <si>
    <t xml:space="preserve">Item 18 Financial Statements &gt; Notes to Consolidated Financial Statements &gt; Note 13F Share based compensation (RSU activity)</t>
  </si>
  <si>
    <t xml:space="preserve">AN-0790</t>
  </si>
  <si>
    <t xml:space="preserve">As of December 31, 2023, 2022 and 2021 there was $ 96,112 , $ 64,458 and $ 22,821 of total unrecognized compensation cost related to unvested restricted share units which is expected to be recognized over a weighted-average period of 1.80 , 1.85 and 1.98 years, respectively.</t>
  </si>
  <si>
    <t xml:space="preserve">AN-0791</t>
  </si>
  <si>
    <t xml:space="preserve">AN-0792</t>
  </si>
  <si>
    <t xml:space="preserve">AN-0793</t>
  </si>
  <si>
    <t xml:space="preserve">As of December 31, 2024, 2023 and 2022, there was $ 137,265 , $ 96,112 and $ 64,458 of total unrecognized compensation cost related to unvested restricted share units, which is expected to be recognized over a weighted-average period of 1.77 , 1.80 and 1.85 years, respectively.</t>
  </si>
  <si>
    <t xml:space="preserve">Item 18 (Part 5 - Consolidated Financial Statements) - Note 13: Shareholders' Equity - C. Share-based compensation (RSU activity)</t>
  </si>
  <si>
    <t xml:space="preserve">AN-0794</t>
  </si>
  <si>
    <t xml:space="preserve">and $ 94,770 of total unrecognized compensation cost related to unvested restricted share units ... 1.86 years</t>
  </si>
  <si>
    <t xml:space="preserve">weighted-average period 1.86 years</t>
  </si>
  <si>
    <t xml:space="preserve">AN-0795</t>
  </si>
  <si>
    <t xml:space="preserve">AN-0796</t>
  </si>
  <si>
    <t xml:space="preserve">AN-0797</t>
  </si>
  <si>
    <t xml:space="preserve">As of December 31, 2025, 2024 and 2023, there was $164,201, $137,265, and $96,112 of total unrecognized compensation cost related to unvested restricted share units, which is expected to be recognized over a weighted-average period of 1.77, 1.77 and 1.80 years, respectively.</t>
  </si>
  <si>
    <t xml:space="preserve">AN-0798</t>
  </si>
  <si>
    <t xml:space="preserve">As of June 30, 2024 (unaudited), and June 30, 2023 (unaudited) there was $ 156,611 , and $ 94,770 of total unrecognized compensation cost related to unvested restricted share units ... weighted-average period of 1.87 and 1.86 years</t>
  </si>
  <si>
    <t xml:space="preserve">weighted-average period 1.87 years</t>
  </si>
  <si>
    <t xml:space="preserve">AN-0799</t>
  </si>
  <si>
    <t xml:space="preserve">AN-0800</t>
  </si>
  <si>
    <t xml:space="preserve">AN-0801</t>
  </si>
  <si>
    <t xml:space="preserve">As of June 30, 2025 (unaudited), and June 30, 2024 (unaudited) there was $ 230,702 and $ 156,611 of total unrecognized compensation cost related to unvested restricted share units ... weighted-average period of 1.89 and 1.87 years</t>
  </si>
  <si>
    <t xml:space="preserve">weighted-average period 1.89 years</t>
  </si>
  <si>
    <t xml:space="preserve">AN-0802</t>
  </si>
  <si>
    <t xml:space="preserve">AN-0803</t>
  </si>
  <si>
    <t xml:space="preserve">As of June 30, 2026 (unaudited) and June 30, 2025 (unaudited) there was $ 194,798 and $ 230,702 of total unrecognized compensation cost related to unvested RSUs , respectively, which is expected to be recognized over a weighted-average period of 1.82 and 1.89 years</t>
  </si>
  <si>
    <t xml:space="preserve">AN-0804</t>
  </si>
  <si>
    <t xml:space="preserve">Unvested RSUs outstanding (incl. PSUs)</t>
  </si>
  <si>
    <t xml:space="preserve">Balance at June 30, 2024 (*) | 1,532,454 | $ | 160.40</t>
  </si>
  <si>
    <t xml:space="preserve">weighted-average fair value $160.40</t>
  </si>
  <si>
    <t xml:space="preserve">AN-0805</t>
  </si>
  <si>
    <t xml:space="preserve">Balance at June 30, 2025 (*) | 1,671,239 | $ | 216.46</t>
  </si>
  <si>
    <t xml:space="preserve">AN-0806</t>
  </si>
  <si>
    <t xml:space="preserve">Balance at June 30, 2026 (*) | 2,604,847 | $ | 129.35</t>
  </si>
  <si>
    <t xml:space="preserve">AN-0807</t>
  </si>
  <si>
    <t xml:space="preserve">Weighted-average diluted shares</t>
  </si>
  <si>
    <t xml:space="preserve">Weighted average ordinary shares outstanding, diluted | 52,106,369 | 48,061,281</t>
  </si>
  <si>
    <t xml:space="preserve">H1 2024 interim financial statements (Exhibit 99.2), Note 13 Earnings (Loss) per Share</t>
  </si>
  <si>
    <t xml:space="preserve">AN-0808</t>
  </si>
  <si>
    <t xml:space="preserve">Weighted average ordinary shares outstanding, diluted | 53,149,561 | 52,106,369</t>
  </si>
  <si>
    <t xml:space="preserve">H1 2025 interim financial statements (Exhibit 99.2), Note 14 Earnings per Share</t>
  </si>
  <si>
    <t xml:space="preserve">AN-0809</t>
  </si>
  <si>
    <t xml:space="preserve">Weighted-average ordinary shares outstanding, diluted | 46,752,399 | 53,149,561</t>
  </si>
  <si>
    <t xml:space="preserve">H1 2026 interim financial statements (Exhibit 99.2), Note 16 Earnings per Share</t>
  </si>
  <si>
    <t xml:space="preserve">AN-0810</t>
  </si>
  <si>
    <t xml:space="preserve">Weighted-average grant-date fair value of options granted</t>
  </si>
  <si>
    <t xml:space="preserve">The weighted-average grant-date fair value of options granted during the years ended December 31, 2021, 2020 and 2019 was $77.0, $38.3, and $17.9</t>
  </si>
  <si>
    <t xml:space="preserve">AN-0811</t>
  </si>
  <si>
    <t xml:space="preserve">AN-0812</t>
  </si>
  <si>
    <t xml:space="preserve">The weighted-average grant-date fair value of options granted during the years ended December 31, 2022, 2021 and 2020 was $ 69.3 , $ 77.0 and $ 38.3 , respectively.</t>
  </si>
  <si>
    <t xml:space="preserve">AN-0813</t>
  </si>
  <si>
    <t xml:space="preserve">AN-0814</t>
  </si>
  <si>
    <t xml:space="preserve">AN-0815</t>
  </si>
  <si>
    <t xml:space="preserve">AN-0816</t>
  </si>
  <si>
    <t xml:space="preserve">The weighted-average grant-date fair value of options granted during the years ended December 31, 2023, 2022 and 2021 was $ 86.26 , $ 69.3 and $ 77.0 , respectively.</t>
  </si>
  <si>
    <t xml:space="preserve">AN-0817</t>
  </si>
  <si>
    <t xml:space="preserve">Weighted-average ordinary shares (basic and diluted)</t>
  </si>
  <si>
    <t xml:space="preserve">Weighted-average ordinary shares outstanding | 48,366,378 | 45,804,714 | 30,332,006</t>
  </si>
  <si>
    <t xml:space="preserve">Item 18 Financial Statements &gt; Notes to Consolidated Financial Statements &gt; Note 14: Loss Per Share</t>
  </si>
  <si>
    <t xml:space="preserve">AN-0818</t>
  </si>
  <si>
    <t xml:space="preserve">Weighted-average recognition period - all unamortized SBC</t>
  </si>
  <si>
    <t xml:space="preserve">AN-0819</t>
  </si>
  <si>
    <t xml:space="preserve">AN-0820</t>
  </si>
  <si>
    <t xml:space="preserve">AN-0821</t>
  </si>
  <si>
    <t xml:space="preserve">Weighted-average recognition period - total unamortized SBC</t>
  </si>
  <si>
    <t xml:space="preserve">AN-0822</t>
  </si>
  <si>
    <t xml:space="preserve">AN-0823</t>
  </si>
  <si>
    <t xml:space="preserve">AN-0824</t>
  </si>
  <si>
    <t xml:space="preserve">...expected to be recognized over weighted average periods of 1.76 , 1.75 and 1.79 years, respectively.</t>
  </si>
  <si>
    <t xml:space="preserve">AN-0825</t>
  </si>
  <si>
    <t xml:space="preserve">AN-0826</t>
  </si>
  <si>
    <t xml:space="preserve">AN-0827</t>
  </si>
  <si>
    <t xml:space="preserve">Weighted-average recognition period - unvested RSUs</t>
  </si>
  <si>
    <t xml:space="preserve">AN-0828</t>
  </si>
  <si>
    <t xml:space="preserve">AN-0829</t>
  </si>
  <si>
    <t xml:space="preserve">AN-0830</t>
  </si>
  <si>
    <t xml:space="preserve">AN-0831</t>
  </si>
  <si>
    <t xml:space="preserve">...expected to be recognized over a weighted-average period of 1.77 , 1.80 and 1.85 years, respectively.</t>
  </si>
  <si>
    <t xml:space="preserve">AN-0832</t>
  </si>
  <si>
    <t xml:space="preserve">AN-0833</t>
  </si>
  <si>
    <t xml:space="preserve">AN-0834</t>
  </si>
  <si>
    <t xml:space="preserve">AN-0835</t>
  </si>
  <si>
    <t xml:space="preserve">Weighted-average remaining recognition period - total unamortized SBC</t>
  </si>
  <si>
    <t xml:space="preserve">weighted average periods of 1.84 and 1.81 years</t>
  </si>
  <si>
    <t xml:space="preserve">AN-0836</t>
  </si>
  <si>
    <t xml:space="preserve">weighted average periods of 1.88 and 1.84 years</t>
  </si>
  <si>
    <t xml:space="preserve">AN-0837</t>
  </si>
  <si>
    <t xml:space="preserve">weighted-average periods of 1.82 and 1.88 years</t>
  </si>
  <si>
    <t xml:space="preserve">AN-0838</t>
  </si>
  <si>
    <t xml:space="preserve">Weighted-average remaining recognition period - unvested RSUs</t>
  </si>
  <si>
    <t xml:space="preserve">weighted-average period of 1.87 and 1.86 years</t>
  </si>
  <si>
    <t xml:space="preserve">AN-0839</t>
  </si>
  <si>
    <t xml:space="preserve">weighted-average period of 1.89 and 1.87 years</t>
  </si>
  <si>
    <t xml:space="preserve">AN-0840</t>
  </si>
  <si>
    <t xml:space="preserve">FY2026</t>
  </si>
  <si>
    <t xml:space="preserve">estimate</t>
  </si>
  <si>
    <t xml:space="preserve">restructuring</t>
  </si>
  <si>
    <t xml:space="preserve">Restructuring - SBC forfeiture credit offsetting non-GAAP add-back</t>
  </si>
  <si>
    <t xml:space="preserve">We expect the non-GAAP restructuring add-back for the full year 2026 to be partially offset by approximately $15 million in credits related to the forfeiture of unvested equity awards by departing employees</t>
  </si>
  <si>
    <t xml:space="preserve">H1 2026 MD&amp;A (Exhibit 99.3), Non-GAAP Operating Income reconciliation footnote (1)</t>
  </si>
  <si>
    <t xml:space="preserve">AN-0841</t>
  </si>
  <si>
    <t xml:space="preserve">Q1 2027</t>
  </si>
  <si>
    <t xml:space="preserve">Restructuring - charges potentially recognized in Q1 2027</t>
  </si>
  <si>
    <t xml:space="preserve">The majority of these charges are expected to be recognized in the second half of 2026, with a portion of up to approximately $5 million potentially recognized in the first quarter of 2027 depending on the timing of execution of certain elements of the Plan. The Plan is expected to be substantially complete by the end of 2026. We do not expect to incur material restructuring charges after the first quarter of 2027.</t>
  </si>
  <si>
    <t xml:space="preserve">H1 2026 MD&amp;A (Exhibit 99.3), Restructuring Charges</t>
  </si>
  <si>
    <t xml:space="preserve">Upper bound 'up to approximately $5 million'</t>
  </si>
  <si>
    <t xml:space="preserve">AN-0842</t>
  </si>
  <si>
    <t xml:space="preserve">Restructuring - estimated non-cash SBC forfeiture credits</t>
  </si>
  <si>
    <t xml:space="preserve">partially offset by approximately $15 million in non-cash credits for share-based compensation</t>
  </si>
  <si>
    <t xml:space="preserve">Restructuring 6-K dated July 22, 2026, Explanatory Note</t>
  </si>
  <si>
    <t xml:space="preserve">credit (offset)</t>
  </si>
  <si>
    <t xml:space="preserve">AN-0843</t>
  </si>
  <si>
    <t xml:space="preserve">Restructuring - estimated office space impairment charges (high)</t>
  </si>
  <si>
    <t xml:space="preserve">approximately $30 - $35 million in charges related to the impairment of certain office space</t>
  </si>
  <si>
    <t xml:space="preserve">AN-0844</t>
  </si>
  <si>
    <t xml:space="preserve">Restructuring - estimated office space impairment charges (low)</t>
  </si>
  <si>
    <t xml:space="preserve">AN-0845</t>
  </si>
  <si>
    <t xml:space="preserve">Restructuring - estimated severance, employee benefits and related costs (high)</t>
  </si>
  <si>
    <t xml:space="preserve">approximately $30 - $35 million of future net charges related to severance payments, employee benefits, and related costs</t>
  </si>
  <si>
    <t xml:space="preserve">AN-0846</t>
  </si>
  <si>
    <t xml:space="preserve">Restructuring - estimated severance, employee benefits and related costs (low)</t>
  </si>
  <si>
    <t xml:space="preserve">cash nature implied by 'severance payments' but not explicitly labeled cash</t>
  </si>
  <si>
    <t xml:space="preserve">AN-0847</t>
  </si>
  <si>
    <t xml:space="preserve">Restructuring - estimated total net charges (high)</t>
  </si>
  <si>
    <t xml:space="preserve">the Company estimates that it will incur approximately $45 - $55 million in net charges</t>
  </si>
  <si>
    <t xml:space="preserve">Range $45-$55M</t>
  </si>
  <si>
    <t xml:space="preserve">AN-0848</t>
  </si>
  <si>
    <t xml:space="preserve">Restructuring - estimated total net charges (low)</t>
  </si>
  <si>
    <t xml:space="preserve">AN-0849</t>
  </si>
  <si>
    <t xml:space="preserve">Restructuring - estimated total net charges for full year 2026 (MD&amp;A)</t>
  </si>
  <si>
    <t xml:space="preserve">We estimate total net charges under the Plan of approximately $45–55 million for the full year 2026, consisting of approximately $30–35 million of future net charges related to severance payments, employee benefits and related costs, and approximately $30–35 million in charges related to the impairment of certain office spaces, partially offset by approximately $15 million in non-cash credits related to the forfeiture of unvested share-based compensation awards by departing employees.</t>
  </si>
  <si>
    <t xml:space="preserve">text</t>
  </si>
  <si>
    <t xml:space="preserve">Same ranges as July 22, 2026 6-K</t>
  </si>
  <si>
    <t xml:space="preserve">AN-0850</t>
  </si>
  <si>
    <t xml:space="preserve">Restructuring - impairment of leasehold improvements and other fixed assets</t>
  </si>
  <si>
    <t xml:space="preserve">an impairment of leasehold improvements, and other fixed assets (amounting to $ 10,758 )</t>
  </si>
  <si>
    <t xml:space="preserve">H1 2026 interim financial statements (Exhibit 99.2), Note 18 b. Subsequent Events - 2026 Restructuring Plan</t>
  </si>
  <si>
    <t xml:space="preserve">non-cash</t>
  </si>
  <si>
    <t xml:space="preserve">AN-0851</t>
  </si>
  <si>
    <t xml:space="preserve">Restructuring - impairment of operating lease ROU assets</t>
  </si>
  <si>
    <t xml:space="preserve">These charges consist of impairment of operating lease right-of-use assets (amounting to $ 10,678 )</t>
  </si>
  <si>
    <t xml:space="preserve">AN-0852</t>
  </si>
  <si>
    <t xml:space="preserve">H2 2026</t>
  </si>
  <si>
    <t xml:space="preserve">Restructuring - timing</t>
  </si>
  <si>
    <t xml:space="preserve">The majority of these charges are expected to be recognized in, and the Plan substantially completed by, the second half of 2026.</t>
  </si>
  <si>
    <t xml:space="preserve">AN-0853</t>
  </si>
  <si>
    <t xml:space="preserve">2026-07-22</t>
  </si>
  <si>
    <t xml:space="preserve">Restructuring - workforce reduction</t>
  </si>
  <si>
    <t xml:space="preserve">The Plan includes a reduction of approximately 20% of the Company's current workforce. The Company expects to continue hiring in key strategic areas throughout 2026.</t>
  </si>
  <si>
    <t xml:space="preserve">Number of employees affected not stated</t>
  </si>
  <si>
    <t xml:space="preserve">AN-0854</t>
  </si>
  <si>
    <t xml:space="preserve">The 2026 Restructuring Plan includes a reduction of approximately 20 % of the Company's current workforce, a majority of which is not in customer-facing roles.</t>
  </si>
  <si>
    <t xml:space="preserve">Affected employees notified July 22, 2026; no severance recognized as of June 30, 2026</t>
  </si>
  <si>
    <t xml:space="preserve">AN-0855</t>
  </si>
  <si>
    <t xml:space="preserve">Restructuring charges recognized</t>
  </si>
  <si>
    <t xml:space="preserve">the Company recognized restructuring charges of $ 21,436 in the six months ended June 30, 2026 (unaudited), related to the exit of office space in Israel originally secured to support planned workforce expansion.</t>
  </si>
  <si>
    <t xml:space="preserve">Recognized in Q2 2026 prior to and independent of the Board's approval of the Plan; all non-cash</t>
  </si>
  <si>
    <t xml:space="preserve">AN-0856</t>
  </si>
  <si>
    <t xml:space="preserve">acquisition</t>
  </si>
  <si>
    <t xml:space="preserve">Acquisition of a business operation - cash paid (OneAI)</t>
  </si>
  <si>
    <t xml:space="preserve">Acquisition of a business operation | ( 13,200 | ) | -</t>
  </si>
  <si>
    <t xml:space="preserve">MD&amp;A: '$13.2 million acquisition of OneAI'</t>
  </si>
  <si>
    <t xml:space="preserve">AN-0857</t>
  </si>
  <si>
    <t xml:space="preserve">Deferred payment in connection with an acquisition of a business operation (non-cash)</t>
  </si>
  <si>
    <t xml:space="preserve">Deferred payment in connection with an acquisition of a business operation | 900 | -</t>
  </si>
  <si>
    <t xml:space="preserve">H1 2026 interim financial statements (Exhibit 99.2), Condensed Consolidated Statements of Cash Flows - non-cash</t>
  </si>
  <si>
    <t xml:space="preserve">AN-0858</t>
  </si>
  <si>
    <t xml:space="preserve">Goodwill balance</t>
  </si>
  <si>
    <t xml:space="preserve">Balance as of June 30, 2026 | $ | 9,851</t>
  </si>
  <si>
    <t xml:space="preserve">H1 2026 interim financial statements (Exhibit 99.2), Note 11 a. Goodwill</t>
  </si>
  <si>
    <t xml:space="preserve">AN-0859</t>
  </si>
  <si>
    <t xml:space="preserve">Intangible assets, net (acquired technology)</t>
  </si>
  <si>
    <t xml:space="preserve">Acquired technology | $ | 3,368 | $ | ( 140 | ) | $ | 3,228 | 3 years</t>
  </si>
  <si>
    <t xml:space="preserve">H1 2026 interim financial statements (Exhibit 99.2), Note 11 b. Intangible Assets</t>
  </si>
  <si>
    <t xml:space="preserve">Accumulated amortization 140</t>
  </si>
  <si>
    <t xml:space="preserve">AN-0860</t>
  </si>
  <si>
    <t xml:space="preserve">Investment in affiliated company (balance)</t>
  </si>
  <si>
    <t xml:space="preserve">Investment in affiliated company | 10,332 | 6,000</t>
  </si>
  <si>
    <t xml:space="preserve">H1 2026 interim financial statements (Exhibit 99.2), Note 7 Other Long-Term Assets</t>
  </si>
  <si>
    <t xml:space="preserve">AN-0861</t>
  </si>
  <si>
    <t xml:space="preserve">Dec 31 2025: 6,000</t>
  </si>
  <si>
    <t xml:space="preserve">AN-0862</t>
  </si>
  <si>
    <t xml:space="preserve">Investment in affiliated company (cash outflow)</t>
  </si>
  <si>
    <t xml:space="preserve">|| Investment in affiliated company | — | ( 6,000 ) | —</t>
  </si>
  <si>
    <t xml:space="preserve">Nil in FY2025.</t>
  </si>
  <si>
    <t xml:space="preserve">AN-0863</t>
  </si>
  <si>
    <t xml:space="preserve">Investment in affiliated company (equity method) - carrying value</t>
  </si>
  <si>
    <t xml:space="preserve">The net carrying value of the investment in the affiliated company amounted to $6,000 as of both December 31, 2025 and 2024 and is presented as part of other-long term assets</t>
  </si>
  <si>
    <t xml:space="preserve">Item 18 / Consolidated Financial Statements - Notes to Consolidated Financial Statements - Note 2: Significant Accounting Policies - G. Investment in affiliated company</t>
  </si>
  <si>
    <t xml:space="preserve">Investee not named. No business combinations, goodwill or intangibles disclosed.</t>
  </si>
  <si>
    <t xml:space="preserve">AN-0864</t>
  </si>
  <si>
    <t xml:space="preserve">Investment in affiliated company (equity method) - cash outflow</t>
  </si>
  <si>
    <t xml:space="preserve">Investments in affiliated company | ( 6,000 ) | – | –</t>
  </si>
  <si>
    <t xml:space="preserve">Investee not named. No business combinations disclosed.</t>
  </si>
  <si>
    <t xml:space="preserve">AN-0865</t>
  </si>
  <si>
    <t xml:space="preserve">Investment in affiliated company - net carrying value</t>
  </si>
  <si>
    <t xml:space="preserve">The net carrying value of the investment in the affiliated company amounted to $6,000 as of December 31, 2024 and is presented as part of other-long term assets in the consolidated balance sheet. There were no investments in affiliated companies in 2023. Equity gains (losses) were immaterial in 2024.</t>
  </si>
  <si>
    <t xml:space="preserve">Item 18 (Part 5 - Consolidated Financial Statements) - Note 2: Significant Accounting Policies - G. Investment in affiliated company</t>
  </si>
  <si>
    <t xml:space="preserve">Accounted for under the equity method (ASC 323); no impairment in 2024.</t>
  </si>
  <si>
    <t xml:space="preserve">AN-0866</t>
  </si>
  <si>
    <t xml:space="preserve">Investment in privately held companies (balance)</t>
  </si>
  <si>
    <t xml:space="preserve">Investment in privately held companies | 6,000 | -</t>
  </si>
  <si>
    <t xml:space="preserve">AN-0867</t>
  </si>
  <si>
    <t xml:space="preserve">Investments made through monday ventures</t>
  </si>
  <si>
    <t xml:space="preserve">$10.3 million in investments made through monday ventures ... including a $6.0 million purchase of securities of privately held companies under the cost method and a $4.3 million investment in an affiliated company</t>
  </si>
  <si>
    <t xml:space="preserve">H1 2026 MD&amp;A (Exhibit 99.3), Cash Flows - Investing Activities</t>
  </si>
  <si>
    <t xml:space="preserve">AN-0868</t>
  </si>
  <si>
    <t xml:space="preserve">2026-05-11</t>
  </si>
  <si>
    <t xml:space="preserve">OneAI - acquired technology</t>
  </si>
  <si>
    <t xml:space="preserve">Acquired technology, net | $ | 3,368</t>
  </si>
  <si>
    <t xml:space="preserve">H1 2026 interim financial statements (Exhibit 99.2), Note 1 b. Acquisition of OneAI - preliminary purchase price allocation</t>
  </si>
  <si>
    <t xml:space="preserve">3-year straight-line amortization, in cost of revenue</t>
  </si>
  <si>
    <t xml:space="preserve">AN-0869</t>
  </si>
  <si>
    <t xml:space="preserve">OneAI - deferred tax asset</t>
  </si>
  <si>
    <t xml:space="preserve">Deferred tax asset | 881</t>
  </si>
  <si>
    <t xml:space="preserve">AN-0870</t>
  </si>
  <si>
    <t xml:space="preserve">OneAI - goodwill</t>
  </si>
  <si>
    <t xml:space="preserve">Goodwill | 9,851</t>
  </si>
  <si>
    <t xml:space="preserve">Expected to be deductible for tax purposes over 10 years</t>
  </si>
  <si>
    <t xml:space="preserve">AN-0871</t>
  </si>
  <si>
    <t xml:space="preserve">OneAI - goodwill tax deductibility period</t>
  </si>
  <si>
    <t xml:space="preserve">Goodwill is expected to be deductible for tax purposes over 10 years.</t>
  </si>
  <si>
    <t xml:space="preserve">H1 2026 interim financial statements (Exhibit 99.2), Note 1 b. Acquisition of OneAI</t>
  </si>
  <si>
    <t xml:space="preserve">AN-0872</t>
  </si>
  <si>
    <t xml:space="preserve">OneAI - retention grants in RSUs</t>
  </si>
  <si>
    <t xml:space="preserve">of which $ 6,050 is in restricted share units</t>
  </si>
  <si>
    <t xml:space="preserve">AN-0873</t>
  </si>
  <si>
    <t xml:space="preserve">OneAI - retention grants in cash</t>
  </si>
  <si>
    <t xml:space="preserve">$ 3,371 in cash</t>
  </si>
  <si>
    <t xml:space="preserve">AN-0874</t>
  </si>
  <si>
    <t xml:space="preserve">OneAI - retention-based grants (aggregate grant-date fair value)</t>
  </si>
  <si>
    <t xml:space="preserve">retention-based grants with the continuing founders and key employees of OneAI with an aggregate grant-date fair value of $ 9,421 (of which $ 6,050 is in restricted share units (“RSUs”) and $ 3,371 in cash) (unaudited), vesting over four years subject to continued employment</t>
  </si>
  <si>
    <t xml:space="preserve">Post-combination compensation over 4-year vesting; excluded from consideration</t>
  </si>
  <si>
    <t xml:space="preserve">AN-0875</t>
  </si>
  <si>
    <t xml:space="preserve">OneAI acquisition - date</t>
  </si>
  <si>
    <t xml:space="preserve">On May 11, 2026 (the "Acquisition Date"), the Company acquired substantially all of the assets of One AI Ltd. and OneAI Inc. (collectively, "OneAI") pursuant to an asset purchase agreement</t>
  </si>
  <si>
    <t xml:space="preserve">Accounted for as business combination (ASC 805); to accelerate go-to-market for native voice AI capabilities</t>
  </si>
  <si>
    <t xml:space="preserve">AN-0876</t>
  </si>
  <si>
    <t xml:space="preserve">OneAI acquisition - paid to departing founder</t>
  </si>
  <si>
    <t xml:space="preserve">(ii) $ 1,500 (unaudited) paid to a departing founder</t>
  </si>
  <si>
    <t xml:space="preserve">AN-0877</t>
  </si>
  <si>
    <t xml:space="preserve">OneAI acquisition - paid to seller entity</t>
  </si>
  <si>
    <t xml:space="preserve">(i) $ 12,600 (unaudited) paid to the seller entity</t>
  </si>
  <si>
    <t xml:space="preserve">AN-0878</t>
  </si>
  <si>
    <t xml:space="preserve">OneAI acquisition - total consideration</t>
  </si>
  <si>
    <t xml:space="preserve">The total consideration transferred was $ 14,100 (unaudited), paid entirely in cash, comprising (i) $ 12,600 (unaudited) paid to the seller entity and (ii) $ 1,500 (unaudited) paid to a departing founder.</t>
  </si>
  <si>
    <t xml:space="preserve">Cash flow statement shows acquisition outflow 13,200 with 900 deferred payment (non-cash)</t>
  </si>
  <si>
    <t xml:space="preserve">AN-0879</t>
  </si>
  <si>
    <t xml:space="preserve">monday ventures - corporate venture fund size</t>
  </si>
  <si>
    <t xml:space="preserve">monday ventures, our $50 million corporate venture fund focused on backing early to growth-stage companies building AI-powered enterprise work solutions</t>
  </si>
  <si>
    <t xml:space="preserve">AN-0880</t>
  </si>
  <si>
    <t xml:space="preserve">repurchase</t>
  </si>
  <si>
    <t xml:space="preserve">Aggregate amount of shares repurchased</t>
  </si>
  <si>
    <t xml:space="preserve">repurchased and subsequently retired 9,602,294 shares for an aggregate amount of $ 734,971</t>
  </si>
  <si>
    <t xml:space="preserve">H1 2026 interim financial statements (Exhibit 99.2), Note 15 d. Share Repurchases</t>
  </si>
  <si>
    <t xml:space="preserve">AN-0881</t>
  </si>
  <si>
    <t xml:space="preserve">Amount of shares repurchased</t>
  </si>
  <si>
    <t xml:space="preserve">In 2025, the Company repurchased and subsequently retired 883,913 shares for an aggregate amount of $135,028.</t>
  </si>
  <si>
    <t xml:space="preserve">Item 18 / Consolidated Financial Statements - Notes to Consolidated Financial Statements - Note 13: Shareholders' Equity - E. Share Repurchases</t>
  </si>
  <si>
    <t xml:space="preserve">MD&amp;A: 'In the fourth quarter of 2025, the Company repurchased 883,913 of its ordinary shares in the total amount of $135.0 million.'</t>
  </si>
  <si>
    <t xml:space="preserve">AN-0882</t>
  </si>
  <si>
    <t xml:space="preserve">2026 (through filing date 2026-03-13)</t>
  </si>
  <si>
    <t xml:space="preserve">YTD</t>
  </si>
  <si>
    <t xml:space="preserve">Amount repurchased after year end (2026, subsequent event)</t>
  </si>
  <si>
    <t xml:space="preserve">During 2026, the Company repurchased and subsequently retired 7,269,499 shares for an aggregate amount of $552,758 under its existing share repurchase program</t>
  </si>
  <si>
    <t xml:space="preserve">Item 18 / Consolidated Financial Statements - Notes to Consolidated Financial Statements - Note 17: Subsequent Events</t>
  </si>
  <si>
    <t xml:space="preserve">Executed in open market transactions.</t>
  </si>
  <si>
    <t xml:space="preserve">AN-0883</t>
  </si>
  <si>
    <t xml:space="preserve">2025-12</t>
  </si>
  <si>
    <t xml:space="preserve">1M</t>
  </si>
  <si>
    <t xml:space="preserve">Average price paid per share - December 2025</t>
  </si>
  <si>
    <t xml:space="preserve">|| December 1 – 31 2025 | 588,978 | $ | 152.83 | 588,978 | $ | 734,971,570.32</t>
  </si>
  <si>
    <t xml:space="preserve">Item 16E / Part 7 - Purchases of equity securities by the issuer and affiliated purchasers (monthly table)</t>
  </si>
  <si>
    <t xml:space="preserve">AN-0884</t>
  </si>
  <si>
    <t xml:space="preserve">2025-11</t>
  </si>
  <si>
    <t xml:space="preserve">Average price paid per share - November 2025</t>
  </si>
  <si>
    <t xml:space="preserve">|| November 1 – 30 2025 | 294,935 | $ | 152.64 | 294,935 | $ | 824,982,479.5</t>
  </si>
  <si>
    <t xml:space="preserve">AN-0885</t>
  </si>
  <si>
    <t xml:space="preserve">Cumulative amount repurchased under the program</t>
  </si>
  <si>
    <t xml:space="preserve">the Company repurchased 10,486,207 of its ordinary shares in the total amount of $870.0 million</t>
  </si>
  <si>
    <t xml:space="preserve">H1 2026 MD&amp;A (Exhibit 99.3), B. Liquidity and Capital Resources - Share Repurchase Program</t>
  </si>
  <si>
    <t xml:space="preserve">AN-0886</t>
  </si>
  <si>
    <t xml:space="preserve">2025-11 to 2026</t>
  </si>
  <si>
    <t xml:space="preserve">multi-period</t>
  </si>
  <si>
    <t xml:space="preserve">Cumulative repurchases Nov 2025 - 2026 under $870M program</t>
  </si>
  <si>
    <t xml:space="preserve">repurchasing $870 million in ordinary shares — representing 10,486,207 shares, or approximately 20% of shares outstanding — from November 2025 through 2026, exceeding all equity units granted over that period</t>
  </si>
  <si>
    <t xml:space="preserve">approximately 20% of shares outstanding</t>
  </si>
  <si>
    <t xml:space="preserve">AN-0887</t>
  </si>
  <si>
    <t xml:space="preserve">Cumulative shares repurchased under the $870M program</t>
  </si>
  <si>
    <t xml:space="preserve">As of June 30, 2026, the Company repurchased 10,486,207 of its ordinary shares in the total amount of $870.0 million (9,602,294 during the six months ended June 30, 2026).</t>
  </si>
  <si>
    <t xml:space="preserve">Implies remainder repurchased in 2025 is not separately stated here</t>
  </si>
  <si>
    <t xml:space="preserve">AN-0888</t>
  </si>
  <si>
    <t xml:space="preserve">Remaining authorization</t>
  </si>
  <si>
    <t xml:space="preserve">As of June 30, 2026, the program has been fully utilized, and no shares are available for future share repurchases under the program.</t>
  </si>
  <si>
    <t xml:space="preserve">AN-0889</t>
  </si>
  <si>
    <t xml:space="preserve">Remaining authorization after December 2025</t>
  </si>
  <si>
    <t xml:space="preserve">Stated in whole USD.</t>
  </si>
  <si>
    <t xml:space="preserve">AN-0890</t>
  </si>
  <si>
    <t xml:space="preserve">2025-11-30</t>
  </si>
  <si>
    <t xml:space="preserve">Remaining authorization after November 2025</t>
  </si>
  <si>
    <t xml:space="preserve">AN-0891</t>
  </si>
  <si>
    <t xml:space="preserve">Remaining repurchase authorization</t>
  </si>
  <si>
    <t xml:space="preserve">As of December 31, 2025, $734,972 remained available and authorized for repurchases under this program.</t>
  </si>
  <si>
    <t xml:space="preserve">MD&amp;A states $735.0 million.</t>
  </si>
  <si>
    <t xml:space="preserve">AN-0892</t>
  </si>
  <si>
    <t xml:space="preserve">Repurchase of ordinary shares (cash)</t>
  </si>
  <si>
    <t xml:space="preserve">Repurchase of ordinary shares | 734,971</t>
  </si>
  <si>
    <t xml:space="preserve">outflow shown in parentheses in source [Manually re-checked against source text.]</t>
  </si>
  <si>
    <t xml:space="preserve">AN-0893</t>
  </si>
  <si>
    <t xml:space="preserve">2025-09-15</t>
  </si>
  <si>
    <t xml:space="preserve">Repurchase start condition - Israeli creditor objection period</t>
  </si>
  <si>
    <t xml:space="preserve">Repurchases may begin upon the satisfaction of applicable Israeli law requirements, and subject to the conclusion of the 30-day period for creditors of the Company to object to the Company’s intent to perform the distribution by way of repurchase in accordance with Israeli law requirements.</t>
  </si>
  <si>
    <t xml:space="preserve">days</t>
  </si>
  <si>
    <t xml:space="preserve">6-K dated September 17, 2025, Explanatory Note - Share Repurchase Program</t>
  </si>
  <si>
    <t xml:space="preserve">AN-0894</t>
  </si>
  <si>
    <t xml:space="preserve">Repurchases of ordinary shares (cash flow)</t>
  </si>
  <si>
    <t xml:space="preserve">|| Repurchases of ordinary shares | ( 135,028 ) | — | —</t>
  </si>
  <si>
    <t xml:space="preserve">AN-0895</t>
  </si>
  <si>
    <t xml:space="preserve">2025-09</t>
  </si>
  <si>
    <t xml:space="preserve">Share repurchase program authorization</t>
  </si>
  <si>
    <t xml:space="preserve">In September 2025, the Company’s board of directors authorized a share repurchase program of the Company’s ordinary shares in an aggregate amount of up to $870,000 and with no expiration date. The repurchases commenced in November 2025.</t>
  </si>
  <si>
    <t xml:space="preserve">AN-0896</t>
  </si>
  <si>
    <t xml:space="preserve">In September 2025, the Company’s Board authorized a share repurchase program of the Company’s ordinary shares in an aggregate amount of up to $ 870,000 and with no expiration date. The repurchases commenced in November 2025.</t>
  </si>
  <si>
    <t xml:space="preserve">No expiration date; commenced November 2025</t>
  </si>
  <si>
    <t xml:space="preserve">AN-0897</t>
  </si>
  <si>
    <t xml:space="preserve">On September 15, 2025, the Board of Directors (the “Board”) of the Company approved a program to repurchase the Company's ordinary shares in an amount up to $870 million.</t>
  </si>
  <si>
    <t xml:space="preserve">Open market (incl. Rule 10b5-1 plans), privately negotiated or otherwise; may begin after Israeli-law 30-day creditor objection period</t>
  </si>
  <si>
    <t xml:space="preserve">AN-0898</t>
  </si>
  <si>
    <t xml:space="preserve">Share repurchases by issuer or affiliated purchasers</t>
  </si>
  <si>
    <t xml:space="preserve">There were no purchases of our equity securities by the Company or any affiliated purchaser during the year ended December 31, 2023.</t>
  </si>
  <si>
    <t xml:space="preserve">Part 7 - Additional Information (Item 16E) &gt; Purchases of equity securities by the issuer and affiliated purchasers</t>
  </si>
  <si>
    <t xml:space="preserve">No buyback authorization disclosed.</t>
  </si>
  <si>
    <t xml:space="preserve">AN-0899</t>
  </si>
  <si>
    <t xml:space="preserve">Share repurchases during FY2025</t>
  </si>
  <si>
    <t xml:space="preserve">net cash provided by operating activities of $333.6 million supported continued investment and $135 million in share repurchases during the year</t>
  </si>
  <si>
    <t xml:space="preserve">AN-0900</t>
  </si>
  <si>
    <t xml:space="preserve">Shares purchased - December 2025</t>
  </si>
  <si>
    <t xml:space="preserve">AN-0901</t>
  </si>
  <si>
    <t xml:space="preserve">Shares purchased - November 2025</t>
  </si>
  <si>
    <t xml:space="preserve">AN-0902</t>
  </si>
  <si>
    <t xml:space="preserve">Shares repurchased and retired</t>
  </si>
  <si>
    <t xml:space="preserve">All in Q4 2025 (Nov-Dec).</t>
  </si>
  <si>
    <t xml:space="preserve">AN-0903</t>
  </si>
  <si>
    <t xml:space="preserve">During the six months ended June 30, 2026, the Company repurchased and subsequently retired 9,602,294 shares for an aggregate amount of $ 734,971 under its existing share repurchase program.</t>
  </si>
  <si>
    <t xml:space="preserve">Open market transactions</t>
  </si>
  <si>
    <t xml:space="preserve">AN-0904</t>
  </si>
  <si>
    <t xml:space="preserve">Shares repurchased and retired after year end (2026, subsequent event)</t>
  </si>
  <si>
    <t xml:space="preserve">AN-0905</t>
  </si>
  <si>
    <t xml:space="preserve">Shares repurchased by issuer</t>
  </si>
  <si>
    <t xml:space="preserve">There were no purchases of our equity securities by the Company or any affiliated purchaser during the year ended December 31, 2021.</t>
  </si>
  <si>
    <t xml:space="preserve">Item 16E Purchases of Equity Securities by the Issuer and Affiliated Purchasers</t>
  </si>
  <si>
    <t xml:space="preserve">No buyback program disclosed.</t>
  </si>
  <si>
    <t xml:space="preserve">AN-0906</t>
  </si>
  <si>
    <t xml:space="preserve">Shares repurchased by issuer or affiliated purchasers</t>
  </si>
  <si>
    <t xml:space="preserve">There were no purchases of our equity securities by the Company or any affiliated purchaser during the year ended December 31, 2022.</t>
  </si>
  <si>
    <t xml:space="preserve">Part 7 - Additional Information &gt; Purchases of equity securities by the issuer and affiliated purchasers (Item 16E)</t>
  </si>
  <si>
    <t xml:space="preserve">No buyback authorization disclosed; no Item 16E monthly table.</t>
  </si>
  <si>
    <t xml:space="preserve">AN-0907</t>
  </si>
  <si>
    <t xml:space="preserve">There were no purchases of our equity securities by the Company or any affiliated purchaser during the year ended December 31, 2024.</t>
  </si>
  <si>
    <t xml:space="preserve">Item 16E (Part 7 - Additional Information) - Purchases of equity securities by the issuer and affiliated purchasers</t>
  </si>
  <si>
    <t xml:space="preserve">AN-0908</t>
  </si>
  <si>
    <t xml:space="preserve">lease</t>
  </si>
  <si>
    <t xml:space="preserve">Bank guarantee securing lease</t>
  </si>
  <si>
    <t xml:space="preserve">and $2,115, respectively</t>
  </si>
  <si>
    <t xml:space="preserve">Item 18 &gt; Note 8c Guarantees</t>
  </si>
  <si>
    <t xml:space="preserve">AN-0909</t>
  </si>
  <si>
    <t xml:space="preserve">the Company has provided a bank guarantee in the amount of $2,186 and $2,115, respectively, to secure its lease agreement.</t>
  </si>
  <si>
    <t xml:space="preserve">AN-0910</t>
  </si>
  <si>
    <t xml:space="preserve">the Company has provided a bank guarantee in the amount of $ 6,815 and $ 6,871 , respectively, to secure its lease agreement.</t>
  </si>
  <si>
    <t xml:space="preserve">Item 18 Financial Statements &gt; Notes to Consolidated Financial Statements &gt; Note 9: Commitments and Contingencies &gt; A. Guarantees</t>
  </si>
  <si>
    <t xml:space="preserve">AN-0911</t>
  </si>
  <si>
    <t xml:space="preserve">AN-0912</t>
  </si>
  <si>
    <t xml:space="preserve">Bank guarantee securing lease agreement</t>
  </si>
  <si>
    <t xml:space="preserve">As of December 31, 2022 and 2021, the Company has provided a bank guarantee in the amount of $ 6,871 and $ 2,186 , respectively, to secure its lease agreement.</t>
  </si>
  <si>
    <t xml:space="preserve">Item 18 Financial Statements &gt; Notes to Consolidated Financial Statements &gt; Note 10A Guarantees</t>
  </si>
  <si>
    <t xml:space="preserve">AN-0913</t>
  </si>
  <si>
    <t xml:space="preserve">AN-0914</t>
  </si>
  <si>
    <t xml:space="preserve">As of December 31, 2024 and 2023, the Company has provided a bank guarantee in the amount of $ 8,264 and $ 6,815 , respectively, to secure its lease agreement.</t>
  </si>
  <si>
    <t xml:space="preserve">Item 18 (Part 5 - Consolidated Financial Statements) - Note 10: Commitments and Contingencies - A. Guarantees</t>
  </si>
  <si>
    <t xml:space="preserve">AN-0915</t>
  </si>
  <si>
    <t xml:space="preserve">AN-0916</t>
  </si>
  <si>
    <t xml:space="preserve">As of December 31, 2025 and 2024, the Company has provided a bank guarantee in the amount of $19,793 and $8,264, respectively, to secure its lease agreement.</t>
  </si>
  <si>
    <t xml:space="preserve">Item 18 / Consolidated Financial Statements - Notes to Consolidated Financial Statements - Note 10: Commitments and Contingencies - A. Guarantees</t>
  </si>
  <si>
    <t xml:space="preserve">AN-0917</t>
  </si>
  <si>
    <t xml:space="preserve">AN-0918</t>
  </si>
  <si>
    <t xml:space="preserve">Bank guarantee to secure lease agreements</t>
  </si>
  <si>
    <t xml:space="preserve">bank guarantee in the amount of $ 7,391 , and $ 6,815</t>
  </si>
  <si>
    <t xml:space="preserve">H1 2024 interim financial statements (Exhibit 99.2), Note 9 Commitments and Contingencies - a. Guarantees</t>
  </si>
  <si>
    <t xml:space="preserve">AN-0919</t>
  </si>
  <si>
    <t xml:space="preserve">the Company has provided a bank guarantee in the amount of $ 7,391 , and $ 6,815 , respectively, to secure its lease agreements</t>
  </si>
  <si>
    <t xml:space="preserve">AN-0920</t>
  </si>
  <si>
    <t xml:space="preserve">bank guarantee in the amount of $ 12,688 and $ 8,264</t>
  </si>
  <si>
    <t xml:space="preserve">H1 2025 interim financial statements (Exhibit 99.2), Note 10 a. Guarantees</t>
  </si>
  <si>
    <t xml:space="preserve">AN-0921</t>
  </si>
  <si>
    <t xml:space="preserve">the Company has provided a bank guarantee in the amount of $ 12,688 and $ 8,264 , respectively, to secure its lease agreements</t>
  </si>
  <si>
    <t xml:space="preserve">AN-0922</t>
  </si>
  <si>
    <t xml:space="preserve">bank guarantee in the amount of $ 16,407 and $ 19,793</t>
  </si>
  <si>
    <t xml:space="preserve">H1 2026 interim financial statements (Exhibit 99.2), Note 12 a. Guarantees</t>
  </si>
  <si>
    <t xml:space="preserve">AN-0923</t>
  </si>
  <si>
    <t xml:space="preserve">the Company has provided a bank guarantee in the amount of $ 16,407 and $ 19,793 , respectively, to secure its lease agreements</t>
  </si>
  <si>
    <t xml:space="preserve">Dec 31 2025: 19,793</t>
  </si>
  <si>
    <t xml:space="preserve">AN-0924</t>
  </si>
  <si>
    <t xml:space="preserve">Capital lease liability</t>
  </si>
  <si>
    <t xml:space="preserve">The lease liability was $84 and $175 as of December 31, 2021 and 2020, respectively.</t>
  </si>
  <si>
    <t xml:space="preserve">Item 18 &gt; Note 8b Capital Lease</t>
  </si>
  <si>
    <t xml:space="preserve">AN-0925</t>
  </si>
  <si>
    <t xml:space="preserve">Expected ROU assets and lease liabilities on ASC 842 adoption (high end)</t>
  </si>
  <si>
    <t xml:space="preserve">approximately $58,000 to $68,000 at January 1, 2022</t>
  </si>
  <si>
    <t xml:space="preserve">Item 18 &gt; Note 2y Accounting Pronouncements Not Yet Effective (ASU 2016-02 Leases)</t>
  </si>
  <si>
    <t xml:space="preserve">AN-0926</t>
  </si>
  <si>
    <t xml:space="preserve">Expected ROU assets and lease liabilities on ASC 842 adoption (low end)</t>
  </si>
  <si>
    <t xml:space="preserve">will result in the recognition of ROU assets and lease liabilities of approximately $58,000 to $68,000 at January 1, 2022.</t>
  </si>
  <si>
    <t xml:space="preserve">Range $58,000-$68,000 thousand.</t>
  </si>
  <si>
    <t xml:space="preserve">AN-0927</t>
  </si>
  <si>
    <t xml:space="preserve">Fixed lease payment obligations</t>
  </si>
  <si>
    <t xml:space="preserve">As of December 31, 2025, the Company had fixed lease payment obligations of $189.5 million, with $28.5 million payable within 12 months.</t>
  </si>
  <si>
    <t xml:space="preserve">Item 5.B / Part 4 - B. Liquidity and Capital Resources - Leases</t>
  </si>
  <si>
    <t xml:space="preserve">AN-0928</t>
  </si>
  <si>
    <t xml:space="preserve">As of June 30, 2026, the Company had fixed lease payment obligations of $280.6 million, with $13.2 million payable during the remainder of 2026.</t>
  </si>
  <si>
    <t xml:space="preserve">H1 2026 MD&amp;A (Exhibit 99.3), B. Liquidity and Capital Resources - Leases</t>
  </si>
  <si>
    <t xml:space="preserve">AN-0929</t>
  </si>
  <si>
    <t xml:space="preserve">Future minimum lease payments (non-cancelable) - 2022</t>
  </si>
  <si>
    <t xml:space="preserve">2022 | 8,718</t>
  </si>
  <si>
    <t xml:space="preserve">Item 18 &gt; Note 8a Commitments and Contingencies - Lease Commitments - Operating Leases (future minimum lease payments table)</t>
  </si>
  <si>
    <t xml:space="preserve">AN-0930</t>
  </si>
  <si>
    <t xml:space="preserve">Future minimum lease payments (non-cancelable) - 2023</t>
  </si>
  <si>
    <t xml:space="preserve">2023 | 10,531</t>
  </si>
  <si>
    <t xml:space="preserve">AN-0931</t>
  </si>
  <si>
    <t xml:space="preserve">Future minimum lease payments (non-cancelable) - 2024</t>
  </si>
  <si>
    <t xml:space="preserve">2024 | 10,964</t>
  </si>
  <si>
    <t xml:space="preserve">AN-0932</t>
  </si>
  <si>
    <t xml:space="preserve">Future minimum lease payments (non-cancelable) - 2025</t>
  </si>
  <si>
    <t xml:space="preserve">2025 | 11,217</t>
  </si>
  <si>
    <t xml:space="preserve">AN-0933</t>
  </si>
  <si>
    <t xml:space="preserve">Future minimum lease payments (non-cancelable) - 2026</t>
  </si>
  <si>
    <t xml:space="preserve">2026 | 11,242</t>
  </si>
  <si>
    <t xml:space="preserve">AN-0934</t>
  </si>
  <si>
    <t xml:space="preserve">Future minimum lease payments (non-cancelable) - Thereafter</t>
  </si>
  <si>
    <t xml:space="preserve">Thereafter | 19,093</t>
  </si>
  <si>
    <t xml:space="preserve">AN-0935</t>
  </si>
  <si>
    <t xml:space="preserve">Future minimum lease payments (non-cancelable) - Total</t>
  </si>
  <si>
    <t xml:space="preserve">Total minimum lease payments | $ | 71,765</t>
  </si>
  <si>
    <t xml:space="preserve">AN-0936</t>
  </si>
  <si>
    <t xml:space="preserve">as of filing</t>
  </si>
  <si>
    <t xml:space="preserve">HQ lease bank guarantee (contractual)</t>
  </si>
  <si>
    <t xml:space="preserve">An autonomous un-conditional bank guarantee, for an amount of NIS 6,800,000 plus VAT for the initial lease of nine floors, which will increase to up to NIS 9,800,000.</t>
  </si>
  <si>
    <t xml:space="preserve">NIS</t>
  </si>
  <si>
    <t xml:space="preserve">Exhibit 4.8 (English summary of Tel-Aviv office lease with Rubenstein Buildings Ltd., dated January 15, 2020) &gt; Guarantees</t>
  </si>
  <si>
    <t xml:space="preserve">May increase up to NIS 9,800,000.</t>
  </si>
  <si>
    <t xml:space="preserve">AN-0937</t>
  </si>
  <si>
    <t xml:space="preserve">HQ lease floors leased</t>
  </si>
  <si>
    <t xml:space="preserve">the Lease includes 15 floors, levels 20-34. The initial Lease included nine floors and six additional floors were supplemented three years following the initial Lease.</t>
  </si>
  <si>
    <t xml:space="preserve">Exhibit 4.8 (English summary of Tel-Aviv office lease with Rubenstein Buildings Ltd., dated January 15, 2020) &gt; Premises Covered by the Lease</t>
  </si>
  <si>
    <t xml:space="preserve">300 parking spaces in total (20 per floor).</t>
  </si>
  <si>
    <t xml:space="preserve">AN-0938</t>
  </si>
  <si>
    <t xml:space="preserve">from 2021-04-01</t>
  </si>
  <si>
    <t xml:space="preserve">HQ lease term (Rubenstein)</t>
  </si>
  <si>
    <t xml:space="preserve">The term of the Lease is one hundred and twenty (120) months commencing on April 1, 2021 (“Original Term”), unless terminated by the Company prior thereto.</t>
  </si>
  <si>
    <t xml:space="preserve">months</t>
  </si>
  <si>
    <t xml:space="preserve">Exhibit 4.8 (English summary of Tel-Aviv office lease with Rubenstein Buildings Ltd., dated January 15, 2020) &gt; Term of the Lease</t>
  </si>
  <si>
    <t xml:space="preserve">Early termination option beginning March 31, 2026 with one year prior notice, subject to a penalty per renovated square meter.</t>
  </si>
  <si>
    <t xml:space="preserve">AN-0939</t>
  </si>
  <si>
    <t xml:space="preserve">HQ leased area, Tel Aviv</t>
  </si>
  <si>
    <t xml:space="preserve">Our current corporate headquarters are located in Tel Aviv, Israel where we lease approximately 120,000 square feet pursuant to an operating lease that is expected to expire in May 2031. We plan to expand our current headquarters by an additional 80,000 square feet by September 2022.</t>
  </si>
  <si>
    <t xml:space="preserve">square feet</t>
  </si>
  <si>
    <t xml:space="preserve">Item 4.B Business Overview &gt; Our Facilities</t>
  </si>
  <si>
    <t xml:space="preserve">Planned additional 80,000 sq ft by Sept 2022. Note 8a: non-cancelable lease expiring in 2031 with an early termination option.</t>
  </si>
  <si>
    <t xml:space="preserve">AN-0940</t>
  </si>
  <si>
    <t xml:space="preserve">HQ monthly management fee per sqm</t>
  </si>
  <si>
    <t xml:space="preserve">the Company shall pay a monthly fee of 19.4 NIS (approximately US$5.4) per square meter (gross) plus VAT and Index-linked.</t>
  </si>
  <si>
    <t xml:space="preserve">NIS per square meter per month</t>
  </si>
  <si>
    <t xml:space="preserve">Exhibit 4.8 (English summary of Tel-Aviv office lease with Rubenstein Buildings Ltd., dated January 15, 2020) &gt; Rental Fees &gt; Management</t>
  </si>
  <si>
    <t xml:space="preserve">AN-0941</t>
  </si>
  <si>
    <t xml:space="preserve">HQ monthly rent per sqm (floor 34)</t>
  </si>
  <si>
    <t xml:space="preserve">NIS 127 (approximately US$34.67) per square meter (gross) for floor 34.</t>
  </si>
  <si>
    <t xml:space="preserve">Exhibit 4.8 (English summary of Tel-Aviv office lease with Rubenstein Buildings Ltd., dated January 15, 2020) &gt; Rental Fees</t>
  </si>
  <si>
    <t xml:space="preserve">Approx US$34.67; VAT-exclusive, CPI-linked.</t>
  </si>
  <si>
    <t xml:space="preserve">AN-0942</t>
  </si>
  <si>
    <t xml:space="preserve">HQ monthly rent per sqm (floors 20-33)</t>
  </si>
  <si>
    <t xml:space="preserve">the Company shall pay a monthly rental fee of approximately NIS 119 (approximately US$33) per square meter (gross) for floors 20-33, and NIS 127 (approximately US$34.67) per square meter (gross) for floor 34.</t>
  </si>
  <si>
    <t xml:space="preserve">Exclusive of VAT, CPI-index-linked. Approx US$33.</t>
  </si>
  <si>
    <t xml:space="preserve">AN-0943</t>
  </si>
  <si>
    <t xml:space="preserve">HQ parking monthly fee per space (range)</t>
  </si>
  <si>
    <t xml:space="preserve">range between NIS 750 (in the Sonol building) and NIS 950 (in the Rubenstein building) per parking space</t>
  </si>
  <si>
    <t xml:space="preserve">NIS per parking space per month</t>
  </si>
  <si>
    <t xml:space="preserve">Exhibit 4.8 (English summary of Tel-Aviv office lease with Rubenstein Buildings Ltd., dated January 15, 2020) &gt; Rental Fees &gt; Parking</t>
  </si>
  <si>
    <t xml:space="preserve">Range; value given as string.</t>
  </si>
  <si>
    <t xml:space="preserve">AN-0944</t>
  </si>
  <si>
    <t xml:space="preserve">Imputed interest</t>
  </si>
  <si>
    <t xml:space="preserve">Less: Imputed interest | $ | ( 5,767 | )</t>
  </si>
  <si>
    <t xml:space="preserve">Item 18 Financial Statements &gt; Notes to Consolidated Financial Statements &gt; Note 9C Leases - schedule of maturities of lease liabilities as of December 31, 2022</t>
  </si>
  <si>
    <t xml:space="preserve">AN-0945</t>
  </si>
  <si>
    <t xml:space="preserve">Less: Imputed interest | $ | ( 3,349 | )</t>
  </si>
  <si>
    <t xml:space="preserve">Item 18 Financial Statements &gt; Notes to Consolidated Financial Statements &gt; Note 8: Leases &gt; B. maturities of lease liabilities</t>
  </si>
  <si>
    <t xml:space="preserve">AN-0946</t>
  </si>
  <si>
    <t xml:space="preserve">Increase in rent and related expenses within G&amp;A</t>
  </si>
  <si>
    <t xml:space="preserve">an increase of $13.6 million in rent and related expenses mainly due to our global office expansion</t>
  </si>
  <si>
    <t xml:space="preserve">Part 4 - Operating and Financial Review and Prospects (Item 5) &gt; A. Operating Results (Item 5.A) &gt; General and Administrative Expenses</t>
  </si>
  <si>
    <t xml:space="preserve">AN-0947</t>
  </si>
  <si>
    <t xml:space="preserve">Lease liabilities - imputed interest</t>
  </si>
  <si>
    <t xml:space="preserve">|| 2026 | $ | 28,516 || 2027 | 33,936 || 2028 | 34,051 || 2029 | 32,017 || 2030 | 31,697 || Thereafter | 29,273 || Total undiscounted cash flows | $ | 189,490 || Less: Imputed interest | $ | ( 20,723 ) || Present value of lease liabilities | $ | 168,767</t>
  </si>
  <si>
    <t xml:space="preserve">Item 18 / Consolidated Financial Statements - Notes to Consolidated Financial Statements - Note 9: Leases - B. maturities of lease liabilities as of December 31, 2025</t>
  </si>
  <si>
    <t xml:space="preserve">AN-0948</t>
  </si>
  <si>
    <t xml:space="preserve">Lease liabilities - present value</t>
  </si>
  <si>
    <t xml:space="preserve">AN-0949</t>
  </si>
  <si>
    <t xml:space="preserve">Lease liabilities - total undiscounted cash flows</t>
  </si>
  <si>
    <t xml:space="preserve">AN-0950</t>
  </si>
  <si>
    <t xml:space="preserve">Lease liability - imputed interest</t>
  </si>
  <si>
    <t xml:space="preserve">Less: Imputed interest | $ | ( 14,533 )</t>
  </si>
  <si>
    <t xml:space="preserve">Item 18 (Part 5 - Consolidated Financial Statements) - Note 9: Leases - maturities of lease liabilities as of December 31, 2024</t>
  </si>
  <si>
    <t xml:space="preserve">AN-0951</t>
  </si>
  <si>
    <t xml:space="preserve">Lease liability maturity - 2023</t>
  </si>
  <si>
    <t xml:space="preserve">2023 | $ | 19,782</t>
  </si>
  <si>
    <t xml:space="preserve">Undiscounted payments as of 2022-12-31.</t>
  </si>
  <si>
    <t xml:space="preserve">AN-0952</t>
  </si>
  <si>
    <t xml:space="preserve">Lease liability maturity - 2024</t>
  </si>
  <si>
    <t xml:space="preserve">2024 | 17,843</t>
  </si>
  <si>
    <t xml:space="preserve">AN-0953</t>
  </si>
  <si>
    <t xml:space="preserve">Lease liability maturity - 2025</t>
  </si>
  <si>
    <t xml:space="preserve">2025 | 20,142</t>
  </si>
  <si>
    <t xml:space="preserve">H1 2024 interim financial statements (Exhibit 99.2), Note 8 Leases - maturities of lease liabilities</t>
  </si>
  <si>
    <t xml:space="preserve">AN-0954</t>
  </si>
  <si>
    <t xml:space="preserve">2025 | $ | 29,851</t>
  </si>
  <si>
    <t xml:space="preserve">AN-0955</t>
  </si>
  <si>
    <t xml:space="preserve">2025 | 18,176</t>
  </si>
  <si>
    <t xml:space="preserve">AN-0956</t>
  </si>
  <si>
    <t xml:space="preserve">Lease liability maturity - 2026</t>
  </si>
  <si>
    <t xml:space="preserve">2026 | 13,115</t>
  </si>
  <si>
    <t xml:space="preserve">AN-0957</t>
  </si>
  <si>
    <t xml:space="preserve">2026 | 22,916</t>
  </si>
  <si>
    <t xml:space="preserve">AN-0958</t>
  </si>
  <si>
    <t xml:space="preserve">2026 | 25,101</t>
  </si>
  <si>
    <t xml:space="preserve">H1 2025 interim financial statements (Exhibit 99.2), Note 9 Leases - maturities of lease liabilities</t>
  </si>
  <si>
    <t xml:space="preserve">Table excludes the additional floors associated with the new lease in Israel</t>
  </si>
  <si>
    <t xml:space="preserve">AN-0959</t>
  </si>
  <si>
    <t xml:space="preserve">AN-0960</t>
  </si>
  <si>
    <t xml:space="preserve">2026 | 12,697</t>
  </si>
  <si>
    <t xml:space="preserve">AN-0961</t>
  </si>
  <si>
    <t xml:space="preserve">Lease liability maturity - 2027</t>
  </si>
  <si>
    <t xml:space="preserve">2027 | 9,049</t>
  </si>
  <si>
    <t xml:space="preserve">AN-0962</t>
  </si>
  <si>
    <t xml:space="preserve">2027 | 18,872</t>
  </si>
  <si>
    <t xml:space="preserve">AN-0963</t>
  </si>
  <si>
    <t xml:space="preserve">2027 | 21,049</t>
  </si>
  <si>
    <t xml:space="preserve">AN-0964</t>
  </si>
  <si>
    <t xml:space="preserve">AN-0965</t>
  </si>
  <si>
    <t xml:space="preserve">2027 | 35,618</t>
  </si>
  <si>
    <t xml:space="preserve">H1 2026 interim financial statements (Exhibit 99.2), Note 10 Leases - maturities of lease liabilities</t>
  </si>
  <si>
    <t xml:space="preserve">AN-0966</t>
  </si>
  <si>
    <t xml:space="preserve">2027 | 8,708</t>
  </si>
  <si>
    <t xml:space="preserve">AN-0967</t>
  </si>
  <si>
    <t xml:space="preserve">Lease liability maturity - 2028</t>
  </si>
  <si>
    <t xml:space="preserve">2028 | 7,060</t>
  </si>
  <si>
    <t xml:space="preserve">AN-0968</t>
  </si>
  <si>
    <t xml:space="preserve">2028 | 16,577</t>
  </si>
  <si>
    <t xml:space="preserve">AN-0969</t>
  </si>
  <si>
    <t xml:space="preserve">2028 | 21,119</t>
  </si>
  <si>
    <t xml:space="preserve">AN-0970</t>
  </si>
  <si>
    <t xml:space="preserve">AN-0971</t>
  </si>
  <si>
    <t xml:space="preserve">2028 | 42,129</t>
  </si>
  <si>
    <t xml:space="preserve">AN-0972</t>
  </si>
  <si>
    <t xml:space="preserve">Lease liability maturity - 2029</t>
  </si>
  <si>
    <t xml:space="preserve">2029 | 9,144</t>
  </si>
  <si>
    <t xml:space="preserve">AN-0973</t>
  </si>
  <si>
    <t xml:space="preserve">2029 | 19,665</t>
  </si>
  <si>
    <t xml:space="preserve">AN-0974</t>
  </si>
  <si>
    <t xml:space="preserve">AN-0975</t>
  </si>
  <si>
    <t xml:space="preserve">2029 | 39,998</t>
  </si>
  <si>
    <t xml:space="preserve">AN-0976</t>
  </si>
  <si>
    <t xml:space="preserve">Lease liability maturity - 2030</t>
  </si>
  <si>
    <t xml:space="preserve">AN-0977</t>
  </si>
  <si>
    <t xml:space="preserve">2030 | 39,657</t>
  </si>
  <si>
    <t xml:space="preserve">AN-0978</t>
  </si>
  <si>
    <t xml:space="preserve">Lease liability maturity - Imputed interest</t>
  </si>
  <si>
    <t xml:space="preserve">Imputed interest | -14,717</t>
  </si>
  <si>
    <t xml:space="preserve">Table excludes the additional floors associated with the new lease in Israel [Manually re-checked against source text.]</t>
  </si>
  <si>
    <t xml:space="preserve">AN-0979</t>
  </si>
  <si>
    <t xml:space="preserve">Imputed interest | -43,117</t>
  </si>
  <si>
    <t xml:space="preserve">AN-0980</t>
  </si>
  <si>
    <t xml:space="preserve">Lease liability maturity - Present value of lease liabilities</t>
  </si>
  <si>
    <t xml:space="preserve">Present value of lease liabilities | 126,212</t>
  </si>
  <si>
    <t xml:space="preserve">AN-0981</t>
  </si>
  <si>
    <t xml:space="preserve">Present value of lease liabilities | 237,488</t>
  </si>
  <si>
    <t xml:space="preserve">AN-0982</t>
  </si>
  <si>
    <t xml:space="preserve">Lease liability maturity - Thereafter</t>
  </si>
  <si>
    <t xml:space="preserve">Thereafter | 206</t>
  </si>
  <si>
    <t xml:space="preserve">AN-0983</t>
  </si>
  <si>
    <t xml:space="preserve">Thereafter | 23,209</t>
  </si>
  <si>
    <t xml:space="preserve">AN-0984</t>
  </si>
  <si>
    <t xml:space="preserve">Thereafter | 37,948</t>
  </si>
  <si>
    <t xml:space="preserve">AN-0985</t>
  </si>
  <si>
    <t xml:space="preserve">Thereafter | 110,022</t>
  </si>
  <si>
    <t xml:space="preserve">AN-0986</t>
  </si>
  <si>
    <t xml:space="preserve">Thereafter</t>
  </si>
  <si>
    <t xml:space="preserve">Thereafter | 6,282</t>
  </si>
  <si>
    <t xml:space="preserve">AN-0987</t>
  </si>
  <si>
    <t xml:space="preserve">Lease liability maturity - Total undiscounted cash flows</t>
  </si>
  <si>
    <t xml:space="preserve">Total undiscounted cash flows | 140,929</t>
  </si>
  <si>
    <t xml:space="preserve">AN-0988</t>
  </si>
  <si>
    <t xml:space="preserve">Total undiscounted cash flows | 280,605</t>
  </si>
  <si>
    <t xml:space="preserve">AN-0989</t>
  </si>
  <si>
    <t xml:space="preserve">Lease liability maturity - remainder of 2024</t>
  </si>
  <si>
    <t xml:space="preserve">remainder of 2024 | 10,200</t>
  </si>
  <si>
    <t xml:space="preserve">AN-0990</t>
  </si>
  <si>
    <t xml:space="preserve">Lease liability maturity - remainder of 2025</t>
  </si>
  <si>
    <t xml:space="preserve">remainder of 2025 | 16,047</t>
  </si>
  <si>
    <t xml:space="preserve">AN-0991</t>
  </si>
  <si>
    <t xml:space="preserve">Lease liability maturity - remainder of 2026</t>
  </si>
  <si>
    <t xml:space="preserve">remainder of 2026 | 13,181</t>
  </si>
  <si>
    <t xml:space="preserve">AN-0992</t>
  </si>
  <si>
    <t xml:space="preserve">Lease liability maturity - thereafter</t>
  </si>
  <si>
    <t xml:space="preserve">AN-0993</t>
  </si>
  <si>
    <t xml:space="preserve">Lease liability maturity - total undiscounted cash flows</t>
  </si>
  <si>
    <t xml:space="preserve">Total undiscounted cash flows | $ | 120,569</t>
  </si>
  <si>
    <t xml:space="preserve">Excludes the new Israel lease signed January 27, 2025 (see commitments).</t>
  </si>
  <si>
    <t xml:space="preserve">AN-0994</t>
  </si>
  <si>
    <t xml:space="preserve">Lease maturity - imputed interest</t>
  </si>
  <si>
    <t xml:space="preserve">Less: Imputed interest | $ | ( 2,927 | )</t>
  </si>
  <si>
    <t xml:space="preserve">H1 2024 interim financial statements (Exhibit 99.2), Note 8 Leases</t>
  </si>
  <si>
    <t xml:space="preserve">AN-0995</t>
  </si>
  <si>
    <t xml:space="preserve">Lease maturity - total undiscounted cash flows</t>
  </si>
  <si>
    <t xml:space="preserve">Total undiscounted cash flows | $ | 59,772</t>
  </si>
  <si>
    <t xml:space="preserve">AN-0996</t>
  </si>
  <si>
    <t xml:space="preserve">Lease remeasurement - decrease in lease liability and ROU asset (Israel office vacated)</t>
  </si>
  <si>
    <t xml:space="preserve">the Company remeasured the lease liability and right-of-use asset, resulting in a decrease of $ 16,476 to each, with no significant impact on the consolidated statement of operations</t>
  </si>
  <si>
    <t xml:space="preserve">H1 2026 interim financial statements (Exhibit 99.2), Note 10 Leases</t>
  </si>
  <si>
    <t xml:space="preserve">Five-year renewal option no longer reasonably certain</t>
  </si>
  <si>
    <t xml:space="preserve">AN-0997</t>
  </si>
  <si>
    <t xml:space="preserve">Lease signed, not yet commenced - undiscounted future payments</t>
  </si>
  <si>
    <t xml:space="preserve">The operating lease will commence in fiscal year 2024 with a total of $ 1,700 of undiscounted future payments with a lease term of two years .</t>
  </si>
  <si>
    <t xml:space="preserve">Item 18 Financial Statements &gt; Notes to Consolidated Financial Statements &gt; Note 8: Leases &gt; A./B.</t>
  </si>
  <si>
    <t xml:space="preserve">Excluded from maturity table.</t>
  </si>
  <si>
    <t xml:space="preserve">AN-0998</t>
  </si>
  <si>
    <t xml:space="preserve">Leases signed not yet commenced - payable within 12 months</t>
  </si>
  <si>
    <t xml:space="preserve">the Company also signed new lease agreements that have not commenced yet in Israel and the US with total undiscounted cash flows of $51.7 million, of which $1.5 million is payable within the next 12 months.</t>
  </si>
  <si>
    <t xml:space="preserve">AN-0999</t>
  </si>
  <si>
    <t xml:space="preserve">Leases signed not yet commenced - total undiscounted payments</t>
  </si>
  <si>
    <t xml:space="preserve">the Company entered into operating lease agreements for new offices in Israel and an additional floor in New York. The lease commencement dates have not yet occurred... The total undiscounted future lease payments under these agreements amount to $51,748, with lease terms of 10 years and 5 years, respectively</t>
  </si>
  <si>
    <t xml:space="preserve">Item 18 / Consolidated Financial Statements - Notes to Consolidated Financial Statements - Note 10: Commitments and Contingencies - D. Other Commitments</t>
  </si>
  <si>
    <t xml:space="preserve">MD&amp;A (Item 5.B): '$51.7 million, of which $1.5 million is payable within the next 12 months'.</t>
  </si>
  <si>
    <t xml:space="preserve">AN-1000</t>
  </si>
  <si>
    <t xml:space="preserve">Long-lived assets and operating lease ROU assets - Israel</t>
  </si>
  <si>
    <t xml:space="preserve">Israel | $ | 72,613 | $ | 72,262</t>
  </si>
  <si>
    <t xml:space="preserve">Item 18 (Part 5 - Consolidated Financial Statements) - Note 16: Segment Reporting - long-lived assets and operating lease ROU assets by geographical areas</t>
  </si>
  <si>
    <t xml:space="preserve">AN-1001</t>
  </si>
  <si>
    <t xml:space="preserve">AN-1002</t>
  </si>
  <si>
    <t xml:space="preserve">Long-lived assets and operating lease ROU assets - Rest of the world</t>
  </si>
  <si>
    <t xml:space="preserve">Rest of the world | 2,741 | 2,246</t>
  </si>
  <si>
    <t xml:space="preserve">AN-1003</t>
  </si>
  <si>
    <t xml:space="preserve">AN-1004</t>
  </si>
  <si>
    <t xml:space="preserve">Long-lived assets and operating lease ROU assets - Total</t>
  </si>
  <si>
    <t xml:space="preserve">$ | 136,279 | $ | 99,698</t>
  </si>
  <si>
    <t xml:space="preserve">AN-1005</t>
  </si>
  <si>
    <t xml:space="preserve">AN-1006</t>
  </si>
  <si>
    <t xml:space="preserve">Long-lived assets and operating lease ROU assets - United Kingdom</t>
  </si>
  <si>
    <t xml:space="preserve">United Kingdom | 43,030 | 1,417</t>
  </si>
  <si>
    <t xml:space="preserve">AN-1007</t>
  </si>
  <si>
    <t xml:space="preserve">UK increase 1,417 -&gt; 43,030 not explained in the filing.</t>
  </si>
  <si>
    <t xml:space="preserve">AN-1008</t>
  </si>
  <si>
    <t xml:space="preserve">Long-lived assets and operating lease ROU assets - United States</t>
  </si>
  <si>
    <t xml:space="preserve">United States | 17,895 | 23,773</t>
  </si>
  <si>
    <t xml:space="preserve">AN-1009</t>
  </si>
  <si>
    <t xml:space="preserve">AN-1010</t>
  </si>
  <si>
    <t xml:space="preserve">2024-01-11</t>
  </si>
  <si>
    <t xml:space="preserve">New HQ additional floors lease (signed Jan 11, 2024) - total undiscounted cash flows</t>
  </si>
  <si>
    <t xml:space="preserve">on January 11, 2024, the Company entered into an operating lease agreement for additional floors in the same building as its headquarters in Israel, which is expected to commence on April 1, 2024. The total undiscounted cash flows amounted to $ 4,318 with a lease term of five years</t>
  </si>
  <si>
    <t xml:space="preserve">Item 18 Financial Statements &gt; Notes to Consolidated Financial Statements &gt; Note 9: Commitments and Contingencies &gt; D. Other Commitments</t>
  </si>
  <si>
    <t xml:space="preserve">Subsequent event; excluded from tables.</t>
  </si>
  <si>
    <t xml:space="preserve">AN-1011</t>
  </si>
  <si>
    <t xml:space="preserve">2025-01-27</t>
  </si>
  <si>
    <t xml:space="preserve">New Israel HQ office lease - undiscounted cash flows for additional floors (excluded from maturity table)</t>
  </si>
  <si>
    <t xml:space="preserve">On January 27, 2025 (unaudited), the Company entered into an operating lease agreement for new offices in Israel. The lease commenced on February 1, 2025. During the six months ended June 30, 2025, the Company received partial access and is expected to obtain access to additional floors during 2026. The total undiscounted cash flows associated with the additional floors amounted to $ 34,950 with a total lease term of ten years .</t>
  </si>
  <si>
    <t xml:space="preserve">H1 2025 interim financial statements (Exhibit 99.2), Note 10 Commitments and Contingencies - d. Other Commitments</t>
  </si>
  <si>
    <t xml:space="preserve">10-year total lease term; additional floors access expected during 2026</t>
  </si>
  <si>
    <t xml:space="preserve">AN-1012</t>
  </si>
  <si>
    <t xml:space="preserve">New Israel office lease (signed Jan 27, 2025) - total undiscounted cash flows</t>
  </si>
  <si>
    <t xml:space="preserve">Additionally, on January 27, 2025, the Company entered into an operating lease agreement for new offices in Israel. The lease shall commence on February 1, 2025. The total undiscounted cash flows amounted to $ 39,205 with a lease term of 10 years.</t>
  </si>
  <si>
    <t xml:space="preserve">Item 18 (Part 5 - Consolidated Financial Statements) - Note 10: Commitments and Contingencies - D. Other Commitments</t>
  </si>
  <si>
    <t xml:space="preserve">Lease term 10 years; excluded from maturity and commitment tables.</t>
  </si>
  <si>
    <t xml:space="preserve">AN-1013</t>
  </si>
  <si>
    <t xml:space="preserve">2024-07-22</t>
  </si>
  <si>
    <t xml:space="preserve">New UK office lease - total undiscounted cash flows</t>
  </si>
  <si>
    <t xml:space="preserve">on July 22, 2024 (unaudited), the Company entered into an operating lease agreement for new offices in the UK. The lease commenced on July 19, 2024. The total undiscounted cash flows amounted to $ 67,052 with a lease term of eight years . This new operating lease agreement was excluded from the table above.</t>
  </si>
  <si>
    <t xml:space="preserve">H1 2024 interim financial statements (Exhibit 99.2), Note 9 Commitments and Contingencies - d. Other Commitments</t>
  </si>
  <si>
    <t xml:space="preserve">8-year lease term; excluded from lease maturity table</t>
  </si>
  <si>
    <t xml:space="preserve">AN-1014</t>
  </si>
  <si>
    <t xml:space="preserve">Operating lease ROU assets</t>
  </si>
  <si>
    <t xml:space="preserve">Operating lease right-of-use assets | 62,280 | 80,197</t>
  </si>
  <si>
    <t xml:space="preserve">AN-1015</t>
  </si>
  <si>
    <t xml:space="preserve">AN-1016</t>
  </si>
  <si>
    <t xml:space="preserve">Operating lease liabilities, current</t>
  </si>
  <si>
    <t xml:space="preserve">Operating lease liabilities, current | 19,083 | —</t>
  </si>
  <si>
    <t xml:space="preserve">AN-1017</t>
  </si>
  <si>
    <t xml:space="preserve">Operating lease liabilities, current | 18,201 | 19,083</t>
  </si>
  <si>
    <t xml:space="preserve">AN-1018</t>
  </si>
  <si>
    <t xml:space="preserve">AN-1019</t>
  </si>
  <si>
    <t xml:space="preserve">Operating lease liabilities, current | 29,013 | 18,201</t>
  </si>
  <si>
    <t xml:space="preserve">AN-1020</t>
  </si>
  <si>
    <t xml:space="preserve">Operating lease liabilities, current | 19,510 | 18,201</t>
  </si>
  <si>
    <t xml:space="preserve">AN-1021</t>
  </si>
  <si>
    <t xml:space="preserve">AN-1022</t>
  </si>
  <si>
    <t xml:space="preserve">|| Operating lease liabilities, current | 25,819 | 29,013</t>
  </si>
  <si>
    <t xml:space="preserve">AN-1023</t>
  </si>
  <si>
    <t xml:space="preserve">Operating lease liabilities, current | 29,828 | 29,013</t>
  </si>
  <si>
    <t xml:space="preserve">AN-1024</t>
  </si>
  <si>
    <t xml:space="preserve">AN-1025</t>
  </si>
  <si>
    <t xml:space="preserve">Operating lease liabilities, current | 27,512 | 25,819</t>
  </si>
  <si>
    <t xml:space="preserve">AN-1026</t>
  </si>
  <si>
    <t xml:space="preserve">Operating lease liabilities, non-current</t>
  </si>
  <si>
    <t xml:space="preserve">Operating lease liabilities, non-current | 58,638 | —</t>
  </si>
  <si>
    <t xml:space="preserve">AN-1027</t>
  </si>
  <si>
    <t xml:space="preserve">Operating lease liabilities, non-current | 42,946 | 58,638</t>
  </si>
  <si>
    <t xml:space="preserve">AN-1028</t>
  </si>
  <si>
    <t xml:space="preserve">AN-1029</t>
  </si>
  <si>
    <t xml:space="preserve">Operating lease liabilities, non-current | 77,023 | 42,946</t>
  </si>
  <si>
    <t xml:space="preserve">AN-1030</t>
  </si>
  <si>
    <t xml:space="preserve">Operating lease liabilities, non-current | 37,335 | 42,946</t>
  </si>
  <si>
    <t xml:space="preserve">AN-1031</t>
  </si>
  <si>
    <t xml:space="preserve">AN-1032</t>
  </si>
  <si>
    <t xml:space="preserve">|| Operating lease liabilities, non-current | 142,948 | 77,023</t>
  </si>
  <si>
    <t xml:space="preserve">AN-1033</t>
  </si>
  <si>
    <t xml:space="preserve">Operating lease liabilities, non-current | 96,384 | 77,023</t>
  </si>
  <si>
    <t xml:space="preserve">AN-1034</t>
  </si>
  <si>
    <t xml:space="preserve">AN-1035</t>
  </si>
  <si>
    <t xml:space="preserve">Operating lease liabilities, non-current | 209,976 | 142,948</t>
  </si>
  <si>
    <t xml:space="preserve">AN-1036</t>
  </si>
  <si>
    <t xml:space="preserve">Operating lease liability maturity - FY2024</t>
  </si>
  <si>
    <t xml:space="preserve">2024 | $ | 18,830</t>
  </si>
  <si>
    <t xml:space="preserve">AN-1037</t>
  </si>
  <si>
    <t xml:space="preserve">Operating lease liability maturity - FY2025</t>
  </si>
  <si>
    <t xml:space="preserve">2025 | 18,683</t>
  </si>
  <si>
    <t xml:space="preserve">AN-1038</t>
  </si>
  <si>
    <t xml:space="preserve">Operating lease liability maturity - FY2026</t>
  </si>
  <si>
    <t xml:space="preserve">2026 | 12,439</t>
  </si>
  <si>
    <t xml:space="preserve">AN-1039</t>
  </si>
  <si>
    <t xml:space="preserve">Operating lease liability maturity - FY2027</t>
  </si>
  <si>
    <t xml:space="preserve">2027 | 8,449</t>
  </si>
  <si>
    <t xml:space="preserve">AN-1040</t>
  </si>
  <si>
    <t xml:space="preserve">Operating lease liability maturity - FY2028</t>
  </si>
  <si>
    <t xml:space="preserve">2028 | 6,095</t>
  </si>
  <si>
    <t xml:space="preserve">AN-1041</t>
  </si>
  <si>
    <t xml:space="preserve">Operating lease liability maturity - Thereafter</t>
  </si>
  <si>
    <t xml:space="preserve">Thereafter | -</t>
  </si>
  <si>
    <t xml:space="preserve">Shown as '-'.</t>
  </si>
  <si>
    <t xml:space="preserve">AN-1042</t>
  </si>
  <si>
    <t xml:space="preserve">Operating lease not yet commenced - undiscounted future payments</t>
  </si>
  <si>
    <t xml:space="preserve">The operating lease will commence in fiscal year 2023 with a total of $ 2,207 of undiscounted future payments with a lease term of three years .</t>
  </si>
  <si>
    <t xml:space="preserve">Item 18 Financial Statements &gt; Notes to Consolidated Financial Statements &gt; Note 9C Leases</t>
  </si>
  <si>
    <t xml:space="preserve">AN-1043</t>
  </si>
  <si>
    <t xml:space="preserve">Operating lease right-of-use assets</t>
  </si>
  <si>
    <t xml:space="preserve">Operating lease right-of-use assets | 80,197 | —</t>
  </si>
  <si>
    <t xml:space="preserve">Nil at 2021-12-31 (pre-ASC 842).</t>
  </si>
  <si>
    <t xml:space="preserve">AN-1044</t>
  </si>
  <si>
    <t xml:space="preserve">Operating lease right-of-use assets | 94,703 | 62,280</t>
  </si>
  <si>
    <t xml:space="preserve">AN-1045</t>
  </si>
  <si>
    <t xml:space="preserve">Operating lease right-of-use assets | 60,910 | 62,280</t>
  </si>
  <si>
    <t xml:space="preserve">AN-1046</t>
  </si>
  <si>
    <t xml:space="preserve">AN-1047</t>
  </si>
  <si>
    <t xml:space="preserve">AN-1048</t>
  </si>
  <si>
    <t xml:space="preserve">|| Operating lease right-of-use assets | 149,149 | 94,703</t>
  </si>
  <si>
    <t xml:space="preserve">AN-1049</t>
  </si>
  <si>
    <t xml:space="preserve">Operating lease right-of-use assets | 109,612 | 94,703</t>
  </si>
  <si>
    <t xml:space="preserve">AN-1050</t>
  </si>
  <si>
    <t xml:space="preserve">AN-1051</t>
  </si>
  <si>
    <t xml:space="preserve">AN-1052</t>
  </si>
  <si>
    <t xml:space="preserve">Operating lease right-of-use assets | 202,865 | 149,149</t>
  </si>
  <si>
    <t xml:space="preserve">AN-1053</t>
  </si>
  <si>
    <t xml:space="preserve">AN-1054</t>
  </si>
  <si>
    <t xml:space="preserve">Operating lease term expiry range</t>
  </si>
  <si>
    <t xml:space="preserve">non-cancelable operating leases for its offices expiring between fiscal 2024 and 2031</t>
  </si>
  <si>
    <t xml:space="preserve">AN-1055</t>
  </si>
  <si>
    <t xml:space="preserve">non-cancelable operating leases for its offices expiring between fiscal 2025 and 2035</t>
  </si>
  <si>
    <t xml:space="preserve">H1 2025 interim financial statements (Exhibit 99.2), Note 9 Leases</t>
  </si>
  <si>
    <t xml:space="preserve">AN-1056</t>
  </si>
  <si>
    <t xml:space="preserve">non-cancelable operating leases for its offices expiring between fiscal 2026 and 2036</t>
  </si>
  <si>
    <t xml:space="preserve">AN-1057</t>
  </si>
  <si>
    <t xml:space="preserve">by July 2024</t>
  </si>
  <si>
    <t xml:space="preserve">Planned HQ expansion</t>
  </si>
  <si>
    <t xml:space="preserve">We plan to expand our current headquarters by an additional 50,000 square feet by July 2024.</t>
  </si>
  <si>
    <t xml:space="preserve">Part 1 - Who We Are (Item 4.D) &gt; Our facilities</t>
  </si>
  <si>
    <t xml:space="preserve">AN-1058</t>
  </si>
  <si>
    <t xml:space="preserve">2022-09</t>
  </si>
  <si>
    <t xml:space="preserve">Planned HQ expansion area</t>
  </si>
  <si>
    <t xml:space="preserve">We plan to expand our current headquarters by an additional 80,000 square feet by September 2022.</t>
  </si>
  <si>
    <t xml:space="preserve">AN-1059</t>
  </si>
  <si>
    <t xml:space="preserve">2023-07</t>
  </si>
  <si>
    <t xml:space="preserve">We plan to expand our current headquarters by an additional 27,000 square feet by July 2023.</t>
  </si>
  <si>
    <t xml:space="preserve">Part 1 - Who We Are (Item 4.B Business Overview) &gt; Our facilities (Item 4.D)</t>
  </si>
  <si>
    <t xml:space="preserve">AN-1060</t>
  </si>
  <si>
    <t xml:space="preserve">2026-12-31</t>
  </si>
  <si>
    <t xml:space="preserve">Planned Tel Aviv office expansion by end of 2026</t>
  </si>
  <si>
    <t xml:space="preserve">We plan to expand our office space in Tel Aviv by an additional 118,000 square feet by the end of 2026.</t>
  </si>
  <si>
    <t xml:space="preserve">Item 4.D / Part 1 - Who we are - Our facilities</t>
  </si>
  <si>
    <t xml:space="preserve">Planned; also plans to open office space in Atlanta in 2026.</t>
  </si>
  <si>
    <t xml:space="preserve">AN-1061</t>
  </si>
  <si>
    <t xml:space="preserve">Planned additional Tel Aviv office space by end of 2025</t>
  </si>
  <si>
    <t xml:space="preserve">We plan to expand our office space in Tel-Aviv by an additional 118,000 square feet by the end of 2025.</t>
  </si>
  <si>
    <t xml:space="preserve">Item 4.D (Part 1 - Who we are) - Our facilities</t>
  </si>
  <si>
    <t xml:space="preserve">Plan; cost not stated in this section. Possibly related to the January 27, 2025 Israel lease in Note 10 (filing does not explicitly link them).</t>
  </si>
  <si>
    <t xml:space="preserve">AN-1062</t>
  </si>
  <si>
    <t xml:space="preserve">Present value of lease liabilities</t>
  </si>
  <si>
    <t xml:space="preserve">Present value of lease liabilities | $ | 77,721</t>
  </si>
  <si>
    <t xml:space="preserve">AN-1063</t>
  </si>
  <si>
    <t xml:space="preserve">Present value of lease liabilities | $ | 61,147</t>
  </si>
  <si>
    <t xml:space="preserve">AN-1064</t>
  </si>
  <si>
    <t xml:space="preserve">Present value of lease liabilities | $ | 56,845</t>
  </si>
  <si>
    <t xml:space="preserve">AN-1065</t>
  </si>
  <si>
    <t xml:space="preserve">Present value of lease liabilities | $ | 106,036</t>
  </si>
  <si>
    <t xml:space="preserve">AN-1066</t>
  </si>
  <si>
    <t xml:space="preserve">ROU asset recognized on ASC 842 adoption (Jan 1, 2022)</t>
  </si>
  <si>
    <t xml:space="preserve">Upon adoption, the Company recognized total ROU asset of $ 58,084 , with corresponding liability in the same amount</t>
  </si>
  <si>
    <t xml:space="preserve">Item 18 Financial Statements &gt; Notes to Consolidated Financial Statements &gt; Note 2X Recently Adopted Accounting Pronouncements</t>
  </si>
  <si>
    <t xml:space="preserve">AN-1067</t>
  </si>
  <si>
    <t xml:space="preserve">Item 18 Financial Statements &gt; Notes to Consolidated Financial Statements &gt; Note 2: Significant Accounting Policies &gt; X. Recently Adopted Accounting Pronouncements</t>
  </si>
  <si>
    <t xml:space="preserve">AN-1068</t>
  </si>
  <si>
    <t xml:space="preserve">Remaining lease liability for vacated Israel office (primary term)</t>
  </si>
  <si>
    <t xml:space="preserve">As of June 30, 2026, the remaining lease liability of $ 18,233 , representing the primary lease term obligations, is included in the consolidated balance sheet and in the table above</t>
  </si>
  <si>
    <t xml:space="preserve">AN-1069</t>
  </si>
  <si>
    <t xml:space="preserve">Rent expense</t>
  </si>
  <si>
    <t xml:space="preserve">Rent expenses for the years ended December 31, 2023, 2022 and 2021, were $ 21,369 , $ 16,396 , and $ 4,326 , respectively.</t>
  </si>
  <si>
    <t xml:space="preserve">Item 18 Financial Statements &gt; Notes to Consolidated Financial Statements &gt; Note 2: Significant Accounting Policies &gt; I. Leases</t>
  </si>
  <si>
    <t xml:space="preserve">No separate operating lease cost table disclosed; this is the stated rent expense.</t>
  </si>
  <si>
    <t xml:space="preserve">AN-1070</t>
  </si>
  <si>
    <t xml:space="preserve">AN-1071</t>
  </si>
  <si>
    <t xml:space="preserve">AN-1072</t>
  </si>
  <si>
    <t xml:space="preserve">Rent expenses</t>
  </si>
  <si>
    <t xml:space="preserve">Rent expenses for the years ended December 31, 2022, 2021 and 2020, were $ 16,396 , $ 4,326 and $ 3,287 , respectively.</t>
  </si>
  <si>
    <t xml:space="preserve">Item 18 Financial Statements &gt; Notes to Consolidated Financial Statements &gt; Note 2I Leases</t>
  </si>
  <si>
    <t xml:space="preserve">No separate operating lease cost table disclosed.</t>
  </si>
  <si>
    <t xml:space="preserve">AN-1073</t>
  </si>
  <si>
    <t xml:space="preserve">AN-1074</t>
  </si>
  <si>
    <t xml:space="preserve">AN-1075</t>
  </si>
  <si>
    <t xml:space="preserve">Rent expenses for the years ended December 31, 2024, 2023 and 2022, were $ 27,038 , $ 21,369 , and $ 16,396 , respectively.</t>
  </si>
  <si>
    <t xml:space="preserve">Item 18 (Part 5 - Consolidated Financial Statements) - Note 2: Significant Accounting Policies - K. Leases</t>
  </si>
  <si>
    <t xml:space="preserve">No separate operating lease cost table is disclosed; this 'rent expenses' figure is the only lease cost amount.</t>
  </si>
  <si>
    <t xml:space="preserve">AN-1076</t>
  </si>
  <si>
    <t xml:space="preserve">AN-1077</t>
  </si>
  <si>
    <t xml:space="preserve">Rent expenses for the years ended December 31, 2025, 2024 and 2023, were $34,040, $27,038 and $21,369, respectively.</t>
  </si>
  <si>
    <t xml:space="preserve">Item 18 / Consolidated Financial Statements - Notes to Consolidated Financial Statements - Note 2: Significant Accounting Policies - K. Leases</t>
  </si>
  <si>
    <t xml:space="preserve">Separate operating lease cost table (fixed/variable/short-term) not disclosed.</t>
  </si>
  <si>
    <t xml:space="preserve">AN-1078</t>
  </si>
  <si>
    <t xml:space="preserve">AN-1079</t>
  </si>
  <si>
    <t xml:space="preserve">AN-1080</t>
  </si>
  <si>
    <t xml:space="preserve">AN-1081</t>
  </si>
  <si>
    <t xml:space="preserve">Right-of-use asset recognized with corresponding lease liability (non-cash)</t>
  </si>
  <si>
    <t xml:space="preserve">Right-of-use asset recognized with corresponding lease liability | 97,289 | — | —</t>
  </si>
  <si>
    <t xml:space="preserve">AN-1082</t>
  </si>
  <si>
    <t xml:space="preserve">Right-of-use asset recognized with corresponding lease liability | $ | 93 | $ | 97,289 | $ | —</t>
  </si>
  <si>
    <t xml:space="preserve">AN-1083</t>
  </si>
  <si>
    <t xml:space="preserve">Right-of-use asset recognized with corresponding lease liability | $ | 68,743 | $ | 93 | $ | 97,289</t>
  </si>
  <si>
    <t xml:space="preserve">Item 18 (Part 5 - Consolidated Financial Statements) - Consolidated Statements of Cash Flows (U.S. dollars in thousands) - Non-cash investing and financing activities</t>
  </si>
  <si>
    <t xml:space="preserve">AN-1084</t>
  </si>
  <si>
    <t xml:space="preserve">AN-1085</t>
  </si>
  <si>
    <t xml:space="preserve">AN-1086</t>
  </si>
  <si>
    <t xml:space="preserve">|| Right-of-use asset recognized with corresponding lease liability | $ | 79,189 | $ | 68,743 | $ | 93</t>
  </si>
  <si>
    <t xml:space="preserve">Item 18 / Consolidated Statements of Cash Flows - Non-cash investing and financing activities</t>
  </si>
  <si>
    <t xml:space="preserve">AN-1087</t>
  </si>
  <si>
    <t xml:space="preserve">AN-1088</t>
  </si>
  <si>
    <t xml:space="preserve">AN-1089</t>
  </si>
  <si>
    <t xml:space="preserve">AN-1090</t>
  </si>
  <si>
    <t xml:space="preserve">Right-of-use asset recognized with corresponding lease liability | $ | 8,753 | $ | 263</t>
  </si>
  <si>
    <t xml:space="preserve">H1 2024 interim financial statements (Exhibit 99.2), Condensed Consolidated Statements of Cash Flows - non-cash</t>
  </si>
  <si>
    <t xml:space="preserve">AN-1091</t>
  </si>
  <si>
    <t xml:space="preserve">Right-of-use asset recognized with corresponding lease liability | $ | 27,111 | $ | 8,753</t>
  </si>
  <si>
    <t xml:space="preserve">H1 2025 interim financial statements (Exhibit 99.2), Condensed Consolidated Statements of Cash Flows - non-cash</t>
  </si>
  <si>
    <t xml:space="preserve">AN-1092</t>
  </si>
  <si>
    <t xml:space="preserve">Right-of-use asset recognized with corresponding lease liability | $ | 76,354 | $ | 27,111</t>
  </si>
  <si>
    <t xml:space="preserve">AN-1093</t>
  </si>
  <si>
    <t xml:space="preserve">Tel Aviv HQ leased area</t>
  </si>
  <si>
    <t xml:space="preserve">Our current corporate headquarters are located in Tel Aviv, Israel where we lease approximately 160,000 square feet pursuant to an operating lease that is expected to expire in May 2031.</t>
  </si>
  <si>
    <t xml:space="preserve">Lease expected to expire May 2031.</t>
  </si>
  <si>
    <t xml:space="preserve">AN-1094</t>
  </si>
  <si>
    <t xml:space="preserve">Our current corporate headquarters are located in Tel Aviv, Israel where we lease approximately 200,000 square feet pursuant to an operating lease that is expected to expire in May 2031. We plan to expand our current headquarters by an additional 50,000 square feet by July 2024.</t>
  </si>
  <si>
    <t xml:space="preserve">Exhibit 4.8 lease summary states a 120-month term commencing April 1, 2021, with early termination option from March 31, 2026 (one year notice).</t>
  </si>
  <si>
    <t xml:space="preserve">AN-1095</t>
  </si>
  <si>
    <t xml:space="preserve">Our current corporate headquarters are located in Tel Aviv, Israel, where we lease approximately 230,000 square feet pursuant to an operating lease that is expected to expire in May 2031.</t>
  </si>
  <si>
    <t xml:space="preserve">AN-1096</t>
  </si>
  <si>
    <t xml:space="preserve">Our current corporate headquarters are located in Tel Aviv, Israel where we lease approximately 230,000 square feet pursuant to an operating lease that is expected to expire in May 2031.</t>
  </si>
  <si>
    <t xml:space="preserve">AN-1097</t>
  </si>
  <si>
    <t xml:space="preserve">Total rent expense under all operating leases</t>
  </si>
  <si>
    <t xml:space="preserve">Total rent expense under all operating leases was $4,326, $3,287, and $1,943, for the years ended December 31, 2021, 2020 and 2019, respectively.</t>
  </si>
  <si>
    <t xml:space="preserve">Item 18 &gt; Note 8a Commitments and Contingencies - Lease Commitments - Operating Leases</t>
  </si>
  <si>
    <t xml:space="preserve">ASC 840 basis (ASC 842 not yet adopted).</t>
  </si>
  <si>
    <t xml:space="preserve">AN-1098</t>
  </si>
  <si>
    <t xml:space="preserve">AN-1099</t>
  </si>
  <si>
    <t xml:space="preserve">AN-1100</t>
  </si>
  <si>
    <t xml:space="preserve">Total undiscounted lease cash flows</t>
  </si>
  <si>
    <t xml:space="preserve">Total undiscounted cash flows | $ | 64,496</t>
  </si>
  <si>
    <t xml:space="preserve">AN-1101</t>
  </si>
  <si>
    <t xml:space="preserve">Total undiscounted lease payments</t>
  </si>
  <si>
    <t xml:space="preserve">Total undiscounted cash flows | $ | 83,488</t>
  </si>
  <si>
    <t xml:space="preserve">AN-1102</t>
  </si>
  <si>
    <t xml:space="preserve">Weighted-average discount rate</t>
  </si>
  <si>
    <t xml:space="preserve">Weighted-average discount rate | 3.6 %</t>
  </si>
  <si>
    <t xml:space="preserve">Item 18 Financial Statements &gt; Notes to Consolidated Financial Statements &gt; Note 9 Leases (cont.) - supplemental balance sheet information</t>
  </si>
  <si>
    <t xml:space="preserve">AN-1103</t>
  </si>
  <si>
    <t xml:space="preserve">Weighted-average discount rate | 3.5 % | 3.6 %</t>
  </si>
  <si>
    <t xml:space="preserve">Item 18 Financial Statements &gt; Notes to Consolidated Financial Statements &gt; Note 8: Leases &gt; Supplemental balance sheet information</t>
  </si>
  <si>
    <t xml:space="preserve">AN-1104</t>
  </si>
  <si>
    <t xml:space="preserve">AN-1105</t>
  </si>
  <si>
    <t xml:space="preserve">Weighted-average discount rate | 4.2 % | 3.5 %</t>
  </si>
  <si>
    <t xml:space="preserve">Item 18 (Part 5 - Consolidated Financial Statements) - Note 9: Leases - supplemental balance sheet information</t>
  </si>
  <si>
    <t xml:space="preserve">AN-1106</t>
  </si>
  <si>
    <t xml:space="preserve">Weighted-average discount rate | 3.6 % | 3.5 %</t>
  </si>
  <si>
    <t xml:space="preserve">AN-1107</t>
  </si>
  <si>
    <t xml:space="preserve">AN-1108</t>
  </si>
  <si>
    <t xml:space="preserve">AN-1109</t>
  </si>
  <si>
    <t xml:space="preserve">|| Weighted-average discount rate | 4.0 % | 4.2 %</t>
  </si>
  <si>
    <t xml:space="preserve">Item 18 / Consolidated Financial Statements - Notes to Consolidated Financial Statements - Note 9: Leases (supplemental balance sheet information)</t>
  </si>
  <si>
    <t xml:space="preserve">AN-1110</t>
  </si>
  <si>
    <t xml:space="preserve">Weighted-average discount rate | 3.9 | % | 4.2 | %</t>
  </si>
  <si>
    <t xml:space="preserve">AN-1111</t>
  </si>
  <si>
    <t xml:space="preserve">AN-1112</t>
  </si>
  <si>
    <t xml:space="preserve">AN-1113</t>
  </si>
  <si>
    <t xml:space="preserve">Weighted-average discount rate | 4.14 % | 4.0 %</t>
  </si>
  <si>
    <t xml:space="preserve">AN-1114</t>
  </si>
  <si>
    <t xml:space="preserve">AN-1115</t>
  </si>
  <si>
    <t xml:space="preserve">Weighted-average remaining lease term</t>
  </si>
  <si>
    <t xml:space="preserve">Weighted-average remaining lease term | 4.5 years</t>
  </si>
  <si>
    <t xml:space="preserve">AN-1116</t>
  </si>
  <si>
    <t xml:space="preserve">Weighted-average remaining lease term | 3.7 years | 4.5 years</t>
  </si>
  <si>
    <t xml:space="preserve">AN-1117</t>
  </si>
  <si>
    <t xml:space="preserve">AN-1118</t>
  </si>
  <si>
    <t xml:space="preserve">Weighted-average remaining lease term | 5.2 years | 3.7 years</t>
  </si>
  <si>
    <t xml:space="preserve">AN-1119</t>
  </si>
  <si>
    <t xml:space="preserve">Weighted-average remaining lease term | 3.3 years | 3.7 years</t>
  </si>
  <si>
    <t xml:space="preserve">AN-1120</t>
  </si>
  <si>
    <t xml:space="preserve">AN-1121</t>
  </si>
  <si>
    <t xml:space="preserve">AN-1122</t>
  </si>
  <si>
    <t xml:space="preserve">|| Weighted-average remaining lease term | 5.8 years | 5.2 years</t>
  </si>
  <si>
    <t xml:space="preserve">AN-1123</t>
  </si>
  <si>
    <t xml:space="preserve">Weighted-average remaining lease term | 5.9 years | 5.2 years</t>
  </si>
  <si>
    <t xml:space="preserve">AN-1124</t>
  </si>
  <si>
    <t xml:space="preserve">Dec 31 2024: 5.2 years</t>
  </si>
  <si>
    <t xml:space="preserve">AN-1125</t>
  </si>
  <si>
    <t xml:space="preserve">AN-1126</t>
  </si>
  <si>
    <t xml:space="preserve">Weighted-average remaining lease term | 7.7 years | 5.8 years</t>
  </si>
  <si>
    <t xml:space="preserve">AN-1127</t>
  </si>
  <si>
    <t xml:space="preserve">AN-1128</t>
  </si>
  <si>
    <t xml:space="preserve">commitments</t>
  </si>
  <si>
    <t xml:space="preserve">Foundation Services Agreement annual fee cap</t>
  </si>
  <si>
    <t xml:space="preserve">The fees in consideration of such services will be determined from time to time based on the costs we incur in the provision of such services, and shall not exceed $1.5 million per calendar year.</t>
  </si>
  <si>
    <t xml:space="preserve">Item 7.B (Part 3 - Major Shareholders and Related Party Transactions) - monday.com Foundation - Services Agreement</t>
  </si>
  <si>
    <t xml:space="preserve">Stated as $1.5 million; services provided by monday.com to the Foundation, costs charged back. [Manually re-checked against source text.]</t>
  </si>
  <si>
    <t xml:space="preserve">AN-1129</t>
  </si>
  <si>
    <t xml:space="preserve">annual</t>
  </si>
  <si>
    <t xml:space="preserve">Foundation services agreement annual fee cap</t>
  </si>
  <si>
    <t xml:space="preserve">Item 7.B / Part 3 - Related Party Transactions - Services Agreement</t>
  </si>
  <si>
    <t xml:space="preserve">AN-1130</t>
  </si>
  <si>
    <t xml:space="preserve">Other commitments (hosting, new Israel offices, software licenses; incl. finance lease) - 2022</t>
  </si>
  <si>
    <t xml:space="preserve">2022 | $ | 16,611</t>
  </si>
  <si>
    <t xml:space="preserve">Item 18 &gt; Note 8f Commitments and Contingencies - Other Commitments</t>
  </si>
  <si>
    <t xml:space="preserve">Other commitments include payments to third-party vendors for services related mainly to hosting-related services, as well as future payments associated with the Company's new corporate offices in Israel and with certain software licenses and services.</t>
  </si>
  <si>
    <t xml:space="preserve">AN-1131</t>
  </si>
  <si>
    <t xml:space="preserve">Other commitments (hosting, new Israel offices, software licenses; incl. finance lease) - 2023</t>
  </si>
  <si>
    <t xml:space="preserve">2023 | 12,121</t>
  </si>
  <si>
    <t xml:space="preserve">AN-1132</t>
  </si>
  <si>
    <t xml:space="preserve">Other commitments (hosting, new Israel offices, software licenses; incl. finance lease) - 2024</t>
  </si>
  <si>
    <t xml:space="preserve">2024 | 6,224</t>
  </si>
  <si>
    <t xml:space="preserve">AN-1133</t>
  </si>
  <si>
    <t xml:space="preserve">Other commitments (hosting, new Israel offices, software licenses; incl. finance lease) - Total</t>
  </si>
  <si>
    <t xml:space="preserve">Total contractual obligations | $ | 34,956</t>
  </si>
  <si>
    <t xml:space="preserve">AN-1134</t>
  </si>
  <si>
    <t xml:space="preserve">Other commitments (hosting, software licenses and services) - 2025</t>
  </si>
  <si>
    <t xml:space="preserve">2025 | 35,910</t>
  </si>
  <si>
    <t xml:space="preserve">H1 2024 interim financial statements (Exhibit 99.2), Note 9 Commitments and Contingencies - d. Other Commitments (future minimum payments)</t>
  </si>
  <si>
    <t xml:space="preserve">payments to third-party vendors mainly hosting-related services, software licenses and services</t>
  </si>
  <si>
    <t xml:space="preserve">AN-1135</t>
  </si>
  <si>
    <t xml:space="preserve">Other commitments (hosting, software licenses and services) - 2026</t>
  </si>
  <si>
    <t xml:space="preserve">2026 | 34,139</t>
  </si>
  <si>
    <t xml:space="preserve">AN-1136</t>
  </si>
  <si>
    <t xml:space="preserve">2026 | 34,762</t>
  </si>
  <si>
    <t xml:space="preserve">H1 2025 interim financial statements (Exhibit 99.2), Note 10 d. Other Commitments</t>
  </si>
  <si>
    <t xml:space="preserve">AN-1137</t>
  </si>
  <si>
    <t xml:space="preserve">Other commitments (hosting, software licenses and services) - 2027</t>
  </si>
  <si>
    <t xml:space="preserve">2027 | 17,150</t>
  </si>
  <si>
    <t xml:space="preserve">AN-1138</t>
  </si>
  <si>
    <t xml:space="preserve">2027 | 17,710</t>
  </si>
  <si>
    <t xml:space="preserve">AN-1139</t>
  </si>
  <si>
    <t xml:space="preserve">2027 | 28,235</t>
  </si>
  <si>
    <t xml:space="preserve">H1 2026 interim financial statements (Exhibit 99.2), Note 12 d. Other Commitments</t>
  </si>
  <si>
    <t xml:space="preserve">Excludes amounts associated with the restructuring plan approved after the balance sheet date</t>
  </si>
  <si>
    <t xml:space="preserve">AN-1140</t>
  </si>
  <si>
    <t xml:space="preserve">Other commitments (hosting, software licenses and services) - 2028</t>
  </si>
  <si>
    <t xml:space="preserve">2028 | -</t>
  </si>
  <si>
    <t xml:space="preserve">AN-1141</t>
  </si>
  <si>
    <t xml:space="preserve">2028 | 3,966</t>
  </si>
  <si>
    <t xml:space="preserve">AN-1142</t>
  </si>
  <si>
    <t xml:space="preserve">Other commitments (hosting, software licenses and services) - 2029</t>
  </si>
  <si>
    <t xml:space="preserve">2029 | -</t>
  </si>
  <si>
    <t xml:space="preserve">Excludes amounts associated with the restructuring plan approved after the balance sheet date [Manually re-checked against source text.]</t>
  </si>
  <si>
    <t xml:space="preserve">AN-1143</t>
  </si>
  <si>
    <t xml:space="preserve">Other commitments (hosting, software licenses and services) - Total contractual obligations</t>
  </si>
  <si>
    <t xml:space="preserve">Total contractual obligations | 119,616</t>
  </si>
  <si>
    <t xml:space="preserve">payments to third-party vendors mainly hosting-related services, software licenses and services [Manually re-checked against source text.]</t>
  </si>
  <si>
    <t xml:space="preserve">AN-1144</t>
  </si>
  <si>
    <t xml:space="preserve">Total contractual obligations | 70,833</t>
  </si>
  <si>
    <t xml:space="preserve">AN-1145</t>
  </si>
  <si>
    <t xml:space="preserve">Total contractual obligations | 68,856</t>
  </si>
  <si>
    <t xml:space="preserve">AN-1146</t>
  </si>
  <si>
    <t xml:space="preserve">Other commitments (hosting, software licenses and services) - remainder of 2024</t>
  </si>
  <si>
    <t xml:space="preserve">remainder of 2024 | 32,417</t>
  </si>
  <si>
    <t xml:space="preserve">AN-1147</t>
  </si>
  <si>
    <t xml:space="preserve">Other commitments (hosting, software licenses and services) - remainder of 2025</t>
  </si>
  <si>
    <t xml:space="preserve">remainder of 2025 | 18,361</t>
  </si>
  <si>
    <t xml:space="preserve">AN-1148</t>
  </si>
  <si>
    <t xml:space="preserve">Other commitments (hosting, software licenses and services) - remainder of 2026</t>
  </si>
  <si>
    <t xml:space="preserve">remainder of 2026 | 36,655</t>
  </si>
  <si>
    <t xml:space="preserve">AN-1149</t>
  </si>
  <si>
    <t xml:space="preserve">Other commitments (hosting-related services, software licenses and services) - 2026</t>
  </si>
  <si>
    <t xml:space="preserve">|| 2026 | $ | 55,729 || 2027 | 17,468 || 2028 | 0 || Total contractual obligations | $ | 73,197</t>
  </si>
  <si>
    <t xml:space="preserve">MD&amp;A: 'other purchase obligations of $73.2 million, with $55.7 million payable within 12 months' (supplier arrangements, licensed IP, hosting).</t>
  </si>
  <si>
    <t xml:space="preserve">AN-1150</t>
  </si>
  <si>
    <t xml:space="preserve">Other commitments (hosting-related services, software licenses and services) - 2027</t>
  </si>
  <si>
    <t xml:space="preserve">AN-1151</t>
  </si>
  <si>
    <t xml:space="preserve">Other commitments (hosting-related services, software licenses and services) - 2028</t>
  </si>
  <si>
    <t xml:space="preserve">AN-1152</t>
  </si>
  <si>
    <t xml:space="preserve">Other commitments (hosting-related services, software licenses and services) - Total</t>
  </si>
  <si>
    <t xml:space="preserve">AN-1153</t>
  </si>
  <si>
    <t xml:space="preserve">Other commitments (mainly hosting-related services, software licenses and services) - 2025</t>
  </si>
  <si>
    <t xml:space="preserve">2025 | $ | 58,825</t>
  </si>
  <si>
    <t xml:space="preserve">'Other commitments include payments to third-party vendors for services related mainly to hosting-related services, software licenses and services.'</t>
  </si>
  <si>
    <t xml:space="preserve">AN-1154</t>
  </si>
  <si>
    <t xml:space="preserve">Other commitments (mainly hosting-related services, software licenses and services) - 2026</t>
  </si>
  <si>
    <t xml:space="preserve">2026 | 36,541</t>
  </si>
  <si>
    <t xml:space="preserve">AN-1155</t>
  </si>
  <si>
    <t xml:space="preserve">Other commitments (mainly hosting-related services, software licenses and services) - 2027</t>
  </si>
  <si>
    <t xml:space="preserve">2027 | 17,942</t>
  </si>
  <si>
    <t xml:space="preserve">AN-1156</t>
  </si>
  <si>
    <t xml:space="preserve">Other commitments (mainly hosting-related services, software licenses and services) - Total</t>
  </si>
  <si>
    <t xml:space="preserve">Total contractual obligations | $ | 113,308</t>
  </si>
  <si>
    <t xml:space="preserve">AN-1157</t>
  </si>
  <si>
    <t xml:space="preserve">Other commitments (mainly hosting-related services, software licenses) - future minimum payments</t>
  </si>
  <si>
    <t xml:space="preserve">2023 | $ | 15,185</t>
  </si>
  <si>
    <t xml:space="preserve">Item 18 Financial Statements &gt; Notes to Consolidated Financial Statements &gt; Note 10D Other Commitments (hosting-related services, software licenses and services)</t>
  </si>
  <si>
    <t xml:space="preserve">As of 2022-12-31.</t>
  </si>
  <si>
    <t xml:space="preserve">AN-1158</t>
  </si>
  <si>
    <t xml:space="preserve">2024 | 7,211</t>
  </si>
  <si>
    <t xml:space="preserve">AN-1159</t>
  </si>
  <si>
    <t xml:space="preserve">2025 | 820</t>
  </si>
  <si>
    <t xml:space="preserve">As of 2022-12-31. [Manually re-checked against source text.]</t>
  </si>
  <si>
    <t xml:space="preserve">AN-1160</t>
  </si>
  <si>
    <t xml:space="preserve">Other commitments (third-party vendors: mainly hosting-related services, software licenses and services) - FY2024</t>
  </si>
  <si>
    <t xml:space="preserve">2024 | $ | 15,105</t>
  </si>
  <si>
    <t xml:space="preserve">Future minimum payments as of Dec 31, 2023.</t>
  </si>
  <si>
    <t xml:space="preserve">AN-1161</t>
  </si>
  <si>
    <t xml:space="preserve">Other commitments (third-party vendors: mainly hosting-related services, software licenses and services) - FY2025</t>
  </si>
  <si>
    <t xml:space="preserve">2025 | 1,564</t>
  </si>
  <si>
    <t xml:space="preserve">AN-1162</t>
  </si>
  <si>
    <t xml:space="preserve">Other commitments (third-party vendors: mainly hosting-related services, software licenses and services) - FY2026</t>
  </si>
  <si>
    <t xml:space="preserve">2026 | 143</t>
  </si>
  <si>
    <t xml:space="preserve">Future minimum payments as of Dec 31, 2023. [Manually re-checked against source text.]</t>
  </si>
  <si>
    <t xml:space="preserve">AN-1163</t>
  </si>
  <si>
    <t xml:space="preserve">Other commitments (third-party vendors: mainly hosting-related services, software licenses and services) - Total</t>
  </si>
  <si>
    <t xml:space="preserve">Total contractual obligations | $ | 16,812</t>
  </si>
  <si>
    <t xml:space="preserve">AN-1164</t>
  </si>
  <si>
    <t xml:space="preserve">Other commitments - total contractual obligations</t>
  </si>
  <si>
    <t xml:space="preserve">Total contractual obligations | $ | 23,216</t>
  </si>
  <si>
    <t xml:space="preserve">Other commitments include payments to third-party vendors for services related mainly to hosting-related services, software licenses and services.</t>
  </si>
  <si>
    <t xml:space="preserve">AN-1165</t>
  </si>
  <si>
    <t xml:space="preserve">Other purchase obligations - payable within 12 months</t>
  </si>
  <si>
    <t xml:space="preserve">As of June 30, 2026, the Company had other purchase obligations of $68.9 million, with $62.9 million payable within 12 months.</t>
  </si>
  <si>
    <t xml:space="preserve">H1 2026 MD&amp;A (Exhibit 99.3), B. Liquidity and Capital Resources - Other Purchase Obligations</t>
  </si>
  <si>
    <t xml:space="preserve">primarily supplier arrangements, licensed intellectual property, and hosting</t>
  </si>
  <si>
    <t xml:space="preserve">AN-1166</t>
  </si>
  <si>
    <t xml:space="preserve">cash_capex</t>
  </si>
  <si>
    <t xml:space="preserve">Accretion of discount on marketable securities</t>
  </si>
  <si>
    <t xml:space="preserve">Accretion of discount on marketable securities | 1,313 | -</t>
  </si>
  <si>
    <t xml:space="preserve">H1 2025 interim financial statements (Exhibit 99.2), Note 11 Financial Income, Net</t>
  </si>
  <si>
    <t xml:space="preserve">AN-1167</t>
  </si>
  <si>
    <t xml:space="preserve">Accumulated deficit</t>
  </si>
  <si>
    <t xml:space="preserve">accumulated deficit of $582.5 million and $445.7 million as of December 31, 2022 and 2021, respectively</t>
  </si>
  <si>
    <t xml:space="preserve">AN-1168</t>
  </si>
  <si>
    <t xml:space="preserve">AN-1169</t>
  </si>
  <si>
    <t xml:space="preserve">accumulated deficit of $584.4 million and $582.5 million as of December 31, 2023 and 2022, respectively</t>
  </si>
  <si>
    <t xml:space="preserve">AN-1170</t>
  </si>
  <si>
    <t xml:space="preserve">Accumulated deficit | ( 552,032 ) | ( 584,404 )</t>
  </si>
  <si>
    <t xml:space="preserve">AN-1171</t>
  </si>
  <si>
    <t xml:space="preserve">AN-1172</t>
  </si>
  <si>
    <t xml:space="preserve">|| Accumulated deficit | ( 433,290 ) | ( 552,032 )</t>
  </si>
  <si>
    <t xml:space="preserve">AN-1173</t>
  </si>
  <si>
    <t xml:space="preserve">AN-1174</t>
  </si>
  <si>
    <t xml:space="preserve">Acquisition of a business operation</t>
  </si>
  <si>
    <t xml:space="preserve">Acquisition of a business operation | 13,200</t>
  </si>
  <si>
    <t xml:space="preserve">AN-1175</t>
  </si>
  <si>
    <t xml:space="preserve">Adjusted free cash flow | 9,900 | (40,692 | ) | (38,417 | )</t>
  </si>
  <si>
    <t xml:space="preserve">Item 5.A Operating Results &gt; Non-GAAP Financial Measures &gt; Adjusted Free Cash Flow (reconciliation table, in thousands)</t>
  </si>
  <si>
    <t xml:space="preserve">AN-1176</t>
  </si>
  <si>
    <t xml:space="preserve">AN-1177</t>
  </si>
  <si>
    <t xml:space="preserve">AN-1178</t>
  </si>
  <si>
    <t xml:space="preserve">Adjusted free cash flow (non-GAAP)</t>
  </si>
  <si>
    <t xml:space="preserve">Adjusted free cash flow | $ | 8,137 | $ | 9,900 | $ | (40,692 | )</t>
  </si>
  <si>
    <t xml:space="preserve">Part 4 - Operating and Financial Review and Prospects (Item 5) &gt; Non-GAAP Financial Measures &gt; Adjusted Free Cash Flow reconciliation</t>
  </si>
  <si>
    <t xml:space="preserve">AN-1179</t>
  </si>
  <si>
    <t xml:space="preserve">AN-1180</t>
  </si>
  <si>
    <t xml:space="preserve">Adjusted free cash flow | $ | 204,945 | $ | 8,137 | $ | 9,900</t>
  </si>
  <si>
    <t xml:space="preserve">Part 4 (Item 5.A) &gt; Non-GAAP Financial Measures</t>
  </si>
  <si>
    <t xml:space="preserve">The reconciliation table's total row shows '$ 7,303' for 2021 (Adjusted free cash flow | $ | 204,945 | $ | 8,137 | $ | 7,303), while the summary table and text state $9.9 million / 9,900; components (16,355 - 11,578 - 2,180 + 7,303) are consistent with 9,900. Apparent typo in filing.</t>
  </si>
  <si>
    <t xml:space="preserve">AN-1181</t>
  </si>
  <si>
    <t xml:space="preserve">AN-1182</t>
  </si>
  <si>
    <t xml:space="preserve">AN-1183</t>
  </si>
  <si>
    <t xml:space="preserve">AN-1184</t>
  </si>
  <si>
    <t xml:space="preserve">Amortization of capitalized software development costs</t>
  </si>
  <si>
    <t xml:space="preserve">Amortization of capitalized software development costs was $547, $232 and $94</t>
  </si>
  <si>
    <t xml:space="preserve">Item 18 &gt; Note 4 Property and Equipment, Net</t>
  </si>
  <si>
    <t xml:space="preserve">AN-1185</t>
  </si>
  <si>
    <t xml:space="preserve">AN-1186</t>
  </si>
  <si>
    <t xml:space="preserve">Amortization of capitalized software development costs was $ 1,492 , $ 547 and $ 232 for the years ended December 31, 2022, 2021 and 2020, respectively.</t>
  </si>
  <si>
    <t xml:space="preserve">Item 18 Financial Statements &gt; Notes to Consolidated Financial Statements &gt; Note 4 Property and Equipment, Net</t>
  </si>
  <si>
    <t xml:space="preserve">AN-1187</t>
  </si>
  <si>
    <t xml:space="preserve">AN-1188</t>
  </si>
  <si>
    <t xml:space="preserve">AN-1189</t>
  </si>
  <si>
    <t xml:space="preserve">Amortization of capitalized software development costs was $ 2,558 , $ 1,492 , and $ 547 , for the years ended December 31, 2023, 2022 and 2021, respectively.</t>
  </si>
  <si>
    <t xml:space="preserve">Item 18 Financial Statements &gt; Notes to Consolidated Financial Statements &gt; Note 4: Property and Equipment, Net</t>
  </si>
  <si>
    <t xml:space="preserve">AN-1190</t>
  </si>
  <si>
    <t xml:space="preserve">AN-1191</t>
  </si>
  <si>
    <t xml:space="preserve">AN-1192</t>
  </si>
  <si>
    <t xml:space="preserve">Amortization of capitalized software development costs was $ 3,883 , $ 2,558 and $ 1,492 for the years ended December 31, 2024, 2023 and 2022, respectively.</t>
  </si>
  <si>
    <t xml:space="preserve">Item 18 (Part 5 - Consolidated Financial Statements) - Note 5: Property and Equipment, Net</t>
  </si>
  <si>
    <t xml:space="preserve">AN-1193</t>
  </si>
  <si>
    <t xml:space="preserve">AN-1194</t>
  </si>
  <si>
    <t xml:space="preserve">AN-1195</t>
  </si>
  <si>
    <t xml:space="preserve">Amortization of capitalized software development costs was $3,840, $3,883 and $2,558 for the years ended December 31, 2025, 2024 and 2023, respectively.</t>
  </si>
  <si>
    <t xml:space="preserve">Item 18 / Consolidated Financial Statements - Notes to Consolidated Financial Statements - Note 5: Property and Equipment, Net</t>
  </si>
  <si>
    <t xml:space="preserve">AN-1196</t>
  </si>
  <si>
    <t xml:space="preserve">AN-1197</t>
  </si>
  <si>
    <t xml:space="preserve">AN-1198</t>
  </si>
  <si>
    <t xml:space="preserve">AN-1199</t>
  </si>
  <si>
    <t xml:space="preserve">Bank deposits</t>
  </si>
  <si>
    <t xml:space="preserve">Bank deposits | 182,327 | 21,936</t>
  </si>
  <si>
    <t xml:space="preserve">H1 2025 interim financial statements (Exhibit 99.2), Note 4 Cash, Cash Equivalents and Marketable Securities</t>
  </si>
  <si>
    <t xml:space="preserve">AN-1200</t>
  </si>
  <si>
    <t xml:space="preserve">AN-1201</t>
  </si>
  <si>
    <t xml:space="preserve">Bank deposits | 426,704 | 331,370</t>
  </si>
  <si>
    <t xml:space="preserve">H1 2026 interim financial statements (Exhibit 99.2), Note 4 Cash, Cash Equivalents and Marketable Securities</t>
  </si>
  <si>
    <t xml:space="preserve">AN-1202</t>
  </si>
  <si>
    <t xml:space="preserve">AN-1203</t>
  </si>
  <si>
    <t xml:space="preserve">Bank deposits (cash equivalents)</t>
  </si>
  <si>
    <t xml:space="preserve">Bank deposits | $ | — | $ | — | $ | — | $ | 625,000 | $ | — | $ | 625,000</t>
  </si>
  <si>
    <t xml:space="preserve">Item 18 Financial Statements &gt; Notes to Consolidated Financial Statements &gt; Note 7: Fair Value Measurements</t>
  </si>
  <si>
    <t xml:space="preserve">AN-1204</t>
  </si>
  <si>
    <t xml:space="preserve">AN-1205</t>
  </si>
  <si>
    <t xml:space="preserve">Bank deposits | 21,936 | –</t>
  </si>
  <si>
    <t xml:space="preserve">Item 18 (Part 5 - Consolidated Financial Statements) - Note 3: Cash, Cash Equivalents and Marketable Securities</t>
  </si>
  <si>
    <t xml:space="preserve">AN-1206</t>
  </si>
  <si>
    <t xml:space="preserve">AN-1207</t>
  </si>
  <si>
    <t xml:space="preserve">|| Bank deposits | 331,370 | 21,936</t>
  </si>
  <si>
    <t xml:space="preserve">Item 18 / Consolidated Financial Statements - Notes to Consolidated Financial Statements - Note 3: Cash, Cash Equivalents and Marketable Securities</t>
  </si>
  <si>
    <t xml:space="preserve">AN-1208</t>
  </si>
  <si>
    <t xml:space="preserve">AN-1209</t>
  </si>
  <si>
    <t xml:space="preserve">Bank deposits (cash equivalents, Level 1)</t>
  </si>
  <si>
    <t xml:space="preserve">Bank deposits | $ | 625,000 | $ | — | $ | 625,000 | $ | 604,000 | $ | — | $ | 604,000</t>
  </si>
  <si>
    <t xml:space="preserve">Item 18 Financial Statements &gt; Notes to Consolidated Financial Statements &gt; Note 7 Fair Value Measurements</t>
  </si>
  <si>
    <t xml:space="preserve">AN-1210</t>
  </si>
  <si>
    <t xml:space="preserve">AN-1211</t>
  </si>
  <si>
    <t xml:space="preserve">Capitalized internal software development costs (gross)</t>
  </si>
  <si>
    <t xml:space="preserve">Capitalized internal software development costs | 10,597 | 5,666</t>
  </si>
  <si>
    <t xml:space="preserve">AN-1212</t>
  </si>
  <si>
    <t xml:space="preserve">AN-1213</t>
  </si>
  <si>
    <t xml:space="preserve">Capitalized internal use software development costs (gross)</t>
  </si>
  <si>
    <t xml:space="preserve">Capitalized internal use software development costs | 17,629 | 14,616</t>
  </si>
  <si>
    <t xml:space="preserve">AN-1214</t>
  </si>
  <si>
    <t xml:space="preserve">AN-1215</t>
  </si>
  <si>
    <t xml:space="preserve">Capitalized internal-use software development costs (Note 4)</t>
  </si>
  <si>
    <t xml:space="preserve">The Company capitalized costs related to the development of internal-use software of $ 4,019 , $ 4,931 , and $ 3,702 , for the years ended December 31, 2023, 2022 and 2021, respectively.</t>
  </si>
  <si>
    <t xml:space="preserve">AN-1216</t>
  </si>
  <si>
    <t xml:space="preserve">AN-1217</t>
  </si>
  <si>
    <t xml:space="preserve">AN-1218</t>
  </si>
  <si>
    <t xml:space="preserve">Capitalized internal-use software development costs (incl. SBC)</t>
  </si>
  <si>
    <t xml:space="preserve">The Company capitalized costs related to the development of internal-use software of $3,702, $1,499 and $465</t>
  </si>
  <si>
    <t xml:space="preserve">AN-1219</t>
  </si>
  <si>
    <t xml:space="preserve">AN-1220</t>
  </si>
  <si>
    <t xml:space="preserve">AN-1221</t>
  </si>
  <si>
    <t xml:space="preserve">Capitalized internal-use software development costs (incl. capitalized SBC)</t>
  </si>
  <si>
    <t xml:space="preserve">The Company capitalized costs related to the development of internal-use software of $ 3,013 , $ 4,019 and $ 4,931 for the years ended December 31, 2024, 2023 and 2022, respectively.</t>
  </si>
  <si>
    <t xml:space="preserve">Cash portion in cash flow statement: 2,024 / 2,558 / 2,998; capitalized SBC per cash flow supplemental: 1,144 / 1,997 / 1,934.</t>
  </si>
  <si>
    <t xml:space="preserve">AN-1222</t>
  </si>
  <si>
    <t xml:space="preserve">AN-1223</t>
  </si>
  <si>
    <t xml:space="preserve">AN-1224</t>
  </si>
  <si>
    <t xml:space="preserve">Capitalized internal-use software development costs (incl. non-cash)</t>
  </si>
  <si>
    <t xml:space="preserve">The Company capitalized costs related to the development of internal-use software of $ 4,931 , $ 3,702 and $ 1,499 , for the years ended December 31, 2022, 2021 and 2020, respectively.</t>
  </si>
  <si>
    <t xml:space="preserve">AN-1225</t>
  </si>
  <si>
    <t xml:space="preserve">AN-1226</t>
  </si>
  <si>
    <t xml:space="preserve">AN-1227</t>
  </si>
  <si>
    <t xml:space="preserve">Capitalized share-based compensation costs (non-cash)</t>
  </si>
  <si>
    <t xml:space="preserve">Capitalized share-based compensation costs | $ | 648 | $ | 956</t>
  </si>
  <si>
    <t xml:space="preserve">H1 2024 interim financial statements (Exhibit 99.2), Condensed Consolidated Statements of Cash Flows - non-cash activities</t>
  </si>
  <si>
    <t xml:space="preserve">AN-1228</t>
  </si>
  <si>
    <t xml:space="preserve">Capitalized software development costs</t>
  </si>
  <si>
    <t xml:space="preserve">Capitalized software development costs | ( 1,070 | ) | ( 1,019 | )</t>
  </si>
  <si>
    <t xml:space="preserve">cash outflow</t>
  </si>
  <si>
    <t xml:space="preserve">AN-1229</t>
  </si>
  <si>
    <t xml:space="preserve">AN-1230</t>
  </si>
  <si>
    <t xml:space="preserve">Capitalized software development costs | 1,703 | 1,070</t>
  </si>
  <si>
    <t xml:space="preserve">outflows shown in parentheses in source [Manually re-checked against source text.]</t>
  </si>
  <si>
    <t xml:space="preserve">AN-1231</t>
  </si>
  <si>
    <t xml:space="preserve">Capitalized software development costs | 1,590</t>
  </si>
  <si>
    <t xml:space="preserve">AN-1232</t>
  </si>
  <si>
    <t xml:space="preserve">Capitalized software development costs (cash flow)</t>
  </si>
  <si>
    <t xml:space="preserve">Capitalized software development costs | ( 2,558 | ) | ( 2,998 | ) | ( 2,180 | )</t>
  </si>
  <si>
    <t xml:space="preserve">Cash flow amounts differ from Note 4 'capitalized costs related to the development of internal-use software' (4,019 / 4,931 / 3,702); the 2023 CF figure equals the Note 4 2023 amortization figure (2,558). Reported as-is.</t>
  </si>
  <si>
    <t xml:space="preserve">AN-1233</t>
  </si>
  <si>
    <t xml:space="preserve">AN-1234</t>
  </si>
  <si>
    <t xml:space="preserve">AN-1235</t>
  </si>
  <si>
    <t xml:space="preserve">|| Capitalized software development costs | ( 3,380 ) | ( 2,024 ) | ( 2,558 )</t>
  </si>
  <si>
    <t xml:space="preserve">AN-1236</t>
  </si>
  <si>
    <t xml:space="preserve">AN-1237</t>
  </si>
  <si>
    <t xml:space="preserve">AN-1238</t>
  </si>
  <si>
    <t xml:space="preserve">Capitalized software development costs (cash)</t>
  </si>
  <si>
    <t xml:space="preserve">Capitalized software development costs | ( 2,180 | ) | ( 1,119 | ) | ( 365 | )</t>
  </si>
  <si>
    <t xml:space="preserve">Item 18 &gt; Consolidated Statements of Cash Flows (U.S. dollars in thousands)</t>
  </si>
  <si>
    <t xml:space="preserve">AN-1239</t>
  </si>
  <si>
    <t xml:space="preserve">AN-1240</t>
  </si>
  <si>
    <t xml:space="preserve">Capitalized software development costs | ( 2,998 | ) | ( 2,180 | ) | ( 1,119 | )</t>
  </si>
  <si>
    <t xml:space="preserve">Outflow; shown positive.</t>
  </si>
  <si>
    <t xml:space="preserve">AN-1241</t>
  </si>
  <si>
    <t xml:space="preserve">AN-1242</t>
  </si>
  <si>
    <t xml:space="preserve">AN-1243</t>
  </si>
  <si>
    <t xml:space="preserve">AN-1244</t>
  </si>
  <si>
    <t xml:space="preserve">Capitalized software development costs | ( 2,024 ) | ( 2,558 ) | ( 2,998 )</t>
  </si>
  <si>
    <t xml:space="preserve">AN-1245</t>
  </si>
  <si>
    <t xml:space="preserve">AN-1246</t>
  </si>
  <si>
    <t xml:space="preserve">AN-1247</t>
  </si>
  <si>
    <t xml:space="preserve">Cash</t>
  </si>
  <si>
    <t xml:space="preserve">Cash | $ | 98,392 | $ | 91,470</t>
  </si>
  <si>
    <t xml:space="preserve">AN-1248</t>
  </si>
  <si>
    <t xml:space="preserve">AN-1249</t>
  </si>
  <si>
    <t xml:space="preserve">|| Cash | $ | 132,131 | $ | 98,392</t>
  </si>
  <si>
    <t xml:space="preserve">AN-1250</t>
  </si>
  <si>
    <t xml:space="preserve">Cash | 73,804 | 98,392</t>
  </si>
  <si>
    <t xml:space="preserve">AN-1251</t>
  </si>
  <si>
    <t xml:space="preserve">AN-1252</t>
  </si>
  <si>
    <t xml:space="preserve">AN-1253</t>
  </si>
  <si>
    <t xml:space="preserve">Cash | 207,113 | 132,131</t>
  </si>
  <si>
    <t xml:space="preserve">AN-1254</t>
  </si>
  <si>
    <t xml:space="preserve">AN-1255</t>
  </si>
  <si>
    <t xml:space="preserve">Cash and cash equivalents | $ | 886,812 | $ | 129,814</t>
  </si>
  <si>
    <t xml:space="preserve">AN-1256</t>
  </si>
  <si>
    <t xml:space="preserve">AN-1257</t>
  </si>
  <si>
    <t xml:space="preserve">Cash and cash equivalents | $ | 885,894 | $ | 886,812</t>
  </si>
  <si>
    <t xml:space="preserve">AN-1258</t>
  </si>
  <si>
    <t xml:space="preserve">CASH, CASH EQUIVALENTS - End of year | $ | 1,116,128 | $ | 885,894 | $ | 886,812</t>
  </si>
  <si>
    <t xml:space="preserve">AN-1259</t>
  </si>
  <si>
    <t xml:space="preserve">AN-1260</t>
  </si>
  <si>
    <t xml:space="preserve">Cash and cash equivalents | $ | 1,116,128 | $ | 885,894</t>
  </si>
  <si>
    <t xml:space="preserve">AN-1261</t>
  </si>
  <si>
    <t xml:space="preserve">MD&amp;A: '$1,116.1 million in cash and cash equivalents'. No marketable securities or short-term deposits on balance sheet.</t>
  </si>
  <si>
    <t xml:space="preserve">AN-1262</t>
  </si>
  <si>
    <t xml:space="preserve">Cash and cash equivalents | $ | 1,290,242 | $ | 1,116,128</t>
  </si>
  <si>
    <t xml:space="preserve">AN-1263</t>
  </si>
  <si>
    <t xml:space="preserve">AN-1264</t>
  </si>
  <si>
    <t xml:space="preserve">|| Total cash and cash equivalents | $ | 1,503,149 | $ | 1,411,602</t>
  </si>
  <si>
    <t xml:space="preserve">AN-1265</t>
  </si>
  <si>
    <t xml:space="preserve">AN-1266</t>
  </si>
  <si>
    <t xml:space="preserve">Cash and cash equivalents (MD&amp;A)</t>
  </si>
  <si>
    <t xml:space="preserve">As of December 31, 2024, we had $1,411.6 million in cash and cash equivalents and $50.0 million in short-term investments consisting of marketable securities.</t>
  </si>
  <si>
    <t xml:space="preserve">Stated in USD millions; converted. [Manually re-checked against source text.]</t>
  </si>
  <si>
    <t xml:space="preserve">AN-1267</t>
  </si>
  <si>
    <t xml:space="preserve">Cash and marketable securities</t>
  </si>
  <si>
    <t xml:space="preserve">The Company holds $1.2 billion in cash and marketable securities as of March 31, 2026.</t>
  </si>
  <si>
    <t xml:space="preserve">AN-1268</t>
  </si>
  <si>
    <t xml:space="preserve">Cash paid for income taxes, net</t>
  </si>
  <si>
    <t xml:space="preserve">|| Cash paid for income taxes, net | $ | 4,858 | $ | 6,210 | $ | 7,560</t>
  </si>
  <si>
    <t xml:space="preserve">Item 18 / Consolidated Statements of Cash Flows - Supplemental disclosure</t>
  </si>
  <si>
    <t xml:space="preserve">AN-1269</t>
  </si>
  <si>
    <t xml:space="preserve">AN-1270</t>
  </si>
  <si>
    <t xml:space="preserve">AN-1271</t>
  </si>
  <si>
    <t xml:space="preserve">Cash paid for taxes</t>
  </si>
  <si>
    <t xml:space="preserve">Cash paid for taxes | $ | 6,210 | $ | 7,560 | $ | 5,909</t>
  </si>
  <si>
    <t xml:space="preserve">AN-1272</t>
  </si>
  <si>
    <t xml:space="preserve">AN-1273</t>
  </si>
  <si>
    <t xml:space="preserve">AN-1274</t>
  </si>
  <si>
    <t xml:space="preserve">Cash planned to be reserved and transferred to Digital Lift Foundation</t>
  </si>
  <si>
    <t xml:space="preserve">As of December 31, 2022, we had $885.9 million in cash and cash equivalents, of which $6.3 million is planned to be reserved and transferred to the Digital Lift Foundation.</t>
  </si>
  <si>
    <t xml:space="preserve">AN-1275</t>
  </si>
  <si>
    <t xml:space="preserve">Cash planned to be reserved for Digital Lift Foundation</t>
  </si>
  <si>
    <t xml:space="preserve">As of December 31, 2021, we had $886.8 million in cash and cash equivalents, of which $6.3 million is planned to be reserved and transferred to the Digital Life Foundation.</t>
  </si>
  <si>
    <t xml:space="preserve">Item 5.B Liquidity and Capital Resources</t>
  </si>
  <si>
    <t xml:space="preserve">Filing text says 'Digital Life Foundation' (sic).</t>
  </si>
  <si>
    <t xml:space="preserve">AN-1276</t>
  </si>
  <si>
    <t xml:space="preserve">Computer, software, and electronic equipment (gross)</t>
  </si>
  <si>
    <t xml:space="preserve">Computer, software, and electronic equipment | $ | 12,569 | $ | 8,095</t>
  </si>
  <si>
    <t xml:space="preserve">AN-1277</t>
  </si>
  <si>
    <t xml:space="preserve">AN-1278</t>
  </si>
  <si>
    <t xml:space="preserve">Computers, software, patents and electronic equipment (gross)</t>
  </si>
  <si>
    <t xml:space="preserve">Computers, software, patents and electronic equipment | $ | 20,912 | $ | 14,995</t>
  </si>
  <si>
    <t xml:space="preserve">AN-1279</t>
  </si>
  <si>
    <t xml:space="preserve">AN-1280</t>
  </si>
  <si>
    <t xml:space="preserve">Credit facility minimum liquidity covenant</t>
  </si>
  <si>
    <t xml:space="preserve">maintaining a minimum liquidity balance (defined as cash and cash equivalents plus short term deposits) of $30,000 as of December 31, 2021 and 2020</t>
  </si>
  <si>
    <t xml:space="preserve">Item 18 &gt; Note 7 Revolving Credit Facility</t>
  </si>
  <si>
    <t xml:space="preserve">AN-1281</t>
  </si>
  <si>
    <t xml:space="preserve">Deferred commission (prepaid/current)</t>
  </si>
  <si>
    <t xml:space="preserve">Deferred commission | 1,810 | —</t>
  </si>
  <si>
    <t xml:space="preserve">Item 18 Financial Statements &gt; Notes to Consolidated Financial Statements &gt; Note 3: Prepaid Expenses and Other Current Assets</t>
  </si>
  <si>
    <t xml:space="preserve">AN-1282</t>
  </si>
  <si>
    <t xml:space="preserve">Depreciation and amortization</t>
  </si>
  <si>
    <t xml:space="preserve">Depreciation and amortization expense was $2,746, $1,888 and $579</t>
  </si>
  <si>
    <t xml:space="preserve">AN-1283</t>
  </si>
  <si>
    <t xml:space="preserve">AN-1284</t>
  </si>
  <si>
    <t xml:space="preserve">AN-1285</t>
  </si>
  <si>
    <t xml:space="preserve">Depreciation and amortization | 5,453 | 4,136</t>
  </si>
  <si>
    <t xml:space="preserve">AN-1286</t>
  </si>
  <si>
    <t xml:space="preserve">AN-1287</t>
  </si>
  <si>
    <t xml:space="preserve">Depreciation and amortization | 6,625 | 5,453</t>
  </si>
  <si>
    <t xml:space="preserve">AN-1288</t>
  </si>
  <si>
    <t xml:space="preserve">Depreciation and amortization | 7,815</t>
  </si>
  <si>
    <t xml:space="preserve">AN-1289</t>
  </si>
  <si>
    <t xml:space="preserve">Depreciation and amortization | 8,567 | 2,746 | 1,888</t>
  </si>
  <si>
    <t xml:space="preserve">AN-1290</t>
  </si>
  <si>
    <t xml:space="preserve">AN-1291</t>
  </si>
  <si>
    <t xml:space="preserve">Note 4 states depreciation and amortization expense (property and equipment) of 5,913 for FY2022; both as reported.</t>
  </si>
  <si>
    <t xml:space="preserve">AN-1292</t>
  </si>
  <si>
    <t xml:space="preserve">Depreciation and amortization | 11,858 | 9,023 | 8,567</t>
  </si>
  <si>
    <t xml:space="preserve">Note 5 states depreciation and amortization expense of $8,961K (2023) and $5,913K (2022), differing from the cash flow statement; filing does not reconcile.</t>
  </si>
  <si>
    <t xml:space="preserve">AN-1293</t>
  </si>
  <si>
    <t xml:space="preserve">AN-1294</t>
  </si>
  <si>
    <t xml:space="preserve">AN-1295</t>
  </si>
  <si>
    <t xml:space="preserve">Depreciation and amortization (cash flow)</t>
  </si>
  <si>
    <t xml:space="preserve">Depreciation and amortization | 9,023 | 8,567 | 2,746</t>
  </si>
  <si>
    <t xml:space="preserve">Note 4 states depreciation and amortization expense of 8,961 / 5,913 / 2,746 (property and equipment); CF figure may include other amortization. Reported as-is.</t>
  </si>
  <si>
    <t xml:space="preserve">AN-1296</t>
  </si>
  <si>
    <t xml:space="preserve">AN-1297</t>
  </si>
  <si>
    <t xml:space="preserve">AN-1298</t>
  </si>
  <si>
    <t xml:space="preserve">Depreciation and amortization expense</t>
  </si>
  <si>
    <t xml:space="preserve">Depreciation and amortization expense was $13,805, $11,858 and $8,961, for the years ended December 31, 2025, 2024 and 2023, respectively.</t>
  </si>
  <si>
    <t xml:space="preserve">Cash flow statement shows 9,023 for 2023.</t>
  </si>
  <si>
    <t xml:space="preserve">AN-1299</t>
  </si>
  <si>
    <t xml:space="preserve">AN-1300</t>
  </si>
  <si>
    <t xml:space="preserve">AN-1301</t>
  </si>
  <si>
    <t xml:space="preserve">Depreciation and amortization expense (Note 4)</t>
  </si>
  <si>
    <t xml:space="preserve">Depreciation and amortization expense was $ 8,961 , $ 5,913 , and $ 2,746 , for the years ended December 31, 2023, 2022 and 2021, respectively.</t>
  </si>
  <si>
    <t xml:space="preserve">AN-1302</t>
  </si>
  <si>
    <t xml:space="preserve">AN-1303</t>
  </si>
  <si>
    <t xml:space="preserve">AN-1304</t>
  </si>
  <si>
    <t xml:space="preserve">Depreciation and amortization expense (Note 5)</t>
  </si>
  <si>
    <t xml:space="preserve">Depreciation and amortization expense was $ 11,858 , $ 8,961 and $ 5,913 , for the years ended December 31, 2024, 2023 and 2022, respectively.</t>
  </si>
  <si>
    <t xml:space="preserve">AN-1305</t>
  </si>
  <si>
    <t xml:space="preserve">AN-1306</t>
  </si>
  <si>
    <t xml:space="preserve">AN-1307</t>
  </si>
  <si>
    <t xml:space="preserve">Depreciation and amortization expense - property and equipment</t>
  </si>
  <si>
    <t xml:space="preserve">Depreciation and amortization expense was $ 5,913 , $ 2,746 and $ 1,888 , for the years ended December 31, 2022, 2021 and 2020, respectively.</t>
  </si>
  <si>
    <t xml:space="preserve">AN-1308</t>
  </si>
  <si>
    <t xml:space="preserve">Exchange rate expense, net</t>
  </si>
  <si>
    <t xml:space="preserve">Exchange rate expense, net | 5,817 | -</t>
  </si>
  <si>
    <t xml:space="preserve">H1 2026 interim financial statements (Exhibit 99.2), Note 13 Financial Income, Net</t>
  </si>
  <si>
    <t xml:space="preserve">AN-1309</t>
  </si>
  <si>
    <t xml:space="preserve">FY2025 net cash provided by operating activities</t>
  </si>
  <si>
    <t xml:space="preserve">$333.6 million in net cash provided by operating activities</t>
  </si>
  <si>
    <t xml:space="preserve">AN-1310</t>
  </si>
  <si>
    <t xml:space="preserve">Financial income (expenses), net</t>
  </si>
  <si>
    <t xml:space="preserve">Financial income (expenses), net | $ | 22,554 | $ | ( 838 | ) | $ | 526</t>
  </si>
  <si>
    <t xml:space="preserve">Item 18 Financial Statements &gt; Notes to Consolidated Financial Statements &gt; Note 11 Financial Income (Expenses), Net</t>
  </si>
  <si>
    <t xml:space="preserve">AN-1311</t>
  </si>
  <si>
    <t xml:space="preserve">AN-1312</t>
  </si>
  <si>
    <t xml:space="preserve">Financial income (expenses), net | $ | 41,911 | $ | 22,554 | $ | ( 838 | )</t>
  </si>
  <si>
    <t xml:space="preserve">Item 18 Financial Statements &gt; Notes to Consolidated Financial Statements &gt; Note 10: Financial Income (Expenses), Net</t>
  </si>
  <si>
    <t xml:space="preserve">AN-1313</t>
  </si>
  <si>
    <t xml:space="preserve">AN-1314</t>
  </si>
  <si>
    <t xml:space="preserve">AN-1315</t>
  </si>
  <si>
    <t xml:space="preserve">AN-1316</t>
  </si>
  <si>
    <t xml:space="preserve">Financial income, net</t>
  </si>
  <si>
    <t xml:space="preserve">|| Financial income, net | $ | 61,065 | $ | 55,500 | $ | 41,911</t>
  </si>
  <si>
    <t xml:space="preserve">Item 18 / Consolidated Financial Statements - Notes to Consolidated Financial Statements - Note 11: Financial Income, Net</t>
  </si>
  <si>
    <t xml:space="preserve">AN-1317</t>
  </si>
  <si>
    <t xml:space="preserve">AN-1318</t>
  </si>
  <si>
    <t xml:space="preserve">AN-1319</t>
  </si>
  <si>
    <t xml:space="preserve">IPO and concurrent private placement net proceeds (June 2021)</t>
  </si>
  <si>
    <t xml:space="preserve">In June 2021, we received net proceeds from our IPO and concurrent private placement of $735.9 million.</t>
  </si>
  <si>
    <t xml:space="preserve">AN-1320</t>
  </si>
  <si>
    <t xml:space="preserve">Interest expense on credit facility</t>
  </si>
  <si>
    <t xml:space="preserve">the Company recorded interest expenses in the amount of $316, $671 and $543, respectively in connection with the credit facility.</t>
  </si>
  <si>
    <t xml:space="preserve">AN-1321</t>
  </si>
  <si>
    <t xml:space="preserve">AN-1322</t>
  </si>
  <si>
    <t xml:space="preserve">the Company recorded interest expenses in the amount of $ 62 , $ 316 and $ 671 , respectively, in connection with the credit facility.</t>
  </si>
  <si>
    <t xml:space="preserve">Item 18 Financial Statements &gt; Notes to Consolidated Financial Statements &gt; Note 8 Revolving Credit Facility</t>
  </si>
  <si>
    <t xml:space="preserve">AN-1323</t>
  </si>
  <si>
    <t xml:space="preserve">AN-1324</t>
  </si>
  <si>
    <t xml:space="preserve">AN-1325</t>
  </si>
  <si>
    <t xml:space="preserve">AN-1326</t>
  </si>
  <si>
    <t xml:space="preserve">Interest income on deposits</t>
  </si>
  <si>
    <t xml:space="preserve">Interest income on deposits | 875 | 1,045 | 2,244</t>
  </si>
  <si>
    <t xml:space="preserve">Item 18 &gt; Note 9 Financial Income (Expenses), Net</t>
  </si>
  <si>
    <t xml:space="preserve">AN-1327</t>
  </si>
  <si>
    <t xml:space="preserve">AN-1328</t>
  </si>
  <si>
    <t xml:space="preserve">Interest income on deposits | 18,659 | 875 | 1,045</t>
  </si>
  <si>
    <t xml:space="preserve">AN-1329</t>
  </si>
  <si>
    <t xml:space="preserve">AN-1330</t>
  </si>
  <si>
    <t xml:space="preserve">AN-1331</t>
  </si>
  <si>
    <t xml:space="preserve">Interest income on deposits | 41,993 | 18,659 | 875</t>
  </si>
  <si>
    <t xml:space="preserve">AN-1332</t>
  </si>
  <si>
    <t xml:space="preserve">AN-1333</t>
  </si>
  <si>
    <t xml:space="preserve">AN-1334</t>
  </si>
  <si>
    <t xml:space="preserve">AN-1335</t>
  </si>
  <si>
    <t xml:space="preserve">Interest income on deposits and money market funds</t>
  </si>
  <si>
    <t xml:space="preserve">Interest income on deposits and money market funds | 29,272 | 16,781</t>
  </si>
  <si>
    <t xml:space="preserve">H1 2024 interim financial statements (Exhibit 99.2), Note 10 Financial Income (Expense), Net</t>
  </si>
  <si>
    <t xml:space="preserve">AN-1336</t>
  </si>
  <si>
    <t xml:space="preserve">AN-1337</t>
  </si>
  <si>
    <t xml:space="preserve">Interest income on deposits, money market funds and marketable securities</t>
  </si>
  <si>
    <t xml:space="preserve">|| Interest income on deposits, money market funds and marketable securities | 63,447 | 60,659 | 41,993</t>
  </si>
  <si>
    <t xml:space="preserve">AN-1338</t>
  </si>
  <si>
    <t xml:space="preserve">AN-1339</t>
  </si>
  <si>
    <t xml:space="preserve">AN-1340</t>
  </si>
  <si>
    <t xml:space="preserve">Interest income on deposits, money market funds and marketable securities | 30,158 | 29,272</t>
  </si>
  <si>
    <t xml:space="preserve">AN-1341</t>
  </si>
  <si>
    <t xml:space="preserve">Interest income on deposits, money market funds and marketable securities | 22,654 | 31,326</t>
  </si>
  <si>
    <t xml:space="preserve">H1 2025 comparative shown as 31,326 (vs 30,158 in H1 2025 FS)</t>
  </si>
  <si>
    <t xml:space="preserve">AN-1342</t>
  </si>
  <si>
    <t xml:space="preserve">Interest on credit facility and amortization of debt issuance fees</t>
  </si>
  <si>
    <t xml:space="preserve">Interest on credit facility and amortization of debt issuance fees | – | – | 62</t>
  </si>
  <si>
    <t xml:space="preserve">Item 18 (Part 5 - Consolidated Financial Statements) - Note 11: Financial Income, Net</t>
  </si>
  <si>
    <t xml:space="preserve">No current credit facility terms disclosed; MD&amp;A states 'we have no long-term loans'.</t>
  </si>
  <si>
    <t xml:space="preserve">AN-1343</t>
  </si>
  <si>
    <t xml:space="preserve">AN-1344</t>
  </si>
  <si>
    <t xml:space="preserve">AN-1345</t>
  </si>
  <si>
    <t xml:space="preserve">Internal-use software costs capitalized</t>
  </si>
  <si>
    <t xml:space="preserve">The Company capitalized costs related to the development of internal-use software of $5,107, $3,013 and $4,019 for the years ended December 31, 2025, 2024 and 2023, respectively.</t>
  </si>
  <si>
    <t xml:space="preserve">Includes capitalized SBC; differs from cash-flow line.</t>
  </si>
  <si>
    <t xml:space="preserve">AN-1346</t>
  </si>
  <si>
    <t xml:space="preserve">AN-1347</t>
  </si>
  <si>
    <t xml:space="preserve">AN-1348</t>
  </si>
  <si>
    <t xml:space="preserve">Investment in affiliated company</t>
  </si>
  <si>
    <t xml:space="preserve">Investment in affiliated company | 4,332</t>
  </si>
  <si>
    <t xml:space="preserve">AN-1349</t>
  </si>
  <si>
    <t xml:space="preserve">Leasehold improvements (gross)</t>
  </si>
  <si>
    <t xml:space="preserve">Leasehold improvements | 6,700 | 2,995</t>
  </si>
  <si>
    <t xml:space="preserve">AN-1350</t>
  </si>
  <si>
    <t xml:space="preserve">Leasehold improvements | 13,289 | 6,700</t>
  </si>
  <si>
    <t xml:space="preserve">AN-1351</t>
  </si>
  <si>
    <t xml:space="preserve">AN-1352</t>
  </si>
  <si>
    <t xml:space="preserve">Leasehold improvements | 16,419 | 13,289</t>
  </si>
  <si>
    <t xml:space="preserve">AN-1353</t>
  </si>
  <si>
    <t xml:space="preserve">Leasehold improvements | 22,000 | 16,419</t>
  </si>
  <si>
    <t xml:space="preserve">AN-1354</t>
  </si>
  <si>
    <t xml:space="preserve">AN-1355</t>
  </si>
  <si>
    <t xml:space="preserve">|| Leasehold improvements | 33,855 | 22,000</t>
  </si>
  <si>
    <t xml:space="preserve">AN-1356</t>
  </si>
  <si>
    <t xml:space="preserve">AN-1357</t>
  </si>
  <si>
    <t xml:space="preserve">Long-term debt / credit facility</t>
  </si>
  <si>
    <t xml:space="preserve">We believe we have no significant exposure to interest rate risk, as we have no long-term loans.</t>
  </si>
  <si>
    <t xml:space="preserve">Item 11 / Part 4 - G. Quantitative and Qualitative Disclosures About Market Risk - Interest rate risk</t>
  </si>
  <si>
    <t xml:space="preserve">No credit facility disclosed; value 0 reflects explicit statement of no long-term loans.</t>
  </si>
  <si>
    <t xml:space="preserve">AN-1358</t>
  </si>
  <si>
    <t xml:space="preserve">Marketable securities (U.S. Treasury bills)</t>
  </si>
  <si>
    <t xml:space="preserve">U.S. Treasury bills | 50,004 | –</t>
  </si>
  <si>
    <t xml:space="preserve">AN-1359</t>
  </si>
  <si>
    <t xml:space="preserve">AN-1360</t>
  </si>
  <si>
    <t xml:space="preserve">|| U.S. Treasury bills | 162,308 | 50,004</t>
  </si>
  <si>
    <t xml:space="preserve">AN-1361</t>
  </si>
  <si>
    <t xml:space="preserve">AN-1362</t>
  </si>
  <si>
    <t xml:space="preserve">Marketable securities - U.S. Treasury bills</t>
  </si>
  <si>
    <t xml:space="preserve">U.S. Treasury bills | 60,102 | 50,004</t>
  </si>
  <si>
    <t xml:space="preserve">AN-1363</t>
  </si>
  <si>
    <t xml:space="preserve">AN-1364</t>
  </si>
  <si>
    <t xml:space="preserve">U.S. Treasury bills | 219,353 | 162,308</t>
  </si>
  <si>
    <t xml:space="preserve">AN-1365</t>
  </si>
  <si>
    <t xml:space="preserve">AN-1366</t>
  </si>
  <si>
    <t xml:space="preserve">Marketable securities - contractual maturity within one year (fair value)</t>
  </si>
  <si>
    <t xml:space="preserve">Within one year | $ | 59,941 | $ | 161 | $ | - | $ | 60,102</t>
  </si>
  <si>
    <t xml:space="preserve">H1 2025 interim financial statements (Exhibit 99.2), Note 4 - available-for-sale marketable securities</t>
  </si>
  <si>
    <t xml:space="preserve">amortized cost 59,941; all mature within one year</t>
  </si>
  <si>
    <t xml:space="preserve">AN-1367</t>
  </si>
  <si>
    <t xml:space="preserve">Marketable securities - maturity after one year through five years (fair value)</t>
  </si>
  <si>
    <t xml:space="preserve">After one year through five years | 122,391 | - | ( 1,080 | ) | 121,311</t>
  </si>
  <si>
    <t xml:space="preserve">H1 2026 interim financial statements (Exhibit 99.2), Note 4</t>
  </si>
  <si>
    <t xml:space="preserve">AN-1368</t>
  </si>
  <si>
    <t xml:space="preserve">Marketable securities - maturity within one year (fair value)</t>
  </si>
  <si>
    <t xml:space="preserve">Within one year | $ | 98,208 | $ | - | $ | ( 166 | ) | $ | 98,042</t>
  </si>
  <si>
    <t xml:space="preserve">AN-1369</t>
  </si>
  <si>
    <t xml:space="preserve">Marketable securities maturing after one year through five years (fair value)</t>
  </si>
  <si>
    <t xml:space="preserve">|| After one year through five years | 69,862 | 262 | ( 2 ) | 70,122</t>
  </si>
  <si>
    <t xml:space="preserve">AN-1370</t>
  </si>
  <si>
    <t xml:space="preserve">Maturities of marketable securities</t>
  </si>
  <si>
    <t xml:space="preserve">Maturities of marketable securities | 55,917</t>
  </si>
  <si>
    <t xml:space="preserve">AN-1371</t>
  </si>
  <si>
    <t xml:space="preserve">Money market funds</t>
  </si>
  <si>
    <t xml:space="preserve">Money market funds | 1,291,274 | 1,024,658</t>
  </si>
  <si>
    <t xml:space="preserve">AN-1372</t>
  </si>
  <si>
    <t xml:space="preserve">AN-1373</t>
  </si>
  <si>
    <t xml:space="preserve">|| Money market funds | 1,039,648 | 1,291,274</t>
  </si>
  <si>
    <t xml:space="preserve">AN-1374</t>
  </si>
  <si>
    <t xml:space="preserve">Money market funds | 1,334,384 | 1,291,274</t>
  </si>
  <si>
    <t xml:space="preserve">AN-1375</t>
  </si>
  <si>
    <t xml:space="preserve">AN-1376</t>
  </si>
  <si>
    <t xml:space="preserve">AN-1377</t>
  </si>
  <si>
    <t xml:space="preserve">Money market funds | 209,690 | 1,039,648</t>
  </si>
  <si>
    <t xml:space="preserve">AN-1378</t>
  </si>
  <si>
    <t xml:space="preserve">AN-1379</t>
  </si>
  <si>
    <t xml:space="preserve">Money market funds (cash equivalents, Level 1)</t>
  </si>
  <si>
    <t xml:space="preserve">Money market funds | 80,888 | — | 80,888 | — | — | —</t>
  </si>
  <si>
    <t xml:space="preserve">Nil at 2021-12-31.</t>
  </si>
  <si>
    <t xml:space="preserve">AN-1380</t>
  </si>
  <si>
    <t xml:space="preserve">Money market funds | 1,024,658 | — | 1,024,658 | 80,888 | — | 80,888</t>
  </si>
  <si>
    <t xml:space="preserve">AN-1381</t>
  </si>
  <si>
    <t xml:space="preserve">AN-1382</t>
  </si>
  <si>
    <t xml:space="preserve">Money market funds | $ | 1,024,658 | $ | - | $ | 1,024,658</t>
  </si>
  <si>
    <t xml:space="preserve">H1 2024 interim financial statements (Exhibit 99.2), Note 6 Fair Value Measurements</t>
  </si>
  <si>
    <t xml:space="preserve">AN-1383</t>
  </si>
  <si>
    <t xml:space="preserve">Money market funds | $ | 1,176,178 | $ | - | $ | 1,176,178</t>
  </si>
  <si>
    <t xml:space="preserve">AN-1384</t>
  </si>
  <si>
    <t xml:space="preserve">Net carrying value of capitalized internal-use software</t>
  </si>
  <si>
    <t xml:space="preserve">The net carrying value of capitalized internal-use software was $ 8,233 , $ 4,793 and $ 1,638 as of December 31, 2022, 2021 and 2020, respectively.</t>
  </si>
  <si>
    <t xml:space="preserve">AN-1385</t>
  </si>
  <si>
    <t xml:space="preserve">AN-1386</t>
  </si>
  <si>
    <t xml:space="preserve">AN-1387</t>
  </si>
  <si>
    <t xml:space="preserve">The net carrying value of capitalized internal-use software was $ 9,693 , $ 8,233 , and $ 4,793 as of December 31, 2023, 2022 and 2021, respectively.</t>
  </si>
  <si>
    <t xml:space="preserve">AN-1388</t>
  </si>
  <si>
    <t xml:space="preserve">The net carrying value of capitalized internal-use software was $ 8,823 and $ 9,693 as of December 31, 2024 and 2023, respectively.</t>
  </si>
  <si>
    <t xml:space="preserve">AN-1389</t>
  </si>
  <si>
    <t xml:space="preserve">AN-1390</t>
  </si>
  <si>
    <t xml:space="preserve">Net cash provided by (used in) financing activities</t>
  </si>
  <si>
    <t xml:space="preserve">Net cash provided by (used in) financing activities | ( 9,055 | ) | 742,272 | 8,470</t>
  </si>
  <si>
    <t xml:space="preserve">AN-1391</t>
  </si>
  <si>
    <t xml:space="preserve">AN-1392</t>
  </si>
  <si>
    <t xml:space="preserve">Net cash provided by (used in) financing activities | 25,289 | ( 9,055 | ) | 742,272</t>
  </si>
  <si>
    <t xml:space="preserve">AN-1393</t>
  </si>
  <si>
    <t xml:space="preserve">AN-1394</t>
  </si>
  <si>
    <t xml:space="preserve">AN-1395</t>
  </si>
  <si>
    <t xml:space="preserve">Net cash provided by (used in) financing activities | 55,214 | 25,289 | ( 9,055 )</t>
  </si>
  <si>
    <t xml:space="preserve">AN-1396</t>
  </si>
  <si>
    <t xml:space="preserve">AN-1397</t>
  </si>
  <si>
    <t xml:space="preserve">AN-1398</t>
  </si>
  <si>
    <t xml:space="preserve">|| Net cash provided by (used in) financing activities | ( 108,381 ) | 55,214 | 25,289</t>
  </si>
  <si>
    <t xml:space="preserve">AN-1399</t>
  </si>
  <si>
    <t xml:space="preserve">AN-1400</t>
  </si>
  <si>
    <t xml:space="preserve">AN-1401</t>
  </si>
  <si>
    <t xml:space="preserve">AN-1402</t>
  </si>
  <si>
    <t xml:space="preserve">Net cash provided by (used in) operating activities | 16,355 | ( 37,175 | ) | ( 36,650 | )</t>
  </si>
  <si>
    <t xml:space="preserve">AN-1403</t>
  </si>
  <si>
    <t xml:space="preserve">AN-1404</t>
  </si>
  <si>
    <t xml:space="preserve">Net cash provided by (used in) operating activities | 27,138 | 16,355 | ( 37,175 | )</t>
  </si>
  <si>
    <t xml:space="preserve">AN-1405</t>
  </si>
  <si>
    <t xml:space="preserve">AN-1406</t>
  </si>
  <si>
    <t xml:space="preserve">AN-1407</t>
  </si>
  <si>
    <t xml:space="preserve">AN-1408</t>
  </si>
  <si>
    <t xml:space="preserve">Net cash provided by operating activities</t>
  </si>
  <si>
    <t xml:space="preserve">Net cash provided by operating activities | 215,404 | 27,138 | 16,355</t>
  </si>
  <si>
    <t xml:space="preserve">AN-1409</t>
  </si>
  <si>
    <t xml:space="preserve">AN-1410</t>
  </si>
  <si>
    <t xml:space="preserve">Net cash provided by operating activities | 311,065 | 215,404 | 27,138</t>
  </si>
  <si>
    <t xml:space="preserve">AN-1411</t>
  </si>
  <si>
    <t xml:space="preserve">AN-1412</t>
  </si>
  <si>
    <t xml:space="preserve">AN-1413</t>
  </si>
  <si>
    <t xml:space="preserve">|| Net cash provided by operating activities | 333,644 | 311,065 | 215,404</t>
  </si>
  <si>
    <t xml:space="preserve">AN-1414</t>
  </si>
  <si>
    <t xml:space="preserve">AN-1415</t>
  </si>
  <si>
    <t xml:space="preserve">AN-1416</t>
  </si>
  <si>
    <t xml:space="preserve">AN-1417</t>
  </si>
  <si>
    <t xml:space="preserve">Net cash provided by operating activities | 147,749 | 90,317</t>
  </si>
  <si>
    <t xml:space="preserve">AN-1418</t>
  </si>
  <si>
    <t xml:space="preserve">AN-1419</t>
  </si>
  <si>
    <t xml:space="preserve">Net cash provided by operating activities | 178,807 | 147,749</t>
  </si>
  <si>
    <t xml:space="preserve">AN-1420</t>
  </si>
  <si>
    <t xml:space="preserve">Net cash provided by operating activities | 160,041</t>
  </si>
  <si>
    <t xml:space="preserve">AN-1421</t>
  </si>
  <si>
    <t xml:space="preserve">Net cash used in investing activities</t>
  </si>
  <si>
    <t xml:space="preserve">Net cash used in investing activities | ( 19,001 | ) | ( 3,629 | ) | ( 11,481 | )</t>
  </si>
  <si>
    <t xml:space="preserve">AN-1422</t>
  </si>
  <si>
    <t xml:space="preserve">AN-1423</t>
  </si>
  <si>
    <t xml:space="preserve">Net cash used in investing activities | ( 10,459 | ) | ( 19,001 | ) | ( 3,629 | )</t>
  </si>
  <si>
    <t xml:space="preserve">AN-1424</t>
  </si>
  <si>
    <t xml:space="preserve">AN-1425</t>
  </si>
  <si>
    <t xml:space="preserve">AN-1426</t>
  </si>
  <si>
    <t xml:space="preserve">Net cash used in investing activities | ( 70,805 ) | ( 10,459 ) | ( 19,001 )</t>
  </si>
  <si>
    <t xml:space="preserve">AN-1427</t>
  </si>
  <si>
    <t xml:space="preserve">AN-1428</t>
  </si>
  <si>
    <t xml:space="preserve">AN-1429</t>
  </si>
  <si>
    <t xml:space="preserve">|| Net cash used in investing activities | ( 133,716 ) | ( 70,805 ) | ( 10,459 )</t>
  </si>
  <si>
    <t xml:space="preserve">AN-1430</t>
  </si>
  <si>
    <t xml:space="preserve">AN-1431</t>
  </si>
  <si>
    <t xml:space="preserve">AN-1432</t>
  </si>
  <si>
    <t xml:space="preserve">AN-1433</t>
  </si>
  <si>
    <t xml:space="preserve">Net proceeds from IPO and concurrent private placement</t>
  </si>
  <si>
    <t xml:space="preserve">AN-1434</t>
  </si>
  <si>
    <t xml:space="preserve">Office furniture and equipment (gross)</t>
  </si>
  <si>
    <t xml:space="preserve">Office furniture and equipment | 6,926 | 4,458</t>
  </si>
  <si>
    <t xml:space="preserve">AN-1435</t>
  </si>
  <si>
    <t xml:space="preserve">AN-1436</t>
  </si>
  <si>
    <t xml:space="preserve">Office furniture and equipment | 9,804 | 9,094</t>
  </si>
  <si>
    <t xml:space="preserve">AN-1437</t>
  </si>
  <si>
    <t xml:space="preserve">AN-1438</t>
  </si>
  <si>
    <t xml:space="preserve">Proceeds from exercise of share options and employee share purchase plan | 12,181 | 5,249 | 542</t>
  </si>
  <si>
    <t xml:space="preserve">AN-1439</t>
  </si>
  <si>
    <t xml:space="preserve">Proceeds from exercise of share options and employee share purchase plan | 43,341 | 21,243 | 12,181</t>
  </si>
  <si>
    <t xml:space="preserve">AN-1440</t>
  </si>
  <si>
    <t xml:space="preserve">AN-1441</t>
  </si>
  <si>
    <t xml:space="preserve">AN-1442</t>
  </si>
  <si>
    <t xml:space="preserve">Property and equipment, gross</t>
  </si>
  <si>
    <t xml:space="preserve">Property and equipment, gross | 70,599 | 55,378</t>
  </si>
  <si>
    <t xml:space="preserve">AN-1443</t>
  </si>
  <si>
    <t xml:space="preserve">AN-1444</t>
  </si>
  <si>
    <t xml:space="preserve">Property and equipment, net</t>
  </si>
  <si>
    <t xml:space="preserve">Property and equipment, net | 19,599 | 7,178</t>
  </si>
  <si>
    <t xml:space="preserve">AN-1445</t>
  </si>
  <si>
    <t xml:space="preserve">AN-1446</t>
  </si>
  <si>
    <t xml:space="preserve">Property and equipment, net | $ | 34,416 | $ | 19,599</t>
  </si>
  <si>
    <t xml:space="preserve">AN-1447</t>
  </si>
  <si>
    <t xml:space="preserve">AN-1448</t>
  </si>
  <si>
    <t xml:space="preserve">Property and equipment, net | $ | 37,418 | $ | 34,416</t>
  </si>
  <si>
    <t xml:space="preserve">AN-1449</t>
  </si>
  <si>
    <t xml:space="preserve">AN-1450</t>
  </si>
  <si>
    <t xml:space="preserve">Property and equipment, net | $ | 41,576 | $ | 37,418</t>
  </si>
  <si>
    <t xml:space="preserve">AN-1451</t>
  </si>
  <si>
    <t xml:space="preserve">Property and equipment, net | 39,326 | 37,418</t>
  </si>
  <si>
    <t xml:space="preserve">AN-1452</t>
  </si>
  <si>
    <t xml:space="preserve">AN-1453</t>
  </si>
  <si>
    <t xml:space="preserve">AN-1454</t>
  </si>
  <si>
    <t xml:space="preserve">|| Property and equipment, net | $ | 53,888 | $ | 41,576</t>
  </si>
  <si>
    <t xml:space="preserve">AN-1455</t>
  </si>
  <si>
    <t xml:space="preserve">Property and equipment, net | 47,232 | 41,576</t>
  </si>
  <si>
    <t xml:space="preserve">AN-1456</t>
  </si>
  <si>
    <t xml:space="preserve">AN-1457</t>
  </si>
  <si>
    <t xml:space="preserve">AN-1458</t>
  </si>
  <si>
    <t xml:space="preserve">Property and equipment, net | 50,299 | 53,888</t>
  </si>
  <si>
    <t xml:space="preserve">AN-1459</t>
  </si>
  <si>
    <t xml:space="preserve">Dec 31 2025: 53,888</t>
  </si>
  <si>
    <t xml:space="preserve">AN-1460</t>
  </si>
  <si>
    <t xml:space="preserve">Purchase of marketable securities</t>
  </si>
  <si>
    <t xml:space="preserve">Purchase of marketable securities | ( 49,570 ) | – | –</t>
  </si>
  <si>
    <t xml:space="preserve">AN-1461</t>
  </si>
  <si>
    <t xml:space="preserve">AN-1462</t>
  </si>
  <si>
    <t xml:space="preserve">AN-1463</t>
  </si>
  <si>
    <t xml:space="preserve">Purchase of marketable securities | 10,049 | 0</t>
  </si>
  <si>
    <t xml:space="preserve">AN-1464</t>
  </si>
  <si>
    <t xml:space="preserve">Purchase of marketable securities | 112,915</t>
  </si>
  <si>
    <t xml:space="preserve">AN-1465</t>
  </si>
  <si>
    <t xml:space="preserve">Purchase of property and equipment</t>
  </si>
  <si>
    <t xml:space="preserve">Purchase of property and equipment | ( 11,578 | ) | ( 4,362 | ) | ( 1,402 | )</t>
  </si>
  <si>
    <t xml:space="preserve">AN-1466</t>
  </si>
  <si>
    <t xml:space="preserve">AN-1467</t>
  </si>
  <si>
    <t xml:space="preserve">AN-1468</t>
  </si>
  <si>
    <t xml:space="preserve">Purchase of property and equipment | ( 7,901 | ) | ( 16,003 | ) | ( 11,578 | )</t>
  </si>
  <si>
    <t xml:space="preserve">AN-1469</t>
  </si>
  <si>
    <t xml:space="preserve">AN-1470</t>
  </si>
  <si>
    <t xml:space="preserve">Purchase of property and equipment | ( 13,211 ) | ( 7,901 ) | ( 16,003 )</t>
  </si>
  <si>
    <t xml:space="preserve">AN-1471</t>
  </si>
  <si>
    <t xml:space="preserve">AN-1472</t>
  </si>
  <si>
    <t xml:space="preserve">AN-1473</t>
  </si>
  <si>
    <t xml:space="preserve">|| Purchase of property and equipment | ( 20,362 ) | ( 13,211 ) | ( 7,901 )</t>
  </si>
  <si>
    <t xml:space="preserve">AN-1474</t>
  </si>
  <si>
    <t xml:space="preserve">AN-1475</t>
  </si>
  <si>
    <t xml:space="preserve">AN-1476</t>
  </si>
  <si>
    <t xml:space="preserve">AN-1477</t>
  </si>
  <si>
    <t xml:space="preserve">Purchase of property and equipment | ( 5,964 | ) | ( 4,684 | )</t>
  </si>
  <si>
    <t xml:space="preserve">AN-1478</t>
  </si>
  <si>
    <t xml:space="preserve">AN-1479</t>
  </si>
  <si>
    <t xml:space="preserve">Purchase of property and equipment | 9,571 | 5,964</t>
  </si>
  <si>
    <t xml:space="preserve">AN-1480</t>
  </si>
  <si>
    <t xml:space="preserve">Purchase of property and equipment | 6,237</t>
  </si>
  <si>
    <t xml:space="preserve">AN-1481</t>
  </si>
  <si>
    <t xml:space="preserve">Purchase of property and equipment (capex)</t>
  </si>
  <si>
    <t xml:space="preserve">Purchase of property and equipment | ( 16,003 | ) | ( 11,578 | ) | ( 4,362 | )</t>
  </si>
  <si>
    <t xml:space="preserve">AN-1482</t>
  </si>
  <si>
    <t xml:space="preserve">AN-1483</t>
  </si>
  <si>
    <t xml:space="preserve">AN-1484</t>
  </si>
  <si>
    <t xml:space="preserve">Purchase of property and equipment related to HQ build-out (adjusted FCF add-back)</t>
  </si>
  <si>
    <t xml:space="preserve">Purchase of property and equipment related to build-out of our new corporate headquarters | — | 7,303 | 1,964</t>
  </si>
  <si>
    <t xml:space="preserve">AN-1485</t>
  </si>
  <si>
    <t xml:space="preserve">AN-1486</t>
  </si>
  <si>
    <t xml:space="preserve">Purchase of property and equipment related to build-out of our new corporate headquarters | — | — | 7,303</t>
  </si>
  <si>
    <t xml:space="preserve">Part 4 (Item 5.A) &gt; Non-GAAP Financial Measures &gt; Adjusted Free Cash Flow reconciliation</t>
  </si>
  <si>
    <t xml:space="preserve">AN-1487</t>
  </si>
  <si>
    <t xml:space="preserve">AN-1488</t>
  </si>
  <si>
    <t xml:space="preserve">AN-1489</t>
  </si>
  <si>
    <t xml:space="preserve">AN-1490</t>
  </si>
  <si>
    <t xml:space="preserve">Purchase of property and equipment related to HQ build-out and expansion (added back in adjusted FCF)</t>
  </si>
  <si>
    <t xml:space="preserve">|| Purchase of property and equipment related to build-out and expansion of our corporate headquarters | 12,758 | — | —</t>
  </si>
  <si>
    <t xml:space="preserve">Item 5 / Part 4 - Operating and Financial Review and Prospects - Non-GAAP Financial Measures - Adjusted Free Cash Flow reconciliation</t>
  </si>
  <si>
    <t xml:space="preserve">Nil in FY2024 and FY2023.</t>
  </si>
  <si>
    <t xml:space="preserve">AN-1491</t>
  </si>
  <si>
    <t xml:space="preserve">Purchase of property and equipment related to build-out and expansion of corporate headquarters (added back in adjusted FCF)</t>
  </si>
  <si>
    <t xml:space="preserve">Purchase of property and equipment related to build-out and expansion of our corporate headquarters | 6,092 | -</t>
  </si>
  <si>
    <t xml:space="preserve">H1 2024: nil</t>
  </si>
  <si>
    <t xml:space="preserve">AN-1492</t>
  </si>
  <si>
    <t xml:space="preserve">Purchase of property and equipment related to build-out of corporate headquarters (added back in adjusted FCF)</t>
  </si>
  <si>
    <t xml:space="preserve">Purchase of property and equipment related to build-out of our corporate headquarters (1) | 2,908 | 6,092</t>
  </si>
  <si>
    <t xml:space="preserve">H1 2026 MD&amp;A (Exhibit 99.3), Adjusted Free Cash Flow reconciliation</t>
  </si>
  <si>
    <t xml:space="preserve">Footnote: mainly renovation of an Israeli office space later vacated; 'The Company does not expect to incur material capital expenditures of this nature in future periods.'</t>
  </si>
  <si>
    <t xml:space="preserve">AN-1493</t>
  </si>
  <si>
    <t xml:space="preserve">Purchase of property and equipment related to build-out of new corporate HQ</t>
  </si>
  <si>
    <t xml:space="preserve">Purchase of property and equipment related to build-out of our new corporate headquarters | 7,303 | 1,964 | —</t>
  </si>
  <si>
    <t xml:space="preserve">AN-1494</t>
  </si>
  <si>
    <t xml:space="preserve">AN-1495</t>
  </si>
  <si>
    <t xml:space="preserve">AN-1496</t>
  </si>
  <si>
    <t xml:space="preserve">Purchase of securities of privately held companies</t>
  </si>
  <si>
    <t xml:space="preserve">Purchase of securities of privately held companies | 6,000</t>
  </si>
  <si>
    <t xml:space="preserve">AN-1497</t>
  </si>
  <si>
    <t xml:space="preserve">Q1</t>
  </si>
  <si>
    <t xml:space="preserve">Q1 2026 net cash provided by operating activities</t>
  </si>
  <si>
    <t xml:space="preserve">$104.7 million in net cash provided by operating activities</t>
  </si>
  <si>
    <t xml:space="preserve">AN-1498</t>
  </si>
  <si>
    <t xml:space="preserve">Receipt (payment) of tax advance relating to option/RSU exercises, net</t>
  </si>
  <si>
    <t xml:space="preserve">Receipt (payment) of tax advance relating to exercises of share options and RSUs, net | ( 21,152 | ) | 22,258 | —</t>
  </si>
  <si>
    <t xml:space="preserve">AN-1499</t>
  </si>
  <si>
    <t xml:space="preserve">AN-1500</t>
  </si>
  <si>
    <t xml:space="preserve">Receipt (repayment) of tax advance relating to exercises of options and RSUs, net</t>
  </si>
  <si>
    <t xml:space="preserve">Receipt (repayment) of tax advance relating to exercises of share options and RSUs, net | 11,873 | 4,046 | ( 21,152 )</t>
  </si>
  <si>
    <t xml:space="preserve">AN-1501</t>
  </si>
  <si>
    <t xml:space="preserve">AN-1502</t>
  </si>
  <si>
    <t xml:space="preserve">AN-1503</t>
  </si>
  <si>
    <t xml:space="preserve">Receipt of tax advance relating to exercises of share options, net</t>
  </si>
  <si>
    <t xml:space="preserve">Receipt of tax advance relating to exercises of share options, net | 22,258 | - | -</t>
  </si>
  <si>
    <t xml:space="preserve">Item 5.B text says $22.5 million.</t>
  </si>
  <si>
    <t xml:space="preserve">AN-1504</t>
  </si>
  <si>
    <t xml:space="preserve">Repayment of revolving credit facility</t>
  </si>
  <si>
    <t xml:space="preserve">Receipt (repayment) of revolving credit facility, net of payments | ( 21,000 | ) | 8,000 | 8,500</t>
  </si>
  <si>
    <t xml:space="preserve">AN-1505</t>
  </si>
  <si>
    <t xml:space="preserve">Restricted cash (other long-term assets)</t>
  </si>
  <si>
    <t xml:space="preserve">Restricted cash – Included in other long-term assets | - | 2,000 | 379</t>
  </si>
  <si>
    <t xml:space="preserve">AN-1506</t>
  </si>
  <si>
    <t xml:space="preserve">Revolving Credit Facility capacity (Bank Leumi)</t>
  </si>
  <si>
    <t xml:space="preserve">The Company can borrow up to an aggregated principal amount of $80,000 against a certain Monthly Recurring Revenues ("MRR") formula until December 2022.</t>
  </si>
  <si>
    <t xml:space="preserve">Interest 1M LIBOR+2.6% up to $8,000 (rising to +2.85% Sept 1, 2022), +2.85% above $8,000; 0.2% unused fee; min liquidity covenant $30,000; repaid in full July 2021.</t>
  </si>
  <si>
    <t xml:space="preserve">AN-1507</t>
  </si>
  <si>
    <t xml:space="preserve">Revolving Credit Facility outstanding balance</t>
  </si>
  <si>
    <t xml:space="preserve">Revolving credit facility | - | 21,016</t>
  </si>
  <si>
    <t xml:space="preserve">AN-1508</t>
  </si>
  <si>
    <t xml:space="preserve">AN-1509</t>
  </si>
  <si>
    <t xml:space="preserve">2020-12-30</t>
  </si>
  <si>
    <t xml:space="preserve">Revolving credit facility - maximum borrowing</t>
  </si>
  <si>
    <t xml:space="preserve">The Company can borrow up to an aggregated principal amount of $ 80,000 against a certain Monthly Recurring Revenues (“MRR”) formula until December 2022.</t>
  </si>
  <si>
    <t xml:space="preserve">Note also states: 'As of December 31, 2022, the Revolving Credit Facility has expired.'</t>
  </si>
  <si>
    <t xml:space="preserve">AN-1510</t>
  </si>
  <si>
    <t xml:space="preserve">Revolving credit facility repayment</t>
  </si>
  <si>
    <t xml:space="preserve">Repayment of revolving credit facility | — | — | ( 21,000 | )</t>
  </si>
  <si>
    <t xml:space="preserve">No credit facility balance or terms disclosed for 2023; MD&amp;A states 'we have no long-term loans'.</t>
  </si>
  <si>
    <t xml:space="preserve">AN-1511</t>
  </si>
  <si>
    <t xml:space="preserve">Short term deposits</t>
  </si>
  <si>
    <t xml:space="preserve">Short term deposits | - | 10,000</t>
  </si>
  <si>
    <t xml:space="preserve">AN-1512</t>
  </si>
  <si>
    <t xml:space="preserve">AN-1513</t>
  </si>
  <si>
    <t xml:space="preserve">Short-term vendor deposits</t>
  </si>
  <si>
    <t xml:space="preserve">Short-term vendor deposits | 6,675 | 3,924</t>
  </si>
  <si>
    <t xml:space="preserve">AN-1514</t>
  </si>
  <si>
    <t xml:space="preserve">Total cash and cash equivalents</t>
  </si>
  <si>
    <t xml:space="preserve">Total cash and cash equivalents | 1,411,602 | 1,116,128</t>
  </si>
  <si>
    <t xml:space="preserve">AN-1515</t>
  </si>
  <si>
    <t xml:space="preserve">AN-1516</t>
  </si>
  <si>
    <t xml:space="preserve">Total cash and cash equivalents | 1,590,515 | 1,411,602</t>
  </si>
  <si>
    <t xml:space="preserve">AN-1517</t>
  </si>
  <si>
    <t xml:space="preserve">AN-1518</t>
  </si>
  <si>
    <t xml:space="preserve">Total cash and cash equivalents | 853,402 | 1,503,149</t>
  </si>
  <si>
    <t xml:space="preserve">AN-1519</t>
  </si>
  <si>
    <t xml:space="preserve">AN-1520</t>
  </si>
  <si>
    <t xml:space="preserve">Total cash and cash equivalents and marketable securities</t>
  </si>
  <si>
    <t xml:space="preserve">Total cash and cash equivalents and marketable securities | $ | 1,461,606 | $ | 1,116,128</t>
  </si>
  <si>
    <t xml:space="preserve">AN-1521</t>
  </si>
  <si>
    <t xml:space="preserve">AN-1522</t>
  </si>
  <si>
    <t xml:space="preserve">Total cash and cash equivalents and marketable securities | 1,650,617 | 1,461,606</t>
  </si>
  <si>
    <t xml:space="preserve">AN-1523</t>
  </si>
  <si>
    <t xml:space="preserve">AN-1524</t>
  </si>
  <si>
    <t xml:space="preserve">Total cash and cash equivalents and marketable securities | 1,072,755 | 1,665,457</t>
  </si>
  <si>
    <t xml:space="preserve">AN-1525</t>
  </si>
  <si>
    <t xml:space="preserve">AN-1526</t>
  </si>
  <si>
    <t xml:space="preserve">Total cash, cash equivalents and marketable securities</t>
  </si>
  <si>
    <t xml:space="preserve">|| Total cash and cash equivalents and marketable securities | $ | 1,665,457 | $ | 1,461,606</t>
  </si>
  <si>
    <t xml:space="preserve">AN-1527</t>
  </si>
  <si>
    <t xml:space="preserve">AN-1528</t>
  </si>
  <si>
    <t xml:space="preserve">U.S. Treasury bills (cash equivalents)</t>
  </si>
  <si>
    <t xml:space="preserve">U.S. Treasury bills | 9,895</t>
  </si>
  <si>
    <t xml:space="preserve">AN-1529</t>
  </si>
  <si>
    <t xml:space="preserve">Unutilized credit facilities available</t>
  </si>
  <si>
    <t xml:space="preserve">The Company had total unutilized credit facilities available for borrowing of $ 80,000 as of December 31, 2022 and 2021.</t>
  </si>
  <si>
    <t xml:space="preserve">Same note states the facility had expired as of December 31, 2022 - internal inconsistency as reported.</t>
  </si>
  <si>
    <t xml:space="preserve">AN-1530</t>
  </si>
  <si>
    <t xml:space="preserve">Unutilized credit facility available</t>
  </si>
  <si>
    <t xml:space="preserve">and $59,000 as of December 31, 2021 and 2020, respectively</t>
  </si>
  <si>
    <t xml:space="preserve">AN-1531</t>
  </si>
  <si>
    <t xml:space="preserve">The Company had total unutilized credit facilities available for borrowing of $80,000 and $59,000 as of December 31, 2021 and 2020, respectively.</t>
  </si>
  <si>
    <t xml:space="preserve">AN-1532</t>
  </si>
  <si>
    <t xml:space="preserve">revenue_geo</t>
  </si>
  <si>
    <t xml:space="preserve">|| Israel | $ | 89,123 | $ | 72,613 || United States | 59,618 | 17,896 || United Kingdom | 49,548 | 43,031 || Rest of the world | 4,748 | 2,739 || $ | 203,037 | $ | 136,279</t>
  </si>
  <si>
    <t xml:space="preserve">Item 18 / Consolidated Financial Statements - Notes to Consolidated Financial Statements - Note 16: Segment Reporting (long-lived assets and operating lease ROU assets by geography)</t>
  </si>
  <si>
    <t xml:space="preserve">AN-1533</t>
  </si>
  <si>
    <t xml:space="preserve">AN-1534</t>
  </si>
  <si>
    <t xml:space="preserve">AN-1535</t>
  </si>
  <si>
    <t xml:space="preserve">AN-1536</t>
  </si>
  <si>
    <t xml:space="preserve">AN-1537</t>
  </si>
  <si>
    <t xml:space="preserve">AN-1538</t>
  </si>
  <si>
    <t xml:space="preserve">AN-1539</t>
  </si>
  <si>
    <t xml:space="preserve">AN-1540</t>
  </si>
  <si>
    <t xml:space="preserve">AN-1541</t>
  </si>
  <si>
    <t xml:space="preserve">AN-1542</t>
  </si>
  <si>
    <t xml:space="preserve">Property and equipment, net - Israel</t>
  </si>
  <si>
    <t xml:space="preserve">Israel | $ | 18,583 | $ | 6,361</t>
  </si>
  <si>
    <t xml:space="preserve">Item 18 &gt; Note 15 Geographical Information (property and equipment, net by geography)</t>
  </si>
  <si>
    <t xml:space="preserve">AN-1543</t>
  </si>
  <si>
    <t xml:space="preserve">AN-1544</t>
  </si>
  <si>
    <t xml:space="preserve">Israel | $ | 30,260 | $ | 18,583</t>
  </si>
  <si>
    <t xml:space="preserve">Item 18 Financial Statements &gt; Notes to Consolidated Financial Statements &gt; Note 16 Geographical Information (property and equipment, net)</t>
  </si>
  <si>
    <t xml:space="preserve">AN-1545</t>
  </si>
  <si>
    <t xml:space="preserve">AN-1546</t>
  </si>
  <si>
    <t xml:space="preserve">Israel | $ | 31,987 | $ | 30,260</t>
  </si>
  <si>
    <t xml:space="preserve">Item 18 Financial Statements &gt; Notes to Consolidated Financial Statements &gt; Note 15: Geographical Information &gt; Property and equipment, net by geographical areas</t>
  </si>
  <si>
    <t xml:space="preserve">AN-1547</t>
  </si>
  <si>
    <t xml:space="preserve">AN-1548</t>
  </si>
  <si>
    <t xml:space="preserve">Property and equipment, net - Rest of the world</t>
  </si>
  <si>
    <t xml:space="preserve">Rest of the world | 268 | 61</t>
  </si>
  <si>
    <t xml:space="preserve">AN-1549</t>
  </si>
  <si>
    <t xml:space="preserve">AN-1550</t>
  </si>
  <si>
    <t xml:space="preserve">Rest of the world | 985 | 268</t>
  </si>
  <si>
    <t xml:space="preserve">AN-1551</t>
  </si>
  <si>
    <t xml:space="preserve">AN-1552</t>
  </si>
  <si>
    <t xml:space="preserve">Rest of the world | 1,423 | 985</t>
  </si>
  <si>
    <t xml:space="preserve">AN-1553</t>
  </si>
  <si>
    <t xml:space="preserve">AN-1554</t>
  </si>
  <si>
    <t xml:space="preserve">Property and equipment, net - United States</t>
  </si>
  <si>
    <t xml:space="preserve">United States | 748 | 756</t>
  </si>
  <si>
    <t xml:space="preserve">AN-1555</t>
  </si>
  <si>
    <t xml:space="preserve">AN-1556</t>
  </si>
  <si>
    <t xml:space="preserve">United States | 3,171 | 748</t>
  </si>
  <si>
    <t xml:space="preserve">AN-1557</t>
  </si>
  <si>
    <t xml:space="preserve">AN-1558</t>
  </si>
  <si>
    <t xml:space="preserve">United States | 4,008 | 3,171</t>
  </si>
  <si>
    <t xml:space="preserve">AN-1559</t>
  </si>
  <si>
    <t xml:space="preserve">AN-1560</t>
  </si>
  <si>
    <t xml:space="preserve">Revenue - EMEA</t>
  </si>
  <si>
    <t xml:space="preserve">EMEA | 97,292 | 49,747 | 24,809</t>
  </si>
  <si>
    <t xml:space="preserve">Item 18 &gt; Note 15 Geographical Information (revenues by location of end customers)</t>
  </si>
  <si>
    <t xml:space="preserve">AN-1561</t>
  </si>
  <si>
    <t xml:space="preserve">AN-1562</t>
  </si>
  <si>
    <t xml:space="preserve">EMEA | 162,479 | 97,292 | 49,747</t>
  </si>
  <si>
    <t xml:space="preserve">Item 18 Financial Statements &gt; Notes to Consolidated Financial Statements &gt; Note 16 Geographical Information (revenue by location of end customers)</t>
  </si>
  <si>
    <t xml:space="preserve">AN-1563</t>
  </si>
  <si>
    <t xml:space="preserve">AN-1564</t>
  </si>
  <si>
    <t xml:space="preserve">AN-1565</t>
  </si>
  <si>
    <t xml:space="preserve">EMEA | 157,134 | 111,854 | 67,121</t>
  </si>
  <si>
    <t xml:space="preserve">Item 18 Financial Statements &gt; Notes to Consolidated Financial Statements &gt; Note 15: Geographical Information</t>
  </si>
  <si>
    <t xml:space="preserve">Attributed by location of end customers. EMEA shown separately from United Kingdom.</t>
  </si>
  <si>
    <t xml:space="preserve">AN-1566</t>
  </si>
  <si>
    <t xml:space="preserve">AN-1567</t>
  </si>
  <si>
    <t xml:space="preserve">AN-1568</t>
  </si>
  <si>
    <t xml:space="preserve">EMEA | 209,851 | 157,134 | 111,854</t>
  </si>
  <si>
    <t xml:space="preserve">Item 18 (Part 5 - Consolidated Financial Statements) - Note 16: Segment Reporting - revenues by geographic area (location of end customers)</t>
  </si>
  <si>
    <t xml:space="preserve">EMEA shown separately from United Kingdom (EMEA presumably excludes UK; filing does not define).</t>
  </si>
  <si>
    <t xml:space="preserve">AN-1569</t>
  </si>
  <si>
    <t xml:space="preserve">AN-1570</t>
  </si>
  <si>
    <t xml:space="preserve">AN-1571</t>
  </si>
  <si>
    <t xml:space="preserve">|| United States | $ | 619,191 | $ | 484,523 | $ | 364,070 || EMEA | 264,459 | 209,851 | 157,134 || United Kingdom | 134,576 | 101,538 | 73,236 || Rest of the world | 213,771 | 176,083 | 135,255 || $ | 1,231,997 | $ | 971,995 | $ | 729,695</t>
  </si>
  <si>
    <t xml:space="preserve">Item 18 / Consolidated Financial Statements - Notes to Consolidated Financial Statements - Note 16: Segment Reporting (revenues by geographic area, based on location of end customers)</t>
  </si>
  <si>
    <t xml:space="preserve">EMEA presented as a separate line from United Kingdom (appears to exclude UK).</t>
  </si>
  <si>
    <t xml:space="preserve">AN-1572</t>
  </si>
  <si>
    <t xml:space="preserve">AN-1573</t>
  </si>
  <si>
    <t xml:space="preserve">AN-1574</t>
  </si>
  <si>
    <t xml:space="preserve">AN-1575</t>
  </si>
  <si>
    <t xml:space="preserve">EMEA | 98,445 | 72,640</t>
  </si>
  <si>
    <t xml:space="preserve">H1 2024 interim financial statements (Exhibit 99.2), Note 14 Geographical Information</t>
  </si>
  <si>
    <t xml:space="preserve">attributed by location of end customers</t>
  </si>
  <si>
    <t xml:space="preserve">AN-1576</t>
  </si>
  <si>
    <t xml:space="preserve">AN-1577</t>
  </si>
  <si>
    <t xml:space="preserve">EMEA | 124,902 | 98,445</t>
  </si>
  <si>
    <t xml:space="preserve">H1 2025 interim financial statements (Exhibit 99.2), Note 15 Segment Reporting - revenue by geographic area</t>
  </si>
  <si>
    <t xml:space="preserve">As originally reported 2025-08-11; H1 2025 values unchanged by the 2025-08-29 correction</t>
  </si>
  <si>
    <t xml:space="preserve">AN-1578</t>
  </si>
  <si>
    <t xml:space="preserve">Revenue - EMEA (corrected table)</t>
  </si>
  <si>
    <t xml:space="preserve">Correction 6-K (Aug 29, 2025), Explanatory Note - corrected Table for Note 15</t>
  </si>
  <si>
    <t xml:space="preserve">H1 2025 column unchanged</t>
  </si>
  <si>
    <t xml:space="preserve">AN-1579</t>
  </si>
  <si>
    <t xml:space="preserve">Revenue - EMEA (corrected)</t>
  </si>
  <si>
    <t xml:space="preserve">CORRECTED (6-K filed 2025-08-29). Unchanged.</t>
  </si>
  <si>
    <t xml:space="preserve">AN-1580</t>
  </si>
  <si>
    <t xml:space="preserve">Revenue - EMEA (excluding the United Kingdom)</t>
  </si>
  <si>
    <t xml:space="preserve">EMEA (*) | 152,620 | 124,902</t>
  </si>
  <si>
    <t xml:space="preserve">H1 2026 interim financial statements (Exhibit 99.2), Note 17 Segment Reporting - revenue by geographic area</t>
  </si>
  <si>
    <t xml:space="preserve">comparative as presented in H1 2026 FS</t>
  </si>
  <si>
    <t xml:space="preserve">AN-1581</t>
  </si>
  <si>
    <t xml:space="preserve">AN-1582</t>
  </si>
  <si>
    <t xml:space="preserve">Revenue - EMEA (original)</t>
  </si>
  <si>
    <t xml:space="preserve">ORIGINAL (as reported 2025-08-11; comparative H1 2024 column). Unchanged by the 2025-08-29 correction.</t>
  </si>
  <si>
    <t xml:space="preserve">AN-1583</t>
  </si>
  <si>
    <t xml:space="preserve">Revenue - Rest of the world</t>
  </si>
  <si>
    <t xml:space="preserve">Rest of the world | 62,567 | 33,443 | 16,841</t>
  </si>
  <si>
    <t xml:space="preserve">AN-1584</t>
  </si>
  <si>
    <t xml:space="preserve">AN-1585</t>
  </si>
  <si>
    <t xml:space="preserve">AN-1586</t>
  </si>
  <si>
    <t xml:space="preserve">Rest of the world | 135,255 | 101,055 | 62,567</t>
  </si>
  <si>
    <t xml:space="preserve">Attributed by location of end customers.</t>
  </si>
  <si>
    <t xml:space="preserve">AN-1587</t>
  </si>
  <si>
    <t xml:space="preserve">AN-1588</t>
  </si>
  <si>
    <t xml:space="preserve">Rest of the world | 176,083 | 135,255 | 101,055</t>
  </si>
  <si>
    <t xml:space="preserve">AN-1589</t>
  </si>
  <si>
    <t xml:space="preserve">AN-1590</t>
  </si>
  <si>
    <t xml:space="preserve">AN-1591</t>
  </si>
  <si>
    <t xml:space="preserve">AN-1592</t>
  </si>
  <si>
    <t xml:space="preserve">AN-1593</t>
  </si>
  <si>
    <t xml:space="preserve">AN-1594</t>
  </si>
  <si>
    <t xml:space="preserve">AN-1595</t>
  </si>
  <si>
    <t xml:space="preserve">Rest of the world | 65,634 | 49,992</t>
  </si>
  <si>
    <t xml:space="preserve">AN-1596</t>
  </si>
  <si>
    <t xml:space="preserve">AN-1597</t>
  </si>
  <si>
    <t xml:space="preserve">Rest of the world | 100,738 | 65,634</t>
  </si>
  <si>
    <t xml:space="preserve">AN-1598</t>
  </si>
  <si>
    <t xml:space="preserve">Rest of the world | 124,341 | 100,738</t>
  </si>
  <si>
    <t xml:space="preserve">AN-1599</t>
  </si>
  <si>
    <t xml:space="preserve">AN-1600</t>
  </si>
  <si>
    <t xml:space="preserve">Revenue - Rest of the world (corrected table)</t>
  </si>
  <si>
    <t xml:space="preserve">Rest of the world | 100,738 | 82,539</t>
  </si>
  <si>
    <t xml:space="preserve">AN-1601</t>
  </si>
  <si>
    <t xml:space="preserve">Revenue - Rest of the world (corrected)</t>
  </si>
  <si>
    <t xml:space="preserve">CORRECTED (6-K filed 2025-08-29). Changed from originally reported.</t>
  </si>
  <si>
    <t xml:space="preserve">AN-1602</t>
  </si>
  <si>
    <t xml:space="preserve">Revenue - Rest of the world (original)</t>
  </si>
  <si>
    <t xml:space="preserve">ORIGINAL (as reported 2025-08-11; comparative H1 2024 column). Superseded by correction 6-K filed 2025-08-29 (0001178913-25-003195).</t>
  </si>
  <si>
    <t xml:space="preserve">AN-1603</t>
  </si>
  <si>
    <t xml:space="preserve">Revenue - Rest of world</t>
  </si>
  <si>
    <t xml:space="preserve">Rest of world | 101,055 | 62,567 | 33,443</t>
  </si>
  <si>
    <t xml:space="preserve">AN-1604</t>
  </si>
  <si>
    <t xml:space="preserve">AN-1605</t>
  </si>
  <si>
    <t xml:space="preserve">AN-1606</t>
  </si>
  <si>
    <t xml:space="preserve">Revenue - Total</t>
  </si>
  <si>
    <t xml:space="preserve">$ | 519,029 | $ | 308,150 | $ | 161,123</t>
  </si>
  <si>
    <t xml:space="preserve">AN-1607</t>
  </si>
  <si>
    <t xml:space="preserve">AN-1608</t>
  </si>
  <si>
    <t xml:space="preserve">$ | 729,695 | $ | 519,029 | $ | 308,150</t>
  </si>
  <si>
    <t xml:space="preserve">AN-1609</t>
  </si>
  <si>
    <t xml:space="preserve">AN-1610</t>
  </si>
  <si>
    <t xml:space="preserve">AN-1611</t>
  </si>
  <si>
    <t xml:space="preserve">$ | 971,995 | $ | 729,695 | $ | 519,029</t>
  </si>
  <si>
    <t xml:space="preserve">AN-1612</t>
  </si>
  <si>
    <t xml:space="preserve">AN-1613</t>
  </si>
  <si>
    <t xml:space="preserve">AN-1614</t>
  </si>
  <si>
    <t xml:space="preserve">AN-1615</t>
  </si>
  <si>
    <t xml:space="preserve">Total | 453,019 | 337,935</t>
  </si>
  <si>
    <t xml:space="preserve">attributed by location of end customers [Manually re-checked against source text.]</t>
  </si>
  <si>
    <t xml:space="preserve">AN-1616</t>
  </si>
  <si>
    <t xml:space="preserve">AN-1617</t>
  </si>
  <si>
    <t xml:space="preserve">Total | 581,264 | 453,019</t>
  </si>
  <si>
    <t xml:space="preserve">As originally reported 2025-08-11; H1 2025 values unchanged by the 2025-08-29 correction [Manually re-checked against source text.]</t>
  </si>
  <si>
    <t xml:space="preserve">AN-1618</t>
  </si>
  <si>
    <t xml:space="preserve">Total | 715,886 | 581,264</t>
  </si>
  <si>
    <t xml:space="preserve">comparative as presented in H1 2026 FS [Manually re-checked against source text.]</t>
  </si>
  <si>
    <t xml:space="preserve">AN-1619</t>
  </si>
  <si>
    <t xml:space="preserve">AN-1620</t>
  </si>
  <si>
    <t xml:space="preserve">Revenue - Total (corrected table)</t>
  </si>
  <si>
    <t xml:space="preserve">H1 2025 column unchanged [Manually re-checked against source text.]</t>
  </si>
  <si>
    <t xml:space="preserve">AN-1621</t>
  </si>
  <si>
    <t xml:space="preserve">Revenue - Total (corrected)</t>
  </si>
  <si>
    <t xml:space="preserve">CORRECTED (6-K filed 2025-08-29). Unchanged. [Manually re-checked against source text.]</t>
  </si>
  <si>
    <t xml:space="preserve">AN-1622</t>
  </si>
  <si>
    <t xml:space="preserve">Revenue - Total (original)</t>
  </si>
  <si>
    <t xml:space="preserve">ORIGINAL (as reported 2025-08-11; comparative H1 2024 column). Unchanged by the 2025-08-29 correction. [Manually re-checked against source text.]</t>
  </si>
  <si>
    <t xml:space="preserve">AN-1623</t>
  </si>
  <si>
    <t xml:space="preserve">Revenue - United Kingdom</t>
  </si>
  <si>
    <t xml:space="preserve">United Kingdom | 73,236 | 50,625 | 30,171</t>
  </si>
  <si>
    <t xml:space="preserve">AN-1624</t>
  </si>
  <si>
    <t xml:space="preserve">AN-1625</t>
  </si>
  <si>
    <t xml:space="preserve">United Kingdom | 101,538 | 73,236 | 50,625</t>
  </si>
  <si>
    <t xml:space="preserve">AN-1626</t>
  </si>
  <si>
    <t xml:space="preserve">AN-1627</t>
  </si>
  <si>
    <t xml:space="preserve">AN-1628</t>
  </si>
  <si>
    <t xml:space="preserve">AN-1629</t>
  </si>
  <si>
    <t xml:space="preserve">AN-1630</t>
  </si>
  <si>
    <t xml:space="preserve">AN-1631</t>
  </si>
  <si>
    <t xml:space="preserve">AN-1632</t>
  </si>
  <si>
    <t xml:space="preserve">United Kingdom | 46,865 | 33,370</t>
  </si>
  <si>
    <t xml:space="preserve">AN-1633</t>
  </si>
  <si>
    <t xml:space="preserve">AN-1634</t>
  </si>
  <si>
    <t xml:space="preserve">United Kingdom | 62,300 | 46,865</t>
  </si>
  <si>
    <t xml:space="preserve">AN-1635</t>
  </si>
  <si>
    <t xml:space="preserve">United Kingdom | 82,053 | 62,300</t>
  </si>
  <si>
    <t xml:space="preserve">AN-1636</t>
  </si>
  <si>
    <t xml:space="preserve">AN-1637</t>
  </si>
  <si>
    <t xml:space="preserve">Revenue - United Kingdom (corrected table)</t>
  </si>
  <si>
    <t xml:space="preserve">AN-1638</t>
  </si>
  <si>
    <t xml:space="preserve">Revenue - United Kingdom (corrected)</t>
  </si>
  <si>
    <t xml:space="preserve">AN-1639</t>
  </si>
  <si>
    <t xml:space="preserve">Revenue - United Kingdom (original)</t>
  </si>
  <si>
    <t xml:space="preserve">AN-1640</t>
  </si>
  <si>
    <t xml:space="preserve">Revenue - United States</t>
  </si>
  <si>
    <t xml:space="preserve">United States | $ | 148,291 | $ | 77,933 | $ | 36,439</t>
  </si>
  <si>
    <t xml:space="preserve">AN-1641</t>
  </si>
  <si>
    <t xml:space="preserve">AN-1642</t>
  </si>
  <si>
    <t xml:space="preserve">United States | $ | 255,495 | $ | 148,291 | $ | 77,933</t>
  </si>
  <si>
    <t xml:space="preserve">AN-1643</t>
  </si>
  <si>
    <t xml:space="preserve">AN-1644</t>
  </si>
  <si>
    <t xml:space="preserve">AN-1645</t>
  </si>
  <si>
    <t xml:space="preserve">United States | $ | 364,070 | $ | 255,495 | $ | 148,291</t>
  </si>
  <si>
    <t xml:space="preserve">AN-1646</t>
  </si>
  <si>
    <t xml:space="preserve">AN-1647</t>
  </si>
  <si>
    <t xml:space="preserve">AN-1648</t>
  </si>
  <si>
    <t xml:space="preserve">United States | $ | 484,523 | $ | 364,070 | $ | 255,495</t>
  </si>
  <si>
    <t xml:space="preserve">AN-1649</t>
  </si>
  <si>
    <t xml:space="preserve">AN-1650</t>
  </si>
  <si>
    <t xml:space="preserve">AN-1651</t>
  </si>
  <si>
    <t xml:space="preserve">AN-1652</t>
  </si>
  <si>
    <t xml:space="preserve">AN-1653</t>
  </si>
  <si>
    <t xml:space="preserve">AN-1654</t>
  </si>
  <si>
    <t xml:space="preserve">AN-1655</t>
  </si>
  <si>
    <t xml:space="preserve">United States | 293,324 | 242,075</t>
  </si>
  <si>
    <t xml:space="preserve">AN-1656</t>
  </si>
  <si>
    <t xml:space="preserve">United States | 356,872 | 293,324</t>
  </si>
  <si>
    <t xml:space="preserve">AN-1657</t>
  </si>
  <si>
    <t xml:space="preserve">AN-1658</t>
  </si>
  <si>
    <t xml:space="preserve">Revenue - United States (corrected table)</t>
  </si>
  <si>
    <t xml:space="preserve">United States | 293,324 | 225,170</t>
  </si>
  <si>
    <t xml:space="preserve">AN-1659</t>
  </si>
  <si>
    <t xml:space="preserve">Revenue - United States (corrected)</t>
  </si>
  <si>
    <t xml:space="preserve">CORRECTED (6-K filed 2025-08-29). Changed from originally reported. [Manually re-checked against source text.]</t>
  </si>
  <si>
    <t xml:space="preserve">AN-1660</t>
  </si>
  <si>
    <t xml:space="preserve">Revenue - United States (original)</t>
  </si>
  <si>
    <t xml:space="preserve">ORIGINAL (as reported 2025-08-11; comparative H1 2024 column). Superseded by correction 6-K filed 2025-08-29 (0001178913-25-003195). [Manually re-checked against source text.]</t>
  </si>
  <si>
    <t xml:space="preserve">AN-1661</t>
  </si>
  <si>
    <t xml:space="preserve">Revenue - United States and North America</t>
  </si>
  <si>
    <t xml:space="preserve">United States and North America | 242,075 | 181,933</t>
  </si>
  <si>
    <t xml:space="preserve">AN-1662</t>
  </si>
  <si>
    <t xml:space="preserve">AN-1663</t>
  </si>
  <si>
    <t xml:space="preserve">Revenue from customers outside the United States (% of total)</t>
  </si>
  <si>
    <t xml:space="preserve">In the years ended December 31, 2025 and 2024, the revenue that we generated from customers outside of the United States accounted for approximately 50% of our total revenue.</t>
  </si>
  <si>
    <t xml:space="preserve">Item 3.D / Part 6 - Risk Factors - Risks related to our business and industry (international operations)</t>
  </si>
  <si>
    <t xml:space="preserve">Same ~50% for FY2024.</t>
  </si>
  <si>
    <t xml:space="preserve">AN-1664</t>
  </si>
  <si>
    <t xml:space="preserve">Revenue from customers outside the United States - share of total</t>
  </si>
  <si>
    <t xml:space="preserve">In the years ended December 31, 2022 and 2021, the revenue that we generated from customers outside of the United States accounted for approximately 51% and 52% of our total revenue, respectively.</t>
  </si>
  <si>
    <t xml:space="preserve">Part 6 - Risk Factors (Item 3.D) &gt; risks associated with international operations</t>
  </si>
  <si>
    <t xml:space="preserve">AN-1665</t>
  </si>
  <si>
    <t xml:space="preserve">AN-1666</t>
  </si>
  <si>
    <t xml:space="preserve">Revenue share from customers outside the United States</t>
  </si>
  <si>
    <t xml:space="preserve">the revenue that we generated from customers outside of the United States accounted for approximately 50% and 51% of our total revenue, respectively.</t>
  </si>
  <si>
    <t xml:space="preserve">Part 6 - Risk Factors (Item 3.D) &gt; Risks related to international operations</t>
  </si>
  <si>
    <t xml:space="preserve">AN-1667</t>
  </si>
  <si>
    <t xml:space="preserve">AN-1668</t>
  </si>
  <si>
    <t xml:space="preserve">fx_hedging</t>
  </si>
  <si>
    <t xml:space="preserve">AOCI - unrealized gain (loss) on derivatives</t>
  </si>
  <si>
    <t xml:space="preserve">accumulated other comprehensive income (loss) is comprised of unrealized gain (loss) on derivatives of $ 9,804 and $( 3,210 ), respectively.</t>
  </si>
  <si>
    <t xml:space="preserve">Item 18 Financial Statements &gt; Consolidated Statements of Shareholders' Equity, footnote (**)</t>
  </si>
  <si>
    <t xml:space="preserve">AN-1669</t>
  </si>
  <si>
    <t xml:space="preserve">Amount excluded from effectiveness testing recognized in income</t>
  </si>
  <si>
    <t xml:space="preserve">$ | ( 1,719 | ) | $ | ( 182 | )</t>
  </si>
  <si>
    <t xml:space="preserve">H1 2026 interim financial statements (Exhibit 99.2), Note 9</t>
  </si>
  <si>
    <t xml:space="preserve">AN-1670</t>
  </si>
  <si>
    <t xml:space="preserve">Average weighted USD-NIS exchange rate used for salary costs</t>
  </si>
  <si>
    <t xml:space="preserve">based on the exchange rate of 3.35, which represents the average weighted U.S. dollar - NIS exchange rate for the date of payments for each of the months during 2022</t>
  </si>
  <si>
    <t xml:space="preserve">NIS per USD</t>
  </si>
  <si>
    <t xml:space="preserve">Part 7 - Additional Information &gt; Compensation (Item 6.B)</t>
  </si>
  <si>
    <t xml:space="preserve">AN-1671</t>
  </si>
  <si>
    <t xml:space="preserve">Average weighted USD-NIS rate used for covered officer salary disclosure</t>
  </si>
  <si>
    <t xml:space="preserve">based on the exchange rate of 3.23, which represents the average weighted U.S. dollar - NIS exchange rate for the date of payments for each of the months during 2021</t>
  </si>
  <si>
    <t xml:space="preserve">Item 6.B Compensation &gt; Compensation of Directors and Executive Officers</t>
  </si>
  <si>
    <t xml:space="preserve">AN-1672</t>
  </si>
  <si>
    <t xml:space="preserve">Average weighted USD/NIS rate used for officer salary disclosure</t>
  </si>
  <si>
    <t xml:space="preserve">U.S. dollar amounts indicated for Salary Costs are based on the exchange rate of 3.71, which represents the average weighted U.S. dollar - NIS exchange rate for the date of payments for each of the months during 2023</t>
  </si>
  <si>
    <t xml:space="preserve">Part 7 - Additional Information (Item 6.B) &gt; Compensation</t>
  </si>
  <si>
    <t xml:space="preserve">AN-1673</t>
  </si>
  <si>
    <t xml:space="preserve">Exchange rate expense, net | 742 | - | -</t>
  </si>
  <si>
    <t xml:space="preserve">AN-1674</t>
  </si>
  <si>
    <t xml:space="preserve">|| Exchange rate expense, net | 3,068 | 4,796 | —</t>
  </si>
  <si>
    <t xml:space="preserve">FY2023: exchange rate income, net of 361.</t>
  </si>
  <si>
    <t xml:space="preserve">AN-1675</t>
  </si>
  <si>
    <t xml:space="preserve">AN-1676</t>
  </si>
  <si>
    <t xml:space="preserve">Exchange rate income (expense), net</t>
  </si>
  <si>
    <t xml:space="preserve">Exchange rate income, net | 4,687 | — | 492</t>
  </si>
  <si>
    <t xml:space="preserve">FY2021 shows exchange rate expense, net of 742.</t>
  </si>
  <si>
    <t xml:space="preserve">AN-1677</t>
  </si>
  <si>
    <t xml:space="preserve">Exchange rate income (expense), net (financial income)</t>
  </si>
  <si>
    <t xml:space="preserve">Exchange rate expense, net | 4,796 | – | – ; Exchange rate income, net | – | 361 | 4,687</t>
  </si>
  <si>
    <t xml:space="preserve">Sign: negative = expense.</t>
  </si>
  <si>
    <t xml:space="preserve">AN-1678</t>
  </si>
  <si>
    <t xml:space="preserve">AN-1679</t>
  </si>
  <si>
    <t xml:space="preserve">AN-1680</t>
  </si>
  <si>
    <t xml:space="preserve">FX sensitivity: 5% USD/NIS decrease impact on cost of revenue + opex (approx.)</t>
  </si>
  <si>
    <t xml:space="preserve">A decrease of 5% in the U.S. dollar to NIS exchange rate would have increased our cost of revenue and operating expenses by approximately 1% during each of the years ended December 31, 2021, 2020 and 2019.</t>
  </si>
  <si>
    <t xml:space="preserve">Item 11 Quantitative and Qualitative Disclosures About Market Risk &gt; Foreign Currency Risk</t>
  </si>
  <si>
    <t xml:space="preserve">AN-1681</t>
  </si>
  <si>
    <t xml:space="preserve">FX sensitivity: 5% decrease in USD/NIS rate impact on cost of revenue and opex</t>
  </si>
  <si>
    <t xml:space="preserve">A decrease of 5% in the U.S. dollar to NIS exchange rate would have increased our cost of revenue and operating expenses by approximately 1% during each of the six months ended June 30, 2024, and June 30, 2023.</t>
  </si>
  <si>
    <t xml:space="preserve">H1 2024 MD&amp;A (Exhibit 99.3), F. Quantitative and Qualitative Disclosures About Market Risk - Foreign Currency Risk</t>
  </si>
  <si>
    <t xml:space="preserve">AN-1682</t>
  </si>
  <si>
    <t xml:space="preserve">A decrease of 5% in the U.S. dollar to NIS exchange rate would have increased our cost of revenue and operating expenses by approximately 1% during each of the six months ended June 30, 2025, and June 30, 2024.</t>
  </si>
  <si>
    <t xml:space="preserve">H1 2025 MD&amp;A (Exhibit 99.3), F. Market Risk - Foreign Currency Risk</t>
  </si>
  <si>
    <t xml:space="preserve">AN-1683</t>
  </si>
  <si>
    <t xml:space="preserve">A decrease of 5% in the U.S. dollar to NIS exchange rate would have increased our cost of revenue and operating expenses by approximately 1% during each of the six months ended June 30, 2026 and June 30, 2025.</t>
  </si>
  <si>
    <t xml:space="preserve">H1 2026 MD&amp;A (Exhibit 99.3), F. Market Risk - Foreign Currency Risk</t>
  </si>
  <si>
    <t xml:space="preserve">AN-1684</t>
  </si>
  <si>
    <t xml:space="preserve">FX sensitivity: impact of 5% decrease in USD/NIS rate on cost of revenue and opex</t>
  </si>
  <si>
    <t xml:space="preserve">A decrease of 5% in the U.S. dollar to NIS exchange rate would have increased our cost of revenue and operating expenses by approximately 1% during each of the years ended December 31, 2022, 2021 and 2020.</t>
  </si>
  <si>
    <t xml:space="preserve">Part 4 - Operating and Financial Review and Prospects (Item 5) &gt; G. Quantitative and Qualitative Disclosures About Market Risk (Item 11) &gt; Foreign Currency Risk</t>
  </si>
  <si>
    <t xml:space="preserve">Same ~1% for FY2021 and FY2020.</t>
  </si>
  <si>
    <t xml:space="preserve">AN-1685</t>
  </si>
  <si>
    <t xml:space="preserve">A decrease of 5% in the U.S. dollar to NIS exchange rate would have increased our cost of revenue and operating expenses by approximately 1% during each of the years ended December 31, 2025, 2024 and 2023.</t>
  </si>
  <si>
    <t xml:space="preserve">Item 11 / Part 4 - G. Quantitative and Qualitative Disclosures About Market Risk - Foreign Currency Risk</t>
  </si>
  <si>
    <t xml:space="preserve">Same ~1% for FY2024 and FY2023.</t>
  </si>
  <si>
    <t xml:space="preserve">AN-1686</t>
  </si>
  <si>
    <t xml:space="preserve">FY (guidance)</t>
  </si>
  <si>
    <t xml:space="preserve">FY2026 outlook - estimated adverse FX impact on margins</t>
  </si>
  <si>
    <t xml:space="preserve">100-200 bps</t>
  </si>
  <si>
    <t xml:space="preserve">AN-1687</t>
  </si>
  <si>
    <t xml:space="preserve">Fair value of FX contracts designated as hedges (asset)</t>
  </si>
  <si>
    <t xml:space="preserve">Foreign exchange contracts | Prepaid expenses and other current assets | $ | 2,984 | $ | 9,806</t>
  </si>
  <si>
    <t xml:space="preserve">Item 18 (Part 5 - Consolidated Financial Statements) - Note 7: Derivatives and Hedging</t>
  </si>
  <si>
    <t xml:space="preserve">AN-1688</t>
  </si>
  <si>
    <t xml:space="preserve">AN-1689</t>
  </si>
  <si>
    <t xml:space="preserve">Fair value of FX derivative contracts (asset / (liability))</t>
  </si>
  <si>
    <t xml:space="preserve">Total | $ | 9,806 | $ | ( 3,208 | )</t>
  </si>
  <si>
    <t xml:space="preserve">Item 18 Financial Statements &gt; Notes to Consolidated Financial Statements &gt; Note 6: Derivatives and Hedging</t>
  </si>
  <si>
    <t xml:space="preserve">AN-1690</t>
  </si>
  <si>
    <t xml:space="preserve">AN-1691</t>
  </si>
  <si>
    <t xml:space="preserve">Fair value of FX derivatives (asset)</t>
  </si>
  <si>
    <t xml:space="preserve">|| Foreign exchange contracts | Prepaid expenses and other current assets | $ | 20,168 | $ | 2,984</t>
  </si>
  <si>
    <t xml:space="preserve">Item 18 / Consolidated Financial Statements - Notes to Consolidated Financial Statements - Note 7: Derivatives and Hedging</t>
  </si>
  <si>
    <t xml:space="preserve">AN-1692</t>
  </si>
  <si>
    <t xml:space="preserve">AN-1693</t>
  </si>
  <si>
    <t xml:space="preserve">Fair value of derivative instruments (asset)</t>
  </si>
  <si>
    <t xml:space="preserve">Foreign exchange contracts | Prepaid expenses and other current assets | $ | 2,657 | $ | 9,806</t>
  </si>
  <si>
    <t xml:space="preserve">H1 2024 interim financial statements (Exhibit 99.2), Note 7 Derivatives and Hedging</t>
  </si>
  <si>
    <t xml:space="preserve">AN-1694</t>
  </si>
  <si>
    <t xml:space="preserve">Foreign exchange contracts | Prepaid expenses and other current assets | $ | 22,825 | $ | 2,984</t>
  </si>
  <si>
    <t xml:space="preserve">H1 2025 interim financial statements (Exhibit 99.2), Note 8</t>
  </si>
  <si>
    <t xml:space="preserve">AN-1695</t>
  </si>
  <si>
    <t xml:space="preserve">Foreign exchange contracts | Prepaid expenses and other current assets | $ | 12,024 | $ | 20,168</t>
  </si>
  <si>
    <t xml:space="preserve">AN-1696</t>
  </si>
  <si>
    <t xml:space="preserve">Fair value of derivative instruments, net</t>
  </si>
  <si>
    <t xml:space="preserve">Total | $ | ( 3,208 | ) | $ | 656</t>
  </si>
  <si>
    <t xml:space="preserve">Item 18 Financial Statements &gt; Notes to Consolidated Financial Statements &gt; Note 6 Derivatives and Hedging (fair values)</t>
  </si>
  <si>
    <t xml:space="preserve">AN-1697</t>
  </si>
  <si>
    <t xml:space="preserve">AN-1698</t>
  </si>
  <si>
    <t xml:space="preserve">Fair value of derivatives (net asset)</t>
  </si>
  <si>
    <t xml:space="preserve">Total | $ | 656 | $ | -</t>
  </si>
  <si>
    <t xml:space="preserve">Item 18 &gt; Note 6 Derivatives and Hedging (fair values table)</t>
  </si>
  <si>
    <t xml:space="preserve">AN-1699</t>
  </si>
  <si>
    <t xml:space="preserve">Gain (loss) on derivatives not designated as hedges (financial income/expense)</t>
  </si>
  <si>
    <t xml:space="preserve">Foreign exchange contracts | — | — | — | — | ( 1,801 | ) | 49</t>
  </si>
  <si>
    <t xml:space="preserve">Item 18 Financial Statements &gt; Notes to Consolidated Financial Statements &gt; Note 6 Derivatives and Hedging (effect of derivative instruments)</t>
  </si>
  <si>
    <t xml:space="preserve">AN-1700</t>
  </si>
  <si>
    <t xml:space="preserve">AN-1701</t>
  </si>
  <si>
    <t xml:space="preserve">Gain (loss) recognized in OCI on cash flow hedges</t>
  </si>
  <si>
    <t xml:space="preserve">Foreign exchange contracts | $ | ( 11,386 | ) | $ | 953 | ...</t>
  </si>
  <si>
    <t xml:space="preserve">AN-1702</t>
  </si>
  <si>
    <t xml:space="preserve">Foreign exchange contracts | $ | ( 11,386 | ) | $ | 953 | $ | 7,582 | $ | ( 359 | ) | $ | — | $ | —</t>
  </si>
  <si>
    <t xml:space="preserve">AN-1703</t>
  </si>
  <si>
    <t xml:space="preserve">Foreign exchange contracts | $ | 4,273 | $ | ( 11,386 | ) | $ | 8,741 | $ | 7,582 | $ | — | $ | —</t>
  </si>
  <si>
    <t xml:space="preserve">Item 18 Financial Statements &gt; Notes to Consolidated Financial Statements &gt; Note 6: Derivatives and Hedging &gt; effect table</t>
  </si>
  <si>
    <t xml:space="preserve">AN-1704</t>
  </si>
  <si>
    <t xml:space="preserve">AN-1705</t>
  </si>
  <si>
    <t xml:space="preserve">|| contracts | $ | 31,218 | $ | ( 961 ) | $ | 16,453 | $ | 5,861 | $ | ( 252 ) | $ | —</t>
  </si>
  <si>
    <t xml:space="preserve">AN-1706</t>
  </si>
  <si>
    <t xml:space="preserve">AN-1707</t>
  </si>
  <si>
    <t xml:space="preserve">Gain (loss) recognized in OCI on effective portion of FX hedges</t>
  </si>
  <si>
    <t xml:space="preserve">Foreign exchange contracts | $ | ( 961 ) | $ | 4,273 | $ | ( 5,861 ) | $ | 8,741 | $ | – | $ | –</t>
  </si>
  <si>
    <t xml:space="preserve">AN-1708</t>
  </si>
  <si>
    <t xml:space="preserve">AN-1709</t>
  </si>
  <si>
    <t xml:space="preserve">Gain (loss) recognized in OCI on hedges</t>
  </si>
  <si>
    <t xml:space="preserve">Foreign exchange contracts | $ | 24,004 | $ | ( 5,480 | ) | $ | 4,163 | $ | 1,667 | $ | ( 182 | )</t>
  </si>
  <si>
    <t xml:space="preserve">AN-1710</t>
  </si>
  <si>
    <t xml:space="preserve">Gain recognized in OCI on cash flow hedges</t>
  </si>
  <si>
    <t xml:space="preserve">Foreign exchange contracts | $ | 953 | $ | - | $ | ( 359 | )</t>
  </si>
  <si>
    <t xml:space="preserve">Item 18 &gt; Note 6 Derivatives and Hedging</t>
  </si>
  <si>
    <t xml:space="preserve">Realized gain reclassified from AOCI to operating expenses: $359 thousand.</t>
  </si>
  <si>
    <t xml:space="preserve">AN-1711</t>
  </si>
  <si>
    <t xml:space="preserve">Increase in income related to currency exchange rate fluctuations</t>
  </si>
  <si>
    <t xml:space="preserve">as well as increase in income related to currency exchange rate fluctuations of $5.4 million</t>
  </si>
  <si>
    <t xml:space="preserve">Part 4 - Operating and Financial Review and Prospects (Item 5) &gt; A. Operating Results (Item 5.A) &gt; Financial Income (Expense), Net</t>
  </si>
  <si>
    <t xml:space="preserve">AN-1712</t>
  </si>
  <si>
    <t xml:space="preserve">Israeli annual inflation rate</t>
  </si>
  <si>
    <t xml:space="preserve">The Israeli annual rate of inflation amounted to 2.81% and (0.7)% for the years ended December 31, 2021 and 2020</t>
  </si>
  <si>
    <t xml:space="preserve">Item 3.D Risk Factors &gt; exchange rate fluctuations</t>
  </si>
  <si>
    <t xml:space="preserve">AN-1713</t>
  </si>
  <si>
    <t xml:space="preserve">The Israeli annual rate of inflation amounted to 5.3% and 2.8% for the years ended December 31, 2022 and 2021, respectively.</t>
  </si>
  <si>
    <t xml:space="preserve">Part 6 - Risk Factors (Item 3.D) &gt; We face exposure to foreign currency exchange rate fluctuations</t>
  </si>
  <si>
    <t xml:space="preserve">AN-1714</t>
  </si>
  <si>
    <t xml:space="preserve">AN-1715</t>
  </si>
  <si>
    <t xml:space="preserve">The Israeli annual rate of inflation amounted to 2.9% and 5.3% for the years ended December 31, 2023 and 2022, respectively.</t>
  </si>
  <si>
    <t xml:space="preserve">Part 6 - Risk Factors (Item 3.D) &gt; Exchange rate fluctuations</t>
  </si>
  <si>
    <t xml:space="preserve">AN-1716</t>
  </si>
  <si>
    <t xml:space="preserve">AN-1717</t>
  </si>
  <si>
    <t xml:space="preserve">...3.2% and 2.9% for the years ended December 31, 2024 and 2023, respectively.</t>
  </si>
  <si>
    <t xml:space="preserve">Item 3.D (Part 6 - Risk Factors) - We face exposure to foreign currency exchange rate fluctuations.</t>
  </si>
  <si>
    <t xml:space="preserve">AN-1718</t>
  </si>
  <si>
    <t xml:space="preserve">The Israeli annual rate of inflation amounted to 3.2% and 2.9% for the years ended December 31, 2024 and 2023, respectively.</t>
  </si>
  <si>
    <t xml:space="preserve">AN-1719</t>
  </si>
  <si>
    <t xml:space="preserve">The Israeli annual rate of inflation amounted to 2.68% and 3.2% for the years ended December 31, 2025 and 2024, respectively.</t>
  </si>
  <si>
    <t xml:space="preserve">Item 3.D / Part 6 - Risk Factors - Risks related to our business and industry (foreign currency exchange rates)</t>
  </si>
  <si>
    <t xml:space="preserve">FY2024: 3.2%.</t>
  </si>
  <si>
    <t xml:space="preserve">AN-1720</t>
  </si>
  <si>
    <t xml:space="preserve">Loss on derivatives not designated as hedges (financial expense)</t>
  </si>
  <si>
    <t xml:space="preserve">Foreign exchange contracts | — | — | — | — | — | ( 1,801 | )</t>
  </si>
  <si>
    <t xml:space="preserve">Nil in 2023.</t>
  </si>
  <si>
    <t xml:space="preserve">AN-1721</t>
  </si>
  <si>
    <t xml:space="preserve">NIS appreciation vs USD</t>
  </si>
  <si>
    <t xml:space="preserve">3.3% and 7.0% for the years ended December 31, 2021, and 2020</t>
  </si>
  <si>
    <t xml:space="preserve">AN-1722</t>
  </si>
  <si>
    <t xml:space="preserve">The appreciation of the NIS in relation to the U.S. dollar amounted to 3.3% and 7.0% for the years ended December 31, 2021, and 2020, respectively.</t>
  </si>
  <si>
    <t xml:space="preserve">AN-1723</t>
  </si>
  <si>
    <t xml:space="preserve">compared to an appreciation of 3.3% for the year ended December 31, 2021</t>
  </si>
  <si>
    <t xml:space="preserve">AN-1724</t>
  </si>
  <si>
    <t xml:space="preserve">The appreciation of the NIS in relation to the U.S. dollar amounted to 12.5% for the year ended December 31, 2025, compared to depreciation of 0.6 % for the year ended December 31, 2024.</t>
  </si>
  <si>
    <t xml:space="preserve">AN-1725</t>
  </si>
  <si>
    <t xml:space="preserve">NIS depreciation vs USD</t>
  </si>
  <si>
    <t xml:space="preserve">The depreciation of the NIS in relation to the U.S. dollar amounted to 13.2% for the year ended December 31, 2022, compared to an appreciation of 3.3% for the year ended December 31, 2021.</t>
  </si>
  <si>
    <t xml:space="preserve">AN-1726</t>
  </si>
  <si>
    <t xml:space="preserve">compared to depreciation of 13.2% for the year ended December 31, 2022.</t>
  </si>
  <si>
    <t xml:space="preserve">AN-1727</t>
  </si>
  <si>
    <t xml:space="preserve">The depreciation of the NIS in relation to the U.S. dollar amounted to 3.1% for the year ended December 31, 2023, compared to depreciation of 13.2% for the year ended December 31, 2022.</t>
  </si>
  <si>
    <t xml:space="preserve">AN-1728</t>
  </si>
  <si>
    <t xml:space="preserve">...compared to depreciation of 3.1% for the year ended December 31, 2023.</t>
  </si>
  <si>
    <t xml:space="preserve">AN-1729</t>
  </si>
  <si>
    <t xml:space="preserve">The depreciation of the NIS in relation to the U.S. dollar amounted to 0.6% for the year ended December 31, 2024, compared to depreciation of 3.1% for the year ended December 31, 2023.</t>
  </si>
  <si>
    <t xml:space="preserve">AN-1730</t>
  </si>
  <si>
    <t xml:space="preserve">Notional - AUD contracts not designated as hedges</t>
  </si>
  <si>
    <t xml:space="preserve">AUD | 581 | -</t>
  </si>
  <si>
    <t xml:space="preserve">Item 18 &gt; Note 6 Derivatives and Hedging (notional amounts table)</t>
  </si>
  <si>
    <t xml:space="preserve">AN-1731</t>
  </si>
  <si>
    <t xml:space="preserve">Notional - Euro contracts not designated as hedges</t>
  </si>
  <si>
    <t xml:space="preserve">Euro | 2,830 | -</t>
  </si>
  <si>
    <t xml:space="preserve">AN-1732</t>
  </si>
  <si>
    <t xml:space="preserve">Notional - FX contracts (total)</t>
  </si>
  <si>
    <t xml:space="preserve">Total | $ | 43,478 | $ | -</t>
  </si>
  <si>
    <t xml:space="preserve">During the years ended December 31, 2020 and 2019, we did not hedge our foreign currency exchange risk.</t>
  </si>
  <si>
    <t xml:space="preserve">AN-1733</t>
  </si>
  <si>
    <t xml:space="preserve">Notional - FX contracts designated as hedges (NIS)</t>
  </si>
  <si>
    <t xml:space="preserve">NIS | $ | 81,557 | $ | 36,013</t>
  </si>
  <si>
    <t xml:space="preserve">Item 18 Financial Statements &gt; Notes to Consolidated Financial Statements &gt; Note 6 Derivatives and Hedging (notional amounts)</t>
  </si>
  <si>
    <t xml:space="preserve">AN-1734</t>
  </si>
  <si>
    <t xml:space="preserve">AN-1735</t>
  </si>
  <si>
    <t xml:space="preserve">Notional - FX contracts not designated (AUD)</t>
  </si>
  <si>
    <t xml:space="preserve">AUD | — | 581</t>
  </si>
  <si>
    <t xml:space="preserve">Nil at 2022-12-31. [Manually re-checked against source text.]</t>
  </si>
  <si>
    <t xml:space="preserve">AN-1736</t>
  </si>
  <si>
    <t xml:space="preserve">Notional - FX contracts not designated (Euro)</t>
  </si>
  <si>
    <t xml:space="preserve">Euro | — | 2,830</t>
  </si>
  <si>
    <t xml:space="preserve">Nil at 2022-12-31.</t>
  </si>
  <si>
    <t xml:space="preserve">AN-1737</t>
  </si>
  <si>
    <t xml:space="preserve">Notional - FX contracts not designated (GBP)</t>
  </si>
  <si>
    <t xml:space="preserve">GBP | — | 4,054</t>
  </si>
  <si>
    <t xml:space="preserve">AN-1738</t>
  </si>
  <si>
    <t xml:space="preserve">Notional - GBP contracts not designated as hedges</t>
  </si>
  <si>
    <t xml:space="preserve">GBP | 4,054 | -</t>
  </si>
  <si>
    <t xml:space="preserve">AN-1739</t>
  </si>
  <si>
    <t xml:space="preserve">Notional - NIS contracts designated as cash flow hedges</t>
  </si>
  <si>
    <t xml:space="preserve">NIS | $ | 36,013 | $ | -</t>
  </si>
  <si>
    <t xml:space="preserve">Maturity in 2022 per Item 11.</t>
  </si>
  <si>
    <t xml:space="preserve">AN-1740</t>
  </si>
  <si>
    <t xml:space="preserve">Notional - total outstanding derivatives</t>
  </si>
  <si>
    <t xml:space="preserve">Total | $ | 81,557 | $ | 43,478</t>
  </si>
  <si>
    <t xml:space="preserve">AN-1741</t>
  </si>
  <si>
    <t xml:space="preserve">AN-1742</t>
  </si>
  <si>
    <t xml:space="preserve">Notional amount - NIS foreign exchange contracts designated as cash flow hedges</t>
  </si>
  <si>
    <t xml:space="preserve">NIS | $ | 209,487 | $ | 157,430</t>
  </si>
  <si>
    <t xml:space="preserve">Item 18 (Part 5 - Consolidated Financial Statements) - Note 7: Derivatives and Hedging - notional amounts of outstanding derivatives</t>
  </si>
  <si>
    <t xml:space="preserve">2024 contracts all mature in 2025 (Item 11 table). Item 11 text: 'the notional amount of our outstanding foreign exchange contracts was $209.5 million, all of which met the requirements of hedge accounting.'</t>
  </si>
  <si>
    <t xml:space="preserve">AN-1743</t>
  </si>
  <si>
    <t xml:space="preserve">AN-1744</t>
  </si>
  <si>
    <t xml:space="preserve">Notional amount of FX contracts designated as cash flow hedges (NIS)</t>
  </si>
  <si>
    <t xml:space="preserve">NIS | $ | 157,430 | $ | 81,557</t>
  </si>
  <si>
    <t xml:space="preserve">Item 18 Financial Statements &gt; Notes to Consolidated Financial Statements &gt; Note 6: Derivatives and Hedging &gt; notional amounts</t>
  </si>
  <si>
    <t xml:space="preserve">AN-1745</t>
  </si>
  <si>
    <t xml:space="preserve">MD&amp;A: 'notional amount of our outstanding foreign exchange contracts was $157.4 million, all of which met the requirements of hedge accounting'; maturity in 2024.</t>
  </si>
  <si>
    <t xml:space="preserve">AN-1746</t>
  </si>
  <si>
    <t xml:space="preserve">Notional amount of FX contracts designated as hedges (NIS)</t>
  </si>
  <si>
    <t xml:space="preserve">NIS | $ | 135,674 | $ | 157,430</t>
  </si>
  <si>
    <t xml:space="preserve">H1 2024 interim financial statements (Exhibit 99.2), Note 7 Derivatives and Hedging - notional amounts</t>
  </si>
  <si>
    <t xml:space="preserve">AN-1747</t>
  </si>
  <si>
    <t xml:space="preserve">MD&amp;A: maturity in 2024-2025; all met hedge accounting requirements</t>
  </si>
  <si>
    <t xml:space="preserve">AN-1748</t>
  </si>
  <si>
    <t xml:space="preserve">|| NIS | $ | 188,088 | $ | 209,487</t>
  </si>
  <si>
    <t xml:space="preserve">AN-1749</t>
  </si>
  <si>
    <t xml:space="preserve">NIS | $ | 274,259 | $ | 209,487</t>
  </si>
  <si>
    <t xml:space="preserve">H1 2025 interim financial statements (Exhibit 99.2), Note 8 Derivatives and Hedging - notional amounts</t>
  </si>
  <si>
    <t xml:space="preserve">AN-1750</t>
  </si>
  <si>
    <t xml:space="preserve">MD&amp;A: maturity in 2025-2026</t>
  </si>
  <si>
    <t xml:space="preserve">AN-1751</t>
  </si>
  <si>
    <t xml:space="preserve">Item 11: 'the notional amount of our outstanding foreign exchange contracts was $188.1 million, all of which met the requirements of hedge accounting'; maturity in 2026.</t>
  </si>
  <si>
    <t xml:space="preserve">AN-1752</t>
  </si>
  <si>
    <t xml:space="preserve">NIS | $ | 195,769 | $ | 188,088</t>
  </si>
  <si>
    <t xml:space="preserve">H1 2026 interim financial statements (Exhibit 99.2), Note 9 Derivatives and Hedging - notional amounts</t>
  </si>
  <si>
    <t xml:space="preserve">AN-1753</t>
  </si>
  <si>
    <t xml:space="preserve">MD&amp;A: maturity in 2026-2027</t>
  </si>
  <si>
    <t xml:space="preserve">AN-1754</t>
  </si>
  <si>
    <t xml:space="preserve">Notional amount of outstanding FX contracts</t>
  </si>
  <si>
    <t xml:space="preserve">As of June 30, 2024, the notional amount of our outstanding foreign exchange contracts was $135.7 million, all of which met the requirements of hedge accounting.</t>
  </si>
  <si>
    <t xml:space="preserve">H1 2024 MD&amp;A (Exhibit 99.3), F. Market Risk - Foreign Currency Risk</t>
  </si>
  <si>
    <t xml:space="preserve">Maturity in 2024-2025</t>
  </si>
  <si>
    <t xml:space="preserve">AN-1755</t>
  </si>
  <si>
    <t xml:space="preserve">As of June 30, 2025, the notional amount of our outstanding foreign exchange contracts was $274.3 million, all of which met the requirements of hedge accounting.</t>
  </si>
  <si>
    <t xml:space="preserve">Maturity in 2025-2026</t>
  </si>
  <si>
    <t xml:space="preserve">AN-1756</t>
  </si>
  <si>
    <t xml:space="preserve">As of June 30, 2026, the notional amount of our outstanding foreign exchange contracts was $195.8 million, all of which met the requirements of hedge accounting.</t>
  </si>
  <si>
    <t xml:space="preserve">H1 2026 MD&amp;A (Exhibit 99.3), F. Market Risk</t>
  </si>
  <si>
    <t xml:space="preserve">Maturity in 2026-2027</t>
  </si>
  <si>
    <t xml:space="preserve">AN-1757</t>
  </si>
  <si>
    <t xml:space="preserve">Notional amount of outstanding FX contracts (total)</t>
  </si>
  <si>
    <t xml:space="preserve">As of December 31, 2021, the notional amount of our outstanding foreign exchange contracts was $43.5 million, of which $36.0 million met the requirements of hedge accounting.</t>
  </si>
  <si>
    <t xml:space="preserve">Item 11 Quantitative and Qualitative Disclosures About Market Risk &gt; Foreign Currency Risk; Item 18 &gt; Note 6 Derivatives and Hedging (notional table: Total | $ | 43,478)</t>
  </si>
  <si>
    <t xml:space="preserve">AN-1758</t>
  </si>
  <si>
    <t xml:space="preserve">Notional of outstanding FX contracts (all hedge-accounted), maturing 2023</t>
  </si>
  <si>
    <t xml:space="preserve">As of December 31, 2022, the notional amount of our outstanding foreign exchange contracts was $81.6 million, all of which met the requirements of hedge accounting.</t>
  </si>
  <si>
    <t xml:space="preserve">AN-1759</t>
  </si>
  <si>
    <t xml:space="preserve">Realized gain (loss) on hedges reclassified from AOCI (operating expenses)</t>
  </si>
  <si>
    <t xml:space="preserve">$ | 1,667 | $ | ( 5,392 | )</t>
  </si>
  <si>
    <t xml:space="preserve">AN-1760</t>
  </si>
  <si>
    <t xml:space="preserve">Foreign exchange contracts | $ | 5,480 | $ | 4,293 | $ | 1,667 | $ | ( 5,392 | )</t>
  </si>
  <si>
    <t xml:space="preserve">classified in operating expenses; H1 2023: (5,392)</t>
  </si>
  <si>
    <t xml:space="preserve">AN-1761</t>
  </si>
  <si>
    <t xml:space="preserve">Realized gain (loss) reclassified from AOCI into operating expenses</t>
  </si>
  <si>
    <t xml:space="preserve">... $ | 7,582 | $ | ( 359 | ) ...</t>
  </si>
  <si>
    <t xml:space="preserve">AN-1762</t>
  </si>
  <si>
    <t xml:space="preserve">Foreign exchange contracts | $ | ( 11,386 | ) | $ | 953 | $ | 7,582 | $ | ( 359 | ) ...</t>
  </si>
  <si>
    <t xml:space="preserve">Classified in operating expenses.</t>
  </si>
  <si>
    <t xml:space="preserve">AN-1763</t>
  </si>
  <si>
    <t xml:space="preserve">Realized gains on hedges reclassified from AOCI (operating expenses)</t>
  </si>
  <si>
    <t xml:space="preserve">$ | 4,163 | $ | 1,667</t>
  </si>
  <si>
    <t xml:space="preserve">classified in operating expenses</t>
  </si>
  <si>
    <t xml:space="preserve">AN-1764</t>
  </si>
  <si>
    <t xml:space="preserve">Foreign exchange contracts | $ | 12,024 | $ | 24,004 | $ | 21,811 | $ | 4,163 | $ | ( 1,719 | ) | $ | ( 182 | )</t>
  </si>
  <si>
    <t xml:space="preserve">AN-1765</t>
  </si>
  <si>
    <t xml:space="preserve">Realized hedge gains reclassified from AOCI into operating expenses</t>
  </si>
  <si>
    <t xml:space="preserve">AN-1766</t>
  </si>
  <si>
    <t xml:space="preserve">AN-1767</t>
  </si>
  <si>
    <t xml:space="preserve">Realized hedge loss reclassified from AOCI into operating expenses</t>
  </si>
  <si>
    <t xml:space="preserve">AN-1768</t>
  </si>
  <si>
    <t xml:space="preserve">AN-1769</t>
  </si>
  <si>
    <t xml:space="preserve">Realized loss (gain) on hedges reclassified from AOCI (classified in operating expenses)</t>
  </si>
  <si>
    <t xml:space="preserve">Column header: 'Realized Loss (gains) on Derivative Reclassified from Accumulated Other Comprehensive Income'; per footnote classified in operating expenses. Comprehensive income statement shows 2022 reclassification of 7,582.</t>
  </si>
  <si>
    <t xml:space="preserve">AN-1770</t>
  </si>
  <si>
    <t xml:space="preserve">AN-1771</t>
  </si>
  <si>
    <t xml:space="preserve">Sensitivity: 5% decrease in USD/NIS rate -&gt; increase in cost of revenue and opex</t>
  </si>
  <si>
    <t xml:space="preserve">A decrease of 5% in the U.S. dollar to NIS exchange rate would have increased our cost of revenue and operating expenses by approximately 1% during each of the years ended December 31, 2023, 2022 and 2021.</t>
  </si>
  <si>
    <t xml:space="preserve">Part 4 (Item 5.G / Item 11) &gt; G. Quantitative and Qualitative Disclosures About Market Risk &gt; Foreign Currency Risk</t>
  </si>
  <si>
    <t xml:space="preserve">Same ~1% stated for FY2022 and FY2021.</t>
  </si>
  <si>
    <t xml:space="preserve">AN-1772</t>
  </si>
  <si>
    <t xml:space="preserve">Sensitivity: 5% decrease in USD/NIS rate impact on cost of revenue and opex</t>
  </si>
  <si>
    <t xml:space="preserve">A decrease of 5% in the U.S. dollar to NIS exchange rate would have increased our cost of revenue and operating expenses by approximately 1% during each of the years ended December 31, 2024, 2023 and 2022.</t>
  </si>
  <si>
    <t xml:space="preserve">Item 11 (Part 4 - G. Quantitative and Qualitative Disclosures About Market Risk) - Foreign Currency Risk</t>
  </si>
  <si>
    <t xml:space="preserve">Same ~1% for FY2023 and FY2022.</t>
  </si>
  <si>
    <t xml:space="preserve">AN-1773</t>
  </si>
  <si>
    <t xml:space="preserve">Share of expenses denominated in NIS</t>
  </si>
  <si>
    <t xml:space="preserve">In both the years ended December 31, 2022 and 2021, approximately 21% of our expenses, respectively, were denominated in NIS.</t>
  </si>
  <si>
    <t xml:space="preserve">AN-1774</t>
  </si>
  <si>
    <t xml:space="preserve">AN-1775</t>
  </si>
  <si>
    <t xml:space="preserve">In the years ended December 31, 2023 and 2022, approximately 22% and 21% of our expenses, respectively, were denominated in NIS.</t>
  </si>
  <si>
    <t xml:space="preserve">AN-1776</t>
  </si>
  <si>
    <t xml:space="preserve">AN-1777</t>
  </si>
  <si>
    <t xml:space="preserve">...approximately 21% and 22% of our expenses, respectively, were denominated in NIS.</t>
  </si>
  <si>
    <t xml:space="preserve">AN-1778</t>
  </si>
  <si>
    <t xml:space="preserve">In the years ended December 31, 2024 and 2023, approximately 21% and 22% of our expenses, respectively, were denominated in NIS.</t>
  </si>
  <si>
    <t xml:space="preserve">AN-1779</t>
  </si>
  <si>
    <t xml:space="preserve">In the years ended December 31, 2025 and 2024, approximately 25% and 21% of our expenses, respectively, were denominated in NIS.</t>
  </si>
  <si>
    <t xml:space="preserve">AN-1780</t>
  </si>
  <si>
    <t xml:space="preserve">AN-1781</t>
  </si>
  <si>
    <t xml:space="preserve">Share of expenses denominated in NIS (approx.)</t>
  </si>
  <si>
    <t xml:space="preserve">approximately 21% and 17% of our expenses, respectively, were denominated in NIS</t>
  </si>
  <si>
    <t xml:space="preserve">AN-1782</t>
  </si>
  <si>
    <t xml:space="preserve">In the years ended December 31, 2021, and 2020, approximately 21% and 17% of our expenses, respectively, were denominated in NIS.</t>
  </si>
  <si>
    <t xml:space="preserve">AN-1783</t>
  </si>
  <si>
    <t xml:space="preserve">Unrealized gains on derivatives in AOCI</t>
  </si>
  <si>
    <t xml:space="preserve">(*) As of December 31, 2024 and 2023, accumulated other comprehensive income (loss) is comprised of unrealized gains on derivatives of $ 2,982 and 9,804 , respectively</t>
  </si>
  <si>
    <t xml:space="preserve">Item 18 (Part 5 - Consolidated Financial Statements) - Consolidated Statements of Shareholders' Equity, footnote (*)</t>
  </si>
  <si>
    <t xml:space="preserve">AN-1784</t>
  </si>
  <si>
    <t xml:space="preserve">AN-1785</t>
  </si>
  <si>
    <t xml:space="preserve">accumulated other comprehensive income is comprised of unrealized gains on derivatives of $ 22,823 , $ 2,982 and $ 2,657</t>
  </si>
  <si>
    <t xml:space="preserve">H1 2025 interim financial statements (Exhibit 99.2), Statements of Shareholders' Equity footnote (*)</t>
  </si>
  <si>
    <t xml:space="preserve">AN-1786</t>
  </si>
  <si>
    <t xml:space="preserve">accumulated other comprehensive income is comprised of unrealized gains on derivatives of $ 7,963 , $ 17,747 and $ 22,823</t>
  </si>
  <si>
    <t xml:space="preserve">H1 2026 interim financial statements (Exhibit 99.2), Statements of Shareholders' Equity footnote (*)</t>
  </si>
  <si>
    <t xml:space="preserve">AN-1787</t>
  </si>
  <si>
    <t xml:space="preserve">Unrealized gains on derivatives in AOCI, net of tax</t>
  </si>
  <si>
    <t xml:space="preserve">accumulated other comprehensive income is comprised of unrealized gains on derivatives, net of tax of $17,747 and 2,982, respectively</t>
  </si>
  <si>
    <t xml:space="preserve">Item 18 / Consolidated Statements of Shareholders' Equity - footnote (*)</t>
  </si>
  <si>
    <t xml:space="preserve">Expected to be reclassified into operating expenses as hedged NIS expenses occur (contracts mature in 2026).</t>
  </si>
  <si>
    <t xml:space="preserve">AN-1788</t>
  </si>
  <si>
    <t xml:space="preserve">tax</t>
  </si>
  <si>
    <t xml:space="preserve">Cash paid for taxes | $ | 3,298 | $ | 2,487 | $ | 250</t>
  </si>
  <si>
    <t xml:space="preserve">AN-1789</t>
  </si>
  <si>
    <t xml:space="preserve">AN-1790</t>
  </si>
  <si>
    <t xml:space="preserve">Cash paid for taxes | $ | 5,909 | $ | 3,298 | $ | 2,487</t>
  </si>
  <si>
    <t xml:space="preserve">Item 18 Financial Statements &gt; Consolidated Statements of Cash Flows (U.S. dollars in thousands) &gt; Supplemental disclosure</t>
  </si>
  <si>
    <t xml:space="preserve">AN-1791</t>
  </si>
  <si>
    <t xml:space="preserve">AN-1792</t>
  </si>
  <si>
    <t xml:space="preserve">AN-1793</t>
  </si>
  <si>
    <t xml:space="preserve">Cash paid for taxes | $ | 7,560 | $ | 5,909 | $ | 3,298</t>
  </si>
  <si>
    <t xml:space="preserve">AN-1794</t>
  </si>
  <si>
    <t xml:space="preserve">AN-1795</t>
  </si>
  <si>
    <t xml:space="preserve">AN-1796</t>
  </si>
  <si>
    <t xml:space="preserve">AN-1797</t>
  </si>
  <si>
    <t xml:space="preserve">Change in valuation allowance (rate reconciliation)</t>
  </si>
  <si>
    <t xml:space="preserve">Change in valuation allowance | 8,489 | ( 7 | )% | 14,968 | ( 12 | )% | 14,622 | ( 10 | )%</t>
  </si>
  <si>
    <t xml:space="preserve">Item 18 Financial Statements &gt; Notes to Consolidated Financial Statements &gt; Note 14 Income Taxes &gt; C. Tax rate reconciliation</t>
  </si>
  <si>
    <t xml:space="preserve">AN-1798</t>
  </si>
  <si>
    <t xml:space="preserve">Change in valuation allowance | 15,039 | ( 12 | )% | 14,622</t>
  </si>
  <si>
    <t xml:space="preserve">Item 18 &gt; Note 13 Income Taxes c. Tax rate reconciliation</t>
  </si>
  <si>
    <t xml:space="preserve">AN-1799</t>
  </si>
  <si>
    <t xml:space="preserve">AN-1800</t>
  </si>
  <si>
    <t xml:space="preserve">Change in valuation allowance | ( 5,294 | ) | ( 159 | %) | 8,489 | ( 7 | %) | 14,968 | ( 12 | %)</t>
  </si>
  <si>
    <t xml:space="preserve">Item 18 Financial Statements &gt; Notes to Consolidated Financial Statements &gt; Note 13: Income Taxes &gt; C. Tax rate reconciliation</t>
  </si>
  <si>
    <t xml:space="preserve">AN-1801</t>
  </si>
  <si>
    <t xml:space="preserve">AN-1802</t>
  </si>
  <si>
    <t xml:space="preserve">AN-1803</t>
  </si>
  <si>
    <t xml:space="preserve">AN-1804</t>
  </si>
  <si>
    <t xml:space="preserve">Change in valuation allowances (Other foreign jurisdictions/Israel line in rate reconciliation)</t>
  </si>
  <si>
    <t xml:space="preserve">|| Changes in valuation allowances | ( 53,919 ) | ( 90.9 %)</t>
  </si>
  <si>
    <t xml:space="preserve">Item 18 / Consolidated Financial Statements - Notes to Consolidated Financial Statements - Note 14: Income Taxes - D. Tax rate reconciliation (ASU 2023-09)</t>
  </si>
  <si>
    <t xml:space="preserve">Line follows 'Other foreign jurisdictions' row; attribution ambiguous in text layout.</t>
  </si>
  <si>
    <t xml:space="preserve">AN-1805</t>
  </si>
  <si>
    <t xml:space="preserve">Deferred tax asset - net operating loss carryforwards</t>
  </si>
  <si>
    <t xml:space="preserve">Net operating loss carry forwards | $ | 39,942 | $ | 35,093</t>
  </si>
  <si>
    <t xml:space="preserve">Item 18 Financial Statements &gt; Notes to Consolidated Financial Statements &gt; Note 14 Income Taxes &gt; D. Deferred taxes</t>
  </si>
  <si>
    <t xml:space="preserve">AN-1806</t>
  </si>
  <si>
    <t xml:space="preserve">Net operating loss carry forwards | $ | 25,779 | $ | 37,250</t>
  </si>
  <si>
    <t xml:space="preserve">Item 18 (Part 5 - Consolidated Financial Statements) - Note 14: Income Taxes - G. Deferred taxes</t>
  </si>
  <si>
    <t xml:space="preserve">AN-1807</t>
  </si>
  <si>
    <t xml:space="preserve">AN-1808</t>
  </si>
  <si>
    <t xml:space="preserve">Deferred tax assets, net</t>
  </si>
  <si>
    <t xml:space="preserve">Deferred tax assets, net | 54,273 | 58,682</t>
  </si>
  <si>
    <t xml:space="preserve">AN-1809</t>
  </si>
  <si>
    <t xml:space="preserve">Dec 31 2025: 58,682</t>
  </si>
  <si>
    <t xml:space="preserve">AN-1810</t>
  </si>
  <si>
    <t xml:space="preserve">Deferred tax benefit from valuation allowance reversal</t>
  </si>
  <si>
    <t xml:space="preserve">During 2025, the Company reversed the valuation allowance and recognized a deferred tax benefit of $61,150</t>
  </si>
  <si>
    <t xml:space="preserve">Item 18 / Consolidated Financial Statements - Notes to Consolidated Financial Statements - Note 2: Significant Accounting Policies - T. Income Taxes</t>
  </si>
  <si>
    <t xml:space="preserve">Reversed in Q4 2025; MD&amp;A says $61.1 million. Non-cash.</t>
  </si>
  <si>
    <t xml:space="preserve">AN-1811</t>
  </si>
  <si>
    <t xml:space="preserve">Deferred taxes (cash flow adjustment)</t>
  </si>
  <si>
    <t xml:space="preserve">Deferred taxes | 3,848 | -</t>
  </si>
  <si>
    <t xml:space="preserve">AN-1812</t>
  </si>
  <si>
    <t xml:space="preserve">Effective tax rate</t>
  </si>
  <si>
    <t xml:space="preserve">$ | 2,192 | ( 1 | )%</t>
  </si>
  <si>
    <t xml:space="preserve">AN-1813</t>
  </si>
  <si>
    <t xml:space="preserve">Effective tax | $ | 7,406 | ( 2 | )% | $ | 2,331 | ( 2 | )% | $ | 2,192 | ( 1 | )%</t>
  </si>
  <si>
    <t xml:space="preserve">AN-1814</t>
  </si>
  <si>
    <t xml:space="preserve">Effective tax | $ | 2,331 | ( 2 | )%</t>
  </si>
  <si>
    <t xml:space="preserve">AN-1815</t>
  </si>
  <si>
    <t xml:space="preserve">AN-1816</t>
  </si>
  <si>
    <t xml:space="preserve">Effective tax | $ | 5,203 | 156 | % | $ | 7,406 | ( 6 | %) | $ | 2,331 | ( 2 | %)</t>
  </si>
  <si>
    <t xml:space="preserve">2023 rate on small pre-tax income of 3,326.</t>
  </si>
  <si>
    <t xml:space="preserve">AN-1817</t>
  </si>
  <si>
    <t xml:space="preserve">AN-1818</t>
  </si>
  <si>
    <t xml:space="preserve">AN-1819</t>
  </si>
  <si>
    <t xml:space="preserve">Effective tax | $ | 2,094 | 6 % | $ | 5,203 | 156 % | $ | 7,406 | ( 6 %)</t>
  </si>
  <si>
    <t xml:space="preserve">Item 18 (Part 5 - Consolidated Financial Statements) - Note 14: Income Taxes - H. Tax rate reconciliation</t>
  </si>
  <si>
    <t xml:space="preserve">AN-1820</t>
  </si>
  <si>
    <t xml:space="preserve">AN-1821</t>
  </si>
  <si>
    <t xml:space="preserve">AN-1822</t>
  </si>
  <si>
    <t xml:space="preserve">|| Effective tax | $ | 2,094 | 6 % | $ | 5,203 | 156 %</t>
  </si>
  <si>
    <t xml:space="preserve">Item 18 / Consolidated Financial Statements - Notes to Consolidated Financial Statements - Note 14: Income Taxes - D. Tax rate reconciliation</t>
  </si>
  <si>
    <t xml:space="preserve">AN-1823</t>
  </si>
  <si>
    <t xml:space="preserve">AN-1824</t>
  </si>
  <si>
    <t xml:space="preserve">AN-1825</t>
  </si>
  <si>
    <t xml:space="preserve">|| Effective tax rate | $ | ( 59,425 ) | ( 100.2 %)</t>
  </si>
  <si>
    <t xml:space="preserve">AN-1826</t>
  </si>
  <si>
    <t xml:space="preserve">FY2025 one-time non-cash tax benefit from reversal of valuation allowance</t>
  </si>
  <si>
    <t xml:space="preserve">GAAP net income of $118.7 million including a one time non cash tax benefit from reversal of valuation allowance in the amount of $61.1 million</t>
  </si>
  <si>
    <t xml:space="preserve">AN-1827</t>
  </si>
  <si>
    <t xml:space="preserve">Full valuation allowance on deferred tax assets</t>
  </si>
  <si>
    <t xml:space="preserve">We maintain a full valuation allowance on deferred tax assets because we have concluded that it is not more likely than not that the deferred tax assets will be realized.</t>
  </si>
  <si>
    <t xml:space="preserve">H1 2024 MD&amp;A (Exhibit 99.3), A. Operating Results - Income Tax Expenses</t>
  </si>
  <si>
    <t xml:space="preserve">AN-1828</t>
  </si>
  <si>
    <t xml:space="preserve">H1 2025 MD&amp;A (Exhibit 99.3), Income Tax Expenses</t>
  </si>
  <si>
    <t xml:space="preserve">AN-1829</t>
  </si>
  <si>
    <t xml:space="preserve">Gross NOL carryforwards - Israel</t>
  </si>
  <si>
    <t xml:space="preserve">the Company has gross operating loss carryforwards in Israel of $97,411, which may be carried forward indefinitely</t>
  </si>
  <si>
    <t xml:space="preserve">Item 18 / Consolidated Financial Statements - Notes to Consolidated Financial Statements - Note 14: Income Taxes</t>
  </si>
  <si>
    <t xml:space="preserve">MD&amp;A: company 'expects to fully utilize the remaining balance during 2026'.</t>
  </si>
  <si>
    <t xml:space="preserve">AN-1830</t>
  </si>
  <si>
    <t xml:space="preserve">Gross deferred tax assets</t>
  </si>
  <si>
    <t xml:space="preserve">Gross deferred tax assets | 56,688 | 47,675</t>
  </si>
  <si>
    <t xml:space="preserve">AN-1831</t>
  </si>
  <si>
    <t xml:space="preserve">Gross deferred tax assets | 51,002 | 56,688</t>
  </si>
  <si>
    <t xml:space="preserve">Item 18 Financial Statements &gt; Notes to Consolidated Financial Statements &gt; Note 13: Income Taxes &gt; D. Deferred taxes</t>
  </si>
  <si>
    <t xml:space="preserve">AN-1832</t>
  </si>
  <si>
    <t xml:space="preserve">Gross deferred tax assets | 82,706 | 71,777</t>
  </si>
  <si>
    <t xml:space="preserve">AN-1833</t>
  </si>
  <si>
    <t xml:space="preserve">AN-1834</t>
  </si>
  <si>
    <t xml:space="preserve">Gross federal NOL carryforwards - USA</t>
  </si>
  <si>
    <t xml:space="preserve">gross federal operating loss carryforwards of $10,487 in the USA, which may be carried forward indefinitely, but can only be used to offset 80% of the taxable income each year.</t>
  </si>
  <si>
    <t xml:space="preserve">AN-1835</t>
  </si>
  <si>
    <t xml:space="preserve">Income (loss) before income taxes - Domestic (Israel)</t>
  </si>
  <si>
    <t xml:space="preserve">Domestic (Israel) | $ | ( 10,368 | ) | $ | ( 142,527 | ) | $ | ( 132,203 | )</t>
  </si>
  <si>
    <t xml:space="preserve">Item 18 Financial Statements &gt; Notes to Consolidated Financial Statements &gt; Note 13: Income Taxes &gt; A. Income (loss) before income taxes</t>
  </si>
  <si>
    <t xml:space="preserve">AN-1836</t>
  </si>
  <si>
    <t xml:space="preserve">AN-1837</t>
  </si>
  <si>
    <t xml:space="preserve">AN-1838</t>
  </si>
  <si>
    <t xml:space="preserve">Income (loss) before income taxes - domestic (Israel)</t>
  </si>
  <si>
    <t xml:space="preserve">Domestic (Israel) | $ | 15,004 | $ | ( 10,368 ) | $ | ( 142,527 )</t>
  </si>
  <si>
    <t xml:space="preserve">Item 18 (Part 5 - Consolidated Financial Statements) - Note 14: Income Taxes - E. Income (loss) before income taxes</t>
  </si>
  <si>
    <t xml:space="preserve">AN-1839</t>
  </si>
  <si>
    <t xml:space="preserve">AN-1840</t>
  </si>
  <si>
    <t xml:space="preserve">AN-1841</t>
  </si>
  <si>
    <t xml:space="preserve">Income (loss) before income taxes - foreign</t>
  </si>
  <si>
    <t xml:space="preserve">Foreign | 19,462 | 13,694 | 13,066</t>
  </si>
  <si>
    <t xml:space="preserve">AN-1842</t>
  </si>
  <si>
    <t xml:space="preserve">AN-1843</t>
  </si>
  <si>
    <t xml:space="preserve">AN-1844</t>
  </si>
  <si>
    <t xml:space="preserve">Income before income taxes - Domestic (Israel)</t>
  </si>
  <si>
    <t xml:space="preserve">|| Domestic (Israel) | $ | 26,476 | $ | 15,004 | $ | ( 10,368 )</t>
  </si>
  <si>
    <t xml:space="preserve">Item 18 / Consolidated Financial Statements - Notes to Consolidated Financial Statements - Note 14: Income Taxes - A. Income before income taxes</t>
  </si>
  <si>
    <t xml:space="preserve">AN-1845</t>
  </si>
  <si>
    <t xml:space="preserve">AN-1846</t>
  </si>
  <si>
    <t xml:space="preserve">AN-1847</t>
  </si>
  <si>
    <t xml:space="preserve">Income before income taxes - Foreign</t>
  </si>
  <si>
    <t xml:space="preserve">Foreign | 5,240 | 2,324 | 860</t>
  </si>
  <si>
    <t xml:space="preserve">Item 18 &gt; Note 13 Income Taxes a. Loss before income taxes</t>
  </si>
  <si>
    <t xml:space="preserve">AN-1848</t>
  </si>
  <si>
    <t xml:space="preserve">AN-1849</t>
  </si>
  <si>
    <t xml:space="preserve">AN-1850</t>
  </si>
  <si>
    <t xml:space="preserve">Foreign | 13,694 | 13,066 | 5,240</t>
  </si>
  <si>
    <t xml:space="preserve">AN-1851</t>
  </si>
  <si>
    <t xml:space="preserve">AN-1852</t>
  </si>
  <si>
    <t xml:space="preserve">AN-1853</t>
  </si>
  <si>
    <t xml:space="preserve">|| Foreign | 32,841 | 19,462 | 13,694</t>
  </si>
  <si>
    <t xml:space="preserve">AN-1854</t>
  </si>
  <si>
    <t xml:space="preserve">AN-1855</t>
  </si>
  <si>
    <t xml:space="preserve">AN-1856</t>
  </si>
  <si>
    <t xml:space="preserve">Income before income taxes - foreign</t>
  </si>
  <si>
    <t xml:space="preserve">Foreign | 13,066 | 5,240 | 2,324</t>
  </si>
  <si>
    <t xml:space="preserve">Item 18 Financial Statements &gt; Notes to Consolidated Financial Statements &gt; Note 14 Income Taxes &gt; A. Loss before income taxes</t>
  </si>
  <si>
    <t xml:space="preserve">AN-1857</t>
  </si>
  <si>
    <t xml:space="preserve">AN-1858</t>
  </si>
  <si>
    <t xml:space="preserve">AN-1859</t>
  </si>
  <si>
    <t xml:space="preserve">Income tax benefit (expense)</t>
  </si>
  <si>
    <t xml:space="preserve">|| Income tax benefit (expense) | 59,425 | ( 2,094 ) | ( 5,203 )</t>
  </si>
  <si>
    <t xml:space="preserve">Item 18 / Consolidated Statements of Operations</t>
  </si>
  <si>
    <t xml:space="preserve">AN-1860</t>
  </si>
  <si>
    <t xml:space="preserve">AN-1861</t>
  </si>
  <si>
    <t xml:space="preserve">AN-1862</t>
  </si>
  <si>
    <t xml:space="preserve">Income tax expense</t>
  </si>
  <si>
    <t xml:space="preserve">Total | $ | 2,331 | $ | 2,192 | $ | 683</t>
  </si>
  <si>
    <t xml:space="preserve">Item 18 &gt; Note 13 Income Taxes b. Income taxes</t>
  </si>
  <si>
    <t xml:space="preserve">AN-1863</t>
  </si>
  <si>
    <t xml:space="preserve">AN-1864</t>
  </si>
  <si>
    <t xml:space="preserve">Total | $ | 7,406 | $ | 2,331 | $ | 2,192</t>
  </si>
  <si>
    <t xml:space="preserve">Item 18 Financial Statements &gt; Notes to Consolidated Financial Statements &gt; Note 14 Income Taxes &gt; B. Income taxes</t>
  </si>
  <si>
    <t xml:space="preserve">AN-1865</t>
  </si>
  <si>
    <t xml:space="preserve">AN-1866</t>
  </si>
  <si>
    <t xml:space="preserve">AN-1867</t>
  </si>
  <si>
    <t xml:space="preserve">AN-1868</t>
  </si>
  <si>
    <t xml:space="preserve">AN-1869</t>
  </si>
  <si>
    <t xml:space="preserve">AN-1870</t>
  </si>
  <si>
    <t xml:space="preserve">Taxes on income | ( 2,094 ) | ( 5,203 ) | ( 7,406 )</t>
  </si>
  <si>
    <t xml:space="preserve">Item 18 (Part 5 - Consolidated Financial Statements) - Consolidated Statements of Operations</t>
  </si>
  <si>
    <t xml:space="preserve">AN-1871</t>
  </si>
  <si>
    <t xml:space="preserve">AN-1872</t>
  </si>
  <si>
    <t xml:space="preserve">AN-1873</t>
  </si>
  <si>
    <t xml:space="preserve">AN-1874</t>
  </si>
  <si>
    <t xml:space="preserve">Income tax expense | ( 3,068 | ) | ( 4,278 | )</t>
  </si>
  <si>
    <t xml:space="preserve">AN-1875</t>
  </si>
  <si>
    <t xml:space="preserve">AN-1876</t>
  </si>
  <si>
    <t xml:space="preserve">Income tax expense | ( 996 | ) | ( 3,068 | )</t>
  </si>
  <si>
    <t xml:space="preserve">AN-1877</t>
  </si>
  <si>
    <t xml:space="preserve">Income tax expense | ( 4,052 | ) | ( 996 | )</t>
  </si>
  <si>
    <t xml:space="preserve">MD&amp;A table shows 4,053</t>
  </si>
  <si>
    <t xml:space="preserve">AN-1878</t>
  </si>
  <si>
    <t xml:space="preserve">Income tax expense - domestic (Israel)</t>
  </si>
  <si>
    <t xml:space="preserve">Domestic (Israel) | $ | 649 | $ | 180 | $ | 243</t>
  </si>
  <si>
    <t xml:space="preserve">AN-1879</t>
  </si>
  <si>
    <t xml:space="preserve">AN-1880</t>
  </si>
  <si>
    <t xml:space="preserve">AN-1881</t>
  </si>
  <si>
    <t xml:space="preserve">Domestic (Israel) | $ | 603 | $ | 557 | $ | 649</t>
  </si>
  <si>
    <t xml:space="preserve">Item 18 (Part 5 - Consolidated Financial Statements) - Note 14: Income Taxes</t>
  </si>
  <si>
    <t xml:space="preserve">AN-1882</t>
  </si>
  <si>
    <t xml:space="preserve">AN-1883</t>
  </si>
  <si>
    <t xml:space="preserve">AN-1884</t>
  </si>
  <si>
    <t xml:space="preserve">Income tax expense - foreign</t>
  </si>
  <si>
    <t xml:space="preserve">Foreign | 6,757 | 2,151 | 1,949</t>
  </si>
  <si>
    <t xml:space="preserve">AN-1885</t>
  </si>
  <si>
    <t xml:space="preserve">AN-1886</t>
  </si>
  <si>
    <t xml:space="preserve">AN-1887</t>
  </si>
  <si>
    <t xml:space="preserve">Foreign | 1,491 | 4,646 | 6,757</t>
  </si>
  <si>
    <t xml:space="preserve">AN-1888</t>
  </si>
  <si>
    <t xml:space="preserve">AN-1889</t>
  </si>
  <si>
    <t xml:space="preserve">AN-1890</t>
  </si>
  <si>
    <t xml:space="preserve">Increase in income tax expense</t>
  </si>
  <si>
    <t xml:space="preserve">Income tax expenses were $7.4 million for the year ended December 31, 2022, an increase of $5.1 million, or 218%, compared to $2.3 million</t>
  </si>
  <si>
    <t xml:space="preserve">Part 4 - Operating and Financial Review and Prospects (Item 5) &gt; A. Operating Results (Item 5.A) &gt; Income Tax Expenses</t>
  </si>
  <si>
    <t xml:space="preserve">AN-1891</t>
  </si>
  <si>
    <t xml:space="preserve">Israeli NOL carryforwards</t>
  </si>
  <si>
    <t xml:space="preserve">As of December 31, 2021, the Company has net operating loss carryforwards in Israel of $292,687 which may be carried forward indefinitely.</t>
  </si>
  <si>
    <t xml:space="preserve">Item 18 &gt; Note 13 Income Taxes d. Deferred taxes</t>
  </si>
  <si>
    <t xml:space="preserve">AN-1892</t>
  </si>
  <si>
    <t xml:space="preserve">Israeli net operating loss carryforwards</t>
  </si>
  <si>
    <t xml:space="preserve">As of December 31, 2022, the Company has net operating loss carryforwards in Israel of $ 332,850 which may be carried forward indefinitely.</t>
  </si>
  <si>
    <t xml:space="preserve">AN-1893</t>
  </si>
  <si>
    <t xml:space="preserve">As of December 31, 2023, the Company has net operating loss carryforwards in Israel of $ 331,742 which may be carried forward indefinitely.</t>
  </si>
  <si>
    <t xml:space="preserve">Item 18 Financial Statements &gt; Notes to Consolidated Financial Statements &gt; Note 13: Income Taxes</t>
  </si>
  <si>
    <t xml:space="preserve">AN-1894</t>
  </si>
  <si>
    <t xml:space="preserve">As of December 31, 2024, the Company has net operating loss carryforwards in Israel of 207,569 , which may be carried forward indefinitely.</t>
  </si>
  <si>
    <t xml:space="preserve">Note header is 'U.S. dollars in thousands'.</t>
  </si>
  <si>
    <t xml:space="preserve">AN-1895</t>
  </si>
  <si>
    <t xml:space="preserve">Israeli statutory corporate tax rate</t>
  </si>
  <si>
    <t xml:space="preserve">Ordinary taxable income in Israel is subject to a corporate tax rate of 23% in 2021 and 2020.</t>
  </si>
  <si>
    <t xml:space="preserve">Item 18 &gt; Note 13 Income Taxes f. Basis of taxation</t>
  </si>
  <si>
    <t xml:space="preserve">AN-1896</t>
  </si>
  <si>
    <t xml:space="preserve">Ordinary taxable income in Israel is subject to a corporate tax rate of 23 % in 2022 and 2021.</t>
  </si>
  <si>
    <t xml:space="preserve">Item 18 Financial Statements &gt; Notes to Consolidated Financial Statements &gt; Note 14 Income Taxes &gt; F. Basis of taxation</t>
  </si>
  <si>
    <t xml:space="preserve">AN-1897</t>
  </si>
  <si>
    <t xml:space="preserve">Ordinary taxable income in Israel is subject to a corporate tax rate of 23 % in 2023 and 2022.</t>
  </si>
  <si>
    <t xml:space="preserve">Item 18 Financial Statements &gt; Notes to Consolidated Financial Statements &gt; Note 13: Income Taxes &gt; B. Basis of taxation</t>
  </si>
  <si>
    <t xml:space="preserve">AN-1898</t>
  </si>
  <si>
    <t xml:space="preserve">Ordinary taxable income in Israel is subject to a corporate tax rate of 23 % in 2024 and 2023.</t>
  </si>
  <si>
    <t xml:space="preserve">Item 18 (Part 5 - Consolidated Financial Statements) - Note 14: Income Taxes - J. Basis of taxation</t>
  </si>
  <si>
    <t xml:space="preserve">AN-1899</t>
  </si>
  <si>
    <t xml:space="preserve">Ordinary taxable income in Israel is subject to a corporate tax rate of 23% in 2025 and 2024.</t>
  </si>
  <si>
    <t xml:space="preserve">Item 18 / Consolidated Financial Statements - Notes to Consolidated Financial Statements - Note 14: Income Taxes - G. Basis of taxation</t>
  </si>
  <si>
    <t xml:space="preserve">AN-1900</t>
  </si>
  <si>
    <t xml:space="preserve">Loss before income taxes - Domestic (Israel)</t>
  </si>
  <si>
    <t xml:space="preserve">Domestic (Israel) | $ | ( 132,203 | ) | $ | ( 152,335 | ) | $ | ( 91,788 | )</t>
  </si>
  <si>
    <t xml:space="preserve">AN-1901</t>
  </si>
  <si>
    <t xml:space="preserve">AN-1902</t>
  </si>
  <si>
    <t xml:space="preserve">AN-1903</t>
  </si>
  <si>
    <t xml:space="preserve">Loss before income taxes - domestic (Israel)</t>
  </si>
  <si>
    <t xml:space="preserve">Domestic (Israel) | $ | ( 142,527 | ) | $ | ( 132,203 | ) | $ | ( 152,335 | )</t>
  </si>
  <si>
    <t xml:space="preserve">AN-1904</t>
  </si>
  <si>
    <t xml:space="preserve">AN-1905</t>
  </si>
  <si>
    <t xml:space="preserve">AN-1906</t>
  </si>
  <si>
    <t xml:space="preserve">Net deferred tax assets</t>
  </si>
  <si>
    <t xml:space="preserve">|| Net deferred tax assets | $ | 58,682 | $ | —</t>
  </si>
  <si>
    <t xml:space="preserve">Item 18 / Consolidated Financial Statements - Notes to Consolidated Financial Statements - Note 14: Income Taxes - C. Deferred taxes</t>
  </si>
  <si>
    <t xml:space="preserve">AN-1907</t>
  </si>
  <si>
    <t xml:space="preserve">Newly enacted Israeli R&amp;D tax benefits (Encouragement and Incentivization of Research and Development Law, 5786-2026)</t>
  </si>
  <si>
    <t xml:space="preserve">newly enacted Israeli research and development tax benefits (“The Encouragement and Incentivization of Research and Development Law, 5786-2026”) are realized in the second half of the year</t>
  </si>
  <si>
    <t xml:space="preserve">H1 2026 MD&amp;A (Exhibit 99.3), Research and Development Expenses</t>
  </si>
  <si>
    <t xml:space="preserve">No amount stated</t>
  </si>
  <si>
    <t xml:space="preserve">AN-1908</t>
  </si>
  <si>
    <t xml:space="preserve">2026-01-01</t>
  </si>
  <si>
    <t xml:space="preserve">Pillar Two Israeli QDMTT minimum effective rate (effective Jan 1, 2026)</t>
  </si>
  <si>
    <t xml:space="preserve">implementing key aspects of the OECD’s Pillar Two framework... with the objective of ensuring a minimum effective tax rate of 15% on profits attributable to activities in Israel</t>
  </si>
  <si>
    <t xml:space="preserve">Item 3.D / Part 6 - Risk Factors - Risks related to taxation</t>
  </si>
  <si>
    <t xml:space="preserve">Applies to groups with consolidated annual revenues of at least EUR 750 million; entered into force January 1, 2026.</t>
  </si>
  <si>
    <t xml:space="preserve">AN-1909</t>
  </si>
  <si>
    <t xml:space="preserve">Preferred Technological Enterprise rate</t>
  </si>
  <si>
    <t xml:space="preserve">a Preferred Technological Enterprise... with total consolidated revenues of less than NIS 10 billion, will be subject to a 12% tax rate on income derived from intellectual property</t>
  </si>
  <si>
    <t xml:space="preserve">Item 18 / Consolidated Financial Statements - Notes to Consolidated Financial Statements - Note 14: Income Taxes - H. The New Technological Enterprise Incentives Regime</t>
  </si>
  <si>
    <t xml:space="preserve">'The Company did not utilize any benefits associated with the Preferred Technological Enterprise in 2025 and 2024.' Tax ruling in effect for 2019-2028 (Part 5 Taxation).</t>
  </si>
  <si>
    <t xml:space="preserve">AN-1910</t>
  </si>
  <si>
    <t xml:space="preserve">Preferred Technological Enterprise tax rate</t>
  </si>
  <si>
    <t xml:space="preserve">shall be subject to 12% tax rate on income derived from intellectual property (in development area A—a tax rate of 7.5%)</t>
  </si>
  <si>
    <t xml:space="preserve">Item 18 &gt; Note 13 Income Taxes g. The New Technological Enterprise Incentives Regime</t>
  </si>
  <si>
    <t xml:space="preserve">Company eligible from 2019 but did not utilize benefits in 2020 and 2021.</t>
  </si>
  <si>
    <t xml:space="preserve">AN-1911</t>
  </si>
  <si>
    <t xml:space="preserve">Preferred Technological Enterprise tax rate on IP income</t>
  </si>
  <si>
    <t xml:space="preserve">will be subject to 12% tax rate on income derived from intellectual property (in development area A—a tax rate of 7.5 %).</t>
  </si>
  <si>
    <t xml:space="preserve">Item 18 Financial Statements &gt; Notes to Consolidated Financial Statements &gt; Note 14 Income Taxes &gt; G. The New Technological Enterprise Incentives Regime</t>
  </si>
  <si>
    <t xml:space="preserve">Company did not utilize any PTE benefits in 2022 and 2021.</t>
  </si>
  <si>
    <t xml:space="preserve">AN-1912</t>
  </si>
  <si>
    <t xml:space="preserve">will be subject to 12 % tax rate on income derived from intellectual property (in development area A—a tax rate of 7.5 %).</t>
  </si>
  <si>
    <t xml:space="preserve">Item 18 Financial Statements &gt; Notes to Consolidated Financial Statements &gt; Note 13: Income Taxes &gt; C. The New Technological Enterprise Incentives Regime</t>
  </si>
  <si>
    <t xml:space="preserve">Company eligible from 2019 but 'did not utilize any benefits associated with the Preferred Technological Enterprise in 2023 and 2022'.</t>
  </si>
  <si>
    <t xml:space="preserve">AN-1913</t>
  </si>
  <si>
    <t xml:space="preserve">...will be subject to a 12 % tax rate on income derived from intellectual property (in development area A—a tax rate of 7.5 %).</t>
  </si>
  <si>
    <t xml:space="preserve">Item 18 (Part 5 - Consolidated Financial Statements) - Note 14: Income Taxes - K. The New Technological Enterprise Incentives Regime</t>
  </si>
  <si>
    <t xml:space="preserve">Company is eligible from 2019 but 'did not utilize any benefits associated with the Preferred Technological Enterprise in 2024 and 2023.'</t>
  </si>
  <si>
    <t xml:space="preserve">AN-1914</t>
  </si>
  <si>
    <t xml:space="preserve">Preferred technological enterprise (rate reconciliation item)</t>
  </si>
  <si>
    <t xml:space="preserve">Preferred technological enterprise | 15,523 | ( 12 | )% | 14,460 | ( 11 | )% | 16,757 | ( 11 | )%</t>
  </si>
  <si>
    <t xml:space="preserve">AN-1915</t>
  </si>
  <si>
    <t xml:space="preserve">AN-1916</t>
  </si>
  <si>
    <t xml:space="preserve">AN-1917</t>
  </si>
  <si>
    <t xml:space="preserve">Receipt of tax advance relating to exercises of share options and RSUs, net</t>
  </si>
  <si>
    <t xml:space="preserve">Receipt of tax advance relating to exercises of share options and RSUs, net | 14,075 | 8,516</t>
  </si>
  <si>
    <t xml:space="preserve">AN-1918</t>
  </si>
  <si>
    <t xml:space="preserve">Repayment of tax advance relating to exercises of share options and RSUs, net</t>
  </si>
  <si>
    <t xml:space="preserve">Receipt (repayment)of tax advance relating to exercises of share options and RSUs, net | ( 5,072 | ) | 14,075</t>
  </si>
  <si>
    <t xml:space="preserve">AN-1919</t>
  </si>
  <si>
    <t xml:space="preserve">Share-based compensation effect (rate reconciliation)</t>
  </si>
  <si>
    <t xml:space="preserve">Share-based compensation | 11,262 | 339 | % | 14,806 | ( 11 | %) | 10,184 | ( 8 | %)</t>
  </si>
  <si>
    <t xml:space="preserve">AN-1920</t>
  </si>
  <si>
    <t xml:space="preserve">AN-1921</t>
  </si>
  <si>
    <t xml:space="preserve">AN-1922</t>
  </si>
  <si>
    <t xml:space="preserve">Tax benefit related to share-based compensation (segment expense table)</t>
  </si>
  <si>
    <t xml:space="preserve">Tax benefit related to share-based compensation | 2,486 | 3,392 | 1,431</t>
  </si>
  <si>
    <t xml:space="preserve">Item 18 (Part 5 - Consolidated Financial Statements) - Note 16: Segment Reporting - significant expense categories provided to the CODM</t>
  </si>
  <si>
    <t xml:space="preserve">AN-1923</t>
  </si>
  <si>
    <t xml:space="preserve">AN-1924</t>
  </si>
  <si>
    <t xml:space="preserve">AN-1925</t>
  </si>
  <si>
    <t xml:space="preserve">Tax benefit relating to exercise of disqualified ISO</t>
  </si>
  <si>
    <t xml:space="preserve">Tax benefit relating to exercise of disqualified ISO | ( 3,069 | ) | 2 | %</t>
  </si>
  <si>
    <t xml:space="preserve">Item 5.A: '$3.1 million tax benefit received by the U.S. subsidiary in respect of exercise of options of US employees'.</t>
  </si>
  <si>
    <t xml:space="preserve">AN-1926</t>
  </si>
  <si>
    <t xml:space="preserve">Tax benefit relating to exercise of disqualified ISO | ( 1,394 | ) | 1 | % | ( 3,069 | ) | 2 | %</t>
  </si>
  <si>
    <t xml:space="preserve">AN-1927</t>
  </si>
  <si>
    <t xml:space="preserve">MD&amp;A: 'partially offset by a $1.4 million tax benefit received by the U.S. subsidiary in respect of option exercises by U.S. employees.'</t>
  </si>
  <si>
    <t xml:space="preserve">AN-1928</t>
  </si>
  <si>
    <t xml:space="preserve">Tax rate reconciliation - utilization of losses</t>
  </si>
  <si>
    <t xml:space="preserve">Utilization of losses | ( 12,340 ) | ( 36 %) | ( 1,117 ) | ( 33 %) | 3,767 | ( 3 %)</t>
  </si>
  <si>
    <t xml:space="preserve">AN-1929</t>
  </si>
  <si>
    <t xml:space="preserve">AN-1930</t>
  </si>
  <si>
    <t xml:space="preserve">AN-1931</t>
  </si>
  <si>
    <t xml:space="preserve">U.S. subsidiary tax rate (approx.)</t>
  </si>
  <si>
    <t xml:space="preserve">the Company’s U.S. subsidiary is subject to tax rate of approximately 21 %.</t>
  </si>
  <si>
    <t xml:space="preserve">AN-1932</t>
  </si>
  <si>
    <t xml:space="preserve">AN-1933</t>
  </si>
  <si>
    <t xml:space="preserve">Primarily, in 2024 and 2023, the Company's U.S. subsidiary was subject to a tax rate of approximately 21 %.</t>
  </si>
  <si>
    <t xml:space="preserve">AN-1934</t>
  </si>
  <si>
    <t xml:space="preserve">Valuation allowance</t>
  </si>
  <si>
    <t xml:space="preserve">Valuation allowance | ( 47,143 | ) | ( 32,104 | )</t>
  </si>
  <si>
    <t xml:space="preserve">AN-1935</t>
  </si>
  <si>
    <t xml:space="preserve">Full valuation allowance.</t>
  </si>
  <si>
    <t xml:space="preserve">AN-1936</t>
  </si>
  <si>
    <t xml:space="preserve">Valuation allowance | ( 55,561 | ) | ( 47,072 | )</t>
  </si>
  <si>
    <t xml:space="preserve">AN-1937</t>
  </si>
  <si>
    <t xml:space="preserve">AN-1938</t>
  </si>
  <si>
    <t xml:space="preserve">Valuation allowance | ( 48,430 | ) | ( 55,561 | )</t>
  </si>
  <si>
    <t xml:space="preserve">AN-1939</t>
  </si>
  <si>
    <t xml:space="preserve">AN-1940</t>
  </si>
  <si>
    <t xml:space="preserve">Valuation allowance on deferred tax assets</t>
  </si>
  <si>
    <t xml:space="preserve">Valuation allowance | ( 62,227 ) | ( 62,719 )</t>
  </si>
  <si>
    <t xml:space="preserve">Full valuation allowance maintained.</t>
  </si>
  <si>
    <t xml:space="preserve">AN-1941</t>
  </si>
  <si>
    <t xml:space="preserve">AN-1942</t>
  </si>
  <si>
    <t xml:space="preserve">|| Valuation allowance | — | ( 62,227 )</t>
  </si>
  <si>
    <t xml:space="preserve">AN-1943</t>
  </si>
  <si>
    <t xml:space="preserve">AN-1944</t>
  </si>
  <si>
    <t xml:space="preserve">H2 2025</t>
  </si>
  <si>
    <t xml:space="preserve">Valuation allowance release</t>
  </si>
  <si>
    <t xml:space="preserve">reducing deferred tax asset balances recognized following the release of the valuation allowance in the second half of 2025</t>
  </si>
  <si>
    <t xml:space="preserve">H1 2026 MD&amp;A (Exhibit 99.3), Income Tax Expenses</t>
  </si>
  <si>
    <t xml:space="preserve">Amount of release not stated in this document</t>
  </si>
  <si>
    <t xml:space="preserve">AN-1945</t>
  </si>
  <si>
    <t xml:space="preserve">charitable</t>
  </si>
  <si>
    <t xml:space="preserve">Annual cap on equity contribution to Digital Lift Foundation</t>
  </si>
  <si>
    <t xml:space="preserve">we will limit any equity contribution to the Digital Lift Foundation to no more than 1% of our outstanding ordinary shares on an annual basis, measured as of the end of each fiscal year</t>
  </si>
  <si>
    <t xml:space="preserve">Item 3.D Risk Factors &gt; Risks Related to our Digital Lift Initiative and the Digital Lift Foundation</t>
  </si>
  <si>
    <t xml:space="preserve">AN-1946</t>
  </si>
  <si>
    <t xml:space="preserve">N/A</t>
  </si>
  <si>
    <t xml:space="preserve">Part 6 - Risk Factors (Item 3.D) &gt; Risks Related to our Digital Lift Initiative and the Digital Lift Foundation</t>
  </si>
  <si>
    <t xml:space="preserve">AN-1947</t>
  </si>
  <si>
    <t xml:space="preserve">Annual cap on equity contribution to Foundation</t>
  </si>
  <si>
    <t xml:space="preserve">...we will limit any equity contribution to the monday.com Foundation to no more than 1% of our outstanding ordinary shares on an annual basis, measured as of the end of each fiscal year, with any unissued amount up to a maximum of 1% in the aggregate measured as of the end of the prior fiscal year carried over to subsequent fiscal years.</t>
  </si>
  <si>
    <t xml:space="preserve">Item 3.D (Part 6 - Risk Factors) - Risks related to our Digital Lift Initiative and the monday.com Foundation</t>
  </si>
  <si>
    <t xml:space="preserve">Percent of outstanding ordinary shares, annual, with carryover.</t>
  </si>
  <si>
    <t xml:space="preserve">AN-1948</t>
  </si>
  <si>
    <t xml:space="preserve">Annual cap on equity contributions to Foundation</t>
  </si>
  <si>
    <t xml:space="preserve">we will limit any equity contribution to the monday.com Foundation to no more than 1% of our outstanding ordinary shares on an annual basis, measured as of the end of each fiscal year</t>
  </si>
  <si>
    <t xml:space="preserve">Item 3.D / Part 6 - Risk Factors - Risks related to our Digital Lift Initiative and the monday.com Foundation</t>
  </si>
  <si>
    <t xml:space="preserve">Intent to issue up to 10% of issued share capital over time.</t>
  </si>
  <si>
    <t xml:space="preserve">AN-1949</t>
  </si>
  <si>
    <t xml:space="preserve">Cash donation to Foundation (1% of gross IPO proceeds)</t>
  </si>
  <si>
    <t xml:space="preserve">Additionally, the Company donated to the Foundation an amount of $ 6,300 , which represented 1% of the gross IPO proceeds. This amount was recorded in general and administrative expense in the consolidated report of operations during 2024.</t>
  </si>
  <si>
    <t xml:space="preserve">Item 18 (Part 5 - Consolidated Financial Statements) - Note 12: Related Parties</t>
  </si>
  <si>
    <t xml:space="preserve">Described as one-time.</t>
  </si>
  <si>
    <t xml:space="preserve">AN-1950</t>
  </si>
  <si>
    <t xml:space="preserve">Cash donation to monday.com Foundation (1% of gross IPO proceeds)</t>
  </si>
  <si>
    <t xml:space="preserve">the Company donated to the Foundation an amount of $6,300, which represented 1% of the gross IPO proceeds. This amount was recorded in general and administrative expense in the consolidated report of operations during 2024.</t>
  </si>
  <si>
    <t xml:space="preserve">Item 18 / Consolidated Financial Statements - Notes to Consolidated Financial Statements - Note 12: Related Parties</t>
  </si>
  <si>
    <t xml:space="preserve">AN-1951</t>
  </si>
  <si>
    <t xml:space="preserve">of which $6.3 million is planned to be reserved and transferred to the Digital Life Foundation.</t>
  </si>
  <si>
    <t xml:space="preserve">Text says 'Digital Life Foundation' (sic).</t>
  </si>
  <si>
    <t xml:space="preserve">AN-1952</t>
  </si>
  <si>
    <t xml:space="preserve">of which $6.3 million is planned to be reserved and transferred to the Digital Lift Foundation</t>
  </si>
  <si>
    <t xml:space="preserve">AN-1953</t>
  </si>
  <si>
    <t xml:space="preserve">Charitable contribution to Foundation (non-GAAP adjustment)</t>
  </si>
  <si>
    <t xml:space="preserve">|| Charitable contribution to foundation (1) | — | 24,208 | —</t>
  </si>
  <si>
    <t xml:space="preserve">Nil in FY2025 and FY2023.</t>
  </si>
  <si>
    <t xml:space="preserve">AN-1954</t>
  </si>
  <si>
    <t xml:space="preserve">Reported as nil (—).</t>
  </si>
  <si>
    <t xml:space="preserve">AN-1955</t>
  </si>
  <si>
    <t xml:space="preserve">Company voting rights in Foundation</t>
  </si>
  <si>
    <t xml:space="preserve">The Company's Co-founder and the Company are both shareholders in the Foundation and each of them holds 14 % of the voting rights in the Foundation.</t>
  </si>
  <si>
    <t xml:space="preserve">Foundation not consolidated; equity method not applied.</t>
  </si>
  <si>
    <t xml:space="preserve">AN-1956</t>
  </si>
  <si>
    <t xml:space="preserve">Digital Lift - grants given</t>
  </si>
  <si>
    <t xml:space="preserve">750+ ... Grants given</t>
  </si>
  <si>
    <t xml:space="preserve">Part 1 - Who We Are (Item 4.B Business Overview) &gt; The monday.com Digital Lift Initiative &gt; End of Year Report (2022 highlights table)</t>
  </si>
  <si>
    <t xml:space="preserve">Stated as '750+'.</t>
  </si>
  <si>
    <t xml:space="preserve">AN-1957</t>
  </si>
  <si>
    <t xml:space="preserve">Digital Lift - new software accounts opened</t>
  </si>
  <si>
    <t xml:space="preserve">1,710 | 690+ | 20k | 750+ | $820k || New software accounts opened | Volunteer hours donated | Nonprofits we work with | Grants given | Total grants in money</t>
  </si>
  <si>
    <t xml:space="preserve">AN-1958</t>
  </si>
  <si>
    <t xml:space="preserve">Digital Lift - total grants in money</t>
  </si>
  <si>
    <t xml:space="preserve">$820k ... Total grants in money</t>
  </si>
  <si>
    <t xml:space="preserve">AN-1959</t>
  </si>
  <si>
    <t xml:space="preserve">Digital Lift equity pledge (total)</t>
  </si>
  <si>
    <t xml:space="preserve">In order to fund the initiative, we pledged to contribute 10% of our equity to the Digital Lift Initiative. Accordingly, we reserved 2% prior to our initial public offering (“IPO”) and intend to donate the remaining 8% gradually with a cap of 1% per year.</t>
  </si>
  <si>
    <t xml:space="preserve">percent of equity</t>
  </si>
  <si>
    <t xml:space="preserve">Part 1 - Who We Are (Item 4.B) &gt; The monday.com Digital Lift Initiative</t>
  </si>
  <si>
    <t xml:space="preserve">AN-1960</t>
  </si>
  <si>
    <t xml:space="preserve">Digital Lift equity reserved pre-IPO</t>
  </si>
  <si>
    <t xml:space="preserve">we reserved 2% prior to our initial public offering (“IPO”)</t>
  </si>
  <si>
    <t xml:space="preserve">AN-1961</t>
  </si>
  <si>
    <t xml:space="preserve">Digital Lift remaining equity to be donated (cap 1% per year)</t>
  </si>
  <si>
    <t xml:space="preserve">intend to donate the remaining 8% gradually with a cap of 1% per year.</t>
  </si>
  <si>
    <t xml:space="preserve">AN-1962</t>
  </si>
  <si>
    <t xml:space="preserve">Digital Lift: free/discounted subscriptions per $1 revenue</t>
  </si>
  <si>
    <t xml:space="preserve">...we intend to offer up to $1 worth of free or substantially discounted monday.com subscriptions to nonprofit organizations, including product support, for every $1 of revenue we generate.</t>
  </si>
  <si>
    <t xml:space="preserve">USD per USD revenue</t>
  </si>
  <si>
    <t xml:space="preserve">Intent ('up to'); also employees may volunteer 1% of paid work time.</t>
  </si>
  <si>
    <t xml:space="preserve">AN-1963</t>
  </si>
  <si>
    <t xml:space="preserve">Digital transformation grants pilot fund</t>
  </si>
  <si>
    <t xml:space="preserve">we have dedicated a pilot fund of $100,000 to help nonprofits optimize their operations with various SaaS platforms</t>
  </si>
  <si>
    <t xml:space="preserve">Item 4.B Business Overview &gt; The monday.com Digital Lift Initiative &gt; Digital Transformation Grants</t>
  </si>
  <si>
    <t xml:space="preserve">AN-1964</t>
  </si>
  <si>
    <t xml:space="preserve">we have dedicated a pilot fund of $100,000 to help nonprofits optimize their operations</t>
  </si>
  <si>
    <t xml:space="preserve">AN-1965</t>
  </si>
  <si>
    <t xml:space="preserve">Donation expense decrease YoY (G&amp;A)</t>
  </si>
  <si>
    <t xml:space="preserve">a $7.1 million decrease in donation expenses mainly due to a one-time cash contribution of $6.3 million in 2024 to the monday.com Foundation.</t>
  </si>
  <si>
    <t xml:space="preserve">Item 5.A / Part 4 - Comparison of the Years Ended December 31, 2025 and 2024 - General and Administrative Expenses</t>
  </si>
  <si>
    <t xml:space="preserve">AN-1966</t>
  </si>
  <si>
    <t xml:space="preserve">our employees have already volunteered over 550 hours to support nonprofit organizations.</t>
  </si>
  <si>
    <t xml:space="preserve">hours</t>
  </si>
  <si>
    <t xml:space="preserve">AN-1967</t>
  </si>
  <si>
    <t xml:space="preserve">In 2023 our employees volunteered over 4,000 hours supporting nonprofit organizations.</t>
  </si>
  <si>
    <t xml:space="preserve">Lower bound ('over 4,000'). Employees may volunteer 1% of paid work time.</t>
  </si>
  <si>
    <t xml:space="preserve">AN-1968</t>
  </si>
  <si>
    <t xml:space="preserve">Employee volunteer time pledge</t>
  </si>
  <si>
    <t xml:space="preserve">1% employee time. We provide every employee with the opportunity to volunteer 1% of their paid work time</t>
  </si>
  <si>
    <t xml:space="preserve">AN-1969</t>
  </si>
  <si>
    <t xml:space="preserve">Equity grant to monday.com Foundation (68,000 shares) - fair value</t>
  </si>
  <si>
    <t xml:space="preserve">The fair value of the shares totaled $17,908 at the date of grant and was recorded in general and administrative expense</t>
  </si>
  <si>
    <t xml:space="preserve">Shares granted August 2024; none in FY2025.</t>
  </si>
  <si>
    <t xml:space="preserve">AN-1970</t>
  </si>
  <si>
    <t xml:space="preserve">Equity pledge to Digital Lift Foundation (total)</t>
  </si>
  <si>
    <t xml:space="preserve">Following our pledge to contribute 10% of our equity to the Digital Lift Foundation, we reserved 2% prior to the IPO and intend to donate the remaining 8% gradually with a cap of 1% per year.</t>
  </si>
  <si>
    <t xml:space="preserve">AN-1971</t>
  </si>
  <si>
    <t xml:space="preserve">10% equity pledge. Following our pledge to contribute 10% of our equity to the Digital Lift Foundation, we reserved 2% prior to our initial public offering (“IPO”) and intend to donate the remaining 8% gradually with a cap of 1% per year</t>
  </si>
  <si>
    <t xml:space="preserve">AN-1972</t>
  </si>
  <si>
    <t xml:space="preserve">Equity reserved for Digital Lift Foundation prior to IPO</t>
  </si>
  <si>
    <t xml:space="preserve">AN-1973</t>
  </si>
  <si>
    <t xml:space="preserve">Equity reserved prior to IPO</t>
  </si>
  <si>
    <t xml:space="preserve">we reserved 2% prior to the IPO</t>
  </si>
  <si>
    <t xml:space="preserve">AN-1974</t>
  </si>
  <si>
    <t xml:space="preserve">Fair value of shares contributed to Foundation (G&amp;A expense)</t>
  </si>
  <si>
    <t xml:space="preserve">The fair value of the shares totaled $ 17,908 at the date of grant and was recorded in general and administrative expense in the consolidated report of operations.</t>
  </si>
  <si>
    <t xml:space="preserve">Included in G&amp;A SBC line in Note 13 table; excluded from 'Share-based compensation' in cash flow / non-GAAP.</t>
  </si>
  <si>
    <t xml:space="preserve">AN-1975</t>
  </si>
  <si>
    <t xml:space="preserve">Foundation share incentive plan (2024 Foundation SIP) maximum shares</t>
  </si>
  <si>
    <t xml:space="preserve">The maximum aggregate number of shares that may be issued pursuant to the plan shall be up to 15,000 ordinary shares, which amount may be increased or reduced at the discretion of the board of directors.</t>
  </si>
  <si>
    <t xml:space="preserve">Item 18 (Part 5 - Consolidated Financial Statements) - Note 13: Shareholders' Equity - C. Share-based compensation</t>
  </si>
  <si>
    <t xml:space="preserve">Also Exhibit 4.9 Section 5.1 ('shall be 15,000 Shares'); adopted November 2024.</t>
  </si>
  <si>
    <t xml:space="preserve">AN-1976</t>
  </si>
  <si>
    <t xml:space="preserve">Increase in donation expenses (G&amp;A)</t>
  </si>
  <si>
    <t xml:space="preserve">an increase of $0.5 million in donation expenses</t>
  </si>
  <si>
    <t xml:space="preserve">H1 2024 MD&amp;A (Exhibit 99.3), General and Administrative Expenses</t>
  </si>
  <si>
    <t xml:space="preserve">YoY change vs H1 2023</t>
  </si>
  <si>
    <t xml:space="preserve">AN-1977</t>
  </si>
  <si>
    <t xml:space="preserve">IPO-onward</t>
  </si>
  <si>
    <t xml:space="preserve">Intended Foundation contribution - up to % of equity over ten years</t>
  </si>
  <si>
    <t xml:space="preserve">This donation is made pursuant to the Company’s intention disclosed since its initial public offering, to contribute up to 10 % of its equity to the monday.com Foundation over a ten-year period.</t>
  </si>
  <si>
    <t xml:space="preserve">H1 2026 interim financial statements (Exhibit 99.2), Note 18 c. Subsequent Events</t>
  </si>
  <si>
    <t xml:space="preserve">AN-1978</t>
  </si>
  <si>
    <t xml:space="preserve">Maximum cumulative equity to Foundation (intent)</t>
  </si>
  <si>
    <t xml:space="preserve">We intend to issue additional ordinary shares to the monday.com Foundation, up to 10% of our issued share capital, in order to continue to fund its charitable initiatives</t>
  </si>
  <si>
    <t xml:space="preserve">Percent of issued share capital. [Manually re-checked against source text.]</t>
  </si>
  <si>
    <t xml:space="preserve">AN-1979</t>
  </si>
  <si>
    <t xml:space="preserve">Nonprofit discounts in ARR terms</t>
  </si>
  <si>
    <t xml:space="preserve">amounting to a total of $7.2 million in annual recurring revenue (as of December 31, 2021)</t>
  </si>
  <si>
    <t xml:space="preserve">AN-1980</t>
  </si>
  <si>
    <t xml:space="preserve">Nonprofit free/discounted subscriptions per $1 revenue (intent)</t>
  </si>
  <si>
    <t xml:space="preserve">we intend to offer up to $1 worth of free or substantially discounted monday.com subscriptions to nonprofit organizations, including product support, for every $1 of revenue we generate.</t>
  </si>
  <si>
    <t xml:space="preserve">USD per USD of revenue</t>
  </si>
  <si>
    <t xml:space="preserve">AN-1981</t>
  </si>
  <si>
    <t xml:space="preserve">Nonprofits receiving discounts</t>
  </si>
  <si>
    <t xml:space="preserve">AN-1982</t>
  </si>
  <si>
    <t xml:space="preserve">Nonprofits worked with</t>
  </si>
  <si>
    <t xml:space="preserve">In 2022, we worked with more than 20,000 nonprofits</t>
  </si>
  <si>
    <t xml:space="preserve">AN-1983</t>
  </si>
  <si>
    <t xml:space="preserve">Ordinary shares reserved for Digital Lift Foundation</t>
  </si>
  <si>
    <t xml:space="preserve">have reserved 778,500 of our ordinary shares to be issued to the Digital Lift Foundation commencing two or more years following the closing of our IPO</t>
  </si>
  <si>
    <t xml:space="preserve">As of date of annual report the number of shares/warrants to be issued not determined.</t>
  </si>
  <si>
    <t xml:space="preserve">AN-1984</t>
  </si>
  <si>
    <t xml:space="preserve">we intend to establish the Digital Lift Foundation and have reserved 778,500 of our ordinary shares to be issued to the Digital Lift Foundation commencing two or more years following the closing of our IPO</t>
  </si>
  <si>
    <t xml:space="preserve">Filing states the number of shares/warrants to be issued has not been determined as of the date of the report; annual cap 1% of outstanding shares, with carry-over. No donation amounts recorded in financial statements disclosed. Foundation 'in the process of' being established.</t>
  </si>
  <si>
    <t xml:space="preserve">AN-1985</t>
  </si>
  <si>
    <t xml:space="preserve">Ordinary shares reserved for Digital Lift Foundation (warrant)</t>
  </si>
  <si>
    <t xml:space="preserve">we established the Digital Lift Foundation and have reserved 778,500 of our ordinary shares to be issued to the Digital Lift Foundation by way of a warrant, with an exercise price of $0.01 per ordinary share</t>
  </si>
  <si>
    <t xml:space="preserve">As of the filing date.</t>
  </si>
  <si>
    <t xml:space="preserve">AN-1986</t>
  </si>
  <si>
    <t xml:space="preserve">Product match ratio (free/discounted subscriptions per $1 revenue)</t>
  </si>
  <si>
    <t xml:space="preserve">We offer up to $1 worth of free or substantially discounted monday.com subscriptions to nonprofit organizations, including product support, for every $1 of revenue we generate.</t>
  </si>
  <si>
    <t xml:space="preserve">AN-1987</t>
  </si>
  <si>
    <t xml:space="preserve">Remaining equity to donate gradually</t>
  </si>
  <si>
    <t xml:space="preserve">intend to donate the remaining 8% gradually with a cap of 1% per year</t>
  </si>
  <si>
    <t xml:space="preserve">AN-1988</t>
  </si>
  <si>
    <t xml:space="preserve">2026-08-05</t>
  </si>
  <si>
    <t xml:space="preserve">Share donation to monday.com Foundation</t>
  </si>
  <si>
    <t xml:space="preserve">On August 5, 2026, the Company donated 196,829 ordinary shares to the monday.com Foundation. The contribution will be recognized as a non-cash general and administrative expense on the contribution date at the fair value of the shares on that date in an estimated amount of $ 18,000 .</t>
  </si>
  <si>
    <t xml:space="preserve">AN-1989</t>
  </si>
  <si>
    <t xml:space="preserve">Share donation to monday.com Foundation - estimated non-cash G&amp;A expense</t>
  </si>
  <si>
    <t xml:space="preserve">in an estimated amount of $ 18,000</t>
  </si>
  <si>
    <t xml:space="preserve">MD&amp;A: approximately $18.0 million; excluded from non-GAAP G&amp;A and non-GAAP operating income in Q3 2026; donation terms include caps on annual sales by the Foundation</t>
  </si>
  <si>
    <t xml:space="preserve">AN-1990</t>
  </si>
  <si>
    <t xml:space="preserve">Shares available for future grants under the 2024 Foundation plan</t>
  </si>
  <si>
    <t xml:space="preserve">Shares available for future grants under the 2024 Foundation plan | 14,410 | 15,000</t>
  </si>
  <si>
    <t xml:space="preserve">H1 2025 interim financial statements (Exhibit 99.2), Note 13 a. Ordinary shares - reserved for future issuance</t>
  </si>
  <si>
    <t xml:space="preserve">AN-1991</t>
  </si>
  <si>
    <t xml:space="preserve">AN-1992</t>
  </si>
  <si>
    <t xml:space="preserve">Shares available for future grants under the 2024 Foundation plan | 12,923 | 14,498</t>
  </si>
  <si>
    <t xml:space="preserve">AN-1993</t>
  </si>
  <si>
    <t xml:space="preserve">Dec 31 2025: 14,498</t>
  </si>
  <si>
    <t xml:space="preserve">AN-1994</t>
  </si>
  <si>
    <t xml:space="preserve">Shares available for future grants under the 2024 Foundation plan | 12,923</t>
  </si>
  <si>
    <t xml:space="preserve">AN-1995</t>
  </si>
  <si>
    <t xml:space="preserve">Shares available under 2024 Foundation equity plan</t>
  </si>
  <si>
    <t xml:space="preserve">|| Shares available for future grants under the 2024 Foundation plan | 14,498 | 15,000</t>
  </si>
  <si>
    <t xml:space="preserve">AN-1996</t>
  </si>
  <si>
    <t xml:space="preserve">Shares contributed to monday.com Foundation</t>
  </si>
  <si>
    <t xml:space="preserve">On August 26, 2024, we issued 68,000 Ordinary Shares of the Company to the monday.com Foundation.</t>
  </si>
  <si>
    <t xml:space="preserve">Item 7.B (Part 3 - Major Shareholders and Related Party Transactions) - monday.com Foundation</t>
  </si>
  <si>
    <t xml:space="preserve">Note 12 says 'In August 2024'. Shares fully vested at grant.</t>
  </si>
  <si>
    <t xml:space="preserve">AN-1997</t>
  </si>
  <si>
    <t xml:space="preserve">In August 2024, the Company granted 68,000 of the Company’s ordinary shares to the monday.com Foundation LTD.</t>
  </si>
  <si>
    <t xml:space="preserve">AN-1998</t>
  </si>
  <si>
    <t xml:space="preserve">Total charitable contribution to Foundation</t>
  </si>
  <si>
    <t xml:space="preserve">Charitable contribution to Foundation | ( 24,208 ) | – | –</t>
  </si>
  <si>
    <t xml:space="preserve">AN-1999</t>
  </si>
  <si>
    <t xml:space="preserve">long-term</t>
  </si>
  <si>
    <t xml:space="preserve">Total intended Foundation share issuance (cap)</t>
  </si>
  <si>
    <t xml:space="preserve">We intend to issue additional ordinary shares to the monday.com Foundation, up to 10% of our issued share capital</t>
  </si>
  <si>
    <t xml:space="preserve">AN-2000</t>
  </si>
  <si>
    <t xml:space="preserve">2024-08-29</t>
  </si>
  <si>
    <t xml:space="preserve">monday.com Foundation - registered possible resale of ordinary shares</t>
  </si>
  <si>
    <t xml:space="preserve">a prospectus supplement pursuant to Rule 424(b) under the Securities Act of 1933, as amended, relating to the possible resale of up to 68,000 ordinary shares, no par value, of the Company (“ordinary shares”) by the monday.com Foundation Ltd.</t>
  </si>
  <si>
    <t xml:space="preserve">6-K dated August 29, 2024, Explanatory Note</t>
  </si>
  <si>
    <t xml:space="preserve">Upper bound ('up to')</t>
  </si>
  <si>
    <t xml:space="preserve">AN-2001</t>
  </si>
  <si>
    <t xml:space="preserve">2025-09-17</t>
  </si>
  <si>
    <t xml:space="preserve">other_plan_relevant</t>
  </si>
  <si>
    <t xml:space="preserve">2025 Investor Day</t>
  </si>
  <si>
    <t xml:space="preserve">the Company will host its 2025 Investor Day on September 17, 2025, in New York City ... Members of the Company’s executive team will discuss the company's vision for the future of work with AI, product strategy, go-to-market strategy, financial targets, and more strategic initiatives.</t>
  </si>
  <si>
    <t xml:space="preserve">6-K dated September 17, 2025, Explanatory Note - Investor Day 2025</t>
  </si>
  <si>
    <t xml:space="preserve">Financial targets themselves are not in this filing [Manually re-checked against source text.]</t>
  </si>
  <si>
    <t xml:space="preserve">AN-2002</t>
  </si>
  <si>
    <t xml:space="preserve">AGM 2026 Proposal 2: Compensation Policy for Executive Officers and Directors approved (approval %, excl. abstentions)</t>
  </si>
  <si>
    <t xml:space="preserve">Proposal 2 ... Approval Percentage (calculated excluding abstained votes) ... 99.14%</t>
  </si>
  <si>
    <t xml:space="preserve">6-K dated August 6, 2026 - results of annual general meeting - Proposal 2</t>
  </si>
  <si>
    <t xml:space="preserve">Total all shareholders</t>
  </si>
  <si>
    <t xml:space="preserve">AN-2003</t>
  </si>
  <si>
    <t xml:space="preserve">AGM 2026 Proposal 3: Co-CEO Compensation Package approved (approval %, excl. abstentions)</t>
  </si>
  <si>
    <t xml:space="preserve">Proposal 3 ... Approval Percentage (calculated excluding abstained votes) ... 98.82%</t>
  </si>
  <si>
    <t xml:space="preserve">6-K dated August 6, 2026 - results of annual general meeting - Proposal 3</t>
  </si>
  <si>
    <t xml:space="preserve">AN-2004</t>
  </si>
  <si>
    <t xml:space="preserve">AGM 2026 Proposal 4: Non-Employee Director Compensation Package approved (approval %, excl. abstentions)</t>
  </si>
  <si>
    <t xml:space="preserve">Proposal 4 ... Approval Percentage (calculated excluding abstained votes) ... 99.78%</t>
  </si>
  <si>
    <t xml:space="preserve">6-K dated August 6, 2026 - results of annual general meeting - Proposal 4</t>
  </si>
  <si>
    <t xml:space="preserve">AN-2005</t>
  </si>
  <si>
    <t xml:space="preserve">AGM 2026 Proposal 5: Re-appointment of Brightman Almagor Zohar &amp; Co. (Deloitte) as auditor for FY2026 approved (approval %, excl. abstentions)</t>
  </si>
  <si>
    <t xml:space="preserve">Proposal 5 ... Approval Percentage (calculated excluding abstained votes) ... 99.76%</t>
  </si>
  <si>
    <t xml:space="preserve">6-K dated August 6, 2026 - results of annual general meeting - Proposal 5</t>
  </si>
  <si>
    <t xml:space="preserve">AN-2006</t>
  </si>
  <si>
    <t xml:space="preserve">Accrued expenses</t>
  </si>
  <si>
    <t xml:space="preserve">Accrued expenses | 56,528 | 31,810</t>
  </si>
  <si>
    <t xml:space="preserve">AN-2007</t>
  </si>
  <si>
    <t xml:space="preserve">AN-2008</t>
  </si>
  <si>
    <t xml:space="preserve">Accumulated deficit | ( 445,660 | ) | ( 316,366 | )</t>
  </si>
  <si>
    <t xml:space="preserve">Item 18 &gt; Consolidated Balance Sheets</t>
  </si>
  <si>
    <t xml:space="preserve">AN-2009</t>
  </si>
  <si>
    <t xml:space="preserve">Advertising costs</t>
  </si>
  <si>
    <t xml:space="preserve">Advertising costs amounted to $143,472, $129,101 and $98,423, in the years ended December 31, 2021, 2020 and 2019, respectively.</t>
  </si>
  <si>
    <t xml:space="preserve">Item 18 &gt; Note 2p Significant Accounting Policies - Sales and Marketing</t>
  </si>
  <si>
    <t xml:space="preserve">AN-2010</t>
  </si>
  <si>
    <t xml:space="preserve">AN-2011</t>
  </si>
  <si>
    <t xml:space="preserve">Advertising costs amounted to $ 181,447 , $ 143,472 and $ 129,101 , in the years ended December 31, 2022, 2021 and 2020, respectively.</t>
  </si>
  <si>
    <t xml:space="preserve">Item 18 Financial Statements &gt; Notes to Consolidated Financial Statements &gt; Note 2O Sales and Marketing</t>
  </si>
  <si>
    <t xml:space="preserve">AN-2012</t>
  </si>
  <si>
    <t xml:space="preserve">AN-2013</t>
  </si>
  <si>
    <t xml:space="preserve">AN-2014</t>
  </si>
  <si>
    <t xml:space="preserve">Advertising costs amounted to $ 203,235 , $ 181,447 , and $ 143,472 , in the years ended December 31, 2023, 2022 and 2021, respectively.</t>
  </si>
  <si>
    <t xml:space="preserve">Item 18 Financial Statements &gt; Notes to Consolidated Financial Statements &gt; Note 2: Significant Accounting Policies &gt; O. Sales and Marketing</t>
  </si>
  <si>
    <t xml:space="preserve">AN-2015</t>
  </si>
  <si>
    <t xml:space="preserve">AN-2016</t>
  </si>
  <si>
    <t xml:space="preserve">AN-2017</t>
  </si>
  <si>
    <t xml:space="preserve">Advertising costs amounted to $ 218,415 , $ 203,235 and $ 181,447 , in the years ended December 31, 2024, 2023 and 2022, respectively.</t>
  </si>
  <si>
    <t xml:space="preserve">Item 18 (Part 5 - Consolidated Financial Statements) - Note 2: Significant Accounting Policies - Q. Sales and Marketing</t>
  </si>
  <si>
    <t xml:space="preserve">AN-2018</t>
  </si>
  <si>
    <t xml:space="preserve">AN-2019</t>
  </si>
  <si>
    <t xml:space="preserve">AN-2020</t>
  </si>
  <si>
    <t xml:space="preserve">Advertising costs amounted to $237,944, $218,415 and $203,235, in the years ended December 31, 2025, 2024 and 2023, respectively.</t>
  </si>
  <si>
    <t xml:space="preserve">Item 18 / Consolidated Financial Statements - Notes to Consolidated Financial Statements - Note 2: Significant Accounting Policies - Q. Sales and Marketing</t>
  </si>
  <si>
    <t xml:space="preserve">AN-2021</t>
  </si>
  <si>
    <t xml:space="preserve">AN-2022</t>
  </si>
  <si>
    <t xml:space="preserve">AN-2023</t>
  </si>
  <si>
    <t xml:space="preserve">AN-2024</t>
  </si>
  <si>
    <t xml:space="preserve">Auditor</t>
  </si>
  <si>
    <t xml:space="preserve">to re-appoint Brightman Almagor Zohar &amp; Co., a member firm of Deloitte Touche Tohmatsu Limited, as our independent registered public accounting firm for the year ending December 31, 2026</t>
  </si>
  <si>
    <t xml:space="preserve">2026 Proxy Statement dated July 2, 2026 (Exhibit 99.1), Notice - Proposal No. 5</t>
  </si>
  <si>
    <t xml:space="preserve">Approved at AGM Aug 6, 2026 (99.76%)</t>
  </si>
  <si>
    <t xml:space="preserve">AN-2025</t>
  </si>
  <si>
    <t xml:space="preserve">Auditor fees - All other fees</t>
  </si>
  <si>
    <t xml:space="preserve">All other fees | 66 | -</t>
  </si>
  <si>
    <t xml:space="preserve">2026 Proxy Statement dated July 2, 2026 (Exhibit 99.1), Proposal No. 5 - auditor fees table</t>
  </si>
  <si>
    <t xml:space="preserve">AN-2026</t>
  </si>
  <si>
    <t xml:space="preserve">FY2024: 0 [Manually re-checked against source text.]</t>
  </si>
  <si>
    <t xml:space="preserve">AN-2027</t>
  </si>
  <si>
    <t xml:space="preserve">Auditor fees - Audit fees</t>
  </si>
  <si>
    <t xml:space="preserve">Audit fees | $830 | $725</t>
  </si>
  <si>
    <t xml:space="preserve">AN-2028</t>
  </si>
  <si>
    <t xml:space="preserve">FY2024: 725 [Manually re-checked against source text.]</t>
  </si>
  <si>
    <t xml:space="preserve">AN-2029</t>
  </si>
  <si>
    <t xml:space="preserve">Auditor fees - Tax fees</t>
  </si>
  <si>
    <t xml:space="preserve">Tax fees | 76 | 65</t>
  </si>
  <si>
    <t xml:space="preserve">AN-2030</t>
  </si>
  <si>
    <t xml:space="preserve">FY2024: 65 [Manually re-checked against source text.]</t>
  </si>
  <si>
    <t xml:space="preserve">AN-2031</t>
  </si>
  <si>
    <t xml:space="preserve">Auditor fees - Total</t>
  </si>
  <si>
    <t xml:space="preserve">Total | $972 | $790</t>
  </si>
  <si>
    <t xml:space="preserve">AN-2032</t>
  </si>
  <si>
    <t xml:space="preserve">FY2024: 790</t>
  </si>
  <si>
    <t xml:space="preserve">AN-2033</t>
  </si>
  <si>
    <t xml:space="preserve">Bad debts written off</t>
  </si>
  <si>
    <t xml:space="preserve">Doubtful accounts expense for the years ended December 31, 2022 and 2021 was $ 1,622 and $ 594 , respectively. The Company wrote off bad debts in the amount of $ 1,463 and $ 609 during 2022 and 2021, respectively.</t>
  </si>
  <si>
    <t xml:space="preserve">Item 18 Financial Statements &gt; Notes to Consolidated Financial Statements &gt; Note 2E Accounts Receivable</t>
  </si>
  <si>
    <t xml:space="preserve">AN-2034</t>
  </si>
  <si>
    <t xml:space="preserve">Channel partners' commissions as % of revenue</t>
  </si>
  <si>
    <t xml:space="preserve">Our channel partners’ commissions as a percentage of revenue were approximately 6% for the year ended December 31, 2023 and 5% for each of the years ended December 31, 2022 and 2021.</t>
  </si>
  <si>
    <t xml:space="preserve">Part 4 - Operating and Financial Review and Prospects (Item 5.A) &gt; A. Operating Results &gt; Components of Results of Operations &gt; Sales and Marketing Expenses</t>
  </si>
  <si>
    <t xml:space="preserve">AN-2035</t>
  </si>
  <si>
    <t xml:space="preserve">For each of the years ended December 31, 2022, 2021 and 2020, our channel partners’ commissions as a percentage of revenue were approximately 5%.</t>
  </si>
  <si>
    <t xml:space="preserve">Part 4 - Operating and Financial Review and Prospects (Item 5) &gt; A. Operating Results (Item 5.A) &gt; Components of Results of Operations &gt; Sales and Marketing Expenses</t>
  </si>
  <si>
    <t xml:space="preserve">Same ~5% for FY2021 and FY2020.</t>
  </si>
  <si>
    <t xml:space="preserve">AN-2036</t>
  </si>
  <si>
    <t xml:space="preserve">AN-2037</t>
  </si>
  <si>
    <t xml:space="preserve">Our channel partners' commissions as a percentage of revenue were approximately 5%, 6%, and 5% for the years ended December 31, 2024, 2023, and 2022, respectively.</t>
  </si>
  <si>
    <t xml:space="preserve">Item 5 (Part 4 - Operating and Financial Review and Prospects) - A. Operating Results - Components of Results of Operations - Sales and Marketing Expenses</t>
  </si>
  <si>
    <t xml:space="preserve">AN-2038</t>
  </si>
  <si>
    <t xml:space="preserve">AN-2039</t>
  </si>
  <si>
    <t xml:space="preserve">AN-2040</t>
  </si>
  <si>
    <t xml:space="preserve">AN-2041</t>
  </si>
  <si>
    <t xml:space="preserve">Our channel partners' commissions as a percentage of revenue were approximately 5% for each of the six months ended June 30, 2024, and June 30, 2023.</t>
  </si>
  <si>
    <t xml:space="preserve">H1 2024 MD&amp;A (Exhibit 99.3), Sales and Marketing Expenses</t>
  </si>
  <si>
    <t xml:space="preserve">Same for H1 2023</t>
  </si>
  <si>
    <t xml:space="preserve">AN-2042</t>
  </si>
  <si>
    <t xml:space="preserve">Our channel partners' commissions as a percentage of revenue were approximately 2% and 5% for the six months ended June 30, 2025, and June 30, 2024 (see also Note 2N to our 2024 consolidated financial statements for the accounting policy for contract costs).</t>
  </si>
  <si>
    <t xml:space="preserve">H1 2025 MD&amp;A (Exhibit 99.3), A. Operating Results - Components of Results of Operations</t>
  </si>
  <si>
    <t xml:space="preserve">H1 2024: 5%</t>
  </si>
  <si>
    <t xml:space="preserve">AN-2043</t>
  </si>
  <si>
    <t xml:space="preserve">Channel partners' commissions as % of revenue (approx.)</t>
  </si>
  <si>
    <t xml:space="preserve">our channel partners' commissions as a percentage of revenue represented approximately 5%, 5%, and 4% respectively.</t>
  </si>
  <si>
    <t xml:space="preserve">Item 5.A Operating Results &gt; Components of Results of Operations &gt; Sales and Marketing Expenses</t>
  </si>
  <si>
    <t xml:space="preserve">AN-2044</t>
  </si>
  <si>
    <t xml:space="preserve">AN-2045</t>
  </si>
  <si>
    <t xml:space="preserve">AN-2046</t>
  </si>
  <si>
    <t xml:space="preserve">2025-05-15</t>
  </si>
  <si>
    <t xml:space="preserve">Chief Revenue Officer appointment (Casey George), effective May 15, 2025</t>
  </si>
  <si>
    <t xml:space="preserve">today announced Casey George's appointment as Chief Revenue Officer (CRO), effective May 15, 2025.</t>
  </si>
  <si>
    <t xml:space="preserve">AN-2047</t>
  </si>
  <si>
    <t xml:space="preserve">Co-CEO monthly salary cap 2027</t>
  </si>
  <si>
    <t xml:space="preserve">The monthly salary cap is planned to be increased by 19% to NIS 110,000 (approximately US $37,415) in the first year (2027), and by an additional 5% per month in the second and third years to NIS 115,000 (approximately US $39,116) and NIS 120,000 (approximately US $40,816) in 2028 and 2029</t>
  </si>
  <si>
    <t xml:space="preserve">NIS per month</t>
  </si>
  <si>
    <t xml:space="preserve">2026 Proxy Statement dated July 2, 2026 (Exhibit 99.1), Proposal No. 3 - Base Salary</t>
  </si>
  <si>
    <t xml:space="preserve">2028: NIS 115,000; 2029: NIS 120,000; target bonus 100% of base, max 200%</t>
  </si>
  <si>
    <t xml:space="preserve">AN-2048</t>
  </si>
  <si>
    <t xml:space="preserve">projection</t>
  </si>
  <si>
    <t xml:space="preserve">Co-CEO projected total compensation each at target - 2027</t>
  </si>
  <si>
    <t xml:space="preserve">Total Compensation (each, at target) | $10.4 million | $13.9 million | $14.6 million</t>
  </si>
  <si>
    <t xml:space="preserve">2026 Proxy Statement dated July 2, 2026 (Exhibit 99.1), Proposal No. 3 - Projected Compensation Under the Proposed Plan</t>
  </si>
  <si>
    <t xml:space="preserve">Two Co-CEOs; approved at AGM Aug 6, 2026</t>
  </si>
  <si>
    <t xml:space="preserve">AN-2049</t>
  </si>
  <si>
    <t xml:space="preserve">Co-CEO projected total compensation each at target - 2028</t>
  </si>
  <si>
    <t xml:space="preserve">AN-2050</t>
  </si>
  <si>
    <t xml:space="preserve">Co-CEO projected total compensation each at target - 2029</t>
  </si>
  <si>
    <t xml:space="preserve">AN-2051</t>
  </si>
  <si>
    <t xml:space="preserve">Commission capitalization amortization period</t>
  </si>
  <si>
    <t xml:space="preserve">These costs are capitalized and amortized on a straight-line basis over the anticipated period of benefit, which is estimated to be three years, taking into consideration anticipated contract renewals.</t>
  </si>
  <si>
    <t xml:space="preserve">AN-2052</t>
  </si>
  <si>
    <t xml:space="preserve">2021-06-10</t>
  </si>
  <si>
    <t xml:space="preserve">Concurrent private placement gross proceeds</t>
  </si>
  <si>
    <t xml:space="preserve">concurrent private placement with two investors to purchase 967,742 of its ordinary shares in consideration for gross proceeds of $150,000 ... Related underwriting discounts and commissions amounted to $6,000.</t>
  </si>
  <si>
    <t xml:space="preserve">Item 18 &gt; Note 12b Initial Public Offering and concurrent Private Placement</t>
  </si>
  <si>
    <t xml:space="preserve">Investors per Item 19 exhibits: Salesforce Ventures and Zoom Video Communications.</t>
  </si>
  <si>
    <t xml:space="preserve">AN-2053</t>
  </si>
  <si>
    <t xml:space="preserve">Cost of revenue | 39,013 | 22,488 | 11,978</t>
  </si>
  <si>
    <t xml:space="preserve">Item 18 Financial Statements &gt; Consolidated Statements of Operations (U.S. dollars in thousands)</t>
  </si>
  <si>
    <t xml:space="preserve">AN-2054</t>
  </si>
  <si>
    <t xml:space="preserve">AN-2055</t>
  </si>
  <si>
    <t xml:space="preserve">Cost of revenue | 66,528 | 39,013 | 22,488</t>
  </si>
  <si>
    <t xml:space="preserve">AN-2056</t>
  </si>
  <si>
    <t xml:space="preserve">AN-2057</t>
  </si>
  <si>
    <t xml:space="preserve">AN-2058</t>
  </si>
  <si>
    <t xml:space="preserve">Cost of revenue | 80,645 | 66,528 | 39,013</t>
  </si>
  <si>
    <t xml:space="preserve">AN-2059</t>
  </si>
  <si>
    <t xml:space="preserve">AN-2060</t>
  </si>
  <si>
    <t xml:space="preserve">AN-2061</t>
  </si>
  <si>
    <t xml:space="preserve">Cost of revenue | 103,691 | 80,645 | 66,528</t>
  </si>
  <si>
    <t xml:space="preserve">Item 18 (Part 5 - Consolidated Financial Statements) - Consolidated Statements of Operations (U.S. dollars in thousands)</t>
  </si>
  <si>
    <t xml:space="preserve">AN-2062</t>
  </si>
  <si>
    <t xml:space="preserve">AN-2063</t>
  </si>
  <si>
    <t xml:space="preserve">AN-2064</t>
  </si>
  <si>
    <t xml:space="preserve">|| Cost of revenue | 133,099 | 103,691 | 80,645</t>
  </si>
  <si>
    <t xml:space="preserve">AN-2065</t>
  </si>
  <si>
    <t xml:space="preserve">AN-2066</t>
  </si>
  <si>
    <t xml:space="preserve">AN-2067</t>
  </si>
  <si>
    <t xml:space="preserve">AN-2068</t>
  </si>
  <si>
    <t xml:space="preserve">Cost of revenue | 47,217 | 36,530</t>
  </si>
  <si>
    <t xml:space="preserve">AN-2069</t>
  </si>
  <si>
    <t xml:space="preserve">AN-2070</t>
  </si>
  <si>
    <t xml:space="preserve">Cost of revenue | 59,978</t>
  </si>
  <si>
    <t xml:space="preserve">AN-2071</t>
  </si>
  <si>
    <t xml:space="preserve">Cost of revenue | 80,785</t>
  </si>
  <si>
    <t xml:space="preserve">AN-2072</t>
  </si>
  <si>
    <t xml:space="preserve">Credit loss expense</t>
  </si>
  <si>
    <t xml:space="preserve">Expenses associated with credit losses for the years ended December 31, 2023, 2022 and 2021 were $ 2,040 , $ 1,622 and $ 594 , respectively.</t>
  </si>
  <si>
    <t xml:space="preserve">Item 18 Financial Statements &gt; Notes to Consolidated Financial Statements &gt; Note 2: Significant Accounting Policies &gt; E. Accounts Receivable</t>
  </si>
  <si>
    <t xml:space="preserve">AN-2073</t>
  </si>
  <si>
    <t xml:space="preserve">AN-2074</t>
  </si>
  <si>
    <t xml:space="preserve">Expenses associated with credit losses for the years ended December 31, 2024, 2023 and 2022 were $ 2,525 , $ 2,040 and $ 1,622 , respectively.</t>
  </si>
  <si>
    <t xml:space="preserve">Item 18 (Part 5 - Consolidated Financial Statements) - Note 2: Significant Accounting Policies - F. Accounts Receivable</t>
  </si>
  <si>
    <t xml:space="preserve">AN-2075</t>
  </si>
  <si>
    <t xml:space="preserve">AN-2076</t>
  </si>
  <si>
    <t xml:space="preserve">AN-2077</t>
  </si>
  <si>
    <t xml:space="preserve">Expenses associated with credit losses for the years ended December 31, 2025, 2024 and 2023 were $4,467, $2,525 and $2,040, respectively.</t>
  </si>
  <si>
    <t xml:space="preserve">Item 18 / Consolidated Financial Statements - Notes to Consolidated Financial Statements - Note 2: Significant Accounting Policies - F. Accounts Receivable</t>
  </si>
  <si>
    <t xml:space="preserve">AN-2078</t>
  </si>
  <si>
    <t xml:space="preserve">AN-2079</t>
  </si>
  <si>
    <t xml:space="preserve">AN-2080</t>
  </si>
  <si>
    <t xml:space="preserve">AN-2081</t>
  </si>
  <si>
    <t xml:space="preserve">Customer concentration - largest single customer share of revenue</t>
  </si>
  <si>
    <t xml:space="preserve">no single customer accounts for more than 1% of our revenues, and our top 100 customers accounted for less than 10% of our revenues for the years ended December 31, 2023 and 2022.</t>
  </si>
  <si>
    <t xml:space="preserve">Upper bound (&lt;=1%); top 100 customers &lt;10% of revenue in 2023 and 2022.</t>
  </si>
  <si>
    <t xml:space="preserve">AN-2082</t>
  </si>
  <si>
    <t xml:space="preserve">our top 100 customers accounted for less than 10% of our revenues for the years ended December 31, 2023 and 2022.</t>
  </si>
  <si>
    <t xml:space="preserve">Upper bound ('less than 10%'); same for FY2022.</t>
  </si>
  <si>
    <t xml:space="preserve">AN-2083</t>
  </si>
  <si>
    <t xml:space="preserve">D&amp;O insurance limit of liability (cap)</t>
  </si>
  <si>
    <t xml:space="preserve">The limit of liability of the insurer shall not exceed the greater of $450 million or 50% of the Company’s shareholders’ equity</t>
  </si>
  <si>
    <t xml:space="preserve">2026 Proxy Statement dated July 2, 2026 (Exhibit 99.1), Exhibit B Compensation Policy - section 21.2.1</t>
  </si>
  <si>
    <t xml:space="preserve">AN-2084</t>
  </si>
  <si>
    <t xml:space="preserve">Decrease in G&amp;A overhead allocation</t>
  </si>
  <si>
    <t xml:space="preserve">partially offset by a decrease of $22.9 million in overhead allocation</t>
  </si>
  <si>
    <t xml:space="preserve">AN-2085</t>
  </si>
  <si>
    <t xml:space="preserve">Decrease in partners commission expenses due to capitalization</t>
  </si>
  <si>
    <t xml:space="preserve">partially offset by a decrease of $25.2 million in partners commission expenses, due to capitalization.</t>
  </si>
  <si>
    <t xml:space="preserve">Item 5.A / Part 4 - Comparison of the Years Ended December 31, 2025 and 2024 - Sales and Marketing Expenses</t>
  </si>
  <si>
    <t xml:space="preserve">AN-2086</t>
  </si>
  <si>
    <t xml:space="preserve">Deferred contract acquisition costs - Amortization</t>
  </si>
  <si>
    <t xml:space="preserve">Amortization | -9,090 | -1,825</t>
  </si>
  <si>
    <t xml:space="preserve">H1 2025 interim financial statements (Exhibit 99.2), Note 3 Revenue Recognition - Deferred Contract Acquisition Costs</t>
  </si>
  <si>
    <t xml:space="preserve">AN-2087</t>
  </si>
  <si>
    <t xml:space="preserve">AN-2088</t>
  </si>
  <si>
    <t xml:space="preserve">Amortization | -22,034 | -9,090</t>
  </si>
  <si>
    <t xml:space="preserve">H1 2026 interim financial statements (Exhibit 99.2), Note 3 - Deferred Contract Acquisition Costs</t>
  </si>
  <si>
    <t xml:space="preserve">AN-2089</t>
  </si>
  <si>
    <t xml:space="preserve">Deferred contract acquisition costs - Beginning balance</t>
  </si>
  <si>
    <t xml:space="preserve">Beginning balance | 20,522 | 3,675</t>
  </si>
  <si>
    <t xml:space="preserve">AN-2090</t>
  </si>
  <si>
    <t xml:space="preserve">AN-2091</t>
  </si>
  <si>
    <t xml:space="preserve">Beginning balance | 85,808 | 20,522</t>
  </si>
  <si>
    <t xml:space="preserve">AN-2092</t>
  </si>
  <si>
    <t xml:space="preserve">Deferred contract acquisition costs - Capitalization of deferred contract costs</t>
  </si>
  <si>
    <t xml:space="preserve">Capitalization of deferred contract costs | 34,787 | 10,187</t>
  </si>
  <si>
    <t xml:space="preserve">AN-2093</t>
  </si>
  <si>
    <t xml:space="preserve">AN-2094</t>
  </si>
  <si>
    <t xml:space="preserve">Capitalization of deferred contract costs | 62,753 | 34,787</t>
  </si>
  <si>
    <t xml:space="preserve">AN-2095</t>
  </si>
  <si>
    <t xml:space="preserve">Deferred contract acquisition costs - Ending balance</t>
  </si>
  <si>
    <t xml:space="preserve">Ending balance | 46,219 | 12,037</t>
  </si>
  <si>
    <t xml:space="preserve">AN-2096</t>
  </si>
  <si>
    <t xml:space="preserve">AN-2097</t>
  </si>
  <si>
    <t xml:space="preserve">Ending balance | 126,527 | 46,219</t>
  </si>
  <si>
    <t xml:space="preserve">AN-2098</t>
  </si>
  <si>
    <t xml:space="preserve">Deferred contract acquisition costs amortization period</t>
  </si>
  <si>
    <t xml:space="preserve">Deferred contract acquisition costs are amortized over a period of benefit of three years.</t>
  </si>
  <si>
    <t xml:space="preserve">H1 2025 interim financial statements (Exhibit 99.2), Note 3 - Deferred Contract Acquisition Costs</t>
  </si>
  <si>
    <t xml:space="preserve">AN-2099</t>
  </si>
  <si>
    <t xml:space="preserve">Deferred contract costs, current</t>
  </si>
  <si>
    <t xml:space="preserve">Deferred contract costs, current | $ | 20,160 | $ | 10,409</t>
  </si>
  <si>
    <t xml:space="preserve">Dec 31 2024: 10,409</t>
  </si>
  <si>
    <t xml:space="preserve">AN-2100</t>
  </si>
  <si>
    <t xml:space="preserve">Deferred contract costs, current | $ | 54,476 | $ | 36,775</t>
  </si>
  <si>
    <t xml:space="preserve">H1 2026 interim financial statements (Exhibit 99.2), Note 3</t>
  </si>
  <si>
    <t xml:space="preserve">Dec 31 2025: 36,775</t>
  </si>
  <si>
    <t xml:space="preserve">AN-2101</t>
  </si>
  <si>
    <t xml:space="preserve">Deferred contract costs, noncurrent</t>
  </si>
  <si>
    <t xml:space="preserve">Deferred contract costs, noncurrent | 26,059 | 10,113</t>
  </si>
  <si>
    <t xml:space="preserve">Dec 31 2024: 10,113</t>
  </si>
  <si>
    <t xml:space="preserve">AN-2102</t>
  </si>
  <si>
    <t xml:space="preserve">Deferred contract costs, noncurrent | 72,051 | 49,033</t>
  </si>
  <si>
    <t xml:space="preserve">Dec 31 2025: 49,033</t>
  </si>
  <si>
    <t xml:space="preserve">AN-2103</t>
  </si>
  <si>
    <t xml:space="preserve">Diluted EPS</t>
  </si>
  <si>
    <t xml:space="preserve">|| Net income (loss) per share attributable to ordinary shareholders', diluted | $ | 2.24 | $ | 0.62 | $ | ( 0.04 )</t>
  </si>
  <si>
    <t xml:space="preserve">AN-2104</t>
  </si>
  <si>
    <t xml:space="preserve">Net income (loss) per share attributable to ordinary shareholders, diluted | $ | 0.62 | $ | ( 0.04 ) | $ | ( 2.99 )</t>
  </si>
  <si>
    <t xml:space="preserve">Item 18 (Part 5 - Consolidated Financial Statements) - Note 15: Earnings (Loss) Per Share</t>
  </si>
  <si>
    <t xml:space="preserve">AN-2105</t>
  </si>
  <si>
    <t xml:space="preserve">AN-2106</t>
  </si>
  <si>
    <t xml:space="preserve">AN-2107</t>
  </si>
  <si>
    <t xml:space="preserve">Directors and executive officers aggregate compensation</t>
  </si>
  <si>
    <t xml:space="preserve">for the year ended December 31, 2021, was approximately $11.7 million</t>
  </si>
  <si>
    <t xml:space="preserve">AN-2108</t>
  </si>
  <si>
    <t xml:space="preserve">Doubtful accounts expense</t>
  </si>
  <si>
    <t xml:space="preserve">and $264 respectively</t>
  </si>
  <si>
    <t xml:space="preserve">Item 18 &gt; Note 2f Accounts Receivable</t>
  </si>
  <si>
    <t xml:space="preserve">AN-2109</t>
  </si>
  <si>
    <t xml:space="preserve">Doubtful accounts expense for the years ended December 31, 2021 and 2020 was $594 and $264 respectively. The Company wrote off bad debts in the amount of $609 during 2021.</t>
  </si>
  <si>
    <t xml:space="preserve">AN-2110</t>
  </si>
  <si>
    <t xml:space="preserve">AN-2111</t>
  </si>
  <si>
    <t xml:space="preserve">AN-2112</t>
  </si>
  <si>
    <t xml:space="preserve">FY2025 GAAP net income</t>
  </si>
  <si>
    <t xml:space="preserve">delivering GAAP net income of $118.7 million</t>
  </si>
  <si>
    <t xml:space="preserve">AN-2113</t>
  </si>
  <si>
    <t xml:space="preserve">FY2025 revenue (as stated in proxy)</t>
  </si>
  <si>
    <t xml:space="preserve">In 2025, we crossed $1 billion in revenue for the first time, growing 27% year-over-year to $1.232 billion</t>
  </si>
  <si>
    <t xml:space="preserve">Proxy page 05 writes 'Revenue of $1,232 billion' (typo)</t>
  </si>
  <si>
    <t xml:space="preserve">AN-2114</t>
  </si>
  <si>
    <t xml:space="preserve">FY2025 revenue growth</t>
  </si>
  <si>
    <t xml:space="preserve">growing 27% year-over-year to $1.232 billion</t>
  </si>
  <si>
    <t xml:space="preserve">AN-2115</t>
  </si>
  <si>
    <t xml:space="preserve">FY2026 R&amp;D expense outlook as % of revenue</t>
  </si>
  <si>
    <t xml:space="preserve">We expect full year 2026 research and development expenses to decline as a percentage of revenue compared to the first half of 2026, to the low-20s as a percentage of revenue, as savings from the 2026 restructuring plan (the “Plan”) and newly enacted Israeli research and development tax benefits (“The Encouragement and Incentivization of Research and Development Law, 5786-2026”) are realized in the second half of the year.</t>
  </si>
  <si>
    <t xml:space="preserve">Long term: 'low-20s' % of revenue</t>
  </si>
  <si>
    <t xml:space="preserve">AN-2116</t>
  </si>
  <si>
    <t xml:space="preserve">FY2026 S&amp;M expense outlook as % of revenue</t>
  </si>
  <si>
    <t xml:space="preserve">We expect full year 2026 sales and marketing expenses to remain broadly stable as a percentage of revenue as continued investment in go-to-market initiatives is largely offset by cost savings from the Plan.</t>
  </si>
  <si>
    <t xml:space="preserve">H1 2026 MD&amp;A (Exhibit 99.3), Sales and Marketing Expenses</t>
  </si>
  <si>
    <t xml:space="preserve">Long term: slight decline from current levels</t>
  </si>
  <si>
    <t xml:space="preserve">AN-2117</t>
  </si>
  <si>
    <t xml:space="preserve">FY2026 outlook - Adjusted free cash flow margin (high) - current (July 22, 2026)</t>
  </si>
  <si>
    <t xml:space="preserve">Adjusted Free Cash Flow Margin | 19%-20% | 19%-20%</t>
  </si>
  <si>
    <t xml:space="preserve">Restructuring 6-K dated July 22, 2026, Explanatory Note - FY26 Outlook table</t>
  </si>
  <si>
    <t xml:space="preserve">Previous (Q1 2026 earnings call): 20%; excludes restructuring charges; includes est. adverse FX impact of ~100-200 bps on margins</t>
  </si>
  <si>
    <t xml:space="preserve">AN-2118</t>
  </si>
  <si>
    <t xml:space="preserve">FY2026 outlook - Adjusted free cash flow margin (low) - current (July 22, 2026)</t>
  </si>
  <si>
    <t xml:space="preserve">Previous (Q1 2026 earnings call): 19%; excludes restructuring charges; includes est. adverse FX impact of ~100-200 bps on margins</t>
  </si>
  <si>
    <t xml:space="preserve">AN-2119</t>
  </si>
  <si>
    <t xml:space="preserve">FY2026 outlook - Non-GAAP operating margin - current (July 22, 2026)</t>
  </si>
  <si>
    <t xml:space="preserve">Non-GAAP Operating Margin | ~13% | ~15%</t>
  </si>
  <si>
    <t xml:space="preserve">Previous (Q1 2026 earnings call): 13%; excludes restructuring charges; includes est. adverse FX impact of ~100-200 bps on margins</t>
  </si>
  <si>
    <t xml:space="preserve">AN-2120</t>
  </si>
  <si>
    <t xml:space="preserve">FY2026 outlook - Y/Y revenue growth (high) - current (July 22, 2026)</t>
  </si>
  <si>
    <t xml:space="preserve">Y/Y Revenue Growth | 19%-20% | 19%-20%</t>
  </si>
  <si>
    <t xml:space="preserve">AN-2121</t>
  </si>
  <si>
    <t xml:space="preserve">FY2026 outlook - Y/Y revenue growth (low) - current (July 22, 2026)</t>
  </si>
  <si>
    <t xml:space="preserve">AN-2122</t>
  </si>
  <si>
    <t xml:space="preserve">FY2026 revenue guidance midpoint (raised after Q1 2026)</t>
  </si>
  <si>
    <t xml:space="preserve">Full-year 2026 revenue guidance (raised following Q1) stands at $1.47 billion (at the midpoint)</t>
  </si>
  <si>
    <t xml:space="preserve">AN-2123</t>
  </si>
  <si>
    <t xml:space="preserve">Financial income (expense), net</t>
  </si>
  <si>
    <t xml:space="preserve">Financial income (expenses), net | $ | ( 838 | ) | $ | 526 | $ | 1,590</t>
  </si>
  <si>
    <t xml:space="preserve">AN-2124</t>
  </si>
  <si>
    <t xml:space="preserve">AN-2125</t>
  </si>
  <si>
    <t xml:space="preserve">AN-2126</t>
  </si>
  <si>
    <t xml:space="preserve">Financial income (expense), net | 27,689 | 17,495</t>
  </si>
  <si>
    <t xml:space="preserve">AN-2127</t>
  </si>
  <si>
    <t xml:space="preserve">AN-2128</t>
  </si>
  <si>
    <t xml:space="preserve">Financial income, net | 55,500 | 41,911 | 22,554</t>
  </si>
  <si>
    <t xml:space="preserve">AN-2129</t>
  </si>
  <si>
    <t xml:space="preserve">AN-2130</t>
  </si>
  <si>
    <t xml:space="preserve">AN-2131</t>
  </si>
  <si>
    <t xml:space="preserve">Financial income, net | 31,749</t>
  </si>
  <si>
    <t xml:space="preserve">AN-2132</t>
  </si>
  <si>
    <t xml:space="preserve">Financial income, net | 17,336</t>
  </si>
  <si>
    <t xml:space="preserve">AN-2133</t>
  </si>
  <si>
    <t xml:space="preserve">Free plan user limit</t>
  </si>
  <si>
    <t xml:space="preserve">they are prompted to either continue with our Free plan for small teams (limited to two users) or pay for one of our four paid subscription plans.</t>
  </si>
  <si>
    <t xml:space="preserve">Item 4.B / Part 1 - Who we are - Our platform</t>
  </si>
  <si>
    <t xml:space="preserve">14-day free trial of Pro plan; four paid subscription plans. [Manually re-checked against source text.]</t>
  </si>
  <si>
    <t xml:space="preserve">AN-2134</t>
  </si>
  <si>
    <t xml:space="preserve">Free trial length (Pro plan)</t>
  </si>
  <si>
    <t xml:space="preserve">customers enroll in a 14-day free trial of our Pro plan, after which they are prompted to either continue with our Individual plan for small teams (limited to two users) or pay for one of our four paid subscription plans.</t>
  </si>
  <si>
    <t xml:space="preserve">Part 1 - Who We Are (Item 4.B Business Overview) &gt; CRO Team &gt; Marketing</t>
  </si>
  <si>
    <t xml:space="preserve">AN-2135</t>
  </si>
  <si>
    <t xml:space="preserve">customers enroll in a 14-day free trial of our Pro plan for the product that fits their needs, after which they are prompted to either continue with our Free plan for small teams (limited to two users) or pay for one of our four paid subscription plans.</t>
  </si>
  <si>
    <t xml:space="preserve">Part 1 - Who We Are (Item 4.B) &gt; Our platform</t>
  </si>
  <si>
    <t xml:space="preserve">Four paid subscription plans; free plan limited to two users.</t>
  </si>
  <si>
    <t xml:space="preserve">AN-2136</t>
  </si>
  <si>
    <t xml:space="preserve">G&amp;A as % of revenue</t>
  </si>
  <si>
    <t xml:space="preserve">General and administrative | 16 | 17 | 33</t>
  </si>
  <si>
    <t xml:space="preserve">Part 4 - Operating and Financial Review and Prospects (Item 5) &gt; A. Operating Results (Item 5.A) &gt; Comparison of Period-to-Period Results of Operations (% of revenue table)</t>
  </si>
  <si>
    <t xml:space="preserve">AN-2137</t>
  </si>
  <si>
    <t xml:space="preserve">AN-2138</t>
  </si>
  <si>
    <t xml:space="preserve">General and administrative | 13 | 16 | 17</t>
  </si>
  <si>
    <t xml:space="preserve">Part 4 - Operating and Financial Review and Prospects (Item 5.A) &gt; A. Operating Results &gt; Comparison of Period-to-Period Results of Operations (% of revenue table)</t>
  </si>
  <si>
    <t xml:space="preserve">AN-2139</t>
  </si>
  <si>
    <t xml:space="preserve">AN-2140</t>
  </si>
  <si>
    <t xml:space="preserve">AN-2141</t>
  </si>
  <si>
    <t xml:space="preserve">General and administrative | 15 | 13 | 16</t>
  </si>
  <si>
    <t xml:space="preserve">Item 5 (Part 4 - Operating and Financial Review and Prospects) - A. Operating Results - Comparison of Period-to-Period Results of Operations (% of revenue table)</t>
  </si>
  <si>
    <t xml:space="preserve">AN-2142</t>
  </si>
  <si>
    <t xml:space="preserve">AN-2143</t>
  </si>
  <si>
    <t xml:space="preserve">AN-2144</t>
  </si>
  <si>
    <t xml:space="preserve">AN-2145</t>
  </si>
  <si>
    <t xml:space="preserve">our general and administrative expenses as a percentage of revenue were approximately 12% and 13%, respectively</t>
  </si>
  <si>
    <t xml:space="preserve">H1 2023: 13%</t>
  </si>
  <si>
    <t xml:space="preserve">AN-2146</t>
  </si>
  <si>
    <t xml:space="preserve">For both the six months ended June 30, 2025 and June 30, 2024, our general and administrative expenses as a percentage of revenue were approximately 12%.</t>
  </si>
  <si>
    <t xml:space="preserve">H1 2024: 12%</t>
  </si>
  <si>
    <t xml:space="preserve">AN-2147</t>
  </si>
  <si>
    <t xml:space="preserve">our general and administrative expenses as a percentage of revenue were approximately 11% and 12%, respectively</t>
  </si>
  <si>
    <t xml:space="preserve">H1 2026 MD&amp;A (Exhibit 99.3), A. Operating Results</t>
  </si>
  <si>
    <t xml:space="preserve">H1 2025: 12%</t>
  </si>
  <si>
    <t xml:space="preserve">AN-2148</t>
  </si>
  <si>
    <t xml:space="preserve">GAAP operating income (loss)</t>
  </si>
  <si>
    <t xml:space="preserve">Operating income (loss) | 18,210 | ( 1,755 | )</t>
  </si>
  <si>
    <t xml:space="preserve">AN-2149</t>
  </si>
  <si>
    <t xml:space="preserve">GAAP operating loss</t>
  </si>
  <si>
    <t xml:space="preserve">|| Operating loss | ( 1,748 ) | ( 21,034 ) | ( 38,585 )</t>
  </si>
  <si>
    <t xml:space="preserve">AN-2150</t>
  </si>
  <si>
    <t xml:space="preserve">AN-2151</t>
  </si>
  <si>
    <t xml:space="preserve">AN-2152</t>
  </si>
  <si>
    <t xml:space="preserve">|| GAAP operating loss | (1,748)</t>
  </si>
  <si>
    <t xml:space="preserve">AN-2153</t>
  </si>
  <si>
    <t xml:space="preserve">Operating loss | ( 3,228 | ) | ( 34,919 | )</t>
  </si>
  <si>
    <t xml:space="preserve">AN-2154</t>
  </si>
  <si>
    <t xml:space="preserve">AN-2155</t>
  </si>
  <si>
    <t xml:space="preserve">Operating loss | ( 1,755 | ) | ( 3,228 | )</t>
  </si>
  <si>
    <t xml:space="preserve">AN-2156</t>
  </si>
  <si>
    <t xml:space="preserve">GAAP operating margin</t>
  </si>
  <si>
    <t xml:space="preserve">GAAP operating income was $18.2 million for the six months ended June 30, 2026, representing a GAAP operating margin of approximately 3%</t>
  </si>
  <si>
    <t xml:space="preserve">H1 2026 MD&amp;A (Exhibit 99.3), Operating Income and Operating Margin</t>
  </si>
  <si>
    <t xml:space="preserve">AN-2157</t>
  </si>
  <si>
    <t xml:space="preserve">General and administrative</t>
  </si>
  <si>
    <t xml:space="preserve">General and administrative | 92,733 | 85,401 | 53,493</t>
  </si>
  <si>
    <t xml:space="preserve">AN-2158</t>
  </si>
  <si>
    <t xml:space="preserve">AN-2159</t>
  </si>
  <si>
    <t xml:space="preserve">General and administrative | 142,090 | 92,733 | 85,401</t>
  </si>
  <si>
    <t xml:space="preserve">AN-2160</t>
  </si>
  <si>
    <t xml:space="preserve">AN-2161</t>
  </si>
  <si>
    <t xml:space="preserve">AN-2162</t>
  </si>
  <si>
    <t xml:space="preserve">AN-2163</t>
  </si>
  <si>
    <t xml:space="preserve">General and administrative | 72,307</t>
  </si>
  <si>
    <t xml:space="preserve">AN-2164</t>
  </si>
  <si>
    <t xml:space="preserve">General and administrative | 76,331</t>
  </si>
  <si>
    <t xml:space="preserve">AN-2165</t>
  </si>
  <si>
    <t xml:space="preserve">General and administrative expense</t>
  </si>
  <si>
    <t xml:space="preserve">General and administrative | 53,493 | 54,339 | 15,458</t>
  </si>
  <si>
    <t xml:space="preserve">AN-2166</t>
  </si>
  <si>
    <t xml:space="preserve">AN-2167</t>
  </si>
  <si>
    <t xml:space="preserve">General and administrative | 85,401 | 53,493 | 54,339</t>
  </si>
  <si>
    <t xml:space="preserve">AN-2168</t>
  </si>
  <si>
    <t xml:space="preserve">AN-2169</t>
  </si>
  <si>
    <t xml:space="preserve">AN-2170</t>
  </si>
  <si>
    <t xml:space="preserve">AN-2171</t>
  </si>
  <si>
    <t xml:space="preserve">|| General and administrative | 148,996 | 142,090 | 92,733</t>
  </si>
  <si>
    <t xml:space="preserve">AN-2172</t>
  </si>
  <si>
    <t xml:space="preserve">AN-2173</t>
  </si>
  <si>
    <t xml:space="preserve">AN-2174</t>
  </si>
  <si>
    <t xml:space="preserve">General and administrative | 54,550 | 45,032</t>
  </si>
  <si>
    <t xml:space="preserve">AN-2175</t>
  </si>
  <si>
    <t xml:space="preserve">AN-2176</t>
  </si>
  <si>
    <t xml:space="preserve">Gross profit | 87 | 87 | 86</t>
  </si>
  <si>
    <t xml:space="preserve">AN-2177</t>
  </si>
  <si>
    <t xml:space="preserve">AN-2178</t>
  </si>
  <si>
    <t xml:space="preserve">Gross profit | 89 | 87 | 87</t>
  </si>
  <si>
    <t xml:space="preserve">AN-2179</t>
  </si>
  <si>
    <t xml:space="preserve">AN-2180</t>
  </si>
  <si>
    <t xml:space="preserve">AN-2181</t>
  </si>
  <si>
    <t xml:space="preserve">AN-2182</t>
  </si>
  <si>
    <t xml:space="preserve">Gross profit | 90 | % | 89 | %</t>
  </si>
  <si>
    <t xml:space="preserve">H1 2024 MD&amp;A (Exhibit 99.3), Cost of Revenue and Gross Profit</t>
  </si>
  <si>
    <t xml:space="preserve">H1 2023: 89%</t>
  </si>
  <si>
    <t xml:space="preserve">AN-2183</t>
  </si>
  <si>
    <t xml:space="preserve">Gross profit | 89 | % | 90 | %</t>
  </si>
  <si>
    <t xml:space="preserve">H1 2025: 90%</t>
  </si>
  <si>
    <t xml:space="preserve">AN-2184</t>
  </si>
  <si>
    <t xml:space="preserve">Gross margin (% of revenue)</t>
  </si>
  <si>
    <t xml:space="preserve">Gross profit | 89 | 89 | 87</t>
  </si>
  <si>
    <t xml:space="preserve">AN-2185</t>
  </si>
  <si>
    <t xml:space="preserve">AN-2186</t>
  </si>
  <si>
    <t xml:space="preserve">AN-2187</t>
  </si>
  <si>
    <t xml:space="preserve">mid-term</t>
  </si>
  <si>
    <t xml:space="preserve">outlook</t>
  </si>
  <si>
    <t xml:space="preserve">Gross margin outlook</t>
  </si>
  <si>
    <t xml:space="preserve">As adoption of our AI-powered offerings increases, we expect associated infrastructure and compute costs to increase. As a result, we expect our gross margin to decline modestly in the mid-term, before stabilizing over the long term as we drive efficiencies and scale.</t>
  </si>
  <si>
    <t xml:space="preserve">H1 2026 MD&amp;A (Exhibit 99.3), Gross Profit and Gross Margin</t>
  </si>
  <si>
    <t xml:space="preserve">AN-2188</t>
  </si>
  <si>
    <t xml:space="preserve">Gross profit</t>
  </si>
  <si>
    <t xml:space="preserve">Gross profit | 269,137 | 138,635 | 66,111</t>
  </si>
  <si>
    <t xml:space="preserve">AN-2189</t>
  </si>
  <si>
    <t xml:space="preserve">AN-2190</t>
  </si>
  <si>
    <t xml:space="preserve">Gross profit | 452,501 | 269,137 | 138,635</t>
  </si>
  <si>
    <t xml:space="preserve">AN-2191</t>
  </si>
  <si>
    <t xml:space="preserve">AN-2192</t>
  </si>
  <si>
    <t xml:space="preserve">AN-2193</t>
  </si>
  <si>
    <t xml:space="preserve">Gross profit | 649,050 | 452,501 | 269,137</t>
  </si>
  <si>
    <t xml:space="preserve">AN-2194</t>
  </si>
  <si>
    <t xml:space="preserve">AN-2195</t>
  </si>
  <si>
    <t xml:space="preserve">AN-2196</t>
  </si>
  <si>
    <t xml:space="preserve">Gross profit | 868,304 | 649,050 | 452,501</t>
  </si>
  <si>
    <t xml:space="preserve">AN-2197</t>
  </si>
  <si>
    <t xml:space="preserve">AN-2198</t>
  </si>
  <si>
    <t xml:space="preserve">AN-2199</t>
  </si>
  <si>
    <t xml:space="preserve">AN-2200</t>
  </si>
  <si>
    <t xml:space="preserve">Gross profit | 405,802 | 301,405</t>
  </si>
  <si>
    <t xml:space="preserve">AN-2201</t>
  </si>
  <si>
    <t xml:space="preserve">AN-2202</t>
  </si>
  <si>
    <t xml:space="preserve">Gross profit | 521,286</t>
  </si>
  <si>
    <t xml:space="preserve">AN-2203</t>
  </si>
  <si>
    <t xml:space="preserve">Gross profit | 635,101</t>
  </si>
  <si>
    <t xml:space="preserve">AN-2204</t>
  </si>
  <si>
    <t xml:space="preserve">IPO and private placement net proceeds (combined)</t>
  </si>
  <si>
    <t xml:space="preserve">Proceeds from initial public offering and concurrent private placement, net of underwriting discounts and other issuance costs | 735,856</t>
  </si>
  <si>
    <t xml:space="preserve">AN-2205</t>
  </si>
  <si>
    <t xml:space="preserve">2021-09-07</t>
  </si>
  <si>
    <t xml:space="preserve">IPO lock-up early release - % of shares held by current employees released</t>
  </si>
  <si>
    <t xml:space="preserve">then 25% of the ordinary shares held by current employees of the Company and 5% of the ordinary shares held by those who are not current employees of the Company subject to the lock-up agreements will be released from the lock-up restrictions</t>
  </si>
  <si>
    <t xml:space="preserve">6-K dated September 2, 2021, Notice of Early Lock-Up Release Date</t>
  </si>
  <si>
    <t xml:space="preserve">Price Condition: closing price at least 33% above IPO price for 10 of 15 trading days; expected satisfied Sept 7, 2021</t>
  </si>
  <si>
    <t xml:space="preserve">AN-2206</t>
  </si>
  <si>
    <t xml:space="preserve">IPO lock-up early release - % of shares held by non-employees released</t>
  </si>
  <si>
    <t xml:space="preserve">5% of the ordinary shares held by those who are not current employees of the Company subject to the lock-up agreements will be released</t>
  </si>
  <si>
    <t xml:space="preserve">AN-2207</t>
  </si>
  <si>
    <t xml:space="preserve">2021-12-06</t>
  </si>
  <si>
    <t xml:space="preserve">IPO lock-up expiry (latest)</t>
  </si>
  <si>
    <t xml:space="preserve">All remaining shares are expected to be released from the lock-up ... at the open of trading on the trading day immediately following the earlier of (i) December 6, 2021 or (ii) the second trading day after the Company has publicly furnished its second earnings release on a Form 6-K</t>
  </si>
  <si>
    <t xml:space="preserve">AN-2208</t>
  </si>
  <si>
    <t xml:space="preserve">IPO net proceeds</t>
  </si>
  <si>
    <t xml:space="preserve">The Company received net proceeds of $591,856 after deducting underwriting discounts and commissions of $34,697, and other issuance costs of $4,298.</t>
  </si>
  <si>
    <t xml:space="preserve">AN-2209</t>
  </si>
  <si>
    <t xml:space="preserve">IPO shares issued (incl. underwriters' option)</t>
  </si>
  <si>
    <t xml:space="preserve">the Company issued and sold 3,700,000 shares of its ordinary shares at an offering price of $155.00 per share, and additional 370,000 ordinary shares pursuant to the exercise in full of the underwriters' option</t>
  </si>
  <si>
    <t xml:space="preserve">3,700,000 + 370,000 as stated separately. [Normalized value intentionally left blank: the source states this as text or as separate figures, not as a single disclosed number.] [Manually re-checked against source text.]</t>
  </si>
  <si>
    <t xml:space="preserve">AN-2210</t>
  </si>
  <si>
    <t xml:space="preserve">Incentive KPIs used in 2026</t>
  </si>
  <si>
    <t xml:space="preserve">In 2026, these KPIs were revenue and Non-GAAP operating margins, respectively. ... The target levels for any financial KPIs shall not be established below the Company’s publicly disclosed financial guidance.</t>
  </si>
  <si>
    <t xml:space="preserve">2026 Proxy Statement dated July 2, 2026 (Exhibit 99.1), Proposal No. 2 - Performance Targets and KPI Structure</t>
  </si>
  <si>
    <t xml:space="preserve">AN-2211</t>
  </si>
  <si>
    <t xml:space="preserve">Increase in G&amp;A rent and related expenses</t>
  </si>
  <si>
    <t xml:space="preserve">an increase of $9.5 million in rent and related expenses mainly due to global expansion</t>
  </si>
  <si>
    <t xml:space="preserve">AN-2212</t>
  </si>
  <si>
    <t xml:space="preserve">Increase in R&amp;D salaries and related expenses</t>
  </si>
  <si>
    <t xml:space="preserve">an increase of $27.3 million in salaries and related expenses and an increase of $11.2 million in share-based compensation expenses</t>
  </si>
  <si>
    <t xml:space="preserve">Part 4 - Operating and Financial Review and Prospects (Item 5) &gt; A. Operating Results (Item 5.A) &gt; Research and Development Expenses</t>
  </si>
  <si>
    <t xml:space="preserve">AN-2213</t>
  </si>
  <si>
    <t xml:space="preserve">an increase of $59.6 million in salaries and related expenses and an increase of $31.3 million in share-based compensation expenses due to an increase in the number of employees</t>
  </si>
  <si>
    <t xml:space="preserve">Item 5.A / Part 4 - Comparison of the Years Ended December 31, 2025 and 2024 - Research and Development Expenses</t>
  </si>
  <si>
    <t xml:space="preserve">AN-2214</t>
  </si>
  <si>
    <t xml:space="preserve">Increase in S&amp;M salaries and related expenses</t>
  </si>
  <si>
    <t xml:space="preserve">an increase of $45.7 million in salaries and related expenses due to an increase in the number of employees</t>
  </si>
  <si>
    <t xml:space="preserve">Part 4 - Operating and Financial Review and Prospects (Item 5) &gt; A. Operating Results (Item 5.A) &gt; Sales and Marketing Expenses</t>
  </si>
  <si>
    <t xml:space="preserve">AN-2215</t>
  </si>
  <si>
    <t xml:space="preserve">an increase of $79.6 million in salaries and related expenses and an increase of $10.2 million in share-based compensation expenses due to an increase in the number of employees</t>
  </si>
  <si>
    <t xml:space="preserve">AN-2216</t>
  </si>
  <si>
    <t xml:space="preserve">Increase in hosting expenses (cost of revenue)</t>
  </si>
  <si>
    <t xml:space="preserve">an increase of $5.1 million in hosting expenses</t>
  </si>
  <si>
    <t xml:space="preserve">Part 4 - Operating and Financial Review and Prospects (Item 5) &gt; A. Operating Results (Item 5.A) &gt; Cost of Revenue and Gross Profit</t>
  </si>
  <si>
    <t xml:space="preserve">AN-2217</t>
  </si>
  <si>
    <t xml:space="preserve">an increase of $7.1 million in hosting expenses</t>
  </si>
  <si>
    <t xml:space="preserve">AN-2218</t>
  </si>
  <si>
    <t xml:space="preserve">Increase in interest on deposits and money market funds</t>
  </si>
  <si>
    <t xml:space="preserve">such as an increase in interest on deposits and money market funds of $17.8 million</t>
  </si>
  <si>
    <t xml:space="preserve">AN-2219</t>
  </si>
  <si>
    <t xml:space="preserve">Increase in marketing, advertising and brand costs</t>
  </si>
  <si>
    <t xml:space="preserve">an increase of $38.0 million in marketing, advertising and brand costs</t>
  </si>
  <si>
    <t xml:space="preserve">AN-2220</t>
  </si>
  <si>
    <t xml:space="preserve">Increase in online marketing campaigns, branding and global events costs</t>
  </si>
  <si>
    <t xml:space="preserve">an increase of $18.6 million in online marketing campaigns, branding and costs associated with global events</t>
  </si>
  <si>
    <t xml:space="preserve">AN-2221</t>
  </si>
  <si>
    <t xml:space="preserve">Increase in partners commission expenses</t>
  </si>
  <si>
    <t xml:space="preserve">an increase of $10.4 million in partners commission expenses</t>
  </si>
  <si>
    <t xml:space="preserve">AN-2222</t>
  </si>
  <si>
    <t xml:space="preserve">Increase in processing fees (cost of revenue)</t>
  </si>
  <si>
    <t xml:space="preserve">an increase of $3.5 million in processing fees</t>
  </si>
  <si>
    <t xml:space="preserve">AN-2223</t>
  </si>
  <si>
    <t xml:space="preserve">Increase in salaries and related expenses (cost of revenue)</t>
  </si>
  <si>
    <t xml:space="preserve">an increase of $8.0 million in salaries and related expenses due to an increase in the number of employees</t>
  </si>
  <si>
    <t xml:space="preserve">AN-2224</t>
  </si>
  <si>
    <t xml:space="preserve">Interest income on deposits, money market funds and marketable securities | 60,659 | 41,993 | 18,659</t>
  </si>
  <si>
    <t xml:space="preserve">AN-2225</t>
  </si>
  <si>
    <t xml:space="preserve">AN-2226</t>
  </si>
  <si>
    <t xml:space="preserve">AN-2227</t>
  </si>
  <si>
    <t xml:space="preserve">Israel | 76,382 | 72,262</t>
  </si>
  <si>
    <t xml:space="preserve">AN-2228</t>
  </si>
  <si>
    <t xml:space="preserve">AN-2229</t>
  </si>
  <si>
    <t xml:space="preserve">Israel | 94,257 | 72,613</t>
  </si>
  <si>
    <t xml:space="preserve">AN-2230</t>
  </si>
  <si>
    <t xml:space="preserve">AN-2231</t>
  </si>
  <si>
    <t xml:space="preserve">Rest of the world | 4,321 | 3,663</t>
  </si>
  <si>
    <t xml:space="preserve">AN-2232</t>
  </si>
  <si>
    <t xml:space="preserve">AN-2233</t>
  </si>
  <si>
    <t xml:space="preserve">Rest of the world | 2,168 | 2,741</t>
  </si>
  <si>
    <t xml:space="preserve">AN-2234</t>
  </si>
  <si>
    <t xml:space="preserve">AN-2235</t>
  </si>
  <si>
    <t xml:space="preserve">Total | 100,236 | 99,698</t>
  </si>
  <si>
    <t xml:space="preserve">AN-2236</t>
  </si>
  <si>
    <t xml:space="preserve">AN-2237</t>
  </si>
  <si>
    <t xml:space="preserve">Total | 156,845 | 136,279</t>
  </si>
  <si>
    <t xml:space="preserve">AN-2238</t>
  </si>
  <si>
    <t xml:space="preserve">AN-2239</t>
  </si>
  <si>
    <t xml:space="preserve">United Kingdom | 46,953 | 43,030</t>
  </si>
  <si>
    <t xml:space="preserve">AN-2240</t>
  </si>
  <si>
    <t xml:space="preserve">AN-2241</t>
  </si>
  <si>
    <t xml:space="preserve">United States | 19,533 | 23,773</t>
  </si>
  <si>
    <t xml:space="preserve">AN-2242</t>
  </si>
  <si>
    <t xml:space="preserve">AN-2243</t>
  </si>
  <si>
    <t xml:space="preserve">United States | 13,467 | 17,895</t>
  </si>
  <si>
    <t xml:space="preserve">AN-2244</t>
  </si>
  <si>
    <t xml:space="preserve">AN-2245</t>
  </si>
  <si>
    <t xml:space="preserve">Long-lived assets, acquired technology and operating lease ROU assets - Israel</t>
  </si>
  <si>
    <t xml:space="preserve">Israel | 86,895 | 89,123</t>
  </si>
  <si>
    <t xml:space="preserve">AN-2246</t>
  </si>
  <si>
    <t xml:space="preserve">AN-2247</t>
  </si>
  <si>
    <t xml:space="preserve">Long-lived assets, acquired technology and operating lease ROU assets - Rest of the world</t>
  </si>
  <si>
    <t xml:space="preserve">Rest of the world | 4,533 | 4,748</t>
  </si>
  <si>
    <t xml:space="preserve">AN-2248</t>
  </si>
  <si>
    <t xml:space="preserve">AN-2249</t>
  </si>
  <si>
    <t xml:space="preserve">Long-lived assets, acquired technology and operating lease ROU assets - Total</t>
  </si>
  <si>
    <t xml:space="preserve">Total | 256,392 | 203,037</t>
  </si>
  <si>
    <t xml:space="preserve">AN-2250</t>
  </si>
  <si>
    <t xml:space="preserve">AN-2251</t>
  </si>
  <si>
    <t xml:space="preserve">Long-lived assets, acquired technology and operating lease ROU assets - United Kingdom</t>
  </si>
  <si>
    <t xml:space="preserve">United Kingdom | 46,399 | 49,548</t>
  </si>
  <si>
    <t xml:space="preserve">AN-2252</t>
  </si>
  <si>
    <t xml:space="preserve">AN-2253</t>
  </si>
  <si>
    <t xml:space="preserve">Long-lived assets, acquired technology and operating lease ROU assets - United States</t>
  </si>
  <si>
    <t xml:space="preserve">United States | 118,565 | 59,618</t>
  </si>
  <si>
    <t xml:space="preserve">AN-2254</t>
  </si>
  <si>
    <t xml:space="preserve">AN-2255</t>
  </si>
  <si>
    <t xml:space="preserve">Net income</t>
  </si>
  <si>
    <t xml:space="preserve">Net income | $ | 28,998 | $ | 21,393</t>
  </si>
  <si>
    <t xml:space="preserve">AN-2256</t>
  </si>
  <si>
    <t xml:space="preserve">Net income | $ | 31,494 | $ | 28,998</t>
  </si>
  <si>
    <t xml:space="preserve">AN-2257</t>
  </si>
  <si>
    <t xml:space="preserve">Net income (loss)</t>
  </si>
  <si>
    <t xml:space="preserve">Net income (loss) | $ | 32,372 | $ | ( 1,877 ) | $ | ( 136,867 )</t>
  </si>
  <si>
    <t xml:space="preserve">AN-2258</t>
  </si>
  <si>
    <t xml:space="preserve">AN-2259</t>
  </si>
  <si>
    <t xml:space="preserve">|| Net income (loss) | $ | 118,742 | $ | 32,372 | $ | ( 1,877 )</t>
  </si>
  <si>
    <t xml:space="preserve">AN-2260</t>
  </si>
  <si>
    <t xml:space="preserve">AN-2261</t>
  </si>
  <si>
    <t xml:space="preserve">AN-2262</t>
  </si>
  <si>
    <t xml:space="preserve">AN-2263</t>
  </si>
  <si>
    <t xml:space="preserve">Net income (loss) | $ | 21,393 | $ | ( 21,702 | )</t>
  </si>
  <si>
    <t xml:space="preserve">AN-2264</t>
  </si>
  <si>
    <t xml:space="preserve">AN-2265</t>
  </si>
  <si>
    <t xml:space="preserve">Net loss</t>
  </si>
  <si>
    <t xml:space="preserve">Net loss | $ | ( 129,294 | ) | $ | ( 152,203 | ) | $ | ( 91,611 | )</t>
  </si>
  <si>
    <t xml:space="preserve">AN-2266</t>
  </si>
  <si>
    <t xml:space="preserve">AN-2267</t>
  </si>
  <si>
    <t xml:space="preserve">Net loss | $ | ( 136,867 | ) | $ | ( 129,294 | ) | $ | ( 152,203 | )</t>
  </si>
  <si>
    <t xml:space="preserve">AN-2268</t>
  </si>
  <si>
    <t xml:space="preserve">AN-2269</t>
  </si>
  <si>
    <t xml:space="preserve">AN-2270</t>
  </si>
  <si>
    <t xml:space="preserve">Net loss | $ | ( 1,877 | ) | $ | ( 136,867 | ) | $ | ( 129,294 | )</t>
  </si>
  <si>
    <t xml:space="preserve">AN-2271</t>
  </si>
  <si>
    <t xml:space="preserve">AN-2272</t>
  </si>
  <si>
    <t xml:space="preserve">AN-2273</t>
  </si>
  <si>
    <t xml:space="preserve">AN-2274</t>
  </si>
  <si>
    <t xml:space="preserve">Net loss per share, basic and diluted</t>
  </si>
  <si>
    <t xml:space="preserve">Net loss per share attributable to ordinary shareholders', basic and diluted | $ | ( 4.53 | ) | $ | ( 14.19 | ) | $ | ( 9.22 | )</t>
  </si>
  <si>
    <t xml:space="preserve">AN-2275</t>
  </si>
  <si>
    <t xml:space="preserve">AN-2276</t>
  </si>
  <si>
    <t xml:space="preserve">AN-2277</t>
  </si>
  <si>
    <t xml:space="preserve">Basic and diluted net loss per share | $ | ( 2.99 | ) | $ | ( 4.53 | ) | $ | ( 14.19 | )</t>
  </si>
  <si>
    <t xml:space="preserve">Item 18 Financial Statements &gt; Notes to Consolidated Financial Statements &gt; Note 15 Loss Per Share</t>
  </si>
  <si>
    <t xml:space="preserve">AN-2278</t>
  </si>
  <si>
    <t xml:space="preserve">Non-GAAP operating income (loss) | $ | 61,601 | $ | (47,095 | ) | $ | (52,596 | )</t>
  </si>
  <si>
    <t xml:space="preserve">GAAP operating loss + SBC only.</t>
  </si>
  <si>
    <t xml:space="preserve">AN-2279</t>
  </si>
  <si>
    <t xml:space="preserve">AN-2280</t>
  </si>
  <si>
    <t xml:space="preserve">AN-2281</t>
  </si>
  <si>
    <t xml:space="preserve">Non-GAAP operating loss</t>
  </si>
  <si>
    <t xml:space="preserve">Non-GAAP operating loss | $ | (52,596 | ) | $ | (86,192 | ) | $ | (70,679 | )</t>
  </si>
  <si>
    <t xml:space="preserve">Item 5.A Operating Results &gt; Non-GAAP Financial Measures &gt; Non-GAAP Operating Loss (reconciliation table, in thousands)</t>
  </si>
  <si>
    <t xml:space="preserve">AN-2282</t>
  </si>
  <si>
    <t xml:space="preserve">AN-2283</t>
  </si>
  <si>
    <t xml:space="preserve">Non-GAAP operating loss | $ | (47,095 | ) | $ | (52,596 | ) | $ | (86,192 | )</t>
  </si>
  <si>
    <t xml:space="preserve">Part 4 - Operating and Financial Review and Prospects (Item 5) &gt; Non-GAAP Financial Measures &gt; Non-GAAP Operating Loss reconciliation</t>
  </si>
  <si>
    <t xml:space="preserve">AN-2284</t>
  </si>
  <si>
    <t xml:space="preserve">AN-2285</t>
  </si>
  <si>
    <t xml:space="preserve">AN-2286</t>
  </si>
  <si>
    <t xml:space="preserve">AN-2287</t>
  </si>
  <si>
    <t xml:space="preserve">Non-employee director annual cash retainer (board member)</t>
  </si>
  <si>
    <t xml:space="preserve">Board of Directors member $40,000; Board of Directors Chairperson $60,000; Lead Independent Director $45,000.</t>
  </si>
  <si>
    <t xml:space="preserve">2026 Proxy Statement dated July 2, 2026 (Exhibit 99.1), Proposal No. 4 - NED Package</t>
  </si>
  <si>
    <t xml:space="preserve">AN-2288</t>
  </si>
  <si>
    <t xml:space="preserve">Non-employee director annual equity grant</t>
  </si>
  <si>
    <t xml:space="preserve">Annual Grant: $200,000 fair market value; granted yearly upon the Board of Directors’ approval of second quarter financial statements</t>
  </si>
  <si>
    <t xml:space="preserve">Welcome grant $400,000; board member cash $40,000, chair $60,000, lead independent $45,000</t>
  </si>
  <si>
    <t xml:space="preserve">AN-2289</t>
  </si>
  <si>
    <t xml:space="preserve">Non-employee director welcome grant</t>
  </si>
  <si>
    <t xml:space="preserve">Welcome-Grant: $400,000 fair market value</t>
  </si>
  <si>
    <t xml:space="preserve">AN-2290</t>
  </si>
  <si>
    <t xml:space="preserve">Number of operating/reportable segments</t>
  </si>
  <si>
    <t xml:space="preserve">The Company has a single operating and reportable segment.</t>
  </si>
  <si>
    <t xml:space="preserve">Item 18 Financial Statements &gt; Notes to Consolidated Financial Statements &gt; Note 2U Segment Information</t>
  </si>
  <si>
    <t xml:space="preserve">[Normalized value intentionally left blank: the source states this as text or as separate figures, not as a single disclosed number.] [Manually re-checked against source text.]</t>
  </si>
  <si>
    <t xml:space="preserve">AN-2291</t>
  </si>
  <si>
    <t xml:space="preserve">Number of paid subscription plans</t>
  </si>
  <si>
    <t xml:space="preserve">or pay for one of our four paid subscription plans</t>
  </si>
  <si>
    <t xml:space="preserve">AN-2292</t>
  </si>
  <si>
    <t xml:space="preserve">Number of wholly owned subsidiaries</t>
  </si>
  <si>
    <t xml:space="preserve">monday.com has seven wholly owned subsidiaries</t>
  </si>
  <si>
    <t xml:space="preserve">H1 2024 interim financial statements (Exhibit 99.2), Note 1 Organization</t>
  </si>
  <si>
    <t xml:space="preserve">AN-2293</t>
  </si>
  <si>
    <t xml:space="preserve">monday.com has nine wholly owned subsidiaries</t>
  </si>
  <si>
    <t xml:space="preserve">H1 2025 interim financial statements (Exhibit 99.2), Note 1</t>
  </si>
  <si>
    <t xml:space="preserve">France and Germany subsidiaries incorporated in 2024 [Manually re-checked against source text.]</t>
  </si>
  <si>
    <t xml:space="preserve">AN-2294</t>
  </si>
  <si>
    <t xml:space="preserve">monday.com has ten wholly owned subsidiaries</t>
  </si>
  <si>
    <t xml:space="preserve">H1 2026 interim financial statements (Exhibit 99.2), Note 1 a.</t>
  </si>
  <si>
    <t xml:space="preserve">Mexico subsidiary incorporated in 2025 [Manually re-checked against source text.]</t>
  </si>
  <si>
    <t xml:space="preserve">AN-2295</t>
  </si>
  <si>
    <t xml:space="preserve">Operating loss</t>
  </si>
  <si>
    <t xml:space="preserve">Operating loss | ( 126,125 | ) | ( 150,537 | ) | ( 92,518 | )</t>
  </si>
  <si>
    <t xml:space="preserve">AN-2296</t>
  </si>
  <si>
    <t xml:space="preserve">AN-2297</t>
  </si>
  <si>
    <t xml:space="preserve">Operating loss | ( 152,015 | ) | ( 126,125 | ) | ( 150,537 | )</t>
  </si>
  <si>
    <t xml:space="preserve">AN-2298</t>
  </si>
  <si>
    <t xml:space="preserve">AN-2299</t>
  </si>
  <si>
    <t xml:space="preserve">AN-2300</t>
  </si>
  <si>
    <t xml:space="preserve">Operating loss | ( 38,585 | ) | ( 152,015 | ) | ( 126,125 | )</t>
  </si>
  <si>
    <t xml:space="preserve">AN-2301</t>
  </si>
  <si>
    <t xml:space="preserve">AN-2302</t>
  </si>
  <si>
    <t xml:space="preserve">AN-2303</t>
  </si>
  <si>
    <t xml:space="preserve">Operating loss | ( 21,034 ) | ( 38,585 ) | ( 152,015 )</t>
  </si>
  <si>
    <t xml:space="preserve">AN-2304</t>
  </si>
  <si>
    <t xml:space="preserve">AN-2305</t>
  </si>
  <si>
    <t xml:space="preserve">AN-2306</t>
  </si>
  <si>
    <t xml:space="preserve">AN-2307</t>
  </si>
  <si>
    <t xml:space="preserve">Operating loss as % of revenue</t>
  </si>
  <si>
    <t xml:space="preserve">Operating loss | (5) | (29) | (41)</t>
  </si>
  <si>
    <t xml:space="preserve">AN-2308</t>
  </si>
  <si>
    <t xml:space="preserve">AN-2309</t>
  </si>
  <si>
    <t xml:space="preserve">AN-2310</t>
  </si>
  <si>
    <t xml:space="preserve">Operating margin</t>
  </si>
  <si>
    <t xml:space="preserve">Operating loss | (29) | (41) | (93)</t>
  </si>
  <si>
    <t xml:space="preserve">AN-2311</t>
  </si>
  <si>
    <t xml:space="preserve">AN-2312</t>
  </si>
  <si>
    <t xml:space="preserve">AN-2313</t>
  </si>
  <si>
    <t xml:space="preserve">Operating margin (% of revenue)</t>
  </si>
  <si>
    <t xml:space="preserve">Operating loss | (3) | (5) | (29)</t>
  </si>
  <si>
    <t xml:space="preserve">AN-2314</t>
  </si>
  <si>
    <t xml:space="preserve">AN-2315</t>
  </si>
  <si>
    <t xml:space="preserve">AN-2316</t>
  </si>
  <si>
    <t xml:space="preserve">Operating segments</t>
  </si>
  <si>
    <t xml:space="preserve">Item 18 Financial Statements &gt; Notes to Consolidated Financial Statements &gt; Note 2: Significant Accounting Policies &gt; U. Segment Information</t>
  </si>
  <si>
    <t xml:space="preserve">AN-2317</t>
  </si>
  <si>
    <t xml:space="preserve">The Company has a single operating and reportable segment. The Company’s chief operating decision makers are its two Co-Chief Executive Officers</t>
  </si>
  <si>
    <t xml:space="preserve">Item 18 / Consolidated Financial Statements - Notes to Consolidated Financial Statements - Note 2: Significant Accounting Policies - W. Segment Information</t>
  </si>
  <si>
    <t xml:space="preserve">AN-2318</t>
  </si>
  <si>
    <t xml:space="preserve">Ordinary shares issued and outstanding</t>
  </si>
  <si>
    <t xml:space="preserve">Issued and Outstanding: 44,924,038 and 12,354,471 as of December 31, 2021 and 2020 respectively</t>
  </si>
  <si>
    <t xml:space="preserve">AN-2319</t>
  </si>
  <si>
    <t xml:space="preserve">Issued and Outstanding: 50,773,337 and 48,923,903 as of December 31, 2024, and 2023, respectively</t>
  </si>
  <si>
    <t xml:space="preserve">AN-2320</t>
  </si>
  <si>
    <t xml:space="preserve">AN-2321</t>
  </si>
  <si>
    <t xml:space="preserve">of which 47,737,868 ordinary shares are issued and outstanding as of December 31, 2022.</t>
  </si>
  <si>
    <t xml:space="preserve">Part 7 - Additional Information &gt; Share Capital</t>
  </si>
  <si>
    <t xml:space="preserve">AN-2322</t>
  </si>
  <si>
    <t xml:space="preserve">As of December 31, 2025, the registrant had outstanding 51,160,822 ordinary shares, no par value per share.</t>
  </si>
  <si>
    <t xml:space="preserve">Cover page</t>
  </si>
  <si>
    <t xml:space="preserve">50,773,337 at 2024-12-31.</t>
  </si>
  <si>
    <t xml:space="preserve">AN-2323</t>
  </si>
  <si>
    <t xml:space="preserve">Patents: U.S. patent-pending applications / allowed U.S. patents</t>
  </si>
  <si>
    <t xml:space="preserve">As of December 31, 2021, we had 62 U.S. patent-pending applications, 18 allowed U.S. patents, and two U.S. provisional patent applications</t>
  </si>
  <si>
    <t xml:space="preserve">Item 4.B Business Overview &gt; Intellectual Property</t>
  </si>
  <si>
    <t xml:space="preserve">value = pending applications; 18 allowed U.S. patents.</t>
  </si>
  <si>
    <t xml:space="preserve">AN-2324</t>
  </si>
  <si>
    <t xml:space="preserve">Performance-based award earning rate (uncapped) Co-CEOs 2023-2025 average</t>
  </si>
  <si>
    <t xml:space="preserve">over the past three years (2023, 2024, and 2025) the un-capped, formulaic earning rate on performance-based awards granted to the Co-CEOs averaged 113.5%</t>
  </si>
  <si>
    <t xml:space="preserve">AN-2325</t>
  </si>
  <si>
    <t xml:space="preserve">Potentially dilutive options and RSUs excluded from EPS</t>
  </si>
  <si>
    <t xml:space="preserve">The potentially dilutive options to purchase ordinary shares and RSUs that were excluded from the computation amounted to 6,302,344, 5,909,263, and 4,684,239</t>
  </si>
  <si>
    <t xml:space="preserve">Item 18 &gt; Note 2t Net Loss Per Share</t>
  </si>
  <si>
    <t xml:space="preserve">AN-2326</t>
  </si>
  <si>
    <t xml:space="preserve">Potentially dilutive options and RSUs excluded from diluted EPS</t>
  </si>
  <si>
    <t xml:space="preserve">The potentially dilutive options to purchase ordinary shares and RSUs that were excluded from the computation amounted to 4,294,853 , 4,617,018 and 6,302,344</t>
  </si>
  <si>
    <t xml:space="preserve">Item 18 Financial Statements &gt; Notes to Consolidated Financial Statements &gt; Note 2: Significant Accounting Policies &gt; S. Net Loss Per Share</t>
  </si>
  <si>
    <t xml:space="preserve">AN-2327</t>
  </si>
  <si>
    <t xml:space="preserve">Principal accountant fees total</t>
  </si>
  <si>
    <t xml:space="preserve">Total fees | $ | 1,374 | 938</t>
  </si>
  <si>
    <t xml:space="preserve">Item 16C Principal Accountant Fees and Services</t>
  </si>
  <si>
    <t xml:space="preserve">AN-2328</t>
  </si>
  <si>
    <t xml:space="preserve">Principal accountant total fees</t>
  </si>
  <si>
    <t xml:space="preserve">Total fees | $ | 783 | $ | 749</t>
  </si>
  <si>
    <t xml:space="preserve">Part 5 (Item 16C) &gt; Principal accountant fees and services</t>
  </si>
  <si>
    <t xml:space="preserve">AN-2329</t>
  </si>
  <si>
    <t xml:space="preserve">2021-2026</t>
  </si>
  <si>
    <t xml:space="preserve">Prior Co-CEO fixed annual equity grant (each)</t>
  </si>
  <si>
    <t xml:space="preserve">The framework imposed a 3% annual salary increase cap and fixed annual equity grants at $7 million each</t>
  </si>
  <si>
    <t xml:space="preserve">2026 Proxy Statement dated July 2, 2026 (Exhibit 99.1), Proposal No. 3 - Co-CEO Compensation Review and Methodology</t>
  </si>
  <si>
    <t xml:space="preserve">AN-2330</t>
  </si>
  <si>
    <t xml:space="preserve">Product suite at $1B ARR milestone</t>
  </si>
  <si>
    <t xml:space="preserve">This suite includes monday work management , monday CRM , monday dev , and monday service (currently in beta), each tailored to specific use cases.</t>
  </si>
  <si>
    <t xml:space="preserve">AN-2331</t>
  </si>
  <si>
    <t xml:space="preserve">2026-05</t>
  </si>
  <si>
    <t xml:space="preserve">Product: one-click connectors to leading AI platforms; monday AI Platform Gateway</t>
  </si>
  <si>
    <t xml:space="preserve">In May 2026, the Company also introduced one-click connectors to leading Al platforms, allowing customers to bring their preferred Al models into existing workflows as they wish.</t>
  </si>
  <si>
    <t xml:space="preserve">2026 Proxy Statement dated July 2, 2026 (Exhibit 99.1), Business highlights (page 04)</t>
  </si>
  <si>
    <t xml:space="preserve">No financial impact stated</t>
  </si>
  <si>
    <t xml:space="preserve">AN-2332</t>
  </si>
  <si>
    <t xml:space="preserve">Q1 2026 revenue</t>
  </si>
  <si>
    <t xml:space="preserve">Q1 2026 extended the momentum: $351.3 million in revenue (+24% year-over-year)</t>
  </si>
  <si>
    <t xml:space="preserve">AN-2333</t>
  </si>
  <si>
    <t xml:space="preserve">Q1 2026 revenue growth YoY</t>
  </si>
  <si>
    <t xml:space="preserve">$351.3 million in revenue (+24% year-over-year)</t>
  </si>
  <si>
    <t xml:space="preserve">AN-2334</t>
  </si>
  <si>
    <t xml:space="preserve">R&amp;D as % of revenue</t>
  </si>
  <si>
    <t xml:space="preserve">Research and development | 24 | 24 | 27</t>
  </si>
  <si>
    <t xml:space="preserve">AN-2335</t>
  </si>
  <si>
    <t xml:space="preserve">AN-2336</t>
  </si>
  <si>
    <t xml:space="preserve">Research and development | 21 | 24 | 24</t>
  </si>
  <si>
    <t xml:space="preserve">AN-2337</t>
  </si>
  <si>
    <t xml:space="preserve">AN-2338</t>
  </si>
  <si>
    <t xml:space="preserve">AN-2339</t>
  </si>
  <si>
    <t xml:space="preserve">Research and development | 22 | 21 | 24</t>
  </si>
  <si>
    <t xml:space="preserve">AN-2340</t>
  </si>
  <si>
    <t xml:space="preserve">AN-2341</t>
  </si>
  <si>
    <t xml:space="preserve">AN-2342</t>
  </si>
  <si>
    <t xml:space="preserve">AN-2343</t>
  </si>
  <si>
    <t xml:space="preserve">our research and development expenses as a percentage of revenue were approximately 21% and 23%, respectively</t>
  </si>
  <si>
    <t xml:space="preserve">H1 2024 MD&amp;A (Exhibit 99.3), Research and Development Expenses</t>
  </si>
  <si>
    <t xml:space="preserve">H1 2023: 23%</t>
  </si>
  <si>
    <t xml:space="preserve">AN-2344</t>
  </si>
  <si>
    <t xml:space="preserve">our research and development expenses as a percentage of revenue were approximately 27% and 21%, respectively</t>
  </si>
  <si>
    <t xml:space="preserve">H1 2024: 21%</t>
  </si>
  <si>
    <t xml:space="preserve">AN-2345</t>
  </si>
  <si>
    <t xml:space="preserve">For each of the six months ended June 30, 2026 and June 30, 2025, our research and development expenses as a percentage of revenue were approximately 27%.</t>
  </si>
  <si>
    <t xml:space="preserve">H1 2025: 27%</t>
  </si>
  <si>
    <t xml:space="preserve">AN-2346</t>
  </si>
  <si>
    <t xml:space="preserve">R&amp;D expense as % of revenue (approx.)</t>
  </si>
  <si>
    <t xml:space="preserve">our research and development expenses as a percentage of revenue were approximately 24%, 27% and 32%, respectively.</t>
  </si>
  <si>
    <t xml:space="preserve">Item 5.A Operating Results &gt; Components of Results of Operations &gt; Research and Development Expenses</t>
  </si>
  <si>
    <t xml:space="preserve">The % of revenue table in the same Item shows 31% for 2019.</t>
  </si>
  <si>
    <t xml:space="preserve">AN-2347</t>
  </si>
  <si>
    <t xml:space="preserve">AN-2348</t>
  </si>
  <si>
    <t xml:space="preserve">AN-2349</t>
  </si>
  <si>
    <t xml:space="preserve">Related parties' receivable</t>
  </si>
  <si>
    <t xml:space="preserve">Related parties’ receivable | 81 | 1,587</t>
  </si>
  <si>
    <t xml:space="preserve">H1 2025 interim financial statements (Exhibit 99.2), Note 5 Prepaid Expenses and Other Current Assets</t>
  </si>
  <si>
    <t xml:space="preserve">Dec 31 2024: 1,587. Note 12: no material related party transactions</t>
  </si>
  <si>
    <t xml:space="preserve">AN-2350</t>
  </si>
  <si>
    <t xml:space="preserve">Research and development</t>
  </si>
  <si>
    <t xml:space="preserve">Research and development | 156,500 | 127,047 | 73,686</t>
  </si>
  <si>
    <t xml:space="preserve">AN-2351</t>
  </si>
  <si>
    <t xml:space="preserve">AN-2352</t>
  </si>
  <si>
    <t xml:space="preserve">Research and development | 213,709 | 156,500 | 127,047</t>
  </si>
  <si>
    <t xml:space="preserve">AN-2353</t>
  </si>
  <si>
    <t xml:space="preserve">AN-2354</t>
  </si>
  <si>
    <t xml:space="preserve">AN-2355</t>
  </si>
  <si>
    <t xml:space="preserve">AN-2356</t>
  </si>
  <si>
    <t xml:space="preserve">Research and development | 156,424</t>
  </si>
  <si>
    <t xml:space="preserve">AN-2357</t>
  </si>
  <si>
    <t xml:space="preserve">Research and development | 191,327</t>
  </si>
  <si>
    <t xml:space="preserve">AN-2358</t>
  </si>
  <si>
    <t xml:space="preserve">Research and development expense</t>
  </si>
  <si>
    <t xml:space="preserve">Research and development | 73,686 | 43,480 | 24,637</t>
  </si>
  <si>
    <t xml:space="preserve">AN-2359</t>
  </si>
  <si>
    <t xml:space="preserve">AN-2360</t>
  </si>
  <si>
    <t xml:space="preserve">Research and development | 127,047 | 73,686 | 43,480</t>
  </si>
  <si>
    <t xml:space="preserve">AN-2361</t>
  </si>
  <si>
    <t xml:space="preserve">AN-2362</t>
  </si>
  <si>
    <t xml:space="preserve">AN-2363</t>
  </si>
  <si>
    <t xml:space="preserve">AN-2364</t>
  </si>
  <si>
    <t xml:space="preserve">|| Research and development | 320,799 | 213,709 | 156,500</t>
  </si>
  <si>
    <t xml:space="preserve">AN-2365</t>
  </si>
  <si>
    <t xml:space="preserve">AN-2366</t>
  </si>
  <si>
    <t xml:space="preserve">AN-2367</t>
  </si>
  <si>
    <t xml:space="preserve">Research and development | 94,868 | 76,169</t>
  </si>
  <si>
    <t xml:space="preserve">AN-2368</t>
  </si>
  <si>
    <t xml:space="preserve">AN-2369</t>
  </si>
  <si>
    <t xml:space="preserve">Restructuring charges</t>
  </si>
  <si>
    <t xml:space="preserve">Restructuring charges | 21,436</t>
  </si>
  <si>
    <t xml:space="preserve">AN-2370</t>
  </si>
  <si>
    <t xml:space="preserve">Restructuring charges as % of revenue</t>
  </si>
  <si>
    <t xml:space="preserve">restructuring charges as a percentage of revenue were approximately 3% and 0%, respectively</t>
  </si>
  <si>
    <t xml:space="preserve">H1 2025: 0%</t>
  </si>
  <si>
    <t xml:space="preserve">AN-2371</t>
  </si>
  <si>
    <t xml:space="preserve">Revenue | $ | 308,150 | $ | 161,123 | $ | 78,089</t>
  </si>
  <si>
    <t xml:space="preserve">AN-2372</t>
  </si>
  <si>
    <t xml:space="preserve">AN-2373</t>
  </si>
  <si>
    <t xml:space="preserve">Revenue | $ | 519,029 | $ | 308,150 | $ | 161,123</t>
  </si>
  <si>
    <t xml:space="preserve">AN-2374</t>
  </si>
  <si>
    <t xml:space="preserve">AN-2375</t>
  </si>
  <si>
    <t xml:space="preserve">AN-2376</t>
  </si>
  <si>
    <t xml:space="preserve">Revenue | $ | 729,695 | $ | 519,029 | $ | 308,150</t>
  </si>
  <si>
    <t xml:space="preserve">AN-2377</t>
  </si>
  <si>
    <t xml:space="preserve">AN-2378</t>
  </si>
  <si>
    <t xml:space="preserve">AN-2379</t>
  </si>
  <si>
    <t xml:space="preserve">Revenue | $ | 971,995 | $ | 729,695 | $ | 519,029</t>
  </si>
  <si>
    <t xml:space="preserve">AN-2380</t>
  </si>
  <si>
    <t xml:space="preserve">AN-2381</t>
  </si>
  <si>
    <t xml:space="preserve">AN-2382</t>
  </si>
  <si>
    <t xml:space="preserve">AN-2383</t>
  </si>
  <si>
    <t xml:space="preserve">Revenue from single platform</t>
  </si>
  <si>
    <t xml:space="preserve">For the years ended December 31, 2023 and 2022, we derived nearly 100% of our revenue from a single platform.</t>
  </si>
  <si>
    <t xml:space="preserve">Part 6 - Risk Factors (Item 3.D)</t>
  </si>
  <si>
    <t xml:space="preserve">'nearly 100%'.</t>
  </si>
  <si>
    <t xml:space="preserve">AN-2384</t>
  </si>
  <si>
    <t xml:space="preserve">Revenue from single platform (Work OS) share</t>
  </si>
  <si>
    <t xml:space="preserve">For the years ended December 31, 2021, and 2020, we derived nearly 100% of our revenue from a single platform — our Work OS</t>
  </si>
  <si>
    <t xml:space="preserve">Item 3.D Risk Factors &gt; We derive ... a majority of our revenue from a single product</t>
  </si>
  <si>
    <t xml:space="preserve">Stated as 'nearly 100%'.</t>
  </si>
  <si>
    <t xml:space="preserve">AN-2385</t>
  </si>
  <si>
    <t xml:space="preserve">Revenue growth YoY</t>
  </si>
  <si>
    <t xml:space="preserve">representing an increase of 91%, 106%, and 143% in the years ended December 31, 2021, 2020 and 2019, respectively</t>
  </si>
  <si>
    <t xml:space="preserve">Item 5 &gt; Overview &gt; Hyper-growth at scale</t>
  </si>
  <si>
    <t xml:space="preserve">AN-2386</t>
  </si>
  <si>
    <t xml:space="preserve">AN-2387</t>
  </si>
  <si>
    <t xml:space="preserve">Year over Year Revenue Growth: An increase of 68%, 91%, and 106% in the years ended December 31, 2022, 2021 and 2020, respectively.</t>
  </si>
  <si>
    <t xml:space="preserve">Part 4 - Operating and Financial Review and Prospects (Item 5) &gt; Hyper-growth at scale</t>
  </si>
  <si>
    <t xml:space="preserve">AN-2388</t>
  </si>
  <si>
    <t xml:space="preserve">AN-2389</t>
  </si>
  <si>
    <t xml:space="preserve">AN-2390</t>
  </si>
  <si>
    <t xml:space="preserve">Year over Year Revenue Growth: An increase of 41%, 68%, and 91% in the years ended December 31, 2023, 2022 and 2021, respectively.</t>
  </si>
  <si>
    <t xml:space="preserve">Part 4 (Item 5) &gt; Hyper-growth at scale</t>
  </si>
  <si>
    <t xml:space="preserve">AN-2391</t>
  </si>
  <si>
    <t xml:space="preserve">AN-2392</t>
  </si>
  <si>
    <t xml:space="preserve">AN-2393</t>
  </si>
  <si>
    <t xml:space="preserve">Year over year revenue growth: An increase of 33%, 41%, and 68% in the years ended December 31, 2024, 2023 and 2022, respectively.</t>
  </si>
  <si>
    <t xml:space="preserve">Item 5 (Part 4 - Operating and Financial Review and Prospects) - Growth at scale</t>
  </si>
  <si>
    <t xml:space="preserve">AN-2394</t>
  </si>
  <si>
    <t xml:space="preserve">AN-2395</t>
  </si>
  <si>
    <t xml:space="preserve">AN-2396</t>
  </si>
  <si>
    <t xml:space="preserve">AN-2397</t>
  </si>
  <si>
    <t xml:space="preserve">and $40,981 of revenue during the year ended ... 2020</t>
  </si>
  <si>
    <t xml:space="preserve">Item 18 &gt; Note 2m Revenue Recognition</t>
  </si>
  <si>
    <t xml:space="preserve">AN-2398</t>
  </si>
  <si>
    <t xml:space="preserve">The Company recognized $70,719, and $40,981 of revenue during the year ended December 31, 2021 and 2020, respectively, from deferred revenue balances as of January 1, 2021 and 2020</t>
  </si>
  <si>
    <t xml:space="preserve">AN-2399</t>
  </si>
  <si>
    <t xml:space="preserve">S&amp;M as % of revenue</t>
  </si>
  <si>
    <t xml:space="preserve">Sales and marketing | 76 | 87 | 119</t>
  </si>
  <si>
    <t xml:space="preserve">AN-2400</t>
  </si>
  <si>
    <t xml:space="preserve">AN-2401</t>
  </si>
  <si>
    <t xml:space="preserve">Sales and marketing | 60 | 76 | 87</t>
  </si>
  <si>
    <t xml:space="preserve">AN-2402</t>
  </si>
  <si>
    <t xml:space="preserve">AN-2403</t>
  </si>
  <si>
    <t xml:space="preserve">AN-2404</t>
  </si>
  <si>
    <t xml:space="preserve">Sales and marketing | 55 | 60 | 76</t>
  </si>
  <si>
    <t xml:space="preserve">AN-2405</t>
  </si>
  <si>
    <t xml:space="preserve">AN-2406</t>
  </si>
  <si>
    <t xml:space="preserve">AN-2407</t>
  </si>
  <si>
    <t xml:space="preserve">AN-2408</t>
  </si>
  <si>
    <t xml:space="preserve">our sales and marketing expenses as a percentage of revenue were approximately 57% and 64%, respectively</t>
  </si>
  <si>
    <t xml:space="preserve">H1 2023: 64%</t>
  </si>
  <si>
    <t xml:space="preserve">AN-2409</t>
  </si>
  <si>
    <t xml:space="preserve">our sales and marketing expenses as a percentage of revenue were approximately 51% and 57%, respectively</t>
  </si>
  <si>
    <t xml:space="preserve">H1 2024: 57%</t>
  </si>
  <si>
    <t xml:space="preserve">AN-2410</t>
  </si>
  <si>
    <t xml:space="preserve">our sales and marketing expenses as a percentage of revenue were approximately 46% and 51%, respectively</t>
  </si>
  <si>
    <t xml:space="preserve">H1 2025: 51%</t>
  </si>
  <si>
    <t xml:space="preserve">AN-2411</t>
  </si>
  <si>
    <t xml:space="preserve">Sales and marketing</t>
  </si>
  <si>
    <t xml:space="preserve">Sales and marketing | 438,402 | 392,068 | 268,083</t>
  </si>
  <si>
    <t xml:space="preserve">AN-2412</t>
  </si>
  <si>
    <t xml:space="preserve">AN-2413</t>
  </si>
  <si>
    <t xml:space="preserve">Sales and marketing | 533,539 | 438,402 | 392,068</t>
  </si>
  <si>
    <t xml:space="preserve">AN-2414</t>
  </si>
  <si>
    <t xml:space="preserve">AN-2415</t>
  </si>
  <si>
    <t xml:space="preserve">AN-2416</t>
  </si>
  <si>
    <t xml:space="preserve">AN-2417</t>
  </si>
  <si>
    <t xml:space="preserve">Sales and marketing | 294,310</t>
  </si>
  <si>
    <t xml:space="preserve">AN-2418</t>
  </si>
  <si>
    <t xml:space="preserve">Sales and marketing | 327,797</t>
  </si>
  <si>
    <t xml:space="preserve">AN-2419</t>
  </si>
  <si>
    <t xml:space="preserve">Sales and marketing expense</t>
  </si>
  <si>
    <t xml:space="preserve">Sales and marketing | 268,083 | 191,353 | 118,534</t>
  </si>
  <si>
    <t xml:space="preserve">AN-2420</t>
  </si>
  <si>
    <t xml:space="preserve">AN-2421</t>
  </si>
  <si>
    <t xml:space="preserve">Sales and marketing | 392,068 | 268,083 | 191,353</t>
  </si>
  <si>
    <t xml:space="preserve">AN-2422</t>
  </si>
  <si>
    <t xml:space="preserve">AN-2423</t>
  </si>
  <si>
    <t xml:space="preserve">AN-2424</t>
  </si>
  <si>
    <t xml:space="preserve">AN-2425</t>
  </si>
  <si>
    <t xml:space="preserve">|| Sales and marketing | 630,851 | 533,539 | 438,402</t>
  </si>
  <si>
    <t xml:space="preserve">AN-2426</t>
  </si>
  <si>
    <t xml:space="preserve">AN-2427</t>
  </si>
  <si>
    <t xml:space="preserve">AN-2428</t>
  </si>
  <si>
    <t xml:space="preserve">Sales and marketing | 259,612 | 215,123</t>
  </si>
  <si>
    <t xml:space="preserve">AN-2429</t>
  </si>
  <si>
    <t xml:space="preserve">AN-2430</t>
  </si>
  <si>
    <t xml:space="preserve">Our sales related commissions as a percentage of revenue were approximately 2% for each of the six months ended June 30, 2026 and June 30, 2025.</t>
  </si>
  <si>
    <t xml:space="preserve">H1 2025: 2%</t>
  </si>
  <si>
    <t xml:space="preserve">AN-2431</t>
  </si>
  <si>
    <t xml:space="preserve">2026-03-10</t>
  </si>
  <si>
    <t xml:space="preserve">Securities class action (Sections 10(b) and 20(a)) filed March 10, 2026</t>
  </si>
  <si>
    <t xml:space="preserve">On March 10, 2026, an individual shareholder filed a putative class action asserting claims under Sections 10(b) and 20(a) of the Securities Exchange Act of 1934, as amended, concerning certain of the Company’s forward-looking earnings guidance.</t>
  </si>
  <si>
    <t xml:space="preserve">H1 2026 interim financial statements (Exhibit 99.2), Note 12 c. Legal Contingencies</t>
  </si>
  <si>
    <t xml:space="preserve">No amount stated; company believes claims without merit</t>
  </si>
  <si>
    <t xml:space="preserve">AN-2432</t>
  </si>
  <si>
    <t xml:space="preserve">Segment - Other segment items</t>
  </si>
  <si>
    <t xml:space="preserve">Other segment items (*) | ( 464,585 | ) | ( 371,985 | )</t>
  </si>
  <si>
    <t xml:space="preserve">H1 2024: (371,985)</t>
  </si>
  <si>
    <t xml:space="preserve">AN-2433</t>
  </si>
  <si>
    <t xml:space="preserve">Segment - other segment items</t>
  </si>
  <si>
    <t xml:space="preserve">Other segment items (*) | ( 788,692 ) | ( 634,778 ) | ( 552,407 )</t>
  </si>
  <si>
    <t xml:space="preserve">Single operating and reportable segment; CODM = two Co-CEOs; measure = consolidated net income (loss).</t>
  </si>
  <si>
    <t xml:space="preserve">AN-2434</t>
  </si>
  <si>
    <t xml:space="preserve">AN-2435</t>
  </si>
  <si>
    <t xml:space="preserve">AN-2436</t>
  </si>
  <si>
    <t xml:space="preserve">Segment reporting - single segment; CODM uses consolidated net income</t>
  </si>
  <si>
    <t xml:space="preserve">The Company’s chief operating decision maker (“CODM”) uses consolidated net income to monitor period-over-period results and decides where to allocate and invest additional resources within the business to continue growth.</t>
  </si>
  <si>
    <t xml:space="preserve">AN-2437</t>
  </si>
  <si>
    <t xml:space="preserve">Severance expenses (Israel Section 14)</t>
  </si>
  <si>
    <t xml:space="preserve">Severance expenses for the years ended December 31, 2021, 2020 and 2019, amounted to $4,608, $2,721 and $1,349, respectively.</t>
  </si>
  <si>
    <t xml:space="preserve">Item 18 &gt; Note 2k Employee Related Obligations</t>
  </si>
  <si>
    <t xml:space="preserve">AN-2438</t>
  </si>
  <si>
    <t xml:space="preserve">AN-2439</t>
  </si>
  <si>
    <t xml:space="preserve">AN-2440</t>
  </si>
  <si>
    <t xml:space="preserve">Share of revenue derived from single platform (Work OS)</t>
  </si>
  <si>
    <t xml:space="preserve">we derived nearly 100% of our revenue from a single platform — our Work OS.</t>
  </si>
  <si>
    <t xml:space="preserve">Stated as 'nearly 100%' for 2022 and 2021.</t>
  </si>
  <si>
    <t xml:space="preserve">AN-2441</t>
  </si>
  <si>
    <t xml:space="preserve">Shareholder class action filed (subsequent event)</t>
  </si>
  <si>
    <t xml:space="preserve">On March 10, 2026, an individual shareholder filed a putative class action asserting claims under Sections 10(b) and 20(a) of the Exchange Act concerning certain of the Company’s forward-looking earnings guidance.</t>
  </si>
  <si>
    <t xml:space="preserve">Item 18 / Consolidated Financial Statements - Notes to Consolidated Financial Statements - Note 10: Commitments and Contingencies - C. Legal Contingencies</t>
  </si>
  <si>
    <t xml:space="preserve">No amount disclosed; company believes claims without merit. Note Part 5 'Legal Proceedings' still says not party to any material litigation.</t>
  </si>
  <si>
    <t xml:space="preserve">AN-2442</t>
  </si>
  <si>
    <t xml:space="preserve">Shares available for future grants under 2017 and 2021 plans</t>
  </si>
  <si>
    <t xml:space="preserve">Shares available for future grants under the 2017 and 2021 plans | 5,281,960 | 1,332,909</t>
  </si>
  <si>
    <t xml:space="preserve">Item 18 &gt; Note 12e Ordinary shares</t>
  </si>
  <si>
    <t xml:space="preserve">AN-2443</t>
  </si>
  <si>
    <t xml:space="preserve">Single operating and reportable segment</t>
  </si>
  <si>
    <t xml:space="preserve">Item 18 &gt; Note 2v Segment Information</t>
  </si>
  <si>
    <t xml:space="preserve">AN-2444</t>
  </si>
  <si>
    <t xml:space="preserve">2020</t>
  </si>
  <si>
    <t xml:space="preserve">Total addressable market (IDC estimate)</t>
  </si>
  <si>
    <t xml:space="preserve">our total addressable market was $56.1 billion in 2020 and will grow to $87.6 billion in 2024, representing a 4-year CAGR of 12%</t>
  </si>
  <si>
    <t xml:space="preserve">Item 4.B Business Overview &gt; Our Opportunity &gt; Rise of the Work Operating System</t>
  </si>
  <si>
    <t xml:space="preserve">Third-party (IDC) estimate; 2024 = $87.6 billion.</t>
  </si>
  <si>
    <t xml:space="preserve">AN-2445</t>
  </si>
  <si>
    <t xml:space="preserve">our total addressable market was $56.1 billion in 2020 and will grow to $87.6 billion in 2024, representing a four-year CAGR of 12%.</t>
  </si>
  <si>
    <t xml:space="preserve">Part 1 - Who We Are (Item 4.B Business Overview) &gt; Our opportunity</t>
  </si>
  <si>
    <t xml:space="preserve">AN-2446</t>
  </si>
  <si>
    <t xml:space="preserve">Total addressable market (IDC estimate, projected)</t>
  </si>
  <si>
    <t xml:space="preserve">AN-2447</t>
  </si>
  <si>
    <t xml:space="preserve">2023</t>
  </si>
  <si>
    <t xml:space="preserve">Total addressable market (company estimate from IDC data)</t>
  </si>
  <si>
    <t xml:space="preserve">we estimate that our total addressable market was $101 billion in 2023 and will grow to $150 billion in 2026, representing a four-year CAGR of 14%.</t>
  </si>
  <si>
    <t xml:space="preserve">Part 1 - Who We Are (Item 4.B) &gt; Our opportunity</t>
  </si>
  <si>
    <t xml:space="preserve">AN-2448</t>
  </si>
  <si>
    <t xml:space="preserve">2026</t>
  </si>
  <si>
    <t xml:space="preserve">will grow to $150 billion in 2026, representing a four-year CAGR of 14%.</t>
  </si>
  <si>
    <t xml:space="preserve">Forecast.</t>
  </si>
  <si>
    <t xml:space="preserve">AN-2449</t>
  </si>
  <si>
    <t xml:space="preserve">Total operating expenses</t>
  </si>
  <si>
    <t xml:space="preserve">Total operating expenses | 395,262 | 289,172 | 158,629</t>
  </si>
  <si>
    <t xml:space="preserve">AN-2450</t>
  </si>
  <si>
    <t xml:space="preserve">AN-2451</t>
  </si>
  <si>
    <t xml:space="preserve">Item 5.A first results table shows 395,292 for FY2021 (apparent typo); audited statement and Item 5.A operating-expense table show 395,262.</t>
  </si>
  <si>
    <t xml:space="preserve">AN-2452</t>
  </si>
  <si>
    <t xml:space="preserve">Total operatings | 409,030 | 336,324</t>
  </si>
  <si>
    <t xml:space="preserve">AN-2453</t>
  </si>
  <si>
    <t xml:space="preserve">AN-2454</t>
  </si>
  <si>
    <t xml:space="preserve">Total operating expenses | 523,041</t>
  </si>
  <si>
    <t xml:space="preserve">AN-2455</t>
  </si>
  <si>
    <t xml:space="preserve">Total operating expenses | 616,891</t>
  </si>
  <si>
    <t xml:space="preserve">AN-2456</t>
  </si>
  <si>
    <t xml:space="preserve">Total principal accountant fees</t>
  </si>
  <si>
    <t xml:space="preserve">Total fees | $ | 749 | $ | 1,374</t>
  </si>
  <si>
    <t xml:space="preserve">Part 5 - Consolidated Statements and Additional Financial Information &gt; Principal accountant fees and services (Item 16C)</t>
  </si>
  <si>
    <t xml:space="preserve">AN-2457</t>
  </si>
  <si>
    <t xml:space="preserve">The expenses recorded by the U.S. subsidiary for employer's contributions were $915, $529, and $165</t>
  </si>
  <si>
    <t xml:space="preserve">AN-2458</t>
  </si>
  <si>
    <t xml:space="preserve">AN-2459</t>
  </si>
  <si>
    <t xml:space="preserve">AN-2460</t>
  </si>
  <si>
    <t xml:space="preserve">Weighted-average ordinary shares outstanding, diluted | 52,420,826 | 48,366,378 | 45,804,714</t>
  </si>
  <si>
    <t xml:space="preserve">AN-2461</t>
  </si>
  <si>
    <t xml:space="preserve">Weighted-average ordinary shares outstanding | 45,804,714 | 30,332,006 | 12,048,909</t>
  </si>
  <si>
    <t xml:space="preserve">AN-2462</t>
  </si>
  <si>
    <t xml:space="preserve">Weighted-average ordinary shares, basic and diluted</t>
  </si>
  <si>
    <t xml:space="preserve">Weighted-average ordinary shares used in calculating net loss per ordinary share, basic and diluted | 30,332,006 | 12,048,909 | 11,348,428</t>
  </si>
  <si>
    <t xml:space="preserve">AN-2463</t>
  </si>
  <si>
    <t xml:space="preserve">AN-2464</t>
  </si>
  <si>
    <t xml:space="preserve">AN-2465</t>
  </si>
  <si>
    <t xml:space="preserve">Weighted-average shares - diluted</t>
  </si>
  <si>
    <t xml:space="preserve">|| Weighted-average ordinary shares outstanding, diluted | 53,086,984 | 52,420,826 | 48,366,378</t>
  </si>
  <si>
    <t xml:space="preserve">Item 18 / Consolidated Financial Statements - Notes to Consolidated Financial Statements - Note 15: Earnings (Loss) Per Share</t>
  </si>
  <si>
    <t xml:space="preserve">AN-2466</t>
  </si>
  <si>
    <t xml:space="preserve">AN-2467</t>
  </si>
  <si>
    <t xml:space="preserve">Reconciliation (company block heading)</t>
  </si>
  <si>
    <t xml:space="preserve">Line Item (as labeled by company)</t>
  </si>
  <si>
    <t xml:space="preserve">Line Type</t>
  </si>
  <si>
    <t xml:space="preserve">Value</t>
  </si>
  <si>
    <t xml:space="preserve">Source Reference</t>
  </si>
  <si>
    <t xml:space="preserve">Chain ID</t>
  </si>
  <si>
    <t xml:space="preserve">RC-0001</t>
  </si>
  <si>
    <t xml:space="preserve">Reconciliation of gross profit and gross margin</t>
  </si>
  <si>
    <t xml:space="preserve">GAAP gross profit</t>
  </si>
  <si>
    <t xml:space="preserve">GAAP measure</t>
  </si>
  <si>
    <t xml:space="preserve">Exhibit 99.1, Reconciliation of GAAP to Non-GAAP Financial Information &gt; Reconciliation of gross profit and gross margin; row 'GAAP gross profit'; column 'Three months ended March 31, 2021'</t>
  </si>
  <si>
    <t xml:space="preserve">Q1 2021|1</t>
  </si>
  <si>
    <t xml:space="preserve">Q1 2021: prior-year comparative column of the Q1 2022 release.</t>
  </si>
  <si>
    <t xml:space="preserve">RC-0002</t>
  </si>
  <si>
    <t xml:space="preserve">Adjustment</t>
  </si>
  <si>
    <t xml:space="preserve">Exhibit 99.1, Reconciliation of GAAP to Non-GAAP Financial Information &gt; Reconciliation of gross profit and gross margin; row 'Share-based compensation'; column 'Three months ended March 31, 2021'</t>
  </si>
  <si>
    <t xml:space="preserve">RC-0003</t>
  </si>
  <si>
    <t xml:space="preserve">Non-GAAP gross profit</t>
  </si>
  <si>
    <t xml:space="preserve">Non-GAAP measure</t>
  </si>
  <si>
    <t xml:space="preserve">RC-0004</t>
  </si>
  <si>
    <t xml:space="preserve">Reconciliation of operating expenses</t>
  </si>
  <si>
    <t xml:space="preserve">GAAP research and development</t>
  </si>
  <si>
    <t xml:space="preserve">Exhibit 99.1, Reconciliation of GAAP to Non-GAAP Financial Information &gt; Reconciliation of operating expenses; row 'GAAP research and development'; column 'Three months ended March 31, 2021'</t>
  </si>
  <si>
    <t xml:space="preserve">Q1 2021|2</t>
  </si>
  <si>
    <t xml:space="preserve">RC-0005</t>
  </si>
  <si>
    <t xml:space="preserve">Exhibit 99.1, Reconciliation of GAAP to Non-GAAP Financial Information &gt; Reconciliation of operating expenses; row 'Share-based compensation'; column 'Three months ended March 31, 2021'</t>
  </si>
  <si>
    <t xml:space="preserve">RC-0006</t>
  </si>
  <si>
    <t xml:space="preserve">Non-GAAP research and development</t>
  </si>
  <si>
    <t xml:space="preserve">RC-0007</t>
  </si>
  <si>
    <t xml:space="preserve">GAAP sales and marketing</t>
  </si>
  <si>
    <t xml:space="preserve">Exhibit 99.1, Reconciliation of GAAP to Non-GAAP Financial Information &gt; Reconciliation of operating expenses; row 'GAAP sales and marketing'; column 'Three months ended March 31, 2021'</t>
  </si>
  <si>
    <t xml:space="preserve">Q1 2021|3</t>
  </si>
  <si>
    <t xml:space="preserve">RC-0008</t>
  </si>
  <si>
    <t xml:space="preserve">RC-0009</t>
  </si>
  <si>
    <t xml:space="preserve">Non-GAAP sales and marketing</t>
  </si>
  <si>
    <t xml:space="preserve">RC-0010</t>
  </si>
  <si>
    <t xml:space="preserve">GAAP general and administrative</t>
  </si>
  <si>
    <t xml:space="preserve">Exhibit 99.1, Reconciliation of GAAP to Non-GAAP Financial Information &gt; Reconciliation of operating expenses; row 'GAAP general and administrative'; column 'Three months ended March 31, 2021'</t>
  </si>
  <si>
    <t xml:space="preserve">Q1 2021|4</t>
  </si>
  <si>
    <t xml:space="preserve">RC-0011</t>
  </si>
  <si>
    <t xml:space="preserve">RC-0012</t>
  </si>
  <si>
    <t xml:space="preserve">Non-GAAP general and administrative</t>
  </si>
  <si>
    <t xml:space="preserve">RC-0013</t>
  </si>
  <si>
    <t xml:space="preserve">Reconciliation of operating loss</t>
  </si>
  <si>
    <t xml:space="preserve">Exhibit 99.1, Reconciliation of GAAP to Non-GAAP Financial Information &gt; Reconciliation of operating loss; row 'GAAP operating loss'; column 'Three months ended March 31, 2021'</t>
  </si>
  <si>
    <t xml:space="preserve">Q1 2021|5</t>
  </si>
  <si>
    <t xml:space="preserve">RC-0014</t>
  </si>
  <si>
    <t xml:space="preserve">RC-0015</t>
  </si>
  <si>
    <t xml:space="preserve">RC-0016</t>
  </si>
  <si>
    <t xml:space="preserve">GAAP net loss</t>
  </si>
  <si>
    <t xml:space="preserve">Exhibit 99.1, Reconciliation of GAAP to Non-GAAP Financial Information &gt; Reconciliation of operating loss; row 'GAAP net loss'; column 'Three months ended March 31, 2021'</t>
  </si>
  <si>
    <t xml:space="preserve">Q1 2021|6</t>
  </si>
  <si>
    <t xml:space="preserve">RC-0017</t>
  </si>
  <si>
    <t xml:space="preserve">RC-0018</t>
  </si>
  <si>
    <t xml:space="preserve">Tax benefit related to share-based compensation (1)</t>
  </si>
  <si>
    <t xml:space="preserve">Exhibit 99.1, Reconciliation of GAAP to Non-GAAP Financial Information &gt; Reconciliation of operating loss; row 'Tax benefit related to share-based compensation (1)'; column 'Three months ended March 31, 2021'</t>
  </si>
  <si>
    <t xml:space="preserve">RC-0019</t>
  </si>
  <si>
    <t xml:space="preserve">Non-GAAP net loss</t>
  </si>
  <si>
    <t xml:space="preserve">RC-0020</t>
  </si>
  <si>
    <t xml:space="preserve">Reconciliation of net loss attributable to ordinary shareholders</t>
  </si>
  <si>
    <t xml:space="preserve">GAAP net loss attributable to ordinary shareholders</t>
  </si>
  <si>
    <t xml:space="preserve">Exhibit 99.1, Reconciliation of GAAP to Non-GAAP Financial Information &gt; Reconciliation of net loss attributable to ordinary shareholders; row 'GAAP net loss attributable to ordinary shareholders'; column 'Three months ended March 31, 2021'</t>
  </si>
  <si>
    <t xml:space="preserve">Q1 2021|7</t>
  </si>
  <si>
    <t xml:space="preserve">RC-0021</t>
  </si>
  <si>
    <t xml:space="preserve">Deemed dividend to preferred shareholders</t>
  </si>
  <si>
    <t xml:space="preserve">Exhibit 99.1, Reconciliation of GAAP to Non-GAAP Financial Information &gt; Reconciliation of net loss attributable to ordinary shareholders; row 'Deemed dividend to preferred shareholders'; column 'Three months ended March 31, 2021'</t>
  </si>
  <si>
    <t xml:space="preserve">RC-0022</t>
  </si>
  <si>
    <t xml:space="preserve">Exhibit 99.1, Reconciliation of GAAP to Non-GAAP Financial Information &gt; Reconciliation of net loss attributable to ordinary shareholders; row 'Share-based compensation'; column 'Three months ended March 31, 2021'</t>
  </si>
  <si>
    <t xml:space="preserve">RC-0023</t>
  </si>
  <si>
    <t xml:space="preserve">Exhibit 99.1, Reconciliation of GAAP to Non-GAAP Financial Information &gt; Reconciliation of net loss attributable to ordinary shareholders; row 'Tax benefit related to share-based compensation (1)'; column 'Three months ended March 31, 2021'</t>
  </si>
  <si>
    <t xml:space="preserve">RC-0024</t>
  </si>
  <si>
    <t xml:space="preserve">Exhibit 99.1, Reconciliation of GAAP to Non-GAAP Financial Information &gt; Reconciliation of net loss attributable to ordinary shareholders; row 'Non-GAAP net loss'; column 'Three months ended March 31, 2021'</t>
  </si>
  <si>
    <t xml:space="preserve">RC-0025</t>
  </si>
  <si>
    <t xml:space="preserve">Reconciliation of net cash provided by (used in) operating activities to (adjusted) free cash flow</t>
  </si>
  <si>
    <t xml:space="preserve">Net cash used in operating activities</t>
  </si>
  <si>
    <t xml:space="preserve">Exhibit 99.1, Reconciliation of net cash used in operating activities to adjusted free cash flow; row 'Net cash used in operating activities'; column 'Three months ended March 31, 2021'</t>
  </si>
  <si>
    <t xml:space="preserve">Q1 2021|8</t>
  </si>
  <si>
    <t xml:space="preserve">RC-0026</t>
  </si>
  <si>
    <t xml:space="preserve">RC-0027</t>
  </si>
  <si>
    <t xml:space="preserve">RC-0028</t>
  </si>
  <si>
    <t xml:space="preserve">Purchase of property and equipment related to build-out of our new corporate headquarters</t>
  </si>
  <si>
    <t xml:space="preserve">RC-0029</t>
  </si>
  <si>
    <t xml:space="preserve">RC-0030</t>
  </si>
  <si>
    <t xml:space="preserve">Exhibit 99.1, Reconciliation of GAAP to Non-GAAP Financial Information &gt; Reconciliation of gross profit and gross margin; row 'GAAP gross profit'; column 'Three months ended June 30, 2021'</t>
  </si>
  <si>
    <t xml:space="preserve">Q2 2021|1</t>
  </si>
  <si>
    <t xml:space="preserve">RC-0031</t>
  </si>
  <si>
    <t xml:space="preserve">Exhibit 99.1, Reconciliation of GAAP to Non-GAAP Financial Information &gt; Reconciliation of gross profit and gross margin; row 'Share-based compensation'; column 'Three months ended June 30, 2021'</t>
  </si>
  <si>
    <t xml:space="preserve">RC-0032</t>
  </si>
  <si>
    <t xml:space="preserve">RC-0033</t>
  </si>
  <si>
    <t xml:space="preserve">Exhibit 99.1, Reconciliation of GAAP to Non-GAAP Financial Information &gt; Reconciliation of operating expenses; row 'GAAP research and development'; column 'Three months ended June 30, 2021'</t>
  </si>
  <si>
    <t xml:space="preserve">Q2 2021|2</t>
  </si>
  <si>
    <t xml:space="preserve">RC-0034</t>
  </si>
  <si>
    <t xml:space="preserve">Exhibit 99.1, Reconciliation of GAAP to Non-GAAP Financial Information &gt; Reconciliation of operating expenses; row 'Share-based compensation'; column 'Three months ended June 30, 2021'</t>
  </si>
  <si>
    <t xml:space="preserve">RC-0035</t>
  </si>
  <si>
    <t xml:space="preserve">RC-0036</t>
  </si>
  <si>
    <t xml:space="preserve">Exhibit 99.1, Reconciliation of GAAP to Non-GAAP Financial Information &gt; Reconciliation of operating expenses; row 'GAAP sales and marketing'; column 'Three months ended June 30, 2021'</t>
  </si>
  <si>
    <t xml:space="preserve">Q2 2021|3</t>
  </si>
  <si>
    <t xml:space="preserve">RC-0037</t>
  </si>
  <si>
    <t xml:space="preserve">RC-0038</t>
  </si>
  <si>
    <t xml:space="preserve">RC-0039</t>
  </si>
  <si>
    <t xml:space="preserve">Exhibit 99.1, Reconciliation of GAAP to Non-GAAP Financial Information &gt; Reconciliation of operating expenses; row 'GAAP general and administrative'; column 'Three months ended June 30, 2021'</t>
  </si>
  <si>
    <t xml:space="preserve">Q2 2021|4</t>
  </si>
  <si>
    <t xml:space="preserve">RC-0040</t>
  </si>
  <si>
    <t xml:space="preserve">RC-0041</t>
  </si>
  <si>
    <t xml:space="preserve">RC-0042</t>
  </si>
  <si>
    <t xml:space="preserve">Exhibit 99.1, Reconciliation of GAAP to Non-GAAP Financial Information &gt; Reconciliation of operating loss; row 'GAAP operating loss'; column 'Three months ended June 30, 2021'</t>
  </si>
  <si>
    <t xml:space="preserve">Q2 2021|5</t>
  </si>
  <si>
    <t xml:space="preserve">RC-0043</t>
  </si>
  <si>
    <t xml:space="preserve">RC-0044</t>
  </si>
  <si>
    <t xml:space="preserve">RC-0045</t>
  </si>
  <si>
    <t xml:space="preserve">Reconciliation of net loss</t>
  </si>
  <si>
    <t xml:space="preserve">Exhibit 99.1, Reconciliation of GAAP to Non-GAAP Financial Information &gt; Reconciliation of net loss; row 'GAAP net loss'; column 'Three months ended June 30, 2021'</t>
  </si>
  <si>
    <t xml:space="preserve">Q2 2021|6</t>
  </si>
  <si>
    <t xml:space="preserve">RC-0046</t>
  </si>
  <si>
    <t xml:space="preserve">Exhibit 99.1, Reconciliation of GAAP to Non-GAAP Financial Information &gt; Reconciliation of net loss; row 'Share-based compensation'; column 'Three months ended June 30, 2021'</t>
  </si>
  <si>
    <t xml:space="preserve">RC-0047</t>
  </si>
  <si>
    <t xml:space="preserve">RC-0048</t>
  </si>
  <si>
    <t xml:space="preserve">Exhibit 99.1, Reconciliation of GAAP to Non-GAAP Financial Information &gt; Reconciliation of net loss attributable to ordinary shareholders; row 'GAAP net loss attributable to ordinary shareholders'; column 'Three months ended June 30, 2021'</t>
  </si>
  <si>
    <t xml:space="preserve">Q2 2021|7</t>
  </si>
  <si>
    <t xml:space="preserve">RC-0049</t>
  </si>
  <si>
    <t xml:space="preserve">Exhibit 99.1, Reconciliation of GAAP to Non-GAAP Financial Information &gt; Reconciliation of net loss attributable to ordinary shareholders; row 'Deemed dividend to preferred shareholders'; column 'Three months ended June 30, 2021'</t>
  </si>
  <si>
    <t xml:space="preserve">RC-0050</t>
  </si>
  <si>
    <t xml:space="preserve">Exhibit 99.1, Reconciliation of GAAP to Non-GAAP Financial Information &gt; Reconciliation of net loss attributable to ordinary shareholders; row 'Share-based compensation'; column 'Three months ended June 30, 2021'</t>
  </si>
  <si>
    <t xml:space="preserve">RC-0051</t>
  </si>
  <si>
    <t xml:space="preserve">Exhibit 99.1, Reconciliation of GAAP to Non-GAAP Financial Information &gt; Reconciliation of net loss attributable to ordinary shareholders; row 'Non-GAAP net loss'; column 'Three months ended June 30, 2021'</t>
  </si>
  <si>
    <t xml:space="preserve">RC-0052</t>
  </si>
  <si>
    <t xml:space="preserve">Exhibit 99.1, Reconciliation of net cash provided by operating activities to adjusted free cash flow; row 'Net cash provided by operating activities'; column 'Three months ended June 30, 2021'</t>
  </si>
  <si>
    <t xml:space="preserve">Q2 2021|8</t>
  </si>
  <si>
    <t xml:space="preserve">RC-0053</t>
  </si>
  <si>
    <t xml:space="preserve">RC-0054</t>
  </si>
  <si>
    <t xml:space="preserve">RC-0055</t>
  </si>
  <si>
    <t xml:space="preserve">RC-0056</t>
  </si>
  <si>
    <t xml:space="preserve">RC-0057</t>
  </si>
  <si>
    <t xml:space="preserve">Exhibit 99.1, Reconciliation of GAAP to Non-GAAP Financial Information &gt; Reconciliation of gross profit and gross margin; row 'GAAP gross profit'; column 'Three months ended September 30, 2021'</t>
  </si>
  <si>
    <t xml:space="preserve">Q3 2021|1</t>
  </si>
  <si>
    <t xml:space="preserve">RC-0058</t>
  </si>
  <si>
    <t xml:space="preserve">Exhibit 99.1, Reconciliation of GAAP to Non-GAAP Financial Information &gt; Reconciliation of gross profit and gross margin; row 'Share-based compensation'; column 'Three months ended September 30, 2021'</t>
  </si>
  <si>
    <t xml:space="preserve">RC-0059</t>
  </si>
  <si>
    <t xml:space="preserve">RC-0060</t>
  </si>
  <si>
    <t xml:space="preserve">Exhibit 99.1, Reconciliation of GAAP to Non-GAAP Financial Information &gt; Reconciliation of operating expenses; row 'GAAP research and development'; column 'Three months ended September 30, 2021'</t>
  </si>
  <si>
    <t xml:space="preserve">Q3 2021|2</t>
  </si>
  <si>
    <t xml:space="preserve">RC-0061</t>
  </si>
  <si>
    <t xml:space="preserve">Exhibit 99.1, Reconciliation of GAAP to Non-GAAP Financial Information &gt; Reconciliation of operating expenses; row 'Share-based compensation'; column 'Three months ended September 30, 2021'</t>
  </si>
  <si>
    <t xml:space="preserve">RC-0062</t>
  </si>
  <si>
    <t xml:space="preserve">RC-0063</t>
  </si>
  <si>
    <t xml:space="preserve">Exhibit 99.1, Reconciliation of GAAP to Non-GAAP Financial Information &gt; Reconciliation of operating expenses; row 'GAAP sales and marketing'; column 'Three months ended September 30, 2021'</t>
  </si>
  <si>
    <t xml:space="preserve">Q3 2021|3</t>
  </si>
  <si>
    <t xml:space="preserve">RC-0064</t>
  </si>
  <si>
    <t xml:space="preserve">RC-0065</t>
  </si>
  <si>
    <t xml:space="preserve">RC-0066</t>
  </si>
  <si>
    <t xml:space="preserve">Exhibit 99.1, Reconciliation of GAAP to Non-GAAP Financial Information &gt; Reconciliation of operating expenses; row 'GAAP general and administrative'; column 'Three months ended September 30, 2021'</t>
  </si>
  <si>
    <t xml:space="preserve">Q3 2021|4</t>
  </si>
  <si>
    <t xml:space="preserve">RC-0067</t>
  </si>
  <si>
    <t xml:space="preserve">RC-0068</t>
  </si>
  <si>
    <t xml:space="preserve">RC-0069</t>
  </si>
  <si>
    <t xml:space="preserve">Exhibit 99.1, Reconciliation of GAAP to Non-GAAP Financial Information &gt; Reconciliation of operating loss; row 'GAAP operating loss'; column 'Three months ended September 30, 2021'</t>
  </si>
  <si>
    <t xml:space="preserve">Q3 2021|5</t>
  </si>
  <si>
    <t xml:space="preserve">RC-0070</t>
  </si>
  <si>
    <t xml:space="preserve">RC-0071</t>
  </si>
  <si>
    <t xml:space="preserve">RC-0072</t>
  </si>
  <si>
    <t xml:space="preserve">Exhibit 99.1, Reconciliation of GAAP to Non-GAAP Financial Information &gt; Reconciliation of net loss; row 'GAAP net loss'; column 'Three months ended September 30, 2021'</t>
  </si>
  <si>
    <t xml:space="preserve">Q3 2021|6</t>
  </si>
  <si>
    <t xml:space="preserve">RC-0073</t>
  </si>
  <si>
    <t xml:space="preserve">Exhibit 99.1, Reconciliation of GAAP to Non-GAAP Financial Information &gt; Reconciliation of net loss; row 'Share-based compensation'; column 'Three months ended September 30, 2021'</t>
  </si>
  <si>
    <t xml:space="preserve">RC-0074</t>
  </si>
  <si>
    <t xml:space="preserve">Exhibit 99.1, Reconciliation of GAAP to Non-GAAP Financial Information &gt; Reconciliation of net loss; row 'Tax benefit related to share-based compensation (1)'; column 'Three months ended September 30, 2021'</t>
  </si>
  <si>
    <t xml:space="preserve">RC-0075</t>
  </si>
  <si>
    <t xml:space="preserve">RC-0076</t>
  </si>
  <si>
    <t xml:space="preserve">Exhibit 99.1, Reconciliation of GAAP to Non-GAAP Financial Information &gt; Reconciliation of net loss attributable to ordinary shareholders; row 'GAAP net loss attributable to ordinary shareholders'; column 'Three months ended September 30, 2021'</t>
  </si>
  <si>
    <t xml:space="preserve">Q3 2021|7</t>
  </si>
  <si>
    <t xml:space="preserve">RC-0077</t>
  </si>
  <si>
    <t xml:space="preserve">Exhibit 99.1, Reconciliation of GAAP to Non-GAAP Financial Information &gt; Reconciliation of net loss attributable to ordinary shareholders; row 'Deemed dividend to preferred shareholders'; column 'Three months ended September 30, 2021'</t>
  </si>
  <si>
    <t xml:space="preserve">RC-0078</t>
  </si>
  <si>
    <t xml:space="preserve">Exhibit 99.1, Reconciliation of GAAP to Non-GAAP Financial Information &gt; Reconciliation of net loss attributable to ordinary shareholders; row 'Share-based compensation'; column 'Three months ended September 30, 2021'</t>
  </si>
  <si>
    <t xml:space="preserve">RC-0079</t>
  </si>
  <si>
    <t xml:space="preserve">Exhibit 99.1, Reconciliation of GAAP to Non-GAAP Financial Information &gt; Reconciliation of net loss attributable to ordinary shareholders; row 'Tax benefit related to share-based compensation (1)'; column 'Three months ended September 30, 2021'</t>
  </si>
  <si>
    <t xml:space="preserve">RC-0080</t>
  </si>
  <si>
    <t xml:space="preserve">Exhibit 99.1, Reconciliation of GAAP to Non-GAAP Financial Information &gt; Reconciliation of net loss attributable to ordinary shareholders; row 'Non-GAAP net loss'; column 'Three months ended September 30, 2021'</t>
  </si>
  <si>
    <t xml:space="preserve">RC-0081</t>
  </si>
  <si>
    <t xml:space="preserve">Exhibit 99.1, Reconciliation of net cash provided by operating activities to adjusted free cash flow; row 'Net cash provided by (used in) operating activities'; column 'Three months ended September 30, 2021'</t>
  </si>
  <si>
    <t xml:space="preserve">Q3 2021|8</t>
  </si>
  <si>
    <t xml:space="preserve">RC-0082</t>
  </si>
  <si>
    <t xml:space="preserve">RC-0083</t>
  </si>
  <si>
    <t xml:space="preserve">RC-0084</t>
  </si>
  <si>
    <t xml:space="preserve">RC-0085</t>
  </si>
  <si>
    <t xml:space="preserve">RC-0086</t>
  </si>
  <si>
    <t xml:space="preserve">Exhibit 99.1, Reconciliation of GAAP to Non-GAAP Financial Information &gt; Reconciliation of gross profit and gross margin; row 'GAAP gross profit'; column 'Three months ended December 31, 2021'</t>
  </si>
  <si>
    <t xml:space="preserve">Q4 2021|1</t>
  </si>
  <si>
    <t xml:space="preserve">RC-0087</t>
  </si>
  <si>
    <t xml:space="preserve">Exhibit 99.1, Reconciliation of GAAP to Non-GAAP Financial Information &gt; Reconciliation of gross profit and gross margin; row 'Share-based compensation'; column 'Three months ended December 31, 2021'</t>
  </si>
  <si>
    <t xml:space="preserve">RC-0088</t>
  </si>
  <si>
    <t xml:space="preserve">RC-0089</t>
  </si>
  <si>
    <t xml:space="preserve">Exhibit 99.1, Reconciliation of GAAP to Non-GAAP Financial Information &gt; Reconciliation of operating expenses; row 'GAAP research and development'; column 'Three months ended December 31, 2021'</t>
  </si>
  <si>
    <t xml:space="preserve">Q4 2021|2</t>
  </si>
  <si>
    <t xml:space="preserve">RC-0090</t>
  </si>
  <si>
    <t xml:space="preserve">Exhibit 99.1, Reconciliation of GAAP to Non-GAAP Financial Information &gt; Reconciliation of operating expenses; row 'Share-based compensation'; column 'Three months ended December 31, 2021'</t>
  </si>
  <si>
    <t xml:space="preserve">RC-0091</t>
  </si>
  <si>
    <t xml:space="preserve">RC-0092</t>
  </si>
  <si>
    <t xml:space="preserve">Exhibit 99.1, Reconciliation of GAAP to Non-GAAP Financial Information &gt; Reconciliation of operating expenses; row 'GAAP sales and marketing'; column 'Three months ended December 31, 2021'</t>
  </si>
  <si>
    <t xml:space="preserve">Q4 2021|3</t>
  </si>
  <si>
    <t xml:space="preserve">RC-0093</t>
  </si>
  <si>
    <t xml:space="preserve">RC-0094</t>
  </si>
  <si>
    <t xml:space="preserve">RC-0095</t>
  </si>
  <si>
    <t xml:space="preserve">Exhibit 99.1, Reconciliation of GAAP to Non-GAAP Financial Information &gt; Reconciliation of operating expenses; row 'GAAP general and administrative'; column 'Three months ended December 31, 2021'</t>
  </si>
  <si>
    <t xml:space="preserve">Q4 2021|4</t>
  </si>
  <si>
    <t xml:space="preserve">RC-0096</t>
  </si>
  <si>
    <t xml:space="preserve">RC-0097</t>
  </si>
  <si>
    <t xml:space="preserve">RC-0098</t>
  </si>
  <si>
    <t xml:space="preserve">Exhibit 99.1, Reconciliation of GAAP to Non-GAAP Financial Information &gt; Reconciliation of operating loss; row 'GAAP operating loss'; column 'Three months ended December 31, 2021'</t>
  </si>
  <si>
    <t xml:space="preserve">Q4 2021|5</t>
  </si>
  <si>
    <t xml:space="preserve">RC-0099</t>
  </si>
  <si>
    <t xml:space="preserve">RC-0100</t>
  </si>
  <si>
    <t xml:space="preserve">RC-0101</t>
  </si>
  <si>
    <t xml:space="preserve">Exhibit 99.1, Reconciliation of GAAP to Non-GAAP Financial Information &gt; Reconciliation of net loss; row 'GAAP net loss'; column 'Three months ended December 31, 2021'</t>
  </si>
  <si>
    <t xml:space="preserve">Q4 2021|6</t>
  </si>
  <si>
    <t xml:space="preserve">RC-0102</t>
  </si>
  <si>
    <t xml:space="preserve">Exhibit 99.1, Reconciliation of GAAP to Non-GAAP Financial Information &gt; Reconciliation of net loss; row 'Share-based compensation'; column 'Three months ended December 31, 2021'</t>
  </si>
  <si>
    <t xml:space="preserve">RC-0103</t>
  </si>
  <si>
    <t xml:space="preserve">Exhibit 99.1, Reconciliation of GAAP to Non-GAAP Financial Information &gt; Reconciliation of net loss; row 'Tax benefit related to share-based compensation (1)'; column 'Three months ended December 31, 2021'</t>
  </si>
  <si>
    <t xml:space="preserve">RC-0104</t>
  </si>
  <si>
    <t xml:space="preserve">RC-0105</t>
  </si>
  <si>
    <t xml:space="preserve">Exhibit 99.1, Reconciliation of GAAP to Non-GAAP Financial Information &gt; Reconciliation of net loss attributable to ordinary shareholders; row 'GAAP net loss attributable to ordinary shareholders'; column 'Three months ended December 31, 2021'</t>
  </si>
  <si>
    <t xml:space="preserve">Q4 2021|7</t>
  </si>
  <si>
    <t xml:space="preserve">RC-0106</t>
  </si>
  <si>
    <t xml:space="preserve">Exhibit 99.1, Reconciliation of GAAP to Non-GAAP Financial Information &gt; Reconciliation of net loss attributable to ordinary shareholders; row 'Deemed dividend to preferred shareholders'; column 'Three months ended December 31, 2021'</t>
  </si>
  <si>
    <t xml:space="preserve">RC-0107</t>
  </si>
  <si>
    <t xml:space="preserve">Exhibit 99.1, Reconciliation of GAAP to Non-GAAP Financial Information &gt; Reconciliation of net loss attributable to ordinary shareholders; row 'Share-based compensation'; column 'Three months ended December 31, 2021'</t>
  </si>
  <si>
    <t xml:space="preserve">RC-0108</t>
  </si>
  <si>
    <t xml:space="preserve">Exhibit 99.1, Reconciliation of GAAP to Non-GAAP Financial Information &gt; Reconciliation of net loss attributable to ordinary shareholders; row 'Tax benefit related to share-based compensation (1)'; column 'Three months ended December 31, 2021'</t>
  </si>
  <si>
    <t xml:space="preserve">RC-0109</t>
  </si>
  <si>
    <t xml:space="preserve">Exhibit 99.1, Reconciliation of GAAP to Non-GAAP Financial Information &gt; Reconciliation of net loss attributable to ordinary shareholders; row 'Non-GAAP net loss'; column 'Three months ended December 31, 2021'</t>
  </si>
  <si>
    <t xml:space="preserve">RC-0110</t>
  </si>
  <si>
    <t xml:space="preserve">Exhibit 99.1, Reconciliation of net cash provided by (used in) operating activities to adjusted free cash flow; row 'Net cash provided by (used in) operating activities'; column 'Three months ended December 31, 2021'</t>
  </si>
  <si>
    <t xml:space="preserve">Q4 2021|8</t>
  </si>
  <si>
    <t xml:space="preserve">RC-0111</t>
  </si>
  <si>
    <t xml:space="preserve">RC-0112</t>
  </si>
  <si>
    <t xml:space="preserve">RC-0113</t>
  </si>
  <si>
    <t xml:space="preserve">RC-0114</t>
  </si>
  <si>
    <t xml:space="preserve">RC-0115</t>
  </si>
  <si>
    <t xml:space="preserve">Exhibit 99.1, Reconciliation of GAAP to Non-GAAP Financial Information &gt; Reconciliation of gross profit and gross margin; row 'GAAP gross profit'; column 'Year ended December 31, 2021'</t>
  </si>
  <si>
    <t xml:space="preserve">FY 2021|1</t>
  </si>
  <si>
    <t xml:space="preserve">RC-0116</t>
  </si>
  <si>
    <t xml:space="preserve">Exhibit 99.1, Reconciliation of GAAP to Non-GAAP Financial Information &gt; Reconciliation of gross profit and gross margin; row 'Share-based compensation'; column 'Year ended December 31, 2021'</t>
  </si>
  <si>
    <t xml:space="preserve">RC-0117</t>
  </si>
  <si>
    <t xml:space="preserve">RC-0118</t>
  </si>
  <si>
    <t xml:space="preserve">Exhibit 99.1, Reconciliation of GAAP to Non-GAAP Financial Information &gt; Reconciliation of operating expenses; row 'GAAP research and development'; column 'Year ended December 31, 2021'</t>
  </si>
  <si>
    <t xml:space="preserve">FY 2021|2</t>
  </si>
  <si>
    <t xml:space="preserve">RC-0119</t>
  </si>
  <si>
    <t xml:space="preserve">Exhibit 99.1, Reconciliation of GAAP to Non-GAAP Financial Information &gt; Reconciliation of operating expenses; row 'Share-based compensation'; column 'Year ended December 31, 2021'</t>
  </si>
  <si>
    <t xml:space="preserve">RC-0120</t>
  </si>
  <si>
    <t xml:space="preserve">RC-0121</t>
  </si>
  <si>
    <t xml:space="preserve">Exhibit 99.1, Reconciliation of GAAP to Non-GAAP Financial Information &gt; Reconciliation of operating expenses; row 'GAAP sales and marketing'; column 'Year ended December 31, 2021'</t>
  </si>
  <si>
    <t xml:space="preserve">FY 2021|3</t>
  </si>
  <si>
    <t xml:space="preserve">RC-0122</t>
  </si>
  <si>
    <t xml:space="preserve">RC-0123</t>
  </si>
  <si>
    <t xml:space="preserve">RC-0124</t>
  </si>
  <si>
    <t xml:space="preserve">Exhibit 99.1, Reconciliation of GAAP to Non-GAAP Financial Information &gt; Reconciliation of operating expenses; row 'GAAP general and administrative'; column 'Year ended December 31, 2021'</t>
  </si>
  <si>
    <t xml:space="preserve">FY 2021|4</t>
  </si>
  <si>
    <t xml:space="preserve">RC-0125</t>
  </si>
  <si>
    <t xml:space="preserve">RC-0126</t>
  </si>
  <si>
    <t xml:space="preserve">RC-0127</t>
  </si>
  <si>
    <t xml:space="preserve">Exhibit 99.1, Reconciliation of GAAP to Non-GAAP Financial Information &gt; Reconciliation of operating loss; row 'GAAP operating loss'; column 'Year ended December 31, 2021'</t>
  </si>
  <si>
    <t xml:space="preserve">FY 2021|5</t>
  </si>
  <si>
    <t xml:space="preserve">RC-0128</t>
  </si>
  <si>
    <t xml:space="preserve">RC-0129</t>
  </si>
  <si>
    <t xml:space="preserve">RC-0130</t>
  </si>
  <si>
    <t xml:space="preserve">Exhibit 99.1, Reconciliation of GAAP to Non-GAAP Financial Information &gt; Reconciliation of net loss; row 'GAAP net loss'; column 'Year ended December 31, 2021'</t>
  </si>
  <si>
    <t xml:space="preserve">FY 2021|6</t>
  </si>
  <si>
    <t xml:space="preserve">RC-0131</t>
  </si>
  <si>
    <t xml:space="preserve">Exhibit 99.1, Reconciliation of GAAP to Non-GAAP Financial Information &gt; Reconciliation of net loss; row 'Share-based compensation'; column 'Year ended December 31, 2021'</t>
  </si>
  <si>
    <t xml:space="preserve">RC-0132</t>
  </si>
  <si>
    <t xml:space="preserve">Exhibit 99.1, Reconciliation of GAAP to Non-GAAP Financial Information &gt; Reconciliation of net loss; row 'Tax benefit related to share-based compensation (1)'; column 'Year ended December 31, 2021'</t>
  </si>
  <si>
    <t xml:space="preserve">RC-0133</t>
  </si>
  <si>
    <t xml:space="preserve">RC-0134</t>
  </si>
  <si>
    <t xml:space="preserve">Exhibit 99.1, Reconciliation of GAAP to Non-GAAP Financial Information &gt; Reconciliation of net loss attributable to ordinary shareholders; row 'GAAP net loss attributable to ordinary shareholders'; column 'Year ended December 31, 2021'</t>
  </si>
  <si>
    <t xml:space="preserve">FY 2021|7</t>
  </si>
  <si>
    <t xml:space="preserve">RC-0135</t>
  </si>
  <si>
    <t xml:space="preserve">Exhibit 99.1, Reconciliation of GAAP to Non-GAAP Financial Information &gt; Reconciliation of net loss attributable to ordinary shareholders; row 'Deemed dividend to preferred shareholders'; column 'Year ended December 31, 2021'</t>
  </si>
  <si>
    <t xml:space="preserve">RC-0136</t>
  </si>
  <si>
    <t xml:space="preserve">Exhibit 99.1, Reconciliation of GAAP to Non-GAAP Financial Information &gt; Reconciliation of net loss attributable to ordinary shareholders; row 'Share-based compensation'; column 'Year ended December 31, 2021'</t>
  </si>
  <si>
    <t xml:space="preserve">RC-0137</t>
  </si>
  <si>
    <t xml:space="preserve">Exhibit 99.1, Reconciliation of GAAP to Non-GAAP Financial Information &gt; Reconciliation of net loss attributable to ordinary shareholders; row 'Tax benefit related to share-based compensation (1)'; column 'Year ended December 31, 2021'</t>
  </si>
  <si>
    <t xml:space="preserve">RC-0138</t>
  </si>
  <si>
    <t xml:space="preserve">Exhibit 99.1, Reconciliation of GAAP to Non-GAAP Financial Information &gt; Reconciliation of net loss attributable to ordinary shareholders; row 'Non-GAAP net loss'; column 'Year ended December 31, 2021'</t>
  </si>
  <si>
    <t xml:space="preserve">RC-0139</t>
  </si>
  <si>
    <t xml:space="preserve">Exhibit 99.1, Reconciliation of net cash provided by (used in) operating activities to adjusted free cash flow; row 'Net cash provided by (used in) operating activities'; column 'Year ended December 31, 2021'</t>
  </si>
  <si>
    <t xml:space="preserve">FY 2021|8</t>
  </si>
  <si>
    <t xml:space="preserve">RC-0140</t>
  </si>
  <si>
    <t xml:space="preserve">RC-0141</t>
  </si>
  <si>
    <t xml:space="preserve">RC-0142</t>
  </si>
  <si>
    <t xml:space="preserve">RC-0143</t>
  </si>
  <si>
    <t xml:space="preserve">RC-0144</t>
  </si>
  <si>
    <t xml:space="preserve">Exhibit 99.1, Reconciliation of GAAP to Non-GAAP Financial Information &gt; Reconciliation of gross profit and gross margin; row 'GAAP gross profit'; column 'Three months ended March 31, 2022'</t>
  </si>
  <si>
    <t xml:space="preserve">Q1 2022|1</t>
  </si>
  <si>
    <t xml:space="preserve">RC-0145</t>
  </si>
  <si>
    <t xml:space="preserve">Exhibit 99.1, Reconciliation of GAAP to Non-GAAP Financial Information &gt; Reconciliation of gross profit and gross margin; row 'Share-based compensation'; column 'Three months ended March 31, 2022'</t>
  </si>
  <si>
    <t xml:space="preserve">RC-0146</t>
  </si>
  <si>
    <t xml:space="preserve">RC-0147</t>
  </si>
  <si>
    <t xml:space="preserve">Exhibit 99.1, Reconciliation of GAAP to Non-GAAP Financial Information &gt; Reconciliation of operating expenses; row 'GAAP research and development'; column 'Three months ended March 31, 2022'</t>
  </si>
  <si>
    <t xml:space="preserve">Q1 2022|2</t>
  </si>
  <si>
    <t xml:space="preserve">RC-0148</t>
  </si>
  <si>
    <t xml:space="preserve">Exhibit 99.1, Reconciliation of GAAP to Non-GAAP Financial Information &gt; Reconciliation of operating expenses; row 'Share-based compensation'; column 'Three months ended March 31, 2022'</t>
  </si>
  <si>
    <t xml:space="preserve">RC-0149</t>
  </si>
  <si>
    <t xml:space="preserve">RC-0150</t>
  </si>
  <si>
    <t xml:space="preserve">Exhibit 99.1, Reconciliation of GAAP to Non-GAAP Financial Information &gt; Reconciliation of operating expenses; row 'GAAP sales and marketing'; column 'Three months ended March 31, 2022'</t>
  </si>
  <si>
    <t xml:space="preserve">Q1 2022|3</t>
  </si>
  <si>
    <t xml:space="preserve">RC-0151</t>
  </si>
  <si>
    <t xml:space="preserve">RC-0152</t>
  </si>
  <si>
    <t xml:space="preserve">RC-0153</t>
  </si>
  <si>
    <t xml:space="preserve">Exhibit 99.1, Reconciliation of GAAP to Non-GAAP Financial Information &gt; Reconciliation of operating expenses; row 'GAAP general and administrative'; column 'Three months ended March 31, 2022'</t>
  </si>
  <si>
    <t xml:space="preserve">Q1 2022|4</t>
  </si>
  <si>
    <t xml:space="preserve">RC-0154</t>
  </si>
  <si>
    <t xml:space="preserve">RC-0155</t>
  </si>
  <si>
    <t xml:space="preserve">RC-0156</t>
  </si>
  <si>
    <t xml:space="preserve">Exhibit 99.1, Reconciliation of GAAP to Non-GAAP Financial Information &gt; Reconciliation of operating loss; row 'GAAP operating loss'; column 'Three months ended March 31, 2022'</t>
  </si>
  <si>
    <t xml:space="preserve">Q1 2022|5</t>
  </si>
  <si>
    <t xml:space="preserve">RC-0157</t>
  </si>
  <si>
    <t xml:space="preserve">RC-0158</t>
  </si>
  <si>
    <t xml:space="preserve">RC-0159</t>
  </si>
  <si>
    <t xml:space="preserve">Exhibit 99.1, Reconciliation of GAAP to Non-GAAP Financial Information &gt; Reconciliation of operating loss; row 'GAAP net loss'; column 'Three months ended March 31, 2022'</t>
  </si>
  <si>
    <t xml:space="preserve">Q1 2022|6</t>
  </si>
  <si>
    <t xml:space="preserve">RC-0160</t>
  </si>
  <si>
    <t xml:space="preserve">RC-0161</t>
  </si>
  <si>
    <t xml:space="preserve">Exhibit 99.1, Reconciliation of GAAP to Non-GAAP Financial Information &gt; Reconciliation of operating loss; row 'Tax benefit related to share-based compensation (1)'; column 'Three months ended March 31, 2022'</t>
  </si>
  <si>
    <t xml:space="preserve">RC-0162</t>
  </si>
  <si>
    <t xml:space="preserve">RC-0163</t>
  </si>
  <si>
    <t xml:space="preserve">Exhibit 99.1, Reconciliation of GAAP to Non-GAAP Financial Information &gt; Reconciliation of net loss attributable to ordinary shareholders; row 'GAAP net loss attributable to ordinary shareholders'; column 'Three months ended March 31, 2022'</t>
  </si>
  <si>
    <t xml:space="preserve">Q1 2022|7</t>
  </si>
  <si>
    <t xml:space="preserve">RC-0164</t>
  </si>
  <si>
    <t xml:space="preserve">Exhibit 99.1, Reconciliation of GAAP to Non-GAAP Financial Information &gt; Reconciliation of net loss attributable to ordinary shareholders; row 'Deemed dividend to preferred shareholders'; column 'Three months ended March 31, 2022'</t>
  </si>
  <si>
    <t xml:space="preserve">RC-0165</t>
  </si>
  <si>
    <t xml:space="preserve">Exhibit 99.1, Reconciliation of GAAP to Non-GAAP Financial Information &gt; Reconciliation of net loss attributable to ordinary shareholders; row 'Share-based compensation'; column 'Three months ended March 31, 2022'</t>
  </si>
  <si>
    <t xml:space="preserve">RC-0166</t>
  </si>
  <si>
    <t xml:space="preserve">Exhibit 99.1, Reconciliation of GAAP to Non-GAAP Financial Information &gt; Reconciliation of net loss attributable to ordinary shareholders; row 'Tax benefit related to share-based compensation (1)'; column 'Three months ended March 31, 2022'</t>
  </si>
  <si>
    <t xml:space="preserve">RC-0167</t>
  </si>
  <si>
    <t xml:space="preserve">Exhibit 99.1, Reconciliation of GAAP to Non-GAAP Financial Information &gt; Reconciliation of net loss attributable to ordinary shareholders; row 'Non-GAAP net loss'; column 'Three months ended March 31, 2022'</t>
  </si>
  <si>
    <t xml:space="preserve">RC-0168</t>
  </si>
  <si>
    <t xml:space="preserve">Exhibit 99.1, Reconciliation of net cash used in operating activities to adjusted free cash flow; row 'Net cash used in operating activities'; column 'Three months ended March 31, 2022'</t>
  </si>
  <si>
    <t xml:space="preserve">Q1 2022|8</t>
  </si>
  <si>
    <t xml:space="preserve">RC-0169</t>
  </si>
  <si>
    <t xml:space="preserve">RC-0170</t>
  </si>
  <si>
    <t xml:space="preserve">RC-0171</t>
  </si>
  <si>
    <t xml:space="preserve">RC-0172</t>
  </si>
  <si>
    <t xml:space="preserve">RC-0173</t>
  </si>
  <si>
    <t xml:space="preserve">Exhibit 99.1, Reconciliation of GAAP to Non-GAAP Financial Information &gt; Reconciliation of gross profit and gross margin; row 'GAAP gross profit'; column 'Three months ended June 30, 2022'</t>
  </si>
  <si>
    <t xml:space="preserve">Q2 2022|1</t>
  </si>
  <si>
    <t xml:space="preserve">RC-0174</t>
  </si>
  <si>
    <t xml:space="preserve">Exhibit 99.1, Reconciliation of GAAP to Non-GAAP Financial Information &gt; Reconciliation of gross profit and gross margin; row 'Share-based compensation'; column 'Three months ended June 30, 2022'</t>
  </si>
  <si>
    <t xml:space="preserve">RC-0175</t>
  </si>
  <si>
    <t xml:space="preserve">RC-0176</t>
  </si>
  <si>
    <t xml:space="preserve">Exhibit 99.1, Reconciliation of GAAP to Non-GAAP Financial Information &gt; Reconciliation of operating expenses; row 'GAAP research and development'; column 'Three months ended June 30, 2022'</t>
  </si>
  <si>
    <t xml:space="preserve">Q2 2022|2</t>
  </si>
  <si>
    <t xml:space="preserve">RC-0177</t>
  </si>
  <si>
    <t xml:space="preserve">Exhibit 99.1, Reconciliation of GAAP to Non-GAAP Financial Information &gt; Reconciliation of operating expenses; row 'Share-based compensation'; column 'Three months ended June 30, 2022'</t>
  </si>
  <si>
    <t xml:space="preserve">RC-0178</t>
  </si>
  <si>
    <t xml:space="preserve">RC-0179</t>
  </si>
  <si>
    <t xml:space="preserve">Exhibit 99.1, Reconciliation of GAAP to Non-GAAP Financial Information &gt; Reconciliation of operating expenses; row 'GAAP sales and marketing'; column 'Three months ended June 30, 2022'</t>
  </si>
  <si>
    <t xml:space="preserve">Q2 2022|3</t>
  </si>
  <si>
    <t xml:space="preserve">RC-0180</t>
  </si>
  <si>
    <t xml:space="preserve">RC-0181</t>
  </si>
  <si>
    <t xml:space="preserve">RC-0182</t>
  </si>
  <si>
    <t xml:space="preserve">Exhibit 99.1, Reconciliation of GAAP to Non-GAAP Financial Information &gt; Reconciliation of operating expenses; row 'GAAP general and administrative'; column 'Three months ended June 30, 2022'</t>
  </si>
  <si>
    <t xml:space="preserve">Q2 2022|4</t>
  </si>
  <si>
    <t xml:space="preserve">RC-0183</t>
  </si>
  <si>
    <t xml:space="preserve">RC-0184</t>
  </si>
  <si>
    <t xml:space="preserve">RC-0185</t>
  </si>
  <si>
    <t xml:space="preserve">Exhibit 99.1, Reconciliation of GAAP to Non-GAAP Financial Information &gt; Reconciliation of operating loss; row 'GAAP operating loss'; column 'Three months ended June 30, 2022'</t>
  </si>
  <si>
    <t xml:space="preserve">Q2 2022|5</t>
  </si>
  <si>
    <t xml:space="preserve">RC-0186</t>
  </si>
  <si>
    <t xml:space="preserve">RC-0187</t>
  </si>
  <si>
    <t xml:space="preserve">RC-0188</t>
  </si>
  <si>
    <t xml:space="preserve">Exhibit 99.1, Reconciliation of GAAP to Non-GAAP Financial Information &gt; Reconciliation of net loss; row 'GAAP net loss'; column 'Three months ended June 30, 2022'</t>
  </si>
  <si>
    <t xml:space="preserve">Q2 2022|6</t>
  </si>
  <si>
    <t xml:space="preserve">RC-0189</t>
  </si>
  <si>
    <t xml:space="preserve">Exhibit 99.1, Reconciliation of GAAP to Non-GAAP Financial Information &gt; Reconciliation of net loss; row 'Share-based compensation'; column 'Three months ended June 30, 2022'</t>
  </si>
  <si>
    <t xml:space="preserve">RC-0190</t>
  </si>
  <si>
    <t xml:space="preserve">Tax benefit related to share-based compensation(1)</t>
  </si>
  <si>
    <t xml:space="preserve">Exhibit 99.1, Reconciliation of GAAP to Non-GAAP Financial Information &gt; Reconciliation of net loss; row 'Tax benefit related to share-based compensation(1)'; column 'Three months ended June 30, 2022'</t>
  </si>
  <si>
    <t xml:space="preserve">RC-0191</t>
  </si>
  <si>
    <t xml:space="preserve">RC-0192</t>
  </si>
  <si>
    <t xml:space="preserve">Exhibit 99.1, Reconciliation of GAAP to Non-GAAP Financial Information &gt; Reconciliation of net loss attributable to ordinary shareholders; row 'GAAP net loss attributable to ordinary shareholders'; column 'Three months ended June 30, 2022'</t>
  </si>
  <si>
    <t xml:space="preserve">Q2 2022|7</t>
  </si>
  <si>
    <t xml:space="preserve">RC-0193</t>
  </si>
  <si>
    <t xml:space="preserve">Exhibit 99.1, Reconciliation of GAAP to Non-GAAP Financial Information &gt; Reconciliation of net loss attributable to ordinary shareholders; row 'Deemed dividend to preferred shareholders'; column 'Three months ended June 30, 2022'</t>
  </si>
  <si>
    <t xml:space="preserve">RC-0194</t>
  </si>
  <si>
    <t xml:space="preserve">Exhibit 99.1, Reconciliation of GAAP to Non-GAAP Financial Information &gt; Reconciliation of net loss attributable to ordinary shareholders; row 'Share-based compensation'; column 'Three months ended June 30, 2022'</t>
  </si>
  <si>
    <t xml:space="preserve">RC-0195</t>
  </si>
  <si>
    <t xml:space="preserve">Exhibit 99.1, Reconciliation of GAAP to Non-GAAP Financial Information &gt; Reconciliation of net loss attributable to ordinary shareholders; row 'Tax benefit related to share-based compensation(1)'; column 'Three months ended June 30, 2022'</t>
  </si>
  <si>
    <t xml:space="preserve">RC-0196</t>
  </si>
  <si>
    <t xml:space="preserve">Exhibit 99.1, Reconciliation of GAAP to Non-GAAP Financial Information &gt; Reconciliation of net loss attributable to ordinary shareholders; row 'Non-GAAP net loss'; column 'Three months ended June 30, 2022'</t>
  </si>
  <si>
    <t xml:space="preserve">RC-0197</t>
  </si>
  <si>
    <t xml:space="preserve">Exhibit 99.1, Reconciliation of net cash used in operating activities to adjusted free cash flow; row 'Net cash used in operating activities'; column 'Three months ended June 30, 2022'</t>
  </si>
  <si>
    <t xml:space="preserve">Q2 2022|8</t>
  </si>
  <si>
    <t xml:space="preserve">RC-0198</t>
  </si>
  <si>
    <t xml:space="preserve">RC-0199</t>
  </si>
  <si>
    <t xml:space="preserve">RC-0200</t>
  </si>
  <si>
    <t xml:space="preserve">RC-0201</t>
  </si>
  <si>
    <t xml:space="preserve">RC-0202</t>
  </si>
  <si>
    <t xml:space="preserve">Exhibit 99.1, Reconciliation of GAAP to Non-GAAP Financial Information &gt; Reconciliation of gross profit and gross margin; row 'GAAP gross profit'; column 'Three months ended September 30, 2022'</t>
  </si>
  <si>
    <t xml:space="preserve">Q3 2022|1</t>
  </si>
  <si>
    <t xml:space="preserve">RC-0203</t>
  </si>
  <si>
    <t xml:space="preserve">Exhibit 99.1, Reconciliation of GAAP to Non-GAAP Financial Information &gt; Reconciliation of gross profit and gross margin; row 'Share-based compensation'; column 'Three months ended September 30, 2022'</t>
  </si>
  <si>
    <t xml:space="preserve">RC-0204</t>
  </si>
  <si>
    <t xml:space="preserve">RC-0205</t>
  </si>
  <si>
    <t xml:space="preserve">Exhibit 99.1, Reconciliation of GAAP to Non-GAAP Financial Information &gt; Reconciliation of operating expenses; row 'GAAP research and development'; column 'Three months ended September 30, 2022'</t>
  </si>
  <si>
    <t xml:space="preserve">Q3 2022|2</t>
  </si>
  <si>
    <t xml:space="preserve">RC-0206</t>
  </si>
  <si>
    <t xml:space="preserve">Exhibit 99.1, Reconciliation of GAAP to Non-GAAP Financial Information &gt; Reconciliation of operating expenses; row 'Share-based compensation'; column 'Three months ended September 30, 2022'</t>
  </si>
  <si>
    <t xml:space="preserve">RC-0207</t>
  </si>
  <si>
    <t xml:space="preserve">RC-0208</t>
  </si>
  <si>
    <t xml:space="preserve">Exhibit 99.1, Reconciliation of GAAP to Non-GAAP Financial Information &gt; Reconciliation of operating expenses; row 'GAAP sales and marketing'; column 'Three months ended September 30, 2022'</t>
  </si>
  <si>
    <t xml:space="preserve">Q3 2022|3</t>
  </si>
  <si>
    <t xml:space="preserve">RC-0209</t>
  </si>
  <si>
    <t xml:space="preserve">RC-0210</t>
  </si>
  <si>
    <t xml:space="preserve">RC-0211</t>
  </si>
  <si>
    <t xml:space="preserve">Exhibit 99.1, Reconciliation of GAAP to Non-GAAP Financial Information &gt; Reconciliation of operating expenses; row 'GAAP general and administrative'; column 'Three months ended September 30, 2022'</t>
  </si>
  <si>
    <t xml:space="preserve">Q3 2022|4</t>
  </si>
  <si>
    <t xml:space="preserve">RC-0212</t>
  </si>
  <si>
    <t xml:space="preserve">RC-0213</t>
  </si>
  <si>
    <t xml:space="preserve">RC-0214</t>
  </si>
  <si>
    <t xml:space="preserve">Exhibit 99.1, Reconciliation of GAAP to Non-GAAP Financial Information &gt; Reconciliation of operating loss; row 'GAAP operating loss'; column 'Three months ended September 30, 2022'</t>
  </si>
  <si>
    <t xml:space="preserve">Q3 2022|5</t>
  </si>
  <si>
    <t xml:space="preserve">RC-0215</t>
  </si>
  <si>
    <t xml:space="preserve">RC-0216</t>
  </si>
  <si>
    <t xml:space="preserve">RC-0217</t>
  </si>
  <si>
    <t xml:space="preserve">Reconciliation of net income (loss)</t>
  </si>
  <si>
    <t xml:space="preserve">Exhibit 99.1, Reconciliation of GAAP to Non-GAAP Financial Information &gt; Reconciliation of net income (loss); row 'GAAP net loss'; column 'Three months ended September 30, 2022'</t>
  </si>
  <si>
    <t xml:space="preserve">Q3 2022|6</t>
  </si>
  <si>
    <t xml:space="preserve">RC-0218</t>
  </si>
  <si>
    <t xml:space="preserve">Exhibit 99.1, Reconciliation of GAAP to Non-GAAP Financial Information &gt; Reconciliation of net income (loss); row 'Share-based compensation'; column 'Three months ended September 30, 2022'</t>
  </si>
  <si>
    <t xml:space="preserve">RC-0219</t>
  </si>
  <si>
    <t xml:space="preserve">Exhibit 99.1, Reconciliation of GAAP to Non-GAAP Financial Information &gt; Reconciliation of net income (loss); row 'Tax benefit related to share-based compensation (1)'; column 'Three months ended September 30, 2022'</t>
  </si>
  <si>
    <t xml:space="preserve">RC-0220</t>
  </si>
  <si>
    <t xml:space="preserve">Non-GAAP net income (loss)</t>
  </si>
  <si>
    <t xml:space="preserve">RC-0221</t>
  </si>
  <si>
    <t xml:space="preserve">Exhibit 99.1, Reconciliation of GAAP to Non-GAAP Financial Information &gt; Reconciliation of net loss attributable to ordinary shareholders; row 'GAAP net loss attributable to ordinary shareholders'; column 'Three months ended September 30, 2022'</t>
  </si>
  <si>
    <t xml:space="preserve">Q3 2022|7</t>
  </si>
  <si>
    <t xml:space="preserve">RC-0222</t>
  </si>
  <si>
    <t xml:space="preserve">Exhibit 99.1, Reconciliation of GAAP to Non-GAAP Financial Information &gt; Reconciliation of net loss attributable to ordinary shareholders; row 'Deemed dividend to preferred shareholders'; column 'Three months ended September 30, 2022'</t>
  </si>
  <si>
    <t xml:space="preserve">RC-0223</t>
  </si>
  <si>
    <t xml:space="preserve">Exhibit 99.1, Reconciliation of GAAP to Non-GAAP Financial Information &gt; Reconciliation of net loss attributable to ordinary shareholders; row 'Share-based compensation'; column 'Three months ended September 30, 2022'</t>
  </si>
  <si>
    <t xml:space="preserve">RC-0224</t>
  </si>
  <si>
    <t xml:space="preserve">Exhibit 99.1, Reconciliation of GAAP to Non-GAAP Financial Information &gt; Reconciliation of net loss attributable to ordinary shareholders; row 'Tax benefit related to share-based compensation (1)'; column 'Three months ended September 30, 2022'</t>
  </si>
  <si>
    <t xml:space="preserve">RC-0225</t>
  </si>
  <si>
    <t xml:space="preserve">Exhibit 99.1, Reconciliation of GAAP to Non-GAAP Financial Information &gt; Reconciliation of net loss attributable to ordinary shareholders; row 'Non-GAAP net income (loss)'; column 'Three months ended September 30, 2022'</t>
  </si>
  <si>
    <t xml:space="preserve">RC-0226</t>
  </si>
  <si>
    <t xml:space="preserve">Exhibit 99.1, Reconciliation of net cash provided by (used in) operating activities to adjusted free cash flow; row 'Net cash provided by (used in) operating activities'; column 'Three months ended September 30, 2022'</t>
  </si>
  <si>
    <t xml:space="preserve">Q3 2022|8</t>
  </si>
  <si>
    <t xml:space="preserve">RC-0227</t>
  </si>
  <si>
    <t xml:space="preserve">RC-0228</t>
  </si>
  <si>
    <t xml:space="preserve">RC-0229</t>
  </si>
  <si>
    <t xml:space="preserve">RC-0230</t>
  </si>
  <si>
    <t xml:space="preserve">RC-0231</t>
  </si>
  <si>
    <t xml:space="preserve">Exhibit 99.1, Reconciliation of GAAP to Non-GAAP Financial Information &gt; Reconciliation of gross profit and gross margin; row 'GAAP gross profit'; column 'Three months ended December 31, 2022'</t>
  </si>
  <si>
    <t xml:space="preserve">Q4 2022|1</t>
  </si>
  <si>
    <t xml:space="preserve">RC-0232</t>
  </si>
  <si>
    <t xml:space="preserve">Exhibit 99.1, Reconciliation of GAAP to Non-GAAP Financial Information &gt; Reconciliation of gross profit and gross margin; row 'Share-based compensation'; column 'Three months ended December 31, 2022'</t>
  </si>
  <si>
    <t xml:space="preserve">RC-0233</t>
  </si>
  <si>
    <t xml:space="preserve">RC-0234</t>
  </si>
  <si>
    <t xml:space="preserve">Exhibit 99.1, Reconciliation of GAAP to Non-GAAP Financial Information &gt; Reconciliation of operating expenses; row 'GAAP research and development'; column 'Three months ended December 31, 2022'</t>
  </si>
  <si>
    <t xml:space="preserve">Q4 2022|2</t>
  </si>
  <si>
    <t xml:space="preserve">RC-0235</t>
  </si>
  <si>
    <t xml:space="preserve">Exhibit 99.1, Reconciliation of GAAP to Non-GAAP Financial Information &gt; Reconciliation of operating expenses; row 'Share-based compensation'; column 'Three months ended December 31, 2022'</t>
  </si>
  <si>
    <t xml:space="preserve">RC-0236</t>
  </si>
  <si>
    <t xml:space="preserve">RC-0237</t>
  </si>
  <si>
    <t xml:space="preserve">Exhibit 99.1, Reconciliation of GAAP to Non-GAAP Financial Information &gt; Reconciliation of operating expenses; row 'GAAP sales and marketing'; column 'Three months ended December 31, 2022'</t>
  </si>
  <si>
    <t xml:space="preserve">Q4 2022|3</t>
  </si>
  <si>
    <t xml:space="preserve">RC-0238</t>
  </si>
  <si>
    <t xml:space="preserve">RC-0239</t>
  </si>
  <si>
    <t xml:space="preserve">RC-0240</t>
  </si>
  <si>
    <t xml:space="preserve">Exhibit 99.1, Reconciliation of GAAP to Non-GAAP Financial Information &gt; Reconciliation of operating expenses; row 'GAAP general and administrative'; column 'Three months ended December 31, 2022'</t>
  </si>
  <si>
    <t xml:space="preserve">Q4 2022|4</t>
  </si>
  <si>
    <t xml:space="preserve">RC-0241</t>
  </si>
  <si>
    <t xml:space="preserve">RC-0242</t>
  </si>
  <si>
    <t xml:space="preserve">RC-0243</t>
  </si>
  <si>
    <t xml:space="preserve">Reconciliation of operating income (loss)</t>
  </si>
  <si>
    <t xml:space="preserve">Exhibit 99.1, Reconciliation of GAAP to Non-GAAP Financial Information &gt; Reconciliation of operating income (loss); row 'GAAP operating loss'; column 'Three months ended December 31, 2022'</t>
  </si>
  <si>
    <t xml:space="preserve">Q4 2022|5</t>
  </si>
  <si>
    <t xml:space="preserve">RC-0244</t>
  </si>
  <si>
    <t xml:space="preserve">RC-0245</t>
  </si>
  <si>
    <t xml:space="preserve">RC-0246</t>
  </si>
  <si>
    <t xml:space="preserve">Exhibit 99.1, Reconciliation of GAAP to Non-GAAP Financial Information &gt; Reconciliation of net income (loss); row 'GAAP net loss'; column 'Three months ended December 31, 2022'</t>
  </si>
  <si>
    <t xml:space="preserve">Q4 2022|6</t>
  </si>
  <si>
    <t xml:space="preserve">RC-0247</t>
  </si>
  <si>
    <t xml:space="preserve">Exhibit 99.1, Reconciliation of GAAP to Non-GAAP Financial Information &gt; Reconciliation of net income (loss); row 'Share-based compensation'; column 'Three months ended December 31, 2022'</t>
  </si>
  <si>
    <t xml:space="preserve">RC-0248</t>
  </si>
  <si>
    <t xml:space="preserve">Exhibit 99.1, Reconciliation of GAAP to Non-GAAP Financial Information &gt; Reconciliation of net income (loss); row 'Tax benefit related to share-based compensation (1)'; column 'Three months ended December 31, 2022'</t>
  </si>
  <si>
    <t xml:space="preserve">RC-0249</t>
  </si>
  <si>
    <t xml:space="preserve">RC-0250</t>
  </si>
  <si>
    <t xml:space="preserve">Reconciliation of net income (loss) attributable to ordinary shareholders</t>
  </si>
  <si>
    <t xml:space="preserve">Exhibit 99.1, Reconciliation of GAAP to Non-GAAP Financial Information &gt; Reconciliation of net income (loss) attributable to ordinary shareholders; row 'GAAP net loss attributable to ordinary shareholders'; column 'Three months ended December 31, 2022'</t>
  </si>
  <si>
    <t xml:space="preserve">Q4 2022|7</t>
  </si>
  <si>
    <t xml:space="preserve">RC-0251</t>
  </si>
  <si>
    <t xml:space="preserve">Exhibit 99.1, Reconciliation of GAAP to Non-GAAP Financial Information &gt; Reconciliation of net income (loss) attributable to ordinary shareholders; row 'Deemed dividend to preferred shareholders'; column 'Three months ended December 31, 2022'</t>
  </si>
  <si>
    <t xml:space="preserve">RC-0252</t>
  </si>
  <si>
    <t xml:space="preserve">Exhibit 99.1, Reconciliation of GAAP to Non-GAAP Financial Information &gt; Reconciliation of net income (loss) attributable to ordinary shareholders; row 'Share-based compensation'; column 'Three months ended December 31, 2022'</t>
  </si>
  <si>
    <t xml:space="preserve">RC-0253</t>
  </si>
  <si>
    <t xml:space="preserve">Exhibit 99.1, Reconciliation of GAAP to Non-GAAP Financial Information &gt; Reconciliation of net income (loss) attributable to ordinary shareholders; row 'Tax benefit related to share-based compensation (1)'; column 'Three months ended December 31, 2022'</t>
  </si>
  <si>
    <t xml:space="preserve">RC-0254</t>
  </si>
  <si>
    <t xml:space="preserve">Exhibit 99.1, Reconciliation of GAAP to Non-GAAP Financial Information &gt; Reconciliation of net income (loss) attributable to ordinary shareholders; row 'Non-GAAP net income (loss)'; column 'Three months ended December 31, 2022'</t>
  </si>
  <si>
    <t xml:space="preserve">RC-0255</t>
  </si>
  <si>
    <t xml:space="preserve">Exhibit 99.1, Reconciliation of net cash provided by operating activities to adjusted free cash flow; row 'Net cash provided by operating activities'; column 'Three months ended December 31, 2022'</t>
  </si>
  <si>
    <t xml:space="preserve">Q4 2022|8</t>
  </si>
  <si>
    <t xml:space="preserve">RC-0256</t>
  </si>
  <si>
    <t xml:space="preserve">RC-0257</t>
  </si>
  <si>
    <t xml:space="preserve">RC-0258</t>
  </si>
  <si>
    <t xml:space="preserve">RC-0259</t>
  </si>
  <si>
    <t xml:space="preserve">RC-0260</t>
  </si>
  <si>
    <t xml:space="preserve">Exhibit 99.1, Reconciliation of GAAP to Non-GAAP Financial Information &gt; Reconciliation of gross profit and gross margin; row 'GAAP gross profit'; column 'Year ended December 31, 2022'</t>
  </si>
  <si>
    <t xml:space="preserve">FY 2022|1</t>
  </si>
  <si>
    <t xml:space="preserve">RC-0261</t>
  </si>
  <si>
    <t xml:space="preserve">Exhibit 99.1, Reconciliation of GAAP to Non-GAAP Financial Information &gt; Reconciliation of gross profit and gross margin; row 'Share-based compensation'; column 'Year ended December 31, 2022'</t>
  </si>
  <si>
    <t xml:space="preserve">RC-0262</t>
  </si>
  <si>
    <t xml:space="preserve">RC-0263</t>
  </si>
  <si>
    <t xml:space="preserve">Exhibit 99.1, Reconciliation of GAAP to Non-GAAP Financial Information &gt; Reconciliation of operating expenses; row 'GAAP research and development'; column 'Year ended December 31, 2022'</t>
  </si>
  <si>
    <t xml:space="preserve">FY 2022|2</t>
  </si>
  <si>
    <t xml:space="preserve">RC-0264</t>
  </si>
  <si>
    <t xml:space="preserve">Exhibit 99.1, Reconciliation of GAAP to Non-GAAP Financial Information &gt; Reconciliation of operating expenses; row 'Share-based compensation'; column 'Year ended December 31, 2022'</t>
  </si>
  <si>
    <t xml:space="preserve">RC-0265</t>
  </si>
  <si>
    <t xml:space="preserve">RC-0266</t>
  </si>
  <si>
    <t xml:space="preserve">Exhibit 99.1, Reconciliation of GAAP to Non-GAAP Financial Information &gt; Reconciliation of operating expenses; row 'GAAP sales and marketing'; column 'Year ended December 31, 2022'</t>
  </si>
  <si>
    <t xml:space="preserve">FY 2022|3</t>
  </si>
  <si>
    <t xml:space="preserve">RC-0267</t>
  </si>
  <si>
    <t xml:space="preserve">RC-0268</t>
  </si>
  <si>
    <t xml:space="preserve">RC-0269</t>
  </si>
  <si>
    <t xml:space="preserve">Exhibit 99.1, Reconciliation of GAAP to Non-GAAP Financial Information &gt; Reconciliation of operating expenses; row 'GAAP general and administrative'; column 'Year ended December 31, 2022'</t>
  </si>
  <si>
    <t xml:space="preserve">FY 2022|4</t>
  </si>
  <si>
    <t xml:space="preserve">RC-0270</t>
  </si>
  <si>
    <t xml:space="preserve">RC-0271</t>
  </si>
  <si>
    <t xml:space="preserve">RC-0272</t>
  </si>
  <si>
    <t xml:space="preserve">Exhibit 99.1, Reconciliation of GAAP to Non-GAAP Financial Information &gt; Reconciliation of operating income (loss); row 'GAAP operating loss'; column 'Year ended December 31, 2022'</t>
  </si>
  <si>
    <t xml:space="preserve">FY 2022|5</t>
  </si>
  <si>
    <t xml:space="preserve">RC-0273</t>
  </si>
  <si>
    <t xml:space="preserve">RC-0274</t>
  </si>
  <si>
    <t xml:space="preserve">RC-0275</t>
  </si>
  <si>
    <t xml:space="preserve">Exhibit 99.1, Reconciliation of GAAP to Non-GAAP Financial Information &gt; Reconciliation of net income (loss); row 'GAAP net loss'; column 'Year ended December 31, 2022'</t>
  </si>
  <si>
    <t xml:space="preserve">FY 2022|6</t>
  </si>
  <si>
    <t xml:space="preserve">RC-0276</t>
  </si>
  <si>
    <t xml:space="preserve">Exhibit 99.1, Reconciliation of GAAP to Non-GAAP Financial Information &gt; Reconciliation of net income (loss); row 'Share-based compensation'; column 'Year ended December 31, 2022'</t>
  </si>
  <si>
    <t xml:space="preserve">RC-0277</t>
  </si>
  <si>
    <t xml:space="preserve">Exhibit 99.1, Reconciliation of GAAP to Non-GAAP Financial Information &gt; Reconciliation of net income (loss); row 'Tax benefit related to share-based compensation (1)'; column 'Year ended December 31, 2022'</t>
  </si>
  <si>
    <t xml:space="preserve">RC-0278</t>
  </si>
  <si>
    <t xml:space="preserve">RC-0279</t>
  </si>
  <si>
    <t xml:space="preserve">Exhibit 99.1, Reconciliation of GAAP to Non-GAAP Financial Information &gt; Reconciliation of net income (loss) attributable to ordinary shareholders; row 'GAAP net loss attributable to ordinary shareholders'; column 'Year ended December 31, 2022'</t>
  </si>
  <si>
    <t xml:space="preserve">FY 2022|7</t>
  </si>
  <si>
    <t xml:space="preserve">RC-0280</t>
  </si>
  <si>
    <t xml:space="preserve">Exhibit 99.1, Reconciliation of GAAP to Non-GAAP Financial Information &gt; Reconciliation of net income (loss) attributable to ordinary shareholders; row 'Deemed dividend to preferred shareholders'; column 'Year ended December 31, 2022'</t>
  </si>
  <si>
    <t xml:space="preserve">RC-0281</t>
  </si>
  <si>
    <t xml:space="preserve">Exhibit 99.1, Reconciliation of GAAP to Non-GAAP Financial Information &gt; Reconciliation of net income (loss) attributable to ordinary shareholders; row 'Share-based compensation'; column 'Year ended December 31, 2022'</t>
  </si>
  <si>
    <t xml:space="preserve">RC-0282</t>
  </si>
  <si>
    <t xml:space="preserve">Exhibit 99.1, Reconciliation of GAAP to Non-GAAP Financial Information &gt; Reconciliation of net income (loss) attributable to ordinary shareholders; row 'Tax benefit related to share-based compensation (1)'; column 'Year ended December 31, 2022'</t>
  </si>
  <si>
    <t xml:space="preserve">RC-0283</t>
  </si>
  <si>
    <t xml:space="preserve">Exhibit 99.1, Reconciliation of GAAP to Non-GAAP Financial Information &gt; Reconciliation of net income (loss) attributable to ordinary shareholders; row 'Non-GAAP net income (loss)'; column 'Year ended December 31, 2022'</t>
  </si>
  <si>
    <t xml:space="preserve">RC-0284</t>
  </si>
  <si>
    <t xml:space="preserve">Exhibit 99.1, Reconciliation of net cash provided by operating activities to adjusted free cash flow; row 'Net cash provided by operating activities'; column 'Year ended December 31, 2022'</t>
  </si>
  <si>
    <t xml:space="preserve">FY 2022|8</t>
  </si>
  <si>
    <t xml:space="preserve">RC-0285</t>
  </si>
  <si>
    <t xml:space="preserve">RC-0286</t>
  </si>
  <si>
    <t xml:space="preserve">RC-0287</t>
  </si>
  <si>
    <t xml:space="preserve">RC-0288</t>
  </si>
  <si>
    <t xml:space="preserve">RC-0289</t>
  </si>
  <si>
    <t xml:space="preserve">Exhibit 99.1, Reconciliation of GAAP to Non-GAAP Financial Information &gt; Reconciliation of gross profit and gross margin; row 'GAAP gross profit'; column 'Three months ended March 31, 2023'</t>
  </si>
  <si>
    <t xml:space="preserve">Q1 2023|1</t>
  </si>
  <si>
    <t xml:space="preserve">RC-0290</t>
  </si>
  <si>
    <t xml:space="preserve">Exhibit 99.1, Reconciliation of GAAP to Non-GAAP Financial Information &gt; Reconciliation of gross profit and gross margin; row 'Share-based compensation'; column 'Three months ended March 31, 2023'</t>
  </si>
  <si>
    <t xml:space="preserve">RC-0291</t>
  </si>
  <si>
    <t xml:space="preserve">RC-0292</t>
  </si>
  <si>
    <t xml:space="preserve">Exhibit 99.1, Reconciliation of GAAP to Non-GAAP Financial Information &gt; Reconciliation of operating expenses; row 'GAAP research and development'; column 'Three months ended March 31, 2023'</t>
  </si>
  <si>
    <t xml:space="preserve">Q1 2023|2</t>
  </si>
  <si>
    <t xml:space="preserve">RC-0293</t>
  </si>
  <si>
    <t xml:space="preserve">Exhibit 99.1, Reconciliation of GAAP to Non-GAAP Financial Information &gt; Reconciliation of operating expenses; row 'Share-based compensation'; column 'Three months ended March 31, 2023'</t>
  </si>
  <si>
    <t xml:space="preserve">RC-0294</t>
  </si>
  <si>
    <t xml:space="preserve">RC-0295</t>
  </si>
  <si>
    <t xml:space="preserve">Exhibit 99.1, Reconciliation of GAAP to Non-GAAP Financial Information &gt; Reconciliation of operating expenses; row 'GAAP sales and marketing'; column 'Three months ended March 31, 2023'</t>
  </si>
  <si>
    <t xml:space="preserve">Q1 2023|3</t>
  </si>
  <si>
    <t xml:space="preserve">RC-0296</t>
  </si>
  <si>
    <t xml:space="preserve">RC-0297</t>
  </si>
  <si>
    <t xml:space="preserve">RC-0298</t>
  </si>
  <si>
    <t xml:space="preserve">Exhibit 99.1, Reconciliation of GAAP to Non-GAAP Financial Information &gt; Reconciliation of operating expenses; row 'GAAP general and administrative'; column 'Three months ended March 31, 2023'</t>
  </si>
  <si>
    <t xml:space="preserve">Q1 2023|4</t>
  </si>
  <si>
    <t xml:space="preserve">RC-0299</t>
  </si>
  <si>
    <t xml:space="preserve">RC-0300</t>
  </si>
  <si>
    <t xml:space="preserve">RC-0301</t>
  </si>
  <si>
    <t xml:space="preserve">Exhibit 99.1, Reconciliation of GAAP to Non-GAAP Financial Information &gt; Reconciliation of operating loss; row 'GAAP operating loss'; column 'Three months ended March 31, 2023'</t>
  </si>
  <si>
    <t xml:space="preserve">Q1 2023|5</t>
  </si>
  <si>
    <t xml:space="preserve">RC-0302</t>
  </si>
  <si>
    <t xml:space="preserve">RC-0303</t>
  </si>
  <si>
    <t xml:space="preserve">RC-0304</t>
  </si>
  <si>
    <t xml:space="preserve">Exhibit 99.1, Reconciliation of GAAP to Non-GAAP Financial Information &gt; Reconciliation of net income (loss); row 'GAAP net loss'; column 'Three months ended March 31, 2023'</t>
  </si>
  <si>
    <t xml:space="preserve">Q1 2023|6</t>
  </si>
  <si>
    <t xml:space="preserve">RC-0305</t>
  </si>
  <si>
    <t xml:space="preserve">Exhibit 99.1, Reconciliation of GAAP to Non-GAAP Financial Information &gt; Reconciliation of net income (loss); row 'Share-based compensation'; column 'Three months ended March 31, 2023'</t>
  </si>
  <si>
    <t xml:space="preserve">RC-0306</t>
  </si>
  <si>
    <t xml:space="preserve">Exhibit 99.1, Reconciliation of GAAP to Non-GAAP Financial Information &gt; Reconciliation of net income (loss); row 'Tax benefit related to share-based compensation (1)'; column 'Three months ended March 31, 2023'</t>
  </si>
  <si>
    <t xml:space="preserve">RC-0307</t>
  </si>
  <si>
    <t xml:space="preserve">RC-0308</t>
  </si>
  <si>
    <t xml:space="preserve">Exhibit 99.1, Reconciliation of net cash provided by (used in) operating activities to free cash flow; row 'Net cash provided by (used in) operating activities'; column 'Three months ended March 31, 2023'</t>
  </si>
  <si>
    <t xml:space="preserve">Q1 2023|7</t>
  </si>
  <si>
    <t xml:space="preserve">RC-0309</t>
  </si>
  <si>
    <t xml:space="preserve">RC-0310</t>
  </si>
  <si>
    <t xml:space="preserve">RC-0311</t>
  </si>
  <si>
    <t xml:space="preserve">RC-0312</t>
  </si>
  <si>
    <t xml:space="preserve">Exhibit 99.1, Reconciliation of GAAP to Non-GAAP Financial Information &gt; Reconciliation of gross profit and gross margin; row 'GAAP gross profit'; column 'Three months ended June 30, 2023'</t>
  </si>
  <si>
    <t xml:space="preserve">Q2 2023|1</t>
  </si>
  <si>
    <t xml:space="preserve">RC-0313</t>
  </si>
  <si>
    <t xml:space="preserve">Exhibit 99.1, Reconciliation of GAAP to Non-GAAP Financial Information &gt; Reconciliation of gross profit and gross margin; row 'Share-based compensation'; column 'Three months ended June 30, 2023'</t>
  </si>
  <si>
    <t xml:space="preserve">RC-0314</t>
  </si>
  <si>
    <t xml:space="preserve">RC-0315</t>
  </si>
  <si>
    <t xml:space="preserve">Exhibit 99.1, Reconciliation of GAAP to Non-GAAP Financial Information &gt; Reconciliation of operating expenses; row 'GAAP research and development'; column 'Three months ended June 30, 2023'</t>
  </si>
  <si>
    <t xml:space="preserve">Q2 2023|2</t>
  </si>
  <si>
    <t xml:space="preserve">RC-0316</t>
  </si>
  <si>
    <t xml:space="preserve">Exhibit 99.1, Reconciliation of GAAP to Non-GAAP Financial Information &gt; Reconciliation of operating expenses; row 'Share-based compensation'; column 'Three months ended June 30, 2023'</t>
  </si>
  <si>
    <t xml:space="preserve">RC-0317</t>
  </si>
  <si>
    <t xml:space="preserve">RC-0318</t>
  </si>
  <si>
    <t xml:space="preserve">Exhibit 99.1, Reconciliation of GAAP to Non-GAAP Financial Information &gt; Reconciliation of operating expenses; row 'GAAP sales and marketing'; column 'Three months ended June 30, 2023'</t>
  </si>
  <si>
    <t xml:space="preserve">Q2 2023|3</t>
  </si>
  <si>
    <t xml:space="preserve">RC-0319</t>
  </si>
  <si>
    <t xml:space="preserve">RC-0320</t>
  </si>
  <si>
    <t xml:space="preserve">RC-0321</t>
  </si>
  <si>
    <t xml:space="preserve">Exhibit 99.1, Reconciliation of GAAP to Non-GAAP Financial Information &gt; Reconciliation of operating expenses; row 'GAAP general and administrative'; column 'Three months ended June 30, 2023'</t>
  </si>
  <si>
    <t xml:space="preserve">Q2 2023|4</t>
  </si>
  <si>
    <t xml:space="preserve">RC-0322</t>
  </si>
  <si>
    <t xml:space="preserve">RC-0323</t>
  </si>
  <si>
    <t xml:space="preserve">RC-0324</t>
  </si>
  <si>
    <t xml:space="preserve">Exhibit 99.1, Reconciliation of GAAP to Non-GAAP Financial Information &gt; Reconciliation of operating income (loss); row 'GAAP operating loss'; column 'Three months ended June 30, 2023'</t>
  </si>
  <si>
    <t xml:space="preserve">Q2 2023|5</t>
  </si>
  <si>
    <t xml:space="preserve">RC-0325</t>
  </si>
  <si>
    <t xml:space="preserve">RC-0326</t>
  </si>
  <si>
    <t xml:space="preserve">RC-0327</t>
  </si>
  <si>
    <t xml:space="preserve">Exhibit 99.1, Reconciliation of GAAP to Non-GAAP Financial Information &gt; Reconciliation of net income (loss); row 'GAAP net loss'; column 'Three months ended June 30, 2023'</t>
  </si>
  <si>
    <t xml:space="preserve">Q2 2023|6</t>
  </si>
  <si>
    <t xml:space="preserve">RC-0328</t>
  </si>
  <si>
    <t xml:space="preserve">Exhibit 99.1, Reconciliation of GAAP to Non-GAAP Financial Information &gt; Reconciliation of net income (loss); row 'Share-based compensation'; column 'Three months ended June 30, 2023'</t>
  </si>
  <si>
    <t xml:space="preserve">RC-0329</t>
  </si>
  <si>
    <t xml:space="preserve">Exhibit 99.1, Reconciliation of GAAP to Non-GAAP Financial Information &gt; Reconciliation of net income (loss); row 'Tax benefit related to share-based compensation (1)'; column 'Three months ended June 30, 2023'</t>
  </si>
  <si>
    <t xml:space="preserve">RC-0330</t>
  </si>
  <si>
    <t xml:space="preserve">RC-0331</t>
  </si>
  <si>
    <t xml:space="preserve">Exhibit 99.1, Reconciliation of net cash provided by (used in) operating activities to free cash flow; row 'Net cash provided by (used in) operating activities'; column 'Three months ended June 30, 2023'</t>
  </si>
  <si>
    <t xml:space="preserve">Q2 2023|7</t>
  </si>
  <si>
    <t xml:space="preserve">RC-0332</t>
  </si>
  <si>
    <t xml:space="preserve">RC-0333</t>
  </si>
  <si>
    <t xml:space="preserve">RC-0334</t>
  </si>
  <si>
    <t xml:space="preserve">RC-0335</t>
  </si>
  <si>
    <t xml:space="preserve">Exhibit 99.1, Reconciliation of GAAP to Non-GAAP Financial Information &gt; Reconciliation of gross profit and gross margin; row 'GAAP gross profit'; column 'Three months ended September 30, 2023'</t>
  </si>
  <si>
    <t xml:space="preserve">Q3 2023|1</t>
  </si>
  <si>
    <t xml:space="preserve">RC-0336</t>
  </si>
  <si>
    <t xml:space="preserve">Exhibit 99.1, Reconciliation of GAAP to Non-GAAP Financial Information &gt; Reconciliation of gross profit and gross margin; row 'Share-based compensation'; column 'Three months ended September 30, 2023'</t>
  </si>
  <si>
    <t xml:space="preserve">RC-0337</t>
  </si>
  <si>
    <t xml:space="preserve">RC-0338</t>
  </si>
  <si>
    <t xml:space="preserve">Exhibit 99.1, Reconciliation of GAAP to Non-GAAP Financial Information &gt; Reconciliation of operating expenses; row 'GAAP research and development'; column 'Three months ended September 30, 2023'</t>
  </si>
  <si>
    <t xml:space="preserve">Q3 2023|2</t>
  </si>
  <si>
    <t xml:space="preserve">RC-0339</t>
  </si>
  <si>
    <t xml:space="preserve">Exhibit 99.1, Reconciliation of GAAP to Non-GAAP Financial Information &gt; Reconciliation of operating expenses; row 'Share-based compensation'; column 'Three months ended September 30, 2023'</t>
  </si>
  <si>
    <t xml:space="preserve">RC-0340</t>
  </si>
  <si>
    <t xml:space="preserve">RC-0341</t>
  </si>
  <si>
    <t xml:space="preserve">Exhibit 99.1, Reconciliation of GAAP to Non-GAAP Financial Information &gt; Reconciliation of operating expenses; row 'GAAP sales and marketing'; column 'Three months ended September 30, 2023'</t>
  </si>
  <si>
    <t xml:space="preserve">Q3 2023|3</t>
  </si>
  <si>
    <t xml:space="preserve">RC-0342</t>
  </si>
  <si>
    <t xml:space="preserve">RC-0343</t>
  </si>
  <si>
    <t xml:space="preserve">RC-0344</t>
  </si>
  <si>
    <t xml:space="preserve">Exhibit 99.1, Reconciliation of GAAP to Non-GAAP Financial Information &gt; Reconciliation of operating expenses; row 'GAAP general and administrative'; column 'Three months ended September 30, 2023'</t>
  </si>
  <si>
    <t xml:space="preserve">Q3 2023|4</t>
  </si>
  <si>
    <t xml:space="preserve">RC-0345</t>
  </si>
  <si>
    <t xml:space="preserve">RC-0346</t>
  </si>
  <si>
    <t xml:space="preserve">RC-0347</t>
  </si>
  <si>
    <t xml:space="preserve">Exhibit 99.1, Reconciliation of GAAP to Non-GAAP Financial Information &gt; Reconciliation of operating income (loss); row 'GAAP operating loss'; column 'Three months ended September 30, 2023'</t>
  </si>
  <si>
    <t xml:space="preserve">Q3 2023|5</t>
  </si>
  <si>
    <t xml:space="preserve">RC-0348</t>
  </si>
  <si>
    <t xml:space="preserve">RC-0349</t>
  </si>
  <si>
    <t xml:space="preserve">RC-0350</t>
  </si>
  <si>
    <t xml:space="preserve">GAAP net income (loss)</t>
  </si>
  <si>
    <t xml:space="preserve">Exhibit 99.1, Reconciliation of GAAP to Non-GAAP Financial Information &gt; Reconciliation of net income (loss); row 'GAAP net income (loss)'; column 'Three months ended September 30, 2023'</t>
  </si>
  <si>
    <t xml:space="preserve">Q3 2023|6</t>
  </si>
  <si>
    <t xml:space="preserve">RC-0351</t>
  </si>
  <si>
    <t xml:space="preserve">Exhibit 99.1, Reconciliation of GAAP to Non-GAAP Financial Information &gt; Reconciliation of net income (loss); row 'Share-based compensation'; column 'Three months ended September 30, 2023'</t>
  </si>
  <si>
    <t xml:space="preserve">RC-0352</t>
  </si>
  <si>
    <t xml:space="preserve">Exhibit 99.1, Reconciliation of GAAP to Non-GAAP Financial Information &gt; Reconciliation of net income (loss); row 'Tax benefit related to share-based compensation (1)'; column 'Three months ended September 30, 2023'</t>
  </si>
  <si>
    <t xml:space="preserve">RC-0353</t>
  </si>
  <si>
    <t xml:space="preserve">RC-0354</t>
  </si>
  <si>
    <t xml:space="preserve">Exhibit 99.1, Reconciliation of net cash provided by (used in) operating activities to free cash flow; row 'Net cash provided by (used in) operating activities'; column 'Three months ended September 30, 2023'</t>
  </si>
  <si>
    <t xml:space="preserve">Q3 2023|7</t>
  </si>
  <si>
    <t xml:space="preserve">RC-0355</t>
  </si>
  <si>
    <t xml:space="preserve">RC-0356</t>
  </si>
  <si>
    <t xml:space="preserve">RC-0357</t>
  </si>
  <si>
    <t xml:space="preserve">RC-0358</t>
  </si>
  <si>
    <t xml:space="preserve">Exhibit 99.1, Reconciliation of GAAP to Non-GAAP Financial Information &gt; Reconciliation of gross profit and gross margin; row 'GAAP gross profit'; column 'Three months ended December 31, 2023'</t>
  </si>
  <si>
    <t xml:space="preserve">Q4 2023|1</t>
  </si>
  <si>
    <t xml:space="preserve">RC-0359</t>
  </si>
  <si>
    <t xml:space="preserve">Exhibit 99.1, Reconciliation of GAAP to Non-GAAP Financial Information &gt; Reconciliation of gross profit and gross margin; row 'Share-based compensation'; column 'Three months ended December 31, 2023'</t>
  </si>
  <si>
    <t xml:space="preserve">RC-0360</t>
  </si>
  <si>
    <t xml:space="preserve">RC-0361</t>
  </si>
  <si>
    <t xml:space="preserve">Exhibit 99.1, Reconciliation of GAAP to Non-GAAP Financial Information &gt; Reconciliation of operating expenses; row 'GAAP research and development'; column 'Three months ended December 31, 2023'</t>
  </si>
  <si>
    <t xml:space="preserve">Q4 2023|2</t>
  </si>
  <si>
    <t xml:space="preserve">RC-0362</t>
  </si>
  <si>
    <t xml:space="preserve">Exhibit 99.1, Reconciliation of GAAP to Non-GAAP Financial Information &gt; Reconciliation of operating expenses; row 'Share-based compensation'; column 'Three months ended December 31, 2023'</t>
  </si>
  <si>
    <t xml:space="preserve">RC-0363</t>
  </si>
  <si>
    <t xml:space="preserve">RC-0364</t>
  </si>
  <si>
    <t xml:space="preserve">Exhibit 99.1, Reconciliation of GAAP to Non-GAAP Financial Information &gt; Reconciliation of operating expenses; row 'GAAP sales and marketing'; column 'Three months ended December 31, 2023'</t>
  </si>
  <si>
    <t xml:space="preserve">Q4 2023|3</t>
  </si>
  <si>
    <t xml:space="preserve">RC-0365</t>
  </si>
  <si>
    <t xml:space="preserve">RC-0366</t>
  </si>
  <si>
    <t xml:space="preserve">RC-0367</t>
  </si>
  <si>
    <t xml:space="preserve">Exhibit 99.1, Reconciliation of GAAP to Non-GAAP Financial Information &gt; Reconciliation of operating expenses; row 'GAAP general and administrative'; column 'Three months ended December 31, 2023'</t>
  </si>
  <si>
    <t xml:space="preserve">Q4 2023|4</t>
  </si>
  <si>
    <t xml:space="preserve">RC-0368</t>
  </si>
  <si>
    <t xml:space="preserve">RC-0369</t>
  </si>
  <si>
    <t xml:space="preserve">RC-0370</t>
  </si>
  <si>
    <t xml:space="preserve">Exhibit 99.1, Reconciliation of GAAP to Non-GAAP Financial Information &gt; Reconciliation of operating income (loss); row 'GAAP operating loss'; column 'Three months ended December 31, 2023'</t>
  </si>
  <si>
    <t xml:space="preserve">Q4 2023|5</t>
  </si>
  <si>
    <t xml:space="preserve">RC-0371</t>
  </si>
  <si>
    <t xml:space="preserve">RC-0372</t>
  </si>
  <si>
    <t xml:space="preserve">RC-0373</t>
  </si>
  <si>
    <t xml:space="preserve">Exhibit 99.1, Reconciliation of GAAP to Non-GAAP Financial Information &gt; Reconciliation of net income (loss); row 'GAAP net income (loss)'; column 'Three months ended December 31, 2023'</t>
  </si>
  <si>
    <t xml:space="preserve">Q4 2023|6</t>
  </si>
  <si>
    <t xml:space="preserve">RC-0374</t>
  </si>
  <si>
    <t xml:space="preserve">Exhibit 99.1, Reconciliation of GAAP to Non-GAAP Financial Information &gt; Reconciliation of net income (loss); row 'Share-based compensation'; column 'Three months ended December 31, 2023'</t>
  </si>
  <si>
    <t xml:space="preserve">RC-0375</t>
  </si>
  <si>
    <t xml:space="preserve">Exhibit 99.1, Reconciliation of GAAP to Non-GAAP Financial Information &gt; Reconciliation of net income (loss); row 'Tax benefit related to share-based compensation (1)'; column 'Three months ended December 31, 2023'</t>
  </si>
  <si>
    <t xml:space="preserve">RC-0376</t>
  </si>
  <si>
    <t xml:space="preserve">RC-0377</t>
  </si>
  <si>
    <t xml:space="preserve">Exhibit 99.1, Reconciliation of net cash provided by operating activities to free cash flow; row 'Net cash provided by operating activities'; column 'Three months ended December 31, 2023'</t>
  </si>
  <si>
    <t xml:space="preserve">Q4 2023|7</t>
  </si>
  <si>
    <t xml:space="preserve">RC-0378</t>
  </si>
  <si>
    <t xml:space="preserve">RC-0379</t>
  </si>
  <si>
    <t xml:space="preserve">RC-0380</t>
  </si>
  <si>
    <t xml:space="preserve">RC-0381</t>
  </si>
  <si>
    <t xml:space="preserve">Exhibit 99.1, Reconciliation of GAAP to Non-GAAP Financial Information &gt; Reconciliation of gross profit and gross margin; row 'GAAP gross profit'; column 'Year ended December 31, 2023'</t>
  </si>
  <si>
    <t xml:space="preserve">FY 2023|1</t>
  </si>
  <si>
    <t xml:space="preserve">RC-0382</t>
  </si>
  <si>
    <t xml:space="preserve">Exhibit 99.1, Reconciliation of GAAP to Non-GAAP Financial Information &gt; Reconciliation of gross profit and gross margin; row 'Share-based compensation'; column 'Year ended December 31, 2023'</t>
  </si>
  <si>
    <t xml:space="preserve">RC-0383</t>
  </si>
  <si>
    <t xml:space="preserve">RC-0384</t>
  </si>
  <si>
    <t xml:space="preserve">Exhibit 99.1, Reconciliation of GAAP to Non-GAAP Financial Information &gt; Reconciliation of operating expenses; row 'GAAP research and development'; column 'Year ended December 31, 2023'</t>
  </si>
  <si>
    <t xml:space="preserve">FY 2023|2</t>
  </si>
  <si>
    <t xml:space="preserve">RC-0385</t>
  </si>
  <si>
    <t xml:space="preserve">Exhibit 99.1, Reconciliation of GAAP to Non-GAAP Financial Information &gt; Reconciliation of operating expenses; row 'Share-based compensation'; column 'Year ended December 31, 2023'</t>
  </si>
  <si>
    <t xml:space="preserve">RC-0386</t>
  </si>
  <si>
    <t xml:space="preserve">RC-0387</t>
  </si>
  <si>
    <t xml:space="preserve">Exhibit 99.1, Reconciliation of GAAP to Non-GAAP Financial Information &gt; Reconciliation of operating expenses; row 'GAAP sales and marketing'; column 'Year ended December 31, 2023'</t>
  </si>
  <si>
    <t xml:space="preserve">FY 2023|3</t>
  </si>
  <si>
    <t xml:space="preserve">RC-0388</t>
  </si>
  <si>
    <t xml:space="preserve">RC-0389</t>
  </si>
  <si>
    <t xml:space="preserve">RC-0390</t>
  </si>
  <si>
    <t xml:space="preserve">Exhibit 99.1, Reconciliation of GAAP to Non-GAAP Financial Information &gt; Reconciliation of operating expenses; row 'GAAP general and administrative'; column 'Year ended December 31, 2023'</t>
  </si>
  <si>
    <t xml:space="preserve">FY 2023|4</t>
  </si>
  <si>
    <t xml:space="preserve">RC-0391</t>
  </si>
  <si>
    <t xml:space="preserve">RC-0392</t>
  </si>
  <si>
    <t xml:space="preserve">RC-0393</t>
  </si>
  <si>
    <t xml:space="preserve">Exhibit 99.1, Reconciliation of GAAP to Non-GAAP Financial Information &gt; Reconciliation of operating income (loss); row 'GAAP operating loss'; column 'Year ended December 31, 2023'</t>
  </si>
  <si>
    <t xml:space="preserve">FY 2023|5</t>
  </si>
  <si>
    <t xml:space="preserve">RC-0394</t>
  </si>
  <si>
    <t xml:space="preserve">RC-0395</t>
  </si>
  <si>
    <t xml:space="preserve">RC-0396</t>
  </si>
  <si>
    <t xml:space="preserve">Exhibit 99.1, Reconciliation of GAAP to Non-GAAP Financial Information &gt; Reconciliation of net income (loss); row 'GAAP net income (loss)'; column 'Year ended December 31, 2023'</t>
  </si>
  <si>
    <t xml:space="preserve">FY 2023|6</t>
  </si>
  <si>
    <t xml:space="preserve">RC-0397</t>
  </si>
  <si>
    <t xml:space="preserve">Exhibit 99.1, Reconciliation of GAAP to Non-GAAP Financial Information &gt; Reconciliation of net income (loss); row 'Share-based compensation'; column 'Year ended December 31, 2023'</t>
  </si>
  <si>
    <t xml:space="preserve">RC-0398</t>
  </si>
  <si>
    <t xml:space="preserve">Exhibit 99.1, Reconciliation of GAAP to Non-GAAP Financial Information &gt; Reconciliation of net income (loss); row 'Tax benefit related to share-based compensation (1)'; column 'Year ended December 31, 2023'</t>
  </si>
  <si>
    <t xml:space="preserve">RC-0399</t>
  </si>
  <si>
    <t xml:space="preserve">RC-0400</t>
  </si>
  <si>
    <t xml:space="preserve">Exhibit 99.1, Reconciliation of net cash provided by operating activities to free cash flow; row 'Net cash provided by operating activities'; column 'Year ended December 31, 2023'</t>
  </si>
  <si>
    <t xml:space="preserve">FY 2023|7</t>
  </si>
  <si>
    <t xml:space="preserve">RC-0401</t>
  </si>
  <si>
    <t xml:space="preserve">RC-0402</t>
  </si>
  <si>
    <t xml:space="preserve">RC-0403</t>
  </si>
  <si>
    <t xml:space="preserve">RC-0404</t>
  </si>
  <si>
    <t xml:space="preserve">Exhibit 99.1, Reconciliation of GAAP to Non-GAAP Financial Information &gt; Reconciliation of gross profit and gross margin; row 'GAAP gross profit'; column 'Three months ended March 31, 2024'</t>
  </si>
  <si>
    <t xml:space="preserve">Q1 2024|1</t>
  </si>
  <si>
    <t xml:space="preserve">RC-0405</t>
  </si>
  <si>
    <t xml:space="preserve">Exhibit 99.1, Reconciliation of GAAP to Non-GAAP Financial Information &gt; Reconciliation of gross profit and gross margin; row 'Share-based compensation'; column 'Three months ended March 31, 2024'</t>
  </si>
  <si>
    <t xml:space="preserve">RC-0406</t>
  </si>
  <si>
    <t xml:space="preserve">RC-0407</t>
  </si>
  <si>
    <t xml:space="preserve">Exhibit 99.1, Reconciliation of GAAP to Non-GAAP Financial Information &gt; Reconciliation of operating expenses; row 'GAAP research and development'; column 'Three months ended March 31, 2024'</t>
  </si>
  <si>
    <t xml:space="preserve">Q1 2024|2</t>
  </si>
  <si>
    <t xml:space="preserve">RC-0408</t>
  </si>
  <si>
    <t xml:space="preserve">Exhibit 99.1, Reconciliation of GAAP to Non-GAAP Financial Information &gt; Reconciliation of operating expenses; row 'Share-based compensation'; column 'Three months ended March 31, 2024'</t>
  </si>
  <si>
    <t xml:space="preserve">RC-0409</t>
  </si>
  <si>
    <t xml:space="preserve">RC-0410</t>
  </si>
  <si>
    <t xml:space="preserve">Exhibit 99.1, Reconciliation of GAAP to Non-GAAP Financial Information &gt; Reconciliation of operating expenses; row 'GAAP sales and marketing'; column 'Three months ended March 31, 2024'</t>
  </si>
  <si>
    <t xml:space="preserve">Q1 2024|3</t>
  </si>
  <si>
    <t xml:space="preserve">RC-0411</t>
  </si>
  <si>
    <t xml:space="preserve">RC-0412</t>
  </si>
  <si>
    <t xml:space="preserve">RC-0413</t>
  </si>
  <si>
    <t xml:space="preserve">Exhibit 99.1, Reconciliation of GAAP to Non-GAAP Financial Information &gt; Reconciliation of operating expenses; row 'GAAP general and administrative'; column 'Three months ended March 31, 2024'</t>
  </si>
  <si>
    <t xml:space="preserve">Q1 2024|4</t>
  </si>
  <si>
    <t xml:space="preserve">RC-0414</t>
  </si>
  <si>
    <t xml:space="preserve">RC-0415</t>
  </si>
  <si>
    <t xml:space="preserve">RC-0416</t>
  </si>
  <si>
    <t xml:space="preserve">Exhibit 99.1, Reconciliation of GAAP to Non-GAAP Financial Information &gt; Reconciliation of operating income (loss); row 'GAAP operating loss'; column 'Three months ended March 31, 2024'</t>
  </si>
  <si>
    <t xml:space="preserve">Q1 2024|5</t>
  </si>
  <si>
    <t xml:space="preserve">RC-0417</t>
  </si>
  <si>
    <t xml:space="preserve">RC-0418</t>
  </si>
  <si>
    <t xml:space="preserve">RC-0419</t>
  </si>
  <si>
    <t xml:space="preserve">Exhibit 99.1, Reconciliation of GAAP to Non-GAAP Financial Information &gt; Reconciliation of net income (loss); row 'GAAP net income (loss)'; column 'Three months ended March 31, 2024'</t>
  </si>
  <si>
    <t xml:space="preserve">Q1 2024|6</t>
  </si>
  <si>
    <t xml:space="preserve">RC-0420</t>
  </si>
  <si>
    <t xml:space="preserve">Exhibit 99.1, Reconciliation of GAAP to Non-GAAP Financial Information &gt; Reconciliation of net income (loss); row 'Share-based compensation'; column 'Three months ended March 31, 2024'</t>
  </si>
  <si>
    <t xml:space="preserve">RC-0421</t>
  </si>
  <si>
    <t xml:space="preserve">Exhibit 99.1, Reconciliation of GAAP to Non-GAAP Financial Information &gt; Reconciliation of net income (loss); row 'Tax benefit related to share-based compensation (1)'; column 'Three months ended March 31, 2024'</t>
  </si>
  <si>
    <t xml:space="preserve">RC-0422</t>
  </si>
  <si>
    <t xml:space="preserve">Non-GAAP net income</t>
  </si>
  <si>
    <t xml:space="preserve">RC-0423</t>
  </si>
  <si>
    <t xml:space="preserve">Exhibit 99.1, Reconciliation of net cash provided by operating activities to free cash flow; row 'Net cash provided by operating activities'; column 'Three months ended March 31, 2024'</t>
  </si>
  <si>
    <t xml:space="preserve">Q1 2024|7</t>
  </si>
  <si>
    <t xml:space="preserve">RC-0424</t>
  </si>
  <si>
    <t xml:space="preserve">RC-0425</t>
  </si>
  <si>
    <t xml:space="preserve">RC-0426</t>
  </si>
  <si>
    <t xml:space="preserve">RC-0427</t>
  </si>
  <si>
    <t xml:space="preserve">Exhibit 99.1, Reconciliation of GAAP to Non-GAAP Financial Information &gt; Reconciliation of gross profit and gross margin; row 'GAAP gross profit'; column 'Three months ended June 30, 2024'</t>
  </si>
  <si>
    <t xml:space="preserve">Q2 2024|1</t>
  </si>
  <si>
    <t xml:space="preserve">RC-0428</t>
  </si>
  <si>
    <t xml:space="preserve">Exhibit 99.1, Reconciliation of GAAP to Non-GAAP Financial Information &gt; Reconciliation of gross profit and gross margin; row 'Share-based compensation'; column 'Three months ended June 30, 2024'</t>
  </si>
  <si>
    <t xml:space="preserve">RC-0429</t>
  </si>
  <si>
    <t xml:space="preserve">RC-0430</t>
  </si>
  <si>
    <t xml:space="preserve">Exhibit 99.1, Reconciliation of GAAP to Non-GAAP Financial Information &gt; Reconciliation of operating expenses; row 'GAAP research and development'; column 'Three months ended June 30, 2024'</t>
  </si>
  <si>
    <t xml:space="preserve">Q2 2024|2</t>
  </si>
  <si>
    <t xml:space="preserve">RC-0431</t>
  </si>
  <si>
    <t xml:space="preserve">Exhibit 99.1, Reconciliation of GAAP to Non-GAAP Financial Information &gt; Reconciliation of operating expenses; row 'Share-based compensation'; column 'Three months ended June 30, 2024'</t>
  </si>
  <si>
    <t xml:space="preserve">RC-0432</t>
  </si>
  <si>
    <t xml:space="preserve">RC-0433</t>
  </si>
  <si>
    <t xml:space="preserve">Exhibit 99.1, Reconciliation of GAAP to Non-GAAP Financial Information &gt; Reconciliation of operating expenses; row 'GAAP sales and marketing'; column 'Three months ended June 30, 2024'</t>
  </si>
  <si>
    <t xml:space="preserve">Q2 2024|3</t>
  </si>
  <si>
    <t xml:space="preserve">RC-0434</t>
  </si>
  <si>
    <t xml:space="preserve">RC-0435</t>
  </si>
  <si>
    <t xml:space="preserve">RC-0436</t>
  </si>
  <si>
    <t xml:space="preserve">Exhibit 99.1, Reconciliation of GAAP to Non-GAAP Financial Information &gt; Reconciliation of operating expenses; row 'GAAP general and administrative'; column 'Three months ended June 30, 2024'</t>
  </si>
  <si>
    <t xml:space="preserve">Q2 2024|4</t>
  </si>
  <si>
    <t xml:space="preserve">RC-0437</t>
  </si>
  <si>
    <t xml:space="preserve">RC-0438</t>
  </si>
  <si>
    <t xml:space="preserve">RC-0439</t>
  </si>
  <si>
    <t xml:space="preserve">Exhibit 99.1, Reconciliation of GAAP to Non-GAAP Financial Information &gt; Reconciliation of operating income (loss); row 'GAAP operating income (loss)'; column 'Three months ended June 30, 2024'</t>
  </si>
  <si>
    <t xml:space="preserve">Q2 2024|5</t>
  </si>
  <si>
    <t xml:space="preserve">RC-0440</t>
  </si>
  <si>
    <t xml:space="preserve">RC-0441</t>
  </si>
  <si>
    <t xml:space="preserve">RC-0442</t>
  </si>
  <si>
    <t xml:space="preserve">Exhibit 99.1, Reconciliation of GAAP to Non-GAAP Financial Information &gt; Reconciliation of net income (loss); row 'GAAP net income (loss)'; column 'Three months ended June 30, 2024'</t>
  </si>
  <si>
    <t xml:space="preserve">Q2 2024|6</t>
  </si>
  <si>
    <t xml:space="preserve">RC-0443</t>
  </si>
  <si>
    <t xml:space="preserve">Exhibit 99.1, Reconciliation of GAAP to Non-GAAP Financial Information &gt; Reconciliation of net income (loss); row 'Share-based compensation'; column 'Three months ended June 30, 2024'</t>
  </si>
  <si>
    <t xml:space="preserve">RC-0444</t>
  </si>
  <si>
    <t xml:space="preserve">Exhibit 99.1, Reconciliation of GAAP to Non-GAAP Financial Information &gt; Reconciliation of net income (loss); row 'Tax benefit related to share-based compensation (1)'; column 'Three months ended June 30, 2024'</t>
  </si>
  <si>
    <t xml:space="preserve">RC-0445</t>
  </si>
  <si>
    <t xml:space="preserve">RC-0446</t>
  </si>
  <si>
    <t xml:space="preserve">Exhibit 99.1, Reconciliation of net cash provided by operating activities to free cash flow; row 'Net cash provided by operating activities'; column 'Three months ended June 30, 2024'</t>
  </si>
  <si>
    <t xml:space="preserve">Q2 2024|7</t>
  </si>
  <si>
    <t xml:space="preserve">RC-0447</t>
  </si>
  <si>
    <t xml:space="preserve">RC-0448</t>
  </si>
  <si>
    <t xml:space="preserve">RC-0449</t>
  </si>
  <si>
    <t xml:space="preserve">RC-0450</t>
  </si>
  <si>
    <t xml:space="preserve">Exhibit 99.1, Reconciliation of GAAP to Non-GAAP Financial Information &gt; Reconciliation of gross profit and gross margin; row 'GAAP gross profit'; column 'Three months ended September 30, 2024'</t>
  </si>
  <si>
    <t xml:space="preserve">Q3 2024|1</t>
  </si>
  <si>
    <t xml:space="preserve">RC-0451</t>
  </si>
  <si>
    <t xml:space="preserve">Exhibit 99.1, Reconciliation of GAAP to Non-GAAP Financial Information &gt; Reconciliation of gross profit and gross margin; row 'Share-based compensation'; column 'Three months ended September 30, 2024'</t>
  </si>
  <si>
    <t xml:space="preserve">RC-0452</t>
  </si>
  <si>
    <t xml:space="preserve">RC-0453</t>
  </si>
  <si>
    <t xml:space="preserve">Exhibit 99.1, Reconciliation of GAAP to Non-GAAP Financial Information &gt; Reconciliation of operating expenses; row 'GAAP research and development'; column 'Three months ended September 30, 2024'</t>
  </si>
  <si>
    <t xml:space="preserve">Q3 2024|2</t>
  </si>
  <si>
    <t xml:space="preserve">RC-0454</t>
  </si>
  <si>
    <t xml:space="preserve">Exhibit 99.1, Reconciliation of GAAP to Non-GAAP Financial Information &gt; Reconciliation of operating expenses; row 'Share-based compensation'; column 'Three months ended September 30, 2024'</t>
  </si>
  <si>
    <t xml:space="preserve">RC-0455</t>
  </si>
  <si>
    <t xml:space="preserve">RC-0456</t>
  </si>
  <si>
    <t xml:space="preserve">Exhibit 99.1, Reconciliation of GAAP to Non-GAAP Financial Information &gt; Reconciliation of operating expenses; row 'GAAP sales and marketing'; column 'Three months ended September 30, 2024'</t>
  </si>
  <si>
    <t xml:space="preserve">Q3 2024|3</t>
  </si>
  <si>
    <t xml:space="preserve">RC-0457</t>
  </si>
  <si>
    <t xml:space="preserve">RC-0458</t>
  </si>
  <si>
    <t xml:space="preserve">RC-0459</t>
  </si>
  <si>
    <t xml:space="preserve">Exhibit 99.1, Reconciliation of GAAP to Non-GAAP Financial Information &gt; Reconciliation of operating expenses; row 'GAAP general and administrative'; column 'Three months ended September 30, 2024'</t>
  </si>
  <si>
    <t xml:space="preserve">Q3 2024|4</t>
  </si>
  <si>
    <t xml:space="preserve">RC-0460</t>
  </si>
  <si>
    <t xml:space="preserve">RC-0461</t>
  </si>
  <si>
    <t xml:space="preserve">Charitable contribution to foundation (1)</t>
  </si>
  <si>
    <t xml:space="preserve">Exhibit 99.1, Reconciliation of GAAP to Non-GAAP Financial Information &gt; Reconciliation of operating expenses; row 'Charitable contribution to foundation (1)'; column 'Three months ended September 30, 2024'</t>
  </si>
  <si>
    <t xml:space="preserve">RC-0462</t>
  </si>
  <si>
    <t xml:space="preserve">RC-0463</t>
  </si>
  <si>
    <t xml:space="preserve">Exhibit 99.1, Reconciliation of GAAP to Non-GAAP Financial Information &gt; Reconciliation of operating income (loss); row 'GAAP operating loss'; column 'Three months ended September 30, 2024'</t>
  </si>
  <si>
    <t xml:space="preserve">Q3 2024|5</t>
  </si>
  <si>
    <t xml:space="preserve">RC-0464</t>
  </si>
  <si>
    <t xml:space="preserve">RC-0465</t>
  </si>
  <si>
    <t xml:space="preserve">RC-0466</t>
  </si>
  <si>
    <t xml:space="preserve">RC-0467</t>
  </si>
  <si>
    <t xml:space="preserve">Exhibit 99.1, Reconciliation of GAAP to Non-GAAP Financial Information &gt; Reconciliation of net income (loss); row 'GAAP net income (loss)'; column 'Three months ended September 30, 2024'</t>
  </si>
  <si>
    <t xml:space="preserve">Q3 2024|6</t>
  </si>
  <si>
    <t xml:space="preserve">RC-0468</t>
  </si>
  <si>
    <t xml:space="preserve">Exhibit 99.1, Reconciliation of GAAP to Non-GAAP Financial Information &gt; Reconciliation of net income (loss); row 'Share-based compensation'; column 'Three months ended September 30, 2024'</t>
  </si>
  <si>
    <t xml:space="preserve">RC-0469</t>
  </si>
  <si>
    <t xml:space="preserve">Exhibit 99.1, Reconciliation of GAAP to Non-GAAP Financial Information &gt; Reconciliation of net income (loss); row 'Charitable contribution to foundation (1)'; column 'Three months ended September 30, 2024'</t>
  </si>
  <si>
    <t xml:space="preserve">RC-0470</t>
  </si>
  <si>
    <t xml:space="preserve">Tax benefit related to share-based compensation (2)</t>
  </si>
  <si>
    <t xml:space="preserve">Exhibit 99.1, Reconciliation of GAAP to Non-GAAP Financial Information &gt; Reconciliation of net income (loss); row 'Tax benefit related to share-based compensation (2)'; column 'Three months ended September 30, 2024'</t>
  </si>
  <si>
    <t xml:space="preserve">RC-0471</t>
  </si>
  <si>
    <t xml:space="preserve">RC-0472</t>
  </si>
  <si>
    <t xml:space="preserve">Exhibit 99.1, Reconciliation of net cash provided by operating activities to free; row 'Net cash provided by operating activities'; column 'Three months ended September 30, 2024'</t>
  </si>
  <si>
    <t xml:space="preserve">Q3 2024|7</t>
  </si>
  <si>
    <t xml:space="preserve">RC-0473</t>
  </si>
  <si>
    <t xml:space="preserve">RC-0474</t>
  </si>
  <si>
    <t xml:space="preserve">RC-0475</t>
  </si>
  <si>
    <t xml:space="preserve">RC-0476</t>
  </si>
  <si>
    <t xml:space="preserve">Exhibit 99.1, Reconciliation of GAAP to Non-GAAP Financial Information &gt; Reconciliation of gross profit and gross margin; row 'GAAP gross profit'; column 'Three months ended December 31, 2024'</t>
  </si>
  <si>
    <t xml:space="preserve">Q4 2024|1</t>
  </si>
  <si>
    <t xml:space="preserve">RC-0477</t>
  </si>
  <si>
    <t xml:space="preserve">Exhibit 99.1, Reconciliation of GAAP to Non-GAAP Financial Information &gt; Reconciliation of gross profit and gross margin; row 'Share-based compensation'; column 'Three months ended December 31, 2024'</t>
  </si>
  <si>
    <t xml:space="preserve">RC-0478</t>
  </si>
  <si>
    <t xml:space="preserve">RC-0479</t>
  </si>
  <si>
    <t xml:space="preserve">Exhibit 99.1, Reconciliation of GAAP to Non-GAAP Financial Information &gt; Reconciliation of operating expenses; row 'GAAP research and development'; column 'Three months ended December 31, 2024'</t>
  </si>
  <si>
    <t xml:space="preserve">Q4 2024|2</t>
  </si>
  <si>
    <t xml:space="preserve">RC-0480</t>
  </si>
  <si>
    <t xml:space="preserve">Exhibit 99.1, Reconciliation of GAAP to Non-GAAP Financial Information &gt; Reconciliation of operating expenses; row 'Share-based compensation'; column 'Three months ended December 31, 2024'</t>
  </si>
  <si>
    <t xml:space="preserve">RC-0481</t>
  </si>
  <si>
    <t xml:space="preserve">RC-0482</t>
  </si>
  <si>
    <t xml:space="preserve">Exhibit 99.1, Reconciliation of GAAP to Non-GAAP Financial Information &gt; Reconciliation of operating expenses; row 'GAAP sales and marketing'; column 'Three months ended December 31, 2024'</t>
  </si>
  <si>
    <t xml:space="preserve">Q4 2024|3</t>
  </si>
  <si>
    <t xml:space="preserve">RC-0483</t>
  </si>
  <si>
    <t xml:space="preserve">RC-0484</t>
  </si>
  <si>
    <t xml:space="preserve">RC-0485</t>
  </si>
  <si>
    <t xml:space="preserve">Exhibit 99.1, Reconciliation of GAAP to Non-GAAP Financial Information &gt; Reconciliation of operating expenses; row 'GAAP general and administrative'; column 'Three months ended December 31, 2024'</t>
  </si>
  <si>
    <t xml:space="preserve">Q4 2024|4</t>
  </si>
  <si>
    <t xml:space="preserve">RC-0486</t>
  </si>
  <si>
    <t xml:space="preserve">RC-0487</t>
  </si>
  <si>
    <t xml:space="preserve">Exhibit 99.1, Reconciliation of GAAP to Non-GAAP Financial Information &gt; Reconciliation of operating expenses; row 'Charitable contribution to foundation (1)'; column 'Three months ended December 31, 2024'</t>
  </si>
  <si>
    <t xml:space="preserve">RC-0488</t>
  </si>
  <si>
    <t xml:space="preserve">RC-0489</t>
  </si>
  <si>
    <t xml:space="preserve">Exhibit 99.1, Reconciliation of GAAP to Non-GAAP Financial Information &gt; Reconciliation of operating income (loss); row 'GAAP operating income (loss)'; column 'Three months ended December 31, 2024'</t>
  </si>
  <si>
    <t xml:space="preserve">Q4 2024|5</t>
  </si>
  <si>
    <t xml:space="preserve">RC-0490</t>
  </si>
  <si>
    <t xml:space="preserve">RC-0491</t>
  </si>
  <si>
    <t xml:space="preserve">RC-0492</t>
  </si>
  <si>
    <t xml:space="preserve">RC-0493</t>
  </si>
  <si>
    <t xml:space="preserve">Exhibit 99.1, Reconciliation of GAAP to Non-GAAP Financial Information &gt; Reconciliation of net income (loss); row 'GAAP net income (loss)'; column 'Three months ended December 31, 2024'</t>
  </si>
  <si>
    <t xml:space="preserve">Q4 2024|6</t>
  </si>
  <si>
    <t xml:space="preserve">RC-0494</t>
  </si>
  <si>
    <t xml:space="preserve">Exhibit 99.1, Reconciliation of GAAP to Non-GAAP Financial Information &gt; Reconciliation of net income (loss); row 'Share-based compensation'; column 'Three months ended December 31, 2024'</t>
  </si>
  <si>
    <t xml:space="preserve">RC-0495</t>
  </si>
  <si>
    <t xml:space="preserve">Exhibit 99.1, Reconciliation of GAAP to Non-GAAP Financial Information &gt; Reconciliation of net income (loss); row 'Charitable contribution to foundation (1)'; column 'Three months ended December 31, 2024'</t>
  </si>
  <si>
    <t xml:space="preserve">RC-0496</t>
  </si>
  <si>
    <t xml:space="preserve">Tax expense (benefit) related to share-based compensation (2)</t>
  </si>
  <si>
    <t xml:space="preserve">Exhibit 99.1, Reconciliation of GAAP to Non-GAAP Financial Information &gt; Reconciliation of net income (loss); row 'Tax expense (benefit) related to share-based compensation (2)'; column 'Three months ended December 31, 2024'</t>
  </si>
  <si>
    <t xml:space="preserve">RC-0497</t>
  </si>
  <si>
    <t xml:space="preserve">RC-0498</t>
  </si>
  <si>
    <t xml:space="preserve">Exhibit 99.1, Reconciliation of net cash provided by operating activities to free cash flow; row 'Net cash provided by operating activities'; column 'Three months ended December 31, 2024'</t>
  </si>
  <si>
    <t xml:space="preserve">Q4 2024|7</t>
  </si>
  <si>
    <t xml:space="preserve">RC-0499</t>
  </si>
  <si>
    <t xml:space="preserve">RC-0500</t>
  </si>
  <si>
    <t xml:space="preserve">RC-0501</t>
  </si>
  <si>
    <t xml:space="preserve">RC-0502</t>
  </si>
  <si>
    <t xml:space="preserve">Exhibit 99.1, Reconciliation of GAAP to Non-GAAP Financial Information &gt; Reconciliation of gross profit and gross margin; row 'GAAP gross profit'; column 'Year ended December 31, 2024'</t>
  </si>
  <si>
    <t xml:space="preserve">FY 2024|1</t>
  </si>
  <si>
    <t xml:space="preserve">RC-0503</t>
  </si>
  <si>
    <t xml:space="preserve">Exhibit 99.1, Reconciliation of GAAP to Non-GAAP Financial Information &gt; Reconciliation of gross profit and gross margin; row 'Share-based compensation'; column 'Year ended December 31, 2024'</t>
  </si>
  <si>
    <t xml:space="preserve">RC-0504</t>
  </si>
  <si>
    <t xml:space="preserve">RC-0505</t>
  </si>
  <si>
    <t xml:space="preserve">Exhibit 99.1, Reconciliation of GAAP to Non-GAAP Financial Information &gt; Reconciliation of operating expenses; row 'GAAP research and development'; column 'Year ended December 31, 2024'</t>
  </si>
  <si>
    <t xml:space="preserve">FY 2024|2</t>
  </si>
  <si>
    <t xml:space="preserve">RC-0506</t>
  </si>
  <si>
    <t xml:space="preserve">Exhibit 99.1, Reconciliation of GAAP to Non-GAAP Financial Information &gt; Reconciliation of operating expenses; row 'Share-based compensation'; column 'Year ended December 31, 2024'</t>
  </si>
  <si>
    <t xml:space="preserve">RC-0507</t>
  </si>
  <si>
    <t xml:space="preserve">RC-0508</t>
  </si>
  <si>
    <t xml:space="preserve">Exhibit 99.1, Reconciliation of GAAP to Non-GAAP Financial Information &gt; Reconciliation of operating expenses; row 'GAAP sales and marketing'; column 'Year ended December 31, 2024'</t>
  </si>
  <si>
    <t xml:space="preserve">FY 2024|3</t>
  </si>
  <si>
    <t xml:space="preserve">RC-0509</t>
  </si>
  <si>
    <t xml:space="preserve">RC-0510</t>
  </si>
  <si>
    <t xml:space="preserve">RC-0511</t>
  </si>
  <si>
    <t xml:space="preserve">Exhibit 99.1, Reconciliation of GAAP to Non-GAAP Financial Information &gt; Reconciliation of operating expenses; row 'GAAP general and administrative'; column 'Year ended December 31, 2024'</t>
  </si>
  <si>
    <t xml:space="preserve">FY 2024|4</t>
  </si>
  <si>
    <t xml:space="preserve">RC-0512</t>
  </si>
  <si>
    <t xml:space="preserve">RC-0513</t>
  </si>
  <si>
    <t xml:space="preserve">Exhibit 99.1, Reconciliation of GAAP to Non-GAAP Financial Information &gt; Reconciliation of operating expenses; row 'Charitable contribution to foundation (1)'; column 'Year ended December 31, 2024'</t>
  </si>
  <si>
    <t xml:space="preserve">RC-0514</t>
  </si>
  <si>
    <t xml:space="preserve">RC-0515</t>
  </si>
  <si>
    <t xml:space="preserve">Exhibit 99.1, Reconciliation of GAAP to Non-GAAP Financial Information &gt; Reconciliation of operating income (loss); row 'GAAP operating income (loss)'; column 'Year ended December 31, 2024'</t>
  </si>
  <si>
    <t xml:space="preserve">FY 2024|5</t>
  </si>
  <si>
    <t xml:space="preserve">RC-0516</t>
  </si>
  <si>
    <t xml:space="preserve">RC-0517</t>
  </si>
  <si>
    <t xml:space="preserve">RC-0518</t>
  </si>
  <si>
    <t xml:space="preserve">RC-0519</t>
  </si>
  <si>
    <t xml:space="preserve">Exhibit 99.1, Reconciliation of GAAP to Non-GAAP Financial Information &gt; Reconciliation of net income (loss); row 'GAAP net income (loss)'; column 'Year ended December 31, 2024'</t>
  </si>
  <si>
    <t xml:space="preserve">FY 2024|6</t>
  </si>
  <si>
    <t xml:space="preserve">RC-0520</t>
  </si>
  <si>
    <t xml:space="preserve">Exhibit 99.1, Reconciliation of GAAP to Non-GAAP Financial Information &gt; Reconciliation of net income (loss); row 'Share-based compensation'; column 'Year ended December 31, 2024'</t>
  </si>
  <si>
    <t xml:space="preserve">RC-0521</t>
  </si>
  <si>
    <t xml:space="preserve">Exhibit 99.1, Reconciliation of GAAP to Non-GAAP Financial Information &gt; Reconciliation of net income (loss); row 'Charitable contribution to foundation (1)'; column 'Year ended December 31, 2024'</t>
  </si>
  <si>
    <t xml:space="preserve">RC-0522</t>
  </si>
  <si>
    <t xml:space="preserve">Exhibit 99.1, Reconciliation of GAAP to Non-GAAP Financial Information &gt; Reconciliation of net income (loss); row 'Tax expense (benefit) related to share-based compensation (2)'; column 'Year ended December 31, 2024'</t>
  </si>
  <si>
    <t xml:space="preserve">RC-0523</t>
  </si>
  <si>
    <t xml:space="preserve">RC-0524</t>
  </si>
  <si>
    <t xml:space="preserve">Exhibit 99.1, Reconciliation of net cash provided by operating activities to free cash flow; row 'Net cash provided by operating activities'; column 'Year ended December 31, 2024'</t>
  </si>
  <si>
    <t xml:space="preserve">FY 2024|7</t>
  </si>
  <si>
    <t xml:space="preserve">RC-0525</t>
  </si>
  <si>
    <t xml:space="preserve">RC-0526</t>
  </si>
  <si>
    <t xml:space="preserve">RC-0527</t>
  </si>
  <si>
    <t xml:space="preserve">RC-0528</t>
  </si>
  <si>
    <t xml:space="preserve">Exhibit 99.1, Reconciliation of GAAP to Non-GAAP Financial Information &gt; Reconciliation of gross profit and gross margin; row 'GAAP gross profit'; column 'Three months ended March 31, 2025'</t>
  </si>
  <si>
    <t xml:space="preserve">Q1 2025|1</t>
  </si>
  <si>
    <t xml:space="preserve">RC-0529</t>
  </si>
  <si>
    <t xml:space="preserve">Exhibit 99.1, Reconciliation of GAAP to Non-GAAP Financial Information &gt; Reconciliation of gross profit and gross margin; row 'Share-based compensation'; column 'Three months ended March 31, 2025'</t>
  </si>
  <si>
    <t xml:space="preserve">RC-0530</t>
  </si>
  <si>
    <t xml:space="preserve">RC-0531</t>
  </si>
  <si>
    <t xml:space="preserve">Exhibit 99.1, Reconciliation of GAAP to Non-GAAP Financial Information &gt; Reconciliation of operating expenses; row 'GAAP research and development'; column 'Three months ended March 31, 2025'</t>
  </si>
  <si>
    <t xml:space="preserve">Q1 2025|2</t>
  </si>
  <si>
    <t xml:space="preserve">RC-0532</t>
  </si>
  <si>
    <t xml:space="preserve">Exhibit 99.1, Reconciliation of GAAP to Non-GAAP Financial Information &gt; Reconciliation of operating expenses; row 'Share-based compensation'; column 'Three months ended March 31, 2025'</t>
  </si>
  <si>
    <t xml:space="preserve">RC-0533</t>
  </si>
  <si>
    <t xml:space="preserve">RC-0534</t>
  </si>
  <si>
    <t xml:space="preserve">Exhibit 99.1, Reconciliation of GAAP to Non-GAAP Financial Information &gt; Reconciliation of operating expenses; row 'GAAP sales and marketing'; column 'Three months ended March 31, 2025'</t>
  </si>
  <si>
    <t xml:space="preserve">Q1 2025|3</t>
  </si>
  <si>
    <t xml:space="preserve">RC-0535</t>
  </si>
  <si>
    <t xml:space="preserve">RC-0536</t>
  </si>
  <si>
    <t xml:space="preserve">RC-0537</t>
  </si>
  <si>
    <t xml:space="preserve">Exhibit 99.1, Reconciliation of GAAP to Non-GAAP Financial Information &gt; Reconciliation of operating expenses; row 'GAAP general and administrative'; column 'Three months ended March 31, 2025'</t>
  </si>
  <si>
    <t xml:space="preserve">Q1 2025|4</t>
  </si>
  <si>
    <t xml:space="preserve">RC-0538</t>
  </si>
  <si>
    <t xml:space="preserve">RC-0539</t>
  </si>
  <si>
    <t xml:space="preserve">RC-0540</t>
  </si>
  <si>
    <t xml:space="preserve">Exhibit 99.1, Reconciliation of GAAP to Non-GAAP Financial Information &gt; Reconciliation of operating income (loss); row 'GAAP operating income (loss)'; column 'Three months ended March 31, 2025'</t>
  </si>
  <si>
    <t xml:space="preserve">Q1 2025|5</t>
  </si>
  <si>
    <t xml:space="preserve">RC-0541</t>
  </si>
  <si>
    <t xml:space="preserve">RC-0542</t>
  </si>
  <si>
    <t xml:space="preserve">RC-0543</t>
  </si>
  <si>
    <t xml:space="preserve">Reconciliation of net income</t>
  </si>
  <si>
    <t xml:space="preserve">GAAP net income</t>
  </si>
  <si>
    <t xml:space="preserve">Exhibit 99.1, Reconciliation of GAAP to Non-GAAP Financial Information &gt; Reconciliation of net income; row 'GAAP net income'; column 'Three months ended March 31, 2025'</t>
  </si>
  <si>
    <t xml:space="preserve">Q1 2025|6</t>
  </si>
  <si>
    <t xml:space="preserve">RC-0544</t>
  </si>
  <si>
    <t xml:space="preserve">Exhibit 99.1, Reconciliation of GAAP to Non-GAAP Financial Information &gt; Reconciliation of net income; row 'Share-based compensation'; column 'Three months ended March 31, 2025'</t>
  </si>
  <si>
    <t xml:space="preserve">RC-0545</t>
  </si>
  <si>
    <t xml:space="preserve">Exhibit 99.1, Reconciliation of GAAP to Non-GAAP Financial Information &gt; Reconciliation of net income; row 'Tax benefit related to share-based compensation (1)'; column 'Three months ended March 31, 2025'</t>
  </si>
  <si>
    <t xml:space="preserve">RC-0546</t>
  </si>
  <si>
    <t xml:space="preserve">RC-0547</t>
  </si>
  <si>
    <t xml:space="preserve">Exhibit 99.1, Reconciliation of net cash provided by operating activities to adjusted free cash flow; row 'Net cash provided by operating activities'; column 'Three months ended March 31, 2025'</t>
  </si>
  <si>
    <t xml:space="preserve">Q1 2025|7</t>
  </si>
  <si>
    <t xml:space="preserve">RC-0548</t>
  </si>
  <si>
    <t xml:space="preserve">RC-0549</t>
  </si>
  <si>
    <t xml:space="preserve">RC-0550</t>
  </si>
  <si>
    <t xml:space="preserve">Purchase of property and equipment related to build-out and expansion of our corporate headquarters</t>
  </si>
  <si>
    <t xml:space="preserve">RC-0551</t>
  </si>
  <si>
    <t xml:space="preserve">RC-0552</t>
  </si>
  <si>
    <t xml:space="preserve">Exhibit 99.1, Reconciliation of GAAP to Non-GAAP Financial Information &gt; Reconciliation of gross profit and gross margin; row 'GAAP gross profit'; column 'Three months ended June 30, 2025'</t>
  </si>
  <si>
    <t xml:space="preserve">Q2 2025|1</t>
  </si>
  <si>
    <t xml:space="preserve">RC-0553</t>
  </si>
  <si>
    <t xml:space="preserve">Exhibit 99.1, Reconciliation of GAAP to Non-GAAP Financial Information &gt; Reconciliation of gross profit and gross margin; row 'Share-based compensation'; column 'Three months ended June 30, 2025'</t>
  </si>
  <si>
    <t xml:space="preserve">RC-0554</t>
  </si>
  <si>
    <t xml:space="preserve">RC-0555</t>
  </si>
  <si>
    <t xml:space="preserve">Exhibit 99.1, Reconciliation of GAAP to Non-GAAP Financial Information &gt; Reconciliation of operating expenses; row 'GAAP research and development'; column 'Three months ended June 30, 2025'</t>
  </si>
  <si>
    <t xml:space="preserve">Q2 2025|2</t>
  </si>
  <si>
    <t xml:space="preserve">RC-0556</t>
  </si>
  <si>
    <t xml:space="preserve">Exhibit 99.1, Reconciliation of GAAP to Non-GAAP Financial Information &gt; Reconciliation of operating expenses; row 'Share-based compensation'; column 'Three months ended June 30, 2025'</t>
  </si>
  <si>
    <t xml:space="preserve">RC-0557</t>
  </si>
  <si>
    <t xml:space="preserve">RC-0558</t>
  </si>
  <si>
    <t xml:space="preserve">Exhibit 99.1, Reconciliation of GAAP to Non-GAAP Financial Information &gt; Reconciliation of operating expenses; row 'GAAP sales and marketing'; column 'Three months ended June 30, 2025'</t>
  </si>
  <si>
    <t xml:space="preserve">Q2 2025|3</t>
  </si>
  <si>
    <t xml:space="preserve">RC-0559</t>
  </si>
  <si>
    <t xml:space="preserve">RC-0560</t>
  </si>
  <si>
    <t xml:space="preserve">RC-0561</t>
  </si>
  <si>
    <t xml:space="preserve">Exhibit 99.1, Reconciliation of GAAP to Non-GAAP Financial Information &gt; Reconciliation of operating expenses; row 'GAAP general and administrative'; column 'Three months ended June 30, 2025'</t>
  </si>
  <si>
    <t xml:space="preserve">Q2 2025|4</t>
  </si>
  <si>
    <t xml:space="preserve">RC-0562</t>
  </si>
  <si>
    <t xml:space="preserve">RC-0563</t>
  </si>
  <si>
    <t xml:space="preserve">RC-0564</t>
  </si>
  <si>
    <t xml:space="preserve">Exhibit 99.1, Reconciliation of GAAP to Non-GAAP Financial Information &gt; Reconciliation of operating income (loss); row 'GAAP operating income (loss)'; column 'Three months ended June 30, 2025'</t>
  </si>
  <si>
    <t xml:space="preserve">Q2 2025|5</t>
  </si>
  <si>
    <t xml:space="preserve">RC-0565</t>
  </si>
  <si>
    <t xml:space="preserve">RC-0566</t>
  </si>
  <si>
    <t xml:space="preserve">RC-0567</t>
  </si>
  <si>
    <t xml:space="preserve">Exhibit 99.1, Reconciliation of GAAP to Non-GAAP Financial Information &gt; Reconciliation of net income; row 'GAAP net income'; column 'Three months ended June 30, 2025'</t>
  </si>
  <si>
    <t xml:space="preserve">Q2 2025|6</t>
  </si>
  <si>
    <t xml:space="preserve">RC-0568</t>
  </si>
  <si>
    <t xml:space="preserve">Exhibit 99.1, Reconciliation of GAAP to Non-GAAP Financial Information &gt; Reconciliation of net income; row 'Share-based compensation'; column 'Three months ended June 30, 2025'</t>
  </si>
  <si>
    <t xml:space="preserve">RC-0569</t>
  </si>
  <si>
    <t xml:space="preserve">Tax expense (benefit) related to share-based compensation (1)</t>
  </si>
  <si>
    <t xml:space="preserve">Exhibit 99.1, Reconciliation of GAAP to Non-GAAP Financial Information &gt; Reconciliation of net income; row 'Tax expense (benefit) related to share-based compensation (1)'; column 'Three months ended June 30, 2025'</t>
  </si>
  <si>
    <t xml:space="preserve">RC-0570</t>
  </si>
  <si>
    <t xml:space="preserve">RC-0571</t>
  </si>
  <si>
    <t xml:space="preserve">Exhibit 99.1, Reconciliation of net cash provided by operating activities to adjusted free cash flow; row 'Net cash provided by operating activities'; column 'Three months ended June 30, 2025'</t>
  </si>
  <si>
    <t xml:space="preserve">Q2 2025|7</t>
  </si>
  <si>
    <t xml:space="preserve">RC-0572</t>
  </si>
  <si>
    <t xml:space="preserve">RC-0573</t>
  </si>
  <si>
    <t xml:space="preserve">RC-0574</t>
  </si>
  <si>
    <t xml:space="preserve">RC-0575</t>
  </si>
  <si>
    <t xml:space="preserve">RC-0576</t>
  </si>
  <si>
    <t xml:space="preserve">Exhibit 99.1, Reconciliation of GAAP to Non-GAAP Financial Information &gt; Reconciliation of gross profit and gross margin; row 'GAAP gross profit'; column 'Three months ended September 30, 2025'</t>
  </si>
  <si>
    <t xml:space="preserve">Q3 2025|1</t>
  </si>
  <si>
    <t xml:space="preserve">RC-0577</t>
  </si>
  <si>
    <t xml:space="preserve">Exhibit 99.1, Reconciliation of GAAP to Non-GAAP Financial Information &gt; Reconciliation of gross profit and gross margin; row 'Share-based compensation'; column 'Three months ended September 30, 2025'</t>
  </si>
  <si>
    <t xml:space="preserve">RC-0578</t>
  </si>
  <si>
    <t xml:space="preserve">RC-0579</t>
  </si>
  <si>
    <t xml:space="preserve">Exhibit 99.1, Reconciliation of GAAP to Non-GAAP Financial Information &gt; Reconciliation of operating expenses; row 'GAAP research and development'; column 'Three months ended September 30, 2025'</t>
  </si>
  <si>
    <t xml:space="preserve">Q3 2025|2</t>
  </si>
  <si>
    <t xml:space="preserve">RC-0580</t>
  </si>
  <si>
    <t xml:space="preserve">Exhibit 99.1, Reconciliation of GAAP to Non-GAAP Financial Information &gt; Reconciliation of operating expenses; row 'Share-based compensation'; column 'Three months ended September 30, 2025'</t>
  </si>
  <si>
    <t xml:space="preserve">RC-0581</t>
  </si>
  <si>
    <t xml:space="preserve">RC-0582</t>
  </si>
  <si>
    <t xml:space="preserve">Exhibit 99.1, Reconciliation of GAAP to Non-GAAP Financial Information &gt; Reconciliation of operating expenses; row 'GAAP sales and marketing'; column 'Three months ended September 30, 2025'</t>
  </si>
  <si>
    <t xml:space="preserve">Q3 2025|3</t>
  </si>
  <si>
    <t xml:space="preserve">RC-0583</t>
  </si>
  <si>
    <t xml:space="preserve">RC-0584</t>
  </si>
  <si>
    <t xml:space="preserve">RC-0585</t>
  </si>
  <si>
    <t xml:space="preserve">Exhibit 99.1, Reconciliation of GAAP to Non-GAAP Financial Information &gt; Reconciliation of operating expenses; row 'GAAP general and administrative'; column 'Three months ended September 30, 2025'</t>
  </si>
  <si>
    <t xml:space="preserve">Q3 2025|4</t>
  </si>
  <si>
    <t xml:space="preserve">RC-0586</t>
  </si>
  <si>
    <t xml:space="preserve">RC-0587</t>
  </si>
  <si>
    <t xml:space="preserve">Exhibit 99.1, Reconciliation of GAAP to Non-GAAP Financial Information &gt; Reconciliation of operating expenses; row 'Charitable contribution to foundation (1)'; column 'Three months ended September 30, 2025'</t>
  </si>
  <si>
    <t xml:space="preserve">RC-0588</t>
  </si>
  <si>
    <t xml:space="preserve">RC-0589</t>
  </si>
  <si>
    <t xml:space="preserve">Exhibit 99.1, Reconciliation of GAAP to Non-GAAP Financial Information &gt; Reconciliation of operating income (loss); row 'GAAP operating loss'; column 'Three months ended September 30, 2025'</t>
  </si>
  <si>
    <t xml:space="preserve">Q3 2025|5</t>
  </si>
  <si>
    <t xml:space="preserve">RC-0590</t>
  </si>
  <si>
    <t xml:space="preserve">RC-0591</t>
  </si>
  <si>
    <t xml:space="preserve">RC-0592</t>
  </si>
  <si>
    <t xml:space="preserve">RC-0593</t>
  </si>
  <si>
    <t xml:space="preserve">Exhibit 99.1, Reconciliation of GAAP to Non-GAAP Financial Information &gt; Reconciliation of net income (loss); row 'GAAP net income (loss)'; column 'Three months ended September 30, 2025'</t>
  </si>
  <si>
    <t xml:space="preserve">Q3 2025|6</t>
  </si>
  <si>
    <t xml:space="preserve">RC-0594</t>
  </si>
  <si>
    <t xml:space="preserve">Exhibit 99.1, Reconciliation of GAAP to Non-GAAP Financial Information &gt; Reconciliation of net income (loss); row 'Share-based compensation'; column 'Three months ended September 30, 2025'</t>
  </si>
  <si>
    <t xml:space="preserve">RC-0595</t>
  </si>
  <si>
    <t xml:space="preserve">Exhibit 99.1, Reconciliation of GAAP to Non-GAAP Financial Information &gt; Reconciliation of net income (loss); row 'Charitable contribution to foundation (1)'; column 'Three months ended September 30, 2025'</t>
  </si>
  <si>
    <t xml:space="preserve">RC-0596</t>
  </si>
  <si>
    <t xml:space="preserve">Exhibit 99.1, Reconciliation of GAAP to Non-GAAP Financial Information &gt; Reconciliation of net income (loss); row 'Tax benefit related to share-based compensation (2)'; column 'Three months ended September 30, 2025'</t>
  </si>
  <si>
    <t xml:space="preserve">RC-0597</t>
  </si>
  <si>
    <t xml:space="preserve">RC-0598</t>
  </si>
  <si>
    <t xml:space="preserve">Exhibit 99.1, Reconciliation of net cash provided by operating activities to adjusted free cash flow; row 'Net cash provided by operating activities'; column 'Three months ended September 30, 2025'</t>
  </si>
  <si>
    <t xml:space="preserve">Q3 2025|7</t>
  </si>
  <si>
    <t xml:space="preserve">RC-0599</t>
  </si>
  <si>
    <t xml:space="preserve">RC-0600</t>
  </si>
  <si>
    <t xml:space="preserve">RC-0601</t>
  </si>
  <si>
    <t xml:space="preserve">RC-0602</t>
  </si>
  <si>
    <t xml:space="preserve">RC-0603</t>
  </si>
  <si>
    <t xml:space="preserve">Exhibit 99.1, Reconciliation of GAAP to Non-GAAP Financial Information &gt; Reconciliation of gross profit and gross margin; row 'GAAP gross profit'; column 'Three months ended December 31, 2025'</t>
  </si>
  <si>
    <t xml:space="preserve">Q4 2025|1</t>
  </si>
  <si>
    <t xml:space="preserve">RC-0604</t>
  </si>
  <si>
    <t xml:space="preserve">Exhibit 99.1, Reconciliation of GAAP to Non-GAAP Financial Information &gt; Reconciliation of gross profit and gross margin; row 'Share-based compensation'; column 'Three months ended December 31, 2025'</t>
  </si>
  <si>
    <t xml:space="preserve">RC-0605</t>
  </si>
  <si>
    <t xml:space="preserve">RC-0606</t>
  </si>
  <si>
    <t xml:space="preserve">Exhibit 99.1, Reconciliation of GAAP to Non-GAAP Financial Information &gt; Reconciliation of operating expenses; row 'GAAP research and development'; column 'Three months ended December 31, 2025'</t>
  </si>
  <si>
    <t xml:space="preserve">Q4 2025|2</t>
  </si>
  <si>
    <t xml:space="preserve">RC-0607</t>
  </si>
  <si>
    <t xml:space="preserve">Exhibit 99.1, Reconciliation of GAAP to Non-GAAP Financial Information &gt; Reconciliation of operating expenses; row 'Share-based compensation'; column 'Three months ended December 31, 2025'</t>
  </si>
  <si>
    <t xml:space="preserve">RC-0608</t>
  </si>
  <si>
    <t xml:space="preserve">RC-0609</t>
  </si>
  <si>
    <t xml:space="preserve">Exhibit 99.1, Reconciliation of GAAP to Non-GAAP Financial Information &gt; Reconciliation of operating expenses; row 'GAAP sales and marketing'; column 'Three months ended December 31, 2025'</t>
  </si>
  <si>
    <t xml:space="preserve">Q4 2025|3</t>
  </si>
  <si>
    <t xml:space="preserve">RC-0610</t>
  </si>
  <si>
    <t xml:space="preserve">RC-0611</t>
  </si>
  <si>
    <t xml:space="preserve">RC-0612</t>
  </si>
  <si>
    <t xml:space="preserve">Exhibit 99.1, Reconciliation of GAAP to Non-GAAP Financial Information &gt; Reconciliation of operating expenses; row 'GAAP general and administrative'; column 'Three months ended December 31, 2025'</t>
  </si>
  <si>
    <t xml:space="preserve">Q4 2025|4</t>
  </si>
  <si>
    <t xml:space="preserve">RC-0613</t>
  </si>
  <si>
    <t xml:space="preserve">RC-0614</t>
  </si>
  <si>
    <t xml:space="preserve">Exhibit 99.1, Reconciliation of GAAP to Non-GAAP Financial Information &gt; Reconciliation of operating expenses; row 'Charitable contribution to foundation (1)'; column 'Three months ended December 31, 2025'</t>
  </si>
  <si>
    <t xml:space="preserve">RC-0615</t>
  </si>
  <si>
    <t xml:space="preserve">RC-0616</t>
  </si>
  <si>
    <t xml:space="preserve">Exhibit 99.1, Reconciliation of GAAP to Non-GAAP Financial Information &gt; Reconciliation of operating income (loss); row 'GAAP operating income (loss)'; column 'Three months ended December 31, 2025'</t>
  </si>
  <si>
    <t xml:space="preserve">Q4 2025|5</t>
  </si>
  <si>
    <t xml:space="preserve">RC-0617</t>
  </si>
  <si>
    <t xml:space="preserve">RC-0618</t>
  </si>
  <si>
    <t xml:space="preserve">RC-0619</t>
  </si>
  <si>
    <t xml:space="preserve">RC-0620</t>
  </si>
  <si>
    <t xml:space="preserve">Exhibit 99.1, Reconciliation of GAAP to Non-GAAP Financial Information &gt; Reconciliation of net income; row 'GAAP net income'; column 'Three months ended December 31, 2025'</t>
  </si>
  <si>
    <t xml:space="preserve">Q4 2025|6</t>
  </si>
  <si>
    <t xml:space="preserve">RC-0621</t>
  </si>
  <si>
    <t xml:space="preserve">Exhibit 99.1, Reconciliation of GAAP to Non-GAAP Financial Information &gt; Reconciliation of net income; row 'Share-based compensation'; column 'Three months ended December 31, 2025'</t>
  </si>
  <si>
    <t xml:space="preserve">RC-0622</t>
  </si>
  <si>
    <t xml:space="preserve">Exhibit 99.1, Reconciliation of GAAP to Non-GAAP Financial Information &gt; Reconciliation of net income; row 'Charitable contribution to foundation (1)'; column 'Three months ended December 31, 2025'</t>
  </si>
  <si>
    <t xml:space="preserve">RC-0623</t>
  </si>
  <si>
    <t xml:space="preserve">Income tax benefit related to valuation allowance reversal (2)</t>
  </si>
  <si>
    <t xml:space="preserve">Exhibit 99.1, Reconciliation of GAAP to Non-GAAP Financial Information &gt; Reconciliation of net income; row 'Income tax benefit related to valuation allowance reversal (2)'; column 'Three months ended December 31, 2025'</t>
  </si>
  <si>
    <t xml:space="preserve">RC-0624</t>
  </si>
  <si>
    <t xml:space="preserve">Tax expense (benefit) related to share-based compensation (3)</t>
  </si>
  <si>
    <t xml:space="preserve">Exhibit 99.1, Reconciliation of GAAP to Non-GAAP Financial Information &gt; Reconciliation of net income; row 'Tax expense (benefit) related to share-based compensation (3)'; column 'Three months ended December 31, 2025'</t>
  </si>
  <si>
    <t xml:space="preserve">RC-0625</t>
  </si>
  <si>
    <t xml:space="preserve">RC-0626</t>
  </si>
  <si>
    <t xml:space="preserve">Exhibit 99.1, Reconciliation of net cash provided by operating activities to adjusted free cash flow; row 'Net cash provided by operating activities'; column 'Three months ended December 31, 2025'</t>
  </si>
  <si>
    <t xml:space="preserve">Q4 2025|7</t>
  </si>
  <si>
    <t xml:space="preserve">RC-0627</t>
  </si>
  <si>
    <t xml:space="preserve">RC-0628</t>
  </si>
  <si>
    <t xml:space="preserve">RC-0629</t>
  </si>
  <si>
    <t xml:space="preserve">RC-0630</t>
  </si>
  <si>
    <t xml:space="preserve">RC-0631</t>
  </si>
  <si>
    <t xml:space="preserve">Exhibit 99.1, Reconciliation of GAAP to Non-GAAP Financial Information &gt; Reconciliation of gross profit and gross margin; row 'GAAP gross profit'; column 'Year ended December 31, 2025'</t>
  </si>
  <si>
    <t xml:space="preserve">FY 2025|1</t>
  </si>
  <si>
    <t xml:space="preserve">RC-0632</t>
  </si>
  <si>
    <t xml:space="preserve">Exhibit 99.1, Reconciliation of GAAP to Non-GAAP Financial Information &gt; Reconciliation of gross profit and gross margin; row 'Share-based compensation'; column 'Year ended December 31, 2025'</t>
  </si>
  <si>
    <t xml:space="preserve">RC-0633</t>
  </si>
  <si>
    <t xml:space="preserve">RC-0634</t>
  </si>
  <si>
    <t xml:space="preserve">Exhibit 99.1, Reconciliation of GAAP to Non-GAAP Financial Information &gt; Reconciliation of operating expenses; row 'GAAP research and development'; column 'Year ended December 31, 2025'</t>
  </si>
  <si>
    <t xml:space="preserve">FY 2025|2</t>
  </si>
  <si>
    <t xml:space="preserve">RC-0635</t>
  </si>
  <si>
    <t xml:space="preserve">Exhibit 99.1, Reconciliation of GAAP to Non-GAAP Financial Information &gt; Reconciliation of operating expenses; row 'Share-based compensation'; column 'Year ended December 31, 2025'</t>
  </si>
  <si>
    <t xml:space="preserve">RC-0636</t>
  </si>
  <si>
    <t xml:space="preserve">RC-0637</t>
  </si>
  <si>
    <t xml:space="preserve">Exhibit 99.1, Reconciliation of GAAP to Non-GAAP Financial Information &gt; Reconciliation of operating expenses; row 'GAAP sales and marketing'; column 'Year ended December 31, 2025'</t>
  </si>
  <si>
    <t xml:space="preserve">FY 2025|3</t>
  </si>
  <si>
    <t xml:space="preserve">RC-0638</t>
  </si>
  <si>
    <t xml:space="preserve">RC-0639</t>
  </si>
  <si>
    <t xml:space="preserve">RC-0640</t>
  </si>
  <si>
    <t xml:space="preserve">Exhibit 99.1, Reconciliation of GAAP to Non-GAAP Financial Information &gt; Reconciliation of operating expenses; row 'GAAP general and administrative'; column 'Year ended December 31, 2025'</t>
  </si>
  <si>
    <t xml:space="preserve">FY 2025|4</t>
  </si>
  <si>
    <t xml:space="preserve">RC-0641</t>
  </si>
  <si>
    <t xml:space="preserve">RC-0642</t>
  </si>
  <si>
    <t xml:space="preserve">Exhibit 99.1, Reconciliation of GAAP to Non-GAAP Financial Information &gt; Reconciliation of operating expenses; row 'Charitable contribution to foundation (1)'; column 'Year ended December 31, 2025'</t>
  </si>
  <si>
    <t xml:space="preserve">RC-0643</t>
  </si>
  <si>
    <t xml:space="preserve">RC-0644</t>
  </si>
  <si>
    <t xml:space="preserve">Exhibit 99.1, Reconciliation of GAAP to Non-GAAP Financial Information &gt; Reconciliation of operating income (loss); row 'GAAP operating income (loss)'; column 'Year ended December 31, 2025'</t>
  </si>
  <si>
    <t xml:space="preserve">FY 2025|5</t>
  </si>
  <si>
    <t xml:space="preserve">RC-0645</t>
  </si>
  <si>
    <t xml:space="preserve">RC-0646</t>
  </si>
  <si>
    <t xml:space="preserve">RC-0647</t>
  </si>
  <si>
    <t xml:space="preserve">RC-0648</t>
  </si>
  <si>
    <t xml:space="preserve">Exhibit 99.1, Reconciliation of GAAP to Non-GAAP Financial Information &gt; Reconciliation of net income; row 'GAAP net income'; column 'Year ended December 31, 2025'</t>
  </si>
  <si>
    <t xml:space="preserve">FY 2025|6</t>
  </si>
  <si>
    <t xml:space="preserve">RC-0649</t>
  </si>
  <si>
    <t xml:space="preserve">Exhibit 99.1, Reconciliation of GAAP to Non-GAAP Financial Information &gt; Reconciliation of net income; row 'Share-based compensation'; column 'Year ended December 31, 2025'</t>
  </si>
  <si>
    <t xml:space="preserve">RC-0650</t>
  </si>
  <si>
    <t xml:space="preserve">Exhibit 99.1, Reconciliation of GAAP to Non-GAAP Financial Information &gt; Reconciliation of net income; row 'Charitable contribution to foundation (1)'; column 'Year ended December 31, 2025'</t>
  </si>
  <si>
    <t xml:space="preserve">RC-0651</t>
  </si>
  <si>
    <t xml:space="preserve">Exhibit 99.1, Reconciliation of GAAP to Non-GAAP Financial Information &gt; Reconciliation of net income; row 'Income tax benefit related to valuation allowance reversal (2)'; column 'Year ended December 31, 2025'</t>
  </si>
  <si>
    <t xml:space="preserve">RC-0652</t>
  </si>
  <si>
    <t xml:space="preserve">Exhibit 99.1, Reconciliation of GAAP to Non-GAAP Financial Information &gt; Reconciliation of net income; row 'Tax expense (benefit) related to share-based compensation (3)'; column 'Year ended December 31, 2025'</t>
  </si>
  <si>
    <t xml:space="preserve">RC-0653</t>
  </si>
  <si>
    <t xml:space="preserve">RC-0654</t>
  </si>
  <si>
    <t xml:space="preserve">Exhibit 99.1, Reconciliation of net cash provided by operating activities to adjusted free cash flow; row 'Net cash provided by operating activities'; column 'Year ended December 31, 2025'</t>
  </si>
  <si>
    <t xml:space="preserve">FY 2025|7</t>
  </si>
  <si>
    <t xml:space="preserve">RC-0655</t>
  </si>
  <si>
    <t xml:space="preserve">RC-0656</t>
  </si>
  <si>
    <t xml:space="preserve">RC-0657</t>
  </si>
  <si>
    <t xml:space="preserve">RC-0658</t>
  </si>
  <si>
    <t xml:space="preserve">RC-0659</t>
  </si>
  <si>
    <t xml:space="preserve">Exhibit 99.1, Reconciliation of GAAP to Non-GAAP Financial Information &gt; Reconciliation of gross profit and gross margin; row 'GAAP gross profit'; column 'Three months ended March 31, 2026'</t>
  </si>
  <si>
    <t xml:space="preserve">Q1 2026|1</t>
  </si>
  <si>
    <t xml:space="preserve">RC-0660</t>
  </si>
  <si>
    <t xml:space="preserve">Exhibit 99.1, Reconciliation of GAAP to Non-GAAP Financial Information &gt; Reconciliation of gross profit and gross margin; row 'Share-based compensation'; column 'Three months ended March 31, 2026'</t>
  </si>
  <si>
    <t xml:space="preserve">RC-0661</t>
  </si>
  <si>
    <t xml:space="preserve">RC-0662</t>
  </si>
  <si>
    <t xml:space="preserve">Exhibit 99.1, Reconciliation of GAAP to Non-GAAP Financial Information &gt; Reconciliation of operating expenses; row 'GAAP research and development'; column 'Three months ended March 31, 2026'</t>
  </si>
  <si>
    <t xml:space="preserve">Q1 2026|2</t>
  </si>
  <si>
    <t xml:space="preserve">RC-0663</t>
  </si>
  <si>
    <t xml:space="preserve">Exhibit 99.1, Reconciliation of GAAP to Non-GAAP Financial Information &gt; Reconciliation of operating expenses; row 'Share-based compensation'; column 'Three months ended March 31, 2026'</t>
  </si>
  <si>
    <t xml:space="preserve">RC-0664</t>
  </si>
  <si>
    <t xml:space="preserve">RC-0665</t>
  </si>
  <si>
    <t xml:space="preserve">Exhibit 99.1, Reconciliation of GAAP to Non-GAAP Financial Information &gt; Reconciliation of operating expenses; row 'GAAP sales and marketing'; column 'Three months ended March 31, 2026'</t>
  </si>
  <si>
    <t xml:space="preserve">Q1 2026|3</t>
  </si>
  <si>
    <t xml:space="preserve">RC-0666</t>
  </si>
  <si>
    <t xml:space="preserve">RC-0667</t>
  </si>
  <si>
    <t xml:space="preserve">RC-0668</t>
  </si>
  <si>
    <t xml:space="preserve">Exhibit 99.1, Reconciliation of GAAP to Non-GAAP Financial Information &gt; Reconciliation of operating expenses; row 'GAAP general and administrative'; column 'Three months ended March 31, 2026'</t>
  </si>
  <si>
    <t xml:space="preserve">Q1 2026|4</t>
  </si>
  <si>
    <t xml:space="preserve">RC-0669</t>
  </si>
  <si>
    <t xml:space="preserve">RC-0670</t>
  </si>
  <si>
    <t xml:space="preserve">RC-0671</t>
  </si>
  <si>
    <t xml:space="preserve">Exhibit 99.1, Reconciliation of GAAP to Non-GAAP Financial Information &gt; Reconciliation of operating income (loss); row 'GAAP operating income (loss)'; column 'Three months ended March 31, 2026'</t>
  </si>
  <si>
    <t xml:space="preserve">Q1 2026|5</t>
  </si>
  <si>
    <t xml:space="preserve">RC-0672</t>
  </si>
  <si>
    <t xml:space="preserve">RC-0673</t>
  </si>
  <si>
    <t xml:space="preserve">RC-0674</t>
  </si>
  <si>
    <t xml:space="preserve">Exhibit 99.1, Reconciliation of GAAP to Non-GAAP Financial Information &gt; Reconciliation of net income; row 'GAAP net income'; column 'Three months ended March 31, 2026'</t>
  </si>
  <si>
    <t xml:space="preserve">Q1 2026|6</t>
  </si>
  <si>
    <t xml:space="preserve">RC-0675</t>
  </si>
  <si>
    <t xml:space="preserve">Exhibit 99.1, Reconciliation of GAAP to Non-GAAP Financial Information &gt; Reconciliation of net income; row 'Share-based compensation'; column 'Three months ended March 31, 2026'</t>
  </si>
  <si>
    <t xml:space="preserve">RC-0676</t>
  </si>
  <si>
    <t xml:space="preserve">Exhibit 99.1, Reconciliation of GAAP to Non-GAAP Financial Information &gt; Reconciliation of net income; row 'Tax benefit related to share-based compensation (1)'; column 'Three months ended March 31, 2026'</t>
  </si>
  <si>
    <t xml:space="preserve">RC-0677</t>
  </si>
  <si>
    <t xml:space="preserve">RC-0678</t>
  </si>
  <si>
    <t xml:space="preserve">Exhibit 99.1, Reconciliation of net cash provided by operating activities to adjusted free cash flow; row 'Net cash provided by operating activities'; column 'Three months ended March 31, 2026'</t>
  </si>
  <si>
    <t xml:space="preserve">Q1 2026|7</t>
  </si>
  <si>
    <t xml:space="preserve">RC-0679</t>
  </si>
  <si>
    <t xml:space="preserve">RC-0680</t>
  </si>
  <si>
    <t xml:space="preserve">RC-0681</t>
  </si>
  <si>
    <t xml:space="preserve">RC-0682</t>
  </si>
  <si>
    <t xml:space="preserve">RC-0683</t>
  </si>
  <si>
    <t xml:space="preserve">Exhibit 99.1, Reconciliation of GAAP to Non-GAAP Financial Information &gt; Reconciliation of gross profit and gross margin; row 'GAAP gross profit'; column 'Three months ended June 30, 2026'</t>
  </si>
  <si>
    <t xml:space="preserve">Q2 2026|1</t>
  </si>
  <si>
    <t xml:space="preserve">RC-0684</t>
  </si>
  <si>
    <t xml:space="preserve">Exhibit 99.1, Reconciliation of GAAP to Non-GAAP Financial Information &gt; Reconciliation of gross profit and gross margin; row 'Share-based compensation'; column 'Three months ended June 30, 2026'</t>
  </si>
  <si>
    <t xml:space="preserve">RC-0685</t>
  </si>
  <si>
    <t xml:space="preserve">RC-0686</t>
  </si>
  <si>
    <t xml:space="preserve">Exhibit 99.1, Reconciliation of GAAP to Non-GAAP Financial Information &gt; Reconciliation of operating expenses; row 'GAAP research and development'; column 'Three months ended June 30, 2026'</t>
  </si>
  <si>
    <t xml:space="preserve">Q2 2026|2</t>
  </si>
  <si>
    <t xml:space="preserve">RC-0687</t>
  </si>
  <si>
    <t xml:space="preserve">Exhibit 99.1, Reconciliation of GAAP to Non-GAAP Financial Information &gt; Reconciliation of operating expenses; row 'Share-based compensation'; column 'Three months ended June 30, 2026'</t>
  </si>
  <si>
    <t xml:space="preserve">RC-0688</t>
  </si>
  <si>
    <t xml:space="preserve">RC-0689</t>
  </si>
  <si>
    <t xml:space="preserve">Exhibit 99.1, Reconciliation of GAAP to Non-GAAP Financial Information &gt; Reconciliation of operating expenses; row 'GAAP sales and marketing'; column 'Three months ended June 30, 2026'</t>
  </si>
  <si>
    <t xml:space="preserve">Q2 2026|3</t>
  </si>
  <si>
    <t xml:space="preserve">RC-0690</t>
  </si>
  <si>
    <t xml:space="preserve">RC-0691</t>
  </si>
  <si>
    <t xml:space="preserve">RC-0692</t>
  </si>
  <si>
    <t xml:space="preserve">Exhibit 99.1, Reconciliation of GAAP to Non-GAAP Financial Information &gt; Reconciliation of operating expenses; row 'GAAP general and administrative'; column 'Three months ended June 30, 2026'</t>
  </si>
  <si>
    <t xml:space="preserve">Q2 2026|4</t>
  </si>
  <si>
    <t xml:space="preserve">RC-0693</t>
  </si>
  <si>
    <t xml:space="preserve">RC-0694</t>
  </si>
  <si>
    <t xml:space="preserve">RC-0695</t>
  </si>
  <si>
    <t xml:space="preserve">Exhibit 99.1, Reconciliation of GAAP to Non-GAAP Financial Information &gt; Reconciliation of operating income (loss); row 'GAAP operating income (loss)'; column 'Three months ended June 30, 2026'</t>
  </si>
  <si>
    <t xml:space="preserve">Q2 2026|5</t>
  </si>
  <si>
    <t xml:space="preserve">RC-0696</t>
  </si>
  <si>
    <t xml:space="preserve">RC-0697</t>
  </si>
  <si>
    <t xml:space="preserve">Restructuring charges (1)</t>
  </si>
  <si>
    <t xml:space="preserve">RC-0698</t>
  </si>
  <si>
    <t xml:space="preserve">RC-0699</t>
  </si>
  <si>
    <t xml:space="preserve">Exhibit 99.1, Reconciliation of GAAP to Non-GAAP Financial Information &gt; Reconciliation of net income; row 'GAAP net income'; column 'Three months ended June 30, 2026'</t>
  </si>
  <si>
    <t xml:space="preserve">Q2 2026|6</t>
  </si>
  <si>
    <t xml:space="preserve">RC-0700</t>
  </si>
  <si>
    <t xml:space="preserve">Exhibit 99.1, Reconciliation of GAAP to Non-GAAP Financial Information &gt; Reconciliation of net income; row 'Share-based compensation'; column 'Three months ended June 30, 2026'</t>
  </si>
  <si>
    <t xml:space="preserve">RC-0701</t>
  </si>
  <si>
    <t xml:space="preserve">Exhibit 99.1, Reconciliation of GAAP to Non-GAAP Financial Information &gt; Reconciliation of net income; row 'Restructuring charges (1)'; column 'Three months ended June 30, 2026'</t>
  </si>
  <si>
    <t xml:space="preserve">RC-0702</t>
  </si>
  <si>
    <t xml:space="preserve">Exhibit 99.1, Reconciliation of GAAP to Non-GAAP Financial Information &gt; Reconciliation of net income; row 'Tax expense (benefit) related to share-based compensation (2)'; column 'Three months ended June 30, 2026'</t>
  </si>
  <si>
    <t xml:space="preserve">RC-0703</t>
  </si>
  <si>
    <t xml:space="preserve">RC-0704</t>
  </si>
  <si>
    <t xml:space="preserve">Exhibit 99.1, Reconciliation of net cash provided by operating activities to adjusted free cash flow; row 'Net cash provided by operating activities'; column 'Three months ended June 30, 2026'</t>
  </si>
  <si>
    <t xml:space="preserve">Q2 2026|7</t>
  </si>
  <si>
    <t xml:space="preserve">RC-0705</t>
  </si>
  <si>
    <t xml:space="preserve">RC-0706</t>
  </si>
  <si>
    <t xml:space="preserve">RC-0707</t>
  </si>
  <si>
    <t xml:space="preserve">Purchase of property and equipment related to build-out of our corporate headquarters (1)</t>
  </si>
  <si>
    <t xml:space="preserve">RC-0708</t>
  </si>
  <si>
    <t xml:space="preserve">Definition (verbatim or tightly paraphrased)</t>
  </si>
  <si>
    <t xml:space="preserve">Effective Period</t>
  </si>
  <si>
    <t xml:space="preserve">Methodology or Scope Changes</t>
  </si>
  <si>
    <t xml:space="preserve">Comparability Warning</t>
  </si>
  <si>
    <t xml:space="preserve">Net dollar retention rate (NDR) - all cohorts</t>
  </si>
  <si>
    <t xml:space="preserve">We calculate Net Dollar Retention Rate as of a period end by starting with the ARR from customers as of the 12 months prior to such period end ("Prior Period ARR"). We then calculate the ARR from these customers as of the current period end ("Current Period ARR"). The calculation of Current Period ARR includes any upsells, contraction and attrition. We then divide the total Current Period ARR by the total Prior Period ARR to arrive at the Net Dollar Retention Rate. For the trailing 12-month calculation, we take a weighted average of this calculation of our quarterly Net Dollar Retention Rate for the four quarters ending with the most recent quarter.</t>
  </si>
  <si>
    <t xml:space="preserve">ER-2023Q3 (current wording); ER-2021Q3 (first); 20F-FY2021..20F-FY2025</t>
  </si>
  <si>
    <t xml:space="preserve">Earnings releases: "Definitions of Business Key Performance Indicators"; 20-F Item 5 Key Business Metrics</t>
  </si>
  <si>
    <t xml:space="preserve">Q3 2021 onward (Q2 2021 release had no definition)</t>
  </si>
  <si>
    <t xml:space="preserve">(1) Wording fix Q3 2023: "net dollar expansion rate" -&gt; "Net Dollar Retention Rate" in the final step (no substantive change stated). (2) Disclosure precision: releases through Q3 2023 give only floors ("over X%"); exact values from Q4 2023. FY2024 20-F later disclosed exact Q4 2022 values. (3) Cohorts added over time: &gt;10 users (Q2 2021), all customers (Q4 2021), &gt;$50k ARR (Q1 2022), &gt;$100k ARR (Q4 2023). (4) FY2025 20-F and H1 2026 MD&amp;A: NDR "positively impacted by pricing adjustments implemented during 2024 and the first half of 2025 across our entire customer base"; Q4 2025 NDR reflects expansion "partially offset" by the anniversary of those pricing adjustments; fluctuation factors list now includes pricing and packaging changes.</t>
  </si>
  <si>
    <t xml:space="preserve">Measurement basis ambiguous: definition describes both a point-in-time ratio and a TTM weighted average; 20-Fs label values "for the three months ended", releases do not specify. Do not compare "over X%" floors with exact values. Pricing actions in 2024-H1 2025 affect comparability of 2024-2026 NDR. Q4 2022 &gt;10-users discrepancy (D5).</t>
  </si>
  <si>
    <t xml:space="preserve">Customers measured at the customer (web-domain account) level.</t>
  </si>
  <si>
    <t xml:space="preserve">Annual recurring revenue (ARR)</t>
  </si>
  <si>
    <t xml:space="preserve">"Annual Recurring Revenue" or "ARR" is defined to mean, as of the measurement date, the annualized value of our customer subscription plans assuming that any contract that expires during the next 12 months is renewed on its existing terms.</t>
  </si>
  <si>
    <t xml:space="preserve">ER-2025Q3 (current wording); 20F-FY2021..FY2025; 6K-20240826-ARR</t>
  </si>
  <si>
    <t xml:space="preserve">Releases: KPI definitions; 20-F Item 5 Key Business Metrics</t>
  </si>
  <si>
    <t xml:space="preserve">All periods</t>
  </si>
  <si>
    <t xml:space="preserve">Minor wording changes only ("subscriptions plan" -&gt; "subscription plans").</t>
  </si>
  <si>
    <t xml:space="preserve">Total ARR is NOT disclosed as a time series; only milestones (surpassed $1 billion ARR, Aug 2024 / Q3 2024 release; monday CRM $100 million ARR, Q2 2025; monday vibe &gt;$1 million ARR, Q4 2025) and cohort shares of ARR. Do not infer total ARR.</t>
  </si>
  <si>
    <t xml:space="preserve">Used as the base for NDR, ARR thresholds and ARR-share KPIs.</t>
  </si>
  <si>
    <t xml:space="preserve">Customer / paid customer</t>
  </si>
  <si>
    <t xml:space="preserve">We define "customer" to mean a unique web domain-based account that is on a paid subscription plan, which could include an organization, educational or government institution, or distinct business unit of an organization.</t>
  </si>
  <si>
    <t xml:space="preserve">20F-FY2021..20F-FY2025</t>
  </si>
  <si>
    <t xml:space="preserve">20-F Item 5 Key Business Metrics - A large and diversified customer base</t>
  </si>
  <si>
    <t xml:space="preserve">Exact total paid customers disclosed only in Q4 2021 (152,048) and Q4 2022 (186,477) releases; 20-Fs give approximations ("over 152,000", "over 186,000", "over 225,000", "nearly 245,000", "over 250,000"; H1 2026 ~250,000).</t>
  </si>
  <si>
    <t xml:space="preserve">Approximate totals are not comparable with exact counts; one organization may have multiple customer accounts.</t>
  </si>
  <si>
    <t xml:space="preserve">"We distinguish customers with more than 10 users from our broader customer base. They are the core focus of our sales and marketing efforts ..."</t>
  </si>
  <si>
    <t xml:space="preserve">20F-FY2021..FY2025; ER-2024Q1 onward</t>
  </si>
  <si>
    <t xml:space="preserve">20-F Item 5 Key Business Metrics; release highlights</t>
  </si>
  <si>
    <t xml:space="preserve">Count disclosed Q1 2024 onward (comparatives back to Q1 2023); ARR share disclosed Q4 2021 (with Q4 2020 comparative) and from Q3 2025</t>
  </si>
  <si>
    <t xml:space="preserve">"10+ users" wording in Q1 2024 vs "more than 10 users" thereafter. H1 2026 MD&amp;A dropped the &gt;10-users count/NDR/ARR-share given in H1 2025 MD&amp;A.</t>
  </si>
  <si>
    <t xml:space="preserve">Threshold is seat-based (users), not ARR-based; not comparable with ARR-threshold cohorts.</t>
  </si>
  <si>
    <t xml:space="preserve">Customer ARR thresholds (&gt;$50k, &gt;$100k, &gt;$500k)</t>
  </si>
  <si>
    <t xml:space="preserve">Paid customers with more than $50,000 / $100,000 / $500,000 in ARR at period end. 20-F: "enterprise customers ... which we define as customers with more than $50,000 in ARR".</t>
  </si>
  <si>
    <t xml:space="preserve">Releases ER-2021Q2 onward; 20F-FY2021..FY2025</t>
  </si>
  <si>
    <t xml:space="preserve">Release "Recent Business Highlights"; 20-F Item 5</t>
  </si>
  <si>
    <t xml:space="preserve">&gt;$50k: Q2 2021 onward (Q1 2021 via comparative). &gt;$100k: Q4 2023 onward (comparatives from Q4 2022). &gt;$500k: Q3 2025 onward (comparatives from Q3 2024).</t>
  </si>
  <si>
    <t xml:space="preserve">2021 releases: "paid enterprise customers with more than $50,000 in annual recurring revenue"; from Q4 2021 "paid customers with more than $50,000 in ARR". Thresholds are nominal USD (not inflation- or FX-adjusted).</t>
  </si>
  <si>
    <t xml:space="preserve">Counts are point-in-time; never sum across quarters. Pricing changes (2024-H1 2025) and FX move customers across nominal thresholds.</t>
  </si>
  <si>
    <t xml:space="preserve">Share of ARR by customer cohort</t>
  </si>
  <si>
    <t xml:space="preserve">"Customers with more than [threshold] now represent X% of ARR" (percentage of total ARR attributable to the cohort at period end).</t>
  </si>
  <si>
    <t xml:space="preserve">ER-2021Q4, ER-2022Q1, ER-2025Q3 onward; 20F-FY2021/FY2022 (&gt;10 users)</t>
  </si>
  <si>
    <t xml:space="preserve">Release highlights; 20-F Item 5</t>
  </si>
  <si>
    <t xml:space="preserve">&gt;10 users: Q4 2020-Q4 2022 (20-F) and Q3 2024 onward; &gt;$50k: Q1 2021, Q1 2022, Q3 2024 onward; &gt;$100k and &gt;$500k: Q3 2024 onward</t>
  </si>
  <si>
    <t xml:space="preserve">Disclosure gap Q2 2022-Q2 2024 for ARR-threshold shares.</t>
  </si>
  <si>
    <t xml:space="preserve">Whole-percent rounding; cannot be combined with cohort counts to infer total ARR.</t>
  </si>
  <si>
    <t xml:space="preserve">Remaining performance obligations (RPO)</t>
  </si>
  <si>
    <t xml:space="preserve">Remaining Performance Obligations (RPOs) are the aggregate amount of transaction price allocated to performance obligations that are unsatisfied or partially unsatisfied at the reporting date, including both deferred revenues and non-invoiced amounts expected to be billed and recognized in the future.</t>
  </si>
  <si>
    <t xml:space="preserve">ER-2025Q4 (first definition); 20F-FY2025; H1FS-2025; H1FS-2026</t>
  </si>
  <si>
    <t xml:space="preserve">Release KPI definitions; 20-F Item 18 Note 2; interim FS note "Deferred Revenue and Remaining Performance Obligations"</t>
  </si>
  <si>
    <t xml:space="preserve">First disclosed: H1 2025 interim FS (June 30, 2025) and Q3 2025 release (with Sept 30, 2024 comparative)</t>
  </si>
  <si>
    <t xml:space="preserve">FY2021-FY2024 20-Fs and H1 2024 FS: RPO NOT disclosed - company applied the ASC 606 practical expedient ("original expected duration of the majority of the contracts is one year or less"). From mid-2025 RPO disclosed. June 30, 2025 RPO recast from $767.8M (H1 2025 FS) to $699M (Q2 2026 release) without explanation (R2/D4).</t>
  </si>
  <si>
    <t xml:space="preserve">Short RPO history (comparatives from Sept 30, 2024). June 30, 2025 basis inconsistency. RPO is point-in-time; never summed.</t>
  </si>
  <si>
    <t xml:space="preserve">Release values in USD millions (rounded); FS values in USD thousands.</t>
  </si>
  <si>
    <t xml:space="preserve">Current Remaining Performance Obligations (cRPOs) are the aggregate amount of transaction price allocated to performance obligations that are unsatisfied or partially unsatisfied at the reporting date, including both deferred revenues and non-invoiced amounts expected to be billed and recognized in the next 12 months.</t>
  </si>
  <si>
    <t xml:space="preserve">ER-2025Q4 onward</t>
  </si>
  <si>
    <t xml:space="preserve">Release KPI definitions</t>
  </si>
  <si>
    <t xml:space="preserve">Q4 2025 onward (comparatives from Dec 31, 2024)</t>
  </si>
  <si>
    <t xml:space="preserve">FS notes give only the approximate % of RPO expected within 12 months (86% Jun 2025, 81% Dec 2025, 80% Jun 2026), not cRPO dollars.</t>
  </si>
  <si>
    <t xml:space="preserve">Do not derive cRPO from the approximate % (rounded and on a possibly different RPO basis for June 2025).</t>
  </si>
  <si>
    <t xml:space="preserve">Adjusted free cash flow / free cash flow</t>
  </si>
  <si>
    <t xml:space="preserve">2021-2022 (adjusted FCF): "net cash provided by (used in) operating activities less cash used for purchases of property and equipment and capitalized software development costs, plus non-recurring expenditures, such as the purchase of property and equipment related to build-out of our new corporate headquarters." 2023-2024 (FCF): "net cash provided by operating activities, less cash used for purchases of property and equipment and capitalized software development costs." 2025 onward (adjusted FCF): "... plus costs associated with the build-out and expansion of our corporate headquarters"; Q2 2026 release: "free cash flow plus costs associated with the build-out of our corporate headquarters".</t>
  </si>
  <si>
    <t xml:space="preserve">ER-2021Q2..ER-2022Q4; ER-2023Q1..ER-2024Q4; ER-2025Q1 onward; 20F-FY2021..FY2025</t>
  </si>
  <si>
    <t xml:space="preserve">Release "Non-GAAP Financial Measures"; 20-F Item 5 Non-GAAP Financial Measures</t>
  </si>
  <si>
    <t xml:space="preserve">Label changes at Q1 2023 and Q1 2025</t>
  </si>
  <si>
    <t xml:space="preserve">HQ add-back nil in 2023-2024 (so FCF = adjusted FCF in those years). Q2 2026 add-back (footnote) "mainly represent renovation costs at an office space in Israel that were capitalized prior to the Company's decision to vacate that space in Q2 2026" - a different nature from the 2021-2022 and 2025 HQ build-out add-backs. FY2025 guidance vintage changed from FCF (Q4 2024 release) to adjusted FCF (Q1 2025 release).</t>
  </si>
  <si>
    <t xml:space="preserve">Add-back scope varies by period; compare like-for-like using the component rows (OCF, PP&amp;E, capitalized software, add-back).</t>
  </si>
  <si>
    <t xml:space="preserve">Margin = FCF / revenue.</t>
  </si>
  <si>
    <t xml:space="preserve">Non-GAAP operating income (loss) and non-GAAP expense lines</t>
  </si>
  <si>
    <t xml:space="preserve">GAAP operating income (loss) adjusted for share-based compensation; 20-F: "adjusted for certain non-cash items such as share-based compensation expenses". Non-GAAP gross profit / R&amp;D / S&amp;M / G&amp;A exclude SBC allocated to each line.</t>
  </si>
  <si>
    <t xml:space="preserve">All releases; 20F-FY2021..FY2025</t>
  </si>
  <si>
    <t xml:space="preserve">Release reconciliation tables; 20-F Item 5</t>
  </si>
  <si>
    <t xml:space="preserve">Q3 2024 / FY2024: additional exclusion "Charitable contribution to foundation" (24,208 = 17,908 equity grant of 68,000 shares + 6,300 one-time cash contribution) in G&amp;A and operating income. Q2 2026: restructuring charges (21,436) excluded. H1 2026 MD&amp;A: definition expanded to exclude restructuring and non-cash charitable share contributions; July 2026 plan expects ~$15M non-cash SBC forfeiture credits, and FY2026 outlook excludes restructuring charges.</t>
  </si>
  <si>
    <t xml:space="preserve">Non-GAAP results before and after Q3 2024 and Q2 2026 exclude different items; amortization of acquired intangibles (OneAI, from Q2 2026) is NOT shown as a separate non-GAAP adjustment in the Q2 2026 reconciliation.</t>
  </si>
  <si>
    <t xml:space="preserve">GAAP net income (loss) adjusted for SBC, the tax effect related to SBC, and other items listed in the reconciliation (charitable contribution 2024, valuation-allowance reversal Q4 2025, restructuring Q2 2026; pre-2022: deemed dividend in the attributable-to-ordinary-shareholders reconciliation).</t>
  </si>
  <si>
    <t xml:space="preserve">All releases</t>
  </si>
  <si>
    <t xml:space="preserve">Release reconciliation of net income (loss)</t>
  </si>
  <si>
    <t xml:space="preserve">Q4 2025: non-cash income tax benefit from valuation-allowance reversal excluded.</t>
  </si>
  <si>
    <t xml:space="preserve">Composition of adjustments varies by period.</t>
  </si>
  <si>
    <t xml:space="preserve">Per-share values not carried in this source book.</t>
  </si>
  <si>
    <t xml:space="preserve">FX-adjusted revenue growth</t>
  </si>
  <si>
    <t xml:space="preserve">"The impact of foreign currency exchange rate fluctuations is determined by calculating the current year result using foreign exchange rates consistent with the prior year (period)."</t>
  </si>
  <si>
    <t xml:space="preserve">ER-2022Q3..ER-2024Q2</t>
  </si>
  <si>
    <t xml:space="preserve">Release FX-adjusted revenue growth table</t>
  </si>
  <si>
    <t xml:space="preserve">Q1 2022-Q2 2024 (table); Q2 2026 (text: ~110 bps favorable)</t>
  </si>
  <si>
    <t xml:space="preserve">Table discontinued after Q2 2024 release. From Q4 2025, FX impact disclosed on non-GAAP operating margin instead (bps).</t>
  </si>
  <si>
    <t xml:space="preserve">Whole-percent precision in tables (+/-50 bps). No FX impact disclosed for revenue Q3 2024-Q1 2026.</t>
  </si>
  <si>
    <t xml:space="preserve">Separate operating-expense line from Q2 2026: non-cash impairment of operating lease ROU assets (10,678) and leasehold improvements / other fixed assets (10,758) for Israel office space originally secured for planned workforce expansion. July 22, 2026 plan: ~20% workforce reduction; expected net charges ~$45-55M (severance/benefits ~$30-35M, office impairment ~$30-35M, offset by ~$15M non-cash SBC credits), mostly in H2 2026; up to ~$5M possibly in Q1 2027 (H1 2026 MD&amp;A).</t>
  </si>
  <si>
    <t xml:space="preserve">ER-2026Q2; H1FS-2026; H1MDA-2026; 6K-20260722-RESTR</t>
  </si>
  <si>
    <t xml:space="preserve">Release income statement and reconciliation footnote (1); interim FS notes; 6-K Explanatory Note</t>
  </si>
  <si>
    <t xml:space="preserve">Q2 2026 onward</t>
  </si>
  <si>
    <t xml:space="preserve">The H1 2026 FS note describes the Q2 office decision as prior to and independent of the July Plan, while the MD&amp;A links the charges to the Plan (wording inconsistency).</t>
  </si>
  <si>
    <t xml:space="preserve">Restructuring cash payments not disclosed; severance not explicitly labelled cash.</t>
  </si>
  <si>
    <t xml:space="preserve">Sales commissions / contract acquisition costs</t>
  </si>
  <si>
    <t xml:space="preserve">Sales commissions earned by external partners and internal salespersons are capitalized as incremental costs of obtaining contracts and amortized straight-line over an estimated three-year period of benefit.</t>
  </si>
  <si>
    <t xml:space="preserve">20F-FY2025; H1FS-2025; H1MDA-2025/2026</t>
  </si>
  <si>
    <t xml:space="preserve">20-F Item 18 Note 2 (contract costs); Item 5 S&amp;M discussion</t>
  </si>
  <si>
    <t xml:space="preserve">Change in commissions model reflected in FY2025</t>
  </si>
  <si>
    <t xml:space="preserve">FY2025 20-F: "sales related commissions as a percentage of revenue were approximately 2%, 5% and 6%" for 2025, 2024, 2023 - "related to changes in our commissions model"; partner commission expense decreased "due to capitalization".</t>
  </si>
  <si>
    <t xml:space="preserve">S&amp;M expense (GAAP and non-GAAP) in 2025+ is not directly comparable with prior years because more commission cost is capitalized and amortized.</t>
  </si>
  <si>
    <t xml:space="preserve">Cost of revenue / gross margin</t>
  </si>
  <si>
    <t xml:space="preserve">Cost of revenue includes hosting and, per the FY2025 20-F, AI-related infrastructure and compute costs.</t>
  </si>
  <si>
    <t xml:space="preserve">Item 5 Components of results of operations</t>
  </si>
  <si>
    <t xml:space="preserve">FY2025 disclosure</t>
  </si>
  <si>
    <t xml:space="preserve">FY2025 20-F: "we expect our gross margin to decline modestly in the mid-term" as AI adoption increases compute costs.</t>
  </si>
  <si>
    <t xml:space="preserve">Management expectation only; recorded as context, not a planning assumption.</t>
  </si>
  <si>
    <t xml:space="preserve">Builders group (R&amp;D + product)</t>
  </si>
  <si>
    <t xml:space="preserve">"Our research and development ("R&amp;D") group, together with our product and product design groups, which we also refer to as our "builders group" ..."</t>
  </si>
  <si>
    <t xml:space="preserve">20F-FY2022..FY2025</t>
  </si>
  <si>
    <t xml:space="preserve">Item 4.B Research and development</t>
  </si>
  <si>
    <t xml:space="preserve">Year-end headcount counts per 20-F</t>
  </si>
  <si>
    <t xml:space="preserve">Scope wording expanded in FY2023 to include product design.</t>
  </si>
  <si>
    <t xml:space="preserve">Year-end only; not a department headcount series.</t>
  </si>
  <si>
    <t xml:space="preserve">Annualized revenue run rate</t>
  </si>
  <si>
    <t xml:space="preserve">"Annualized revenue run rate is calculated as our Q4, 2023 revenue multiplied by four."</t>
  </si>
  <si>
    <t xml:space="preserve">Item 5 FY-23 overview in numbers, footnote (1)</t>
  </si>
  <si>
    <t xml:space="preserve">FY2023 20-F only</t>
  </si>
  <si>
    <t xml:space="preserve">Not ARR; do not substitute for ARR.</t>
  </si>
  <si>
    <t xml:space="preserve">"The Company has a single operating and reportable segment." CODM: the two Co-CEOs; consolidated net income used (ASU 2023-07 disclosures from 2024).</t>
  </si>
  <si>
    <t xml:space="preserve">20F-FY2021..FY2025; H1FS-2025/2026</t>
  </si>
  <si>
    <t xml:space="preserve">Notes to financial statements</t>
  </si>
  <si>
    <t xml:space="preserve">Segment expense disclosures added 2024.</t>
  </si>
  <si>
    <t xml:space="preserve">No product-level P&amp;L.</t>
  </si>
  <si>
    <t xml:space="preserve">Check ID</t>
  </si>
  <si>
    <t xml:space="preserve">Group</t>
  </si>
  <si>
    <t xml:space="preserve">Description</t>
  </si>
  <si>
    <t xml:space="preserve">Periods</t>
  </si>
  <si>
    <t xml:space="preserve">Formula (as text)</t>
  </si>
  <si>
    <t xml:space="preserve">Result (difference)</t>
  </si>
  <si>
    <t xml:space="preserve">Status</t>
  </si>
  <si>
    <t xml:space="preserve">Tolerance</t>
  </si>
  <si>
    <t xml:space="preserve">Explanation if FAIL</t>
  </si>
  <si>
    <t xml:space="preserve">CK-0001</t>
  </si>
  <si>
    <t xml:space="preserve">Income statement identity</t>
  </si>
  <si>
    <t xml:space="preserve">Revenue - Cost of revenue - Gross profit (GAAP) = 0</t>
  </si>
  <si>
    <t xml:space="preserve">Quarterly_Actuals!H2-Quarterly_Actuals!H40-Quarterly_Actuals!H78</t>
  </si>
  <si>
    <t xml:space="preserve">CK-0002</t>
  </si>
  <si>
    <t xml:space="preserve">Gross profit (GAAP) - Total operating expenses - Operating income (GAAP) = 0</t>
  </si>
  <si>
    <t xml:space="preserve">Quarterly_Actuals!H78-Quarterly_Actuals!H270-Quarterly_Actuals!H308</t>
  </si>
  <si>
    <t xml:space="preserve">CK-0003</t>
  </si>
  <si>
    <t xml:space="preserve">R&amp;D + S&amp;M + G&amp;A (+ restructuring where presented) - Total operating expenses (GAAP) = 0</t>
  </si>
  <si>
    <t xml:space="preserve">Quarterly_Actuals!H154+Quarterly_Actuals!H192+Quarterly_Actuals!H230-Quarterly_Actuals!H270</t>
  </si>
  <si>
    <t xml:space="preserve">CK-0004</t>
  </si>
  <si>
    <t xml:space="preserve">Cash flow identity</t>
  </si>
  <si>
    <t xml:space="preserve">Net cash from operating activities (FCF reconciliation) - Net cash from operating activities (cash flow statement) = 0</t>
  </si>
  <si>
    <t xml:space="preserve">Reconciliations!H26-Quarterly_Actuals!H930</t>
  </si>
  <si>
    <t xml:space="preserve">CK-0005</t>
  </si>
  <si>
    <t xml:space="preserve">OCF + purchase of PP&amp;E + capitalized software (+ HQ build-out add-back) - adjusted FCF/FCF as reported = 0</t>
  </si>
  <si>
    <t xml:space="preserve">Quarterly_Actuals!H930+Quarterly_Actuals!H968+Quarterly_Actuals!H1006+Quarterly_Actuals!H1044-Quarterly_Actuals!H1068</t>
  </si>
  <si>
    <t xml:space="preserve">CK-0006</t>
  </si>
  <si>
    <t xml:space="preserve">SBC consistency</t>
  </si>
  <si>
    <t xml:space="preserve">SBC total per non-GAAP operating income reconciliation - SBC per cash flow statement = 0</t>
  </si>
  <si>
    <t xml:space="preserve">Quarterly_Actuals!H834-Quarterly_Actuals!H872</t>
  </si>
  <si>
    <t xml:space="preserve">CK-0007</t>
  </si>
  <si>
    <t xml:space="preserve">Reported vs derived margin</t>
  </si>
  <si>
    <t xml:space="preserve">Gross margin (GAAP): ROUND(derived margin, whole %) - reported margin = 0</t>
  </si>
  <si>
    <t xml:space="preserve">ROUND(Quarterly_Actuals!H422,2)-Quarterly_Actuals!H116</t>
  </si>
  <si>
    <t xml:space="preserve">CK-0008</t>
  </si>
  <si>
    <t xml:space="preserve">Gross margin (non-GAAP): ROUND(derived margin, whole %) - reported margin = 0</t>
  </si>
  <si>
    <t xml:space="preserve">ROUND(Quarterly_Actuals!H780,2)-Quarterly_Actuals!H514</t>
  </si>
  <si>
    <t xml:space="preserve">CK-0009</t>
  </si>
  <si>
    <t xml:space="preserve">Operating margin (GAAP): ROUND(derived margin, whole %) - reported margin = 0</t>
  </si>
  <si>
    <t xml:space="preserve">ROUND(Quarterly_Actuals!H449,2)-Quarterly_Actuals!H346</t>
  </si>
  <si>
    <t xml:space="preserve">CK-0010</t>
  </si>
  <si>
    <t xml:space="preserve">Operating margin (non-GAAP): ROUND(derived margin, whole %) - reported margin = 0</t>
  </si>
  <si>
    <t xml:space="preserve">ROUND(Quarterly_Actuals!H807,2)-Quarterly_Actuals!H704</t>
  </si>
  <si>
    <t xml:space="preserve">CK-0011</t>
  </si>
  <si>
    <t xml:space="preserve">Quarterly_Actuals!H3-Quarterly_Actuals!H41-Quarterly_Actuals!H79</t>
  </si>
  <si>
    <t xml:space="preserve">CK-0012</t>
  </si>
  <si>
    <t xml:space="preserve">Quarterly_Actuals!H79-Quarterly_Actuals!H271-Quarterly_Actuals!H309</t>
  </si>
  <si>
    <t xml:space="preserve">CK-0013</t>
  </si>
  <si>
    <t xml:space="preserve">Quarterly_Actuals!H155+Quarterly_Actuals!H193+Quarterly_Actuals!H231-Quarterly_Actuals!H271</t>
  </si>
  <si>
    <t xml:space="preserve">CK-0014</t>
  </si>
  <si>
    <t xml:space="preserve">Reconciliations!H53-Quarterly_Actuals!H931</t>
  </si>
  <si>
    <t xml:space="preserve">CK-0015</t>
  </si>
  <si>
    <t xml:space="preserve">Quarterly_Actuals!H931+Quarterly_Actuals!H969+Quarterly_Actuals!H1007+Quarterly_Actuals!H1045-Quarterly_Actuals!H1069</t>
  </si>
  <si>
    <t xml:space="preserve">CK-0016</t>
  </si>
  <si>
    <t xml:space="preserve">Quarterly_Actuals!H835-Quarterly_Actuals!H873</t>
  </si>
  <si>
    <t xml:space="preserve">CK-0017</t>
  </si>
  <si>
    <t xml:space="preserve">ROUND(Quarterly_Actuals!H423,2)-Quarterly_Actuals!H117</t>
  </si>
  <si>
    <t xml:space="preserve">CK-0018</t>
  </si>
  <si>
    <t xml:space="preserve">ROUND(Quarterly_Actuals!H781,2)-Quarterly_Actuals!H515</t>
  </si>
  <si>
    <t xml:space="preserve">CK-0019</t>
  </si>
  <si>
    <t xml:space="preserve">ROUND(Quarterly_Actuals!H450,2)-Quarterly_Actuals!H347</t>
  </si>
  <si>
    <t xml:space="preserve">CK-0020</t>
  </si>
  <si>
    <t xml:space="preserve">ROUND(Quarterly_Actuals!H808,2)-Quarterly_Actuals!H705</t>
  </si>
  <si>
    <t xml:space="preserve">CK-0021</t>
  </si>
  <si>
    <t xml:space="preserve">Quarterly_Actuals!H5-Quarterly_Actuals!H43-Quarterly_Actuals!H81</t>
  </si>
  <si>
    <t xml:space="preserve">CK-0022</t>
  </si>
  <si>
    <t xml:space="preserve">Quarterly_Actuals!H81-Quarterly_Actuals!H273-Quarterly_Actuals!H311</t>
  </si>
  <si>
    <t xml:space="preserve">CK-0023</t>
  </si>
  <si>
    <t xml:space="preserve">Quarterly_Actuals!H157+Quarterly_Actuals!H195+Quarterly_Actuals!H233-Quarterly_Actuals!H273</t>
  </si>
  <si>
    <t xml:space="preserve">CK-0024</t>
  </si>
  <si>
    <t xml:space="preserve">Reconciliations!H82-Quarterly_Actuals!H933</t>
  </si>
  <si>
    <t xml:space="preserve">CK-0025</t>
  </si>
  <si>
    <t xml:space="preserve">Quarterly_Actuals!H933+Quarterly_Actuals!H971+Quarterly_Actuals!H1009+Quarterly_Actuals!H1047-Quarterly_Actuals!H1071</t>
  </si>
  <si>
    <t xml:space="preserve">CK-0026</t>
  </si>
  <si>
    <t xml:space="preserve">Quarterly_Actuals!H837-Quarterly_Actuals!H875</t>
  </si>
  <si>
    <t xml:space="preserve">CK-0027</t>
  </si>
  <si>
    <t xml:space="preserve">ROUND(Quarterly_Actuals!H424,2)-Quarterly_Actuals!H119</t>
  </si>
  <si>
    <t xml:space="preserve">CK-0028</t>
  </si>
  <si>
    <t xml:space="preserve">ROUND(Quarterly_Actuals!H782,2)-Quarterly_Actuals!H517</t>
  </si>
  <si>
    <t xml:space="preserve">CK-0029</t>
  </si>
  <si>
    <t xml:space="preserve">ROUND(Quarterly_Actuals!H451,2)-Quarterly_Actuals!H349</t>
  </si>
  <si>
    <t xml:space="preserve">CK-0030</t>
  </si>
  <si>
    <t xml:space="preserve">ROUND(Quarterly_Actuals!H809,2)-Quarterly_Actuals!H707</t>
  </si>
  <si>
    <t xml:space="preserve">CK-0031</t>
  </si>
  <si>
    <t xml:space="preserve">Quarterly_Actuals!H7-Quarterly_Actuals!H45-Quarterly_Actuals!H83</t>
  </si>
  <si>
    <t xml:space="preserve">CK-0032</t>
  </si>
  <si>
    <t xml:space="preserve">Quarterly_Actuals!H83-Quarterly_Actuals!H275-Quarterly_Actuals!H313</t>
  </si>
  <si>
    <t xml:space="preserve">CK-0033</t>
  </si>
  <si>
    <t xml:space="preserve">Quarterly_Actuals!H159+Quarterly_Actuals!H197+Quarterly_Actuals!H235-Quarterly_Actuals!H275</t>
  </si>
  <si>
    <t xml:space="preserve">CK-0034</t>
  </si>
  <si>
    <t xml:space="preserve">Reconciliations!H111-Quarterly_Actuals!H935</t>
  </si>
  <si>
    <t xml:space="preserve">CK-0035</t>
  </si>
  <si>
    <t xml:space="preserve">Quarterly_Actuals!H935+Quarterly_Actuals!H973+Quarterly_Actuals!H1011+Quarterly_Actuals!H1049-Quarterly_Actuals!H1073</t>
  </si>
  <si>
    <t xml:space="preserve">CK-0036</t>
  </si>
  <si>
    <t xml:space="preserve">Quarterly_Actuals!H839-Quarterly_Actuals!H877</t>
  </si>
  <si>
    <t xml:space="preserve">CK-0037</t>
  </si>
  <si>
    <t xml:space="preserve">ROUND(Quarterly_Actuals!H425,2)-Quarterly_Actuals!H121</t>
  </si>
  <si>
    <t xml:space="preserve">CK-0038</t>
  </si>
  <si>
    <t xml:space="preserve">ROUND(Quarterly_Actuals!H783,2)-Quarterly_Actuals!H519</t>
  </si>
  <si>
    <t xml:space="preserve">CK-0039</t>
  </si>
  <si>
    <t xml:space="preserve">ROUND(Quarterly_Actuals!H452,2)-Quarterly_Actuals!H351</t>
  </si>
  <si>
    <t xml:space="preserve">CK-0040</t>
  </si>
  <si>
    <t xml:space="preserve">ROUND(Quarterly_Actuals!H810,2)-Quarterly_Actuals!H709</t>
  </si>
  <si>
    <t xml:space="preserve">CK-0041</t>
  </si>
  <si>
    <t xml:space="preserve">Quarterly_Actuals!H8-Quarterly_Actuals!H46-Quarterly_Actuals!H84</t>
  </si>
  <si>
    <t xml:space="preserve">CK-0042</t>
  </si>
  <si>
    <t xml:space="preserve">Quarterly_Actuals!H84-Quarterly_Actuals!H276-Quarterly_Actuals!H314</t>
  </si>
  <si>
    <t xml:space="preserve">CK-0043</t>
  </si>
  <si>
    <t xml:space="preserve">Quarterly_Actuals!H160+Quarterly_Actuals!H198+Quarterly_Actuals!H236-Quarterly_Actuals!H276</t>
  </si>
  <si>
    <t xml:space="preserve">CK-0044</t>
  </si>
  <si>
    <t xml:space="preserve">Reconciliations!H140-Quarterly_Actuals!H936</t>
  </si>
  <si>
    <t xml:space="preserve">CK-0045</t>
  </si>
  <si>
    <t xml:space="preserve">Quarterly_Actuals!H936+Quarterly_Actuals!H974+Quarterly_Actuals!H1012+Quarterly_Actuals!H1050-Quarterly_Actuals!H1074</t>
  </si>
  <si>
    <t xml:space="preserve">CK-0046</t>
  </si>
  <si>
    <t xml:space="preserve">Quarterly_Actuals!H840-Quarterly_Actuals!H878</t>
  </si>
  <si>
    <t xml:space="preserve">CK-0047</t>
  </si>
  <si>
    <t xml:space="preserve">ROUND(Quarterly_Actuals!H426,2)-Quarterly_Actuals!H122</t>
  </si>
  <si>
    <t xml:space="preserve">CK-0048</t>
  </si>
  <si>
    <t xml:space="preserve">ROUND(Quarterly_Actuals!H784,2)-Quarterly_Actuals!H520</t>
  </si>
  <si>
    <t xml:space="preserve">CK-0049</t>
  </si>
  <si>
    <t xml:space="preserve">ROUND(Quarterly_Actuals!H453,2)-Quarterly_Actuals!H352</t>
  </si>
  <si>
    <t xml:space="preserve">CK-0050</t>
  </si>
  <si>
    <t xml:space="preserve">ROUND(Quarterly_Actuals!H811,2)-Quarterly_Actuals!H710</t>
  </si>
  <si>
    <t xml:space="preserve">CK-0051</t>
  </si>
  <si>
    <t xml:space="preserve">Quarterly_Actuals!H9-Quarterly_Actuals!H47-Quarterly_Actuals!H85</t>
  </si>
  <si>
    <t xml:space="preserve">CK-0052</t>
  </si>
  <si>
    <t xml:space="preserve">Quarterly_Actuals!H85-Quarterly_Actuals!H277-Quarterly_Actuals!H315</t>
  </si>
  <si>
    <t xml:space="preserve">CK-0053</t>
  </si>
  <si>
    <t xml:space="preserve">Quarterly_Actuals!H161+Quarterly_Actuals!H199+Quarterly_Actuals!H237-Quarterly_Actuals!H277</t>
  </si>
  <si>
    <t xml:space="preserve">CK-0054</t>
  </si>
  <si>
    <t xml:space="preserve">Reconciliations!H169-Quarterly_Actuals!H937</t>
  </si>
  <si>
    <t xml:space="preserve">CK-0055</t>
  </si>
  <si>
    <t xml:space="preserve">Quarterly_Actuals!H937+Quarterly_Actuals!H975+Quarterly_Actuals!H1013+Quarterly_Actuals!H1051-Quarterly_Actuals!H1075</t>
  </si>
  <si>
    <t xml:space="preserve">CK-0056</t>
  </si>
  <si>
    <t xml:space="preserve">Quarterly_Actuals!H841-Quarterly_Actuals!H879</t>
  </si>
  <si>
    <t xml:space="preserve">CK-0057</t>
  </si>
  <si>
    <t xml:space="preserve">ROUND(Quarterly_Actuals!H427,2)-Quarterly_Actuals!H123</t>
  </si>
  <si>
    <t xml:space="preserve">CK-0058</t>
  </si>
  <si>
    <t xml:space="preserve">ROUND(Quarterly_Actuals!H785,2)-Quarterly_Actuals!H521</t>
  </si>
  <si>
    <t xml:space="preserve">CK-0059</t>
  </si>
  <si>
    <t xml:space="preserve">ROUND(Quarterly_Actuals!H454,2)-Quarterly_Actuals!H353</t>
  </si>
  <si>
    <t xml:space="preserve">CK-0060</t>
  </si>
  <si>
    <t xml:space="preserve">ROUND(Quarterly_Actuals!H812,2)-Quarterly_Actuals!H711</t>
  </si>
  <si>
    <t xml:space="preserve">CK-0061</t>
  </si>
  <si>
    <t xml:space="preserve">Quarterly_Actuals!H10-Quarterly_Actuals!H48-Quarterly_Actuals!H86</t>
  </si>
  <si>
    <t xml:space="preserve">CK-0062</t>
  </si>
  <si>
    <t xml:space="preserve">Quarterly_Actuals!H86-Quarterly_Actuals!H278-Quarterly_Actuals!H316</t>
  </si>
  <si>
    <t xml:space="preserve">CK-0063</t>
  </si>
  <si>
    <t xml:space="preserve">Quarterly_Actuals!H162+Quarterly_Actuals!H200+Quarterly_Actuals!H238-Quarterly_Actuals!H278</t>
  </si>
  <si>
    <t xml:space="preserve">CK-0064</t>
  </si>
  <si>
    <t xml:space="preserve">Reconciliations!H198-Quarterly_Actuals!H938</t>
  </si>
  <si>
    <t xml:space="preserve">CK-0065</t>
  </si>
  <si>
    <t xml:space="preserve">Quarterly_Actuals!H938+Quarterly_Actuals!H976+Quarterly_Actuals!H1014+Quarterly_Actuals!H1052-Quarterly_Actuals!H1076</t>
  </si>
  <si>
    <t xml:space="preserve">CK-0066</t>
  </si>
  <si>
    <t xml:space="preserve">Quarterly_Actuals!H842-Quarterly_Actuals!H880</t>
  </si>
  <si>
    <t xml:space="preserve">CK-0067</t>
  </si>
  <si>
    <t xml:space="preserve">ROUND(Quarterly_Actuals!H428,2)-Quarterly_Actuals!H124</t>
  </si>
  <si>
    <t xml:space="preserve">CK-0068</t>
  </si>
  <si>
    <t xml:space="preserve">ROUND(Quarterly_Actuals!H786,2)-Quarterly_Actuals!H522</t>
  </si>
  <si>
    <t xml:space="preserve">CK-0069</t>
  </si>
  <si>
    <t xml:space="preserve">ROUND(Quarterly_Actuals!H455,2)-Quarterly_Actuals!H354</t>
  </si>
  <si>
    <t xml:space="preserve">CK-0070</t>
  </si>
  <si>
    <t xml:space="preserve">ROUND(Quarterly_Actuals!H813,2)-Quarterly_Actuals!H712</t>
  </si>
  <si>
    <t xml:space="preserve">CK-0071</t>
  </si>
  <si>
    <t xml:space="preserve">Quarterly_Actuals!H12-Quarterly_Actuals!H50-Quarterly_Actuals!H88</t>
  </si>
  <si>
    <t xml:space="preserve">CK-0072</t>
  </si>
  <si>
    <t xml:space="preserve">Quarterly_Actuals!H88-Quarterly_Actuals!H280-Quarterly_Actuals!H318</t>
  </si>
  <si>
    <t xml:space="preserve">CK-0073</t>
  </si>
  <si>
    <t xml:space="preserve">Quarterly_Actuals!H164+Quarterly_Actuals!H202+Quarterly_Actuals!H240-Quarterly_Actuals!H280</t>
  </si>
  <si>
    <t xml:space="preserve">CK-0074</t>
  </si>
  <si>
    <t xml:space="preserve">Reconciliations!H227-Quarterly_Actuals!H940</t>
  </si>
  <si>
    <t xml:space="preserve">CK-0075</t>
  </si>
  <si>
    <t xml:space="preserve">Quarterly_Actuals!H940+Quarterly_Actuals!H978+Quarterly_Actuals!H1016+Quarterly_Actuals!H1054-Quarterly_Actuals!H1078</t>
  </si>
  <si>
    <t xml:space="preserve">CK-0076</t>
  </si>
  <si>
    <t xml:space="preserve">Quarterly_Actuals!H844-Quarterly_Actuals!H882</t>
  </si>
  <si>
    <t xml:space="preserve">CK-0077</t>
  </si>
  <si>
    <t xml:space="preserve">ROUND(Quarterly_Actuals!H429,2)-Quarterly_Actuals!H126</t>
  </si>
  <si>
    <t xml:space="preserve">CK-0078</t>
  </si>
  <si>
    <t xml:space="preserve">ROUND(Quarterly_Actuals!H787,2)-Quarterly_Actuals!H524</t>
  </si>
  <si>
    <t xml:space="preserve">CK-0079</t>
  </si>
  <si>
    <t xml:space="preserve">ROUND(Quarterly_Actuals!H456,2)-Quarterly_Actuals!H356</t>
  </si>
  <si>
    <t xml:space="preserve">CK-0080</t>
  </si>
  <si>
    <t xml:space="preserve">ROUND(Quarterly_Actuals!H814,2)-Quarterly_Actuals!H714</t>
  </si>
  <si>
    <t xml:space="preserve">CK-0081</t>
  </si>
  <si>
    <t xml:space="preserve">FCF margin: ROUND(derived margin, whole %) - reported margin = 0</t>
  </si>
  <si>
    <t xml:space="preserve">ROUND(Quarterly_Actuals!H1179,2)-Quarterly_Actuals!H1106</t>
  </si>
  <si>
    <t xml:space="preserve">CK-0082</t>
  </si>
  <si>
    <t xml:space="preserve">Quarterly_Actuals!H14-Quarterly_Actuals!H52-Quarterly_Actuals!H90</t>
  </si>
  <si>
    <t xml:space="preserve">CK-0083</t>
  </si>
  <si>
    <t xml:space="preserve">Quarterly_Actuals!H90-Quarterly_Actuals!H282-Quarterly_Actuals!H320</t>
  </si>
  <si>
    <t xml:space="preserve">CK-0084</t>
  </si>
  <si>
    <t xml:space="preserve">Quarterly_Actuals!H166+Quarterly_Actuals!H204+Quarterly_Actuals!H242-Quarterly_Actuals!H282</t>
  </si>
  <si>
    <t xml:space="preserve">CK-0085</t>
  </si>
  <si>
    <t xml:space="preserve">Reconciliations!H256-Quarterly_Actuals!H942</t>
  </si>
  <si>
    <t xml:space="preserve">CK-0086</t>
  </si>
  <si>
    <t xml:space="preserve">Quarterly_Actuals!H942+Quarterly_Actuals!H980+Quarterly_Actuals!H1018+Quarterly_Actuals!H1056-Quarterly_Actuals!H1080</t>
  </si>
  <si>
    <t xml:space="preserve">CK-0087</t>
  </si>
  <si>
    <t xml:space="preserve">Quarterly_Actuals!H846-Quarterly_Actuals!H884</t>
  </si>
  <si>
    <t xml:space="preserve">CK-0088</t>
  </si>
  <si>
    <t xml:space="preserve">ROUND(Quarterly_Actuals!H430,2)-Quarterly_Actuals!H128</t>
  </si>
  <si>
    <t xml:space="preserve">CK-0089</t>
  </si>
  <si>
    <t xml:space="preserve">ROUND(Quarterly_Actuals!H788,2)-Quarterly_Actuals!H526</t>
  </si>
  <si>
    <t xml:space="preserve">CK-0090</t>
  </si>
  <si>
    <t xml:space="preserve">ROUND(Quarterly_Actuals!H457,2)-Quarterly_Actuals!H358</t>
  </si>
  <si>
    <t xml:space="preserve">CK-0091</t>
  </si>
  <si>
    <t xml:space="preserve">ROUND(Quarterly_Actuals!H815,2)-Quarterly_Actuals!H716</t>
  </si>
  <si>
    <t xml:space="preserve">CK-0092</t>
  </si>
  <si>
    <t xml:space="preserve">ROUND(Quarterly_Actuals!H1180,2)-Quarterly_Actuals!H1108</t>
  </si>
  <si>
    <t xml:space="preserve">CK-0093</t>
  </si>
  <si>
    <t xml:space="preserve">Quarterly_Actuals!H15-Quarterly_Actuals!H53-Quarterly_Actuals!H91</t>
  </si>
  <si>
    <t xml:space="preserve">CK-0094</t>
  </si>
  <si>
    <t xml:space="preserve">Quarterly_Actuals!H91-Quarterly_Actuals!H283-Quarterly_Actuals!H321</t>
  </si>
  <si>
    <t xml:space="preserve">CK-0095</t>
  </si>
  <si>
    <t xml:space="preserve">Quarterly_Actuals!H167+Quarterly_Actuals!H205+Quarterly_Actuals!H243-Quarterly_Actuals!H283</t>
  </si>
  <si>
    <t xml:space="preserve">CK-0096</t>
  </si>
  <si>
    <t xml:space="preserve">Reconciliations!H285-Quarterly_Actuals!H943</t>
  </si>
  <si>
    <t xml:space="preserve">CK-0097</t>
  </si>
  <si>
    <t xml:space="preserve">Quarterly_Actuals!H943+Quarterly_Actuals!H981+Quarterly_Actuals!H1019+Quarterly_Actuals!H1057-Quarterly_Actuals!H1081</t>
  </si>
  <si>
    <t xml:space="preserve">CK-0098</t>
  </si>
  <si>
    <t xml:space="preserve">Quarterly_Actuals!H847-Quarterly_Actuals!H885</t>
  </si>
  <si>
    <t xml:space="preserve">CK-0099</t>
  </si>
  <si>
    <t xml:space="preserve">ROUND(Quarterly_Actuals!H431,2)-Quarterly_Actuals!H129</t>
  </si>
  <si>
    <t xml:space="preserve">CK-0100</t>
  </si>
  <si>
    <t xml:space="preserve">ROUND(Quarterly_Actuals!H789,2)-Quarterly_Actuals!H527</t>
  </si>
  <si>
    <t xml:space="preserve">CK-0101</t>
  </si>
  <si>
    <t xml:space="preserve">ROUND(Quarterly_Actuals!H458,2)-Quarterly_Actuals!H359</t>
  </si>
  <si>
    <t xml:space="preserve">CK-0102</t>
  </si>
  <si>
    <t xml:space="preserve">ROUND(Quarterly_Actuals!H816,2)-Quarterly_Actuals!H717</t>
  </si>
  <si>
    <t xml:space="preserve">CK-0103</t>
  </si>
  <si>
    <t xml:space="preserve">ROUND(Quarterly_Actuals!H1181,2)-Quarterly_Actuals!H1109</t>
  </si>
  <si>
    <t xml:space="preserve">CK-0104</t>
  </si>
  <si>
    <t xml:space="preserve">Quarterly_Actuals!H16-Quarterly_Actuals!H54-Quarterly_Actuals!H92</t>
  </si>
  <si>
    <t xml:space="preserve">CK-0105</t>
  </si>
  <si>
    <t xml:space="preserve">Quarterly_Actuals!H92-Quarterly_Actuals!H284-Quarterly_Actuals!H322</t>
  </si>
  <si>
    <t xml:space="preserve">CK-0106</t>
  </si>
  <si>
    <t xml:space="preserve">Quarterly_Actuals!H168+Quarterly_Actuals!H206+Quarterly_Actuals!H244-Quarterly_Actuals!H284</t>
  </si>
  <si>
    <t xml:space="preserve">CK-0107</t>
  </si>
  <si>
    <t xml:space="preserve">Reconciliations!H309-Quarterly_Actuals!H944</t>
  </si>
  <si>
    <t xml:space="preserve">CK-0108</t>
  </si>
  <si>
    <t xml:space="preserve">Quarterly_Actuals!H944+Quarterly_Actuals!H982+Quarterly_Actuals!H1020-Quarterly_Actuals!H1082</t>
  </si>
  <si>
    <t xml:space="preserve">CK-0109</t>
  </si>
  <si>
    <t xml:space="preserve">Quarterly_Actuals!H848-Quarterly_Actuals!H886</t>
  </si>
  <si>
    <t xml:space="preserve">CK-0110</t>
  </si>
  <si>
    <t xml:space="preserve">ROUND(Quarterly_Actuals!H432,2)-Quarterly_Actuals!H130</t>
  </si>
  <si>
    <t xml:space="preserve">CK-0111</t>
  </si>
  <si>
    <t xml:space="preserve">ROUND(Quarterly_Actuals!H790,2)-Quarterly_Actuals!H528</t>
  </si>
  <si>
    <t xml:space="preserve">CK-0112</t>
  </si>
  <si>
    <t xml:space="preserve">ROUND(Quarterly_Actuals!H459,2)-Quarterly_Actuals!H360</t>
  </si>
  <si>
    <t xml:space="preserve">CK-0113</t>
  </si>
  <si>
    <t xml:space="preserve">ROUND(Quarterly_Actuals!H817,2)-Quarterly_Actuals!H718</t>
  </si>
  <si>
    <t xml:space="preserve">CK-0114</t>
  </si>
  <si>
    <t xml:space="preserve">ROUND(Quarterly_Actuals!H1182,2)-Quarterly_Actuals!H1110</t>
  </si>
  <si>
    <t xml:space="preserve">CK-0115</t>
  </si>
  <si>
    <t xml:space="preserve">Quarterly_Actuals!H17-Quarterly_Actuals!H55-Quarterly_Actuals!H93</t>
  </si>
  <si>
    <t xml:space="preserve">CK-0116</t>
  </si>
  <si>
    <t xml:space="preserve">Quarterly_Actuals!H93-Quarterly_Actuals!H285-Quarterly_Actuals!H323</t>
  </si>
  <si>
    <t xml:space="preserve">CK-0117</t>
  </si>
  <si>
    <t xml:space="preserve">Quarterly_Actuals!H169+Quarterly_Actuals!H207+Quarterly_Actuals!H245-Quarterly_Actuals!H285</t>
  </si>
  <si>
    <t xml:space="preserve">CK-0118</t>
  </si>
  <si>
    <t xml:space="preserve">Reconciliations!H332-Quarterly_Actuals!H945</t>
  </si>
  <si>
    <t xml:space="preserve">CK-0119</t>
  </si>
  <si>
    <t xml:space="preserve">Quarterly_Actuals!H945+Quarterly_Actuals!H983+Quarterly_Actuals!H1021-Quarterly_Actuals!H1083</t>
  </si>
  <si>
    <t xml:space="preserve">CK-0120</t>
  </si>
  <si>
    <t xml:space="preserve">Quarterly_Actuals!H849-Quarterly_Actuals!H887</t>
  </si>
  <si>
    <t xml:space="preserve">CK-0121</t>
  </si>
  <si>
    <t xml:space="preserve">ROUND(Quarterly_Actuals!H433,2)-Quarterly_Actuals!H131</t>
  </si>
  <si>
    <t xml:space="preserve">CK-0122</t>
  </si>
  <si>
    <t xml:space="preserve">ROUND(Quarterly_Actuals!H791,2)-Quarterly_Actuals!H529</t>
  </si>
  <si>
    <t xml:space="preserve">CK-0123</t>
  </si>
  <si>
    <t xml:space="preserve">ROUND(Quarterly_Actuals!H460,2)-Quarterly_Actuals!H361</t>
  </si>
  <si>
    <t xml:space="preserve">CK-0124</t>
  </si>
  <si>
    <t xml:space="preserve">ROUND(Quarterly_Actuals!H818,2)-Quarterly_Actuals!H719</t>
  </si>
  <si>
    <t xml:space="preserve">CK-0125</t>
  </si>
  <si>
    <t xml:space="preserve">ROUND(Quarterly_Actuals!H1183,2)-Quarterly_Actuals!H1111</t>
  </si>
  <si>
    <t xml:space="preserve">CK-0126</t>
  </si>
  <si>
    <t xml:space="preserve">Quarterly_Actuals!H19-Quarterly_Actuals!H57-Quarterly_Actuals!H95</t>
  </si>
  <si>
    <t xml:space="preserve">CK-0127</t>
  </si>
  <si>
    <t xml:space="preserve">Quarterly_Actuals!H95-Quarterly_Actuals!H287-Quarterly_Actuals!H325</t>
  </si>
  <si>
    <t xml:space="preserve">CK-0128</t>
  </si>
  <si>
    <t xml:space="preserve">Quarterly_Actuals!H171+Quarterly_Actuals!H209+Quarterly_Actuals!H247-Quarterly_Actuals!H287</t>
  </si>
  <si>
    <t xml:space="preserve">CK-0129</t>
  </si>
  <si>
    <t xml:space="preserve">Reconciliations!H355-Quarterly_Actuals!H947</t>
  </si>
  <si>
    <t xml:space="preserve">CK-0130</t>
  </si>
  <si>
    <t xml:space="preserve">Quarterly_Actuals!H947+Quarterly_Actuals!H985+Quarterly_Actuals!H1023-Quarterly_Actuals!H1085</t>
  </si>
  <si>
    <t xml:space="preserve">CK-0131</t>
  </si>
  <si>
    <t xml:space="preserve">Quarterly_Actuals!H851-Quarterly_Actuals!H889</t>
  </si>
  <si>
    <t xml:space="preserve">CK-0132</t>
  </si>
  <si>
    <t xml:space="preserve">ROUND(Quarterly_Actuals!H434,2)-Quarterly_Actuals!H133</t>
  </si>
  <si>
    <t xml:space="preserve">CK-0133</t>
  </si>
  <si>
    <t xml:space="preserve">ROUND(Quarterly_Actuals!H792,2)-Quarterly_Actuals!H531</t>
  </si>
  <si>
    <t xml:space="preserve">CK-0134</t>
  </si>
  <si>
    <t xml:space="preserve">ROUND(Quarterly_Actuals!H461,2)-Quarterly_Actuals!H363</t>
  </si>
  <si>
    <t xml:space="preserve">CK-0135</t>
  </si>
  <si>
    <t xml:space="preserve">ROUND(Quarterly_Actuals!H819,2)-Quarterly_Actuals!H721</t>
  </si>
  <si>
    <t xml:space="preserve">CK-0136</t>
  </si>
  <si>
    <t xml:space="preserve">ROUND(Quarterly_Actuals!H1184,2)-Quarterly_Actuals!H1113</t>
  </si>
  <si>
    <t xml:space="preserve">CK-0137</t>
  </si>
  <si>
    <t xml:space="preserve">Quarterly_Actuals!H21-Quarterly_Actuals!H59-Quarterly_Actuals!H97</t>
  </si>
  <si>
    <t xml:space="preserve">CK-0138</t>
  </si>
  <si>
    <t xml:space="preserve">Quarterly_Actuals!H97-Quarterly_Actuals!H289-Quarterly_Actuals!H327</t>
  </si>
  <si>
    <t xml:space="preserve">CK-0139</t>
  </si>
  <si>
    <t xml:space="preserve">Quarterly_Actuals!H173+Quarterly_Actuals!H211+Quarterly_Actuals!H249-Quarterly_Actuals!H289</t>
  </si>
  <si>
    <t xml:space="preserve">CK-0140</t>
  </si>
  <si>
    <t xml:space="preserve">Reconciliations!H378-Quarterly_Actuals!H949</t>
  </si>
  <si>
    <t xml:space="preserve">CK-0141</t>
  </si>
  <si>
    <t xml:space="preserve">Quarterly_Actuals!H949+Quarterly_Actuals!H987+Quarterly_Actuals!H1025-Quarterly_Actuals!H1087</t>
  </si>
  <si>
    <t xml:space="preserve">CK-0142</t>
  </si>
  <si>
    <t xml:space="preserve">Quarterly_Actuals!H853-Quarterly_Actuals!H891</t>
  </si>
  <si>
    <t xml:space="preserve">CK-0143</t>
  </si>
  <si>
    <t xml:space="preserve">ROUND(Quarterly_Actuals!H435,2)-Quarterly_Actuals!H135</t>
  </si>
  <si>
    <t xml:space="preserve">CK-0144</t>
  </si>
  <si>
    <t xml:space="preserve">ROUND(Quarterly_Actuals!H793,2)-Quarterly_Actuals!H533</t>
  </si>
  <si>
    <t xml:space="preserve">CK-0145</t>
  </si>
  <si>
    <t xml:space="preserve">ROUND(Quarterly_Actuals!H462,2)-Quarterly_Actuals!H365</t>
  </si>
  <si>
    <t xml:space="preserve">CK-0146</t>
  </si>
  <si>
    <t xml:space="preserve">ROUND(Quarterly_Actuals!H820,2)-Quarterly_Actuals!H723</t>
  </si>
  <si>
    <t xml:space="preserve">CK-0147</t>
  </si>
  <si>
    <t xml:space="preserve">ROUND(Quarterly_Actuals!H1185,2)-Quarterly_Actuals!H1115</t>
  </si>
  <si>
    <t xml:space="preserve">CK-0148</t>
  </si>
  <si>
    <t xml:space="preserve">Quarterly_Actuals!H22-Quarterly_Actuals!H60-Quarterly_Actuals!H98</t>
  </si>
  <si>
    <t xml:space="preserve">CK-0149</t>
  </si>
  <si>
    <t xml:space="preserve">Quarterly_Actuals!H98-Quarterly_Actuals!H290-Quarterly_Actuals!H328</t>
  </si>
  <si>
    <t xml:space="preserve">CK-0150</t>
  </si>
  <si>
    <t xml:space="preserve">Quarterly_Actuals!H174+Quarterly_Actuals!H212+Quarterly_Actuals!H250-Quarterly_Actuals!H290</t>
  </si>
  <si>
    <t xml:space="preserve">CK-0151</t>
  </si>
  <si>
    <t xml:space="preserve">Reconciliations!H401-Quarterly_Actuals!H950</t>
  </si>
  <si>
    <t xml:space="preserve">CK-0152</t>
  </si>
  <si>
    <t xml:space="preserve">Quarterly_Actuals!H950+Quarterly_Actuals!H988+Quarterly_Actuals!H1026-Quarterly_Actuals!H1088</t>
  </si>
  <si>
    <t xml:space="preserve">CK-0153</t>
  </si>
  <si>
    <t xml:space="preserve">Quarterly_Actuals!H854-Quarterly_Actuals!H892</t>
  </si>
  <si>
    <t xml:space="preserve">CK-0154</t>
  </si>
  <si>
    <t xml:space="preserve">ROUND(Quarterly_Actuals!H436,2)-Quarterly_Actuals!H136</t>
  </si>
  <si>
    <t xml:space="preserve">CK-0155</t>
  </si>
  <si>
    <t xml:space="preserve">ROUND(Quarterly_Actuals!H794,2)-Quarterly_Actuals!H534</t>
  </si>
  <si>
    <t xml:space="preserve">CK-0156</t>
  </si>
  <si>
    <t xml:space="preserve">ROUND(Quarterly_Actuals!H463,2)-Quarterly_Actuals!H366</t>
  </si>
  <si>
    <t xml:space="preserve">CK-0157</t>
  </si>
  <si>
    <t xml:space="preserve">ROUND(Quarterly_Actuals!H821,2)-Quarterly_Actuals!H724</t>
  </si>
  <si>
    <t xml:space="preserve">CK-0158</t>
  </si>
  <si>
    <t xml:space="preserve">ROUND(Quarterly_Actuals!H1186,2)-Quarterly_Actuals!H1116</t>
  </si>
  <si>
    <t xml:space="preserve">CK-0159</t>
  </si>
  <si>
    <t xml:space="preserve">Quarterly_Actuals!H23-Quarterly_Actuals!H61-Quarterly_Actuals!H99</t>
  </si>
  <si>
    <t xml:space="preserve">CK-0160</t>
  </si>
  <si>
    <t xml:space="preserve">Quarterly_Actuals!H99-Quarterly_Actuals!H291-Quarterly_Actuals!H329</t>
  </si>
  <si>
    <t xml:space="preserve">CK-0161</t>
  </si>
  <si>
    <t xml:space="preserve">Quarterly_Actuals!H175+Quarterly_Actuals!H213+Quarterly_Actuals!H251-Quarterly_Actuals!H291</t>
  </si>
  <si>
    <t xml:space="preserve">CK-0162</t>
  </si>
  <si>
    <t xml:space="preserve">Reconciliations!H424-Quarterly_Actuals!H951</t>
  </si>
  <si>
    <t xml:space="preserve">CK-0163</t>
  </si>
  <si>
    <t xml:space="preserve">Quarterly_Actuals!H951+Quarterly_Actuals!H989+Quarterly_Actuals!H1027-Quarterly_Actuals!H1089</t>
  </si>
  <si>
    <t xml:space="preserve">CK-0164</t>
  </si>
  <si>
    <t xml:space="preserve">Quarterly_Actuals!H855-Quarterly_Actuals!H893</t>
  </si>
  <si>
    <t xml:space="preserve">CK-0165</t>
  </si>
  <si>
    <t xml:space="preserve">ROUND(Quarterly_Actuals!H437,2)-Quarterly_Actuals!H137</t>
  </si>
  <si>
    <t xml:space="preserve">CK-0166</t>
  </si>
  <si>
    <t xml:space="preserve">ROUND(Quarterly_Actuals!H795,2)-Quarterly_Actuals!H535</t>
  </si>
  <si>
    <t xml:space="preserve">CK-0167</t>
  </si>
  <si>
    <t xml:space="preserve">ROUND(Quarterly_Actuals!H464,2)-Quarterly_Actuals!H367</t>
  </si>
  <si>
    <t xml:space="preserve">CK-0168</t>
  </si>
  <si>
    <t xml:space="preserve">ROUND(Quarterly_Actuals!H822,2)-Quarterly_Actuals!H725</t>
  </si>
  <si>
    <t xml:space="preserve">CK-0169</t>
  </si>
  <si>
    <t xml:space="preserve">ROUND(Quarterly_Actuals!H1187,2)-Quarterly_Actuals!H1117</t>
  </si>
  <si>
    <t xml:space="preserve">CK-0170</t>
  </si>
  <si>
    <t xml:space="preserve">Quarterly_Actuals!H24-Quarterly_Actuals!H62-Quarterly_Actuals!H100</t>
  </si>
  <si>
    <t xml:space="preserve">CK-0171</t>
  </si>
  <si>
    <t xml:space="preserve">Quarterly_Actuals!H100-Quarterly_Actuals!H292-Quarterly_Actuals!H330</t>
  </si>
  <si>
    <t xml:space="preserve">CK-0172</t>
  </si>
  <si>
    <t xml:space="preserve">Quarterly_Actuals!H176+Quarterly_Actuals!H214+Quarterly_Actuals!H252-Quarterly_Actuals!H292</t>
  </si>
  <si>
    <t xml:space="preserve">CK-0173</t>
  </si>
  <si>
    <t xml:space="preserve">Reconciliations!H447-Quarterly_Actuals!H952</t>
  </si>
  <si>
    <t xml:space="preserve">CK-0174</t>
  </si>
  <si>
    <t xml:space="preserve">Quarterly_Actuals!H952+Quarterly_Actuals!H990+Quarterly_Actuals!H1028-Quarterly_Actuals!H1090</t>
  </si>
  <si>
    <t xml:space="preserve">CK-0175</t>
  </si>
  <si>
    <t xml:space="preserve">Quarterly_Actuals!H856-Quarterly_Actuals!H894</t>
  </si>
  <si>
    <t xml:space="preserve">CK-0176</t>
  </si>
  <si>
    <t xml:space="preserve">ROUND(Quarterly_Actuals!H438,2)-Quarterly_Actuals!H138</t>
  </si>
  <si>
    <t xml:space="preserve">CK-0177</t>
  </si>
  <si>
    <t xml:space="preserve">ROUND(Quarterly_Actuals!H796,2)-Quarterly_Actuals!H536</t>
  </si>
  <si>
    <t xml:space="preserve">CK-0178</t>
  </si>
  <si>
    <t xml:space="preserve">ROUND(Quarterly_Actuals!H465,2)-Quarterly_Actuals!H368</t>
  </si>
  <si>
    <t xml:space="preserve">CK-0179</t>
  </si>
  <si>
    <t xml:space="preserve">ROUND(Quarterly_Actuals!H823,2)-Quarterly_Actuals!H726</t>
  </si>
  <si>
    <t xml:space="preserve">CK-0180</t>
  </si>
  <si>
    <t xml:space="preserve">ROUND(Quarterly_Actuals!H1188,2)-Quarterly_Actuals!H1118</t>
  </si>
  <si>
    <t xml:space="preserve">CK-0181</t>
  </si>
  <si>
    <t xml:space="preserve">Quarterly_Actuals!H26-Quarterly_Actuals!H64-Quarterly_Actuals!H102</t>
  </si>
  <si>
    <t xml:space="preserve">CK-0182</t>
  </si>
  <si>
    <t xml:space="preserve">Quarterly_Actuals!H102-Quarterly_Actuals!H294-Quarterly_Actuals!H332</t>
  </si>
  <si>
    <t xml:space="preserve">CK-0183</t>
  </si>
  <si>
    <t xml:space="preserve">Quarterly_Actuals!H178+Quarterly_Actuals!H216+Quarterly_Actuals!H254-Quarterly_Actuals!H294</t>
  </si>
  <si>
    <t xml:space="preserve">CK-0184</t>
  </si>
  <si>
    <t xml:space="preserve">Reconciliations!H473-Quarterly_Actuals!H954</t>
  </si>
  <si>
    <t xml:space="preserve">CK-0185</t>
  </si>
  <si>
    <t xml:space="preserve">Quarterly_Actuals!H954+Quarterly_Actuals!H992+Quarterly_Actuals!H1030-Quarterly_Actuals!H1092</t>
  </si>
  <si>
    <t xml:space="preserve">CK-0186</t>
  </si>
  <si>
    <t xml:space="preserve">Quarterly_Actuals!H858-Quarterly_Actuals!H896</t>
  </si>
  <si>
    <t xml:space="preserve">CK-0187</t>
  </si>
  <si>
    <t xml:space="preserve">ROUND(Quarterly_Actuals!H439,2)-Quarterly_Actuals!H140</t>
  </si>
  <si>
    <t xml:space="preserve">CK-0188</t>
  </si>
  <si>
    <t xml:space="preserve">ROUND(Quarterly_Actuals!H797,2)-Quarterly_Actuals!H538</t>
  </si>
  <si>
    <t xml:space="preserve">CK-0189</t>
  </si>
  <si>
    <t xml:space="preserve">ROUND(Quarterly_Actuals!H466,2)-Quarterly_Actuals!H370</t>
  </si>
  <si>
    <t xml:space="preserve">CK-0190</t>
  </si>
  <si>
    <t xml:space="preserve">ROUND(Quarterly_Actuals!H824,2)-Quarterly_Actuals!H728</t>
  </si>
  <si>
    <t xml:space="preserve">CK-0191</t>
  </si>
  <si>
    <t xml:space="preserve">ROUND(Quarterly_Actuals!H1189,2)-Quarterly_Actuals!H1120</t>
  </si>
  <si>
    <t xml:space="preserve">CK-0192</t>
  </si>
  <si>
    <t xml:space="preserve">Quarterly_Actuals!H28-Quarterly_Actuals!H66-Quarterly_Actuals!H104</t>
  </si>
  <si>
    <t xml:space="preserve">CK-0193</t>
  </si>
  <si>
    <t xml:space="preserve">Quarterly_Actuals!H104-Quarterly_Actuals!H296-Quarterly_Actuals!H334</t>
  </si>
  <si>
    <t xml:space="preserve">CK-0194</t>
  </si>
  <si>
    <t xml:space="preserve">Quarterly_Actuals!H180+Quarterly_Actuals!H218+Quarterly_Actuals!H256-Quarterly_Actuals!H296</t>
  </si>
  <si>
    <t xml:space="preserve">CK-0195</t>
  </si>
  <si>
    <t xml:space="preserve">Reconciliations!H499-Quarterly_Actuals!H956</t>
  </si>
  <si>
    <t xml:space="preserve">CK-0196</t>
  </si>
  <si>
    <t xml:space="preserve">Quarterly_Actuals!H956+Quarterly_Actuals!H994+Quarterly_Actuals!H1032-Quarterly_Actuals!H1094</t>
  </si>
  <si>
    <t xml:space="preserve">CK-0197</t>
  </si>
  <si>
    <t xml:space="preserve">Quarterly_Actuals!H860-Quarterly_Actuals!H898</t>
  </si>
  <si>
    <t xml:space="preserve">CK-0198</t>
  </si>
  <si>
    <t xml:space="preserve">ROUND(Quarterly_Actuals!H440,2)-Quarterly_Actuals!H142</t>
  </si>
  <si>
    <t xml:space="preserve">CK-0199</t>
  </si>
  <si>
    <t xml:space="preserve">ROUND(Quarterly_Actuals!H798,2)-Quarterly_Actuals!H540</t>
  </si>
  <si>
    <t xml:space="preserve">CK-0200</t>
  </si>
  <si>
    <t xml:space="preserve">ROUND(Quarterly_Actuals!H467,2)-Quarterly_Actuals!H372</t>
  </si>
  <si>
    <t xml:space="preserve">CK-0201</t>
  </si>
  <si>
    <t xml:space="preserve">ROUND(Quarterly_Actuals!H825,2)-Quarterly_Actuals!H730</t>
  </si>
  <si>
    <t xml:space="preserve">CK-0202</t>
  </si>
  <si>
    <t xml:space="preserve">ROUND(Quarterly_Actuals!H1190,2)-Quarterly_Actuals!H1122</t>
  </si>
  <si>
    <t xml:space="preserve">CK-0203</t>
  </si>
  <si>
    <t xml:space="preserve">Quarterly_Actuals!H29-Quarterly_Actuals!H67-Quarterly_Actuals!H105</t>
  </si>
  <si>
    <t xml:space="preserve">CK-0204</t>
  </si>
  <si>
    <t xml:space="preserve">Quarterly_Actuals!H105-Quarterly_Actuals!H297-Quarterly_Actuals!H335</t>
  </si>
  <si>
    <t xml:space="preserve">CK-0205</t>
  </si>
  <si>
    <t xml:space="preserve">Quarterly_Actuals!H181+Quarterly_Actuals!H219+Quarterly_Actuals!H257-Quarterly_Actuals!H297</t>
  </si>
  <si>
    <t xml:space="preserve">CK-0206</t>
  </si>
  <si>
    <t xml:space="preserve">Reconciliations!H525-Quarterly_Actuals!H957</t>
  </si>
  <si>
    <t xml:space="preserve">CK-0207</t>
  </si>
  <si>
    <t xml:space="preserve">Quarterly_Actuals!H957+Quarterly_Actuals!H995+Quarterly_Actuals!H1033-Quarterly_Actuals!H1095</t>
  </si>
  <si>
    <t xml:space="preserve">CK-0208</t>
  </si>
  <si>
    <t xml:space="preserve">Quarterly_Actuals!H861-Quarterly_Actuals!H899</t>
  </si>
  <si>
    <t xml:space="preserve">CK-0209</t>
  </si>
  <si>
    <t xml:space="preserve">ROUND(Quarterly_Actuals!H441,2)-Quarterly_Actuals!H143</t>
  </si>
  <si>
    <t xml:space="preserve">CK-0210</t>
  </si>
  <si>
    <t xml:space="preserve">ROUND(Quarterly_Actuals!H799,2)-Quarterly_Actuals!H541</t>
  </si>
  <si>
    <t xml:space="preserve">CK-0211</t>
  </si>
  <si>
    <t xml:space="preserve">ROUND(Quarterly_Actuals!H468,2)-Quarterly_Actuals!H373</t>
  </si>
  <si>
    <t xml:space="preserve">CK-0212</t>
  </si>
  <si>
    <t xml:space="preserve">ROUND(Quarterly_Actuals!H826,2)-Quarterly_Actuals!H731</t>
  </si>
  <si>
    <t xml:space="preserve">CK-0213</t>
  </si>
  <si>
    <t xml:space="preserve">ROUND(Quarterly_Actuals!H1191,2)-Quarterly_Actuals!H1123</t>
  </si>
  <si>
    <t xml:space="preserve">CK-0214</t>
  </si>
  <si>
    <t xml:space="preserve">Quarterly_Actuals!H30-Quarterly_Actuals!H68-Quarterly_Actuals!H106</t>
  </si>
  <si>
    <t xml:space="preserve">CK-0215</t>
  </si>
  <si>
    <t xml:space="preserve">Quarterly_Actuals!H106-Quarterly_Actuals!H298-Quarterly_Actuals!H336</t>
  </si>
  <si>
    <t xml:space="preserve">CK-0216</t>
  </si>
  <si>
    <t xml:space="preserve">Quarterly_Actuals!H182+Quarterly_Actuals!H220+Quarterly_Actuals!H258-Quarterly_Actuals!H298</t>
  </si>
  <si>
    <t xml:space="preserve">CK-0217</t>
  </si>
  <si>
    <t xml:space="preserve">Reconciliations!H548-Quarterly_Actuals!H958</t>
  </si>
  <si>
    <t xml:space="preserve">CK-0218</t>
  </si>
  <si>
    <t xml:space="preserve">Quarterly_Actuals!H958+Quarterly_Actuals!H996+Quarterly_Actuals!H1034+Quarterly_Actuals!H1058-Quarterly_Actuals!H1096</t>
  </si>
  <si>
    <t xml:space="preserve">CK-0219</t>
  </si>
  <si>
    <t xml:space="preserve">Quarterly_Actuals!H862-Quarterly_Actuals!H900</t>
  </si>
  <si>
    <t xml:space="preserve">CK-0220</t>
  </si>
  <si>
    <t xml:space="preserve">ROUND(Quarterly_Actuals!H442,2)-Quarterly_Actuals!H144</t>
  </si>
  <si>
    <t xml:space="preserve">CK-0221</t>
  </si>
  <si>
    <t xml:space="preserve">ROUND(Quarterly_Actuals!H800,2)-Quarterly_Actuals!H542</t>
  </si>
  <si>
    <t xml:space="preserve">CK-0222</t>
  </si>
  <si>
    <t xml:space="preserve">ROUND(Quarterly_Actuals!H469,2)-Quarterly_Actuals!H374</t>
  </si>
  <si>
    <t xml:space="preserve">CK-0223</t>
  </si>
  <si>
    <t xml:space="preserve">ROUND(Quarterly_Actuals!H827,2)-Quarterly_Actuals!H732</t>
  </si>
  <si>
    <t xml:space="preserve">CK-0224</t>
  </si>
  <si>
    <t xml:space="preserve">ROUND(Quarterly_Actuals!H1192,2)-Quarterly_Actuals!H1124</t>
  </si>
  <si>
    <t xml:space="preserve">CK-0225</t>
  </si>
  <si>
    <t xml:space="preserve">Quarterly_Actuals!H31-Quarterly_Actuals!H69-Quarterly_Actuals!H107</t>
  </si>
  <si>
    <t xml:space="preserve">CK-0226</t>
  </si>
  <si>
    <t xml:space="preserve">Quarterly_Actuals!H107-Quarterly_Actuals!H299-Quarterly_Actuals!H337</t>
  </si>
  <si>
    <t xml:space="preserve">CK-0227</t>
  </si>
  <si>
    <t xml:space="preserve">Quarterly_Actuals!H183+Quarterly_Actuals!H221+Quarterly_Actuals!H259-Quarterly_Actuals!H299</t>
  </si>
  <si>
    <t xml:space="preserve">CK-0228</t>
  </si>
  <si>
    <t xml:space="preserve">Reconciliations!H572-Quarterly_Actuals!H959</t>
  </si>
  <si>
    <t xml:space="preserve">CK-0229</t>
  </si>
  <si>
    <t xml:space="preserve">Quarterly_Actuals!H959+Quarterly_Actuals!H997+Quarterly_Actuals!H1035+Quarterly_Actuals!H1059-Quarterly_Actuals!H1097</t>
  </si>
  <si>
    <t xml:space="preserve">CK-0230</t>
  </si>
  <si>
    <t xml:space="preserve">Quarterly_Actuals!H863-Quarterly_Actuals!H901</t>
  </si>
  <si>
    <t xml:space="preserve">CK-0231</t>
  </si>
  <si>
    <t xml:space="preserve">ROUND(Quarterly_Actuals!H443,2)-Quarterly_Actuals!H145</t>
  </si>
  <si>
    <t xml:space="preserve">CK-0232</t>
  </si>
  <si>
    <t xml:space="preserve">ROUND(Quarterly_Actuals!H801,2)-Quarterly_Actuals!H543</t>
  </si>
  <si>
    <t xml:space="preserve">CK-0233</t>
  </si>
  <si>
    <t xml:space="preserve">ROUND(Quarterly_Actuals!H470,2)-Quarterly_Actuals!H375</t>
  </si>
  <si>
    <t xml:space="preserve">CK-0234</t>
  </si>
  <si>
    <t xml:space="preserve">ROUND(Quarterly_Actuals!H828,2)-Quarterly_Actuals!H733</t>
  </si>
  <si>
    <t xml:space="preserve">CK-0235</t>
  </si>
  <si>
    <t xml:space="preserve">ROUND(Quarterly_Actuals!H1193,2)-Quarterly_Actuals!H1125</t>
  </si>
  <si>
    <t xml:space="preserve">CK-0236</t>
  </si>
  <si>
    <t xml:space="preserve">Quarterly_Actuals!H33-Quarterly_Actuals!H71-Quarterly_Actuals!H109</t>
  </si>
  <si>
    <t xml:space="preserve">CK-0237</t>
  </si>
  <si>
    <t xml:space="preserve">Quarterly_Actuals!H109-Quarterly_Actuals!H301-Quarterly_Actuals!H339</t>
  </si>
  <si>
    <t xml:space="preserve">CK-0238</t>
  </si>
  <si>
    <t xml:space="preserve">Quarterly_Actuals!H185+Quarterly_Actuals!H223+Quarterly_Actuals!H261-Quarterly_Actuals!H301</t>
  </si>
  <si>
    <t xml:space="preserve">CK-0239</t>
  </si>
  <si>
    <t xml:space="preserve">Reconciliations!H599-Quarterly_Actuals!H961</t>
  </si>
  <si>
    <t xml:space="preserve">CK-0240</t>
  </si>
  <si>
    <t xml:space="preserve">Quarterly_Actuals!H961+Quarterly_Actuals!H999+Quarterly_Actuals!H1037+Quarterly_Actuals!H1061-Quarterly_Actuals!H1099</t>
  </si>
  <si>
    <t xml:space="preserve">CK-0241</t>
  </si>
  <si>
    <t xml:space="preserve">Quarterly_Actuals!H865-Quarterly_Actuals!H903</t>
  </si>
  <si>
    <t xml:space="preserve">CK-0242</t>
  </si>
  <si>
    <t xml:space="preserve">ROUND(Quarterly_Actuals!H444,2)-Quarterly_Actuals!H147</t>
  </si>
  <si>
    <t xml:space="preserve">CK-0243</t>
  </si>
  <si>
    <t xml:space="preserve">ROUND(Quarterly_Actuals!H802,2)-Quarterly_Actuals!H545</t>
  </si>
  <si>
    <t xml:space="preserve">CK-0244</t>
  </si>
  <si>
    <t xml:space="preserve">ROUND(Quarterly_Actuals!H471,2)-Quarterly_Actuals!H377</t>
  </si>
  <si>
    <t xml:space="preserve">CK-0245</t>
  </si>
  <si>
    <t xml:space="preserve">ROUND(Quarterly_Actuals!H829,2)-Quarterly_Actuals!H735</t>
  </si>
  <si>
    <t xml:space="preserve">CK-0246</t>
  </si>
  <si>
    <t xml:space="preserve">ROUND(Quarterly_Actuals!H1194,2)-Quarterly_Actuals!H1127</t>
  </si>
  <si>
    <t xml:space="preserve">CK-0247</t>
  </si>
  <si>
    <t xml:space="preserve">Quarterly_Actuals!H35-Quarterly_Actuals!H73-Quarterly_Actuals!H111</t>
  </si>
  <si>
    <t xml:space="preserve">CK-0248</t>
  </si>
  <si>
    <t xml:space="preserve">Quarterly_Actuals!H111-Quarterly_Actuals!H303-Quarterly_Actuals!H341</t>
  </si>
  <si>
    <t xml:space="preserve">CK-0249</t>
  </si>
  <si>
    <t xml:space="preserve">Quarterly_Actuals!H187+Quarterly_Actuals!H225+Quarterly_Actuals!H263-Quarterly_Actuals!H303</t>
  </si>
  <si>
    <t xml:space="preserve">CK-0250</t>
  </si>
  <si>
    <t xml:space="preserve">Reconciliations!H627-Quarterly_Actuals!H963</t>
  </si>
  <si>
    <t xml:space="preserve">CK-0251</t>
  </si>
  <si>
    <t xml:space="preserve">Quarterly_Actuals!H963+Quarterly_Actuals!H1001+Quarterly_Actuals!H1039+Quarterly_Actuals!H1063-Quarterly_Actuals!H1101</t>
  </si>
  <si>
    <t xml:space="preserve">CK-0252</t>
  </si>
  <si>
    <t xml:space="preserve">Quarterly_Actuals!H867-Quarterly_Actuals!H905</t>
  </si>
  <si>
    <t xml:space="preserve">CK-0253</t>
  </si>
  <si>
    <t xml:space="preserve">ROUND(Quarterly_Actuals!H445,2)-Quarterly_Actuals!H149</t>
  </si>
  <si>
    <t xml:space="preserve">CK-0254</t>
  </si>
  <si>
    <t xml:space="preserve">ROUND(Quarterly_Actuals!H803,2)-Quarterly_Actuals!H547</t>
  </si>
  <si>
    <t xml:space="preserve">CK-0255</t>
  </si>
  <si>
    <t xml:space="preserve">ROUND(Quarterly_Actuals!H472,2)-Quarterly_Actuals!H379</t>
  </si>
  <si>
    <t xml:space="preserve">CK-0256</t>
  </si>
  <si>
    <t xml:space="preserve">ROUND(Quarterly_Actuals!H830,2)-Quarterly_Actuals!H737</t>
  </si>
  <si>
    <t xml:space="preserve">CK-0257</t>
  </si>
  <si>
    <t xml:space="preserve">ROUND(Quarterly_Actuals!H1195,2)-Quarterly_Actuals!H1129</t>
  </si>
  <si>
    <t xml:space="preserve">CK-0258</t>
  </si>
  <si>
    <t xml:space="preserve">Quarterly_Actuals!H36-Quarterly_Actuals!H74-Quarterly_Actuals!H112</t>
  </si>
  <si>
    <t xml:space="preserve">CK-0259</t>
  </si>
  <si>
    <t xml:space="preserve">Quarterly_Actuals!H112-Quarterly_Actuals!H304-Quarterly_Actuals!H342</t>
  </si>
  <si>
    <t xml:space="preserve">CK-0260</t>
  </si>
  <si>
    <t xml:space="preserve">Quarterly_Actuals!H188+Quarterly_Actuals!H226+Quarterly_Actuals!H264-Quarterly_Actuals!H304</t>
  </si>
  <si>
    <t xml:space="preserve">CK-0261</t>
  </si>
  <si>
    <t xml:space="preserve">Reconciliations!H655-Quarterly_Actuals!H964</t>
  </si>
  <si>
    <t xml:space="preserve">CK-0262</t>
  </si>
  <si>
    <t xml:space="preserve">Quarterly_Actuals!H964+Quarterly_Actuals!H1002+Quarterly_Actuals!H1040+Quarterly_Actuals!H1064-Quarterly_Actuals!H1102</t>
  </si>
  <si>
    <t xml:space="preserve">CK-0263</t>
  </si>
  <si>
    <t xml:space="preserve">Quarterly_Actuals!H868-Quarterly_Actuals!H906</t>
  </si>
  <si>
    <t xml:space="preserve">CK-0264</t>
  </si>
  <si>
    <t xml:space="preserve">ROUND(Quarterly_Actuals!H446,2)-Quarterly_Actuals!H150</t>
  </si>
  <si>
    <t xml:space="preserve">CK-0265</t>
  </si>
  <si>
    <t xml:space="preserve">ROUND(Quarterly_Actuals!H804,2)-Quarterly_Actuals!H548</t>
  </si>
  <si>
    <t xml:space="preserve">CK-0266</t>
  </si>
  <si>
    <t xml:space="preserve">ROUND(Quarterly_Actuals!H473,2)-Quarterly_Actuals!H380</t>
  </si>
  <si>
    <t xml:space="preserve">CK-0267</t>
  </si>
  <si>
    <t xml:space="preserve">ROUND(Quarterly_Actuals!H831,2)-Quarterly_Actuals!H738</t>
  </si>
  <si>
    <t xml:space="preserve">CK-0268</t>
  </si>
  <si>
    <t xml:space="preserve">ROUND(Quarterly_Actuals!H1196,2)-Quarterly_Actuals!H1130</t>
  </si>
  <si>
    <t xml:space="preserve">CK-0269</t>
  </si>
  <si>
    <t xml:space="preserve">Quarterly_Actuals!H37-Quarterly_Actuals!H75-Quarterly_Actuals!H113</t>
  </si>
  <si>
    <t xml:space="preserve">CK-0270</t>
  </si>
  <si>
    <t xml:space="preserve">Quarterly_Actuals!H113-Quarterly_Actuals!H305-Quarterly_Actuals!H343</t>
  </si>
  <si>
    <t xml:space="preserve">CK-0271</t>
  </si>
  <si>
    <t xml:space="preserve">Quarterly_Actuals!H189+Quarterly_Actuals!H227+Quarterly_Actuals!H265-Quarterly_Actuals!H305</t>
  </si>
  <si>
    <t xml:space="preserve">CK-0272</t>
  </si>
  <si>
    <t xml:space="preserve">Reconciliations!H679-Quarterly_Actuals!H965</t>
  </si>
  <si>
    <t xml:space="preserve">CK-0273</t>
  </si>
  <si>
    <t xml:space="preserve">Quarterly_Actuals!H965+Quarterly_Actuals!H1003+Quarterly_Actuals!H1041+Quarterly_Actuals!H1065-Quarterly_Actuals!H1103</t>
  </si>
  <si>
    <t xml:space="preserve">CK-0274</t>
  </si>
  <si>
    <t xml:space="preserve">Quarterly_Actuals!H869-Quarterly_Actuals!H907</t>
  </si>
  <si>
    <t xml:space="preserve">CK-0275</t>
  </si>
  <si>
    <t xml:space="preserve">ROUND(Quarterly_Actuals!H447,2)-Quarterly_Actuals!H151</t>
  </si>
  <si>
    <t xml:space="preserve">CK-0276</t>
  </si>
  <si>
    <t xml:space="preserve">ROUND(Quarterly_Actuals!H805,2)-Quarterly_Actuals!H549</t>
  </si>
  <si>
    <t xml:space="preserve">CK-0277</t>
  </si>
  <si>
    <t xml:space="preserve">ROUND(Quarterly_Actuals!H474,2)-Quarterly_Actuals!H381</t>
  </si>
  <si>
    <t xml:space="preserve">CK-0278</t>
  </si>
  <si>
    <t xml:space="preserve">ROUND(Quarterly_Actuals!H832,2)-Quarterly_Actuals!H739</t>
  </si>
  <si>
    <t xml:space="preserve">CK-0279</t>
  </si>
  <si>
    <t xml:space="preserve">ROUND(Quarterly_Actuals!H1197,2)-Quarterly_Actuals!H1131</t>
  </si>
  <si>
    <t xml:space="preserve">CK-0280</t>
  </si>
  <si>
    <t xml:space="preserve">Quarterly_Actuals!H38-Quarterly_Actuals!H76-Quarterly_Actuals!H114</t>
  </si>
  <si>
    <t xml:space="preserve">CK-0281</t>
  </si>
  <si>
    <t xml:space="preserve">Quarterly_Actuals!H114-Quarterly_Actuals!H306-Quarterly_Actuals!H344</t>
  </si>
  <si>
    <t xml:space="preserve">CK-0282</t>
  </si>
  <si>
    <t xml:space="preserve">Quarterly_Actuals!H190+Quarterly_Actuals!H228+Quarterly_Actuals!H266+Quarterly_Actuals!H268-Quarterly_Actuals!H306</t>
  </si>
  <si>
    <t xml:space="preserve">CK-0283</t>
  </si>
  <si>
    <t xml:space="preserve">Reconciliations!H705-Quarterly_Actuals!H966</t>
  </si>
  <si>
    <t xml:space="preserve">CK-0284</t>
  </si>
  <si>
    <t xml:space="preserve">Quarterly_Actuals!H966+Quarterly_Actuals!H1004+Quarterly_Actuals!H1042+Quarterly_Actuals!H1066-Quarterly_Actuals!H1104</t>
  </si>
  <si>
    <t xml:space="preserve">CK-0285</t>
  </si>
  <si>
    <t xml:space="preserve">Quarterly_Actuals!H870-Quarterly_Actuals!H908</t>
  </si>
  <si>
    <t xml:space="preserve">CK-0286</t>
  </si>
  <si>
    <t xml:space="preserve">ROUND(Quarterly_Actuals!H448,2)-Quarterly_Actuals!H152</t>
  </si>
  <si>
    <t xml:space="preserve">CK-0287</t>
  </si>
  <si>
    <t xml:space="preserve">ROUND(Quarterly_Actuals!H806,2)-Quarterly_Actuals!H550</t>
  </si>
  <si>
    <t xml:space="preserve">CK-0288</t>
  </si>
  <si>
    <t xml:space="preserve">ROUND(Quarterly_Actuals!H475,2)-Quarterly_Actuals!H382</t>
  </si>
  <si>
    <t xml:space="preserve">CK-0289</t>
  </si>
  <si>
    <t xml:space="preserve">ROUND(Quarterly_Actuals!H833,2)-Quarterly_Actuals!H740</t>
  </si>
  <si>
    <t xml:space="preserve">CK-0290</t>
  </si>
  <si>
    <t xml:space="preserve">ROUND(Quarterly_Actuals!H1198,2)-Quarterly_Actuals!H1132</t>
  </si>
  <si>
    <t xml:space="preserve">CK-0291</t>
  </si>
  <si>
    <t xml:space="preserve">GAAP to non-GAAP reconciliation</t>
  </si>
  <si>
    <t xml:space="preserve">GAAP gross profit + disclosed adjustments - Non-GAAP gross profit = 0 (Reconciliation of gross profit and gross margin)</t>
  </si>
  <si>
    <t xml:space="preserve">SUM(Reconciliations!H2:H3)-Reconciliations!H4</t>
  </si>
  <si>
    <t xml:space="preserve">CK-0292</t>
  </si>
  <si>
    <t xml:space="preserve">GAAP research and development + disclosed adjustments - Non-GAAP research and development = 0 (Reconciliation of operating expenses)</t>
  </si>
  <si>
    <t xml:space="preserve">SUM(Reconciliations!H5:H6)-Reconciliations!H7</t>
  </si>
  <si>
    <t xml:space="preserve">CK-0293</t>
  </si>
  <si>
    <t xml:space="preserve">GAAP sales and marketing + disclosed adjustments - Non-GAAP sales and marketing = 0 (Reconciliation of operating expenses)</t>
  </si>
  <si>
    <t xml:space="preserve">SUM(Reconciliations!H8:H9)-Reconciliations!H10</t>
  </si>
  <si>
    <t xml:space="preserve">CK-0294</t>
  </si>
  <si>
    <t xml:space="preserve">GAAP general and administrative + disclosed adjustments - Non-GAAP general and administrative = 0 (Reconciliation of operating expenses)</t>
  </si>
  <si>
    <t xml:space="preserve">SUM(Reconciliations!H11:H12)-Reconciliations!H13</t>
  </si>
  <si>
    <t xml:space="preserve">CK-0295</t>
  </si>
  <si>
    <t xml:space="preserve">GAAP operating loss + disclosed adjustments - Non-GAAP operating loss = 0 (Reconciliation of operating loss)</t>
  </si>
  <si>
    <t xml:space="preserve">SUM(Reconciliations!H14:H15)-Reconciliations!H16</t>
  </si>
  <si>
    <t xml:space="preserve">CK-0296</t>
  </si>
  <si>
    <t xml:space="preserve">GAAP net loss + disclosed adjustments - Non-GAAP net loss = 0 (Reconciliation of operating loss)</t>
  </si>
  <si>
    <t xml:space="preserve">SUM(Reconciliations!H17:H19)-Reconciliations!H20</t>
  </si>
  <si>
    <t xml:space="preserve">CK-0297</t>
  </si>
  <si>
    <t xml:space="preserve">GAAP net loss attributable to ordinary shareholders + disclosed adjustments - Non-GAAP net loss = 0 (Reconciliation of net loss attributable to ordinary shareholders)</t>
  </si>
  <si>
    <t xml:space="preserve">SUM(Reconciliations!H21:H24)-Reconciliations!H25</t>
  </si>
  <si>
    <t xml:space="preserve">CK-0298</t>
  </si>
  <si>
    <t xml:space="preserve">Net cash used in operating activities + disclosed adjustments - Adjusted free cash flow = 0 (Reconciliation of net cash provided by (used in) operating activities to (adjusted) free cash flow)</t>
  </si>
  <si>
    <t xml:space="preserve">SUM(Reconciliations!H26:H29)-Reconciliations!H30</t>
  </si>
  <si>
    <t xml:space="preserve">CK-0299</t>
  </si>
  <si>
    <t xml:space="preserve">SUM(Reconciliations!H31:H32)-Reconciliations!H33</t>
  </si>
  <si>
    <t xml:space="preserve">CK-0300</t>
  </si>
  <si>
    <t xml:space="preserve">SUM(Reconciliations!H34:H35)-Reconciliations!H36</t>
  </si>
  <si>
    <t xml:space="preserve">CK-0301</t>
  </si>
  <si>
    <t xml:space="preserve">SUM(Reconciliations!H37:H38)-Reconciliations!H39</t>
  </si>
  <si>
    <t xml:space="preserve">CK-0302</t>
  </si>
  <si>
    <t xml:space="preserve">SUM(Reconciliations!H40:H41)-Reconciliations!H42</t>
  </si>
  <si>
    <t xml:space="preserve">CK-0303</t>
  </si>
  <si>
    <t xml:space="preserve">SUM(Reconciliations!H43:H44)-Reconciliations!H45</t>
  </si>
  <si>
    <t xml:space="preserve">CK-0304</t>
  </si>
  <si>
    <t xml:space="preserve">GAAP net loss + disclosed adjustments - Non-GAAP net loss = 0 (Reconciliation of net loss)</t>
  </si>
  <si>
    <t xml:space="preserve">SUM(Reconciliations!H46:H47)-Reconciliations!H48</t>
  </si>
  <si>
    <t xml:space="preserve">CK-0305</t>
  </si>
  <si>
    <t xml:space="preserve">SUM(Reconciliations!H49:H51)-Reconciliations!H52</t>
  </si>
  <si>
    <t xml:space="preserve">CK-0306</t>
  </si>
  <si>
    <t xml:space="preserve">Net cash provided by operating activities + disclosed adjustments - Adjusted free cash flow = 0 (Reconciliation of net cash provided by (used in) operating activities to (adjusted) free cash flow)</t>
  </si>
  <si>
    <t xml:space="preserve">SUM(Reconciliations!H53:H56)-Reconciliations!H57</t>
  </si>
  <si>
    <t xml:space="preserve">CK-0307</t>
  </si>
  <si>
    <t xml:space="preserve">SUM(Reconciliations!H58:H59)-Reconciliations!H60</t>
  </si>
  <si>
    <t xml:space="preserve">CK-0308</t>
  </si>
  <si>
    <t xml:space="preserve">SUM(Reconciliations!H61:H62)-Reconciliations!H63</t>
  </si>
  <si>
    <t xml:space="preserve">CK-0309</t>
  </si>
  <si>
    <t xml:space="preserve">SUM(Reconciliations!H64:H65)-Reconciliations!H66</t>
  </si>
  <si>
    <t xml:space="preserve">CK-0310</t>
  </si>
  <si>
    <t xml:space="preserve">SUM(Reconciliations!H67:H68)-Reconciliations!H69</t>
  </si>
  <si>
    <t xml:space="preserve">CK-0311</t>
  </si>
  <si>
    <t xml:space="preserve">SUM(Reconciliations!H70:H71)-Reconciliations!H72</t>
  </si>
  <si>
    <t xml:space="preserve">CK-0312</t>
  </si>
  <si>
    <t xml:space="preserve">SUM(Reconciliations!H73:H75)-Reconciliations!H76</t>
  </si>
  <si>
    <t xml:space="preserve">CK-0313</t>
  </si>
  <si>
    <t xml:space="preserve">SUM(Reconciliations!H77:H80)-Reconciliations!H81</t>
  </si>
  <si>
    <t xml:space="preserve">CK-0314</t>
  </si>
  <si>
    <t xml:space="preserve">Net cash provided by (used in) operating activities + disclosed adjustments - Adjusted free cash flow = 0 (Reconciliation of net cash provided by (used in) operating activities to (adjusted) free cash flow)</t>
  </si>
  <si>
    <t xml:space="preserve">SUM(Reconciliations!H82:H85)-Reconciliations!H86</t>
  </si>
  <si>
    <t xml:space="preserve">CK-0315</t>
  </si>
  <si>
    <t xml:space="preserve">SUM(Reconciliations!H87:H88)-Reconciliations!H89</t>
  </si>
  <si>
    <t xml:space="preserve">CK-0316</t>
  </si>
  <si>
    <t xml:space="preserve">SUM(Reconciliations!H90:H91)-Reconciliations!H92</t>
  </si>
  <si>
    <t xml:space="preserve">CK-0317</t>
  </si>
  <si>
    <t xml:space="preserve">SUM(Reconciliations!H93:H94)-Reconciliations!H95</t>
  </si>
  <si>
    <t xml:space="preserve">CK-0318</t>
  </si>
  <si>
    <t xml:space="preserve">SUM(Reconciliations!H96:H97)-Reconciliations!H98</t>
  </si>
  <si>
    <t xml:space="preserve">CK-0319</t>
  </si>
  <si>
    <t xml:space="preserve">SUM(Reconciliations!H99:H100)-Reconciliations!H101</t>
  </si>
  <si>
    <t xml:space="preserve">CK-0320</t>
  </si>
  <si>
    <t xml:space="preserve">SUM(Reconciliations!H102:H104)-Reconciliations!H105</t>
  </si>
  <si>
    <t xml:space="preserve">CK-0321</t>
  </si>
  <si>
    <t xml:space="preserve">SUM(Reconciliations!H106:H109)-Reconciliations!H110</t>
  </si>
  <si>
    <t xml:space="preserve">CK-0322</t>
  </si>
  <si>
    <t xml:space="preserve">SUM(Reconciliations!H111:H114)-Reconciliations!H115</t>
  </si>
  <si>
    <t xml:space="preserve">CK-0323</t>
  </si>
  <si>
    <t xml:space="preserve">SUM(Reconciliations!H116:H117)-Reconciliations!H118</t>
  </si>
  <si>
    <t xml:space="preserve">CK-0324</t>
  </si>
  <si>
    <t xml:space="preserve">SUM(Reconciliations!H119:H120)-Reconciliations!H121</t>
  </si>
  <si>
    <t xml:space="preserve">CK-0325</t>
  </si>
  <si>
    <t xml:space="preserve">SUM(Reconciliations!H122:H123)-Reconciliations!H124</t>
  </si>
  <si>
    <t xml:space="preserve">CK-0326</t>
  </si>
  <si>
    <t xml:space="preserve">SUM(Reconciliations!H125:H126)-Reconciliations!H127</t>
  </si>
  <si>
    <t xml:space="preserve">CK-0327</t>
  </si>
  <si>
    <t xml:space="preserve">SUM(Reconciliations!H128:H129)-Reconciliations!H130</t>
  </si>
  <si>
    <t xml:space="preserve">CK-0328</t>
  </si>
  <si>
    <t xml:space="preserve">SUM(Reconciliations!H131:H133)-Reconciliations!H134</t>
  </si>
  <si>
    <t xml:space="preserve">CK-0329</t>
  </si>
  <si>
    <t xml:space="preserve">SUM(Reconciliations!H135:H138)-Reconciliations!H139</t>
  </si>
  <si>
    <t xml:space="preserve">CK-0330</t>
  </si>
  <si>
    <t xml:space="preserve">SUM(Reconciliations!H140:H143)-Reconciliations!H144</t>
  </si>
  <si>
    <t xml:space="preserve">CK-0331</t>
  </si>
  <si>
    <t xml:space="preserve">SUM(Reconciliations!H145:H146)-Reconciliations!H147</t>
  </si>
  <si>
    <t xml:space="preserve">CK-0332</t>
  </si>
  <si>
    <t xml:space="preserve">SUM(Reconciliations!H148:H149)-Reconciliations!H150</t>
  </si>
  <si>
    <t xml:space="preserve">CK-0333</t>
  </si>
  <si>
    <t xml:space="preserve">SUM(Reconciliations!H151:H152)-Reconciliations!H153</t>
  </si>
  <si>
    <t xml:space="preserve">CK-0334</t>
  </si>
  <si>
    <t xml:space="preserve">SUM(Reconciliations!H154:H155)-Reconciliations!H156</t>
  </si>
  <si>
    <t xml:space="preserve">CK-0335</t>
  </si>
  <si>
    <t xml:space="preserve">SUM(Reconciliations!H157:H158)-Reconciliations!H159</t>
  </si>
  <si>
    <t xml:space="preserve">CK-0336</t>
  </si>
  <si>
    <t xml:space="preserve">SUM(Reconciliations!H160:H162)-Reconciliations!H163</t>
  </si>
  <si>
    <t xml:space="preserve">CK-0337</t>
  </si>
  <si>
    <t xml:space="preserve">SUM(Reconciliations!H164:H167)-Reconciliations!H168</t>
  </si>
  <si>
    <t xml:space="preserve">CK-0338</t>
  </si>
  <si>
    <t xml:space="preserve">SUM(Reconciliations!H169:H172)-Reconciliations!H173</t>
  </si>
  <si>
    <t xml:space="preserve">CK-0339</t>
  </si>
  <si>
    <t xml:space="preserve">SUM(Reconciliations!H174:H175)-Reconciliations!H176</t>
  </si>
  <si>
    <t xml:space="preserve">CK-0340</t>
  </si>
  <si>
    <t xml:space="preserve">SUM(Reconciliations!H177:H178)-Reconciliations!H179</t>
  </si>
  <si>
    <t xml:space="preserve">CK-0341</t>
  </si>
  <si>
    <t xml:space="preserve">SUM(Reconciliations!H180:H181)-Reconciliations!H182</t>
  </si>
  <si>
    <t xml:space="preserve">CK-0342</t>
  </si>
  <si>
    <t xml:space="preserve">SUM(Reconciliations!H183:H184)-Reconciliations!H185</t>
  </si>
  <si>
    <t xml:space="preserve">CK-0343</t>
  </si>
  <si>
    <t xml:space="preserve">SUM(Reconciliations!H186:H187)-Reconciliations!H188</t>
  </si>
  <si>
    <t xml:space="preserve">CK-0344</t>
  </si>
  <si>
    <t xml:space="preserve">SUM(Reconciliations!H189:H191)-Reconciliations!H192</t>
  </si>
  <si>
    <t xml:space="preserve">CK-0345</t>
  </si>
  <si>
    <t xml:space="preserve">SUM(Reconciliations!H193:H196)-Reconciliations!H197</t>
  </si>
  <si>
    <t xml:space="preserve">CK-0346</t>
  </si>
  <si>
    <t xml:space="preserve">SUM(Reconciliations!H198:H201)-Reconciliations!H202</t>
  </si>
  <si>
    <t xml:space="preserve">CK-0347</t>
  </si>
  <si>
    <t xml:space="preserve">SUM(Reconciliations!H203:H204)-Reconciliations!H205</t>
  </si>
  <si>
    <t xml:space="preserve">CK-0348</t>
  </si>
  <si>
    <t xml:space="preserve">SUM(Reconciliations!H206:H207)-Reconciliations!H208</t>
  </si>
  <si>
    <t xml:space="preserve">CK-0349</t>
  </si>
  <si>
    <t xml:space="preserve">SUM(Reconciliations!H209:H210)-Reconciliations!H211</t>
  </si>
  <si>
    <t xml:space="preserve">CK-0350</t>
  </si>
  <si>
    <t xml:space="preserve">SUM(Reconciliations!H212:H213)-Reconciliations!H214</t>
  </si>
  <si>
    <t xml:space="preserve">CK-0351</t>
  </si>
  <si>
    <t xml:space="preserve">SUM(Reconciliations!H215:H216)-Reconciliations!H217</t>
  </si>
  <si>
    <t xml:space="preserve">CK-0352</t>
  </si>
  <si>
    <t xml:space="preserve">GAAP net loss + disclosed adjustments - Non-GAAP net income (loss) = 0 (Reconciliation of net income (loss))</t>
  </si>
  <si>
    <t xml:space="preserve">SUM(Reconciliations!H218:H220)-Reconciliations!H221</t>
  </si>
  <si>
    <t xml:space="preserve">CK-0353</t>
  </si>
  <si>
    <t xml:space="preserve">GAAP net loss attributable to ordinary shareholders + disclosed adjustments - Non-GAAP net income (loss) = 0 (Reconciliation of net loss attributable to ordinary shareholders)</t>
  </si>
  <si>
    <t xml:space="preserve">SUM(Reconciliations!H222:H225)-Reconciliations!H226</t>
  </si>
  <si>
    <t xml:space="preserve">CK-0354</t>
  </si>
  <si>
    <t xml:space="preserve">SUM(Reconciliations!H227:H230)-Reconciliations!H231</t>
  </si>
  <si>
    <t xml:space="preserve">CK-0355</t>
  </si>
  <si>
    <t xml:space="preserve">SUM(Reconciliations!H232:H233)-Reconciliations!H234</t>
  </si>
  <si>
    <t xml:space="preserve">CK-0356</t>
  </si>
  <si>
    <t xml:space="preserve">SUM(Reconciliations!H235:H236)-Reconciliations!H237</t>
  </si>
  <si>
    <t xml:space="preserve">CK-0357</t>
  </si>
  <si>
    <t xml:space="preserve">SUM(Reconciliations!H238:H239)-Reconciliations!H240</t>
  </si>
  <si>
    <t xml:space="preserve">CK-0358</t>
  </si>
  <si>
    <t xml:space="preserve">SUM(Reconciliations!H241:H242)-Reconciliations!H243</t>
  </si>
  <si>
    <t xml:space="preserve">CK-0359</t>
  </si>
  <si>
    <t xml:space="preserve">GAAP operating loss + disclosed adjustments - Non-GAAP operating income (loss) = 0 (Reconciliation of operating income (loss))</t>
  </si>
  <si>
    <t xml:space="preserve">SUM(Reconciliations!H244:H245)-Reconciliations!H246</t>
  </si>
  <si>
    <t xml:space="preserve">CK-0360</t>
  </si>
  <si>
    <t xml:space="preserve">SUM(Reconciliations!H247:H249)-Reconciliations!H250</t>
  </si>
  <si>
    <t xml:space="preserve">CK-0361</t>
  </si>
  <si>
    <t xml:space="preserve">GAAP net loss attributable to ordinary shareholders + disclosed adjustments - Non-GAAP net income (loss) = 0 (Reconciliation of net income (loss) attributable to ordinary shareholders)</t>
  </si>
  <si>
    <t xml:space="preserve">SUM(Reconciliations!H251:H254)-Reconciliations!H255</t>
  </si>
  <si>
    <t xml:space="preserve">CK-0362</t>
  </si>
  <si>
    <t xml:space="preserve">SUM(Reconciliations!H256:H259)-Reconciliations!H260</t>
  </si>
  <si>
    <t xml:space="preserve">CK-0363</t>
  </si>
  <si>
    <t xml:space="preserve">SUM(Reconciliations!H261:H262)-Reconciliations!H263</t>
  </si>
  <si>
    <t xml:space="preserve">CK-0364</t>
  </si>
  <si>
    <t xml:space="preserve">SUM(Reconciliations!H264:H265)-Reconciliations!H266</t>
  </si>
  <si>
    <t xml:space="preserve">CK-0365</t>
  </si>
  <si>
    <t xml:space="preserve">SUM(Reconciliations!H267:H268)-Reconciliations!H269</t>
  </si>
  <si>
    <t xml:space="preserve">CK-0366</t>
  </si>
  <si>
    <t xml:space="preserve">SUM(Reconciliations!H270:H271)-Reconciliations!H272</t>
  </si>
  <si>
    <t xml:space="preserve">CK-0367</t>
  </si>
  <si>
    <t xml:space="preserve">SUM(Reconciliations!H273:H274)-Reconciliations!H275</t>
  </si>
  <si>
    <t xml:space="preserve">CK-0368</t>
  </si>
  <si>
    <t xml:space="preserve">SUM(Reconciliations!H276:H278)-Reconciliations!H279</t>
  </si>
  <si>
    <t xml:space="preserve">CK-0369</t>
  </si>
  <si>
    <t xml:space="preserve">SUM(Reconciliations!H280:H283)-Reconciliations!H284</t>
  </si>
  <si>
    <t xml:space="preserve">CK-0370</t>
  </si>
  <si>
    <t xml:space="preserve">SUM(Reconciliations!H285:H288)-Reconciliations!H289</t>
  </si>
  <si>
    <t xml:space="preserve">CK-0371</t>
  </si>
  <si>
    <t xml:space="preserve">SUM(Reconciliations!H290:H291)-Reconciliations!H292</t>
  </si>
  <si>
    <t xml:space="preserve">CK-0372</t>
  </si>
  <si>
    <t xml:space="preserve">SUM(Reconciliations!H293:H294)-Reconciliations!H295</t>
  </si>
  <si>
    <t xml:space="preserve">CK-0373</t>
  </si>
  <si>
    <t xml:space="preserve">SUM(Reconciliations!H296:H297)-Reconciliations!H298</t>
  </si>
  <si>
    <t xml:space="preserve">CK-0374</t>
  </si>
  <si>
    <t xml:space="preserve">SUM(Reconciliations!H299:H300)-Reconciliations!H301</t>
  </si>
  <si>
    <t xml:space="preserve">CK-0375</t>
  </si>
  <si>
    <t xml:space="preserve">SUM(Reconciliations!H302:H303)-Reconciliations!H304</t>
  </si>
  <si>
    <t xml:space="preserve">CK-0376</t>
  </si>
  <si>
    <t xml:space="preserve">SUM(Reconciliations!H305:H307)-Reconciliations!H308</t>
  </si>
  <si>
    <t xml:space="preserve">CK-0377</t>
  </si>
  <si>
    <t xml:space="preserve">Net cash provided by (used in) operating activities + disclosed adjustments - Free cash flow = 0 (Reconciliation of net cash provided by (used in) operating activities to (adjusted) free cash flow)</t>
  </si>
  <si>
    <t xml:space="preserve">SUM(Reconciliations!H309:H311)-Reconciliations!H312</t>
  </si>
  <si>
    <t xml:space="preserve">CK-0378</t>
  </si>
  <si>
    <t xml:space="preserve">SUM(Reconciliations!H313:H314)-Reconciliations!H315</t>
  </si>
  <si>
    <t xml:space="preserve">CK-0379</t>
  </si>
  <si>
    <t xml:space="preserve">SUM(Reconciliations!H316:H317)-Reconciliations!H318</t>
  </si>
  <si>
    <t xml:space="preserve">CK-0380</t>
  </si>
  <si>
    <t xml:space="preserve">SUM(Reconciliations!H319:H320)-Reconciliations!H321</t>
  </si>
  <si>
    <t xml:space="preserve">CK-0381</t>
  </si>
  <si>
    <t xml:space="preserve">SUM(Reconciliations!H322:H323)-Reconciliations!H324</t>
  </si>
  <si>
    <t xml:space="preserve">CK-0382</t>
  </si>
  <si>
    <t xml:space="preserve">SUM(Reconciliations!H325:H326)-Reconciliations!H327</t>
  </si>
  <si>
    <t xml:space="preserve">CK-0383</t>
  </si>
  <si>
    <t xml:space="preserve">SUM(Reconciliations!H328:H330)-Reconciliations!H331</t>
  </si>
  <si>
    <t xml:space="preserve">CK-0384</t>
  </si>
  <si>
    <t xml:space="preserve">SUM(Reconciliations!H332:H334)-Reconciliations!H335</t>
  </si>
  <si>
    <t xml:space="preserve">CK-0385</t>
  </si>
  <si>
    <t xml:space="preserve">SUM(Reconciliations!H336:H337)-Reconciliations!H338</t>
  </si>
  <si>
    <t xml:space="preserve">CK-0386</t>
  </si>
  <si>
    <t xml:space="preserve">SUM(Reconciliations!H339:H340)-Reconciliations!H341</t>
  </si>
  <si>
    <t xml:space="preserve">CK-0387</t>
  </si>
  <si>
    <t xml:space="preserve">SUM(Reconciliations!H342:H343)-Reconciliations!H344</t>
  </si>
  <si>
    <t xml:space="preserve">CK-0388</t>
  </si>
  <si>
    <t xml:space="preserve">SUM(Reconciliations!H345:H346)-Reconciliations!H347</t>
  </si>
  <si>
    <t xml:space="preserve">CK-0389</t>
  </si>
  <si>
    <t xml:space="preserve">SUM(Reconciliations!H348:H349)-Reconciliations!H350</t>
  </si>
  <si>
    <t xml:space="preserve">CK-0390</t>
  </si>
  <si>
    <t xml:space="preserve">GAAP net income (loss) + disclosed adjustments - Non-GAAP net income (loss) = 0 (Reconciliation of net income (loss))</t>
  </si>
  <si>
    <t xml:space="preserve">SUM(Reconciliations!H351:H353)-Reconciliations!H354</t>
  </si>
  <si>
    <t xml:space="preserve">CK-0391</t>
  </si>
  <si>
    <t xml:space="preserve">SUM(Reconciliations!H355:H357)-Reconciliations!H358</t>
  </si>
  <si>
    <t xml:space="preserve">CK-0392</t>
  </si>
  <si>
    <t xml:space="preserve">SUM(Reconciliations!H359:H360)-Reconciliations!H361</t>
  </si>
  <si>
    <t xml:space="preserve">CK-0393</t>
  </si>
  <si>
    <t xml:space="preserve">SUM(Reconciliations!H362:H363)-Reconciliations!H364</t>
  </si>
  <si>
    <t xml:space="preserve">CK-0394</t>
  </si>
  <si>
    <t xml:space="preserve">SUM(Reconciliations!H365:H366)-Reconciliations!H367</t>
  </si>
  <si>
    <t xml:space="preserve">CK-0395</t>
  </si>
  <si>
    <t xml:space="preserve">SUM(Reconciliations!H368:H369)-Reconciliations!H370</t>
  </si>
  <si>
    <t xml:space="preserve">CK-0396</t>
  </si>
  <si>
    <t xml:space="preserve">SUM(Reconciliations!H371:H372)-Reconciliations!H373</t>
  </si>
  <si>
    <t xml:space="preserve">CK-0397</t>
  </si>
  <si>
    <t xml:space="preserve">SUM(Reconciliations!H374:H376)-Reconciliations!H377</t>
  </si>
  <si>
    <t xml:space="preserve">CK-0398</t>
  </si>
  <si>
    <t xml:space="preserve">Net cash provided by operating activities + disclosed adjustments - Free cash flow = 0 (Reconciliation of net cash provided by (used in) operating activities to (adjusted) free cash flow)</t>
  </si>
  <si>
    <t xml:space="preserve">SUM(Reconciliations!H378:H380)-Reconciliations!H381</t>
  </si>
  <si>
    <t xml:space="preserve">CK-0399</t>
  </si>
  <si>
    <t xml:space="preserve">SUM(Reconciliations!H382:H383)-Reconciliations!H384</t>
  </si>
  <si>
    <t xml:space="preserve">CK-0400</t>
  </si>
  <si>
    <t xml:space="preserve">SUM(Reconciliations!H385:H386)-Reconciliations!H387</t>
  </si>
  <si>
    <t xml:space="preserve">CK-0401</t>
  </si>
  <si>
    <t xml:space="preserve">SUM(Reconciliations!H388:H389)-Reconciliations!H390</t>
  </si>
  <si>
    <t xml:space="preserve">CK-0402</t>
  </si>
  <si>
    <t xml:space="preserve">SUM(Reconciliations!H391:H392)-Reconciliations!H393</t>
  </si>
  <si>
    <t xml:space="preserve">CK-0403</t>
  </si>
  <si>
    <t xml:space="preserve">SUM(Reconciliations!H394:H395)-Reconciliations!H396</t>
  </si>
  <si>
    <t xml:space="preserve">CK-0404</t>
  </si>
  <si>
    <t xml:space="preserve">SUM(Reconciliations!H397:H399)-Reconciliations!H400</t>
  </si>
  <si>
    <t xml:space="preserve">CK-0405</t>
  </si>
  <si>
    <t xml:space="preserve">SUM(Reconciliations!H401:H403)-Reconciliations!H404</t>
  </si>
  <si>
    <t xml:space="preserve">CK-0406</t>
  </si>
  <si>
    <t xml:space="preserve">SUM(Reconciliations!H405:H406)-Reconciliations!H407</t>
  </si>
  <si>
    <t xml:space="preserve">CK-0407</t>
  </si>
  <si>
    <t xml:space="preserve">SUM(Reconciliations!H408:H409)-Reconciliations!H410</t>
  </si>
  <si>
    <t xml:space="preserve">CK-0408</t>
  </si>
  <si>
    <t xml:space="preserve">SUM(Reconciliations!H411:H412)-Reconciliations!H413</t>
  </si>
  <si>
    <t xml:space="preserve">CK-0409</t>
  </si>
  <si>
    <t xml:space="preserve">SUM(Reconciliations!H414:H415)-Reconciliations!H416</t>
  </si>
  <si>
    <t xml:space="preserve">CK-0410</t>
  </si>
  <si>
    <t xml:space="preserve">SUM(Reconciliations!H417:H418)-Reconciliations!H419</t>
  </si>
  <si>
    <t xml:space="preserve">CK-0411</t>
  </si>
  <si>
    <t xml:space="preserve">GAAP net income (loss) + disclosed adjustments - Non-GAAP net income = 0 (Reconciliation of net income (loss))</t>
  </si>
  <si>
    <t xml:space="preserve">SUM(Reconciliations!H420:H422)-Reconciliations!H423</t>
  </si>
  <si>
    <t xml:space="preserve">CK-0412</t>
  </si>
  <si>
    <t xml:space="preserve">SUM(Reconciliations!H424:H426)-Reconciliations!H427</t>
  </si>
  <si>
    <t xml:space="preserve">CK-0413</t>
  </si>
  <si>
    <t xml:space="preserve">SUM(Reconciliations!H428:H429)-Reconciliations!H430</t>
  </si>
  <si>
    <t xml:space="preserve">CK-0414</t>
  </si>
  <si>
    <t xml:space="preserve">SUM(Reconciliations!H431:H432)-Reconciliations!H433</t>
  </si>
  <si>
    <t xml:space="preserve">CK-0415</t>
  </si>
  <si>
    <t xml:space="preserve">SUM(Reconciliations!H434:H435)-Reconciliations!H436</t>
  </si>
  <si>
    <t xml:space="preserve">CK-0416</t>
  </si>
  <si>
    <t xml:space="preserve">SUM(Reconciliations!H437:H438)-Reconciliations!H439</t>
  </si>
  <si>
    <t xml:space="preserve">CK-0417</t>
  </si>
  <si>
    <t xml:space="preserve">GAAP operating income (loss) + disclosed adjustments - Non-GAAP operating income = 0 (Reconciliation of operating income (loss))</t>
  </si>
  <si>
    <t xml:space="preserve">SUM(Reconciliations!H440:H441)-Reconciliations!H442</t>
  </si>
  <si>
    <t xml:space="preserve">CK-0418</t>
  </si>
  <si>
    <t xml:space="preserve">SUM(Reconciliations!H443:H445)-Reconciliations!H446</t>
  </si>
  <si>
    <t xml:space="preserve">CK-0419</t>
  </si>
  <si>
    <t xml:space="preserve">SUM(Reconciliations!H447:H449)-Reconciliations!H450</t>
  </si>
  <si>
    <t xml:space="preserve">CK-0420</t>
  </si>
  <si>
    <t xml:space="preserve">SUM(Reconciliations!H451:H452)-Reconciliations!H453</t>
  </si>
  <si>
    <t xml:space="preserve">CK-0421</t>
  </si>
  <si>
    <t xml:space="preserve">SUM(Reconciliations!H454:H455)-Reconciliations!H456</t>
  </si>
  <si>
    <t xml:space="preserve">CK-0422</t>
  </si>
  <si>
    <t xml:space="preserve">SUM(Reconciliations!H457:H458)-Reconciliations!H459</t>
  </si>
  <si>
    <t xml:space="preserve">CK-0423</t>
  </si>
  <si>
    <t xml:space="preserve">SUM(Reconciliations!H460:H462)-Reconciliations!H463</t>
  </si>
  <si>
    <t xml:space="preserve">CK-0424</t>
  </si>
  <si>
    <t xml:space="preserve">GAAP operating loss + disclosed adjustments - Non-GAAP operating income = 0 (Reconciliation of operating income (loss))</t>
  </si>
  <si>
    <t xml:space="preserve">SUM(Reconciliations!H464:H466)-Reconciliations!H467</t>
  </si>
  <si>
    <t xml:space="preserve">CK-0425</t>
  </si>
  <si>
    <t xml:space="preserve">SUM(Reconciliations!H468:H471)-Reconciliations!H472</t>
  </si>
  <si>
    <t xml:space="preserve">CK-0426</t>
  </si>
  <si>
    <t xml:space="preserve">SUM(Reconciliations!H473:H475)-Reconciliations!H476</t>
  </si>
  <si>
    <t xml:space="preserve">CK-0427</t>
  </si>
  <si>
    <t xml:space="preserve">SUM(Reconciliations!H477:H478)-Reconciliations!H479</t>
  </si>
  <si>
    <t xml:space="preserve">CK-0428</t>
  </si>
  <si>
    <t xml:space="preserve">SUM(Reconciliations!H480:H481)-Reconciliations!H482</t>
  </si>
  <si>
    <t xml:space="preserve">CK-0429</t>
  </si>
  <si>
    <t xml:space="preserve">SUM(Reconciliations!H483:H484)-Reconciliations!H485</t>
  </si>
  <si>
    <t xml:space="preserve">CK-0430</t>
  </si>
  <si>
    <t xml:space="preserve">SUM(Reconciliations!H486:H488)-Reconciliations!H489</t>
  </si>
  <si>
    <t xml:space="preserve">CK-0431</t>
  </si>
  <si>
    <t xml:space="preserve">SUM(Reconciliations!H490:H492)-Reconciliations!H493</t>
  </si>
  <si>
    <t xml:space="preserve">CK-0432</t>
  </si>
  <si>
    <t xml:space="preserve">SUM(Reconciliations!H494:H497)-Reconciliations!H498</t>
  </si>
  <si>
    <t xml:space="preserve">CK-0433</t>
  </si>
  <si>
    <t xml:space="preserve">SUM(Reconciliations!H499:H501)-Reconciliations!H502</t>
  </si>
  <si>
    <t xml:space="preserve">CK-0434</t>
  </si>
  <si>
    <t xml:space="preserve">SUM(Reconciliations!H503:H504)-Reconciliations!H505</t>
  </si>
  <si>
    <t xml:space="preserve">CK-0435</t>
  </si>
  <si>
    <t xml:space="preserve">SUM(Reconciliations!H506:H507)-Reconciliations!H508</t>
  </si>
  <si>
    <t xml:space="preserve">CK-0436</t>
  </si>
  <si>
    <t xml:space="preserve">SUM(Reconciliations!H509:H510)-Reconciliations!H511</t>
  </si>
  <si>
    <t xml:space="preserve">CK-0437</t>
  </si>
  <si>
    <t xml:space="preserve">SUM(Reconciliations!H512:H514)-Reconciliations!H515</t>
  </si>
  <si>
    <t xml:space="preserve">CK-0438</t>
  </si>
  <si>
    <t xml:space="preserve">SUM(Reconciliations!H516:H518)-Reconciliations!H519</t>
  </si>
  <si>
    <t xml:space="preserve">CK-0439</t>
  </si>
  <si>
    <t xml:space="preserve">SUM(Reconciliations!H520:H523)-Reconciliations!H524</t>
  </si>
  <si>
    <t xml:space="preserve">CK-0440</t>
  </si>
  <si>
    <t xml:space="preserve">SUM(Reconciliations!H525:H527)-Reconciliations!H528</t>
  </si>
  <si>
    <t xml:space="preserve">CK-0441</t>
  </si>
  <si>
    <t xml:space="preserve">SUM(Reconciliations!H529:H530)-Reconciliations!H531</t>
  </si>
  <si>
    <t xml:space="preserve">CK-0442</t>
  </si>
  <si>
    <t xml:space="preserve">SUM(Reconciliations!H532:H533)-Reconciliations!H534</t>
  </si>
  <si>
    <t xml:space="preserve">CK-0443</t>
  </si>
  <si>
    <t xml:space="preserve">SUM(Reconciliations!H535:H536)-Reconciliations!H537</t>
  </si>
  <si>
    <t xml:space="preserve">CK-0444</t>
  </si>
  <si>
    <t xml:space="preserve">SUM(Reconciliations!H538:H539)-Reconciliations!H540</t>
  </si>
  <si>
    <t xml:space="preserve">CK-0445</t>
  </si>
  <si>
    <t xml:space="preserve">SUM(Reconciliations!H541:H542)-Reconciliations!H543</t>
  </si>
  <si>
    <t xml:space="preserve">CK-0446</t>
  </si>
  <si>
    <t xml:space="preserve">GAAP net income + disclosed adjustments - Non-GAAP net income = 0 (Reconciliation of net income)</t>
  </si>
  <si>
    <t xml:space="preserve">SUM(Reconciliations!H544:H546)-Reconciliations!H547</t>
  </si>
  <si>
    <t xml:space="preserve">CK-0447</t>
  </si>
  <si>
    <t xml:space="preserve">SUM(Reconciliations!H548:H551)-Reconciliations!H552</t>
  </si>
  <si>
    <t xml:space="preserve">CK-0448</t>
  </si>
  <si>
    <t xml:space="preserve">SUM(Reconciliations!H553:H554)-Reconciliations!H555</t>
  </si>
  <si>
    <t xml:space="preserve">CK-0449</t>
  </si>
  <si>
    <t xml:space="preserve">SUM(Reconciliations!H556:H557)-Reconciliations!H558</t>
  </si>
  <si>
    <t xml:space="preserve">CK-0450</t>
  </si>
  <si>
    <t xml:space="preserve">SUM(Reconciliations!H559:H560)-Reconciliations!H561</t>
  </si>
  <si>
    <t xml:space="preserve">CK-0451</t>
  </si>
  <si>
    <t xml:space="preserve">SUM(Reconciliations!H562:H563)-Reconciliations!H564</t>
  </si>
  <si>
    <t xml:space="preserve">CK-0452</t>
  </si>
  <si>
    <t xml:space="preserve">SUM(Reconciliations!H565:H566)-Reconciliations!H567</t>
  </si>
  <si>
    <t xml:space="preserve">CK-0453</t>
  </si>
  <si>
    <t xml:space="preserve">SUM(Reconciliations!H568:H570)-Reconciliations!H571</t>
  </si>
  <si>
    <t xml:space="preserve">CK-0454</t>
  </si>
  <si>
    <t xml:space="preserve">SUM(Reconciliations!H572:H575)-Reconciliations!H576</t>
  </si>
  <si>
    <t xml:space="preserve">CK-0455</t>
  </si>
  <si>
    <t xml:space="preserve">SUM(Reconciliations!H577:H578)-Reconciliations!H579</t>
  </si>
  <si>
    <t xml:space="preserve">CK-0456</t>
  </si>
  <si>
    <t xml:space="preserve">SUM(Reconciliations!H580:H581)-Reconciliations!H582</t>
  </si>
  <si>
    <t xml:space="preserve">CK-0457</t>
  </si>
  <si>
    <t xml:space="preserve">SUM(Reconciliations!H583:H584)-Reconciliations!H585</t>
  </si>
  <si>
    <t xml:space="preserve">CK-0458</t>
  </si>
  <si>
    <t xml:space="preserve">SUM(Reconciliations!H586:H588)-Reconciliations!H589</t>
  </si>
  <si>
    <t xml:space="preserve">CK-0459</t>
  </si>
  <si>
    <t xml:space="preserve">SUM(Reconciliations!H590:H592)-Reconciliations!H593</t>
  </si>
  <si>
    <t xml:space="preserve">CK-0460</t>
  </si>
  <si>
    <t xml:space="preserve">SUM(Reconciliations!H594:H597)-Reconciliations!H598</t>
  </si>
  <si>
    <t xml:space="preserve">CK-0461</t>
  </si>
  <si>
    <t xml:space="preserve">SUM(Reconciliations!H599:H602)-Reconciliations!H603</t>
  </si>
  <si>
    <t xml:space="preserve">CK-0462</t>
  </si>
  <si>
    <t xml:space="preserve">SUM(Reconciliations!H604:H605)-Reconciliations!H606</t>
  </si>
  <si>
    <t xml:space="preserve">CK-0463</t>
  </si>
  <si>
    <t xml:space="preserve">SUM(Reconciliations!H607:H608)-Reconciliations!H609</t>
  </si>
  <si>
    <t xml:space="preserve">CK-0464</t>
  </si>
  <si>
    <t xml:space="preserve">SUM(Reconciliations!H610:H611)-Reconciliations!H612</t>
  </si>
  <si>
    <t xml:space="preserve">CK-0465</t>
  </si>
  <si>
    <t xml:space="preserve">SUM(Reconciliations!H613:H615)-Reconciliations!H616</t>
  </si>
  <si>
    <t xml:space="preserve">CK-0466</t>
  </si>
  <si>
    <t xml:space="preserve">SUM(Reconciliations!H617:H619)-Reconciliations!H620</t>
  </si>
  <si>
    <t xml:space="preserve">CK-0467</t>
  </si>
  <si>
    <t xml:space="preserve">SUM(Reconciliations!H621:H625)-Reconciliations!H626</t>
  </si>
  <si>
    <t xml:space="preserve">CK-0468</t>
  </si>
  <si>
    <t xml:space="preserve">SUM(Reconciliations!H627:H630)-Reconciliations!H631</t>
  </si>
  <si>
    <t xml:space="preserve">CK-0469</t>
  </si>
  <si>
    <t xml:space="preserve">SUM(Reconciliations!H632:H633)-Reconciliations!H634</t>
  </si>
  <si>
    <t xml:space="preserve">CK-0470</t>
  </si>
  <si>
    <t xml:space="preserve">SUM(Reconciliations!H635:H636)-Reconciliations!H637</t>
  </si>
  <si>
    <t xml:space="preserve">CK-0471</t>
  </si>
  <si>
    <t xml:space="preserve">SUM(Reconciliations!H638:H639)-Reconciliations!H640</t>
  </si>
  <si>
    <t xml:space="preserve">CK-0472</t>
  </si>
  <si>
    <t xml:space="preserve">SUM(Reconciliations!H641:H643)-Reconciliations!H644</t>
  </si>
  <si>
    <t xml:space="preserve">CK-0473</t>
  </si>
  <si>
    <t xml:space="preserve">SUM(Reconciliations!H645:H647)-Reconciliations!H648</t>
  </si>
  <si>
    <t xml:space="preserve">CK-0474</t>
  </si>
  <si>
    <t xml:space="preserve">SUM(Reconciliations!H649:H653)-Reconciliations!H654</t>
  </si>
  <si>
    <t xml:space="preserve">CK-0475</t>
  </si>
  <si>
    <t xml:space="preserve">SUM(Reconciliations!H655:H658)-Reconciliations!H659</t>
  </si>
  <si>
    <t xml:space="preserve">CK-0476</t>
  </si>
  <si>
    <t xml:space="preserve">SUM(Reconciliations!H660:H661)-Reconciliations!H662</t>
  </si>
  <si>
    <t xml:space="preserve">CK-0477</t>
  </si>
  <si>
    <t xml:space="preserve">SUM(Reconciliations!H663:H664)-Reconciliations!H665</t>
  </si>
  <si>
    <t xml:space="preserve">CK-0478</t>
  </si>
  <si>
    <t xml:space="preserve">SUM(Reconciliations!H666:H667)-Reconciliations!H668</t>
  </si>
  <si>
    <t xml:space="preserve">CK-0479</t>
  </si>
  <si>
    <t xml:space="preserve">SUM(Reconciliations!H669:H670)-Reconciliations!H671</t>
  </si>
  <si>
    <t xml:space="preserve">CK-0480</t>
  </si>
  <si>
    <t xml:space="preserve">SUM(Reconciliations!H672:H673)-Reconciliations!H674</t>
  </si>
  <si>
    <t xml:space="preserve">CK-0481</t>
  </si>
  <si>
    <t xml:space="preserve">SUM(Reconciliations!H675:H677)-Reconciliations!H678</t>
  </si>
  <si>
    <t xml:space="preserve">CK-0482</t>
  </si>
  <si>
    <t xml:space="preserve">SUM(Reconciliations!H679:H682)-Reconciliations!H683</t>
  </si>
  <si>
    <t xml:space="preserve">CK-0483</t>
  </si>
  <si>
    <t xml:space="preserve">SUM(Reconciliations!H684:H685)-Reconciliations!H686</t>
  </si>
  <si>
    <t xml:space="preserve">CK-0484</t>
  </si>
  <si>
    <t xml:space="preserve">SUM(Reconciliations!H687:H688)-Reconciliations!H689</t>
  </si>
  <si>
    <t xml:space="preserve">CK-0485</t>
  </si>
  <si>
    <t xml:space="preserve">SUM(Reconciliations!H690:H691)-Reconciliations!H692</t>
  </si>
  <si>
    <t xml:space="preserve">CK-0486</t>
  </si>
  <si>
    <t xml:space="preserve">SUM(Reconciliations!H693:H694)-Reconciliations!H695</t>
  </si>
  <si>
    <t xml:space="preserve">CK-0487</t>
  </si>
  <si>
    <t xml:space="preserve">SUM(Reconciliations!H696:H698)-Reconciliations!H699</t>
  </si>
  <si>
    <t xml:space="preserve">CK-0488</t>
  </si>
  <si>
    <t xml:space="preserve">SUM(Reconciliations!H700:H703)-Reconciliations!H704</t>
  </si>
  <si>
    <t xml:space="preserve">CK-0489</t>
  </si>
  <si>
    <t xml:space="preserve">SUM(Reconciliations!H705:H708)-Reconciliations!H709</t>
  </si>
  <si>
    <t xml:space="preserve">CK-0490</t>
  </si>
  <si>
    <t xml:space="preserve">Quarter-to-YTD additivity (flows only)</t>
  </si>
  <si>
    <t xml:space="preserve">Sum of Q1..Q2 2021 (3-month values) - 6M 2021 value = 0 [revenue]</t>
  </si>
  <si>
    <t xml:space="preserve">Quarterly_Actuals!H2+Quarterly_Actuals!H3-Quarterly_Actuals!H4</t>
  </si>
  <si>
    <t xml:space="preserve">CK-0491</t>
  </si>
  <si>
    <t xml:space="preserve">Sum of Q1..Q3 2021 (3-month values) - 9M 2021 value = 0 [revenue]</t>
  </si>
  <si>
    <t xml:space="preserve">Quarterly_Actuals!H2+Quarterly_Actuals!H3+Quarterly_Actuals!H5-Quarterly_Actuals!H6</t>
  </si>
  <si>
    <t xml:space="preserve">CK-0492</t>
  </si>
  <si>
    <t xml:space="preserve">Sum of Q1..Q4 2021 (3-month values) - 12M 2021 value = 0 [revenue]</t>
  </si>
  <si>
    <t xml:space="preserve">12M 2021</t>
  </si>
  <si>
    <t xml:space="preserve">Quarterly_Actuals!H2+Quarterly_Actuals!H3+Quarterly_Actuals!H5+Quarterly_Actuals!H7-Quarterly_Actuals!H8</t>
  </si>
  <si>
    <t xml:space="preserve">CK-0493</t>
  </si>
  <si>
    <t xml:space="preserve">Sum of Q1..Q2 2021 (3-month values) - 6M 2021 value = 0 [cost_of_revenue]</t>
  </si>
  <si>
    <t xml:space="preserve">Quarterly_Actuals!H40+Quarterly_Actuals!H41-Quarterly_Actuals!H42</t>
  </si>
  <si>
    <t xml:space="preserve">CK-0494</t>
  </si>
  <si>
    <t xml:space="preserve">Sum of Q1..Q3 2021 (3-month values) - 9M 2021 value = 0 [cost_of_revenue]</t>
  </si>
  <si>
    <t xml:space="preserve">Quarterly_Actuals!H40+Quarterly_Actuals!H41+Quarterly_Actuals!H43-Quarterly_Actuals!H44</t>
  </si>
  <si>
    <t xml:space="preserve">CK-0495</t>
  </si>
  <si>
    <t xml:space="preserve">Sum of Q1..Q4 2021 (3-month values) - 12M 2021 value = 0 [cost_of_revenue]</t>
  </si>
  <si>
    <t xml:space="preserve">Quarterly_Actuals!H40+Quarterly_Actuals!H41+Quarterly_Actuals!H43+Quarterly_Actuals!H45-Quarterly_Actuals!H46</t>
  </si>
  <si>
    <t xml:space="preserve">CK-0496</t>
  </si>
  <si>
    <t xml:space="preserve">Sum of Q1..Q2 2021 (3-month values) - 6M 2021 value = 0 [gross_profit_gaap]</t>
  </si>
  <si>
    <t xml:space="preserve">Quarterly_Actuals!H78+Quarterly_Actuals!H79-Quarterly_Actuals!H80</t>
  </si>
  <si>
    <t xml:space="preserve">CK-0497</t>
  </si>
  <si>
    <t xml:space="preserve">Sum of Q1..Q3 2021 (3-month values) - 9M 2021 value = 0 [gross_profit_gaap]</t>
  </si>
  <si>
    <t xml:space="preserve">Quarterly_Actuals!H78+Quarterly_Actuals!H79+Quarterly_Actuals!H81-Quarterly_Actuals!H82</t>
  </si>
  <si>
    <t xml:space="preserve">CK-0498</t>
  </si>
  <si>
    <t xml:space="preserve">Sum of Q1..Q4 2021 (3-month values) - 12M 2021 value = 0 [gross_profit_gaap]</t>
  </si>
  <si>
    <t xml:space="preserve">Quarterly_Actuals!H78+Quarterly_Actuals!H79+Quarterly_Actuals!H81+Quarterly_Actuals!H83-Quarterly_Actuals!H84</t>
  </si>
  <si>
    <t xml:space="preserve">CK-0499</t>
  </si>
  <si>
    <t xml:space="preserve">Sum of Q1..Q2 2021 (3-month values) - 6M 2021 value = 0 [rd_gaap]</t>
  </si>
  <si>
    <t xml:space="preserve">Quarterly_Actuals!H154+Quarterly_Actuals!H155-Quarterly_Actuals!H156</t>
  </si>
  <si>
    <t xml:space="preserve">CK-0500</t>
  </si>
  <si>
    <t xml:space="preserve">Sum of Q1..Q3 2021 (3-month values) - 9M 2021 value = 0 [rd_gaap]</t>
  </si>
  <si>
    <t xml:space="preserve">Quarterly_Actuals!H154+Quarterly_Actuals!H155+Quarterly_Actuals!H157-Quarterly_Actuals!H158</t>
  </si>
  <si>
    <t xml:space="preserve">CK-0501</t>
  </si>
  <si>
    <t xml:space="preserve">Sum of Q1..Q4 2021 (3-month values) - 12M 2021 value = 0 [rd_gaap]</t>
  </si>
  <si>
    <t xml:space="preserve">Quarterly_Actuals!H154+Quarterly_Actuals!H155+Quarterly_Actuals!H157+Quarterly_Actuals!H159-Quarterly_Actuals!H160</t>
  </si>
  <si>
    <t xml:space="preserve">CK-0502</t>
  </si>
  <si>
    <t xml:space="preserve">Sum of Q1..Q2 2021 (3-month values) - 6M 2021 value = 0 [sm_gaap]</t>
  </si>
  <si>
    <t xml:space="preserve">Quarterly_Actuals!H192+Quarterly_Actuals!H193-Quarterly_Actuals!H194</t>
  </si>
  <si>
    <t xml:space="preserve">CK-0503</t>
  </si>
  <si>
    <t xml:space="preserve">Sum of Q1..Q3 2021 (3-month values) - 9M 2021 value = 0 [sm_gaap]</t>
  </si>
  <si>
    <t xml:space="preserve">Quarterly_Actuals!H192+Quarterly_Actuals!H193+Quarterly_Actuals!H195-Quarterly_Actuals!H196</t>
  </si>
  <si>
    <t xml:space="preserve">CK-0504</t>
  </si>
  <si>
    <t xml:space="preserve">Sum of Q1..Q4 2021 (3-month values) - 12M 2021 value = 0 [sm_gaap]</t>
  </si>
  <si>
    <t xml:space="preserve">Quarterly_Actuals!H192+Quarterly_Actuals!H193+Quarterly_Actuals!H195+Quarterly_Actuals!H197-Quarterly_Actuals!H198</t>
  </si>
  <si>
    <t xml:space="preserve">CK-0505</t>
  </si>
  <si>
    <t xml:space="preserve">Sum of Q1..Q2 2021 (3-month values) - 6M 2021 value = 0 [ga_gaap]</t>
  </si>
  <si>
    <t xml:space="preserve">Quarterly_Actuals!H230+Quarterly_Actuals!H231-Quarterly_Actuals!H232</t>
  </si>
  <si>
    <t xml:space="preserve">CK-0506</t>
  </si>
  <si>
    <t xml:space="preserve">Sum of Q1..Q3 2021 (3-month values) - 9M 2021 value = 0 [ga_gaap]</t>
  </si>
  <si>
    <t xml:space="preserve">Quarterly_Actuals!H230+Quarterly_Actuals!H231+Quarterly_Actuals!H233-Quarterly_Actuals!H234</t>
  </si>
  <si>
    <t xml:space="preserve">CK-0507</t>
  </si>
  <si>
    <t xml:space="preserve">Sum of Q1..Q4 2021 (3-month values) - 12M 2021 value = 0 [ga_gaap]</t>
  </si>
  <si>
    <t xml:space="preserve">Quarterly_Actuals!H230+Quarterly_Actuals!H231+Quarterly_Actuals!H233+Quarterly_Actuals!H235-Quarterly_Actuals!H236</t>
  </si>
  <si>
    <t xml:space="preserve">CK-0508</t>
  </si>
  <si>
    <t xml:space="preserve">Sum of Q1..Q2 2021 (3-month values) - 6M 2021 value = 0 [total_opex_gaap]</t>
  </si>
  <si>
    <t xml:space="preserve">Quarterly_Actuals!H270+Quarterly_Actuals!H271-Quarterly_Actuals!H272</t>
  </si>
  <si>
    <t xml:space="preserve">CK-0509</t>
  </si>
  <si>
    <t xml:space="preserve">Sum of Q1..Q3 2021 (3-month values) - 9M 2021 value = 0 [total_opex_gaap]</t>
  </si>
  <si>
    <t xml:space="preserve">Quarterly_Actuals!H270+Quarterly_Actuals!H271+Quarterly_Actuals!H273-Quarterly_Actuals!H274</t>
  </si>
  <si>
    <t xml:space="preserve">CK-0510</t>
  </si>
  <si>
    <t xml:space="preserve">Sum of Q1..Q4 2021 (3-month values) - 12M 2021 value = 0 [total_opex_gaap]</t>
  </si>
  <si>
    <t xml:space="preserve">Quarterly_Actuals!H270+Quarterly_Actuals!H271+Quarterly_Actuals!H273+Quarterly_Actuals!H275-Quarterly_Actuals!H276</t>
  </si>
  <si>
    <t xml:space="preserve">CK-0511</t>
  </si>
  <si>
    <t xml:space="preserve">Sum of Q1..Q2 2021 (3-month values) - 6M 2021 value = 0 [op_income_gaap]</t>
  </si>
  <si>
    <t xml:space="preserve">Quarterly_Actuals!H308+Quarterly_Actuals!H309-Quarterly_Actuals!H310</t>
  </si>
  <si>
    <t xml:space="preserve">CK-0512</t>
  </si>
  <si>
    <t xml:space="preserve">Sum of Q1..Q3 2021 (3-month values) - 9M 2021 value = 0 [op_income_gaap]</t>
  </si>
  <si>
    <t xml:space="preserve">Quarterly_Actuals!H308+Quarterly_Actuals!H309+Quarterly_Actuals!H311-Quarterly_Actuals!H312</t>
  </si>
  <si>
    <t xml:space="preserve">CK-0513</t>
  </si>
  <si>
    <t xml:space="preserve">Sum of Q1..Q4 2021 (3-month values) - 12M 2021 value = 0 [op_income_gaap]</t>
  </si>
  <si>
    <t xml:space="preserve">Quarterly_Actuals!H308+Quarterly_Actuals!H309+Quarterly_Actuals!H311+Quarterly_Actuals!H313-Quarterly_Actuals!H314</t>
  </si>
  <si>
    <t xml:space="preserve">CK-0514</t>
  </si>
  <si>
    <t xml:space="preserve">Sum of Q1..Q2 2021 (3-month values) - 6M 2021 value = 0 [net_income_gaap]</t>
  </si>
  <si>
    <t xml:space="preserve">Quarterly_Actuals!H384+Quarterly_Actuals!H385-Quarterly_Actuals!H386</t>
  </si>
  <si>
    <t xml:space="preserve">CK-0515</t>
  </si>
  <si>
    <t xml:space="preserve">Sum of Q1..Q3 2021 (3-month values) - 9M 2021 value = 0 [net_income_gaap]</t>
  </si>
  <si>
    <t xml:space="preserve">Quarterly_Actuals!H384+Quarterly_Actuals!H385+Quarterly_Actuals!H387-Quarterly_Actuals!H388</t>
  </si>
  <si>
    <t xml:space="preserve">CK-0516</t>
  </si>
  <si>
    <t xml:space="preserve">Sum of Q1..Q4 2021 (3-month values) - 12M 2021 value = 0 [net_income_gaap]</t>
  </si>
  <si>
    <t xml:space="preserve">Quarterly_Actuals!H384+Quarterly_Actuals!H385+Quarterly_Actuals!H387+Quarterly_Actuals!H389-Quarterly_Actuals!H390</t>
  </si>
  <si>
    <t xml:space="preserve">CK-0517</t>
  </si>
  <si>
    <t xml:space="preserve">Sum of Q1..Q2 2021 (3-month values) - 6M 2021 value = 0 [gross_profit_nongaap]</t>
  </si>
  <si>
    <t xml:space="preserve">Quarterly_Actuals!H476+Quarterly_Actuals!H477-Quarterly_Actuals!H478</t>
  </si>
  <si>
    <t xml:space="preserve">CK-0518</t>
  </si>
  <si>
    <t xml:space="preserve">Sum of Q1..Q3 2021 (3-month values) - 9M 2021 value = 0 [gross_profit_nongaap]</t>
  </si>
  <si>
    <t xml:space="preserve">Quarterly_Actuals!H476+Quarterly_Actuals!H477+Quarterly_Actuals!H479-Quarterly_Actuals!H480</t>
  </si>
  <si>
    <t xml:space="preserve">CK-0519</t>
  </si>
  <si>
    <t xml:space="preserve">Sum of Q1..Q4 2021 (3-month values) - 12M 2021 value = 0 [gross_profit_nongaap]</t>
  </si>
  <si>
    <t xml:space="preserve">Quarterly_Actuals!H476+Quarterly_Actuals!H477+Quarterly_Actuals!H479+Quarterly_Actuals!H481-Quarterly_Actuals!H482</t>
  </si>
  <si>
    <t xml:space="preserve">CK-0520</t>
  </si>
  <si>
    <t xml:space="preserve">Sum of Q1..Q2 2021 (3-month values) - 6M 2021 value = 0 [rd_nongaap]</t>
  </si>
  <si>
    <t xml:space="preserve">Quarterly_Actuals!H552+Quarterly_Actuals!H553-Quarterly_Actuals!H554</t>
  </si>
  <si>
    <t xml:space="preserve">CK-0521</t>
  </si>
  <si>
    <t xml:space="preserve">Sum of Q1..Q3 2021 (3-month values) - 9M 2021 value = 0 [rd_nongaap]</t>
  </si>
  <si>
    <t xml:space="preserve">Quarterly_Actuals!H552+Quarterly_Actuals!H553+Quarterly_Actuals!H555-Quarterly_Actuals!H556</t>
  </si>
  <si>
    <t xml:space="preserve">CK-0522</t>
  </si>
  <si>
    <t xml:space="preserve">Sum of Q1..Q4 2021 (3-month values) - 12M 2021 value = 0 [rd_nongaap]</t>
  </si>
  <si>
    <t xml:space="preserve">Quarterly_Actuals!H552+Quarterly_Actuals!H553+Quarterly_Actuals!H555+Quarterly_Actuals!H557-Quarterly_Actuals!H558</t>
  </si>
  <si>
    <t xml:space="preserve">CK-0523</t>
  </si>
  <si>
    <t xml:space="preserve">Sum of Q1..Q2 2021 (3-month values) - 6M 2021 value = 0 [sm_nongaap]</t>
  </si>
  <si>
    <t xml:space="preserve">Quarterly_Actuals!H590+Quarterly_Actuals!H591-Quarterly_Actuals!H592</t>
  </si>
  <si>
    <t xml:space="preserve">CK-0524</t>
  </si>
  <si>
    <t xml:space="preserve">Sum of Q1..Q3 2021 (3-month values) - 9M 2021 value = 0 [sm_nongaap]</t>
  </si>
  <si>
    <t xml:space="preserve">Quarterly_Actuals!H590+Quarterly_Actuals!H591+Quarterly_Actuals!H593-Quarterly_Actuals!H594</t>
  </si>
  <si>
    <t xml:space="preserve">CK-0525</t>
  </si>
  <si>
    <t xml:space="preserve">Sum of Q1..Q4 2021 (3-month values) - 12M 2021 value = 0 [sm_nongaap]</t>
  </si>
  <si>
    <t xml:space="preserve">Quarterly_Actuals!H590+Quarterly_Actuals!H591+Quarterly_Actuals!H593+Quarterly_Actuals!H595-Quarterly_Actuals!H596</t>
  </si>
  <si>
    <t xml:space="preserve">CK-0526</t>
  </si>
  <si>
    <t xml:space="preserve">Sum of Q1..Q2 2021 (3-month values) - 6M 2021 value = 0 [ga_nongaap]</t>
  </si>
  <si>
    <t xml:space="preserve">Quarterly_Actuals!H628+Quarterly_Actuals!H629-Quarterly_Actuals!H630</t>
  </si>
  <si>
    <t xml:space="preserve">CK-0527</t>
  </si>
  <si>
    <t xml:space="preserve">Sum of Q1..Q3 2021 (3-month values) - 9M 2021 value = 0 [ga_nongaap]</t>
  </si>
  <si>
    <t xml:space="preserve">Quarterly_Actuals!H628+Quarterly_Actuals!H629+Quarterly_Actuals!H631-Quarterly_Actuals!H632</t>
  </si>
  <si>
    <t xml:space="preserve">CK-0528</t>
  </si>
  <si>
    <t xml:space="preserve">Sum of Q1..Q4 2021 (3-month values) - 12M 2021 value = 0 [ga_nongaap]</t>
  </si>
  <si>
    <t xml:space="preserve">Quarterly_Actuals!H628+Quarterly_Actuals!H629+Quarterly_Actuals!H631+Quarterly_Actuals!H633-Quarterly_Actuals!H634</t>
  </si>
  <si>
    <t xml:space="preserve">CK-0529</t>
  </si>
  <si>
    <t xml:space="preserve">Sum of Q1..Q2 2021 (3-month values) - 6M 2021 value = 0 [op_income_nongaap]</t>
  </si>
  <si>
    <t xml:space="preserve">Quarterly_Actuals!H666+Quarterly_Actuals!H667-Quarterly_Actuals!H668</t>
  </si>
  <si>
    <t xml:space="preserve">CK-0530</t>
  </si>
  <si>
    <t xml:space="preserve">Sum of Q1..Q3 2021 (3-month values) - 9M 2021 value = 0 [op_income_nongaap]</t>
  </si>
  <si>
    <t xml:space="preserve">Quarterly_Actuals!H666+Quarterly_Actuals!H667+Quarterly_Actuals!H669-Quarterly_Actuals!H670</t>
  </si>
  <si>
    <t xml:space="preserve">CK-0531</t>
  </si>
  <si>
    <t xml:space="preserve">Sum of Q1..Q4 2021 (3-month values) - 12M 2021 value = 0 [op_income_nongaap]</t>
  </si>
  <si>
    <t xml:space="preserve">Quarterly_Actuals!H666+Quarterly_Actuals!H667+Quarterly_Actuals!H669+Quarterly_Actuals!H671-Quarterly_Actuals!H672</t>
  </si>
  <si>
    <t xml:space="preserve">CK-0532</t>
  </si>
  <si>
    <t xml:space="preserve">Sum of Q1..Q2 2021 (3-month values) - 6M 2021 value = 0 [net_income_nongaap]</t>
  </si>
  <si>
    <t xml:space="preserve">Quarterly_Actuals!H742+Quarterly_Actuals!H743-Quarterly_Actuals!H744</t>
  </si>
  <si>
    <t xml:space="preserve">CK-0533</t>
  </si>
  <si>
    <t xml:space="preserve">Sum of Q1..Q3 2021 (3-month values) - 9M 2021 value = 0 [net_income_nongaap]</t>
  </si>
  <si>
    <t xml:space="preserve">Quarterly_Actuals!H742+Quarterly_Actuals!H743+Quarterly_Actuals!H745-Quarterly_Actuals!H746</t>
  </si>
  <si>
    <t xml:space="preserve">CK-0534</t>
  </si>
  <si>
    <t xml:space="preserve">Sum of Q1..Q4 2021 (3-month values) - 12M 2021 value = 0 [net_income_nongaap]</t>
  </si>
  <si>
    <t xml:space="preserve">Quarterly_Actuals!H742+Quarterly_Actuals!H743+Quarterly_Actuals!H745+Quarterly_Actuals!H747-Quarterly_Actuals!H748</t>
  </si>
  <si>
    <t xml:space="preserve">CK-0535</t>
  </si>
  <si>
    <t xml:space="preserve">Sum of Q1..Q2 2021 (3-month values) - 6M 2021 value = 0 [sbc_total_opinc_recon]</t>
  </si>
  <si>
    <t xml:space="preserve">Quarterly_Actuals!H834+Quarterly_Actuals!H835-Quarterly_Actuals!H836</t>
  </si>
  <si>
    <t xml:space="preserve">CK-0536</t>
  </si>
  <si>
    <t xml:space="preserve">Sum of Q1..Q3 2021 (3-month values) - 9M 2021 value = 0 [sbc_total_opinc_recon]</t>
  </si>
  <si>
    <t xml:space="preserve">Quarterly_Actuals!H834+Quarterly_Actuals!H835+Quarterly_Actuals!H837-Quarterly_Actuals!H838</t>
  </si>
  <si>
    <t xml:space="preserve">CK-0537</t>
  </si>
  <si>
    <t xml:space="preserve">Sum of Q1..Q4 2021 (3-month values) - 12M 2021 value = 0 [sbc_total_opinc_recon]</t>
  </si>
  <si>
    <t xml:space="preserve">Quarterly_Actuals!H834+Quarterly_Actuals!H835+Quarterly_Actuals!H837+Quarterly_Actuals!H839-Quarterly_Actuals!H840</t>
  </si>
  <si>
    <t xml:space="preserve">CK-0538</t>
  </si>
  <si>
    <t xml:space="preserve">Sum of Q1..Q2 2021 (3-month values) - 6M 2021 value = 0 [sbc_cf]</t>
  </si>
  <si>
    <t xml:space="preserve">Quarterly_Actuals!H872+Quarterly_Actuals!H873-Quarterly_Actuals!H874</t>
  </si>
  <si>
    <t xml:space="preserve">CK-0539</t>
  </si>
  <si>
    <t xml:space="preserve">Sum of Q1..Q3 2021 (3-month values) - 9M 2021 value = 0 [sbc_cf]</t>
  </si>
  <si>
    <t xml:space="preserve">Quarterly_Actuals!H872+Quarterly_Actuals!H873+Quarterly_Actuals!H875-Quarterly_Actuals!H876</t>
  </si>
  <si>
    <t xml:space="preserve">CK-0540</t>
  </si>
  <si>
    <t xml:space="preserve">Sum of Q1..Q4 2021 (3-month values) - 12M 2021 value = 0 [sbc_cf]</t>
  </si>
  <si>
    <t xml:space="preserve">Quarterly_Actuals!H872+Quarterly_Actuals!H873+Quarterly_Actuals!H875+Quarterly_Actuals!H877-Quarterly_Actuals!H878</t>
  </si>
  <si>
    <t xml:space="preserve">CK-0541</t>
  </si>
  <si>
    <t xml:space="preserve">Sum of Q1..Q2 2021 (3-month values) - 6M 2021 value = 0 [ocf]</t>
  </si>
  <si>
    <t xml:space="preserve">Quarterly_Actuals!H930+Quarterly_Actuals!H931-Quarterly_Actuals!H932</t>
  </si>
  <si>
    <t xml:space="preserve">CK-0542</t>
  </si>
  <si>
    <t xml:space="preserve">Sum of Q1..Q3 2021 (3-month values) - 9M 2021 value = 0 [ocf]</t>
  </si>
  <si>
    <t xml:space="preserve">Quarterly_Actuals!H930+Quarterly_Actuals!H931+Quarterly_Actuals!H933-Quarterly_Actuals!H934</t>
  </si>
  <si>
    <t xml:space="preserve">CK-0543</t>
  </si>
  <si>
    <t xml:space="preserve">Sum of Q1..Q4 2021 (3-month values) - 12M 2021 value = 0 [ocf]</t>
  </si>
  <si>
    <t xml:space="preserve">Quarterly_Actuals!H930+Quarterly_Actuals!H931+Quarterly_Actuals!H933+Quarterly_Actuals!H935-Quarterly_Actuals!H936</t>
  </si>
  <si>
    <t xml:space="preserve">CK-0544</t>
  </si>
  <si>
    <t xml:space="preserve">Sum of Q1..Q2 2021 (3-month values) - 6M 2021 value = 0 [capex_ppe]</t>
  </si>
  <si>
    <t xml:space="preserve">Quarterly_Actuals!H968+Quarterly_Actuals!H969-Quarterly_Actuals!H970</t>
  </si>
  <si>
    <t xml:space="preserve">CK-0545</t>
  </si>
  <si>
    <t xml:space="preserve">Sum of Q1..Q3 2021 (3-month values) - 9M 2021 value = 0 [capex_ppe]</t>
  </si>
  <si>
    <t xml:space="preserve">Quarterly_Actuals!H968+Quarterly_Actuals!H969+Quarterly_Actuals!H971-Quarterly_Actuals!H972</t>
  </si>
  <si>
    <t xml:space="preserve">CK-0546</t>
  </si>
  <si>
    <t xml:space="preserve">Sum of Q1..Q4 2021 (3-month values) - 12M 2021 value = 0 [capex_ppe]</t>
  </si>
  <si>
    <t xml:space="preserve">Quarterly_Actuals!H968+Quarterly_Actuals!H969+Quarterly_Actuals!H971+Quarterly_Actuals!H973-Quarterly_Actuals!H974</t>
  </si>
  <si>
    <t xml:space="preserve">CK-0547</t>
  </si>
  <si>
    <t xml:space="preserve">Sum of Q1..Q2 2021 (3-month values) - 6M 2021 value = 0 [capitalized_software]</t>
  </si>
  <si>
    <t xml:space="preserve">Quarterly_Actuals!H1006+Quarterly_Actuals!H1007-Quarterly_Actuals!H1008</t>
  </si>
  <si>
    <t xml:space="preserve">CK-0548</t>
  </si>
  <si>
    <t xml:space="preserve">Sum of Q1..Q3 2021 (3-month values) - 9M 2021 value = 0 [capitalized_software]</t>
  </si>
  <si>
    <t xml:space="preserve">Quarterly_Actuals!H1006+Quarterly_Actuals!H1007+Quarterly_Actuals!H1009-Quarterly_Actuals!H1010</t>
  </si>
  <si>
    <t xml:space="preserve">CK-0549</t>
  </si>
  <si>
    <t xml:space="preserve">Sum of Q1..Q4 2021 (3-month values) - 12M 2021 value = 0 [capitalized_software]</t>
  </si>
  <si>
    <t xml:space="preserve">Quarterly_Actuals!H1006+Quarterly_Actuals!H1007+Quarterly_Actuals!H1009+Quarterly_Actuals!H1011-Quarterly_Actuals!H1012</t>
  </si>
  <si>
    <t xml:space="preserve">CK-0550</t>
  </si>
  <si>
    <t xml:space="preserve">Sum of Q1..Q2 2021 (3-month values) - 6M 2021 value = 0 [hq_buildout_addback]</t>
  </si>
  <si>
    <t xml:space="preserve">Quarterly_Actuals!H1044+Quarterly_Actuals!H1045-Quarterly_Actuals!H1046</t>
  </si>
  <si>
    <t xml:space="preserve">CK-0551</t>
  </si>
  <si>
    <t xml:space="preserve">Sum of Q1..Q3 2021 (3-month values) - 9M 2021 value = 0 [hq_buildout_addback]</t>
  </si>
  <si>
    <t xml:space="preserve">Quarterly_Actuals!H1044+Quarterly_Actuals!H1045+Quarterly_Actuals!H1047-Quarterly_Actuals!H1048</t>
  </si>
  <si>
    <t xml:space="preserve">CK-0552</t>
  </si>
  <si>
    <t xml:space="preserve">Sum of Q1..Q4 2021 (3-month values) - 12M 2021 value = 0 [hq_buildout_addback]</t>
  </si>
  <si>
    <t xml:space="preserve">Quarterly_Actuals!H1044+Quarterly_Actuals!H1045+Quarterly_Actuals!H1047+Quarterly_Actuals!H1049-Quarterly_Actuals!H1050</t>
  </si>
  <si>
    <t xml:space="preserve">CK-0553</t>
  </si>
  <si>
    <t xml:space="preserve">Sum of Q1..Q2 2021 (3-month values) - 6M 2021 value = 0 [fcf_reported]</t>
  </si>
  <si>
    <t xml:space="preserve">Quarterly_Actuals!H1068+Quarterly_Actuals!H1069-Quarterly_Actuals!H1070</t>
  </si>
  <si>
    <t xml:space="preserve">CK-0554</t>
  </si>
  <si>
    <t xml:space="preserve">Sum of Q1..Q3 2021 (3-month values) - 9M 2021 value = 0 [fcf_reported]</t>
  </si>
  <si>
    <t xml:space="preserve">Quarterly_Actuals!H1068+Quarterly_Actuals!H1069+Quarterly_Actuals!H1071-Quarterly_Actuals!H1072</t>
  </si>
  <si>
    <t xml:space="preserve">CK-0555</t>
  </si>
  <si>
    <t xml:space="preserve">Sum of Q1..Q4 2021 (3-month values) - 12M 2021 value = 0 [fcf_reported]</t>
  </si>
  <si>
    <t xml:space="preserve">Quarterly_Actuals!H1068+Quarterly_Actuals!H1069+Quarterly_Actuals!H1071+Quarterly_Actuals!H1073-Quarterly_Actuals!H1074</t>
  </si>
  <si>
    <t xml:space="preserve">CK-0556</t>
  </si>
  <si>
    <t xml:space="preserve">Sum of Q1..Q2 2021 (3-month values) - 6M 2021 value = 0 [d_and_a]</t>
  </si>
  <si>
    <t xml:space="preserve">Quarterly_Actuals!H1134+Quarterly_Actuals!H1135-Quarterly_Actuals!H1136</t>
  </si>
  <si>
    <t xml:space="preserve">CK-0557</t>
  </si>
  <si>
    <t xml:space="preserve">Sum of Q1..Q3 2021 (3-month values) - 9M 2021 value = 0 [d_and_a]</t>
  </si>
  <si>
    <t xml:space="preserve">Quarterly_Actuals!H1134+Quarterly_Actuals!H1135+Quarterly_Actuals!H1137-Quarterly_Actuals!H1138</t>
  </si>
  <si>
    <t xml:space="preserve">CK-0558</t>
  </si>
  <si>
    <t xml:space="preserve">Sum of Q1..Q4 2021 (3-month values) - 12M 2021 value = 0 [d_and_a]</t>
  </si>
  <si>
    <t xml:space="preserve">Quarterly_Actuals!H1134+Quarterly_Actuals!H1135+Quarterly_Actuals!H1137+Quarterly_Actuals!H1139-Quarterly_Actuals!H1140</t>
  </si>
  <si>
    <t xml:space="preserve">CK-0559</t>
  </si>
  <si>
    <t xml:space="preserve">Sum of Q1..Q2 2022 (3-month values) - 6M 2022 value = 0 [revenue]</t>
  </si>
  <si>
    <t xml:space="preserve">Quarterly_Actuals!H9+Quarterly_Actuals!H10-Quarterly_Actuals!H11</t>
  </si>
  <si>
    <t xml:space="preserve">CK-0560</t>
  </si>
  <si>
    <t xml:space="preserve">Sum of Q1..Q3 2022 (3-month values) - 9M 2022 value = 0 [revenue]</t>
  </si>
  <si>
    <t xml:space="preserve">Quarterly_Actuals!H9+Quarterly_Actuals!H10+Quarterly_Actuals!H12-Quarterly_Actuals!H13</t>
  </si>
  <si>
    <t xml:space="preserve">CK-0561</t>
  </si>
  <si>
    <t xml:space="preserve">Sum of Q1..Q4 2022 (3-month values) - 12M 2022 value = 0 [revenue]</t>
  </si>
  <si>
    <t xml:space="preserve">12M 2022</t>
  </si>
  <si>
    <t xml:space="preserve">Quarterly_Actuals!H9+Quarterly_Actuals!H10+Quarterly_Actuals!H12+Quarterly_Actuals!H14-Quarterly_Actuals!H15</t>
  </si>
  <si>
    <t xml:space="preserve">CK-0562</t>
  </si>
  <si>
    <t xml:space="preserve">Sum of Q1..Q2 2022 (3-month values) - 6M 2022 value = 0 [cost_of_revenue]</t>
  </si>
  <si>
    <t xml:space="preserve">Quarterly_Actuals!H47+Quarterly_Actuals!H48-Quarterly_Actuals!H49</t>
  </si>
  <si>
    <t xml:space="preserve">CK-0563</t>
  </si>
  <si>
    <t xml:space="preserve">Sum of Q1..Q3 2022 (3-month values) - 9M 2022 value = 0 [cost_of_revenue]</t>
  </si>
  <si>
    <t xml:space="preserve">Quarterly_Actuals!H47+Quarterly_Actuals!H48+Quarterly_Actuals!H50-Quarterly_Actuals!H51</t>
  </si>
  <si>
    <t xml:space="preserve">CK-0564</t>
  </si>
  <si>
    <t xml:space="preserve">Sum of Q1..Q4 2022 (3-month values) - 12M 2022 value = 0 [cost_of_revenue]</t>
  </si>
  <si>
    <t xml:space="preserve">Quarterly_Actuals!H47+Quarterly_Actuals!H48+Quarterly_Actuals!H50+Quarterly_Actuals!H52-Quarterly_Actuals!H53</t>
  </si>
  <si>
    <t xml:space="preserve">CK-0565</t>
  </si>
  <si>
    <t xml:space="preserve">Sum of Q1..Q2 2022 (3-month values) - 6M 2022 value = 0 [gross_profit_gaap]</t>
  </si>
  <si>
    <t xml:space="preserve">Quarterly_Actuals!H85+Quarterly_Actuals!H86-Quarterly_Actuals!H87</t>
  </si>
  <si>
    <t xml:space="preserve">CK-0566</t>
  </si>
  <si>
    <t xml:space="preserve">Sum of Q1..Q3 2022 (3-month values) - 9M 2022 value = 0 [gross_profit_gaap]</t>
  </si>
  <si>
    <t xml:space="preserve">Quarterly_Actuals!H85+Quarterly_Actuals!H86+Quarterly_Actuals!H88-Quarterly_Actuals!H89</t>
  </si>
  <si>
    <t xml:space="preserve">CK-0567</t>
  </si>
  <si>
    <t xml:space="preserve">Sum of Q1..Q4 2022 (3-month values) - 12M 2022 value = 0 [gross_profit_gaap]</t>
  </si>
  <si>
    <t xml:space="preserve">Quarterly_Actuals!H85+Quarterly_Actuals!H86+Quarterly_Actuals!H88+Quarterly_Actuals!H90-Quarterly_Actuals!H91</t>
  </si>
  <si>
    <t xml:space="preserve">CK-0568</t>
  </si>
  <si>
    <t xml:space="preserve">Sum of Q1..Q2 2022 (3-month values) - 6M 2022 value = 0 [rd_gaap]</t>
  </si>
  <si>
    <t xml:space="preserve">Quarterly_Actuals!H161+Quarterly_Actuals!H162-Quarterly_Actuals!H163</t>
  </si>
  <si>
    <t xml:space="preserve">CK-0569</t>
  </si>
  <si>
    <t xml:space="preserve">Sum of Q1..Q3 2022 (3-month values) - 9M 2022 value = 0 [rd_gaap]</t>
  </si>
  <si>
    <t xml:space="preserve">Quarterly_Actuals!H161+Quarterly_Actuals!H162+Quarterly_Actuals!H164-Quarterly_Actuals!H165</t>
  </si>
  <si>
    <t xml:space="preserve">CK-0570</t>
  </si>
  <si>
    <t xml:space="preserve">Sum of Q1..Q4 2022 (3-month values) - 12M 2022 value = 0 [rd_gaap]</t>
  </si>
  <si>
    <t xml:space="preserve">Quarterly_Actuals!H161+Quarterly_Actuals!H162+Quarterly_Actuals!H164+Quarterly_Actuals!H166-Quarterly_Actuals!H167</t>
  </si>
  <si>
    <t xml:space="preserve">CK-0571</t>
  </si>
  <si>
    <t xml:space="preserve">Sum of Q1..Q2 2022 (3-month values) - 6M 2022 value = 0 [sm_gaap]</t>
  </si>
  <si>
    <t xml:space="preserve">Quarterly_Actuals!H199+Quarterly_Actuals!H200-Quarterly_Actuals!H201</t>
  </si>
  <si>
    <t xml:space="preserve">CK-0572</t>
  </si>
  <si>
    <t xml:space="preserve">Sum of Q1..Q3 2022 (3-month values) - 9M 2022 value = 0 [sm_gaap]</t>
  </si>
  <si>
    <t xml:space="preserve">Quarterly_Actuals!H199+Quarterly_Actuals!H200+Quarterly_Actuals!H202-Quarterly_Actuals!H203</t>
  </si>
  <si>
    <t xml:space="preserve">CK-0573</t>
  </si>
  <si>
    <t xml:space="preserve">Sum of Q1..Q4 2022 (3-month values) - 12M 2022 value = 0 [sm_gaap]</t>
  </si>
  <si>
    <t xml:space="preserve">Quarterly_Actuals!H199+Quarterly_Actuals!H200+Quarterly_Actuals!H202+Quarterly_Actuals!H204-Quarterly_Actuals!H205</t>
  </si>
  <si>
    <t xml:space="preserve">CK-0574</t>
  </si>
  <si>
    <t xml:space="preserve">Sum of Q1..Q2 2022 (3-month values) - 6M 2022 value = 0 [ga_gaap]</t>
  </si>
  <si>
    <t xml:space="preserve">Quarterly_Actuals!H237+Quarterly_Actuals!H238-Quarterly_Actuals!H239</t>
  </si>
  <si>
    <t xml:space="preserve">CK-0575</t>
  </si>
  <si>
    <t xml:space="preserve">Sum of Q1..Q3 2022 (3-month values) - 9M 2022 value = 0 [ga_gaap]</t>
  </si>
  <si>
    <t xml:space="preserve">Quarterly_Actuals!H237+Quarterly_Actuals!H238+Quarterly_Actuals!H240-Quarterly_Actuals!H241</t>
  </si>
  <si>
    <t xml:space="preserve">CK-0576</t>
  </si>
  <si>
    <t xml:space="preserve">Sum of Q1..Q4 2022 (3-month values) - 12M 2022 value = 0 [ga_gaap]</t>
  </si>
  <si>
    <t xml:space="preserve">Quarterly_Actuals!H237+Quarterly_Actuals!H238+Quarterly_Actuals!H240+Quarterly_Actuals!H242-Quarterly_Actuals!H243</t>
  </si>
  <si>
    <t xml:space="preserve">CK-0577</t>
  </si>
  <si>
    <t xml:space="preserve">Sum of Q1..Q2 2022 (3-month values) - 6M 2022 value = 0 [total_opex_gaap]</t>
  </si>
  <si>
    <t xml:space="preserve">Quarterly_Actuals!H277+Quarterly_Actuals!H278-Quarterly_Actuals!H279</t>
  </si>
  <si>
    <t xml:space="preserve">CK-0578</t>
  </si>
  <si>
    <t xml:space="preserve">Sum of Q1..Q3 2022 (3-month values) - 9M 2022 value = 0 [total_opex_gaap]</t>
  </si>
  <si>
    <t xml:space="preserve">Quarterly_Actuals!H277+Quarterly_Actuals!H278+Quarterly_Actuals!H280-Quarterly_Actuals!H281</t>
  </si>
  <si>
    <t xml:space="preserve">CK-0579</t>
  </si>
  <si>
    <t xml:space="preserve">Sum of Q1..Q4 2022 (3-month values) - 12M 2022 value = 0 [total_opex_gaap]</t>
  </si>
  <si>
    <t xml:space="preserve">Quarterly_Actuals!H277+Quarterly_Actuals!H278+Quarterly_Actuals!H280+Quarterly_Actuals!H282-Quarterly_Actuals!H283</t>
  </si>
  <si>
    <t xml:space="preserve">CK-0580</t>
  </si>
  <si>
    <t xml:space="preserve">Sum of Q1..Q2 2022 (3-month values) - 6M 2022 value = 0 [op_income_gaap]</t>
  </si>
  <si>
    <t xml:space="preserve">Quarterly_Actuals!H315+Quarterly_Actuals!H316-Quarterly_Actuals!H317</t>
  </si>
  <si>
    <t xml:space="preserve">CK-0581</t>
  </si>
  <si>
    <t xml:space="preserve">Sum of Q1..Q3 2022 (3-month values) - 9M 2022 value = 0 [op_income_gaap]</t>
  </si>
  <si>
    <t xml:space="preserve">Quarterly_Actuals!H315+Quarterly_Actuals!H316+Quarterly_Actuals!H318-Quarterly_Actuals!H319</t>
  </si>
  <si>
    <t xml:space="preserve">CK-0582</t>
  </si>
  <si>
    <t xml:space="preserve">Sum of Q1..Q4 2022 (3-month values) - 12M 2022 value = 0 [op_income_gaap]</t>
  </si>
  <si>
    <t xml:space="preserve">Quarterly_Actuals!H315+Quarterly_Actuals!H316+Quarterly_Actuals!H318+Quarterly_Actuals!H320-Quarterly_Actuals!H321</t>
  </si>
  <si>
    <t xml:space="preserve">CK-0583</t>
  </si>
  <si>
    <t xml:space="preserve">Sum of Q1..Q2 2022 (3-month values) - 6M 2022 value = 0 [net_income_gaap]</t>
  </si>
  <si>
    <t xml:space="preserve">Quarterly_Actuals!H391+Quarterly_Actuals!H392-Quarterly_Actuals!H393</t>
  </si>
  <si>
    <t xml:space="preserve">CK-0584</t>
  </si>
  <si>
    <t xml:space="preserve">Sum of Q1..Q3 2022 (3-month values) - 9M 2022 value = 0 [net_income_gaap]</t>
  </si>
  <si>
    <t xml:space="preserve">Quarterly_Actuals!H391+Quarterly_Actuals!H392+Quarterly_Actuals!H394-Quarterly_Actuals!H395</t>
  </si>
  <si>
    <t xml:space="preserve">CK-0585</t>
  </si>
  <si>
    <t xml:space="preserve">Sum of Q1..Q4 2022 (3-month values) - 12M 2022 value = 0 [net_income_gaap]</t>
  </si>
  <si>
    <t xml:space="preserve">Quarterly_Actuals!H391+Quarterly_Actuals!H392+Quarterly_Actuals!H394+Quarterly_Actuals!H396-Quarterly_Actuals!H397</t>
  </si>
  <si>
    <t xml:space="preserve">CK-0586</t>
  </si>
  <si>
    <t xml:space="preserve">Sum of Q1..Q2 2022 (3-month values) - 6M 2022 value = 0 [gross_profit_nongaap]</t>
  </si>
  <si>
    <t xml:space="preserve">Quarterly_Actuals!H483+Quarterly_Actuals!H484-Quarterly_Actuals!H485</t>
  </si>
  <si>
    <t xml:space="preserve">CK-0587</t>
  </si>
  <si>
    <t xml:space="preserve">Sum of Q1..Q3 2022 (3-month values) - 9M 2022 value = 0 [gross_profit_nongaap]</t>
  </si>
  <si>
    <t xml:space="preserve">Quarterly_Actuals!H483+Quarterly_Actuals!H484+Quarterly_Actuals!H486-Quarterly_Actuals!H487</t>
  </si>
  <si>
    <t xml:space="preserve">CK-0588</t>
  </si>
  <si>
    <t xml:space="preserve">Sum of Q1..Q4 2022 (3-month values) - 12M 2022 value = 0 [gross_profit_nongaap]</t>
  </si>
  <si>
    <t xml:space="preserve">Quarterly_Actuals!H483+Quarterly_Actuals!H484+Quarterly_Actuals!H486+Quarterly_Actuals!H488-Quarterly_Actuals!H489</t>
  </si>
  <si>
    <t xml:space="preserve">CK-0589</t>
  </si>
  <si>
    <t xml:space="preserve">Sum of Q1..Q2 2022 (3-month values) - 6M 2022 value = 0 [rd_nongaap]</t>
  </si>
  <si>
    <t xml:space="preserve">Quarterly_Actuals!H559+Quarterly_Actuals!H560-Quarterly_Actuals!H561</t>
  </si>
  <si>
    <t xml:space="preserve">CK-0590</t>
  </si>
  <si>
    <t xml:space="preserve">Sum of Q1..Q3 2022 (3-month values) - 9M 2022 value = 0 [rd_nongaap]</t>
  </si>
  <si>
    <t xml:space="preserve">Quarterly_Actuals!H559+Quarterly_Actuals!H560+Quarterly_Actuals!H562-Quarterly_Actuals!H563</t>
  </si>
  <si>
    <t xml:space="preserve">CK-0591</t>
  </si>
  <si>
    <t xml:space="preserve">Sum of Q1..Q4 2022 (3-month values) - 12M 2022 value = 0 [rd_nongaap]</t>
  </si>
  <si>
    <t xml:space="preserve">Quarterly_Actuals!H559+Quarterly_Actuals!H560+Quarterly_Actuals!H562+Quarterly_Actuals!H564-Quarterly_Actuals!H565</t>
  </si>
  <si>
    <t xml:space="preserve">CK-0592</t>
  </si>
  <si>
    <t xml:space="preserve">Sum of Q1..Q2 2022 (3-month values) - 6M 2022 value = 0 [sm_nongaap]</t>
  </si>
  <si>
    <t xml:space="preserve">Quarterly_Actuals!H597+Quarterly_Actuals!H598-Quarterly_Actuals!H599</t>
  </si>
  <si>
    <t xml:space="preserve">CK-0593</t>
  </si>
  <si>
    <t xml:space="preserve">Sum of Q1..Q3 2022 (3-month values) - 9M 2022 value = 0 [sm_nongaap]</t>
  </si>
  <si>
    <t xml:space="preserve">Quarterly_Actuals!H597+Quarterly_Actuals!H598+Quarterly_Actuals!H600-Quarterly_Actuals!H601</t>
  </si>
  <si>
    <t xml:space="preserve">CK-0594</t>
  </si>
  <si>
    <t xml:space="preserve">Sum of Q1..Q4 2022 (3-month values) - 12M 2022 value = 0 [sm_nongaap]</t>
  </si>
  <si>
    <t xml:space="preserve">Quarterly_Actuals!H597+Quarterly_Actuals!H598+Quarterly_Actuals!H600+Quarterly_Actuals!H602-Quarterly_Actuals!H603</t>
  </si>
  <si>
    <t xml:space="preserve">CK-0595</t>
  </si>
  <si>
    <t xml:space="preserve">Sum of Q1..Q2 2022 (3-month values) - 6M 2022 value = 0 [ga_nongaap]</t>
  </si>
  <si>
    <t xml:space="preserve">Quarterly_Actuals!H635+Quarterly_Actuals!H636-Quarterly_Actuals!H637</t>
  </si>
  <si>
    <t xml:space="preserve">CK-0596</t>
  </si>
  <si>
    <t xml:space="preserve">Sum of Q1..Q3 2022 (3-month values) - 9M 2022 value = 0 [ga_nongaap]</t>
  </si>
  <si>
    <t xml:space="preserve">Quarterly_Actuals!H635+Quarterly_Actuals!H636+Quarterly_Actuals!H638-Quarterly_Actuals!H639</t>
  </si>
  <si>
    <t xml:space="preserve">CK-0597</t>
  </si>
  <si>
    <t xml:space="preserve">Sum of Q1..Q4 2022 (3-month values) - 12M 2022 value = 0 [ga_nongaap]</t>
  </si>
  <si>
    <t xml:space="preserve">Quarterly_Actuals!H635+Quarterly_Actuals!H636+Quarterly_Actuals!H638+Quarterly_Actuals!H640-Quarterly_Actuals!H641</t>
  </si>
  <si>
    <t xml:space="preserve">CK-0598</t>
  </si>
  <si>
    <t xml:space="preserve">Sum of Q1..Q2 2022 (3-month values) - 6M 2022 value = 0 [op_income_nongaap]</t>
  </si>
  <si>
    <t xml:space="preserve">Quarterly_Actuals!H673+Quarterly_Actuals!H674-Quarterly_Actuals!H675</t>
  </si>
  <si>
    <t xml:space="preserve">CK-0599</t>
  </si>
  <si>
    <t xml:space="preserve">Sum of Q1..Q3 2022 (3-month values) - 9M 2022 value = 0 [op_income_nongaap]</t>
  </si>
  <si>
    <t xml:space="preserve">Quarterly_Actuals!H673+Quarterly_Actuals!H674+Quarterly_Actuals!H676-Quarterly_Actuals!H677</t>
  </si>
  <si>
    <t xml:space="preserve">CK-0600</t>
  </si>
  <si>
    <t xml:space="preserve">Sum of Q1..Q4 2022 (3-month values) - 12M 2022 value = 0 [op_income_nongaap]</t>
  </si>
  <si>
    <t xml:space="preserve">Quarterly_Actuals!H673+Quarterly_Actuals!H674+Quarterly_Actuals!H676+Quarterly_Actuals!H678-Quarterly_Actuals!H679</t>
  </si>
  <si>
    <t xml:space="preserve">CK-0601</t>
  </si>
  <si>
    <t xml:space="preserve">Sum of Q1..Q2 2022 (3-month values) - 6M 2022 value = 0 [net_income_nongaap]</t>
  </si>
  <si>
    <t xml:space="preserve">Quarterly_Actuals!H749+Quarterly_Actuals!H750-Quarterly_Actuals!H751</t>
  </si>
  <si>
    <t xml:space="preserve">CK-0602</t>
  </si>
  <si>
    <t xml:space="preserve">Sum of Q1..Q3 2022 (3-month values) - 9M 2022 value = 0 [net_income_nongaap]</t>
  </si>
  <si>
    <t xml:space="preserve">Quarterly_Actuals!H749+Quarterly_Actuals!H750+Quarterly_Actuals!H752-Quarterly_Actuals!H753</t>
  </si>
  <si>
    <t xml:space="preserve">CK-0603</t>
  </si>
  <si>
    <t xml:space="preserve">Sum of Q1..Q4 2022 (3-month values) - 12M 2022 value = 0 [net_income_nongaap]</t>
  </si>
  <si>
    <t xml:space="preserve">Quarterly_Actuals!H749+Quarterly_Actuals!H750+Quarterly_Actuals!H752+Quarterly_Actuals!H754-Quarterly_Actuals!H755</t>
  </si>
  <si>
    <t xml:space="preserve">CK-0604</t>
  </si>
  <si>
    <t xml:space="preserve">Sum of Q1..Q2 2022 (3-month values) - 6M 2022 value = 0 [sbc_total_opinc_recon]</t>
  </si>
  <si>
    <t xml:space="preserve">Quarterly_Actuals!H841+Quarterly_Actuals!H842-Quarterly_Actuals!H843</t>
  </si>
  <si>
    <t xml:space="preserve">CK-0605</t>
  </si>
  <si>
    <t xml:space="preserve">Sum of Q1..Q3 2022 (3-month values) - 9M 2022 value = 0 [sbc_total_opinc_recon]</t>
  </si>
  <si>
    <t xml:space="preserve">Quarterly_Actuals!H841+Quarterly_Actuals!H842+Quarterly_Actuals!H844-Quarterly_Actuals!H845</t>
  </si>
  <si>
    <t xml:space="preserve">CK-0606</t>
  </si>
  <si>
    <t xml:space="preserve">Sum of Q1..Q4 2022 (3-month values) - 12M 2022 value = 0 [sbc_total_opinc_recon]</t>
  </si>
  <si>
    <t xml:space="preserve">Quarterly_Actuals!H841+Quarterly_Actuals!H842+Quarterly_Actuals!H844+Quarterly_Actuals!H846-Quarterly_Actuals!H847</t>
  </si>
  <si>
    <t xml:space="preserve">CK-0607</t>
  </si>
  <si>
    <t xml:space="preserve">Sum of Q1..Q2 2022 (3-month values) - 6M 2022 value = 0 [sbc_cf]</t>
  </si>
  <si>
    <t xml:space="preserve">Quarterly_Actuals!H879+Quarterly_Actuals!H880-Quarterly_Actuals!H881</t>
  </si>
  <si>
    <t xml:space="preserve">CK-0608</t>
  </si>
  <si>
    <t xml:space="preserve">Sum of Q1..Q3 2022 (3-month values) - 9M 2022 value = 0 [sbc_cf]</t>
  </si>
  <si>
    <t xml:space="preserve">Quarterly_Actuals!H879+Quarterly_Actuals!H880+Quarterly_Actuals!H882-Quarterly_Actuals!H883</t>
  </si>
  <si>
    <t xml:space="preserve">CK-0609</t>
  </si>
  <si>
    <t xml:space="preserve">Sum of Q1..Q4 2022 (3-month values) - 12M 2022 value = 0 [sbc_cf]</t>
  </si>
  <si>
    <t xml:space="preserve">Quarterly_Actuals!H879+Quarterly_Actuals!H880+Quarterly_Actuals!H882+Quarterly_Actuals!H884-Quarterly_Actuals!H885</t>
  </si>
  <si>
    <t xml:space="preserve">CK-0610</t>
  </si>
  <si>
    <t xml:space="preserve">Sum of Q1..Q2 2022 (3-month values) - 6M 2022 value = 0 [ocf]</t>
  </si>
  <si>
    <t xml:space="preserve">Quarterly_Actuals!H937+Quarterly_Actuals!H938-Quarterly_Actuals!H939</t>
  </si>
  <si>
    <t xml:space="preserve">CK-0611</t>
  </si>
  <si>
    <t xml:space="preserve">Sum of Q1..Q3 2022 (3-month values) - 9M 2022 value = 0 [ocf]</t>
  </si>
  <si>
    <t xml:space="preserve">Quarterly_Actuals!H937+Quarterly_Actuals!H938+Quarterly_Actuals!H940-Quarterly_Actuals!H941</t>
  </si>
  <si>
    <t xml:space="preserve">CK-0612</t>
  </si>
  <si>
    <t xml:space="preserve">Sum of Q1..Q4 2022 (3-month values) - 12M 2022 value = 0 [ocf]</t>
  </si>
  <si>
    <t xml:space="preserve">Quarterly_Actuals!H937+Quarterly_Actuals!H938+Quarterly_Actuals!H940+Quarterly_Actuals!H942-Quarterly_Actuals!H943</t>
  </si>
  <si>
    <t xml:space="preserve">CK-0613</t>
  </si>
  <si>
    <t xml:space="preserve">Sum of Q1..Q2 2022 (3-month values) - 6M 2022 value = 0 [capex_ppe]</t>
  </si>
  <si>
    <t xml:space="preserve">Quarterly_Actuals!H975+Quarterly_Actuals!H976-Quarterly_Actuals!H977</t>
  </si>
  <si>
    <t xml:space="preserve">CK-0614</t>
  </si>
  <si>
    <t xml:space="preserve">Sum of Q1..Q3 2022 (3-month values) - 9M 2022 value = 0 [capex_ppe]</t>
  </si>
  <si>
    <t xml:space="preserve">Quarterly_Actuals!H975+Quarterly_Actuals!H976+Quarterly_Actuals!H978-Quarterly_Actuals!H979</t>
  </si>
  <si>
    <t xml:space="preserve">CK-0615</t>
  </si>
  <si>
    <t xml:space="preserve">Sum of Q1..Q4 2022 (3-month values) - 12M 2022 value = 0 [capex_ppe]</t>
  </si>
  <si>
    <t xml:space="preserve">Quarterly_Actuals!H975+Quarterly_Actuals!H976+Quarterly_Actuals!H978+Quarterly_Actuals!H980-Quarterly_Actuals!H981</t>
  </si>
  <si>
    <t xml:space="preserve">CK-0616</t>
  </si>
  <si>
    <t xml:space="preserve">Sum of Q1..Q2 2022 (3-month values) - 6M 2022 value = 0 [capitalized_software]</t>
  </si>
  <si>
    <t xml:space="preserve">Quarterly_Actuals!H1013+Quarterly_Actuals!H1014-Quarterly_Actuals!H1015</t>
  </si>
  <si>
    <t xml:space="preserve">CK-0617</t>
  </si>
  <si>
    <t xml:space="preserve">Sum of Q1..Q3 2022 (3-month values) - 9M 2022 value = 0 [capitalized_software]</t>
  </si>
  <si>
    <t xml:space="preserve">Quarterly_Actuals!H1013+Quarterly_Actuals!H1014+Quarterly_Actuals!H1016-Quarterly_Actuals!H1017</t>
  </si>
  <si>
    <t xml:space="preserve">CK-0618</t>
  </si>
  <si>
    <t xml:space="preserve">Sum of Q1..Q4 2022 (3-month values) - 12M 2022 value = 0 [capitalized_software]</t>
  </si>
  <si>
    <t xml:space="preserve">Quarterly_Actuals!H1013+Quarterly_Actuals!H1014+Quarterly_Actuals!H1016+Quarterly_Actuals!H1018-Quarterly_Actuals!H1019</t>
  </si>
  <si>
    <t xml:space="preserve">CK-0619</t>
  </si>
  <si>
    <t xml:space="preserve">Sum of Q1..Q2 2022 (3-month values) - 6M 2022 value = 0 [hq_buildout_addback]</t>
  </si>
  <si>
    <t xml:space="preserve">Quarterly_Actuals!H1051+Quarterly_Actuals!H1052-Quarterly_Actuals!H1053</t>
  </si>
  <si>
    <t xml:space="preserve">CK-0620</t>
  </si>
  <si>
    <t xml:space="preserve">Sum of Q1..Q3 2022 (3-month values) - 9M 2022 value = 0 [hq_buildout_addback]</t>
  </si>
  <si>
    <t xml:space="preserve">Quarterly_Actuals!H1051+Quarterly_Actuals!H1052+Quarterly_Actuals!H1054-Quarterly_Actuals!H1055</t>
  </si>
  <si>
    <t xml:space="preserve">CK-0621</t>
  </si>
  <si>
    <t xml:space="preserve">Sum of Q1..Q4 2022 (3-month values) - 12M 2022 value = 0 [hq_buildout_addback]</t>
  </si>
  <si>
    <t xml:space="preserve">Quarterly_Actuals!H1051+Quarterly_Actuals!H1052+Quarterly_Actuals!H1054+Quarterly_Actuals!H1056-Quarterly_Actuals!H1057</t>
  </si>
  <si>
    <t xml:space="preserve">CK-0622</t>
  </si>
  <si>
    <t xml:space="preserve">Sum of Q1..Q2 2022 (3-month values) - 6M 2022 value = 0 [fcf_reported]</t>
  </si>
  <si>
    <t xml:space="preserve">Quarterly_Actuals!H1075+Quarterly_Actuals!H1076-Quarterly_Actuals!H1077</t>
  </si>
  <si>
    <t xml:space="preserve">CK-0623</t>
  </si>
  <si>
    <t xml:space="preserve">Sum of Q1..Q3 2022 (3-month values) - 9M 2022 value = 0 [fcf_reported]</t>
  </si>
  <si>
    <t xml:space="preserve">Quarterly_Actuals!H1075+Quarterly_Actuals!H1076+Quarterly_Actuals!H1078-Quarterly_Actuals!H1079</t>
  </si>
  <si>
    <t xml:space="preserve">CK-0624</t>
  </si>
  <si>
    <t xml:space="preserve">Sum of Q1..Q4 2022 (3-month values) - 12M 2022 value = 0 [fcf_reported]</t>
  </si>
  <si>
    <t xml:space="preserve">Quarterly_Actuals!H1075+Quarterly_Actuals!H1076+Quarterly_Actuals!H1078+Quarterly_Actuals!H1080-Quarterly_Actuals!H1081</t>
  </si>
  <si>
    <t xml:space="preserve">CK-0625</t>
  </si>
  <si>
    <t xml:space="preserve">Sum of Q1..Q2 2022 (3-month values) - 6M 2022 value = 0 [d_and_a]</t>
  </si>
  <si>
    <t xml:space="preserve">Quarterly_Actuals!H1141+Quarterly_Actuals!H1142-Quarterly_Actuals!H1143</t>
  </si>
  <si>
    <t xml:space="preserve">CK-0626</t>
  </si>
  <si>
    <t xml:space="preserve">Sum of Q1..Q3 2022 (3-month values) - 9M 2022 value = 0 [d_and_a]</t>
  </si>
  <si>
    <t xml:space="preserve">Quarterly_Actuals!H1141+Quarterly_Actuals!H1142+Quarterly_Actuals!H1144-Quarterly_Actuals!H1145</t>
  </si>
  <si>
    <t xml:space="preserve">CK-0627</t>
  </si>
  <si>
    <t xml:space="preserve">Sum of Q1..Q4 2022 (3-month values) - 12M 2022 value = 0 [d_and_a]</t>
  </si>
  <si>
    <t xml:space="preserve">Quarterly_Actuals!H1141+Quarterly_Actuals!H1142+Quarterly_Actuals!H1144+Quarterly_Actuals!H1146-Quarterly_Actuals!H1147</t>
  </si>
  <si>
    <t xml:space="preserve">CK-0628</t>
  </si>
  <si>
    <t xml:space="preserve">Sum of Q1..Q2 2023 (3-month values) - 6M 2023 value = 0 [revenue]</t>
  </si>
  <si>
    <t xml:space="preserve">Quarterly_Actuals!H16+Quarterly_Actuals!H17-Quarterly_Actuals!H18</t>
  </si>
  <si>
    <t xml:space="preserve">CK-0629</t>
  </si>
  <si>
    <t xml:space="preserve">Sum of Q1..Q3 2023 (3-month values) - 9M 2023 value = 0 [revenue]</t>
  </si>
  <si>
    <t xml:space="preserve">Quarterly_Actuals!H16+Quarterly_Actuals!H17+Quarterly_Actuals!H19-Quarterly_Actuals!H20</t>
  </si>
  <si>
    <t xml:space="preserve">CK-0630</t>
  </si>
  <si>
    <t xml:space="preserve">Sum of Q1..Q4 2023 (3-month values) - 12M 2023 value = 0 [revenue]</t>
  </si>
  <si>
    <t xml:space="preserve">12M 2023</t>
  </si>
  <si>
    <t xml:space="preserve">Quarterly_Actuals!H16+Quarterly_Actuals!H17+Quarterly_Actuals!H19+Quarterly_Actuals!H21-Quarterly_Actuals!H22</t>
  </si>
  <si>
    <t xml:space="preserve">CK-0631</t>
  </si>
  <si>
    <t xml:space="preserve">Sum of Q1..Q2 2023 (3-month values) - 6M 2023 value = 0 [cost_of_revenue]</t>
  </si>
  <si>
    <t xml:space="preserve">Quarterly_Actuals!H54+Quarterly_Actuals!H55-Quarterly_Actuals!H56</t>
  </si>
  <si>
    <t xml:space="preserve">CK-0632</t>
  </si>
  <si>
    <t xml:space="preserve">Sum of Q1..Q3 2023 (3-month values) - 9M 2023 value = 0 [cost_of_revenue]</t>
  </si>
  <si>
    <t xml:space="preserve">Quarterly_Actuals!H54+Quarterly_Actuals!H55+Quarterly_Actuals!H57-Quarterly_Actuals!H58</t>
  </si>
  <si>
    <t xml:space="preserve">CK-0633</t>
  </si>
  <si>
    <t xml:space="preserve">Sum of Q1..Q4 2023 (3-month values) - 12M 2023 value = 0 [cost_of_revenue]</t>
  </si>
  <si>
    <t xml:space="preserve">Quarterly_Actuals!H54+Quarterly_Actuals!H55+Quarterly_Actuals!H57+Quarterly_Actuals!H59-Quarterly_Actuals!H60</t>
  </si>
  <si>
    <t xml:space="preserve">CK-0634</t>
  </si>
  <si>
    <t xml:space="preserve">Sum of Q1..Q2 2023 (3-month values) - 6M 2023 value = 0 [gross_profit_gaap]</t>
  </si>
  <si>
    <t xml:space="preserve">Quarterly_Actuals!H92+Quarterly_Actuals!H93-Quarterly_Actuals!H94</t>
  </si>
  <si>
    <t xml:space="preserve">CK-0635</t>
  </si>
  <si>
    <t xml:space="preserve">Sum of Q1..Q3 2023 (3-month values) - 9M 2023 value = 0 [gross_profit_gaap]</t>
  </si>
  <si>
    <t xml:space="preserve">Quarterly_Actuals!H92+Quarterly_Actuals!H93+Quarterly_Actuals!H95-Quarterly_Actuals!H96</t>
  </si>
  <si>
    <t xml:space="preserve">CK-0636</t>
  </si>
  <si>
    <t xml:space="preserve">Sum of Q1..Q4 2023 (3-month values) - 12M 2023 value = 0 [gross_profit_gaap]</t>
  </si>
  <si>
    <t xml:space="preserve">Quarterly_Actuals!H92+Quarterly_Actuals!H93+Quarterly_Actuals!H95+Quarterly_Actuals!H97-Quarterly_Actuals!H98</t>
  </si>
  <si>
    <t xml:space="preserve">CK-0637</t>
  </si>
  <si>
    <t xml:space="preserve">Sum of Q1..Q2 2023 (3-month values) - 6M 2023 value = 0 [rd_gaap]</t>
  </si>
  <si>
    <t xml:space="preserve">Quarterly_Actuals!H168+Quarterly_Actuals!H169-Quarterly_Actuals!H170</t>
  </si>
  <si>
    <t xml:space="preserve">CK-0638</t>
  </si>
  <si>
    <t xml:space="preserve">Sum of Q1..Q3 2023 (3-month values) - 9M 2023 value = 0 [rd_gaap]</t>
  </si>
  <si>
    <t xml:space="preserve">Quarterly_Actuals!H168+Quarterly_Actuals!H169+Quarterly_Actuals!H171-Quarterly_Actuals!H172</t>
  </si>
  <si>
    <t xml:space="preserve">CK-0639</t>
  </si>
  <si>
    <t xml:space="preserve">Sum of Q1..Q4 2023 (3-month values) - 12M 2023 value = 0 [rd_gaap]</t>
  </si>
  <si>
    <t xml:space="preserve">Quarterly_Actuals!H168+Quarterly_Actuals!H169+Quarterly_Actuals!H171+Quarterly_Actuals!H173-Quarterly_Actuals!H174</t>
  </si>
  <si>
    <t xml:space="preserve">CK-0640</t>
  </si>
  <si>
    <t xml:space="preserve">Sum of Q1..Q2 2023 (3-month values) - 6M 2023 value = 0 [sm_gaap]</t>
  </si>
  <si>
    <t xml:space="preserve">Quarterly_Actuals!H206+Quarterly_Actuals!H207-Quarterly_Actuals!H208</t>
  </si>
  <si>
    <t xml:space="preserve">CK-0641</t>
  </si>
  <si>
    <t xml:space="preserve">Sum of Q1..Q3 2023 (3-month values) - 9M 2023 value = 0 [sm_gaap]</t>
  </si>
  <si>
    <t xml:space="preserve">Quarterly_Actuals!H206+Quarterly_Actuals!H207+Quarterly_Actuals!H209-Quarterly_Actuals!H210</t>
  </si>
  <si>
    <t xml:space="preserve">CK-0642</t>
  </si>
  <si>
    <t xml:space="preserve">Sum of Q1..Q4 2023 (3-month values) - 12M 2023 value = 0 [sm_gaap]</t>
  </si>
  <si>
    <t xml:space="preserve">Quarterly_Actuals!H206+Quarterly_Actuals!H207+Quarterly_Actuals!H209+Quarterly_Actuals!H211-Quarterly_Actuals!H212</t>
  </si>
  <si>
    <t xml:space="preserve">CK-0643</t>
  </si>
  <si>
    <t xml:space="preserve">Sum of Q1..Q2 2023 (3-month values) - 6M 2023 value = 0 [ga_gaap]</t>
  </si>
  <si>
    <t xml:space="preserve">Quarterly_Actuals!H244+Quarterly_Actuals!H245-Quarterly_Actuals!H246</t>
  </si>
  <si>
    <t xml:space="preserve">CK-0644</t>
  </si>
  <si>
    <t xml:space="preserve">Sum of Q1..Q3 2023 (3-month values) - 9M 2023 value = 0 [ga_gaap]</t>
  </si>
  <si>
    <t xml:space="preserve">Quarterly_Actuals!H244+Quarterly_Actuals!H245+Quarterly_Actuals!H247-Quarterly_Actuals!H248</t>
  </si>
  <si>
    <t xml:space="preserve">CK-0645</t>
  </si>
  <si>
    <t xml:space="preserve">Sum of Q1..Q4 2023 (3-month values) - 12M 2023 value = 0 [ga_gaap]</t>
  </si>
  <si>
    <t xml:space="preserve">Quarterly_Actuals!H244+Quarterly_Actuals!H245+Quarterly_Actuals!H247+Quarterly_Actuals!H249-Quarterly_Actuals!H250</t>
  </si>
  <si>
    <t xml:space="preserve">CK-0646</t>
  </si>
  <si>
    <t xml:space="preserve">Sum of Q1..Q2 2023 (3-month values) - 6M 2023 value = 0 [total_opex_gaap]</t>
  </si>
  <si>
    <t xml:space="preserve">Quarterly_Actuals!H284+Quarterly_Actuals!H285-Quarterly_Actuals!H286</t>
  </si>
  <si>
    <t xml:space="preserve">CK-0647</t>
  </si>
  <si>
    <t xml:space="preserve">Sum of Q1..Q3 2023 (3-month values) - 9M 2023 value = 0 [total_opex_gaap]</t>
  </si>
  <si>
    <t xml:space="preserve">Quarterly_Actuals!H284+Quarterly_Actuals!H285+Quarterly_Actuals!H287-Quarterly_Actuals!H288</t>
  </si>
  <si>
    <t xml:space="preserve">CK-0648</t>
  </si>
  <si>
    <t xml:space="preserve">Sum of Q1..Q4 2023 (3-month values) - 12M 2023 value = 0 [total_opex_gaap]</t>
  </si>
  <si>
    <t xml:space="preserve">Quarterly_Actuals!H284+Quarterly_Actuals!H285+Quarterly_Actuals!H287+Quarterly_Actuals!H289-Quarterly_Actuals!H290</t>
  </si>
  <si>
    <t xml:space="preserve">CK-0649</t>
  </si>
  <si>
    <t xml:space="preserve">Sum of Q1..Q2 2023 (3-month values) - 6M 2023 value = 0 [op_income_gaap]</t>
  </si>
  <si>
    <t xml:space="preserve">Quarterly_Actuals!H322+Quarterly_Actuals!H323-Quarterly_Actuals!H324</t>
  </si>
  <si>
    <t xml:space="preserve">CK-0650</t>
  </si>
  <si>
    <t xml:space="preserve">Sum of Q1..Q3 2023 (3-month values) - 9M 2023 value = 0 [op_income_gaap]</t>
  </si>
  <si>
    <t xml:space="preserve">Quarterly_Actuals!H322+Quarterly_Actuals!H323+Quarterly_Actuals!H325-Quarterly_Actuals!H326</t>
  </si>
  <si>
    <t xml:space="preserve">CK-0651</t>
  </si>
  <si>
    <t xml:space="preserve">Sum of Q1..Q4 2023 (3-month values) - 12M 2023 value = 0 [op_income_gaap]</t>
  </si>
  <si>
    <t xml:space="preserve">Quarterly_Actuals!H322+Quarterly_Actuals!H323+Quarterly_Actuals!H325+Quarterly_Actuals!H327-Quarterly_Actuals!H328</t>
  </si>
  <si>
    <t xml:space="preserve">CK-0652</t>
  </si>
  <si>
    <t xml:space="preserve">Sum of Q1..Q2 2023 (3-month values) - 6M 2023 value = 0 [net_income_gaap]</t>
  </si>
  <si>
    <t xml:space="preserve">Quarterly_Actuals!H398+Quarterly_Actuals!H399-Quarterly_Actuals!H400</t>
  </si>
  <si>
    <t xml:space="preserve">CK-0653</t>
  </si>
  <si>
    <t xml:space="preserve">Sum of Q1..Q3 2023 (3-month values) - 9M 2023 value = 0 [net_income_gaap]</t>
  </si>
  <si>
    <t xml:space="preserve">Quarterly_Actuals!H398+Quarterly_Actuals!H399+Quarterly_Actuals!H401-Quarterly_Actuals!H402</t>
  </si>
  <si>
    <t xml:space="preserve">CK-0654</t>
  </si>
  <si>
    <t xml:space="preserve">Sum of Q1..Q4 2023 (3-month values) - 12M 2023 value = 0 [net_income_gaap]</t>
  </si>
  <si>
    <t xml:space="preserve">Quarterly_Actuals!H398+Quarterly_Actuals!H399+Quarterly_Actuals!H401+Quarterly_Actuals!H403-Quarterly_Actuals!H404</t>
  </si>
  <si>
    <t xml:space="preserve">CK-0655</t>
  </si>
  <si>
    <t xml:space="preserve">Sum of Q1..Q2 2023 (3-month values) - 6M 2023 value = 0 [gross_profit_nongaap]</t>
  </si>
  <si>
    <t xml:space="preserve">Quarterly_Actuals!H490+Quarterly_Actuals!H491-Quarterly_Actuals!H492</t>
  </si>
  <si>
    <t xml:space="preserve">CK-0656</t>
  </si>
  <si>
    <t xml:space="preserve">Sum of Q1..Q3 2023 (3-month values) - 9M 2023 value = 0 [gross_profit_nongaap]</t>
  </si>
  <si>
    <t xml:space="preserve">Quarterly_Actuals!H490+Quarterly_Actuals!H491+Quarterly_Actuals!H493-Quarterly_Actuals!H494</t>
  </si>
  <si>
    <t xml:space="preserve">CK-0657</t>
  </si>
  <si>
    <t xml:space="preserve">Sum of Q1..Q4 2023 (3-month values) - 12M 2023 value = 0 [gross_profit_nongaap]</t>
  </si>
  <si>
    <t xml:space="preserve">Quarterly_Actuals!H490+Quarterly_Actuals!H491+Quarterly_Actuals!H493+Quarterly_Actuals!H495-Quarterly_Actuals!H496</t>
  </si>
  <si>
    <t xml:space="preserve">CK-0658</t>
  </si>
  <si>
    <t xml:space="preserve">Sum of Q1..Q2 2023 (3-month values) - 6M 2023 value = 0 [rd_nongaap]</t>
  </si>
  <si>
    <t xml:space="preserve">Quarterly_Actuals!H566+Quarterly_Actuals!H567-Quarterly_Actuals!H568</t>
  </si>
  <si>
    <t xml:space="preserve">CK-0659</t>
  </si>
  <si>
    <t xml:space="preserve">Sum of Q1..Q3 2023 (3-month values) - 9M 2023 value = 0 [rd_nongaap]</t>
  </si>
  <si>
    <t xml:space="preserve">Quarterly_Actuals!H566+Quarterly_Actuals!H567+Quarterly_Actuals!H569-Quarterly_Actuals!H570</t>
  </si>
  <si>
    <t xml:space="preserve">CK-0660</t>
  </si>
  <si>
    <t xml:space="preserve">Sum of Q1..Q4 2023 (3-month values) - 12M 2023 value = 0 [rd_nongaap]</t>
  </si>
  <si>
    <t xml:space="preserve">Quarterly_Actuals!H566+Quarterly_Actuals!H567+Quarterly_Actuals!H569+Quarterly_Actuals!H571-Quarterly_Actuals!H572</t>
  </si>
  <si>
    <t xml:space="preserve">CK-0661</t>
  </si>
  <si>
    <t xml:space="preserve">Sum of Q1..Q2 2023 (3-month values) - 6M 2023 value = 0 [sm_nongaap]</t>
  </si>
  <si>
    <t xml:space="preserve">Quarterly_Actuals!H604+Quarterly_Actuals!H605-Quarterly_Actuals!H606</t>
  </si>
  <si>
    <t xml:space="preserve">CK-0662</t>
  </si>
  <si>
    <t xml:space="preserve">Sum of Q1..Q3 2023 (3-month values) - 9M 2023 value = 0 [sm_nongaap]</t>
  </si>
  <si>
    <t xml:space="preserve">Quarterly_Actuals!H604+Quarterly_Actuals!H605+Quarterly_Actuals!H607-Quarterly_Actuals!H608</t>
  </si>
  <si>
    <t xml:space="preserve">CK-0663</t>
  </si>
  <si>
    <t xml:space="preserve">Sum of Q1..Q4 2023 (3-month values) - 12M 2023 value = 0 [sm_nongaap]</t>
  </si>
  <si>
    <t xml:space="preserve">Quarterly_Actuals!H604+Quarterly_Actuals!H605+Quarterly_Actuals!H607+Quarterly_Actuals!H609-Quarterly_Actuals!H610</t>
  </si>
  <si>
    <t xml:space="preserve">CK-0664</t>
  </si>
  <si>
    <t xml:space="preserve">Sum of Q1..Q2 2023 (3-month values) - 6M 2023 value = 0 [ga_nongaap]</t>
  </si>
  <si>
    <t xml:space="preserve">Quarterly_Actuals!H642+Quarterly_Actuals!H643-Quarterly_Actuals!H644</t>
  </si>
  <si>
    <t xml:space="preserve">CK-0665</t>
  </si>
  <si>
    <t xml:space="preserve">Sum of Q1..Q3 2023 (3-month values) - 9M 2023 value = 0 [ga_nongaap]</t>
  </si>
  <si>
    <t xml:space="preserve">Quarterly_Actuals!H642+Quarterly_Actuals!H643+Quarterly_Actuals!H645-Quarterly_Actuals!H646</t>
  </si>
  <si>
    <t xml:space="preserve">CK-0666</t>
  </si>
  <si>
    <t xml:space="preserve">Sum of Q1..Q4 2023 (3-month values) - 12M 2023 value = 0 [ga_nongaap]</t>
  </si>
  <si>
    <t xml:space="preserve">Quarterly_Actuals!H642+Quarterly_Actuals!H643+Quarterly_Actuals!H645+Quarterly_Actuals!H647-Quarterly_Actuals!H648</t>
  </si>
  <si>
    <t xml:space="preserve">CK-0667</t>
  </si>
  <si>
    <t xml:space="preserve">Sum of Q1..Q2 2023 (3-month values) - 6M 2023 value = 0 [op_income_nongaap]</t>
  </si>
  <si>
    <t xml:space="preserve">Quarterly_Actuals!H680+Quarterly_Actuals!H681-Quarterly_Actuals!H682</t>
  </si>
  <si>
    <t xml:space="preserve">CK-0668</t>
  </si>
  <si>
    <t xml:space="preserve">Sum of Q1..Q3 2023 (3-month values) - 9M 2023 value = 0 [op_income_nongaap]</t>
  </si>
  <si>
    <t xml:space="preserve">Quarterly_Actuals!H680+Quarterly_Actuals!H681+Quarterly_Actuals!H683-Quarterly_Actuals!H684</t>
  </si>
  <si>
    <t xml:space="preserve">CK-0669</t>
  </si>
  <si>
    <t xml:space="preserve">Sum of Q1..Q4 2023 (3-month values) - 12M 2023 value = 0 [op_income_nongaap]</t>
  </si>
  <si>
    <t xml:space="preserve">Quarterly_Actuals!H680+Quarterly_Actuals!H681+Quarterly_Actuals!H683+Quarterly_Actuals!H685-Quarterly_Actuals!H686</t>
  </si>
  <si>
    <t xml:space="preserve">CK-0670</t>
  </si>
  <si>
    <t xml:space="preserve">Sum of Q1..Q2 2023 (3-month values) - 6M 2023 value = 0 [net_income_nongaap]</t>
  </si>
  <si>
    <t xml:space="preserve">Quarterly_Actuals!H756+Quarterly_Actuals!H757-Quarterly_Actuals!H758</t>
  </si>
  <si>
    <t xml:space="preserve">CK-0671</t>
  </si>
  <si>
    <t xml:space="preserve">Sum of Q1..Q3 2023 (3-month values) - 9M 2023 value = 0 [net_income_nongaap]</t>
  </si>
  <si>
    <t xml:space="preserve">Quarterly_Actuals!H756+Quarterly_Actuals!H757+Quarterly_Actuals!H759-Quarterly_Actuals!H760</t>
  </si>
  <si>
    <t xml:space="preserve">CK-0672</t>
  </si>
  <si>
    <t xml:space="preserve">Sum of Q1..Q4 2023 (3-month values) - 12M 2023 value = 0 [net_income_nongaap]</t>
  </si>
  <si>
    <t xml:space="preserve">Quarterly_Actuals!H756+Quarterly_Actuals!H757+Quarterly_Actuals!H759+Quarterly_Actuals!H761-Quarterly_Actuals!H762</t>
  </si>
  <si>
    <t xml:space="preserve">CK-0673</t>
  </si>
  <si>
    <t xml:space="preserve">Sum of Q1..Q2 2023 (3-month values) - 6M 2023 value = 0 [sbc_total_opinc_recon]</t>
  </si>
  <si>
    <t xml:space="preserve">Quarterly_Actuals!H848+Quarterly_Actuals!H849-Quarterly_Actuals!H850</t>
  </si>
  <si>
    <t xml:space="preserve">CK-0674</t>
  </si>
  <si>
    <t xml:space="preserve">Sum of Q1..Q3 2023 (3-month values) - 9M 2023 value = 0 [sbc_total_opinc_recon]</t>
  </si>
  <si>
    <t xml:space="preserve">Quarterly_Actuals!H848+Quarterly_Actuals!H849+Quarterly_Actuals!H851-Quarterly_Actuals!H852</t>
  </si>
  <si>
    <t xml:space="preserve">CK-0675</t>
  </si>
  <si>
    <t xml:space="preserve">Sum of Q1..Q4 2023 (3-month values) - 12M 2023 value = 0 [sbc_total_opinc_recon]</t>
  </si>
  <si>
    <t xml:space="preserve">Quarterly_Actuals!H848+Quarterly_Actuals!H849+Quarterly_Actuals!H851+Quarterly_Actuals!H853-Quarterly_Actuals!H854</t>
  </si>
  <si>
    <t xml:space="preserve">CK-0676</t>
  </si>
  <si>
    <t xml:space="preserve">Sum of Q1..Q2 2023 (3-month values) - 6M 2023 value = 0 [sbc_cf]</t>
  </si>
  <si>
    <t xml:space="preserve">Quarterly_Actuals!H886+Quarterly_Actuals!H887-Quarterly_Actuals!H888</t>
  </si>
  <si>
    <t xml:space="preserve">CK-0677</t>
  </si>
  <si>
    <t xml:space="preserve">Sum of Q1..Q3 2023 (3-month values) - 9M 2023 value = 0 [sbc_cf]</t>
  </si>
  <si>
    <t xml:space="preserve">Quarterly_Actuals!H886+Quarterly_Actuals!H887+Quarterly_Actuals!H889-Quarterly_Actuals!H890</t>
  </si>
  <si>
    <t xml:space="preserve">CK-0678</t>
  </si>
  <si>
    <t xml:space="preserve">Sum of Q1..Q4 2023 (3-month values) - 12M 2023 value = 0 [sbc_cf]</t>
  </si>
  <si>
    <t xml:space="preserve">Quarterly_Actuals!H886+Quarterly_Actuals!H887+Quarterly_Actuals!H889+Quarterly_Actuals!H891-Quarterly_Actuals!H892</t>
  </si>
  <si>
    <t xml:space="preserve">CK-0679</t>
  </si>
  <si>
    <t xml:space="preserve">Sum of Q1..Q2 2023 (3-month values) - 6M 2023 value = 0 [ocf]</t>
  </si>
  <si>
    <t xml:space="preserve">Quarterly_Actuals!H944+Quarterly_Actuals!H945-Quarterly_Actuals!H946</t>
  </si>
  <si>
    <t xml:space="preserve">CK-0680</t>
  </si>
  <si>
    <t xml:space="preserve">Sum of Q1..Q3 2023 (3-month values) - 9M 2023 value = 0 [ocf]</t>
  </si>
  <si>
    <t xml:space="preserve">Quarterly_Actuals!H944+Quarterly_Actuals!H945+Quarterly_Actuals!H947-Quarterly_Actuals!H948</t>
  </si>
  <si>
    <t xml:space="preserve">CK-0681</t>
  </si>
  <si>
    <t xml:space="preserve">Sum of Q1..Q4 2023 (3-month values) - 12M 2023 value = 0 [ocf]</t>
  </si>
  <si>
    <t xml:space="preserve">Quarterly_Actuals!H944+Quarterly_Actuals!H945+Quarterly_Actuals!H947+Quarterly_Actuals!H949-Quarterly_Actuals!H950</t>
  </si>
  <si>
    <t xml:space="preserve">CK-0682</t>
  </si>
  <si>
    <t xml:space="preserve">Sum of Q1..Q2 2023 (3-month values) - 6M 2023 value = 0 [capex_ppe]</t>
  </si>
  <si>
    <t xml:space="preserve">Quarterly_Actuals!H982+Quarterly_Actuals!H983-Quarterly_Actuals!H984</t>
  </si>
  <si>
    <t xml:space="preserve">CK-0683</t>
  </si>
  <si>
    <t xml:space="preserve">Sum of Q1..Q3 2023 (3-month values) - 9M 2023 value = 0 [capex_ppe]</t>
  </si>
  <si>
    <t xml:space="preserve">Quarterly_Actuals!H982+Quarterly_Actuals!H983+Quarterly_Actuals!H985-Quarterly_Actuals!H986</t>
  </si>
  <si>
    <t xml:space="preserve">CK-0684</t>
  </si>
  <si>
    <t xml:space="preserve">Sum of Q1..Q4 2023 (3-month values) - 12M 2023 value = 0 [capex_ppe]</t>
  </si>
  <si>
    <t xml:space="preserve">Quarterly_Actuals!H982+Quarterly_Actuals!H983+Quarterly_Actuals!H985+Quarterly_Actuals!H987-Quarterly_Actuals!H988</t>
  </si>
  <si>
    <t xml:space="preserve">CK-0685</t>
  </si>
  <si>
    <t xml:space="preserve">Sum of Q1..Q2 2023 (3-month values) - 6M 2023 value = 0 [capitalized_software]</t>
  </si>
  <si>
    <t xml:space="preserve">Quarterly_Actuals!H1020+Quarterly_Actuals!H1021-Quarterly_Actuals!H1022</t>
  </si>
  <si>
    <t xml:space="preserve">CK-0686</t>
  </si>
  <si>
    <t xml:space="preserve">Sum of Q1..Q3 2023 (3-month values) - 9M 2023 value = 0 [capitalized_software]</t>
  </si>
  <si>
    <t xml:space="preserve">Quarterly_Actuals!H1020+Quarterly_Actuals!H1021+Quarterly_Actuals!H1023-Quarterly_Actuals!H1024</t>
  </si>
  <si>
    <t xml:space="preserve">CK-0687</t>
  </si>
  <si>
    <t xml:space="preserve">Sum of Q1..Q4 2023 (3-month values) - 12M 2023 value = 0 [capitalized_software]</t>
  </si>
  <si>
    <t xml:space="preserve">Quarterly_Actuals!H1020+Quarterly_Actuals!H1021+Quarterly_Actuals!H1023+Quarterly_Actuals!H1025-Quarterly_Actuals!H1026</t>
  </si>
  <si>
    <t xml:space="preserve">CK-0688</t>
  </si>
  <si>
    <t xml:space="preserve">Sum of Q1..Q2 2023 (3-month values) - 6M 2023 value = 0 [fcf_reported]</t>
  </si>
  <si>
    <t xml:space="preserve">Quarterly_Actuals!H1082+Quarterly_Actuals!H1083-Quarterly_Actuals!H1084</t>
  </si>
  <si>
    <t xml:space="preserve">CK-0689</t>
  </si>
  <si>
    <t xml:space="preserve">Sum of Q1..Q3 2023 (3-month values) - 9M 2023 value = 0 [fcf_reported]</t>
  </si>
  <si>
    <t xml:space="preserve">Quarterly_Actuals!H1082+Quarterly_Actuals!H1083+Quarterly_Actuals!H1085-Quarterly_Actuals!H1086</t>
  </si>
  <si>
    <t xml:space="preserve">CK-0690</t>
  </si>
  <si>
    <t xml:space="preserve">Sum of Q1..Q4 2023 (3-month values) - 12M 2023 value = 0 [fcf_reported]</t>
  </si>
  <si>
    <t xml:space="preserve">Quarterly_Actuals!H1082+Quarterly_Actuals!H1083+Quarterly_Actuals!H1085+Quarterly_Actuals!H1087-Quarterly_Actuals!H1088</t>
  </si>
  <si>
    <t xml:space="preserve">CK-0691</t>
  </si>
  <si>
    <t xml:space="preserve">Sum of Q1..Q2 2023 (3-month values) - 6M 2023 value = 0 [d_and_a]</t>
  </si>
  <si>
    <t xml:space="preserve">Quarterly_Actuals!H1148+Quarterly_Actuals!H1149-Quarterly_Actuals!H1150</t>
  </si>
  <si>
    <t xml:space="preserve">CK-0692</t>
  </si>
  <si>
    <t xml:space="preserve">Sum of Q1..Q3 2023 (3-month values) - 9M 2023 value = 0 [d_and_a]</t>
  </si>
  <si>
    <t xml:space="preserve">Quarterly_Actuals!H1148+Quarterly_Actuals!H1149+Quarterly_Actuals!H1151-Quarterly_Actuals!H1152</t>
  </si>
  <si>
    <t xml:space="preserve">CK-0693</t>
  </si>
  <si>
    <t xml:space="preserve">Sum of Q1..Q4 2023 (3-month values) - 12M 2023 value = 0 [d_and_a]</t>
  </si>
  <si>
    <t xml:space="preserve">Quarterly_Actuals!H1148+Quarterly_Actuals!H1149+Quarterly_Actuals!H1151+Quarterly_Actuals!H1153-Quarterly_Actuals!H1154</t>
  </si>
  <si>
    <t xml:space="preserve">CK-0694</t>
  </si>
  <si>
    <t xml:space="preserve">Sum of Q1..Q2 2024 (3-month values) - 6M 2024 value = 0 [revenue]</t>
  </si>
  <si>
    <t xml:space="preserve">Quarterly_Actuals!H23+Quarterly_Actuals!H24-Quarterly_Actuals!H25</t>
  </si>
  <si>
    <t xml:space="preserve">CK-0695</t>
  </si>
  <si>
    <t xml:space="preserve">Sum of Q1..Q3 2024 (3-month values) - 9M 2024 value = 0 [revenue]</t>
  </si>
  <si>
    <t xml:space="preserve">Quarterly_Actuals!H23+Quarterly_Actuals!H24+Quarterly_Actuals!H26-Quarterly_Actuals!H27</t>
  </si>
  <si>
    <t xml:space="preserve">CK-0696</t>
  </si>
  <si>
    <t xml:space="preserve">Sum of Q1..Q4 2024 (3-month values) - 12M 2024 value = 0 [revenue]</t>
  </si>
  <si>
    <t xml:space="preserve">12M 2024</t>
  </si>
  <si>
    <t xml:space="preserve">Quarterly_Actuals!H23+Quarterly_Actuals!H24+Quarterly_Actuals!H26+Quarterly_Actuals!H28-Quarterly_Actuals!H29</t>
  </si>
  <si>
    <t xml:space="preserve">CK-0697</t>
  </si>
  <si>
    <t xml:space="preserve">Sum of Q1..Q2 2024 (3-month values) - 6M 2024 value = 0 [cost_of_revenue]</t>
  </si>
  <si>
    <t xml:space="preserve">Quarterly_Actuals!H61+Quarterly_Actuals!H62-Quarterly_Actuals!H63</t>
  </si>
  <si>
    <t xml:space="preserve">CK-0698</t>
  </si>
  <si>
    <t xml:space="preserve">Sum of Q1..Q3 2024 (3-month values) - 9M 2024 value = 0 [cost_of_revenue]</t>
  </si>
  <si>
    <t xml:space="preserve">Quarterly_Actuals!H61+Quarterly_Actuals!H62+Quarterly_Actuals!H64-Quarterly_Actuals!H65</t>
  </si>
  <si>
    <t xml:space="preserve">CK-0699</t>
  </si>
  <si>
    <t xml:space="preserve">Sum of Q1..Q4 2024 (3-month values) - 12M 2024 value = 0 [cost_of_revenue]</t>
  </si>
  <si>
    <t xml:space="preserve">Quarterly_Actuals!H61+Quarterly_Actuals!H62+Quarterly_Actuals!H64+Quarterly_Actuals!H66-Quarterly_Actuals!H67</t>
  </si>
  <si>
    <t xml:space="preserve">CK-0700</t>
  </si>
  <si>
    <t xml:space="preserve">Sum of Q1..Q2 2024 (3-month values) - 6M 2024 value = 0 [gross_profit_gaap]</t>
  </si>
  <si>
    <t xml:space="preserve">Quarterly_Actuals!H99+Quarterly_Actuals!H100-Quarterly_Actuals!H101</t>
  </si>
  <si>
    <t xml:space="preserve">CK-0701</t>
  </si>
  <si>
    <t xml:space="preserve">Sum of Q1..Q3 2024 (3-month values) - 9M 2024 value = 0 [gross_profit_gaap]</t>
  </si>
  <si>
    <t xml:space="preserve">Quarterly_Actuals!H99+Quarterly_Actuals!H100+Quarterly_Actuals!H102-Quarterly_Actuals!H103</t>
  </si>
  <si>
    <t xml:space="preserve">CK-0702</t>
  </si>
  <si>
    <t xml:space="preserve">Sum of Q1..Q4 2024 (3-month values) - 12M 2024 value = 0 [gross_profit_gaap]</t>
  </si>
  <si>
    <t xml:space="preserve">Quarterly_Actuals!H99+Quarterly_Actuals!H100+Quarterly_Actuals!H102+Quarterly_Actuals!H104-Quarterly_Actuals!H105</t>
  </si>
  <si>
    <t xml:space="preserve">CK-0703</t>
  </si>
  <si>
    <t xml:space="preserve">Sum of Q1..Q2 2024 (3-month values) - 6M 2024 value = 0 [rd_gaap]</t>
  </si>
  <si>
    <t xml:space="preserve">Quarterly_Actuals!H175+Quarterly_Actuals!H176-Quarterly_Actuals!H177</t>
  </si>
  <si>
    <t xml:space="preserve">CK-0704</t>
  </si>
  <si>
    <t xml:space="preserve">Sum of Q1..Q3 2024 (3-month values) - 9M 2024 value = 0 [rd_gaap]</t>
  </si>
  <si>
    <t xml:space="preserve">Quarterly_Actuals!H175+Quarterly_Actuals!H176+Quarterly_Actuals!H178-Quarterly_Actuals!H179</t>
  </si>
  <si>
    <t xml:space="preserve">CK-0705</t>
  </si>
  <si>
    <t xml:space="preserve">Sum of Q1..Q4 2024 (3-month values) - 12M 2024 value = 0 [rd_gaap]</t>
  </si>
  <si>
    <t xml:space="preserve">Quarterly_Actuals!H175+Quarterly_Actuals!H176+Quarterly_Actuals!H178+Quarterly_Actuals!H180-Quarterly_Actuals!H181</t>
  </si>
  <si>
    <t xml:space="preserve">CK-0706</t>
  </si>
  <si>
    <t xml:space="preserve">Sum of Q1..Q2 2024 (3-month values) - 6M 2024 value = 0 [sm_gaap]</t>
  </si>
  <si>
    <t xml:space="preserve">Quarterly_Actuals!H213+Quarterly_Actuals!H214-Quarterly_Actuals!H215</t>
  </si>
  <si>
    <t xml:space="preserve">CK-0707</t>
  </si>
  <si>
    <t xml:space="preserve">Sum of Q1..Q3 2024 (3-month values) - 9M 2024 value = 0 [sm_gaap]</t>
  </si>
  <si>
    <t xml:space="preserve">Quarterly_Actuals!H213+Quarterly_Actuals!H214+Quarterly_Actuals!H216-Quarterly_Actuals!H217</t>
  </si>
  <si>
    <t xml:space="preserve">CK-0708</t>
  </si>
  <si>
    <t xml:space="preserve">Sum of Q1..Q4 2024 (3-month values) - 12M 2024 value = 0 [sm_gaap]</t>
  </si>
  <si>
    <t xml:space="preserve">Quarterly_Actuals!H213+Quarterly_Actuals!H214+Quarterly_Actuals!H216+Quarterly_Actuals!H218-Quarterly_Actuals!H219</t>
  </si>
  <si>
    <t xml:space="preserve">CK-0709</t>
  </si>
  <si>
    <t xml:space="preserve">Sum of Q1..Q2 2024 (3-month values) - 6M 2024 value = 0 [ga_gaap]</t>
  </si>
  <si>
    <t xml:space="preserve">Quarterly_Actuals!H251+Quarterly_Actuals!H252-Quarterly_Actuals!H253</t>
  </si>
  <si>
    <t xml:space="preserve">CK-0710</t>
  </si>
  <si>
    <t xml:space="preserve">Sum of Q1..Q3 2024 (3-month values) - 9M 2024 value = 0 [ga_gaap]</t>
  </si>
  <si>
    <t xml:space="preserve">Quarterly_Actuals!H251+Quarterly_Actuals!H252+Quarterly_Actuals!H254-Quarterly_Actuals!H255</t>
  </si>
  <si>
    <t xml:space="preserve">CK-0711</t>
  </si>
  <si>
    <t xml:space="preserve">Sum of Q1..Q4 2024 (3-month values) - 12M 2024 value = 0 [ga_gaap]</t>
  </si>
  <si>
    <t xml:space="preserve">Quarterly_Actuals!H251+Quarterly_Actuals!H252+Quarterly_Actuals!H254+Quarterly_Actuals!H256-Quarterly_Actuals!H257</t>
  </si>
  <si>
    <t xml:space="preserve">CK-0712</t>
  </si>
  <si>
    <t xml:space="preserve">Sum of Q1..Q2 2024 (3-month values) - 6M 2024 value = 0 [total_opex_gaap]</t>
  </si>
  <si>
    <t xml:space="preserve">Quarterly_Actuals!H291+Quarterly_Actuals!H292-Quarterly_Actuals!H293</t>
  </si>
  <si>
    <t xml:space="preserve">CK-0713</t>
  </si>
  <si>
    <t xml:space="preserve">Sum of Q1..Q3 2024 (3-month values) - 9M 2024 value = 0 [total_opex_gaap]</t>
  </si>
  <si>
    <t xml:space="preserve">Quarterly_Actuals!H291+Quarterly_Actuals!H292+Quarterly_Actuals!H294-Quarterly_Actuals!H295</t>
  </si>
  <si>
    <t xml:space="preserve">CK-0714</t>
  </si>
  <si>
    <t xml:space="preserve">Sum of Q1..Q4 2024 (3-month values) - 12M 2024 value = 0 [total_opex_gaap]</t>
  </si>
  <si>
    <t xml:space="preserve">Quarterly_Actuals!H291+Quarterly_Actuals!H292+Quarterly_Actuals!H294+Quarterly_Actuals!H296-Quarterly_Actuals!H297</t>
  </si>
  <si>
    <t xml:space="preserve">CK-0715</t>
  </si>
  <si>
    <t xml:space="preserve">Sum of Q1..Q2 2024 (3-month values) - 6M 2024 value = 0 [op_income_gaap]</t>
  </si>
  <si>
    <t xml:space="preserve">Quarterly_Actuals!H329+Quarterly_Actuals!H330-Quarterly_Actuals!H331</t>
  </si>
  <si>
    <t xml:space="preserve">CK-0716</t>
  </si>
  <si>
    <t xml:space="preserve">Sum of Q1..Q3 2024 (3-month values) - 9M 2024 value = 0 [op_income_gaap]</t>
  </si>
  <si>
    <t xml:space="preserve">Quarterly_Actuals!H329+Quarterly_Actuals!H330+Quarterly_Actuals!H332-Quarterly_Actuals!H333</t>
  </si>
  <si>
    <t xml:space="preserve">CK-0717</t>
  </si>
  <si>
    <t xml:space="preserve">Sum of Q1..Q4 2024 (3-month values) - 12M 2024 value = 0 [op_income_gaap]</t>
  </si>
  <si>
    <t xml:space="preserve">Quarterly_Actuals!H329+Quarterly_Actuals!H330+Quarterly_Actuals!H332+Quarterly_Actuals!H334-Quarterly_Actuals!H335</t>
  </si>
  <si>
    <t xml:space="preserve">CK-0718</t>
  </si>
  <si>
    <t xml:space="preserve">Sum of Q1..Q2 2024 (3-month values) - 6M 2024 value = 0 [net_income_gaap]</t>
  </si>
  <si>
    <t xml:space="preserve">Quarterly_Actuals!H405+Quarterly_Actuals!H406-Quarterly_Actuals!H407</t>
  </si>
  <si>
    <t xml:space="preserve">CK-0719</t>
  </si>
  <si>
    <t xml:space="preserve">Sum of Q1..Q3 2024 (3-month values) - 9M 2024 value = 0 [net_income_gaap]</t>
  </si>
  <si>
    <t xml:space="preserve">Quarterly_Actuals!H405+Quarterly_Actuals!H406+Quarterly_Actuals!H408-Quarterly_Actuals!H409</t>
  </si>
  <si>
    <t xml:space="preserve">CK-0720</t>
  </si>
  <si>
    <t xml:space="preserve">Sum of Q1..Q4 2024 (3-month values) - 12M 2024 value = 0 [net_income_gaap]</t>
  </si>
  <si>
    <t xml:space="preserve">Quarterly_Actuals!H405+Quarterly_Actuals!H406+Quarterly_Actuals!H408+Quarterly_Actuals!H410-Quarterly_Actuals!H411</t>
  </si>
  <si>
    <t xml:space="preserve">CK-0721</t>
  </si>
  <si>
    <t xml:space="preserve">Sum of Q1..Q2 2024 (3-month values) - 6M 2024 value = 0 [gross_profit_nongaap]</t>
  </si>
  <si>
    <t xml:space="preserve">Quarterly_Actuals!H497+Quarterly_Actuals!H498-Quarterly_Actuals!H499</t>
  </si>
  <si>
    <t xml:space="preserve">CK-0722</t>
  </si>
  <si>
    <t xml:space="preserve">Sum of Q1..Q3 2024 (3-month values) - 9M 2024 value = 0 [gross_profit_nongaap]</t>
  </si>
  <si>
    <t xml:space="preserve">Quarterly_Actuals!H497+Quarterly_Actuals!H498+Quarterly_Actuals!H500-Quarterly_Actuals!H501</t>
  </si>
  <si>
    <t xml:space="preserve">CK-0723</t>
  </si>
  <si>
    <t xml:space="preserve">Sum of Q1..Q4 2024 (3-month values) - 12M 2024 value = 0 [gross_profit_nongaap]</t>
  </si>
  <si>
    <t xml:space="preserve">Quarterly_Actuals!H497+Quarterly_Actuals!H498+Quarterly_Actuals!H500+Quarterly_Actuals!H502-Quarterly_Actuals!H503</t>
  </si>
  <si>
    <t xml:space="preserve">CK-0724</t>
  </si>
  <si>
    <t xml:space="preserve">Sum of Q1..Q2 2024 (3-month values) - 6M 2024 value = 0 [rd_nongaap]</t>
  </si>
  <si>
    <t xml:space="preserve">Quarterly_Actuals!H573+Quarterly_Actuals!H574-Quarterly_Actuals!H575</t>
  </si>
  <si>
    <t xml:space="preserve">CK-0725</t>
  </si>
  <si>
    <t xml:space="preserve">Sum of Q1..Q3 2024 (3-month values) - 9M 2024 value = 0 [rd_nongaap]</t>
  </si>
  <si>
    <t xml:space="preserve">Quarterly_Actuals!H573+Quarterly_Actuals!H574+Quarterly_Actuals!H576-Quarterly_Actuals!H577</t>
  </si>
  <si>
    <t xml:space="preserve">CK-0726</t>
  </si>
  <si>
    <t xml:space="preserve">Sum of Q1..Q4 2024 (3-month values) - 12M 2024 value = 0 [rd_nongaap]</t>
  </si>
  <si>
    <t xml:space="preserve">Quarterly_Actuals!H573+Quarterly_Actuals!H574+Quarterly_Actuals!H576+Quarterly_Actuals!H578-Quarterly_Actuals!H579</t>
  </si>
  <si>
    <t xml:space="preserve">CK-0727</t>
  </si>
  <si>
    <t xml:space="preserve">Sum of Q1..Q2 2024 (3-month values) - 6M 2024 value = 0 [sm_nongaap]</t>
  </si>
  <si>
    <t xml:space="preserve">Quarterly_Actuals!H611+Quarterly_Actuals!H612-Quarterly_Actuals!H613</t>
  </si>
  <si>
    <t xml:space="preserve">CK-0728</t>
  </si>
  <si>
    <t xml:space="preserve">Sum of Q1..Q3 2024 (3-month values) - 9M 2024 value = 0 [sm_nongaap]</t>
  </si>
  <si>
    <t xml:space="preserve">Quarterly_Actuals!H611+Quarterly_Actuals!H612+Quarterly_Actuals!H614-Quarterly_Actuals!H615</t>
  </si>
  <si>
    <t xml:space="preserve">CK-0729</t>
  </si>
  <si>
    <t xml:space="preserve">Sum of Q1..Q4 2024 (3-month values) - 12M 2024 value = 0 [sm_nongaap]</t>
  </si>
  <si>
    <t xml:space="preserve">Quarterly_Actuals!H611+Quarterly_Actuals!H612+Quarterly_Actuals!H614+Quarterly_Actuals!H616-Quarterly_Actuals!H617</t>
  </si>
  <si>
    <t xml:space="preserve">CK-0730</t>
  </si>
  <si>
    <t xml:space="preserve">Sum of Q1..Q2 2024 (3-month values) - 6M 2024 value = 0 [ga_nongaap]</t>
  </si>
  <si>
    <t xml:space="preserve">Quarterly_Actuals!H649+Quarterly_Actuals!H650-Quarterly_Actuals!H651</t>
  </si>
  <si>
    <t xml:space="preserve">CK-0731</t>
  </si>
  <si>
    <t xml:space="preserve">Sum of Q1..Q3 2024 (3-month values) - 9M 2024 value = 0 [ga_nongaap]</t>
  </si>
  <si>
    <t xml:space="preserve">Quarterly_Actuals!H649+Quarterly_Actuals!H650+Quarterly_Actuals!H652-Quarterly_Actuals!H653</t>
  </si>
  <si>
    <t xml:space="preserve">CK-0732</t>
  </si>
  <si>
    <t xml:space="preserve">Sum of Q1..Q4 2024 (3-month values) - 12M 2024 value = 0 [ga_nongaap]</t>
  </si>
  <si>
    <t xml:space="preserve">Quarterly_Actuals!H649+Quarterly_Actuals!H650+Quarterly_Actuals!H652+Quarterly_Actuals!H654-Quarterly_Actuals!H655</t>
  </si>
  <si>
    <t xml:space="preserve">CK-0733</t>
  </si>
  <si>
    <t xml:space="preserve">Sum of Q1..Q2 2024 (3-month values) - 6M 2024 value = 0 [op_income_nongaap]</t>
  </si>
  <si>
    <t xml:space="preserve">Quarterly_Actuals!H687+Quarterly_Actuals!H688-Quarterly_Actuals!H689</t>
  </si>
  <si>
    <t xml:space="preserve">CK-0734</t>
  </si>
  <si>
    <t xml:space="preserve">Sum of Q1..Q3 2024 (3-month values) - 9M 2024 value = 0 [op_income_nongaap]</t>
  </si>
  <si>
    <t xml:space="preserve">Quarterly_Actuals!H687+Quarterly_Actuals!H688+Quarterly_Actuals!H690-Quarterly_Actuals!H691</t>
  </si>
  <si>
    <t xml:space="preserve">CK-0735</t>
  </si>
  <si>
    <t xml:space="preserve">Sum of Q1..Q4 2024 (3-month values) - 12M 2024 value = 0 [op_income_nongaap]</t>
  </si>
  <si>
    <t xml:space="preserve">Quarterly_Actuals!H687+Quarterly_Actuals!H688+Quarterly_Actuals!H690+Quarterly_Actuals!H692-Quarterly_Actuals!H693</t>
  </si>
  <si>
    <t xml:space="preserve">CK-0736</t>
  </si>
  <si>
    <t xml:space="preserve">Sum of Q1..Q2 2024 (3-month values) - 6M 2024 value = 0 [net_income_nongaap]</t>
  </si>
  <si>
    <t xml:space="preserve">Quarterly_Actuals!H763+Quarterly_Actuals!H764-Quarterly_Actuals!H765</t>
  </si>
  <si>
    <t xml:space="preserve">CK-0737</t>
  </si>
  <si>
    <t xml:space="preserve">Sum of Q1..Q3 2024 (3-month values) - 9M 2024 value = 0 [net_income_nongaap]</t>
  </si>
  <si>
    <t xml:space="preserve">Quarterly_Actuals!H763+Quarterly_Actuals!H764+Quarterly_Actuals!H766-Quarterly_Actuals!H767</t>
  </si>
  <si>
    <t xml:space="preserve">CK-0738</t>
  </si>
  <si>
    <t xml:space="preserve">Sum of Q1..Q4 2024 (3-month values) - 12M 2024 value = 0 [net_income_nongaap]</t>
  </si>
  <si>
    <t xml:space="preserve">Quarterly_Actuals!H763+Quarterly_Actuals!H764+Quarterly_Actuals!H766+Quarterly_Actuals!H768-Quarterly_Actuals!H769</t>
  </si>
  <si>
    <t xml:space="preserve">CK-0739</t>
  </si>
  <si>
    <t xml:space="preserve">Sum of Q1..Q2 2024 (3-month values) - 6M 2024 value = 0 [sbc_total_opinc_recon]</t>
  </si>
  <si>
    <t xml:space="preserve">Quarterly_Actuals!H855+Quarterly_Actuals!H856-Quarterly_Actuals!H857</t>
  </si>
  <si>
    <t xml:space="preserve">CK-0740</t>
  </si>
  <si>
    <t xml:space="preserve">Sum of Q1..Q3 2024 (3-month values) - 9M 2024 value = 0 [sbc_total_opinc_recon]</t>
  </si>
  <si>
    <t xml:space="preserve">Quarterly_Actuals!H855+Quarterly_Actuals!H856+Quarterly_Actuals!H858-Quarterly_Actuals!H859</t>
  </si>
  <si>
    <t xml:space="preserve">CK-0741</t>
  </si>
  <si>
    <t xml:space="preserve">Sum of Q1..Q4 2024 (3-month values) - 12M 2024 value = 0 [sbc_total_opinc_recon]</t>
  </si>
  <si>
    <t xml:space="preserve">Quarterly_Actuals!H855+Quarterly_Actuals!H856+Quarterly_Actuals!H858+Quarterly_Actuals!H860-Quarterly_Actuals!H861</t>
  </si>
  <si>
    <t xml:space="preserve">CK-0742</t>
  </si>
  <si>
    <t xml:space="preserve">Sum of Q1..Q2 2024 (3-month values) - 6M 2024 value = 0 [sbc_cf]</t>
  </si>
  <si>
    <t xml:space="preserve">Quarterly_Actuals!H893+Quarterly_Actuals!H894-Quarterly_Actuals!H895</t>
  </si>
  <si>
    <t xml:space="preserve">CK-0743</t>
  </si>
  <si>
    <t xml:space="preserve">Sum of Q1..Q3 2024 (3-month values) - 9M 2024 value = 0 [sbc_cf]</t>
  </si>
  <si>
    <t xml:space="preserve">Quarterly_Actuals!H893+Quarterly_Actuals!H894+Quarterly_Actuals!H896-Quarterly_Actuals!H897</t>
  </si>
  <si>
    <t xml:space="preserve">CK-0744</t>
  </si>
  <si>
    <t xml:space="preserve">Sum of Q1..Q4 2024 (3-month values) - 12M 2024 value = 0 [sbc_cf]</t>
  </si>
  <si>
    <t xml:space="preserve">Quarterly_Actuals!H893+Quarterly_Actuals!H894+Quarterly_Actuals!H896+Quarterly_Actuals!H898-Quarterly_Actuals!H899</t>
  </si>
  <si>
    <t xml:space="preserve">CK-0745</t>
  </si>
  <si>
    <t xml:space="preserve">Sum of Q1..Q2 2024 (3-month values) - 6M 2024 value = 0 [ocf]</t>
  </si>
  <si>
    <t xml:space="preserve">Quarterly_Actuals!H951+Quarterly_Actuals!H952-Quarterly_Actuals!H953</t>
  </si>
  <si>
    <t xml:space="preserve">CK-0746</t>
  </si>
  <si>
    <t xml:space="preserve">Sum of Q1..Q3 2024 (3-month values) - 9M 2024 value = 0 [ocf]</t>
  </si>
  <si>
    <t xml:space="preserve">Quarterly_Actuals!H951+Quarterly_Actuals!H952+Quarterly_Actuals!H954-Quarterly_Actuals!H955</t>
  </si>
  <si>
    <t xml:space="preserve">CK-0747</t>
  </si>
  <si>
    <t xml:space="preserve">Sum of Q1..Q4 2024 (3-month values) - 12M 2024 value = 0 [ocf]</t>
  </si>
  <si>
    <t xml:space="preserve">Quarterly_Actuals!H951+Quarterly_Actuals!H952+Quarterly_Actuals!H954+Quarterly_Actuals!H956-Quarterly_Actuals!H957</t>
  </si>
  <si>
    <t xml:space="preserve">CK-0748</t>
  </si>
  <si>
    <t xml:space="preserve">Sum of Q1..Q2 2024 (3-month values) - 6M 2024 value = 0 [capex_ppe]</t>
  </si>
  <si>
    <t xml:space="preserve">Quarterly_Actuals!H989+Quarterly_Actuals!H990-Quarterly_Actuals!H991</t>
  </si>
  <si>
    <t xml:space="preserve">CK-0749</t>
  </si>
  <si>
    <t xml:space="preserve">Sum of Q1..Q3 2024 (3-month values) - 9M 2024 value = 0 [capex_ppe]</t>
  </si>
  <si>
    <t xml:space="preserve">Quarterly_Actuals!H989+Quarterly_Actuals!H990+Quarterly_Actuals!H992-Quarterly_Actuals!H993</t>
  </si>
  <si>
    <t xml:space="preserve">CK-0750</t>
  </si>
  <si>
    <t xml:space="preserve">Sum of Q1..Q4 2024 (3-month values) - 12M 2024 value = 0 [capex_ppe]</t>
  </si>
  <si>
    <t xml:space="preserve">Quarterly_Actuals!H989+Quarterly_Actuals!H990+Quarterly_Actuals!H992+Quarterly_Actuals!H994-Quarterly_Actuals!H995</t>
  </si>
  <si>
    <t xml:space="preserve">CK-0751</t>
  </si>
  <si>
    <t xml:space="preserve">Sum of Q1..Q2 2024 (3-month values) - 6M 2024 value = 0 [capitalized_software]</t>
  </si>
  <si>
    <t xml:space="preserve">Quarterly_Actuals!H1027+Quarterly_Actuals!H1028-Quarterly_Actuals!H1029</t>
  </si>
  <si>
    <t xml:space="preserve">CK-0752</t>
  </si>
  <si>
    <t xml:space="preserve">Sum of Q1..Q3 2024 (3-month values) - 9M 2024 value = 0 [capitalized_software]</t>
  </si>
  <si>
    <t xml:space="preserve">Quarterly_Actuals!H1027+Quarterly_Actuals!H1028+Quarterly_Actuals!H1030-Quarterly_Actuals!H1031</t>
  </si>
  <si>
    <t xml:space="preserve">CK-0753</t>
  </si>
  <si>
    <t xml:space="preserve">Sum of Q1..Q4 2024 (3-month values) - 12M 2024 value = 0 [capitalized_software]</t>
  </si>
  <si>
    <t xml:space="preserve">Quarterly_Actuals!H1027+Quarterly_Actuals!H1028+Quarterly_Actuals!H1030+Quarterly_Actuals!H1032-Quarterly_Actuals!H1033</t>
  </si>
  <si>
    <t xml:space="preserve">CK-0754</t>
  </si>
  <si>
    <t xml:space="preserve">Sum of Q1..Q2 2024 (3-month values) - 6M 2024 value = 0 [fcf_reported]</t>
  </si>
  <si>
    <t xml:space="preserve">Quarterly_Actuals!H1089+Quarterly_Actuals!H1090-Quarterly_Actuals!H1091</t>
  </si>
  <si>
    <t xml:space="preserve">CK-0755</t>
  </si>
  <si>
    <t xml:space="preserve">Sum of Q1..Q3 2024 (3-month values) - 9M 2024 value = 0 [fcf_reported]</t>
  </si>
  <si>
    <t xml:space="preserve">Quarterly_Actuals!H1089+Quarterly_Actuals!H1090+Quarterly_Actuals!H1092-Quarterly_Actuals!H1093</t>
  </si>
  <si>
    <t xml:space="preserve">CK-0756</t>
  </si>
  <si>
    <t xml:space="preserve">Sum of Q1..Q4 2024 (3-month values) - 12M 2024 value = 0 [fcf_reported]</t>
  </si>
  <si>
    <t xml:space="preserve">Quarterly_Actuals!H1089+Quarterly_Actuals!H1090+Quarterly_Actuals!H1092+Quarterly_Actuals!H1094-Quarterly_Actuals!H1095</t>
  </si>
  <si>
    <t xml:space="preserve">CK-0757</t>
  </si>
  <si>
    <t xml:space="preserve">Sum of Q1..Q2 2024 (3-month values) - 6M 2024 value = 0 [d_and_a]</t>
  </si>
  <si>
    <t xml:space="preserve">Quarterly_Actuals!H1155+Quarterly_Actuals!H1156-Quarterly_Actuals!H1157</t>
  </si>
  <si>
    <t xml:space="preserve">CK-0758</t>
  </si>
  <si>
    <t xml:space="preserve">Sum of Q1..Q3 2024 (3-month values) - 9M 2024 value = 0 [d_and_a]</t>
  </si>
  <si>
    <t xml:space="preserve">Quarterly_Actuals!H1155+Quarterly_Actuals!H1156+Quarterly_Actuals!H1158-Quarterly_Actuals!H1159</t>
  </si>
  <si>
    <t xml:space="preserve">CK-0759</t>
  </si>
  <si>
    <t xml:space="preserve">Sum of Q1..Q4 2024 (3-month values) - 12M 2024 value = 0 [d_and_a]</t>
  </si>
  <si>
    <t xml:space="preserve">Quarterly_Actuals!H1155+Quarterly_Actuals!H1156+Quarterly_Actuals!H1158+Quarterly_Actuals!H1160-Quarterly_Actuals!H1161</t>
  </si>
  <si>
    <t xml:space="preserve">Quarterly D&amp;A as originally reported (2,533 + 2,920 + 3,205 + 3,216 = 11,874) exceeds FY2024 D&amp;A of 11,858 (Q4 2024 release and FY2024 20-F cash-flow statement) by 16. The 9M figure (8,658) ties to Q1-Q3, so the difference sits in Q4: Q4 3M (3,216) vs FY - 9M (3,200). No restatement or explanation disclosed. Use FY audited value for annual; treat Q4 3M as reported.</t>
  </si>
  <si>
    <t xml:space="preserve">CK-0760</t>
  </si>
  <si>
    <t xml:space="preserve">Sum of Q1..Q2 2025 (3-month values) - 6M 2025 value = 0 [revenue]</t>
  </si>
  <si>
    <t xml:space="preserve">Quarterly_Actuals!H30+Quarterly_Actuals!H31-Quarterly_Actuals!H32</t>
  </si>
  <si>
    <t xml:space="preserve">CK-0761</t>
  </si>
  <si>
    <t xml:space="preserve">Sum of Q1..Q3 2025 (3-month values) - 9M 2025 value = 0 [revenue]</t>
  </si>
  <si>
    <t xml:space="preserve">Quarterly_Actuals!H30+Quarterly_Actuals!H31+Quarterly_Actuals!H33-Quarterly_Actuals!H34</t>
  </si>
  <si>
    <t xml:space="preserve">CK-0762</t>
  </si>
  <si>
    <t xml:space="preserve">Sum of Q1..Q4 2025 (3-month values) - 12M 2025 value = 0 [revenue]</t>
  </si>
  <si>
    <t xml:space="preserve">12M 2025</t>
  </si>
  <si>
    <t xml:space="preserve">Quarterly_Actuals!H30+Quarterly_Actuals!H31+Quarterly_Actuals!H33+Quarterly_Actuals!H35-Quarterly_Actuals!H36</t>
  </si>
  <si>
    <t xml:space="preserve">CK-0763</t>
  </si>
  <si>
    <t xml:space="preserve">Sum of Q1..Q2 2025 (3-month values) - 6M 2025 value = 0 [cost_of_revenue]</t>
  </si>
  <si>
    <t xml:space="preserve">Quarterly_Actuals!H68+Quarterly_Actuals!H69-Quarterly_Actuals!H70</t>
  </si>
  <si>
    <t xml:space="preserve">CK-0764</t>
  </si>
  <si>
    <t xml:space="preserve">Sum of Q1..Q3 2025 (3-month values) - 9M 2025 value = 0 [cost_of_revenue]</t>
  </si>
  <si>
    <t xml:space="preserve">Quarterly_Actuals!H68+Quarterly_Actuals!H69+Quarterly_Actuals!H71-Quarterly_Actuals!H72</t>
  </si>
  <si>
    <t xml:space="preserve">CK-0765</t>
  </si>
  <si>
    <t xml:space="preserve">Sum of Q1..Q4 2025 (3-month values) - 12M 2025 value = 0 [cost_of_revenue]</t>
  </si>
  <si>
    <t xml:space="preserve">Quarterly_Actuals!H68+Quarterly_Actuals!H69+Quarterly_Actuals!H71+Quarterly_Actuals!H73-Quarterly_Actuals!H74</t>
  </si>
  <si>
    <t xml:space="preserve">CK-0766</t>
  </si>
  <si>
    <t xml:space="preserve">Sum of Q1..Q2 2025 (3-month values) - 6M 2025 value = 0 [gross_profit_gaap]</t>
  </si>
  <si>
    <t xml:space="preserve">Quarterly_Actuals!H106+Quarterly_Actuals!H107-Quarterly_Actuals!H108</t>
  </si>
  <si>
    <t xml:space="preserve">CK-0767</t>
  </si>
  <si>
    <t xml:space="preserve">Sum of Q1..Q3 2025 (3-month values) - 9M 2025 value = 0 [gross_profit_gaap]</t>
  </si>
  <si>
    <t xml:space="preserve">Quarterly_Actuals!H106+Quarterly_Actuals!H107+Quarterly_Actuals!H109-Quarterly_Actuals!H110</t>
  </si>
  <si>
    <t xml:space="preserve">CK-0768</t>
  </si>
  <si>
    <t xml:space="preserve">Sum of Q1..Q4 2025 (3-month values) - 12M 2025 value = 0 [gross_profit_gaap]</t>
  </si>
  <si>
    <t xml:space="preserve">Quarterly_Actuals!H106+Quarterly_Actuals!H107+Quarterly_Actuals!H109+Quarterly_Actuals!H111-Quarterly_Actuals!H112</t>
  </si>
  <si>
    <t xml:space="preserve">CK-0769</t>
  </si>
  <si>
    <t xml:space="preserve">Sum of Q1..Q2 2025 (3-month values) - 6M 2025 value = 0 [rd_gaap]</t>
  </si>
  <si>
    <t xml:space="preserve">Quarterly_Actuals!H182+Quarterly_Actuals!H183-Quarterly_Actuals!H184</t>
  </si>
  <si>
    <t xml:space="preserve">CK-0770</t>
  </si>
  <si>
    <t xml:space="preserve">Sum of Q1..Q3 2025 (3-month values) - 9M 2025 value = 0 [rd_gaap]</t>
  </si>
  <si>
    <t xml:space="preserve">Quarterly_Actuals!H182+Quarterly_Actuals!H183+Quarterly_Actuals!H185-Quarterly_Actuals!H186</t>
  </si>
  <si>
    <t xml:space="preserve">CK-0771</t>
  </si>
  <si>
    <t xml:space="preserve">Sum of Q1..Q4 2025 (3-month values) - 12M 2025 value = 0 [rd_gaap]</t>
  </si>
  <si>
    <t xml:space="preserve">Quarterly_Actuals!H182+Quarterly_Actuals!H183+Quarterly_Actuals!H185+Quarterly_Actuals!H187-Quarterly_Actuals!H188</t>
  </si>
  <si>
    <t xml:space="preserve">CK-0772</t>
  </si>
  <si>
    <t xml:space="preserve">Sum of Q1..Q2 2025 (3-month values) - 6M 2025 value = 0 [sm_gaap]</t>
  </si>
  <si>
    <t xml:space="preserve">Quarterly_Actuals!H220+Quarterly_Actuals!H221-Quarterly_Actuals!H222</t>
  </si>
  <si>
    <t xml:space="preserve">CK-0773</t>
  </si>
  <si>
    <t xml:space="preserve">Sum of Q1..Q3 2025 (3-month values) - 9M 2025 value = 0 [sm_gaap]</t>
  </si>
  <si>
    <t xml:space="preserve">Quarterly_Actuals!H220+Quarterly_Actuals!H221+Quarterly_Actuals!H223-Quarterly_Actuals!H224</t>
  </si>
  <si>
    <t xml:space="preserve">CK-0774</t>
  </si>
  <si>
    <t xml:space="preserve">Sum of Q1..Q4 2025 (3-month values) - 12M 2025 value = 0 [sm_gaap]</t>
  </si>
  <si>
    <t xml:space="preserve">Quarterly_Actuals!H220+Quarterly_Actuals!H221+Quarterly_Actuals!H223+Quarterly_Actuals!H225-Quarterly_Actuals!H226</t>
  </si>
  <si>
    <t xml:space="preserve">CK-0775</t>
  </si>
  <si>
    <t xml:space="preserve">Sum of Q1..Q2 2025 (3-month values) - 6M 2025 value = 0 [ga_gaap]</t>
  </si>
  <si>
    <t xml:space="preserve">Quarterly_Actuals!H258+Quarterly_Actuals!H259-Quarterly_Actuals!H260</t>
  </si>
  <si>
    <t xml:space="preserve">CK-0776</t>
  </si>
  <si>
    <t xml:space="preserve">Sum of Q1..Q3 2025 (3-month values) - 9M 2025 value = 0 [ga_gaap]</t>
  </si>
  <si>
    <t xml:space="preserve">Quarterly_Actuals!H258+Quarterly_Actuals!H259+Quarterly_Actuals!H261-Quarterly_Actuals!H262</t>
  </si>
  <si>
    <t xml:space="preserve">CK-0777</t>
  </si>
  <si>
    <t xml:space="preserve">Sum of Q1..Q4 2025 (3-month values) - 12M 2025 value = 0 [ga_gaap]</t>
  </si>
  <si>
    <t xml:space="preserve">Quarterly_Actuals!H258+Quarterly_Actuals!H259+Quarterly_Actuals!H261+Quarterly_Actuals!H263-Quarterly_Actuals!H264</t>
  </si>
  <si>
    <t xml:space="preserve">CK-0778</t>
  </si>
  <si>
    <t xml:space="preserve">Sum of Q1..Q2 2025 (3-month values) - 6M 2025 value = 0 [total_opex_gaap]</t>
  </si>
  <si>
    <t xml:space="preserve">Quarterly_Actuals!H298+Quarterly_Actuals!H299-Quarterly_Actuals!H300</t>
  </si>
  <si>
    <t xml:space="preserve">CK-0779</t>
  </si>
  <si>
    <t xml:space="preserve">Sum of Q1..Q3 2025 (3-month values) - 9M 2025 value = 0 [total_opex_gaap]</t>
  </si>
  <si>
    <t xml:space="preserve">Quarterly_Actuals!H298+Quarterly_Actuals!H299+Quarterly_Actuals!H301-Quarterly_Actuals!H302</t>
  </si>
  <si>
    <t xml:space="preserve">CK-0780</t>
  </si>
  <si>
    <t xml:space="preserve">Sum of Q1..Q4 2025 (3-month values) - 12M 2025 value = 0 [total_opex_gaap]</t>
  </si>
  <si>
    <t xml:space="preserve">Quarterly_Actuals!H298+Quarterly_Actuals!H299+Quarterly_Actuals!H301+Quarterly_Actuals!H303-Quarterly_Actuals!H304</t>
  </si>
  <si>
    <t xml:space="preserve">CK-0781</t>
  </si>
  <si>
    <t xml:space="preserve">Sum of Q1..Q2 2025 (3-month values) - 6M 2025 value = 0 [op_income_gaap]</t>
  </si>
  <si>
    <t xml:space="preserve">Quarterly_Actuals!H336+Quarterly_Actuals!H337-Quarterly_Actuals!H338</t>
  </si>
  <si>
    <t xml:space="preserve">CK-0782</t>
  </si>
  <si>
    <t xml:space="preserve">Sum of Q1..Q3 2025 (3-month values) - 9M 2025 value = 0 [op_income_gaap]</t>
  </si>
  <si>
    <t xml:space="preserve">Quarterly_Actuals!H336+Quarterly_Actuals!H337+Quarterly_Actuals!H339-Quarterly_Actuals!H340</t>
  </si>
  <si>
    <t xml:space="preserve">CK-0783</t>
  </si>
  <si>
    <t xml:space="preserve">Sum of Q1..Q4 2025 (3-month values) - 12M 2025 value = 0 [op_income_gaap]</t>
  </si>
  <si>
    <t xml:space="preserve">Quarterly_Actuals!H336+Quarterly_Actuals!H337+Quarterly_Actuals!H339+Quarterly_Actuals!H341-Quarterly_Actuals!H342</t>
  </si>
  <si>
    <t xml:space="preserve">CK-0784</t>
  </si>
  <si>
    <t xml:space="preserve">Sum of Q1..Q2 2025 (3-month values) - 6M 2025 value = 0 [net_income_gaap]</t>
  </si>
  <si>
    <t xml:space="preserve">Quarterly_Actuals!H412+Quarterly_Actuals!H413-Quarterly_Actuals!H414</t>
  </si>
  <si>
    <t xml:space="preserve">CK-0785</t>
  </si>
  <si>
    <t xml:space="preserve">Sum of Q1..Q3 2025 (3-month values) - 9M 2025 value = 0 [net_income_gaap]</t>
  </si>
  <si>
    <t xml:space="preserve">Quarterly_Actuals!H412+Quarterly_Actuals!H413+Quarterly_Actuals!H415-Quarterly_Actuals!H416</t>
  </si>
  <si>
    <t xml:space="preserve">CK-0786</t>
  </si>
  <si>
    <t xml:space="preserve">Sum of Q1..Q4 2025 (3-month values) - 12M 2025 value = 0 [net_income_gaap]</t>
  </si>
  <si>
    <t xml:space="preserve">Quarterly_Actuals!H412+Quarterly_Actuals!H413+Quarterly_Actuals!H415+Quarterly_Actuals!H417-Quarterly_Actuals!H418</t>
  </si>
  <si>
    <t xml:space="preserve">CK-0787</t>
  </si>
  <si>
    <t xml:space="preserve">Sum of Q1..Q2 2025 (3-month values) - 6M 2025 value = 0 [gross_profit_nongaap]</t>
  </si>
  <si>
    <t xml:space="preserve">Quarterly_Actuals!H504+Quarterly_Actuals!H505-Quarterly_Actuals!H506</t>
  </si>
  <si>
    <t xml:space="preserve">CK-0788</t>
  </si>
  <si>
    <t xml:space="preserve">Sum of Q1..Q3 2025 (3-month values) - 9M 2025 value = 0 [gross_profit_nongaap]</t>
  </si>
  <si>
    <t xml:space="preserve">Quarterly_Actuals!H504+Quarterly_Actuals!H505+Quarterly_Actuals!H507-Quarterly_Actuals!H508</t>
  </si>
  <si>
    <t xml:space="preserve">CK-0789</t>
  </si>
  <si>
    <t xml:space="preserve">Sum of Q1..Q4 2025 (3-month values) - 12M 2025 value = 0 [gross_profit_nongaap]</t>
  </si>
  <si>
    <t xml:space="preserve">Quarterly_Actuals!H504+Quarterly_Actuals!H505+Quarterly_Actuals!H507+Quarterly_Actuals!H509-Quarterly_Actuals!H510</t>
  </si>
  <si>
    <t xml:space="preserve">CK-0790</t>
  </si>
  <si>
    <t xml:space="preserve">Sum of Q1..Q2 2025 (3-month values) - 6M 2025 value = 0 [rd_nongaap]</t>
  </si>
  <si>
    <t xml:space="preserve">Quarterly_Actuals!H580+Quarterly_Actuals!H581-Quarterly_Actuals!H582</t>
  </si>
  <si>
    <t xml:space="preserve">CK-0791</t>
  </si>
  <si>
    <t xml:space="preserve">Sum of Q1..Q3 2025 (3-month values) - 9M 2025 value = 0 [rd_nongaap]</t>
  </si>
  <si>
    <t xml:space="preserve">Quarterly_Actuals!H580+Quarterly_Actuals!H581+Quarterly_Actuals!H583-Quarterly_Actuals!H584</t>
  </si>
  <si>
    <t xml:space="preserve">CK-0792</t>
  </si>
  <si>
    <t xml:space="preserve">Sum of Q1..Q4 2025 (3-month values) - 12M 2025 value = 0 [rd_nongaap]</t>
  </si>
  <si>
    <t xml:space="preserve">Quarterly_Actuals!H580+Quarterly_Actuals!H581+Quarterly_Actuals!H583+Quarterly_Actuals!H585-Quarterly_Actuals!H586</t>
  </si>
  <si>
    <t xml:space="preserve">CK-0793</t>
  </si>
  <si>
    <t xml:space="preserve">Sum of Q1..Q2 2025 (3-month values) - 6M 2025 value = 0 [sm_nongaap]</t>
  </si>
  <si>
    <t xml:space="preserve">Quarterly_Actuals!H618+Quarterly_Actuals!H619-Quarterly_Actuals!H620</t>
  </si>
  <si>
    <t xml:space="preserve">CK-0794</t>
  </si>
  <si>
    <t xml:space="preserve">Sum of Q1..Q3 2025 (3-month values) - 9M 2025 value = 0 [sm_nongaap]</t>
  </si>
  <si>
    <t xml:space="preserve">Quarterly_Actuals!H618+Quarterly_Actuals!H619+Quarterly_Actuals!H621-Quarterly_Actuals!H622</t>
  </si>
  <si>
    <t xml:space="preserve">CK-0795</t>
  </si>
  <si>
    <t xml:space="preserve">Sum of Q1..Q4 2025 (3-month values) - 12M 2025 value = 0 [sm_nongaap]</t>
  </si>
  <si>
    <t xml:space="preserve">Quarterly_Actuals!H618+Quarterly_Actuals!H619+Quarterly_Actuals!H621+Quarterly_Actuals!H623-Quarterly_Actuals!H624</t>
  </si>
  <si>
    <t xml:space="preserve">CK-0796</t>
  </si>
  <si>
    <t xml:space="preserve">Sum of Q1..Q2 2025 (3-month values) - 6M 2025 value = 0 [ga_nongaap]</t>
  </si>
  <si>
    <t xml:space="preserve">Quarterly_Actuals!H656+Quarterly_Actuals!H657-Quarterly_Actuals!H658</t>
  </si>
  <si>
    <t xml:space="preserve">CK-0797</t>
  </si>
  <si>
    <t xml:space="preserve">Sum of Q1..Q3 2025 (3-month values) - 9M 2025 value = 0 [ga_nongaap]</t>
  </si>
  <si>
    <t xml:space="preserve">Quarterly_Actuals!H656+Quarterly_Actuals!H657+Quarterly_Actuals!H659-Quarterly_Actuals!H660</t>
  </si>
  <si>
    <t xml:space="preserve">CK-0798</t>
  </si>
  <si>
    <t xml:space="preserve">Sum of Q1..Q4 2025 (3-month values) - 12M 2025 value = 0 [ga_nongaap]</t>
  </si>
  <si>
    <t xml:space="preserve">Quarterly_Actuals!H656+Quarterly_Actuals!H657+Quarterly_Actuals!H659+Quarterly_Actuals!H661-Quarterly_Actuals!H662</t>
  </si>
  <si>
    <t xml:space="preserve">CK-0799</t>
  </si>
  <si>
    <t xml:space="preserve">Sum of Q1..Q2 2025 (3-month values) - 6M 2025 value = 0 [op_income_nongaap]</t>
  </si>
  <si>
    <t xml:space="preserve">Quarterly_Actuals!H694+Quarterly_Actuals!H695-Quarterly_Actuals!H696</t>
  </si>
  <si>
    <t xml:space="preserve">CK-0800</t>
  </si>
  <si>
    <t xml:space="preserve">Sum of Q1..Q3 2025 (3-month values) - 9M 2025 value = 0 [op_income_nongaap]</t>
  </si>
  <si>
    <t xml:space="preserve">Quarterly_Actuals!H694+Quarterly_Actuals!H695+Quarterly_Actuals!H697-Quarterly_Actuals!H698</t>
  </si>
  <si>
    <t xml:space="preserve">CK-0801</t>
  </si>
  <si>
    <t xml:space="preserve">Sum of Q1..Q4 2025 (3-month values) - 12M 2025 value = 0 [op_income_nongaap]</t>
  </si>
  <si>
    <t xml:space="preserve">Quarterly_Actuals!H694+Quarterly_Actuals!H695+Quarterly_Actuals!H697+Quarterly_Actuals!H699-Quarterly_Actuals!H700</t>
  </si>
  <si>
    <t xml:space="preserve">CK-0802</t>
  </si>
  <si>
    <t xml:space="preserve">Sum of Q1..Q2 2025 (3-month values) - 6M 2025 value = 0 [net_income_nongaap]</t>
  </si>
  <si>
    <t xml:space="preserve">Quarterly_Actuals!H770+Quarterly_Actuals!H771-Quarterly_Actuals!H772</t>
  </si>
  <si>
    <t xml:space="preserve">CK-0803</t>
  </si>
  <si>
    <t xml:space="preserve">Sum of Q1..Q3 2025 (3-month values) - 9M 2025 value = 0 [net_income_nongaap]</t>
  </si>
  <si>
    <t xml:space="preserve">Quarterly_Actuals!H770+Quarterly_Actuals!H771+Quarterly_Actuals!H773-Quarterly_Actuals!H774</t>
  </si>
  <si>
    <t xml:space="preserve">CK-0804</t>
  </si>
  <si>
    <t xml:space="preserve">Sum of Q1..Q4 2025 (3-month values) - 12M 2025 value = 0 [net_income_nongaap]</t>
  </si>
  <si>
    <t xml:space="preserve">Quarterly_Actuals!H770+Quarterly_Actuals!H771+Quarterly_Actuals!H773+Quarterly_Actuals!H775-Quarterly_Actuals!H776</t>
  </si>
  <si>
    <t xml:space="preserve">CK-0805</t>
  </si>
  <si>
    <t xml:space="preserve">Sum of Q1..Q2 2025 (3-month values) - 6M 2025 value = 0 [sbc_total_opinc_recon]</t>
  </si>
  <si>
    <t xml:space="preserve">Quarterly_Actuals!H862+Quarterly_Actuals!H863-Quarterly_Actuals!H864</t>
  </si>
  <si>
    <t xml:space="preserve">CK-0806</t>
  </si>
  <si>
    <t xml:space="preserve">Sum of Q1..Q3 2025 (3-month values) - 9M 2025 value = 0 [sbc_total_opinc_recon]</t>
  </si>
  <si>
    <t xml:space="preserve">Quarterly_Actuals!H862+Quarterly_Actuals!H863+Quarterly_Actuals!H865-Quarterly_Actuals!H866</t>
  </si>
  <si>
    <t xml:space="preserve">CK-0807</t>
  </si>
  <si>
    <t xml:space="preserve">Sum of Q1..Q4 2025 (3-month values) - 12M 2025 value = 0 [sbc_total_opinc_recon]</t>
  </si>
  <si>
    <t xml:space="preserve">Quarterly_Actuals!H862+Quarterly_Actuals!H863+Quarterly_Actuals!H865+Quarterly_Actuals!H867-Quarterly_Actuals!H868</t>
  </si>
  <si>
    <t xml:space="preserve">CK-0808</t>
  </si>
  <si>
    <t xml:space="preserve">Sum of Q1..Q2 2025 (3-month values) - 6M 2025 value = 0 [sbc_cf]</t>
  </si>
  <si>
    <t xml:space="preserve">Quarterly_Actuals!H900+Quarterly_Actuals!H901-Quarterly_Actuals!H902</t>
  </si>
  <si>
    <t xml:space="preserve">CK-0809</t>
  </si>
  <si>
    <t xml:space="preserve">Sum of Q1..Q3 2025 (3-month values) - 9M 2025 value = 0 [sbc_cf]</t>
  </si>
  <si>
    <t xml:space="preserve">Quarterly_Actuals!H900+Quarterly_Actuals!H901+Quarterly_Actuals!H903-Quarterly_Actuals!H904</t>
  </si>
  <si>
    <t xml:space="preserve">CK-0810</t>
  </si>
  <si>
    <t xml:space="preserve">Sum of Q1..Q4 2025 (3-month values) - 12M 2025 value = 0 [sbc_cf]</t>
  </si>
  <si>
    <t xml:space="preserve">Quarterly_Actuals!H900+Quarterly_Actuals!H901+Quarterly_Actuals!H903+Quarterly_Actuals!H905-Quarterly_Actuals!H906</t>
  </si>
  <si>
    <t xml:space="preserve">CK-0811</t>
  </si>
  <si>
    <t xml:space="preserve">Sum of Q1..Q2 2025 (3-month values) - 6M 2025 value = 0 [ocf]</t>
  </si>
  <si>
    <t xml:space="preserve">Quarterly_Actuals!H958+Quarterly_Actuals!H959-Quarterly_Actuals!H960</t>
  </si>
  <si>
    <t xml:space="preserve">CK-0812</t>
  </si>
  <si>
    <t xml:space="preserve">Sum of Q1..Q3 2025 (3-month values) - 9M 2025 value = 0 [ocf]</t>
  </si>
  <si>
    <t xml:space="preserve">Quarterly_Actuals!H958+Quarterly_Actuals!H959+Quarterly_Actuals!H961-Quarterly_Actuals!H962</t>
  </si>
  <si>
    <t xml:space="preserve">CK-0813</t>
  </si>
  <si>
    <t xml:space="preserve">Sum of Q1..Q4 2025 (3-month values) - 12M 2025 value = 0 [ocf]</t>
  </si>
  <si>
    <t xml:space="preserve">Quarterly_Actuals!H958+Quarterly_Actuals!H959+Quarterly_Actuals!H961+Quarterly_Actuals!H963-Quarterly_Actuals!H964</t>
  </si>
  <si>
    <t xml:space="preserve">CK-0814</t>
  </si>
  <si>
    <t xml:space="preserve">Sum of Q1..Q2 2025 (3-month values) - 6M 2025 value = 0 [capex_ppe]</t>
  </si>
  <si>
    <t xml:space="preserve">Quarterly_Actuals!H996+Quarterly_Actuals!H997-Quarterly_Actuals!H998</t>
  </si>
  <si>
    <t xml:space="preserve">CK-0815</t>
  </si>
  <si>
    <t xml:space="preserve">Sum of Q1..Q3 2025 (3-month values) - 9M 2025 value = 0 [capex_ppe]</t>
  </si>
  <si>
    <t xml:space="preserve">Quarterly_Actuals!H996+Quarterly_Actuals!H997+Quarterly_Actuals!H999-Quarterly_Actuals!H1000</t>
  </si>
  <si>
    <t xml:space="preserve">CK-0816</t>
  </si>
  <si>
    <t xml:space="preserve">Sum of Q1..Q4 2025 (3-month values) - 12M 2025 value = 0 [capex_ppe]</t>
  </si>
  <si>
    <t xml:space="preserve">Quarterly_Actuals!H996+Quarterly_Actuals!H997+Quarterly_Actuals!H999+Quarterly_Actuals!H1001-Quarterly_Actuals!H1002</t>
  </si>
  <si>
    <t xml:space="preserve">CK-0817</t>
  </si>
  <si>
    <t xml:space="preserve">Sum of Q1..Q2 2025 (3-month values) - 6M 2025 value = 0 [capitalized_software]</t>
  </si>
  <si>
    <t xml:space="preserve">Quarterly_Actuals!H1034+Quarterly_Actuals!H1035-Quarterly_Actuals!H1036</t>
  </si>
  <si>
    <t xml:space="preserve">CK-0818</t>
  </si>
  <si>
    <t xml:space="preserve">Sum of Q1..Q3 2025 (3-month values) - 9M 2025 value = 0 [capitalized_software]</t>
  </si>
  <si>
    <t xml:space="preserve">Quarterly_Actuals!H1034+Quarterly_Actuals!H1035+Quarterly_Actuals!H1037-Quarterly_Actuals!H1038</t>
  </si>
  <si>
    <t xml:space="preserve">CK-0819</t>
  </si>
  <si>
    <t xml:space="preserve">Sum of Q1..Q4 2025 (3-month values) - 12M 2025 value = 0 [capitalized_software]</t>
  </si>
  <si>
    <t xml:space="preserve">Quarterly_Actuals!H1034+Quarterly_Actuals!H1035+Quarterly_Actuals!H1037+Quarterly_Actuals!H1039-Quarterly_Actuals!H1040</t>
  </si>
  <si>
    <t xml:space="preserve">CK-0820</t>
  </si>
  <si>
    <t xml:space="preserve">Sum of Q1..Q2 2025 (3-month values) - 6M 2025 value = 0 [hq_buildout_addback]</t>
  </si>
  <si>
    <t xml:space="preserve">Quarterly_Actuals!H1058+Quarterly_Actuals!H1059-Quarterly_Actuals!H1060</t>
  </si>
  <si>
    <t xml:space="preserve">CK-0821</t>
  </si>
  <si>
    <t xml:space="preserve">Sum of Q1..Q3 2025 (3-month values) - 9M 2025 value = 0 [hq_buildout_addback]</t>
  </si>
  <si>
    <t xml:space="preserve">Quarterly_Actuals!H1058+Quarterly_Actuals!H1059+Quarterly_Actuals!H1061-Quarterly_Actuals!H1062</t>
  </si>
  <si>
    <t xml:space="preserve">CK-0822</t>
  </si>
  <si>
    <t xml:space="preserve">Sum of Q1..Q4 2025 (3-month values) - 12M 2025 value = 0 [hq_buildout_addback]</t>
  </si>
  <si>
    <t xml:space="preserve">Quarterly_Actuals!H1058+Quarterly_Actuals!H1059+Quarterly_Actuals!H1061+Quarterly_Actuals!H1063-Quarterly_Actuals!H1064</t>
  </si>
  <si>
    <t xml:space="preserve">CK-0823</t>
  </si>
  <si>
    <t xml:space="preserve">Sum of Q1..Q2 2025 (3-month values) - 6M 2025 value = 0 [fcf_reported]</t>
  </si>
  <si>
    <t xml:space="preserve">Quarterly_Actuals!H1096+Quarterly_Actuals!H1097-Quarterly_Actuals!H1098</t>
  </si>
  <si>
    <t xml:space="preserve">CK-0824</t>
  </si>
  <si>
    <t xml:space="preserve">Sum of Q1..Q3 2025 (3-month values) - 9M 2025 value = 0 [fcf_reported]</t>
  </si>
  <si>
    <t xml:space="preserve">Quarterly_Actuals!H1096+Quarterly_Actuals!H1097+Quarterly_Actuals!H1099-Quarterly_Actuals!H1100</t>
  </si>
  <si>
    <t xml:space="preserve">CK-0825</t>
  </si>
  <si>
    <t xml:space="preserve">Sum of Q1..Q4 2025 (3-month values) - 12M 2025 value = 0 [fcf_reported]</t>
  </si>
  <si>
    <t xml:space="preserve">Quarterly_Actuals!H1096+Quarterly_Actuals!H1097+Quarterly_Actuals!H1099+Quarterly_Actuals!H1101-Quarterly_Actuals!H1102</t>
  </si>
  <si>
    <t xml:space="preserve">CK-0826</t>
  </si>
  <si>
    <t xml:space="preserve">Sum of Q1..Q2 2025 (3-month values) - 6M 2025 value = 0 [d_and_a]</t>
  </si>
  <si>
    <t xml:space="preserve">Quarterly_Actuals!H1162+Quarterly_Actuals!H1163-Quarterly_Actuals!H1164</t>
  </si>
  <si>
    <t xml:space="preserve">CK-0827</t>
  </si>
  <si>
    <t xml:space="preserve">Sum of Q1..Q3 2025 (3-month values) - 9M 2025 value = 0 [d_and_a]</t>
  </si>
  <si>
    <t xml:space="preserve">Quarterly_Actuals!H1162+Quarterly_Actuals!H1163+Quarterly_Actuals!H1165-Quarterly_Actuals!H1166</t>
  </si>
  <si>
    <t xml:space="preserve">CK-0828</t>
  </si>
  <si>
    <t xml:space="preserve">Sum of Q1..Q4 2025 (3-month values) - 12M 2025 value = 0 [d_and_a]</t>
  </si>
  <si>
    <t xml:space="preserve">Quarterly_Actuals!H1162+Quarterly_Actuals!H1163+Quarterly_Actuals!H1165+Quarterly_Actuals!H1167-Quarterly_Actuals!H1168</t>
  </si>
  <si>
    <t xml:space="preserve">Quarterly D&amp;A as originally reported (3,250 + 3,375 + 3,500 + 3,738 = 13,863) exceeds FY2025 D&amp;A of 13,805 (Q4 2025 release and FY2025 20-F cash-flow statement) by 58. 9M (10,125) ties to Q1-Q3, so the difference sits in Q4: Q4 3M (3,738) vs FY - 9M (3,680). No restatement or explanation disclosed. Use FY audited value for annual; treat Q4 3M as reported.</t>
  </si>
  <si>
    <t xml:space="preserve">CK-0829</t>
  </si>
  <si>
    <t xml:space="preserve">Sum of Q1..Q2 2026 (3-month values) - 6M 2026 value = 0 [revenue]</t>
  </si>
  <si>
    <t xml:space="preserve">Quarterly_Actuals!H37+Quarterly_Actuals!H38-Quarterly_Actuals!H39</t>
  </si>
  <si>
    <t xml:space="preserve">CK-0830</t>
  </si>
  <si>
    <t xml:space="preserve">Sum of Q1..Q2 2026 (3-month values) - 6M 2026 value = 0 [cost_of_revenue]</t>
  </si>
  <si>
    <t xml:space="preserve">Quarterly_Actuals!H75+Quarterly_Actuals!H76-Quarterly_Actuals!H77</t>
  </si>
  <si>
    <t xml:space="preserve">CK-0831</t>
  </si>
  <si>
    <t xml:space="preserve">Sum of Q1..Q2 2026 (3-month values) - 6M 2026 value = 0 [gross_profit_gaap]</t>
  </si>
  <si>
    <t xml:space="preserve">Quarterly_Actuals!H113+Quarterly_Actuals!H114-Quarterly_Actuals!H115</t>
  </si>
  <si>
    <t xml:space="preserve">CK-0832</t>
  </si>
  <si>
    <t xml:space="preserve">Sum of Q1..Q2 2026 (3-month values) - 6M 2026 value = 0 [rd_gaap]</t>
  </si>
  <si>
    <t xml:space="preserve">Quarterly_Actuals!H189+Quarterly_Actuals!H190-Quarterly_Actuals!H191</t>
  </si>
  <si>
    <t xml:space="preserve">CK-0833</t>
  </si>
  <si>
    <t xml:space="preserve">Sum of Q1..Q2 2026 (3-month values) - 6M 2026 value = 0 [sm_gaap]</t>
  </si>
  <si>
    <t xml:space="preserve">Quarterly_Actuals!H227+Quarterly_Actuals!H228-Quarterly_Actuals!H229</t>
  </si>
  <si>
    <t xml:space="preserve">CK-0834</t>
  </si>
  <si>
    <t xml:space="preserve">Sum of Q1..Q2 2026 (3-month values) - 6M 2026 value = 0 [ga_gaap]</t>
  </si>
  <si>
    <t xml:space="preserve">Quarterly_Actuals!H265+Quarterly_Actuals!H266-Quarterly_Actuals!H267</t>
  </si>
  <si>
    <t xml:space="preserve">CK-0835</t>
  </si>
  <si>
    <t xml:space="preserve">Sum of Q1..Q2 2026 (3-month values) - 6M 2026 value = 0 [total_opex_gaap]</t>
  </si>
  <si>
    <t xml:space="preserve">Quarterly_Actuals!H305+Quarterly_Actuals!H306-Quarterly_Actuals!H307</t>
  </si>
  <si>
    <t xml:space="preserve">CK-0836</t>
  </si>
  <si>
    <t xml:space="preserve">Sum of Q1..Q2 2026 (3-month values) - 6M 2026 value = 0 [op_income_gaap]</t>
  </si>
  <si>
    <t xml:space="preserve">Quarterly_Actuals!H343+Quarterly_Actuals!H344-Quarterly_Actuals!H345</t>
  </si>
  <si>
    <t xml:space="preserve">CK-0837</t>
  </si>
  <si>
    <t xml:space="preserve">Sum of Q1..Q2 2026 (3-month values) - 6M 2026 value = 0 [net_income_gaap]</t>
  </si>
  <si>
    <t xml:space="preserve">Quarterly_Actuals!H419+Quarterly_Actuals!H420-Quarterly_Actuals!H421</t>
  </si>
  <si>
    <t xml:space="preserve">CK-0838</t>
  </si>
  <si>
    <t xml:space="preserve">Sum of Q1..Q2 2026 (3-month values) - 6M 2026 value = 0 [gross_profit_nongaap]</t>
  </si>
  <si>
    <t xml:space="preserve">Quarterly_Actuals!H511+Quarterly_Actuals!H512-Quarterly_Actuals!H513</t>
  </si>
  <si>
    <t xml:space="preserve">CK-0839</t>
  </si>
  <si>
    <t xml:space="preserve">Sum of Q1..Q2 2026 (3-month values) - 6M 2026 value = 0 [rd_nongaap]</t>
  </si>
  <si>
    <t xml:space="preserve">Quarterly_Actuals!H587+Quarterly_Actuals!H588-Quarterly_Actuals!H589</t>
  </si>
  <si>
    <t xml:space="preserve">CK-0840</t>
  </si>
  <si>
    <t xml:space="preserve">Sum of Q1..Q2 2026 (3-month values) - 6M 2026 value = 0 [sm_nongaap]</t>
  </si>
  <si>
    <t xml:space="preserve">Quarterly_Actuals!H625+Quarterly_Actuals!H626-Quarterly_Actuals!H627</t>
  </si>
  <si>
    <t xml:space="preserve">CK-0841</t>
  </si>
  <si>
    <t xml:space="preserve">Sum of Q1..Q2 2026 (3-month values) - 6M 2026 value = 0 [ga_nongaap]</t>
  </si>
  <si>
    <t xml:space="preserve">Quarterly_Actuals!H663+Quarterly_Actuals!H664-Quarterly_Actuals!H665</t>
  </si>
  <si>
    <t xml:space="preserve">CK-0842</t>
  </si>
  <si>
    <t xml:space="preserve">Sum of Q1..Q2 2026 (3-month values) - 6M 2026 value = 0 [op_income_nongaap]</t>
  </si>
  <si>
    <t xml:space="preserve">Quarterly_Actuals!H701+Quarterly_Actuals!H702-Quarterly_Actuals!H703</t>
  </si>
  <si>
    <t xml:space="preserve">CK-0843</t>
  </si>
  <si>
    <t xml:space="preserve">Sum of Q1..Q2 2026 (3-month values) - 6M 2026 value = 0 [net_income_nongaap]</t>
  </si>
  <si>
    <t xml:space="preserve">Quarterly_Actuals!H777+Quarterly_Actuals!H778-Quarterly_Actuals!H779</t>
  </si>
  <si>
    <t xml:space="preserve">CK-0844</t>
  </si>
  <si>
    <t xml:space="preserve">Sum of Q1..Q2 2026 (3-month values) - 6M 2026 value = 0 [sbc_total_opinc_recon]</t>
  </si>
  <si>
    <t xml:space="preserve">Quarterly_Actuals!H869+Quarterly_Actuals!H870-Quarterly_Actuals!H871</t>
  </si>
  <si>
    <t xml:space="preserve">CK-0845</t>
  </si>
  <si>
    <t xml:space="preserve">Sum of Q1..Q2 2026 (3-month values) - 6M 2026 value = 0 [sbc_cf]</t>
  </si>
  <si>
    <t xml:space="preserve">Quarterly_Actuals!H907+Quarterly_Actuals!H908-Quarterly_Actuals!H909</t>
  </si>
  <si>
    <t xml:space="preserve">CK-0846</t>
  </si>
  <si>
    <t xml:space="preserve">Sum of Q1..Q2 2026 (3-month values) - 6M 2026 value = 0 [ocf]</t>
  </si>
  <si>
    <t xml:space="preserve">Quarterly_Actuals!H965+Quarterly_Actuals!H966-Quarterly_Actuals!H967</t>
  </si>
  <si>
    <t xml:space="preserve">CK-0847</t>
  </si>
  <si>
    <t xml:space="preserve">Sum of Q1..Q2 2026 (3-month values) - 6M 2026 value = 0 [capex_ppe]</t>
  </si>
  <si>
    <t xml:space="preserve">Quarterly_Actuals!H1003+Quarterly_Actuals!H1004-Quarterly_Actuals!H1005</t>
  </si>
  <si>
    <t xml:space="preserve">CK-0848</t>
  </si>
  <si>
    <t xml:space="preserve">Sum of Q1..Q2 2026 (3-month values) - 6M 2026 value = 0 [capitalized_software]</t>
  </si>
  <si>
    <t xml:space="preserve">Quarterly_Actuals!H1041+Quarterly_Actuals!H1042-Quarterly_Actuals!H1043</t>
  </si>
  <si>
    <t xml:space="preserve">CK-0849</t>
  </si>
  <si>
    <t xml:space="preserve">Sum of Q1..Q2 2026 (3-month values) - 6M 2026 value = 0 [hq_buildout_addback]</t>
  </si>
  <si>
    <t xml:space="preserve">Quarterly_Actuals!H1065+Quarterly_Actuals!H1066-Quarterly_Actuals!H1067</t>
  </si>
  <si>
    <t xml:space="preserve">CK-0850</t>
  </si>
  <si>
    <t xml:space="preserve">Sum of Q1..Q2 2026 (3-month values) - 6M 2026 value = 0 [fcf_reported]</t>
  </si>
  <si>
    <t xml:space="preserve">Quarterly_Actuals!H1103+Quarterly_Actuals!H1104-Quarterly_Actuals!H1105</t>
  </si>
  <si>
    <t xml:space="preserve">CK-0851</t>
  </si>
  <si>
    <t xml:space="preserve">Sum of Q1..Q2 2026 (3-month values) - 6M 2026 value = 0 [d_and_a]</t>
  </si>
  <si>
    <t xml:space="preserve">Quarterly_Actuals!H1169+Quarterly_Actuals!H1170-Quarterly_Actuals!H1171</t>
  </si>
  <si>
    <t xml:space="preserve">CK-0852</t>
  </si>
  <si>
    <t xml:space="preserve">KPI internal logic (point-in-time; no summation)</t>
  </si>
  <si>
    <t xml:space="preserve">&gt;$100k count &lt;= &gt;$50k count: MAX(0, smaller cohort - larger cohort) = 0</t>
  </si>
  <si>
    <t xml:space="preserve">MAX(0,Quarterly_Actuals!H1380-Quarterly_Actuals!H1413)</t>
  </si>
  <si>
    <t xml:space="preserve">CK-0853</t>
  </si>
  <si>
    <t xml:space="preserve">MAX(0,Quarterly_Actuals!H1381-Quarterly_Actuals!H1414)</t>
  </si>
  <si>
    <t xml:space="preserve">CK-0854</t>
  </si>
  <si>
    <t xml:space="preserve">MAX(0,Quarterly_Actuals!H1382-Quarterly_Actuals!H1415)</t>
  </si>
  <si>
    <t xml:space="preserve">CK-0855</t>
  </si>
  <si>
    <t xml:space="preserve">MAX(0,Quarterly_Actuals!H1383-Quarterly_Actuals!H1416)</t>
  </si>
  <si>
    <t xml:space="preserve">CK-0856</t>
  </si>
  <si>
    <t xml:space="preserve">MAX(0,Quarterly_Actuals!H1384-Quarterly_Actuals!H1417)</t>
  </si>
  <si>
    <t xml:space="preserve">CK-0857</t>
  </si>
  <si>
    <t xml:space="preserve">MAX(0,Quarterly_Actuals!H1385-Quarterly_Actuals!H1418)</t>
  </si>
  <si>
    <t xml:space="preserve">CK-0858</t>
  </si>
  <si>
    <t xml:space="preserve">MAX(0,Quarterly_Actuals!H1386-Quarterly_Actuals!H1419)</t>
  </si>
  <si>
    <t xml:space="preserve">CK-0859</t>
  </si>
  <si>
    <t xml:space="preserve">MAX(0,Quarterly_Actuals!H1387-Quarterly_Actuals!H1420)</t>
  </si>
  <si>
    <t xml:space="preserve">CK-0860</t>
  </si>
  <si>
    <t xml:space="preserve">&gt;$500k count &lt;= &gt;$100k count: MAX(0, smaller cohort - larger cohort) = 0</t>
  </si>
  <si>
    <t xml:space="preserve">MAX(0,Quarterly_Actuals!H1449-Quarterly_Actuals!H1387)</t>
  </si>
  <si>
    <t xml:space="preserve">CK-0861</t>
  </si>
  <si>
    <t xml:space="preserve">ARR share &gt;$100k &lt;= ARR share &gt;$50k: MAX(0, smaller cohort - larger cohort) = 0</t>
  </si>
  <si>
    <t xml:space="preserve">MAX(0,Quarterly_Actuals!H1485-Quarterly_Actuals!H1495)</t>
  </si>
  <si>
    <t xml:space="preserve">CK-0862</t>
  </si>
  <si>
    <t xml:space="preserve">ARR share &gt;$500k &lt;= ARR share &gt;$100k: MAX(0, smaller cohort - larger cohort) = 0</t>
  </si>
  <si>
    <t xml:space="preserve">MAX(0,Quarterly_Actuals!H1503-Quarterly_Actuals!H1485)</t>
  </si>
  <si>
    <t xml:space="preserve">CK-0863</t>
  </si>
  <si>
    <t xml:space="preserve">MAX(0,Quarterly_Actuals!H1388-Quarterly_Actuals!H1421)</t>
  </si>
  <si>
    <t xml:space="preserve">CK-0864</t>
  </si>
  <si>
    <t xml:space="preserve">MAX(0,Quarterly_Actuals!H1450-Quarterly_Actuals!H1388)</t>
  </si>
  <si>
    <t xml:space="preserve">CK-0865</t>
  </si>
  <si>
    <t xml:space="preserve">MAX(0,Quarterly_Actuals!H1486-Quarterly_Actuals!H1496)</t>
  </si>
  <si>
    <t xml:space="preserve">CK-0866</t>
  </si>
  <si>
    <t xml:space="preserve">MAX(0,Quarterly_Actuals!H1504-Quarterly_Actuals!H1486)</t>
  </si>
  <si>
    <t xml:space="preserve">CK-0867</t>
  </si>
  <si>
    <t xml:space="preserve">cRPO &lt;= total RPO: MAX(0, smaller cohort - larger cohort) = 0</t>
  </si>
  <si>
    <t xml:space="preserve">MAX(0,Quarterly_Actuals!H1520-Quarterly_Actuals!H1530)</t>
  </si>
  <si>
    <t xml:space="preserve">CK-0868</t>
  </si>
  <si>
    <t xml:space="preserve">MAX(0,Quarterly_Actuals!H1389-Quarterly_Actuals!H1422)</t>
  </si>
  <si>
    <t xml:space="preserve">CK-0869</t>
  </si>
  <si>
    <t xml:space="preserve">MAX(0,Quarterly_Actuals!H1451-Quarterly_Actuals!H1389)</t>
  </si>
  <si>
    <t xml:space="preserve">CK-0870</t>
  </si>
  <si>
    <t xml:space="preserve">MAX(0,Quarterly_Actuals!H1487-Quarterly_Actuals!H1497)</t>
  </si>
  <si>
    <t xml:space="preserve">CK-0871</t>
  </si>
  <si>
    <t xml:space="preserve">MAX(0,Quarterly_Actuals!H1505-Quarterly_Actuals!H1487)</t>
  </si>
  <si>
    <t xml:space="preserve">CK-0872</t>
  </si>
  <si>
    <t xml:space="preserve">MAX(0,Quarterly_Actuals!H1521-Quarterly_Actuals!H1531)</t>
  </si>
  <si>
    <t xml:space="preserve">CK-0873</t>
  </si>
  <si>
    <t xml:space="preserve">MAX(0,Quarterly_Actuals!H1390-Quarterly_Actuals!H1423)</t>
  </si>
  <si>
    <t xml:space="preserve">CK-0874</t>
  </si>
  <si>
    <t xml:space="preserve">MAX(0,Quarterly_Actuals!H1452-Quarterly_Actuals!H1390)</t>
  </si>
  <si>
    <t xml:space="preserve">CK-0875</t>
  </si>
  <si>
    <t xml:space="preserve">MAX(0,Quarterly_Actuals!H1488-Quarterly_Actuals!H1498)</t>
  </si>
  <si>
    <t xml:space="preserve">CK-0876</t>
  </si>
  <si>
    <t xml:space="preserve">MAX(0,Quarterly_Actuals!H1506-Quarterly_Actuals!H1488)</t>
  </si>
  <si>
    <t xml:space="preserve">CK-0877</t>
  </si>
  <si>
    <t xml:space="preserve">MAX(0,Quarterly_Actuals!H1522-Quarterly_Actuals!H1532)</t>
  </si>
  <si>
    <t xml:space="preserve">CK-0878</t>
  </si>
  <si>
    <t xml:space="preserve">MAX(0,Quarterly_Actuals!H1391-Quarterly_Actuals!H1424)</t>
  </si>
  <si>
    <t xml:space="preserve">CK-0879</t>
  </si>
  <si>
    <t xml:space="preserve">MAX(0,Quarterly_Actuals!H1453-Quarterly_Actuals!H1391)</t>
  </si>
  <si>
    <t xml:space="preserve">CK-0880</t>
  </si>
  <si>
    <t xml:space="preserve">MAX(0,Quarterly_Actuals!H1489-Quarterly_Actuals!H1499)</t>
  </si>
  <si>
    <t xml:space="preserve">CK-0881</t>
  </si>
  <si>
    <t xml:space="preserve">MAX(0,Quarterly_Actuals!H1507-Quarterly_Actuals!H1489)</t>
  </si>
  <si>
    <t xml:space="preserve">CK-0882</t>
  </si>
  <si>
    <t xml:space="preserve">MAX(0,Quarterly_Actuals!H1392-Quarterly_Actuals!H1425)</t>
  </si>
  <si>
    <t xml:space="preserve">CK-0883</t>
  </si>
  <si>
    <t xml:space="preserve">MAX(0,Quarterly_Actuals!H1454-Quarterly_Actuals!H1392)</t>
  </si>
  <si>
    <t xml:space="preserve">CK-0884</t>
  </si>
  <si>
    <t xml:space="preserve">MAX(0,Quarterly_Actuals!H1490-Quarterly_Actuals!H1500)</t>
  </si>
  <si>
    <t xml:space="preserve">CK-0885</t>
  </si>
  <si>
    <t xml:space="preserve">MAX(0,Quarterly_Actuals!H1508-Quarterly_Actuals!H1490)</t>
  </si>
  <si>
    <t xml:space="preserve">CK-0886</t>
  </si>
  <si>
    <t xml:space="preserve">MAX(0,Quarterly_Actuals!H1523-Quarterly_Actuals!H1534)</t>
  </si>
  <si>
    <t xml:space="preserve">CK-0887</t>
  </si>
  <si>
    <t xml:space="preserve">MAX(0,Quarterly_Actuals!H1393-Quarterly_Actuals!H1426)</t>
  </si>
  <si>
    <t xml:space="preserve">CK-0888</t>
  </si>
  <si>
    <t xml:space="preserve">MAX(0,Quarterly_Actuals!H1455-Quarterly_Actuals!H1393)</t>
  </si>
  <si>
    <t xml:space="preserve">CK-0889</t>
  </si>
  <si>
    <t xml:space="preserve">MAX(0,Quarterly_Actuals!H1491-Quarterly_Actuals!H1501)</t>
  </si>
  <si>
    <t xml:space="preserve">CK-0890</t>
  </si>
  <si>
    <t xml:space="preserve">MAX(0,Quarterly_Actuals!H1509-Quarterly_Actuals!H1491)</t>
  </si>
  <si>
    <t xml:space="preserve">CK-0891</t>
  </si>
  <si>
    <t xml:space="preserve">MAX(0,Quarterly_Actuals!H1524-Quarterly_Actuals!H1535)</t>
  </si>
  <si>
    <t xml:space="preserve">CK-0892</t>
  </si>
  <si>
    <t xml:space="preserve">MAX(0,Quarterly_Actuals!H1394-Quarterly_Actuals!H1427)</t>
  </si>
  <si>
    <t xml:space="preserve">CK-0893</t>
  </si>
  <si>
    <t xml:space="preserve">MAX(0,Quarterly_Actuals!H1456-Quarterly_Actuals!H1394)</t>
  </si>
  <si>
    <t xml:space="preserve">CK-0894</t>
  </si>
  <si>
    <t xml:space="preserve">MAX(0,Quarterly_Actuals!H1492-Quarterly_Actuals!H1502)</t>
  </si>
  <si>
    <t xml:space="preserve">CK-0895</t>
  </si>
  <si>
    <t xml:space="preserve">MAX(0,Quarterly_Actuals!H1510-Quarterly_Actuals!H1492)</t>
  </si>
  <si>
    <t xml:space="preserve">CK-0896</t>
  </si>
  <si>
    <t xml:space="preserve">MAX(0,Quarterly_Actuals!H1525-Quarterly_Actuals!H1536)</t>
  </si>
  <si>
    <t xml:space="preserve">CK-0897</t>
  </si>
  <si>
    <t xml:space="preserve">KPI growth consistency (as-reported growth vs. disclosed levels)</t>
  </si>
  <si>
    <t xml:space="preserve">ROUND(current / prior-year - 1, whole %) - reported growth = 0 [Paid customers - total]</t>
  </si>
  <si>
    <t xml:space="preserve">ROUND(Quarterly_Actuals!H1377/Quarterly_Actuals!H1376-1,2)-Quarterly_Actuals!H1379</t>
  </si>
  <si>
    <t xml:space="preserve">CK-0898</t>
  </si>
  <si>
    <t xml:space="preserve">ROUND(current / prior-year - 1, whole %) - reported growth = 0 [Paid customers with more than $100,000 in ARR]</t>
  </si>
  <si>
    <t xml:space="preserve">ROUND(Quarterly_Actuals!H1384/Quarterly_Actuals!H1380-1,2)-Quarterly_Actuals!H1395</t>
  </si>
  <si>
    <t xml:space="preserve">CK-0899</t>
  </si>
  <si>
    <t xml:space="preserve">ROUND(Quarterly_Actuals!H1385/Quarterly_Actuals!H1381-1,2)-Quarterly_Actuals!H1396</t>
  </si>
  <si>
    <t xml:space="preserve">CK-0900</t>
  </si>
  <si>
    <t xml:space="preserve">ROUND(Quarterly_Actuals!H1386/Quarterly_Actuals!H1382-1,2)-Quarterly_Actuals!H1397</t>
  </si>
  <si>
    <t xml:space="preserve">CK-0901</t>
  </si>
  <si>
    <t xml:space="preserve">ROUND(Quarterly_Actuals!H1387/Quarterly_Actuals!H1383-1,2)-Quarterly_Actuals!H1398</t>
  </si>
  <si>
    <t xml:space="preserve">CK-0902</t>
  </si>
  <si>
    <t xml:space="preserve">ROUND(Quarterly_Actuals!H1388/Quarterly_Actuals!H1384-1,2)-Quarterly_Actuals!H1399</t>
  </si>
  <si>
    <t xml:space="preserve">CK-0903</t>
  </si>
  <si>
    <t xml:space="preserve">ROUND(Quarterly_Actuals!H1389/Quarterly_Actuals!H1385-1,2)-Quarterly_Actuals!H1400</t>
  </si>
  <si>
    <t xml:space="preserve">CK-0904</t>
  </si>
  <si>
    <t xml:space="preserve">ROUND(Quarterly_Actuals!H1390/Quarterly_Actuals!H1386-1,2)-Quarterly_Actuals!H1401</t>
  </si>
  <si>
    <t xml:space="preserve">CK-0905</t>
  </si>
  <si>
    <t xml:space="preserve">ROUND(Quarterly_Actuals!H1391/Quarterly_Actuals!H1387-1,2)-Quarterly_Actuals!H1402</t>
  </si>
  <si>
    <t xml:space="preserve">CK-0906</t>
  </si>
  <si>
    <t xml:space="preserve">ROUND(Quarterly_Actuals!H1392/Quarterly_Actuals!H1388-1,2)-Quarterly_Actuals!H1403</t>
  </si>
  <si>
    <t xml:space="preserve">CK-0907</t>
  </si>
  <si>
    <t xml:space="preserve">ROUND(Quarterly_Actuals!H1393/Quarterly_Actuals!H1389-1,2)-Quarterly_Actuals!H1404</t>
  </si>
  <si>
    <t xml:space="preserve">CK-0908</t>
  </si>
  <si>
    <t xml:space="preserve">ROUND(Quarterly_Actuals!H1394/Quarterly_Actuals!H1390-1,2)-Quarterly_Actuals!H1405</t>
  </si>
  <si>
    <t xml:space="preserve">CK-0909</t>
  </si>
  <si>
    <t xml:space="preserve">ROUND(current / prior-year - 1, whole %) - reported growth = 0 [Paid customers with more than $50,000 in ARR]</t>
  </si>
  <si>
    <t xml:space="preserve">ROUND(Quarterly_Actuals!H1410/Quarterly_Actuals!H1406-1,2)-Quarterly_Actuals!H1431</t>
  </si>
  <si>
    <t xml:space="preserve">CK-0910</t>
  </si>
  <si>
    <t xml:space="preserve">ROUND(Quarterly_Actuals!H1411/Quarterly_Actuals!H1407-1,2)-Quarterly_Actuals!H1432</t>
  </si>
  <si>
    <t xml:space="preserve">CK-0911</t>
  </si>
  <si>
    <t xml:space="preserve">ROUND(Quarterly_Actuals!H1412/Quarterly_Actuals!H1408-1,2)-Quarterly_Actuals!H1433</t>
  </si>
  <si>
    <t xml:space="preserve">CK-0912</t>
  </si>
  <si>
    <t xml:space="preserve">ROUND(Quarterly_Actuals!H1413/Quarterly_Actuals!H1409-1,2)-Quarterly_Actuals!H1434</t>
  </si>
  <si>
    <t xml:space="preserve">CK-0913</t>
  </si>
  <si>
    <t xml:space="preserve">ROUND(Quarterly_Actuals!H1414/Quarterly_Actuals!H1410-1,2)-Quarterly_Actuals!H1435</t>
  </si>
  <si>
    <t xml:space="preserve">CK-0914</t>
  </si>
  <si>
    <t xml:space="preserve">ROUND(Quarterly_Actuals!H1415/Quarterly_Actuals!H1411-1,2)-Quarterly_Actuals!H1436</t>
  </si>
  <si>
    <t xml:space="preserve">CK-0915</t>
  </si>
  <si>
    <t xml:space="preserve">ROUND(Quarterly_Actuals!H1416/Quarterly_Actuals!H1412-1,2)-Quarterly_Actuals!H1437</t>
  </si>
  <si>
    <t xml:space="preserve">CK-0916</t>
  </si>
  <si>
    <t xml:space="preserve">ROUND(Quarterly_Actuals!H1417/Quarterly_Actuals!H1413-1,2)-Quarterly_Actuals!H1438</t>
  </si>
  <si>
    <t xml:space="preserve">CK-0917</t>
  </si>
  <si>
    <t xml:space="preserve">ROUND(Quarterly_Actuals!H1418/Quarterly_Actuals!H1414-1,2)-Quarterly_Actuals!H1439</t>
  </si>
  <si>
    <t xml:space="preserve">CK-0918</t>
  </si>
  <si>
    <t xml:space="preserve">ROUND(Quarterly_Actuals!H1419/Quarterly_Actuals!H1415-1,2)-Quarterly_Actuals!H1440</t>
  </si>
  <si>
    <t xml:space="preserve">CK-0919</t>
  </si>
  <si>
    <t xml:space="preserve">ROUND(Quarterly_Actuals!H1420/Quarterly_Actuals!H1416-1,2)-Quarterly_Actuals!H1441</t>
  </si>
  <si>
    <t xml:space="preserve">CK-0920</t>
  </si>
  <si>
    <t xml:space="preserve">ROUND(Quarterly_Actuals!H1421/Quarterly_Actuals!H1417-1,2)-Quarterly_Actuals!H1442</t>
  </si>
  <si>
    <t xml:space="preserve">CK-0921</t>
  </si>
  <si>
    <t xml:space="preserve">ROUND(Quarterly_Actuals!H1422/Quarterly_Actuals!H1418-1,2)-Quarterly_Actuals!H1443</t>
  </si>
  <si>
    <t xml:space="preserve">CK-0922</t>
  </si>
  <si>
    <t xml:space="preserve">ROUND(Quarterly_Actuals!H1423/Quarterly_Actuals!H1419-1,2)-Quarterly_Actuals!H1444</t>
  </si>
  <si>
    <t xml:space="preserve">CK-0923</t>
  </si>
  <si>
    <t xml:space="preserve">ROUND(Quarterly_Actuals!H1424/Quarterly_Actuals!H1420-1,2)-Quarterly_Actuals!H1445</t>
  </si>
  <si>
    <t xml:space="preserve">CK-0924</t>
  </si>
  <si>
    <t xml:space="preserve">ROUND(Quarterly_Actuals!H1425/Quarterly_Actuals!H1421-1,2)-Quarterly_Actuals!H1446</t>
  </si>
  <si>
    <t xml:space="preserve">CK-0925</t>
  </si>
  <si>
    <t xml:space="preserve">ROUND(Quarterly_Actuals!H1426/Quarterly_Actuals!H1422-1,2)-Quarterly_Actuals!H1447</t>
  </si>
  <si>
    <t xml:space="preserve">CK-0926</t>
  </si>
  <si>
    <t xml:space="preserve">ROUND(Quarterly_Actuals!H1427/Quarterly_Actuals!H1423-1,2)-Quarterly_Actuals!H1448</t>
  </si>
  <si>
    <t xml:space="preserve">CK-0927</t>
  </si>
  <si>
    <t xml:space="preserve">ROUND(current / prior-year - 1, whole %) - reported growth = 0 [Paid customers with more than $500,000 in ARR]</t>
  </si>
  <si>
    <t xml:space="preserve">ROUND(Quarterly_Actuals!H1453/Quarterly_Actuals!H1449-1,2)-Quarterly_Actuals!H1457</t>
  </si>
  <si>
    <t xml:space="preserve">CK-0928</t>
  </si>
  <si>
    <t xml:space="preserve">ROUND(Quarterly_Actuals!H1454/Quarterly_Actuals!H1450-1,2)-Quarterly_Actuals!H1458</t>
  </si>
  <si>
    <t xml:space="preserve">CK-0929</t>
  </si>
  <si>
    <t xml:space="preserve">ROUND(Quarterly_Actuals!H1455/Quarterly_Actuals!H1451-1,2)-Quarterly_Actuals!H1459</t>
  </si>
  <si>
    <t xml:space="preserve">CK-0930</t>
  </si>
  <si>
    <t xml:space="preserve">ROUND(Quarterly_Actuals!H1456/Quarterly_Actuals!H1452-1,2)-Quarterly_Actuals!H1460</t>
  </si>
  <si>
    <t xml:space="preserve">CK-0931</t>
  </si>
  <si>
    <t xml:space="preserve">ROUND(current / prior-year - 1, whole %) - reported growth = 0 [Paid customers with more than 10 users]</t>
  </si>
  <si>
    <t xml:space="preserve">ROUND(Quarterly_Actuals!H1465/Quarterly_Actuals!H1461-1,2)-Quarterly_Actuals!H1475</t>
  </si>
  <si>
    <t xml:space="preserve">CK-0932</t>
  </si>
  <si>
    <t xml:space="preserve">ROUND(Quarterly_Actuals!H1466/Quarterly_Actuals!H1462-1,2)-Quarterly_Actuals!H1476</t>
  </si>
  <si>
    <t xml:space="preserve">CK-0933</t>
  </si>
  <si>
    <t xml:space="preserve">ROUND(Quarterly_Actuals!H1467/Quarterly_Actuals!H1463-1,2)-Quarterly_Actuals!H1477</t>
  </si>
  <si>
    <t xml:space="preserve">CK-0934</t>
  </si>
  <si>
    <t xml:space="preserve">ROUND(Quarterly_Actuals!H1468/Quarterly_Actuals!H1464-1,2)-Quarterly_Actuals!H1478</t>
  </si>
  <si>
    <t xml:space="preserve">CK-0935</t>
  </si>
  <si>
    <t xml:space="preserve">ROUND(Quarterly_Actuals!H1469/Quarterly_Actuals!H1465-1,2)-Quarterly_Actuals!H1479</t>
  </si>
  <si>
    <t xml:space="preserve">CK-0936</t>
  </si>
  <si>
    <t xml:space="preserve">ROUND(Quarterly_Actuals!H1470/Quarterly_Actuals!H1466-1,2)-Quarterly_Actuals!H1480</t>
  </si>
  <si>
    <t xml:space="preserve">CK-0937</t>
  </si>
  <si>
    <t xml:space="preserve">ROUND(Quarterly_Actuals!H1471/Quarterly_Actuals!H1467-1,2)-Quarterly_Actuals!H1481</t>
  </si>
  <si>
    <t xml:space="preserve">CK-0938</t>
  </si>
  <si>
    <t xml:space="preserve">ROUND(Quarterly_Actuals!H1472/Quarterly_Actuals!H1468-1,2)-Quarterly_Actuals!H1482</t>
  </si>
  <si>
    <t xml:space="preserve">CK-0939</t>
  </si>
  <si>
    <t xml:space="preserve">ROUND(Quarterly_Actuals!H1473/Quarterly_Actuals!H1469-1,2)-Quarterly_Actuals!H1483</t>
  </si>
  <si>
    <t xml:space="preserve">CK-0940</t>
  </si>
  <si>
    <t xml:space="preserve">ROUND(Quarterly_Actuals!H1474/Quarterly_Actuals!H1470-1,2)-Quarterly_Actuals!H1484</t>
  </si>
  <si>
    <t xml:space="preserve">CK-0941</t>
  </si>
  <si>
    <t xml:space="preserve">ROUND(current / prior-year - 1, whole %) - reported growth = 0 [Current remaining performance obligations (cRPO)] (tolerance 1 percentage point: RPO/cRPO inputs are disclosed rounded to USD millions, growth is computed by the company on unrounded amounts)</t>
  </si>
  <si>
    <t xml:space="preserve">ROUND(Quarterly_Actuals!H1523/Quarterly_Actuals!H1520-1,2)-Quarterly_Actuals!H1526</t>
  </si>
  <si>
    <t xml:space="preserve">CK-0942</t>
  </si>
  <si>
    <t xml:space="preserve">ROUND(Quarterly_Actuals!H1524/Quarterly_Actuals!H1521-1,2)-Quarterly_Actuals!H1527</t>
  </si>
  <si>
    <t xml:space="preserve">CK-0943</t>
  </si>
  <si>
    <t xml:space="preserve">ROUND(Quarterly_Actuals!H1525/Quarterly_Actuals!H1522-1,2)-Quarterly_Actuals!H1528</t>
  </si>
  <si>
    <t xml:space="preserve">CK-0944</t>
  </si>
  <si>
    <t xml:space="preserve">ROUND(current / prior-year - 1, whole %) - reported growth = 0 [Remaining performance obligations (RPO) - total] (tolerance 1 percentage point: RPO/cRPO inputs are disclosed rounded to USD millions, growth is computed by the company on unrounded amounts)</t>
  </si>
  <si>
    <t xml:space="preserve">ROUND(Quarterly_Actuals!H1533/Quarterly_Actuals!H1529-1,2)-Quarterly_Actuals!H1537</t>
  </si>
  <si>
    <t xml:space="preserve">CK-0945</t>
  </si>
  <si>
    <t xml:space="preserve">ROUND(Quarterly_Actuals!H1534/Quarterly_Actuals!H1530-1,2)-Quarterly_Actuals!H1538</t>
  </si>
  <si>
    <t xml:space="preserve">CK-0946</t>
  </si>
  <si>
    <t xml:space="preserve">ROUND(Quarterly_Actuals!H1535/Quarterly_Actuals!H1531-1,2)-Quarterly_Actuals!H1539</t>
  </si>
  <si>
    <t xml:space="preserve">CK-0947</t>
  </si>
  <si>
    <t xml:space="preserve">ROUND(Quarterly_Actuals!H1536/Quarterly_Actuals!H1532-1,2)-Quarterly_Actuals!H1540</t>
  </si>
  <si>
    <t xml:space="preserve">CK-0948</t>
  </si>
  <si>
    <t xml:space="preserve">Cross-document: release vs audited 20-F</t>
  </si>
  <si>
    <t xml:space="preserve">Revenue: Q4 release full-year value - audited 20-F value = 0</t>
  </si>
  <si>
    <t xml:space="preserve">Quarterly_Actuals!H8-Annual!G2</t>
  </si>
  <si>
    <t xml:space="preserve">CK-0949</t>
  </si>
  <si>
    <t xml:space="preserve">Total operating expenses: Q4 release full-year value - audited 20-F value = 0</t>
  </si>
  <si>
    <t xml:space="preserve">Quarterly_Actuals!H276-Annual!G3</t>
  </si>
  <si>
    <t xml:space="preserve">CK-0950</t>
  </si>
  <si>
    <t xml:space="preserve">Operating income (loss): Q4 release full-year value - audited 20-F value = 0</t>
  </si>
  <si>
    <t xml:space="preserve">Quarterly_Actuals!H314-Annual!G4</t>
  </si>
  <si>
    <t xml:space="preserve">CK-0951</t>
  </si>
  <si>
    <t xml:space="preserve">Net income (loss): Q4 release full-year value - audited 20-F value = 0</t>
  </si>
  <si>
    <t xml:space="preserve">Quarterly_Actuals!H390-Annual!G5</t>
  </si>
  <si>
    <t xml:space="preserve">CK-0952</t>
  </si>
  <si>
    <t xml:space="preserve">Net cash provided by (used in) operating activities: Q4 release full-year value - audited 20-F value = 0</t>
  </si>
  <si>
    <t xml:space="preserve">Quarterly_Actuals!H936-Annual!G6</t>
  </si>
  <si>
    <t xml:space="preserve">CK-0953</t>
  </si>
  <si>
    <t xml:space="preserve">Share-based compensation (cash flow statement): Q4 release full-year value - audited 20-F value = 0</t>
  </si>
  <si>
    <t xml:space="preserve">Quarterly_Actuals!H878-Annual!G7</t>
  </si>
  <si>
    <t xml:space="preserve">CK-0954</t>
  </si>
  <si>
    <t xml:space="preserve">Quarterly_Actuals!H15-Annual!G8</t>
  </si>
  <si>
    <t xml:space="preserve">CK-0955</t>
  </si>
  <si>
    <t xml:space="preserve">Quarterly_Actuals!H283-Annual!G9</t>
  </si>
  <si>
    <t xml:space="preserve">CK-0956</t>
  </si>
  <si>
    <t xml:space="preserve">Quarterly_Actuals!H321-Annual!G10</t>
  </si>
  <si>
    <t xml:space="preserve">CK-0957</t>
  </si>
  <si>
    <t xml:space="preserve">Quarterly_Actuals!H397-Annual!G11</t>
  </si>
  <si>
    <t xml:space="preserve">CK-0958</t>
  </si>
  <si>
    <t xml:space="preserve">Quarterly_Actuals!H943-Annual!G12</t>
  </si>
  <si>
    <t xml:space="preserve">CK-0959</t>
  </si>
  <si>
    <t xml:space="preserve">Quarterly_Actuals!H885-Annual!G13</t>
  </si>
  <si>
    <t xml:space="preserve">CK-0960</t>
  </si>
  <si>
    <t xml:space="preserve">Quarterly_Actuals!H22-Annual!G14</t>
  </si>
  <si>
    <t xml:space="preserve">CK-0961</t>
  </si>
  <si>
    <t xml:space="preserve">Quarterly_Actuals!H290-Annual!G15</t>
  </si>
  <si>
    <t xml:space="preserve">CK-0962</t>
  </si>
  <si>
    <t xml:space="preserve">Quarterly_Actuals!H328-Annual!G16</t>
  </si>
  <si>
    <t xml:space="preserve">CK-0963</t>
  </si>
  <si>
    <t xml:space="preserve">Quarterly_Actuals!H404-Annual!G17</t>
  </si>
  <si>
    <t xml:space="preserve">CK-0964</t>
  </si>
  <si>
    <t xml:space="preserve">Quarterly_Actuals!H950-Annual!G18</t>
  </si>
  <si>
    <t xml:space="preserve">CK-0965</t>
  </si>
  <si>
    <t xml:space="preserve">Quarterly_Actuals!H892-Annual!G19</t>
  </si>
  <si>
    <t xml:space="preserve">CK-0966</t>
  </si>
  <si>
    <t xml:space="preserve">Quarterly_Actuals!H29-Annual!G20</t>
  </si>
  <si>
    <t xml:space="preserve">CK-0967</t>
  </si>
  <si>
    <t xml:space="preserve">Quarterly_Actuals!H297-Annual!G21</t>
  </si>
  <si>
    <t xml:space="preserve">CK-0968</t>
  </si>
  <si>
    <t xml:space="preserve">Quarterly_Actuals!H335-Annual!G22</t>
  </si>
  <si>
    <t xml:space="preserve">CK-0969</t>
  </si>
  <si>
    <t xml:space="preserve">Quarterly_Actuals!H411-Annual!G23</t>
  </si>
  <si>
    <t xml:space="preserve">CK-0970</t>
  </si>
  <si>
    <t xml:space="preserve">Quarterly_Actuals!H957-Annual!G24</t>
  </si>
  <si>
    <t xml:space="preserve">CK-0971</t>
  </si>
  <si>
    <t xml:space="preserve">Quarterly_Actuals!H899-Annual!G25</t>
  </si>
  <si>
    <t xml:space="preserve">CK-0972</t>
  </si>
  <si>
    <t xml:space="preserve">Quarterly_Actuals!H36-Annual!G26</t>
  </si>
  <si>
    <t xml:space="preserve">CK-0973</t>
  </si>
  <si>
    <t xml:space="preserve">Quarterly_Actuals!H304-Annual!G27</t>
  </si>
  <si>
    <t xml:space="preserve">CK-0974</t>
  </si>
  <si>
    <t xml:space="preserve">Quarterly_Actuals!H342-Annual!G28</t>
  </si>
  <si>
    <t xml:space="preserve">CK-0975</t>
  </si>
  <si>
    <t xml:space="preserve">Quarterly_Actuals!H418-Annual!G29</t>
  </si>
  <si>
    <t xml:space="preserve">CK-0976</t>
  </si>
  <si>
    <t xml:space="preserve">Quarterly_Actuals!H964-Annual!G30</t>
  </si>
  <si>
    <t xml:space="preserve">CK-0977</t>
  </si>
  <si>
    <t xml:space="preserve">Quarterly_Actuals!H906-Annual!G31</t>
  </si>
  <si>
    <t xml:space="preserve">CK-0978</t>
  </si>
  <si>
    <t xml:space="preserve">Cross-document conflict (flagged)</t>
  </si>
  <si>
    <t xml:space="preserve">Total operating expenses FY2021: release/audited value - 20-F Item 5.A summary-table value = 0</t>
  </si>
  <si>
    <t xml:space="preserve">Quarterly_Actuals!H276-Annual!G32</t>
  </si>
  <si>
    <t xml:space="preserve">Known source conflict: FY2021 20-F Item 5.A summary table prints 395,292 vs 395,262 in the audited statements, the Item 5 comparison table and the Q4 2021 release. Current value: 395,262 (audited; components reconcile).</t>
  </si>
  <si>
    <t xml:space="preserve">CK-0979</t>
  </si>
  <si>
    <t xml:space="preserve">Adjusted FCF FY2021: Q4 2021 release value - FY2023 20-F reconciliation-table value = 0</t>
  </si>
  <si>
    <t xml:space="preserve">Quarterly_Actuals!H1074-Quarterly_Actuals!H1564</t>
  </si>
  <si>
    <t xml:space="preserve">Known source conflict: FY2023 20-F reconciliation total row shows 7,303 (same figure as the HQ add-back line) although its own components sum to 9,900. Current value 9,900.</t>
  </si>
  <si>
    <t xml:space="preserve">CK-0980</t>
  </si>
  <si>
    <t xml:space="preserve">Cross-document: release KPI vs financial-statement note</t>
  </si>
  <si>
    <t xml:space="preserve">RPO: ROUND(financial-statement RPO in USD thousands / 1000, 0) - release RPO in USD millions = 0</t>
  </si>
  <si>
    <t xml:space="preserve">ROUND(Quarterly_Actuals!H1541/1000,0)-Quarterly_Actuals!H1532</t>
  </si>
  <si>
    <t xml:space="preserve">Known recast: June 30, 2025 RPO was $767,789 thousand in the H1 2025 interim FS (Aug 2025) but $699 million in the Q2 2026 release comparative (Aug 2026). No explanation disclosed. Release value ($699M) marked CURRENT for series comparability; original retained.</t>
  </si>
  <si>
    <t xml:space="preserve">CK-0981</t>
  </si>
  <si>
    <t xml:space="preserve">ROUND(Quarterly_Actuals!H1542/1000,0)-Quarterly_Actuals!H1534</t>
  </si>
  <si>
    <t xml:space="preserve">CK-0982</t>
  </si>
  <si>
    <t xml:space="preserve">ROUND(Quarterly_Actuals!H1543/1000,0)-Quarterly_Actuals!H1536</t>
  </si>
  <si>
    <t xml:space="preserve">Desired Metric</t>
  </si>
  <si>
    <t xml:space="preserve">Why It Matters to an Operating Plan</t>
  </si>
  <si>
    <t xml:space="preserve">Periods Searched</t>
  </si>
  <si>
    <t xml:space="preserve">Sources Searched</t>
  </si>
  <si>
    <t xml:space="preserve">Result</t>
  </si>
  <si>
    <t xml:space="preserve">Possible Later Modeling Treatment</t>
  </si>
  <si>
    <t xml:space="preserve">Total ARR (time series)</t>
  </si>
  <si>
    <t xml:space="preserve">Core revenue driver for a subscription plan (ARR build, revenue conversion).</t>
  </si>
  <si>
    <t xml:space="preserve">Q1 2021-Q2 2026</t>
  </si>
  <si>
    <t xml:space="preserve">All 21 earnings releases (Q2 2021-Q2 2026); 20-F FY2021-FY2025; H1 2024/2025/2026 interim FS and MD&amp;A; other 6-Ks (Sources sheet)</t>
  </si>
  <si>
    <t xml:space="preserve">Not disclosed as a series. Only milestones: "Surpassed $1 billion in ARR" (Q3 2024 release; Aug 26, 2024 6-K); monday CRM ~$100M ARR (Q2 2025); new products &gt;10% of total ARR (Q3 2025); monday vibe &gt;$1M ARR (Q4 2025); AI products ARR doubled from Q1 and 17% of net new ARR (Q2 2026).</t>
  </si>
  <si>
    <t xml:space="preserve">Phase 1 decision: model revenue directly, or treat ARR as an explicitly Assumed bridge anchored to the $1B milestone - must be labeled Assumed.</t>
  </si>
  <si>
    <t xml:space="preserve">Cohort ARR shares cannot be combined with counts to infer total ARR.</t>
  </si>
  <si>
    <t xml:space="preserve">New ARR / net new ARR / gross new ARR</t>
  </si>
  <si>
    <t xml:space="preserve">Bookings-type growth driver; sales capacity planning.</t>
  </si>
  <si>
    <t xml:space="preserve">Not disclosed (only the AI share of net new ARR, 17% in Q2 2026, without a base).</t>
  </si>
  <si>
    <t xml:space="preserve">Not modelable from disclosures; any value would be Assumed.</t>
  </si>
  <si>
    <t xml:space="preserve">Quarterly employee count</t>
  </si>
  <si>
    <t xml:space="preserve">Headcount-driven opex plan.</t>
  </si>
  <si>
    <t xml:space="preserve">Not disclosed quarterly. Year-end only (20-F): 1,064 (2021), 1,549 (2022), 1,854 (2023), 2,508 (2024), 3,155 (2025). April 3, 2025 6-K: expected ~30% headcount growth in 2025. July 22, 2026: ~20% workforce reduction (no absolute count).</t>
  </si>
  <si>
    <t xml:space="preserve">Year-end anchors only; intra-year path would be Assumed. Do not interpolate in Phase 0.</t>
  </si>
  <si>
    <t xml:space="preserve">Headcount by department each quarter</t>
  </si>
  <si>
    <t xml:space="preserve">Function-level cost planning.</t>
  </si>
  <si>
    <t xml:space="preserve">Not disclosed. Annual partial splits only: builders group (R&amp;D + product) and some region splits / sales-partners-customer-success counts in 20-Fs.</t>
  </si>
  <si>
    <t xml:space="preserve">Phase 1 may use annual function anchors where disclosed; otherwise Assumed.</t>
  </si>
  <si>
    <t xml:space="preserve">Bookings / billings</t>
  </si>
  <si>
    <t xml:space="preserve">Cash collection and deferred revenue planning.</t>
  </si>
  <si>
    <t xml:space="preserve">Not disclosed. Deferred revenue balances and changes are disclosed (Quarterly_Actuals, Annual).</t>
  </si>
  <si>
    <t xml:space="preserve">A calculated billings proxy (revenue + change in deferred revenue) would be a Phase 1 Derived/analytical construct; not created here.</t>
  </si>
  <si>
    <t xml:space="preserve">Gross new customer adds</t>
  </si>
  <si>
    <t xml:space="preserve">Funnel / acquisition planning.</t>
  </si>
  <si>
    <t xml:space="preserve">Not disclosed. Only end-of-period cohort counts (net).</t>
  </si>
  <si>
    <t xml:space="preserve">Cannot be derived; Assumed if needed.</t>
  </si>
  <si>
    <t xml:space="preserve">Churn / gross revenue retention (separate from NDR)</t>
  </si>
  <si>
    <t xml:space="preserve">Retention modeling.</t>
  </si>
  <si>
    <t xml:space="preserve">Not disclosed. NDR includes contraction and attrition; no separate churn.</t>
  </si>
  <si>
    <t xml:space="preserve">Not derivable; Assumed if needed.</t>
  </si>
  <si>
    <t xml:space="preserve">Pricing changes (magnitude, timing)</t>
  </si>
  <si>
    <t xml:space="preserve">Price vs volume decomposition of revenue / NDR.</t>
  </si>
  <si>
    <t xml:space="preserve">Qualitative only: pricing adjustments "during 2024 and the first half of 2025 across our entire customer base" (FY2025 20-F); new pricing for monday vibe and AI credits (Q3 2025 release); seats-plus-credits pricing model with the AI Work Platform (Q1 2026 release). No magnitudes.</t>
  </si>
  <si>
    <t xml:space="preserve">Assumed if modeled.</t>
  </si>
  <si>
    <t xml:space="preserve">Quota attainment / sales productivity</t>
  </si>
  <si>
    <t xml:space="preserve">Sales capacity model.</t>
  </si>
  <si>
    <t xml:space="preserve">Not disclosed.</t>
  </si>
  <si>
    <t xml:space="preserve">Assumed if needed.</t>
  </si>
  <si>
    <t xml:space="preserve">CAC / customer acquisition spend</t>
  </si>
  <si>
    <t xml:space="preserve">Unit economics; marketing budget.</t>
  </si>
  <si>
    <t xml:space="preserve">CAC not disclosed. Annual advertising costs are disclosed in 20-F notes (Annual sheet); commissions as % of revenue (~6% 2023, ~5% 2024, ~2% 2025) in FY2025 20-F.</t>
  </si>
  <si>
    <t xml:space="preserve">Advertising cost is a partial input only; CAC would be Assumed.</t>
  </si>
  <si>
    <t xml:space="preserve">Internal budget / operating plan</t>
  </si>
  <si>
    <t xml:space="preserve">Baseline for plan vs actual.</t>
  </si>
  <si>
    <t xml:space="preserve">Not disclosed. Only external guidance (Guidance_History).</t>
  </si>
  <si>
    <t xml:space="preserve">Guidance may be used as an external reference; not an internal budget.</t>
  </si>
  <si>
    <t xml:space="preserve">Hiring plan</t>
  </si>
  <si>
    <t xml:space="preserve">Headcount and opex phasing.</t>
  </si>
  <si>
    <t xml:space="preserve">Qualitative only (2025: ~30% expected headcount growth; 2026: continue hiring in key strategic areas after ~20% reduction).</t>
  </si>
  <si>
    <t xml:space="preserve">Assumed if quantified.</t>
  </si>
  <si>
    <t xml:space="preserve">Collections timing / DSO</t>
  </si>
  <si>
    <t xml:space="preserve">Working capital and cash flow planning.</t>
  </si>
  <si>
    <t xml:space="preserve">DSO not disclosed. Accounts receivable balances are in release balance sheets (not carried in Quarterly_Actuals).</t>
  </si>
  <si>
    <t xml:space="preserve">A DSO calculation would be a Phase 1 analytical Derived metric.</t>
  </si>
  <si>
    <t xml:space="preserve">Restructuring cash payments</t>
  </si>
  <si>
    <t xml:space="preserve">2026 cash flow / FCF bridge.</t>
  </si>
  <si>
    <t xml:space="preserve">Q2 2026; July 2026 plan</t>
  </si>
  <si>
    <t xml:space="preserve">Not disclosed. Q2 2026 charge (21,436) was non-cash impairment. Plan severance/benefits ~$30-35M expected, not labelled as cash.</t>
  </si>
  <si>
    <t xml:space="preserve">Phase 1 must label any cash timing as Assumed.</t>
  </si>
  <si>
    <t xml:space="preserve">cRPO before Dec 31, 2024; RPO before Sept 30, 2024</t>
  </si>
  <si>
    <t xml:space="preserve">Backlog-based revenue visibility.</t>
  </si>
  <si>
    <t xml:space="preserve">2021-2024</t>
  </si>
  <si>
    <t xml:space="preserve">Not disclosed (ASC 606 practical expedient applied through FY2024).</t>
  </si>
  <si>
    <t xml:space="preserve">No back-filling.</t>
  </si>
  <si>
    <t xml:space="preserve">Revenue FX impact Q3 2024-Q1 2026</t>
  </si>
  <si>
    <t xml:space="preserve">Constant-currency growth analysis.</t>
  </si>
  <si>
    <t xml:space="preserve">Q3 2024-Q1 2026</t>
  </si>
  <si>
    <t xml:space="preserve">Not disclosed for revenue (FX-adjusted growth table discontinued after Q2 2024; non-GAAP margin FX impact disclosed Q4 2025-Q2 2026).</t>
  </si>
  <si>
    <t xml:space="preserve">Leave blank.</t>
  </si>
  <si>
    <t xml:space="preserve">Total paid customers (exact) after Dec 31, 2022</t>
  </si>
  <si>
    <t xml:space="preserve">Customer base sizing.</t>
  </si>
  <si>
    <t xml:space="preserve">2023-2026</t>
  </si>
  <si>
    <t xml:space="preserve">Only approximations in 20-Fs / MD&amp;A ("over 225,000", "nearly 245,000", "over 250,000", ~250,000).</t>
  </si>
  <si>
    <t xml:space="preserve">Use as approximate context only.</t>
  </si>
  <si>
    <t xml:space="preserve">Quarterly revenue by geography / by product</t>
  </si>
  <si>
    <t xml:space="preserve">Segmented revenue planning; FX exposure.</t>
  </si>
  <si>
    <t xml:space="preserve">Geography only annually (20-F) and for H1 (interim FS; H1 2024 corrected). No revenue by product (only ARR milestones for CRM / vibe / new products share).</t>
  </si>
  <si>
    <t xml:space="preserve">Annual anchors only.</t>
  </si>
  <si>
    <t xml:space="preserve">NDR measurement basis (point vs TTM)</t>
  </si>
  <si>
    <t xml:space="preserve">Correct interpretation of retention trend.</t>
  </si>
  <si>
    <t xml:space="preserve">Not stated which basis the reported figures use (see Definitions).</t>
  </si>
  <si>
    <t xml:space="preserve">Flag in Phase 1; do not assume.</t>
  </si>
  <si>
    <t xml:space="preserve">Investor Day (Sept 17, 2025) financial targets; investor presentations; call transcripts</t>
  </si>
  <si>
    <t xml:space="preserve">Medium-term targets and management commentary.</t>
  </si>
  <si>
    <t xml:space="preserve">ir.monday.com (blocked); SEC filings</t>
  </si>
  <si>
    <t xml:space="preserve">Not available: hosted on ir.monday.com (HTTP 403 Cloudflare challenge). The 6-K of Sept 17, 2025 only announces the event.</t>
  </si>
  <si>
    <t xml:space="preserve">Excluded from the Phase 0 information set; secondary sources were not used.</t>
  </si>
  <si>
    <t xml:space="preserve">Share-based compensation grant / vesting schedule by quarter</t>
  </si>
  <si>
    <t xml:space="preserve">SBC forecasting.</t>
  </si>
  <si>
    <t xml:space="preserve">Quarterly SBC expense by line disclosed; grant volumes and unrecognized cost only annually / semi-annually (Annual sheet).</t>
  </si>
</sst>
</file>

<file path=xl/styles.xml><?xml version="1.0" encoding="utf-8"?>
<styleSheet xmlns="http://schemas.openxmlformats.org/spreadsheetml/2006/main">
  <numFmts count="9">
    <numFmt numFmtId="164" formatCode="General"/>
    <numFmt numFmtId="165" formatCode="yyyy\-mm\-dd"/>
    <numFmt numFmtId="166" formatCode="#,##0;\(#,##0\);\—"/>
    <numFmt numFmtId="167" formatCode="0.0%"/>
    <numFmt numFmtId="168" formatCode="#,##0"/>
    <numFmt numFmtId="169" formatCode="#,##0.0;\(#,##0.0\);0"/>
    <numFmt numFmtId="170" formatCode="0;\-0;0"/>
    <numFmt numFmtId="171" formatCode="#,##0.###"/>
    <numFmt numFmtId="172" formatCode="#,##0.0000;\-#,##0.0000;0"/>
  </numFmts>
  <fonts count="12">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1"/>
      <name val="Calibri"/>
      <family val="0"/>
      <charset val="1"/>
    </font>
    <font>
      <b val="true"/>
      <sz val="10"/>
      <name val="Calibri"/>
      <family val="0"/>
      <charset val="1"/>
    </font>
    <font>
      <sz val="10"/>
      <color rgb="FF000000"/>
      <name val="Calibri"/>
      <family val="0"/>
      <charset val="1"/>
    </font>
    <font>
      <b val="true"/>
      <sz val="10"/>
      <color rgb="FFFFFFFF"/>
      <name val="Calibri"/>
      <family val="0"/>
      <charset val="1"/>
    </font>
    <font>
      <b val="true"/>
      <sz val="10"/>
      <color rgb="FFC00000"/>
      <name val="Calibri"/>
      <family val="0"/>
      <charset val="1"/>
    </font>
    <font>
      <sz val="10"/>
      <color rgb="FF0000FF"/>
      <name val="Calibri"/>
      <family val="0"/>
      <charset val="1"/>
    </font>
    <font>
      <sz val="10"/>
      <color rgb="FF008000"/>
      <name val="Calibri"/>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6" fontId="10" fillId="0" borderId="0" xfId="0" applyFont="true" applyBorder="false" applyAlignment="true" applyProtection="false">
      <alignment horizontal="general" vertical="top" textRotation="0" wrapText="false" indent="0" shrinkToFit="false"/>
      <protection locked="true" hidden="false"/>
    </xf>
    <xf numFmtId="167" fontId="10"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9" fontId="11" fillId="0" borderId="0" xfId="0" applyFont="true" applyBorder="false" applyAlignment="true" applyProtection="false">
      <alignment horizontal="general" vertical="top" textRotation="0" wrapText="false" indent="0" shrinkToFit="false"/>
      <protection locked="true" hidden="false"/>
    </xf>
    <xf numFmtId="171" fontId="10" fillId="0" borderId="0" xfId="0" applyFont="tru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0"/>
  </cols>
  <sheetData>
    <row r="1" customFormat="false" ht="17.35" hidden="false" customHeight="false" outlineLevel="0" collapsed="false">
      <c r="A1" s="1" t="s">
        <v>0</v>
      </c>
    </row>
    <row r="3" customFormat="false" ht="15" hidden="false" customHeight="false" outlineLevel="0" collapsed="false">
      <c r="A3" s="2" t="s">
        <v>1</v>
      </c>
    </row>
    <row r="4" customFormat="false" ht="23.85" hidden="false" customHeight="false" outlineLevel="0" collapsed="false">
      <c r="A4" s="3" t="s">
        <v>2</v>
      </c>
      <c r="B4" s="4" t="s">
        <v>3</v>
      </c>
    </row>
    <row r="5" customFormat="false" ht="23.85" hidden="false" customHeight="false" outlineLevel="0" collapsed="false">
      <c r="A5" s="3" t="s">
        <v>4</v>
      </c>
      <c r="B5" s="4" t="s">
        <v>5</v>
      </c>
    </row>
    <row r="6" customFormat="false" ht="35.05" hidden="false" customHeight="false" outlineLevel="0" collapsed="false">
      <c r="A6" s="3" t="s">
        <v>6</v>
      </c>
      <c r="B6" s="4" t="s">
        <v>7</v>
      </c>
    </row>
    <row r="7" customFormat="false" ht="23.85" hidden="false" customHeight="false" outlineLevel="0" collapsed="false">
      <c r="A7" s="3" t="s">
        <v>8</v>
      </c>
      <c r="B7" s="4" t="s">
        <v>9</v>
      </c>
    </row>
    <row r="8" customFormat="false" ht="35.05" hidden="false" customHeight="false" outlineLevel="0" collapsed="false">
      <c r="A8" s="3" t="s">
        <v>10</v>
      </c>
      <c r="B8" s="4" t="s">
        <v>11</v>
      </c>
    </row>
    <row r="9" customFormat="false" ht="15" hidden="false" customHeight="false" outlineLevel="0" collapsed="false">
      <c r="A9" s="2" t="s">
        <v>12</v>
      </c>
    </row>
    <row r="10" customFormat="false" ht="23.85" hidden="false" customHeight="false" outlineLevel="0" collapsed="false">
      <c r="A10" s="3" t="s">
        <v>13</v>
      </c>
      <c r="B10" s="4" t="s">
        <v>14</v>
      </c>
    </row>
    <row r="11" customFormat="false" ht="35.05" hidden="false" customHeight="false" outlineLevel="0" collapsed="false">
      <c r="A11" s="3" t="s">
        <v>15</v>
      </c>
      <c r="B11" s="4" t="s">
        <v>16</v>
      </c>
    </row>
    <row r="12" customFormat="false" ht="15" hidden="false" customHeight="false" outlineLevel="0" collapsed="false">
      <c r="A12" s="3" t="s">
        <v>17</v>
      </c>
      <c r="B12" s="4" t="s">
        <v>18</v>
      </c>
    </row>
    <row r="13" customFormat="false" ht="23.85" hidden="false" customHeight="false" outlineLevel="0" collapsed="false">
      <c r="A13" s="3" t="s">
        <v>19</v>
      </c>
      <c r="B13" s="4" t="s">
        <v>20</v>
      </c>
    </row>
    <row r="14" customFormat="false" ht="15" hidden="false" customHeight="false" outlineLevel="0" collapsed="false">
      <c r="A14" s="2" t="s">
        <v>21</v>
      </c>
    </row>
    <row r="15" customFormat="false" ht="35.05" hidden="false" customHeight="false" outlineLevel="0" collapsed="false">
      <c r="A15" s="3" t="s">
        <v>22</v>
      </c>
      <c r="B15" s="4" t="s">
        <v>23</v>
      </c>
    </row>
    <row r="16" customFormat="false" ht="23.85" hidden="false" customHeight="false" outlineLevel="0" collapsed="false">
      <c r="A16" s="3" t="s">
        <v>24</v>
      </c>
      <c r="B16" s="4" t="s">
        <v>25</v>
      </c>
    </row>
    <row r="17" customFormat="false" ht="23.85" hidden="false" customHeight="false" outlineLevel="0" collapsed="false">
      <c r="A17" s="3" t="s">
        <v>26</v>
      </c>
      <c r="B17" s="4" t="s">
        <v>27</v>
      </c>
    </row>
    <row r="18" customFormat="false" ht="35.05" hidden="false" customHeight="false" outlineLevel="0" collapsed="false">
      <c r="A18" s="3" t="s">
        <v>28</v>
      </c>
      <c r="B18" s="4" t="s">
        <v>29</v>
      </c>
    </row>
    <row r="19" customFormat="false" ht="15" hidden="false" customHeight="false" outlineLevel="0" collapsed="false">
      <c r="A19" s="2" t="s">
        <v>30</v>
      </c>
    </row>
    <row r="20" customFormat="false" ht="35.05" hidden="false" customHeight="false" outlineLevel="0" collapsed="false">
      <c r="A20" s="3" t="s">
        <v>31</v>
      </c>
      <c r="B20" s="4" t="s">
        <v>32</v>
      </c>
    </row>
    <row r="21" customFormat="false" ht="35.05" hidden="false" customHeight="false" outlineLevel="0" collapsed="false">
      <c r="A21" s="3" t="s">
        <v>33</v>
      </c>
      <c r="B21" s="4" t="s">
        <v>34</v>
      </c>
    </row>
    <row r="22" customFormat="false" ht="23.85" hidden="false" customHeight="false" outlineLevel="0" collapsed="false">
      <c r="A22" s="3" t="s">
        <v>35</v>
      </c>
      <c r="B22" s="4" t="s">
        <v>36</v>
      </c>
    </row>
    <row r="23" customFormat="false" ht="15" hidden="false" customHeight="false" outlineLevel="0" collapsed="false">
      <c r="A23" s="3" t="s">
        <v>37</v>
      </c>
      <c r="B23" s="4" t="s">
        <v>38</v>
      </c>
    </row>
    <row r="24" customFormat="false" ht="15" hidden="false" customHeight="false" outlineLevel="0" collapsed="false">
      <c r="A24" s="2" t="s">
        <v>39</v>
      </c>
    </row>
    <row r="25" customFormat="false" ht="57.45" hidden="false" customHeight="false" outlineLevel="0" collapsed="false">
      <c r="A25" s="3" t="s">
        <v>40</v>
      </c>
      <c r="B25" s="4" t="s">
        <v>41</v>
      </c>
    </row>
    <row r="26" customFormat="false" ht="15" hidden="false" customHeight="false" outlineLevel="0" collapsed="false">
      <c r="A26" s="2" t="s">
        <v>42</v>
      </c>
    </row>
    <row r="27" customFormat="false" ht="15" hidden="false" customHeight="false" outlineLevel="0" collapsed="false">
      <c r="A27" s="3" t="s">
        <v>43</v>
      </c>
      <c r="B27" s="4" t="s">
        <v>44</v>
      </c>
    </row>
    <row r="28" customFormat="false" ht="23.85" hidden="false" customHeight="false" outlineLevel="0" collapsed="false">
      <c r="A28" s="3" t="s">
        <v>45</v>
      </c>
      <c r="B28" s="4" t="s">
        <v>46</v>
      </c>
    </row>
    <row r="29" customFormat="false" ht="15" hidden="false" customHeight="false" outlineLevel="0" collapsed="false">
      <c r="A29" s="3" t="s">
        <v>47</v>
      </c>
      <c r="B29" s="4" t="s">
        <v>48</v>
      </c>
    </row>
    <row r="30" customFormat="false" ht="23.85" hidden="false" customHeight="false" outlineLevel="0" collapsed="false">
      <c r="A30" s="3" t="s">
        <v>49</v>
      </c>
      <c r="B30" s="4" t="s">
        <v>50</v>
      </c>
    </row>
    <row r="31" customFormat="false" ht="23.85" hidden="false" customHeight="false" outlineLevel="0" collapsed="false">
      <c r="A31" s="3" t="s">
        <v>51</v>
      </c>
      <c r="B31" s="4" t="s">
        <v>52</v>
      </c>
    </row>
    <row r="32" customFormat="false" ht="15" hidden="false" customHeight="false" outlineLevel="0" collapsed="false">
      <c r="A32" s="3" t="s">
        <v>53</v>
      </c>
      <c r="B32" s="4" t="s">
        <v>54</v>
      </c>
    </row>
    <row r="33" customFormat="false" ht="15" hidden="false" customHeight="false" outlineLevel="0" collapsed="false">
      <c r="A33" s="3" t="s">
        <v>55</v>
      </c>
      <c r="B33" s="4" t="s">
        <v>56</v>
      </c>
    </row>
    <row r="34" customFormat="false" ht="15" hidden="false" customHeight="false" outlineLevel="0" collapsed="false">
      <c r="A34" s="3" t="s">
        <v>57</v>
      </c>
      <c r="B34" s="4" t="s">
        <v>58</v>
      </c>
    </row>
    <row r="35" customFormat="false" ht="15" hidden="false" customHeight="false" outlineLevel="0" collapsed="false">
      <c r="A35" s="2" t="s">
        <v>59</v>
      </c>
    </row>
    <row r="36" customFormat="false" ht="23.85" hidden="false" customHeight="false" outlineLevel="0" collapsed="false">
      <c r="A36" s="3" t="s">
        <v>60</v>
      </c>
      <c r="B36" s="4" t="s">
        <v>61</v>
      </c>
    </row>
    <row r="37" customFormat="false" ht="15" hidden="false" customHeight="false" outlineLevel="0" collapsed="false">
      <c r="A37" s="3" t="s">
        <v>62</v>
      </c>
      <c r="B37" s="4" t="s">
        <v>63</v>
      </c>
    </row>
    <row r="38" customFormat="false" ht="23.85" hidden="false" customHeight="false" outlineLevel="0" collapsed="false">
      <c r="A38" s="3" t="s">
        <v>64</v>
      </c>
      <c r="B38" s="4" t="s">
        <v>65</v>
      </c>
    </row>
    <row r="39" customFormat="false" ht="23.85" hidden="false" customHeight="false" outlineLevel="0" collapsed="false">
      <c r="A39" s="3" t="s">
        <v>66</v>
      </c>
      <c r="B39" s="4" t="s">
        <v>67</v>
      </c>
    </row>
    <row r="40" customFormat="false" ht="15" hidden="false" customHeight="false" outlineLevel="0" collapsed="false">
      <c r="A40" s="3" t="s">
        <v>68</v>
      </c>
      <c r="B40" s="4" t="s">
        <v>69</v>
      </c>
    </row>
    <row r="41" customFormat="false" ht="23.85" hidden="false" customHeight="false" outlineLevel="0" collapsed="false">
      <c r="A41" s="3" t="s">
        <v>70</v>
      </c>
      <c r="B41" s="4" t="s">
        <v>71</v>
      </c>
    </row>
    <row r="42" customFormat="false" ht="15" hidden="false" customHeight="false" outlineLevel="0" collapsed="false">
      <c r="A42" s="3" t="s">
        <v>72</v>
      </c>
      <c r="B42" s="4" t="s">
        <v>73</v>
      </c>
    </row>
    <row r="43" customFormat="false" ht="23.85" hidden="false" customHeight="false" outlineLevel="0" collapsed="false">
      <c r="A43" s="3" t="s">
        <v>74</v>
      </c>
      <c r="B43" s="4" t="s">
        <v>75</v>
      </c>
    </row>
    <row r="44" customFormat="false" ht="35.05" hidden="false" customHeight="false" outlineLevel="0" collapsed="false">
      <c r="A44" s="3" t="s">
        <v>76</v>
      </c>
      <c r="B44" s="4" t="s">
        <v>77</v>
      </c>
    </row>
    <row r="45" customFormat="false" ht="15" hidden="false" customHeight="false" outlineLevel="0" collapsed="false">
      <c r="A45" s="2" t="s">
        <v>78</v>
      </c>
    </row>
    <row r="46" customFormat="false" ht="23.85" hidden="false" customHeight="false" outlineLevel="0" collapsed="false">
      <c r="A46" s="3" t="s">
        <v>79</v>
      </c>
      <c r="B46" s="4" t="s">
        <v>80</v>
      </c>
    </row>
    <row r="47" customFormat="false" ht="15" hidden="false" customHeight="false" outlineLevel="0" collapsed="false">
      <c r="A47" s="3" t="s">
        <v>81</v>
      </c>
      <c r="B47" s="4" t="s">
        <v>82</v>
      </c>
    </row>
    <row r="48" customFormat="false" ht="15" hidden="false" customHeight="false" outlineLevel="0" collapsed="false">
      <c r="A48" s="3" t="s">
        <v>83</v>
      </c>
      <c r="B48" s="4" t="s">
        <v>84</v>
      </c>
    </row>
    <row r="49" customFormat="false" ht="23.85" hidden="false" customHeight="false" outlineLevel="0" collapsed="false">
      <c r="A49" s="3" t="s">
        <v>85</v>
      </c>
      <c r="B49" s="4" t="s">
        <v>86</v>
      </c>
    </row>
    <row r="50" customFormat="false" ht="15" hidden="false" customHeight="false" outlineLevel="0" collapsed="false">
      <c r="A50" s="2" t="s">
        <v>87</v>
      </c>
    </row>
    <row r="51" customFormat="false" ht="35.05" hidden="false" customHeight="false" outlineLevel="0" collapsed="false">
      <c r="A51" s="3" t="s">
        <v>88</v>
      </c>
      <c r="B51" s="4"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60"/>
    <col collapsed="false" customWidth="true" hidden="false" outlineLevel="0" max="5" min="4" style="0" width="14"/>
    <col collapsed="false" customWidth="true" hidden="false" outlineLevel="0" max="6" min="6" style="0" width="80"/>
    <col collapsed="false" customWidth="true" hidden="false" outlineLevel="0" max="7" min="7" style="0" width="22"/>
    <col collapsed="false" customWidth="true" hidden="false" outlineLevel="0" max="8" min="8" style="0" width="12"/>
    <col collapsed="false" customWidth="true" hidden="false" outlineLevel="0" max="9" min="9" style="0" width="45"/>
    <col collapsed="false" customWidth="true" hidden="false" outlineLevel="0" max="10" min="10" style="0" width="80"/>
  </cols>
  <sheetData>
    <row r="1" customFormat="false" ht="35.05" hidden="false" customHeight="false" outlineLevel="0" collapsed="false">
      <c r="A1" s="5" t="s">
        <v>90</v>
      </c>
      <c r="B1" s="5" t="s">
        <v>91</v>
      </c>
      <c r="C1" s="5" t="s">
        <v>92</v>
      </c>
      <c r="D1" s="5" t="s">
        <v>93</v>
      </c>
      <c r="E1" s="5" t="s">
        <v>94</v>
      </c>
      <c r="F1" s="5" t="s">
        <v>95</v>
      </c>
      <c r="G1" s="5" t="s">
        <v>96</v>
      </c>
      <c r="H1" s="5" t="s">
        <v>97</v>
      </c>
      <c r="I1" s="5" t="s">
        <v>98</v>
      </c>
      <c r="J1" s="5" t="s">
        <v>99</v>
      </c>
    </row>
    <row r="2" customFormat="false" ht="15" hidden="false" customHeight="false" outlineLevel="0" collapsed="false">
      <c r="A2" s="6" t="s">
        <v>100</v>
      </c>
      <c r="B2" s="6" t="s">
        <v>101</v>
      </c>
      <c r="C2" s="6" t="s">
        <v>102</v>
      </c>
      <c r="D2" s="6" t="s">
        <v>103</v>
      </c>
      <c r="E2" s="7" t="n">
        <v>44425</v>
      </c>
      <c r="F2" s="6" t="s">
        <v>104</v>
      </c>
      <c r="G2" s="6" t="s">
        <v>105</v>
      </c>
      <c r="H2" s="6" t="s">
        <v>106</v>
      </c>
      <c r="I2" s="6" t="s">
        <v>107</v>
      </c>
      <c r="J2" s="6" t="s">
        <v>108</v>
      </c>
    </row>
    <row r="3" customFormat="false" ht="15" hidden="false" customHeight="false" outlineLevel="0" collapsed="false">
      <c r="A3" s="6" t="s">
        <v>109</v>
      </c>
      <c r="B3" s="6" t="s">
        <v>101</v>
      </c>
      <c r="C3" s="6" t="s">
        <v>110</v>
      </c>
      <c r="D3" s="6" t="s">
        <v>111</v>
      </c>
      <c r="E3" s="7" t="n">
        <v>44510</v>
      </c>
      <c r="F3" s="6" t="s">
        <v>112</v>
      </c>
      <c r="G3" s="6" t="s">
        <v>113</v>
      </c>
      <c r="H3" s="6" t="s">
        <v>106</v>
      </c>
      <c r="I3" s="6" t="s">
        <v>107</v>
      </c>
      <c r="J3" s="6" t="s">
        <v>108</v>
      </c>
    </row>
    <row r="4" customFormat="false" ht="15" hidden="false" customHeight="false" outlineLevel="0" collapsed="false">
      <c r="A4" s="6" t="s">
        <v>114</v>
      </c>
      <c r="B4" s="6" t="s">
        <v>101</v>
      </c>
      <c r="C4" s="6" t="s">
        <v>115</v>
      </c>
      <c r="D4" s="6" t="s">
        <v>116</v>
      </c>
      <c r="E4" s="7" t="n">
        <v>44615</v>
      </c>
      <c r="F4" s="6" t="s">
        <v>117</v>
      </c>
      <c r="G4" s="6" t="s">
        <v>118</v>
      </c>
      <c r="H4" s="6" t="s">
        <v>106</v>
      </c>
      <c r="I4" s="6" t="s">
        <v>107</v>
      </c>
      <c r="J4" s="6" t="s">
        <v>108</v>
      </c>
    </row>
    <row r="5" customFormat="false" ht="15" hidden="false" customHeight="false" outlineLevel="0" collapsed="false">
      <c r="A5" s="6" t="s">
        <v>119</v>
      </c>
      <c r="B5" s="6" t="s">
        <v>101</v>
      </c>
      <c r="C5" s="6" t="s">
        <v>120</v>
      </c>
      <c r="D5" s="6" t="s">
        <v>121</v>
      </c>
      <c r="E5" s="7" t="n">
        <v>44697</v>
      </c>
      <c r="F5" s="6" t="s">
        <v>122</v>
      </c>
      <c r="G5" s="6" t="s">
        <v>123</v>
      </c>
      <c r="H5" s="6" t="s">
        <v>106</v>
      </c>
      <c r="I5" s="6" t="s">
        <v>107</v>
      </c>
      <c r="J5" s="6" t="s">
        <v>108</v>
      </c>
    </row>
    <row r="6" customFormat="false" ht="15" hidden="false" customHeight="false" outlineLevel="0" collapsed="false">
      <c r="A6" s="6" t="s">
        <v>124</v>
      </c>
      <c r="B6" s="6" t="s">
        <v>101</v>
      </c>
      <c r="C6" s="6" t="s">
        <v>125</v>
      </c>
      <c r="D6" s="6" t="s">
        <v>126</v>
      </c>
      <c r="E6" s="7" t="n">
        <v>44781</v>
      </c>
      <c r="F6" s="6" t="s">
        <v>127</v>
      </c>
      <c r="G6" s="6" t="s">
        <v>128</v>
      </c>
      <c r="H6" s="6" t="s">
        <v>106</v>
      </c>
      <c r="I6" s="6" t="s">
        <v>107</v>
      </c>
      <c r="J6" s="6" t="s">
        <v>108</v>
      </c>
    </row>
    <row r="7" customFormat="false" ht="15" hidden="false" customHeight="false" outlineLevel="0" collapsed="false">
      <c r="A7" s="6" t="s">
        <v>129</v>
      </c>
      <c r="B7" s="6" t="s">
        <v>101</v>
      </c>
      <c r="C7" s="6" t="s">
        <v>130</v>
      </c>
      <c r="D7" s="6" t="s">
        <v>131</v>
      </c>
      <c r="E7" s="7" t="n">
        <v>44879</v>
      </c>
      <c r="F7" s="6" t="s">
        <v>132</v>
      </c>
      <c r="G7" s="6" t="s">
        <v>133</v>
      </c>
      <c r="H7" s="6" t="s">
        <v>106</v>
      </c>
      <c r="I7" s="6" t="s">
        <v>107</v>
      </c>
      <c r="J7" s="6" t="s">
        <v>108</v>
      </c>
    </row>
    <row r="8" customFormat="false" ht="15" hidden="false" customHeight="false" outlineLevel="0" collapsed="false">
      <c r="A8" s="6" t="s">
        <v>134</v>
      </c>
      <c r="B8" s="6" t="s">
        <v>101</v>
      </c>
      <c r="C8" s="6" t="s">
        <v>135</v>
      </c>
      <c r="D8" s="6" t="s">
        <v>136</v>
      </c>
      <c r="E8" s="7" t="n">
        <v>44970</v>
      </c>
      <c r="F8" s="6" t="s">
        <v>137</v>
      </c>
      <c r="G8" s="6" t="s">
        <v>138</v>
      </c>
      <c r="H8" s="6" t="s">
        <v>106</v>
      </c>
      <c r="I8" s="6" t="s">
        <v>107</v>
      </c>
      <c r="J8" s="6" t="s">
        <v>108</v>
      </c>
    </row>
    <row r="9" customFormat="false" ht="15" hidden="false" customHeight="false" outlineLevel="0" collapsed="false">
      <c r="A9" s="6" t="s">
        <v>139</v>
      </c>
      <c r="B9" s="6" t="s">
        <v>101</v>
      </c>
      <c r="C9" s="6" t="s">
        <v>140</v>
      </c>
      <c r="D9" s="6" t="s">
        <v>141</v>
      </c>
      <c r="E9" s="7" t="n">
        <v>45061</v>
      </c>
      <c r="F9" s="6" t="s">
        <v>142</v>
      </c>
      <c r="G9" s="6" t="s">
        <v>143</v>
      </c>
      <c r="H9" s="6" t="s">
        <v>106</v>
      </c>
      <c r="I9" s="6" t="s">
        <v>107</v>
      </c>
      <c r="J9" s="6" t="s">
        <v>108</v>
      </c>
    </row>
    <row r="10" customFormat="false" ht="15" hidden="false" customHeight="false" outlineLevel="0" collapsed="false">
      <c r="A10" s="6" t="s">
        <v>144</v>
      </c>
      <c r="B10" s="6" t="s">
        <v>101</v>
      </c>
      <c r="C10" s="6" t="s">
        <v>145</v>
      </c>
      <c r="D10" s="6" t="s">
        <v>146</v>
      </c>
      <c r="E10" s="7" t="n">
        <v>45152</v>
      </c>
      <c r="F10" s="6" t="s">
        <v>147</v>
      </c>
      <c r="G10" s="6" t="s">
        <v>148</v>
      </c>
      <c r="H10" s="6" t="s">
        <v>106</v>
      </c>
      <c r="I10" s="6" t="s">
        <v>107</v>
      </c>
      <c r="J10" s="6" t="s">
        <v>108</v>
      </c>
    </row>
    <row r="11" customFormat="false" ht="15" hidden="false" customHeight="false" outlineLevel="0" collapsed="false">
      <c r="A11" s="6" t="s">
        <v>149</v>
      </c>
      <c r="B11" s="6" t="s">
        <v>101</v>
      </c>
      <c r="C11" s="6" t="s">
        <v>150</v>
      </c>
      <c r="D11" s="6" t="s">
        <v>151</v>
      </c>
      <c r="E11" s="7" t="n">
        <v>45243</v>
      </c>
      <c r="F11" s="6" t="s">
        <v>152</v>
      </c>
      <c r="G11" s="6" t="s">
        <v>153</v>
      </c>
      <c r="H11" s="6" t="s">
        <v>106</v>
      </c>
      <c r="I11" s="6" t="s">
        <v>107</v>
      </c>
      <c r="J11" s="6" t="s">
        <v>108</v>
      </c>
    </row>
    <row r="12" customFormat="false" ht="15" hidden="false" customHeight="false" outlineLevel="0" collapsed="false">
      <c r="A12" s="6" t="s">
        <v>154</v>
      </c>
      <c r="B12" s="6" t="s">
        <v>101</v>
      </c>
      <c r="C12" s="6" t="s">
        <v>155</v>
      </c>
      <c r="D12" s="6" t="s">
        <v>156</v>
      </c>
      <c r="E12" s="7" t="n">
        <v>45334</v>
      </c>
      <c r="F12" s="6" t="s">
        <v>157</v>
      </c>
      <c r="G12" s="6" t="s">
        <v>158</v>
      </c>
      <c r="H12" s="6" t="s">
        <v>106</v>
      </c>
      <c r="I12" s="6" t="s">
        <v>107</v>
      </c>
      <c r="J12" s="6" t="s">
        <v>108</v>
      </c>
    </row>
    <row r="13" customFormat="false" ht="15" hidden="false" customHeight="false" outlineLevel="0" collapsed="false">
      <c r="A13" s="6" t="s">
        <v>159</v>
      </c>
      <c r="B13" s="6" t="s">
        <v>101</v>
      </c>
      <c r="C13" s="6" t="s">
        <v>160</v>
      </c>
      <c r="D13" s="6" t="s">
        <v>161</v>
      </c>
      <c r="E13" s="7" t="n">
        <v>45427</v>
      </c>
      <c r="F13" s="6" t="s">
        <v>162</v>
      </c>
      <c r="G13" s="6" t="s">
        <v>163</v>
      </c>
      <c r="H13" s="6" t="s">
        <v>106</v>
      </c>
      <c r="I13" s="6" t="s">
        <v>107</v>
      </c>
      <c r="J13" s="6" t="s">
        <v>108</v>
      </c>
    </row>
    <row r="14" customFormat="false" ht="15" hidden="false" customHeight="false" outlineLevel="0" collapsed="false">
      <c r="A14" s="6" t="s">
        <v>164</v>
      </c>
      <c r="B14" s="6" t="s">
        <v>101</v>
      </c>
      <c r="C14" s="6" t="s">
        <v>165</v>
      </c>
      <c r="D14" s="6" t="s">
        <v>166</v>
      </c>
      <c r="E14" s="7" t="n">
        <v>45516</v>
      </c>
      <c r="F14" s="6" t="s">
        <v>167</v>
      </c>
      <c r="G14" s="6" t="s">
        <v>168</v>
      </c>
      <c r="H14" s="6" t="s">
        <v>106</v>
      </c>
      <c r="I14" s="6" t="s">
        <v>107</v>
      </c>
      <c r="J14" s="6" t="s">
        <v>108</v>
      </c>
    </row>
    <row r="15" customFormat="false" ht="15" hidden="false" customHeight="false" outlineLevel="0" collapsed="false">
      <c r="A15" s="6" t="s">
        <v>169</v>
      </c>
      <c r="B15" s="6" t="s">
        <v>101</v>
      </c>
      <c r="C15" s="6" t="s">
        <v>170</v>
      </c>
      <c r="D15" s="6" t="s">
        <v>171</v>
      </c>
      <c r="E15" s="7" t="n">
        <v>45608</v>
      </c>
      <c r="F15" s="6" t="s">
        <v>172</v>
      </c>
      <c r="G15" s="6" t="s">
        <v>173</v>
      </c>
      <c r="H15" s="6" t="s">
        <v>106</v>
      </c>
      <c r="I15" s="6" t="s">
        <v>107</v>
      </c>
      <c r="J15" s="6" t="s">
        <v>108</v>
      </c>
    </row>
    <row r="16" customFormat="false" ht="15" hidden="false" customHeight="false" outlineLevel="0" collapsed="false">
      <c r="A16" s="6" t="s">
        <v>174</v>
      </c>
      <c r="B16" s="6" t="s">
        <v>101</v>
      </c>
      <c r="C16" s="6" t="s">
        <v>175</v>
      </c>
      <c r="D16" s="6" t="s">
        <v>176</v>
      </c>
      <c r="E16" s="7" t="n">
        <v>45698</v>
      </c>
      <c r="F16" s="6" t="s">
        <v>177</v>
      </c>
      <c r="G16" s="6" t="s">
        <v>178</v>
      </c>
      <c r="H16" s="6" t="s">
        <v>106</v>
      </c>
      <c r="I16" s="6" t="s">
        <v>107</v>
      </c>
      <c r="J16" s="6" t="s">
        <v>108</v>
      </c>
    </row>
    <row r="17" customFormat="false" ht="15" hidden="false" customHeight="false" outlineLevel="0" collapsed="false">
      <c r="A17" s="6" t="s">
        <v>179</v>
      </c>
      <c r="B17" s="6" t="s">
        <v>101</v>
      </c>
      <c r="C17" s="6" t="s">
        <v>180</v>
      </c>
      <c r="D17" s="6" t="s">
        <v>181</v>
      </c>
      <c r="E17" s="7" t="n">
        <v>45789</v>
      </c>
      <c r="F17" s="6" t="s">
        <v>182</v>
      </c>
      <c r="G17" s="6" t="s">
        <v>183</v>
      </c>
      <c r="H17" s="6" t="s">
        <v>106</v>
      </c>
      <c r="I17" s="6" t="s">
        <v>107</v>
      </c>
      <c r="J17" s="6" t="s">
        <v>108</v>
      </c>
    </row>
    <row r="18" customFormat="false" ht="15" hidden="false" customHeight="false" outlineLevel="0" collapsed="false">
      <c r="A18" s="6" t="s">
        <v>184</v>
      </c>
      <c r="B18" s="6" t="s">
        <v>101</v>
      </c>
      <c r="C18" s="6" t="s">
        <v>185</v>
      </c>
      <c r="D18" s="6" t="s">
        <v>186</v>
      </c>
      <c r="E18" s="7" t="n">
        <v>45880</v>
      </c>
      <c r="F18" s="6" t="s">
        <v>187</v>
      </c>
      <c r="G18" s="6" t="s">
        <v>188</v>
      </c>
      <c r="H18" s="6" t="s">
        <v>106</v>
      </c>
      <c r="I18" s="6" t="s">
        <v>107</v>
      </c>
      <c r="J18" s="6" t="s">
        <v>108</v>
      </c>
    </row>
    <row r="19" customFormat="false" ht="15" hidden="false" customHeight="false" outlineLevel="0" collapsed="false">
      <c r="A19" s="6" t="s">
        <v>189</v>
      </c>
      <c r="B19" s="6" t="s">
        <v>101</v>
      </c>
      <c r="C19" s="6" t="s">
        <v>190</v>
      </c>
      <c r="D19" s="6" t="s">
        <v>191</v>
      </c>
      <c r="E19" s="7" t="n">
        <v>45971</v>
      </c>
      <c r="F19" s="6" t="s">
        <v>192</v>
      </c>
      <c r="G19" s="6" t="s">
        <v>193</v>
      </c>
      <c r="H19" s="6" t="s">
        <v>106</v>
      </c>
      <c r="I19" s="6" t="s">
        <v>107</v>
      </c>
      <c r="J19" s="6" t="s">
        <v>108</v>
      </c>
    </row>
    <row r="20" customFormat="false" ht="15" hidden="false" customHeight="false" outlineLevel="0" collapsed="false">
      <c r="A20" s="6" t="s">
        <v>194</v>
      </c>
      <c r="B20" s="6" t="s">
        <v>101</v>
      </c>
      <c r="C20" s="6" t="s">
        <v>195</v>
      </c>
      <c r="D20" s="6" t="s">
        <v>196</v>
      </c>
      <c r="E20" s="7" t="n">
        <v>46062</v>
      </c>
      <c r="F20" s="6" t="s">
        <v>197</v>
      </c>
      <c r="G20" s="6" t="s">
        <v>198</v>
      </c>
      <c r="H20" s="6" t="s">
        <v>106</v>
      </c>
      <c r="I20" s="6" t="s">
        <v>107</v>
      </c>
      <c r="J20" s="6" t="s">
        <v>108</v>
      </c>
    </row>
    <row r="21" customFormat="false" ht="15" hidden="false" customHeight="false" outlineLevel="0" collapsed="false">
      <c r="A21" s="6" t="s">
        <v>199</v>
      </c>
      <c r="B21" s="6" t="s">
        <v>101</v>
      </c>
      <c r="C21" s="6" t="s">
        <v>200</v>
      </c>
      <c r="D21" s="6" t="s">
        <v>201</v>
      </c>
      <c r="E21" s="7" t="n">
        <v>46153</v>
      </c>
      <c r="F21" s="6" t="s">
        <v>202</v>
      </c>
      <c r="G21" s="6" t="s">
        <v>203</v>
      </c>
      <c r="H21" s="6" t="s">
        <v>106</v>
      </c>
      <c r="I21" s="6" t="s">
        <v>107</v>
      </c>
      <c r="J21" s="6" t="s">
        <v>108</v>
      </c>
    </row>
    <row r="22" customFormat="false" ht="15" hidden="false" customHeight="false" outlineLevel="0" collapsed="false">
      <c r="A22" s="6" t="s">
        <v>204</v>
      </c>
      <c r="B22" s="6" t="s">
        <v>101</v>
      </c>
      <c r="C22" s="6" t="s">
        <v>205</v>
      </c>
      <c r="D22" s="6" t="s">
        <v>206</v>
      </c>
      <c r="E22" s="7" t="n">
        <v>46244</v>
      </c>
      <c r="F22" s="6" t="s">
        <v>207</v>
      </c>
      <c r="G22" s="6" t="s">
        <v>208</v>
      </c>
      <c r="H22" s="6" t="s">
        <v>106</v>
      </c>
      <c r="I22" s="6" t="s">
        <v>107</v>
      </c>
      <c r="J22" s="6" t="s">
        <v>108</v>
      </c>
    </row>
    <row r="23" customFormat="false" ht="15" hidden="false" customHeight="false" outlineLevel="0" collapsed="false">
      <c r="A23" s="6" t="s">
        <v>209</v>
      </c>
      <c r="B23" s="6" t="s">
        <v>210</v>
      </c>
      <c r="C23" s="6" t="s">
        <v>211</v>
      </c>
      <c r="D23" s="6" t="s">
        <v>212</v>
      </c>
      <c r="E23" s="7" t="n">
        <v>44636</v>
      </c>
      <c r="F23" s="6" t="s">
        <v>213</v>
      </c>
      <c r="G23" s="6" t="s">
        <v>214</v>
      </c>
      <c r="H23" s="6" t="s">
        <v>215</v>
      </c>
      <c r="I23" s="6" t="s">
        <v>216</v>
      </c>
      <c r="J23" s="6" t="s">
        <v>217</v>
      </c>
    </row>
    <row r="24" customFormat="false" ht="15" hidden="false" customHeight="false" outlineLevel="0" collapsed="false">
      <c r="A24" s="6" t="s">
        <v>218</v>
      </c>
      <c r="B24" s="6" t="s">
        <v>210</v>
      </c>
      <c r="C24" s="6" t="s">
        <v>219</v>
      </c>
      <c r="D24" s="6" t="s">
        <v>220</v>
      </c>
      <c r="E24" s="7" t="n">
        <v>44999</v>
      </c>
      <c r="F24" s="6" t="s">
        <v>221</v>
      </c>
      <c r="G24" s="6" t="s">
        <v>222</v>
      </c>
      <c r="H24" s="6" t="s">
        <v>215</v>
      </c>
      <c r="I24" s="6" t="s">
        <v>216</v>
      </c>
      <c r="J24" s="6" t="s">
        <v>217</v>
      </c>
    </row>
    <row r="25" customFormat="false" ht="15" hidden="false" customHeight="false" outlineLevel="0" collapsed="false">
      <c r="A25" s="6" t="s">
        <v>223</v>
      </c>
      <c r="B25" s="6" t="s">
        <v>210</v>
      </c>
      <c r="C25" s="6" t="s">
        <v>224</v>
      </c>
      <c r="D25" s="6" t="s">
        <v>225</v>
      </c>
      <c r="E25" s="7" t="n">
        <v>45365</v>
      </c>
      <c r="F25" s="6" t="s">
        <v>226</v>
      </c>
      <c r="G25" s="6" t="s">
        <v>227</v>
      </c>
      <c r="H25" s="6" t="s">
        <v>215</v>
      </c>
      <c r="I25" s="6" t="s">
        <v>216</v>
      </c>
      <c r="J25" s="6" t="s">
        <v>217</v>
      </c>
    </row>
    <row r="26" customFormat="false" ht="15" hidden="false" customHeight="false" outlineLevel="0" collapsed="false">
      <c r="A26" s="6" t="s">
        <v>228</v>
      </c>
      <c r="B26" s="6" t="s">
        <v>210</v>
      </c>
      <c r="C26" s="6" t="s">
        <v>229</v>
      </c>
      <c r="D26" s="6" t="s">
        <v>230</v>
      </c>
      <c r="E26" s="7" t="n">
        <v>45733</v>
      </c>
      <c r="F26" s="6" t="s">
        <v>231</v>
      </c>
      <c r="G26" s="6" t="s">
        <v>232</v>
      </c>
      <c r="H26" s="6" t="s">
        <v>215</v>
      </c>
      <c r="I26" s="6" t="s">
        <v>216</v>
      </c>
      <c r="J26" s="6" t="s">
        <v>217</v>
      </c>
    </row>
    <row r="27" customFormat="false" ht="15" hidden="false" customHeight="false" outlineLevel="0" collapsed="false">
      <c r="A27" s="6" t="s">
        <v>233</v>
      </c>
      <c r="B27" s="6" t="s">
        <v>210</v>
      </c>
      <c r="C27" s="6" t="s">
        <v>234</v>
      </c>
      <c r="D27" s="6" t="s">
        <v>235</v>
      </c>
      <c r="E27" s="7" t="n">
        <v>46094</v>
      </c>
      <c r="F27" s="6" t="s">
        <v>236</v>
      </c>
      <c r="G27" s="6" t="s">
        <v>237</v>
      </c>
      <c r="H27" s="6" t="s">
        <v>215</v>
      </c>
      <c r="I27" s="6" t="s">
        <v>216</v>
      </c>
      <c r="J27" s="6" t="s">
        <v>217</v>
      </c>
    </row>
    <row r="28" customFormat="false" ht="15" hidden="false" customHeight="false" outlineLevel="0" collapsed="false">
      <c r="A28" s="6" t="s">
        <v>238</v>
      </c>
      <c r="B28" s="6" t="s">
        <v>239</v>
      </c>
      <c r="C28" s="6" t="s">
        <v>240</v>
      </c>
      <c r="D28" s="6" t="s">
        <v>241</v>
      </c>
      <c r="E28" s="7" t="n">
        <v>45516</v>
      </c>
      <c r="F28" s="6" t="s">
        <v>242</v>
      </c>
      <c r="G28" s="6" t="s">
        <v>168</v>
      </c>
      <c r="H28" s="6" t="s">
        <v>243</v>
      </c>
      <c r="I28" s="6" t="s">
        <v>244</v>
      </c>
      <c r="J28" s="6" t="s">
        <v>245</v>
      </c>
    </row>
    <row r="29" customFormat="false" ht="15" hidden="false" customHeight="false" outlineLevel="0" collapsed="false">
      <c r="A29" s="6" t="s">
        <v>246</v>
      </c>
      <c r="B29" s="6" t="s">
        <v>247</v>
      </c>
      <c r="C29" s="6" t="s">
        <v>248</v>
      </c>
      <c r="D29" s="6" t="s">
        <v>241</v>
      </c>
      <c r="E29" s="7" t="n">
        <v>45516</v>
      </c>
      <c r="F29" s="6" t="s">
        <v>249</v>
      </c>
      <c r="G29" s="6" t="s">
        <v>168</v>
      </c>
      <c r="H29" s="6" t="s">
        <v>250</v>
      </c>
      <c r="I29" s="6" t="s">
        <v>251</v>
      </c>
      <c r="J29" s="6" t="s">
        <v>252</v>
      </c>
    </row>
    <row r="30" customFormat="false" ht="15" hidden="false" customHeight="false" outlineLevel="0" collapsed="false">
      <c r="A30" s="6" t="s">
        <v>253</v>
      </c>
      <c r="B30" s="6" t="s">
        <v>239</v>
      </c>
      <c r="C30" s="6" t="s">
        <v>254</v>
      </c>
      <c r="D30" s="6" t="s">
        <v>255</v>
      </c>
      <c r="E30" s="7" t="n">
        <v>45880</v>
      </c>
      <c r="F30" s="6" t="s">
        <v>256</v>
      </c>
      <c r="G30" s="6" t="s">
        <v>188</v>
      </c>
      <c r="H30" s="6" t="s">
        <v>243</v>
      </c>
      <c r="I30" s="6" t="s">
        <v>244</v>
      </c>
      <c r="J30" s="6" t="s">
        <v>245</v>
      </c>
    </row>
    <row r="31" customFormat="false" ht="15" hidden="false" customHeight="false" outlineLevel="0" collapsed="false">
      <c r="A31" s="6" t="s">
        <v>257</v>
      </c>
      <c r="B31" s="6" t="s">
        <v>247</v>
      </c>
      <c r="C31" s="6" t="s">
        <v>258</v>
      </c>
      <c r="D31" s="6" t="s">
        <v>255</v>
      </c>
      <c r="E31" s="7" t="n">
        <v>45880</v>
      </c>
      <c r="F31" s="6" t="s">
        <v>259</v>
      </c>
      <c r="G31" s="6" t="s">
        <v>188</v>
      </c>
      <c r="H31" s="6" t="s">
        <v>250</v>
      </c>
      <c r="I31" s="6" t="s">
        <v>251</v>
      </c>
      <c r="J31" s="6" t="s">
        <v>260</v>
      </c>
    </row>
    <row r="32" customFormat="false" ht="15" hidden="false" customHeight="false" outlineLevel="0" collapsed="false">
      <c r="A32" s="6" t="s">
        <v>261</v>
      </c>
      <c r="B32" s="6" t="s">
        <v>239</v>
      </c>
      <c r="C32" s="6" t="s">
        <v>262</v>
      </c>
      <c r="D32" s="6" t="s">
        <v>263</v>
      </c>
      <c r="E32" s="7" t="n">
        <v>46244</v>
      </c>
      <c r="F32" s="6" t="s">
        <v>264</v>
      </c>
      <c r="G32" s="6" t="s">
        <v>208</v>
      </c>
      <c r="H32" s="6" t="s">
        <v>243</v>
      </c>
      <c r="I32" s="6" t="s">
        <v>244</v>
      </c>
      <c r="J32" s="6" t="s">
        <v>245</v>
      </c>
    </row>
    <row r="33" customFormat="false" ht="15" hidden="false" customHeight="false" outlineLevel="0" collapsed="false">
      <c r="A33" s="6" t="s">
        <v>265</v>
      </c>
      <c r="B33" s="6" t="s">
        <v>247</v>
      </c>
      <c r="C33" s="6" t="s">
        <v>266</v>
      </c>
      <c r="D33" s="6" t="s">
        <v>263</v>
      </c>
      <c r="E33" s="7" t="n">
        <v>46244</v>
      </c>
      <c r="F33" s="6" t="s">
        <v>267</v>
      </c>
      <c r="G33" s="6" t="s">
        <v>208</v>
      </c>
      <c r="H33" s="6" t="s">
        <v>250</v>
      </c>
      <c r="I33" s="6" t="s">
        <v>251</v>
      </c>
      <c r="J33" s="6" t="s">
        <v>252</v>
      </c>
    </row>
    <row r="34" customFormat="false" ht="15" hidden="false" customHeight="false" outlineLevel="0" collapsed="false">
      <c r="A34" s="6" t="s">
        <v>268</v>
      </c>
      <c r="B34" s="6" t="s">
        <v>269</v>
      </c>
      <c r="C34" s="6" t="s">
        <v>270</v>
      </c>
      <c r="D34" s="6" t="s">
        <v>255</v>
      </c>
      <c r="E34" s="7" t="n">
        <v>45898</v>
      </c>
      <c r="F34" s="6" t="s">
        <v>271</v>
      </c>
      <c r="G34" s="6" t="s">
        <v>272</v>
      </c>
      <c r="H34" s="6" t="s">
        <v>273</v>
      </c>
      <c r="I34" s="6" t="s">
        <v>274</v>
      </c>
      <c r="J34" s="6"/>
    </row>
    <row r="35" customFormat="false" ht="15" hidden="false" customHeight="false" outlineLevel="0" collapsed="false">
      <c r="A35" s="6" t="s">
        <v>275</v>
      </c>
      <c r="B35" s="6" t="s">
        <v>276</v>
      </c>
      <c r="C35" s="6" t="s">
        <v>277</v>
      </c>
      <c r="D35" s="6" t="s">
        <v>278</v>
      </c>
      <c r="E35" s="7" t="n">
        <v>45917</v>
      </c>
      <c r="F35" s="6" t="s">
        <v>279</v>
      </c>
      <c r="G35" s="6" t="s">
        <v>280</v>
      </c>
      <c r="H35" s="6" t="s">
        <v>273</v>
      </c>
      <c r="I35" s="6" t="s">
        <v>274</v>
      </c>
      <c r="J35" s="6"/>
    </row>
    <row r="36" customFormat="false" ht="15" hidden="false" customHeight="false" outlineLevel="0" collapsed="false">
      <c r="A36" s="6" t="s">
        <v>281</v>
      </c>
      <c r="B36" s="6" t="s">
        <v>282</v>
      </c>
      <c r="C36" s="6" t="s">
        <v>283</v>
      </c>
      <c r="D36" s="6" t="s">
        <v>284</v>
      </c>
      <c r="E36" s="7" t="n">
        <v>46225</v>
      </c>
      <c r="F36" s="6" t="s">
        <v>285</v>
      </c>
      <c r="G36" s="6" t="s">
        <v>286</v>
      </c>
      <c r="H36" s="6" t="s">
        <v>273</v>
      </c>
      <c r="I36" s="6" t="s">
        <v>274</v>
      </c>
      <c r="J36" s="6"/>
    </row>
    <row r="37" customFormat="false" ht="15" hidden="false" customHeight="false" outlineLevel="0" collapsed="false">
      <c r="A37" s="6" t="s">
        <v>287</v>
      </c>
      <c r="B37" s="6" t="s">
        <v>288</v>
      </c>
      <c r="C37" s="6" t="s">
        <v>289</v>
      </c>
      <c r="D37" s="6" t="s">
        <v>290</v>
      </c>
      <c r="E37" s="7" t="n">
        <v>45750</v>
      </c>
      <c r="F37" s="6" t="s">
        <v>291</v>
      </c>
      <c r="G37" s="6" t="s">
        <v>292</v>
      </c>
      <c r="H37" s="6" t="s">
        <v>106</v>
      </c>
      <c r="I37" s="6" t="s">
        <v>274</v>
      </c>
      <c r="J37" s="6"/>
    </row>
    <row r="38" customFormat="false" ht="15" hidden="false" customHeight="false" outlineLevel="0" collapsed="false">
      <c r="A38" s="6" t="s">
        <v>293</v>
      </c>
      <c r="B38" s="6" t="s">
        <v>288</v>
      </c>
      <c r="C38" s="6" t="s">
        <v>294</v>
      </c>
      <c r="D38" s="6" t="s">
        <v>295</v>
      </c>
      <c r="E38" s="7" t="n">
        <v>45530</v>
      </c>
      <c r="F38" s="6" t="s">
        <v>296</v>
      </c>
      <c r="G38" s="6" t="s">
        <v>297</v>
      </c>
      <c r="H38" s="6" t="s">
        <v>106</v>
      </c>
      <c r="I38" s="6" t="s">
        <v>274</v>
      </c>
      <c r="J38" s="6"/>
    </row>
    <row r="39" customFormat="false" ht="15" hidden="false" customHeight="false" outlineLevel="0" collapsed="false">
      <c r="A39" s="6" t="s">
        <v>298</v>
      </c>
      <c r="B39" s="6" t="s">
        <v>299</v>
      </c>
      <c r="C39" s="6" t="s">
        <v>300</v>
      </c>
      <c r="D39" s="6" t="s">
        <v>295</v>
      </c>
      <c r="E39" s="7" t="n">
        <v>45533</v>
      </c>
      <c r="F39" s="6" t="s">
        <v>301</v>
      </c>
      <c r="G39" s="6" t="s">
        <v>302</v>
      </c>
      <c r="H39" s="6" t="s">
        <v>303</v>
      </c>
      <c r="I39" s="6" t="s">
        <v>274</v>
      </c>
      <c r="J39" s="6"/>
    </row>
    <row r="40" customFormat="false" ht="15" hidden="false" customHeight="false" outlineLevel="0" collapsed="false">
      <c r="A40" s="6" t="s">
        <v>304</v>
      </c>
      <c r="B40" s="6" t="s">
        <v>305</v>
      </c>
      <c r="C40" s="6" t="s">
        <v>306</v>
      </c>
      <c r="D40" s="6" t="s">
        <v>307</v>
      </c>
      <c r="E40" s="7" t="n">
        <v>44441</v>
      </c>
      <c r="F40" s="6" t="s">
        <v>308</v>
      </c>
      <c r="G40" s="6" t="s">
        <v>309</v>
      </c>
      <c r="H40" s="6" t="s">
        <v>273</v>
      </c>
      <c r="I40" s="6" t="s">
        <v>274</v>
      </c>
      <c r="J40" s="6"/>
    </row>
    <row r="41" customFormat="false" ht="15" hidden="false" customHeight="false" outlineLevel="0" collapsed="false">
      <c r="A41" s="6" t="s">
        <v>310</v>
      </c>
      <c r="B41" s="6" t="s">
        <v>311</v>
      </c>
      <c r="C41" s="6" t="s">
        <v>312</v>
      </c>
      <c r="D41" s="6" t="s">
        <v>313</v>
      </c>
      <c r="E41" s="7" t="n">
        <v>46205</v>
      </c>
      <c r="F41" s="6" t="s">
        <v>314</v>
      </c>
      <c r="G41" s="6" t="s">
        <v>315</v>
      </c>
      <c r="H41" s="6" t="s">
        <v>106</v>
      </c>
      <c r="I41" s="6" t="s">
        <v>274</v>
      </c>
      <c r="J41" s="6"/>
    </row>
    <row r="42" customFormat="false" ht="15" hidden="false" customHeight="false" outlineLevel="0" collapsed="false">
      <c r="A42" s="6" t="s">
        <v>316</v>
      </c>
      <c r="B42" s="6" t="s">
        <v>317</v>
      </c>
      <c r="C42" s="6" t="s">
        <v>318</v>
      </c>
      <c r="D42" s="6" t="s">
        <v>313</v>
      </c>
      <c r="E42" s="7" t="n">
        <v>46220</v>
      </c>
      <c r="F42" s="6" t="s">
        <v>319</v>
      </c>
      <c r="G42" s="6" t="s">
        <v>320</v>
      </c>
      <c r="H42" s="6" t="s">
        <v>106</v>
      </c>
      <c r="I42" s="6" t="s">
        <v>274</v>
      </c>
      <c r="J42" s="6"/>
    </row>
    <row r="43" customFormat="false" ht="15" hidden="false" customHeight="false" outlineLevel="0" collapsed="false">
      <c r="A43" s="6" t="s">
        <v>321</v>
      </c>
      <c r="B43" s="6" t="s">
        <v>322</v>
      </c>
      <c r="C43" s="6" t="s">
        <v>323</v>
      </c>
      <c r="D43" s="6" t="s">
        <v>313</v>
      </c>
      <c r="E43" s="7" t="n">
        <v>46240</v>
      </c>
      <c r="F43" s="6" t="s">
        <v>324</v>
      </c>
      <c r="G43" s="6" t="s">
        <v>325</v>
      </c>
      <c r="H43" s="6" t="s">
        <v>273</v>
      </c>
      <c r="I43" s="6" t="s">
        <v>274</v>
      </c>
      <c r="J43" s="6"/>
    </row>
    <row r="44" customFormat="false" ht="15" hidden="false" customHeight="false" outlineLevel="0" collapsed="false">
      <c r="A44" s="6" t="s">
        <v>326</v>
      </c>
      <c r="B44" s="6" t="s">
        <v>311</v>
      </c>
      <c r="C44" s="6" t="s">
        <v>327</v>
      </c>
      <c r="D44" s="6" t="s">
        <v>328</v>
      </c>
      <c r="E44" s="7" t="n">
        <v>45834</v>
      </c>
      <c r="F44" s="6" t="s">
        <v>329</v>
      </c>
      <c r="G44" s="6" t="s">
        <v>330</v>
      </c>
      <c r="H44" s="6" t="s">
        <v>106</v>
      </c>
      <c r="I44" s="6" t="s">
        <v>274</v>
      </c>
      <c r="J44" s="6"/>
    </row>
    <row r="45" customFormat="false" ht="15" hidden="false" customHeight="false" outlineLevel="0" collapsed="false">
      <c r="A45" s="6" t="s">
        <v>331</v>
      </c>
      <c r="B45" s="6" t="s">
        <v>311</v>
      </c>
      <c r="C45" s="6" t="s">
        <v>332</v>
      </c>
      <c r="D45" s="6" t="s">
        <v>333</v>
      </c>
      <c r="E45" s="7" t="n">
        <v>45469</v>
      </c>
      <c r="F45" s="6" t="s">
        <v>334</v>
      </c>
      <c r="G45" s="6" t="s">
        <v>335</v>
      </c>
      <c r="H45" s="6" t="s">
        <v>106</v>
      </c>
      <c r="I45" s="6" t="s">
        <v>274</v>
      </c>
      <c r="J45" s="6"/>
    </row>
    <row r="46" customFormat="false" ht="15" hidden="false" customHeight="false" outlineLevel="0" collapsed="false">
      <c r="A46" s="6" t="s">
        <v>336</v>
      </c>
      <c r="B46" s="6" t="s">
        <v>311</v>
      </c>
      <c r="C46" s="6" t="s">
        <v>337</v>
      </c>
      <c r="D46" s="6" t="s">
        <v>338</v>
      </c>
      <c r="E46" s="7" t="n">
        <v>45103</v>
      </c>
      <c r="F46" s="6" t="s">
        <v>339</v>
      </c>
      <c r="G46" s="6" t="s">
        <v>340</v>
      </c>
      <c r="H46" s="6" t="s">
        <v>106</v>
      </c>
      <c r="I46" s="6" t="s">
        <v>274</v>
      </c>
      <c r="J46" s="6"/>
    </row>
    <row r="47" customFormat="false" ht="15" hidden="false" customHeight="false" outlineLevel="0" collapsed="false">
      <c r="A47" s="6" t="s">
        <v>341</v>
      </c>
      <c r="B47" s="6" t="s">
        <v>311</v>
      </c>
      <c r="C47" s="6" t="s">
        <v>342</v>
      </c>
      <c r="D47" s="6" t="s">
        <v>343</v>
      </c>
      <c r="E47" s="7" t="n">
        <v>44733</v>
      </c>
      <c r="F47" s="6" t="s">
        <v>344</v>
      </c>
      <c r="G47" s="6" t="s">
        <v>345</v>
      </c>
      <c r="H47" s="6" t="s">
        <v>106</v>
      </c>
      <c r="I47" s="6" t="s">
        <v>274</v>
      </c>
      <c r="J47" s="6"/>
    </row>
    <row r="48" customFormat="false" ht="15" hidden="false" customHeight="false" outlineLevel="0" collapsed="false">
      <c r="A48" s="6" t="s">
        <v>346</v>
      </c>
      <c r="B48" s="6" t="s">
        <v>311</v>
      </c>
      <c r="C48" s="6" t="s">
        <v>347</v>
      </c>
      <c r="D48" s="6" t="s">
        <v>348</v>
      </c>
      <c r="E48" s="7" t="n">
        <v>44369</v>
      </c>
      <c r="F48" s="6" t="s">
        <v>349</v>
      </c>
      <c r="G48" s="6" t="s">
        <v>350</v>
      </c>
      <c r="H48" s="6" t="s">
        <v>106</v>
      </c>
      <c r="I48" s="6" t="s">
        <v>274</v>
      </c>
      <c r="J48" s="6"/>
    </row>
    <row r="49" customFormat="false" ht="15" hidden="false" customHeight="false" outlineLevel="0" collapsed="false">
      <c r="A49" s="6" t="s">
        <v>351</v>
      </c>
      <c r="B49" s="6" t="s">
        <v>352</v>
      </c>
      <c r="C49" s="6" t="s">
        <v>353</v>
      </c>
      <c r="D49" s="6" t="s">
        <v>354</v>
      </c>
      <c r="E49" s="6" t="s">
        <v>355</v>
      </c>
      <c r="F49" s="6" t="s">
        <v>356</v>
      </c>
      <c r="G49" s="6"/>
      <c r="H49" s="6"/>
      <c r="I49" s="6" t="s">
        <v>357</v>
      </c>
      <c r="J49" s="6" t="s">
        <v>358</v>
      </c>
    </row>
    <row r="50" customFormat="false" ht="15" hidden="false" customHeight="false" outlineLevel="0" collapsed="false">
      <c r="A50" s="6" t="s">
        <v>359</v>
      </c>
      <c r="B50" s="6" t="s">
        <v>360</v>
      </c>
      <c r="C50" s="6" t="s">
        <v>361</v>
      </c>
      <c r="D50" s="6" t="s">
        <v>362</v>
      </c>
      <c r="E50" s="6" t="s">
        <v>362</v>
      </c>
      <c r="F50" s="6" t="s">
        <v>363</v>
      </c>
      <c r="G50" s="6"/>
      <c r="H50" s="6"/>
      <c r="I50" s="6" t="s">
        <v>362</v>
      </c>
      <c r="J50" s="8" t="s">
        <v>364</v>
      </c>
    </row>
  </sheetData>
  <autoFilter ref="A1:J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1"/>
    <col collapsed="false" customWidth="true" hidden="false" outlineLevel="0" max="4" min="4" style="0" width="22"/>
    <col collapsed="false" customWidth="true" hidden="false" outlineLevel="0" max="5" min="5" style="0" width="20"/>
    <col collapsed="false" customWidth="true" hidden="false" outlineLevel="0" max="6" min="6" style="0" width="46"/>
    <col collapsed="false" customWidth="true" hidden="false" outlineLevel="0" max="7" min="7" style="0" width="22"/>
    <col collapsed="false" customWidth="true" hidden="false" outlineLevel="0" max="8" min="8" style="0" width="15"/>
    <col collapsed="false" customWidth="true" hidden="false" outlineLevel="0" max="10" min="9" style="0" width="13"/>
    <col collapsed="false" customWidth="true" hidden="false" outlineLevel="0" max="11" min="11" style="0" width="15"/>
    <col collapsed="false" customWidth="true" hidden="false" outlineLevel="0" max="13" min="12" style="0" width="12"/>
    <col collapsed="false" customWidth="true" hidden="false" outlineLevel="0" max="14" min="14" style="0" width="70"/>
    <col collapsed="false" customWidth="true" hidden="false" outlineLevel="0" max="15" min="15" style="0" width="50"/>
    <col collapsed="false" customWidth="true" hidden="false" outlineLevel="0" max="16" min="16" style="0" width="60"/>
  </cols>
  <sheetData>
    <row r="1" customFormat="false" ht="23.85" hidden="false" customHeight="false" outlineLevel="0" collapsed="false">
      <c r="A1" s="5" t="s">
        <v>365</v>
      </c>
      <c r="B1" s="5" t="s">
        <v>93</v>
      </c>
      <c r="C1" s="5" t="s">
        <v>366</v>
      </c>
      <c r="D1" s="5" t="s">
        <v>367</v>
      </c>
      <c r="E1" s="5" t="s">
        <v>368</v>
      </c>
      <c r="F1" s="5" t="s">
        <v>369</v>
      </c>
      <c r="G1" s="5" t="s">
        <v>370</v>
      </c>
      <c r="H1" s="5" t="s">
        <v>371</v>
      </c>
      <c r="I1" s="5" t="s">
        <v>372</v>
      </c>
      <c r="J1" s="5" t="s">
        <v>373</v>
      </c>
      <c r="K1" s="5" t="s">
        <v>374</v>
      </c>
      <c r="L1" s="5" t="s">
        <v>375</v>
      </c>
      <c r="M1" s="5" t="s">
        <v>90</v>
      </c>
      <c r="N1" s="5" t="s">
        <v>376</v>
      </c>
      <c r="O1" s="5" t="s">
        <v>377</v>
      </c>
      <c r="P1" s="5" t="s">
        <v>99</v>
      </c>
    </row>
    <row r="2" customFormat="false" ht="15" hidden="false" customHeight="false" outlineLevel="0" collapsed="false">
      <c r="A2" s="6" t="s">
        <v>378</v>
      </c>
      <c r="B2" s="6" t="s">
        <v>379</v>
      </c>
      <c r="C2" s="7" t="n">
        <v>44286</v>
      </c>
      <c r="D2" s="6" t="s">
        <v>380</v>
      </c>
      <c r="E2" s="6" t="s">
        <v>381</v>
      </c>
      <c r="F2" s="6" t="s">
        <v>382</v>
      </c>
      <c r="G2" s="6" t="s">
        <v>383</v>
      </c>
      <c r="H2" s="9" t="n">
        <v>58972</v>
      </c>
      <c r="K2" s="6" t="s">
        <v>384</v>
      </c>
      <c r="L2" s="6" t="s">
        <v>13</v>
      </c>
      <c r="M2" s="6" t="s">
        <v>119</v>
      </c>
      <c r="N2" s="6" t="s">
        <v>385</v>
      </c>
      <c r="O2" s="6"/>
      <c r="P2" s="6" t="s">
        <v>386</v>
      </c>
    </row>
    <row r="3" customFormat="false" ht="15" hidden="false" customHeight="false" outlineLevel="0" collapsed="false">
      <c r="A3" s="6" t="s">
        <v>387</v>
      </c>
      <c r="B3" s="6" t="s">
        <v>103</v>
      </c>
      <c r="C3" s="7" t="n">
        <v>44377</v>
      </c>
      <c r="D3" s="6" t="s">
        <v>380</v>
      </c>
      <c r="E3" s="6" t="s">
        <v>381</v>
      </c>
      <c r="F3" s="6" t="s">
        <v>382</v>
      </c>
      <c r="G3" s="6" t="s">
        <v>388</v>
      </c>
      <c r="H3" s="9" t="n">
        <v>70615</v>
      </c>
      <c r="K3" s="6" t="s">
        <v>384</v>
      </c>
      <c r="L3" s="6" t="s">
        <v>13</v>
      </c>
      <c r="M3" s="6" t="s">
        <v>100</v>
      </c>
      <c r="N3" s="6" t="s">
        <v>389</v>
      </c>
      <c r="O3" s="6"/>
      <c r="P3" s="6"/>
    </row>
    <row r="4" customFormat="false" ht="15" hidden="false" customHeight="false" outlineLevel="0" collapsed="false">
      <c r="A4" s="6" t="s">
        <v>390</v>
      </c>
      <c r="B4" s="6" t="s">
        <v>391</v>
      </c>
      <c r="C4" s="7" t="n">
        <v>44377</v>
      </c>
      <c r="D4" s="6" t="s">
        <v>392</v>
      </c>
      <c r="E4" s="6" t="s">
        <v>381</v>
      </c>
      <c r="F4" s="6" t="s">
        <v>382</v>
      </c>
      <c r="G4" s="6" t="s">
        <v>393</v>
      </c>
      <c r="H4" s="9" t="n">
        <v>129587</v>
      </c>
      <c r="K4" s="6" t="s">
        <v>384</v>
      </c>
      <c r="L4" s="6" t="s">
        <v>13</v>
      </c>
      <c r="M4" s="6" t="s">
        <v>100</v>
      </c>
      <c r="N4" s="6" t="s">
        <v>394</v>
      </c>
      <c r="O4" s="6"/>
      <c r="P4" s="6"/>
    </row>
    <row r="5" customFormat="false" ht="15" hidden="false" customHeight="false" outlineLevel="0" collapsed="false">
      <c r="A5" s="6" t="s">
        <v>395</v>
      </c>
      <c r="B5" s="6" t="s">
        <v>111</v>
      </c>
      <c r="C5" s="7" t="n">
        <v>44469</v>
      </c>
      <c r="D5" s="6" t="s">
        <v>380</v>
      </c>
      <c r="E5" s="6" t="s">
        <v>381</v>
      </c>
      <c r="F5" s="6" t="s">
        <v>382</v>
      </c>
      <c r="G5" s="6" t="s">
        <v>396</v>
      </c>
      <c r="H5" s="9" t="n">
        <v>83018</v>
      </c>
      <c r="K5" s="6" t="s">
        <v>384</v>
      </c>
      <c r="L5" s="6" t="s">
        <v>13</v>
      </c>
      <c r="M5" s="6" t="s">
        <v>109</v>
      </c>
      <c r="N5" s="6" t="s">
        <v>397</v>
      </c>
      <c r="O5" s="6"/>
      <c r="P5" s="6"/>
    </row>
    <row r="6" customFormat="false" ht="15" hidden="false" customHeight="false" outlineLevel="0" collapsed="false">
      <c r="A6" s="6" t="s">
        <v>398</v>
      </c>
      <c r="B6" s="6" t="s">
        <v>399</v>
      </c>
      <c r="C6" s="7" t="n">
        <v>44469</v>
      </c>
      <c r="D6" s="6" t="s">
        <v>400</v>
      </c>
      <c r="E6" s="6" t="s">
        <v>381</v>
      </c>
      <c r="F6" s="6" t="s">
        <v>382</v>
      </c>
      <c r="G6" s="6" t="s">
        <v>401</v>
      </c>
      <c r="H6" s="9" t="n">
        <v>212605</v>
      </c>
      <c r="K6" s="6" t="s">
        <v>384</v>
      </c>
      <c r="L6" s="6" t="s">
        <v>13</v>
      </c>
      <c r="M6" s="6" t="s">
        <v>109</v>
      </c>
      <c r="N6" s="6" t="s">
        <v>402</v>
      </c>
      <c r="O6" s="6"/>
      <c r="P6" s="6"/>
    </row>
    <row r="7" customFormat="false" ht="15" hidden="false" customHeight="false" outlineLevel="0" collapsed="false">
      <c r="A7" s="6" t="s">
        <v>403</v>
      </c>
      <c r="B7" s="6" t="s">
        <v>116</v>
      </c>
      <c r="C7" s="7" t="n">
        <v>44561</v>
      </c>
      <c r="D7" s="6" t="s">
        <v>380</v>
      </c>
      <c r="E7" s="6" t="s">
        <v>381</v>
      </c>
      <c r="F7" s="6" t="s">
        <v>382</v>
      </c>
      <c r="G7" s="6" t="s">
        <v>404</v>
      </c>
      <c r="H7" s="9" t="n">
        <v>95545</v>
      </c>
      <c r="K7" s="6" t="s">
        <v>384</v>
      </c>
      <c r="L7" s="6" t="s">
        <v>13</v>
      </c>
      <c r="M7" s="6" t="s">
        <v>114</v>
      </c>
      <c r="N7" s="6" t="s">
        <v>405</v>
      </c>
      <c r="O7" s="6"/>
      <c r="P7" s="6"/>
    </row>
    <row r="8" customFormat="false" ht="15" hidden="false" customHeight="false" outlineLevel="0" collapsed="false">
      <c r="A8" s="6" t="s">
        <v>406</v>
      </c>
      <c r="B8" s="6" t="s">
        <v>212</v>
      </c>
      <c r="C8" s="7" t="n">
        <v>44561</v>
      </c>
      <c r="D8" s="6" t="s">
        <v>407</v>
      </c>
      <c r="E8" s="6" t="s">
        <v>381</v>
      </c>
      <c r="F8" s="6" t="s">
        <v>382</v>
      </c>
      <c r="G8" s="6" t="s">
        <v>408</v>
      </c>
      <c r="H8" s="9" t="n">
        <v>308150</v>
      </c>
      <c r="K8" s="6" t="s">
        <v>384</v>
      </c>
      <c r="L8" s="6" t="s">
        <v>13</v>
      </c>
      <c r="M8" s="6" t="s">
        <v>114</v>
      </c>
      <c r="N8" s="6" t="s">
        <v>409</v>
      </c>
      <c r="O8" s="6"/>
      <c r="P8" s="6"/>
    </row>
    <row r="9" customFormat="false" ht="15" hidden="false" customHeight="false" outlineLevel="0" collapsed="false">
      <c r="A9" s="6" t="s">
        <v>410</v>
      </c>
      <c r="B9" s="6" t="s">
        <v>121</v>
      </c>
      <c r="C9" s="7" t="n">
        <v>44651</v>
      </c>
      <c r="D9" s="6" t="s">
        <v>380</v>
      </c>
      <c r="E9" s="6" t="s">
        <v>381</v>
      </c>
      <c r="F9" s="6" t="s">
        <v>382</v>
      </c>
      <c r="G9" s="6" t="s">
        <v>411</v>
      </c>
      <c r="H9" s="9" t="n">
        <v>108497</v>
      </c>
      <c r="K9" s="6" t="s">
        <v>384</v>
      </c>
      <c r="L9" s="6" t="s">
        <v>13</v>
      </c>
      <c r="M9" s="6" t="s">
        <v>119</v>
      </c>
      <c r="N9" s="6" t="s">
        <v>412</v>
      </c>
      <c r="O9" s="6"/>
      <c r="P9" s="6"/>
    </row>
    <row r="10" customFormat="false" ht="15" hidden="false" customHeight="false" outlineLevel="0" collapsed="false">
      <c r="A10" s="6" t="s">
        <v>413</v>
      </c>
      <c r="B10" s="6" t="s">
        <v>126</v>
      </c>
      <c r="C10" s="7" t="n">
        <v>44742</v>
      </c>
      <c r="D10" s="6" t="s">
        <v>380</v>
      </c>
      <c r="E10" s="6" t="s">
        <v>381</v>
      </c>
      <c r="F10" s="6" t="s">
        <v>382</v>
      </c>
      <c r="G10" s="6" t="s">
        <v>414</v>
      </c>
      <c r="H10" s="9" t="n">
        <v>123718</v>
      </c>
      <c r="K10" s="6" t="s">
        <v>384</v>
      </c>
      <c r="L10" s="6" t="s">
        <v>13</v>
      </c>
      <c r="M10" s="6" t="s">
        <v>124</v>
      </c>
      <c r="N10" s="6" t="s">
        <v>415</v>
      </c>
      <c r="O10" s="6"/>
      <c r="P10" s="6"/>
    </row>
    <row r="11" customFormat="false" ht="15" hidden="false" customHeight="false" outlineLevel="0" collapsed="false">
      <c r="A11" s="6" t="s">
        <v>416</v>
      </c>
      <c r="B11" s="6" t="s">
        <v>417</v>
      </c>
      <c r="C11" s="7" t="n">
        <v>44742</v>
      </c>
      <c r="D11" s="6" t="s">
        <v>392</v>
      </c>
      <c r="E11" s="6" t="s">
        <v>381</v>
      </c>
      <c r="F11" s="6" t="s">
        <v>382</v>
      </c>
      <c r="G11" s="6" t="s">
        <v>418</v>
      </c>
      <c r="H11" s="9" t="n">
        <v>232215</v>
      </c>
      <c r="K11" s="6" t="s">
        <v>384</v>
      </c>
      <c r="L11" s="6" t="s">
        <v>13</v>
      </c>
      <c r="M11" s="6" t="s">
        <v>124</v>
      </c>
      <c r="N11" s="6" t="s">
        <v>419</v>
      </c>
      <c r="O11" s="6"/>
      <c r="P11" s="6"/>
    </row>
    <row r="12" customFormat="false" ht="15" hidden="false" customHeight="false" outlineLevel="0" collapsed="false">
      <c r="A12" s="6" t="s">
        <v>420</v>
      </c>
      <c r="B12" s="6" t="s">
        <v>131</v>
      </c>
      <c r="C12" s="7" t="n">
        <v>44834</v>
      </c>
      <c r="D12" s="6" t="s">
        <v>380</v>
      </c>
      <c r="E12" s="6" t="s">
        <v>381</v>
      </c>
      <c r="F12" s="6" t="s">
        <v>382</v>
      </c>
      <c r="G12" s="6" t="s">
        <v>421</v>
      </c>
      <c r="H12" s="9" t="n">
        <v>136893</v>
      </c>
      <c r="K12" s="6" t="s">
        <v>384</v>
      </c>
      <c r="L12" s="6" t="s">
        <v>13</v>
      </c>
      <c r="M12" s="6" t="s">
        <v>129</v>
      </c>
      <c r="N12" s="6" t="s">
        <v>422</v>
      </c>
      <c r="O12" s="6"/>
      <c r="P12" s="6"/>
    </row>
    <row r="13" customFormat="false" ht="15" hidden="false" customHeight="false" outlineLevel="0" collapsed="false">
      <c r="A13" s="6" t="s">
        <v>423</v>
      </c>
      <c r="B13" s="6" t="s">
        <v>424</v>
      </c>
      <c r="C13" s="7" t="n">
        <v>44834</v>
      </c>
      <c r="D13" s="6" t="s">
        <v>400</v>
      </c>
      <c r="E13" s="6" t="s">
        <v>381</v>
      </c>
      <c r="F13" s="6" t="s">
        <v>382</v>
      </c>
      <c r="G13" s="6" t="s">
        <v>425</v>
      </c>
      <c r="H13" s="9" t="n">
        <v>369108</v>
      </c>
      <c r="K13" s="6" t="s">
        <v>384</v>
      </c>
      <c r="L13" s="6" t="s">
        <v>13</v>
      </c>
      <c r="M13" s="6" t="s">
        <v>129</v>
      </c>
      <c r="N13" s="6" t="s">
        <v>426</v>
      </c>
      <c r="O13" s="6"/>
      <c r="P13" s="6"/>
    </row>
    <row r="14" customFormat="false" ht="15" hidden="false" customHeight="false" outlineLevel="0" collapsed="false">
      <c r="A14" s="6" t="s">
        <v>427</v>
      </c>
      <c r="B14" s="6" t="s">
        <v>136</v>
      </c>
      <c r="C14" s="7" t="n">
        <v>44926</v>
      </c>
      <c r="D14" s="6" t="s">
        <v>380</v>
      </c>
      <c r="E14" s="6" t="s">
        <v>381</v>
      </c>
      <c r="F14" s="6" t="s">
        <v>382</v>
      </c>
      <c r="G14" s="6" t="s">
        <v>428</v>
      </c>
      <c r="H14" s="9" t="n">
        <v>149921</v>
      </c>
      <c r="K14" s="6" t="s">
        <v>384</v>
      </c>
      <c r="L14" s="6" t="s">
        <v>13</v>
      </c>
      <c r="M14" s="6" t="s">
        <v>134</v>
      </c>
      <c r="N14" s="6" t="s">
        <v>429</v>
      </c>
      <c r="O14" s="6"/>
      <c r="P14" s="6"/>
    </row>
    <row r="15" customFormat="false" ht="15" hidden="false" customHeight="false" outlineLevel="0" collapsed="false">
      <c r="A15" s="6" t="s">
        <v>430</v>
      </c>
      <c r="B15" s="6" t="s">
        <v>220</v>
      </c>
      <c r="C15" s="7" t="n">
        <v>44926</v>
      </c>
      <c r="D15" s="6" t="s">
        <v>407</v>
      </c>
      <c r="E15" s="6" t="s">
        <v>381</v>
      </c>
      <c r="F15" s="6" t="s">
        <v>382</v>
      </c>
      <c r="G15" s="6" t="s">
        <v>431</v>
      </c>
      <c r="H15" s="9" t="n">
        <v>519029</v>
      </c>
      <c r="K15" s="6" t="s">
        <v>384</v>
      </c>
      <c r="L15" s="6" t="s">
        <v>13</v>
      </c>
      <c r="M15" s="6" t="s">
        <v>134</v>
      </c>
      <c r="N15" s="6" t="s">
        <v>432</v>
      </c>
      <c r="O15" s="6"/>
      <c r="P15" s="6"/>
    </row>
    <row r="16" customFormat="false" ht="15" hidden="false" customHeight="false" outlineLevel="0" collapsed="false">
      <c r="A16" s="6" t="s">
        <v>433</v>
      </c>
      <c r="B16" s="6" t="s">
        <v>141</v>
      </c>
      <c r="C16" s="7" t="n">
        <v>45016</v>
      </c>
      <c r="D16" s="6" t="s">
        <v>380</v>
      </c>
      <c r="E16" s="6" t="s">
        <v>381</v>
      </c>
      <c r="F16" s="6" t="s">
        <v>382</v>
      </c>
      <c r="G16" s="6" t="s">
        <v>434</v>
      </c>
      <c r="H16" s="9" t="n">
        <v>162256</v>
      </c>
      <c r="K16" s="6" t="s">
        <v>384</v>
      </c>
      <c r="L16" s="6" t="s">
        <v>13</v>
      </c>
      <c r="M16" s="6" t="s">
        <v>139</v>
      </c>
      <c r="N16" s="6" t="s">
        <v>435</v>
      </c>
      <c r="O16" s="6"/>
      <c r="P16" s="6"/>
    </row>
    <row r="17" customFormat="false" ht="15" hidden="false" customHeight="false" outlineLevel="0" collapsed="false">
      <c r="A17" s="6" t="s">
        <v>436</v>
      </c>
      <c r="B17" s="6" t="s">
        <v>146</v>
      </c>
      <c r="C17" s="7" t="n">
        <v>45107</v>
      </c>
      <c r="D17" s="6" t="s">
        <v>380</v>
      </c>
      <c r="E17" s="6" t="s">
        <v>381</v>
      </c>
      <c r="F17" s="6" t="s">
        <v>382</v>
      </c>
      <c r="G17" s="6" t="s">
        <v>437</v>
      </c>
      <c r="H17" s="9" t="n">
        <v>175679</v>
      </c>
      <c r="K17" s="6" t="s">
        <v>384</v>
      </c>
      <c r="L17" s="6" t="s">
        <v>13</v>
      </c>
      <c r="M17" s="6" t="s">
        <v>144</v>
      </c>
      <c r="N17" s="6" t="s">
        <v>438</v>
      </c>
      <c r="O17" s="6"/>
      <c r="P17" s="6"/>
    </row>
    <row r="18" customFormat="false" ht="15" hidden="false" customHeight="false" outlineLevel="0" collapsed="false">
      <c r="A18" s="6" t="s">
        <v>439</v>
      </c>
      <c r="B18" s="6" t="s">
        <v>440</v>
      </c>
      <c r="C18" s="7" t="n">
        <v>45107</v>
      </c>
      <c r="D18" s="6" t="s">
        <v>392</v>
      </c>
      <c r="E18" s="6" t="s">
        <v>381</v>
      </c>
      <c r="F18" s="6" t="s">
        <v>382</v>
      </c>
      <c r="G18" s="6" t="s">
        <v>441</v>
      </c>
      <c r="H18" s="9" t="n">
        <v>337935</v>
      </c>
      <c r="K18" s="6" t="s">
        <v>384</v>
      </c>
      <c r="L18" s="6" t="s">
        <v>13</v>
      </c>
      <c r="M18" s="6" t="s">
        <v>144</v>
      </c>
      <c r="N18" s="6" t="s">
        <v>442</v>
      </c>
      <c r="O18" s="6"/>
      <c r="P18" s="6"/>
    </row>
    <row r="19" customFormat="false" ht="15" hidden="false" customHeight="false" outlineLevel="0" collapsed="false">
      <c r="A19" s="6" t="s">
        <v>443</v>
      </c>
      <c r="B19" s="6" t="s">
        <v>151</v>
      </c>
      <c r="C19" s="7" t="n">
        <v>45199</v>
      </c>
      <c r="D19" s="6" t="s">
        <v>380</v>
      </c>
      <c r="E19" s="6" t="s">
        <v>381</v>
      </c>
      <c r="F19" s="6" t="s">
        <v>382</v>
      </c>
      <c r="G19" s="6" t="s">
        <v>444</v>
      </c>
      <c r="H19" s="9" t="n">
        <v>189190</v>
      </c>
      <c r="K19" s="6" t="s">
        <v>384</v>
      </c>
      <c r="L19" s="6" t="s">
        <v>13</v>
      </c>
      <c r="M19" s="6" t="s">
        <v>149</v>
      </c>
      <c r="N19" s="6" t="s">
        <v>445</v>
      </c>
      <c r="O19" s="6"/>
      <c r="P19" s="6"/>
    </row>
    <row r="20" customFormat="false" ht="15" hidden="false" customHeight="false" outlineLevel="0" collapsed="false">
      <c r="A20" s="6" t="s">
        <v>446</v>
      </c>
      <c r="B20" s="6" t="s">
        <v>447</v>
      </c>
      <c r="C20" s="7" t="n">
        <v>45199</v>
      </c>
      <c r="D20" s="6" t="s">
        <v>400</v>
      </c>
      <c r="E20" s="6" t="s">
        <v>381</v>
      </c>
      <c r="F20" s="6" t="s">
        <v>382</v>
      </c>
      <c r="G20" s="6" t="s">
        <v>448</v>
      </c>
      <c r="H20" s="9" t="n">
        <v>527125</v>
      </c>
      <c r="K20" s="6" t="s">
        <v>384</v>
      </c>
      <c r="L20" s="6" t="s">
        <v>13</v>
      </c>
      <c r="M20" s="6" t="s">
        <v>149</v>
      </c>
      <c r="N20" s="6" t="s">
        <v>449</v>
      </c>
      <c r="O20" s="6"/>
      <c r="P20" s="6"/>
    </row>
    <row r="21" customFormat="false" ht="15" hidden="false" customHeight="false" outlineLevel="0" collapsed="false">
      <c r="A21" s="6" t="s">
        <v>450</v>
      </c>
      <c r="B21" s="6" t="s">
        <v>156</v>
      </c>
      <c r="C21" s="7" t="n">
        <v>45291</v>
      </c>
      <c r="D21" s="6" t="s">
        <v>380</v>
      </c>
      <c r="E21" s="6" t="s">
        <v>381</v>
      </c>
      <c r="F21" s="6" t="s">
        <v>382</v>
      </c>
      <c r="G21" s="6" t="s">
        <v>451</v>
      </c>
      <c r="H21" s="9" t="n">
        <v>202570</v>
      </c>
      <c r="K21" s="6" t="s">
        <v>384</v>
      </c>
      <c r="L21" s="6" t="s">
        <v>13</v>
      </c>
      <c r="M21" s="6" t="s">
        <v>154</v>
      </c>
      <c r="N21" s="6" t="s">
        <v>452</v>
      </c>
      <c r="O21" s="6"/>
      <c r="P21" s="6"/>
    </row>
    <row r="22" customFormat="false" ht="15" hidden="false" customHeight="false" outlineLevel="0" collapsed="false">
      <c r="A22" s="6" t="s">
        <v>453</v>
      </c>
      <c r="B22" s="6" t="s">
        <v>225</v>
      </c>
      <c r="C22" s="7" t="n">
        <v>45291</v>
      </c>
      <c r="D22" s="6" t="s">
        <v>407</v>
      </c>
      <c r="E22" s="6" t="s">
        <v>381</v>
      </c>
      <c r="F22" s="6" t="s">
        <v>382</v>
      </c>
      <c r="G22" s="6" t="s">
        <v>454</v>
      </c>
      <c r="H22" s="9" t="n">
        <v>729695</v>
      </c>
      <c r="K22" s="6" t="s">
        <v>384</v>
      </c>
      <c r="L22" s="6" t="s">
        <v>13</v>
      </c>
      <c r="M22" s="6" t="s">
        <v>154</v>
      </c>
      <c r="N22" s="6" t="s">
        <v>455</v>
      </c>
      <c r="O22" s="6"/>
      <c r="P22" s="6"/>
    </row>
    <row r="23" customFormat="false" ht="15" hidden="false" customHeight="false" outlineLevel="0" collapsed="false">
      <c r="A23" s="6" t="s">
        <v>456</v>
      </c>
      <c r="B23" s="6" t="s">
        <v>161</v>
      </c>
      <c r="C23" s="7" t="n">
        <v>45382</v>
      </c>
      <c r="D23" s="6" t="s">
        <v>380</v>
      </c>
      <c r="E23" s="6" t="s">
        <v>381</v>
      </c>
      <c r="F23" s="6" t="s">
        <v>382</v>
      </c>
      <c r="G23" s="6" t="s">
        <v>457</v>
      </c>
      <c r="H23" s="9" t="n">
        <v>216913</v>
      </c>
      <c r="K23" s="6" t="s">
        <v>384</v>
      </c>
      <c r="L23" s="6" t="s">
        <v>13</v>
      </c>
      <c r="M23" s="6" t="s">
        <v>159</v>
      </c>
      <c r="N23" s="6" t="s">
        <v>458</v>
      </c>
      <c r="O23" s="6"/>
      <c r="P23" s="6"/>
    </row>
    <row r="24" customFormat="false" ht="15" hidden="false" customHeight="false" outlineLevel="0" collapsed="false">
      <c r="A24" s="6" t="s">
        <v>459</v>
      </c>
      <c r="B24" s="6" t="s">
        <v>166</v>
      </c>
      <c r="C24" s="7" t="n">
        <v>45473</v>
      </c>
      <c r="D24" s="6" t="s">
        <v>380</v>
      </c>
      <c r="E24" s="6" t="s">
        <v>381</v>
      </c>
      <c r="F24" s="6" t="s">
        <v>382</v>
      </c>
      <c r="G24" s="6" t="s">
        <v>460</v>
      </c>
      <c r="H24" s="9" t="n">
        <v>236106</v>
      </c>
      <c r="K24" s="6" t="s">
        <v>384</v>
      </c>
      <c r="L24" s="6" t="s">
        <v>13</v>
      </c>
      <c r="M24" s="6" t="s">
        <v>164</v>
      </c>
      <c r="N24" s="6" t="s">
        <v>461</v>
      </c>
      <c r="O24" s="6"/>
      <c r="P24" s="6"/>
    </row>
    <row r="25" customFormat="false" ht="15" hidden="false" customHeight="false" outlineLevel="0" collapsed="false">
      <c r="A25" s="6" t="s">
        <v>462</v>
      </c>
      <c r="B25" s="6" t="s">
        <v>241</v>
      </c>
      <c r="C25" s="7" t="n">
        <v>45473</v>
      </c>
      <c r="D25" s="6" t="s">
        <v>392</v>
      </c>
      <c r="E25" s="6" t="s">
        <v>381</v>
      </c>
      <c r="F25" s="6" t="s">
        <v>382</v>
      </c>
      <c r="G25" s="6" t="s">
        <v>463</v>
      </c>
      <c r="H25" s="9" t="n">
        <v>453019</v>
      </c>
      <c r="K25" s="6" t="s">
        <v>384</v>
      </c>
      <c r="L25" s="6" t="s">
        <v>13</v>
      </c>
      <c r="M25" s="6" t="s">
        <v>164</v>
      </c>
      <c r="N25" s="6" t="s">
        <v>464</v>
      </c>
      <c r="O25" s="6"/>
      <c r="P25" s="6"/>
    </row>
    <row r="26" customFormat="false" ht="15" hidden="false" customHeight="false" outlineLevel="0" collapsed="false">
      <c r="A26" s="6" t="s">
        <v>465</v>
      </c>
      <c r="B26" s="6" t="s">
        <v>171</v>
      </c>
      <c r="C26" s="7" t="n">
        <v>45565</v>
      </c>
      <c r="D26" s="6" t="s">
        <v>380</v>
      </c>
      <c r="E26" s="6" t="s">
        <v>381</v>
      </c>
      <c r="F26" s="6" t="s">
        <v>382</v>
      </c>
      <c r="G26" s="6" t="s">
        <v>466</v>
      </c>
      <c r="H26" s="9" t="n">
        <v>251000</v>
      </c>
      <c r="K26" s="6" t="s">
        <v>384</v>
      </c>
      <c r="L26" s="6" t="s">
        <v>13</v>
      </c>
      <c r="M26" s="6" t="s">
        <v>169</v>
      </c>
      <c r="N26" s="6" t="s">
        <v>467</v>
      </c>
      <c r="O26" s="6"/>
      <c r="P26" s="6"/>
    </row>
    <row r="27" customFormat="false" ht="15" hidden="false" customHeight="false" outlineLevel="0" collapsed="false">
      <c r="A27" s="6" t="s">
        <v>468</v>
      </c>
      <c r="B27" s="6" t="s">
        <v>469</v>
      </c>
      <c r="C27" s="7" t="n">
        <v>45565</v>
      </c>
      <c r="D27" s="6" t="s">
        <v>400</v>
      </c>
      <c r="E27" s="6" t="s">
        <v>381</v>
      </c>
      <c r="F27" s="6" t="s">
        <v>382</v>
      </c>
      <c r="G27" s="6" t="s">
        <v>470</v>
      </c>
      <c r="H27" s="9" t="n">
        <v>704019</v>
      </c>
      <c r="K27" s="6" t="s">
        <v>384</v>
      </c>
      <c r="L27" s="6" t="s">
        <v>13</v>
      </c>
      <c r="M27" s="6" t="s">
        <v>169</v>
      </c>
      <c r="N27" s="6" t="s">
        <v>471</v>
      </c>
      <c r="O27" s="6"/>
      <c r="P27" s="6"/>
    </row>
    <row r="28" customFormat="false" ht="15" hidden="false" customHeight="false" outlineLevel="0" collapsed="false">
      <c r="A28" s="6" t="s">
        <v>472</v>
      </c>
      <c r="B28" s="6" t="s">
        <v>176</v>
      </c>
      <c r="C28" s="7" t="n">
        <v>45657</v>
      </c>
      <c r="D28" s="6" t="s">
        <v>380</v>
      </c>
      <c r="E28" s="6" t="s">
        <v>381</v>
      </c>
      <c r="F28" s="6" t="s">
        <v>382</v>
      </c>
      <c r="G28" s="6" t="s">
        <v>473</v>
      </c>
      <c r="H28" s="9" t="n">
        <v>267976</v>
      </c>
      <c r="K28" s="6" t="s">
        <v>384</v>
      </c>
      <c r="L28" s="6" t="s">
        <v>13</v>
      </c>
      <c r="M28" s="6" t="s">
        <v>174</v>
      </c>
      <c r="N28" s="6" t="s">
        <v>474</v>
      </c>
      <c r="O28" s="6"/>
      <c r="P28" s="6"/>
    </row>
    <row r="29" customFormat="false" ht="15" hidden="false" customHeight="false" outlineLevel="0" collapsed="false">
      <c r="A29" s="6" t="s">
        <v>475</v>
      </c>
      <c r="B29" s="6" t="s">
        <v>230</v>
      </c>
      <c r="C29" s="7" t="n">
        <v>45657</v>
      </c>
      <c r="D29" s="6" t="s">
        <v>407</v>
      </c>
      <c r="E29" s="6" t="s">
        <v>381</v>
      </c>
      <c r="F29" s="6" t="s">
        <v>382</v>
      </c>
      <c r="G29" s="6" t="s">
        <v>476</v>
      </c>
      <c r="H29" s="9" t="n">
        <v>971995</v>
      </c>
      <c r="K29" s="6" t="s">
        <v>384</v>
      </c>
      <c r="L29" s="6" t="s">
        <v>13</v>
      </c>
      <c r="M29" s="6" t="s">
        <v>174</v>
      </c>
      <c r="N29" s="6" t="s">
        <v>477</v>
      </c>
      <c r="O29" s="6"/>
      <c r="P29" s="6"/>
    </row>
    <row r="30" customFormat="false" ht="15" hidden="false" customHeight="false" outlineLevel="0" collapsed="false">
      <c r="A30" s="6" t="s">
        <v>478</v>
      </c>
      <c r="B30" s="6" t="s">
        <v>181</v>
      </c>
      <c r="C30" s="7" t="n">
        <v>45747</v>
      </c>
      <c r="D30" s="6" t="s">
        <v>380</v>
      </c>
      <c r="E30" s="6" t="s">
        <v>381</v>
      </c>
      <c r="F30" s="6" t="s">
        <v>382</v>
      </c>
      <c r="G30" s="6" t="s">
        <v>479</v>
      </c>
      <c r="H30" s="9" t="n">
        <v>282250</v>
      </c>
      <c r="K30" s="6" t="s">
        <v>384</v>
      </c>
      <c r="L30" s="6" t="s">
        <v>13</v>
      </c>
      <c r="M30" s="6" t="s">
        <v>179</v>
      </c>
      <c r="N30" s="6" t="s">
        <v>480</v>
      </c>
      <c r="O30" s="6"/>
      <c r="P30" s="6"/>
    </row>
    <row r="31" customFormat="false" ht="15" hidden="false" customHeight="false" outlineLevel="0" collapsed="false">
      <c r="A31" s="6" t="s">
        <v>481</v>
      </c>
      <c r="B31" s="6" t="s">
        <v>186</v>
      </c>
      <c r="C31" s="7" t="n">
        <v>45838</v>
      </c>
      <c r="D31" s="6" t="s">
        <v>380</v>
      </c>
      <c r="E31" s="6" t="s">
        <v>381</v>
      </c>
      <c r="F31" s="6" t="s">
        <v>382</v>
      </c>
      <c r="G31" s="6" t="s">
        <v>482</v>
      </c>
      <c r="H31" s="9" t="n">
        <v>299014</v>
      </c>
      <c r="K31" s="6" t="s">
        <v>384</v>
      </c>
      <c r="L31" s="6" t="s">
        <v>13</v>
      </c>
      <c r="M31" s="6" t="s">
        <v>184</v>
      </c>
      <c r="N31" s="6" t="s">
        <v>483</v>
      </c>
      <c r="O31" s="6"/>
      <c r="P31" s="6"/>
    </row>
    <row r="32" customFormat="false" ht="15" hidden="false" customHeight="false" outlineLevel="0" collapsed="false">
      <c r="A32" s="6" t="s">
        <v>484</v>
      </c>
      <c r="B32" s="6" t="s">
        <v>255</v>
      </c>
      <c r="C32" s="7" t="n">
        <v>45838</v>
      </c>
      <c r="D32" s="6" t="s">
        <v>392</v>
      </c>
      <c r="E32" s="6" t="s">
        <v>381</v>
      </c>
      <c r="F32" s="6" t="s">
        <v>382</v>
      </c>
      <c r="G32" s="6" t="s">
        <v>485</v>
      </c>
      <c r="H32" s="9" t="n">
        <v>581264</v>
      </c>
      <c r="K32" s="6" t="s">
        <v>384</v>
      </c>
      <c r="L32" s="6" t="s">
        <v>13</v>
      </c>
      <c r="M32" s="6" t="s">
        <v>184</v>
      </c>
      <c r="N32" s="6" t="s">
        <v>486</v>
      </c>
      <c r="O32" s="6"/>
      <c r="P32" s="6"/>
    </row>
    <row r="33" customFormat="false" ht="15" hidden="false" customHeight="false" outlineLevel="0" collapsed="false">
      <c r="A33" s="6" t="s">
        <v>487</v>
      </c>
      <c r="B33" s="6" t="s">
        <v>191</v>
      </c>
      <c r="C33" s="7" t="n">
        <v>45930</v>
      </c>
      <c r="D33" s="6" t="s">
        <v>380</v>
      </c>
      <c r="E33" s="6" t="s">
        <v>381</v>
      </c>
      <c r="F33" s="6" t="s">
        <v>382</v>
      </c>
      <c r="G33" s="6" t="s">
        <v>488</v>
      </c>
      <c r="H33" s="9" t="n">
        <v>316855</v>
      </c>
      <c r="K33" s="6" t="s">
        <v>384</v>
      </c>
      <c r="L33" s="6" t="s">
        <v>13</v>
      </c>
      <c r="M33" s="6" t="s">
        <v>189</v>
      </c>
      <c r="N33" s="6" t="s">
        <v>489</v>
      </c>
      <c r="O33" s="6"/>
      <c r="P33" s="6"/>
    </row>
    <row r="34" customFormat="false" ht="15" hidden="false" customHeight="false" outlineLevel="0" collapsed="false">
      <c r="A34" s="6" t="s">
        <v>490</v>
      </c>
      <c r="B34" s="6" t="s">
        <v>491</v>
      </c>
      <c r="C34" s="7" t="n">
        <v>45930</v>
      </c>
      <c r="D34" s="6" t="s">
        <v>400</v>
      </c>
      <c r="E34" s="6" t="s">
        <v>381</v>
      </c>
      <c r="F34" s="6" t="s">
        <v>382</v>
      </c>
      <c r="G34" s="6" t="s">
        <v>492</v>
      </c>
      <c r="H34" s="9" t="n">
        <v>898119</v>
      </c>
      <c r="K34" s="6" t="s">
        <v>384</v>
      </c>
      <c r="L34" s="6" t="s">
        <v>13</v>
      </c>
      <c r="M34" s="6" t="s">
        <v>189</v>
      </c>
      <c r="N34" s="6" t="s">
        <v>493</v>
      </c>
      <c r="O34" s="6"/>
      <c r="P34" s="6"/>
    </row>
    <row r="35" customFormat="false" ht="15" hidden="false" customHeight="false" outlineLevel="0" collapsed="false">
      <c r="A35" s="6" t="s">
        <v>494</v>
      </c>
      <c r="B35" s="6" t="s">
        <v>196</v>
      </c>
      <c r="C35" s="7" t="n">
        <v>46022</v>
      </c>
      <c r="D35" s="6" t="s">
        <v>380</v>
      </c>
      <c r="E35" s="6" t="s">
        <v>381</v>
      </c>
      <c r="F35" s="6" t="s">
        <v>382</v>
      </c>
      <c r="G35" s="6" t="s">
        <v>495</v>
      </c>
      <c r="H35" s="9" t="n">
        <v>333878</v>
      </c>
      <c r="K35" s="6" t="s">
        <v>384</v>
      </c>
      <c r="L35" s="6" t="s">
        <v>13</v>
      </c>
      <c r="M35" s="6" t="s">
        <v>194</v>
      </c>
      <c r="N35" s="6" t="s">
        <v>496</v>
      </c>
      <c r="O35" s="6"/>
      <c r="P35" s="6"/>
    </row>
    <row r="36" customFormat="false" ht="15" hidden="false" customHeight="false" outlineLevel="0" collapsed="false">
      <c r="A36" s="6" t="s">
        <v>497</v>
      </c>
      <c r="B36" s="6" t="s">
        <v>235</v>
      </c>
      <c r="C36" s="7" t="n">
        <v>46022</v>
      </c>
      <c r="D36" s="6" t="s">
        <v>407</v>
      </c>
      <c r="E36" s="6" t="s">
        <v>381</v>
      </c>
      <c r="F36" s="6" t="s">
        <v>382</v>
      </c>
      <c r="G36" s="6" t="s">
        <v>498</v>
      </c>
      <c r="H36" s="9" t="n">
        <v>1231997</v>
      </c>
      <c r="K36" s="6" t="s">
        <v>384</v>
      </c>
      <c r="L36" s="6" t="s">
        <v>13</v>
      </c>
      <c r="M36" s="6" t="s">
        <v>194</v>
      </c>
      <c r="N36" s="6" t="s">
        <v>499</v>
      </c>
      <c r="O36" s="6"/>
      <c r="P36" s="6"/>
    </row>
    <row r="37" customFormat="false" ht="15" hidden="false" customHeight="false" outlineLevel="0" collapsed="false">
      <c r="A37" s="6" t="s">
        <v>500</v>
      </c>
      <c r="B37" s="6" t="s">
        <v>201</v>
      </c>
      <c r="C37" s="7" t="n">
        <v>46112</v>
      </c>
      <c r="D37" s="6" t="s">
        <v>380</v>
      </c>
      <c r="E37" s="6" t="s">
        <v>381</v>
      </c>
      <c r="F37" s="6" t="s">
        <v>382</v>
      </c>
      <c r="G37" s="6" t="s">
        <v>501</v>
      </c>
      <c r="H37" s="9" t="n">
        <v>351265</v>
      </c>
      <c r="K37" s="6" t="s">
        <v>384</v>
      </c>
      <c r="L37" s="6" t="s">
        <v>13</v>
      </c>
      <c r="M37" s="6" t="s">
        <v>199</v>
      </c>
      <c r="N37" s="6" t="s">
        <v>502</v>
      </c>
      <c r="O37" s="6"/>
      <c r="P37" s="6"/>
    </row>
    <row r="38" customFormat="false" ht="15" hidden="false" customHeight="false" outlineLevel="0" collapsed="false">
      <c r="A38" s="6" t="s">
        <v>503</v>
      </c>
      <c r="B38" s="6" t="s">
        <v>206</v>
      </c>
      <c r="C38" s="7" t="n">
        <v>46203</v>
      </c>
      <c r="D38" s="6" t="s">
        <v>380</v>
      </c>
      <c r="E38" s="6" t="s">
        <v>381</v>
      </c>
      <c r="F38" s="6" t="s">
        <v>382</v>
      </c>
      <c r="G38" s="6" t="s">
        <v>504</v>
      </c>
      <c r="H38" s="9" t="n">
        <v>364621</v>
      </c>
      <c r="K38" s="6" t="s">
        <v>384</v>
      </c>
      <c r="L38" s="6" t="s">
        <v>13</v>
      </c>
      <c r="M38" s="6" t="s">
        <v>204</v>
      </c>
      <c r="N38" s="6" t="s">
        <v>505</v>
      </c>
      <c r="O38" s="6"/>
      <c r="P38" s="6"/>
    </row>
    <row r="39" customFormat="false" ht="15" hidden="false" customHeight="false" outlineLevel="0" collapsed="false">
      <c r="A39" s="6" t="s">
        <v>506</v>
      </c>
      <c r="B39" s="6" t="s">
        <v>263</v>
      </c>
      <c r="C39" s="7" t="n">
        <v>46203</v>
      </c>
      <c r="D39" s="6" t="s">
        <v>392</v>
      </c>
      <c r="E39" s="6" t="s">
        <v>381</v>
      </c>
      <c r="F39" s="6" t="s">
        <v>382</v>
      </c>
      <c r="G39" s="6" t="s">
        <v>507</v>
      </c>
      <c r="H39" s="9" t="n">
        <v>715886</v>
      </c>
      <c r="K39" s="6" t="s">
        <v>384</v>
      </c>
      <c r="L39" s="6" t="s">
        <v>13</v>
      </c>
      <c r="M39" s="6" t="s">
        <v>204</v>
      </c>
      <c r="N39" s="6" t="s">
        <v>508</v>
      </c>
      <c r="O39" s="6"/>
      <c r="P39" s="6"/>
    </row>
    <row r="40" customFormat="false" ht="15" hidden="false" customHeight="false" outlineLevel="0" collapsed="false">
      <c r="A40" s="6" t="s">
        <v>509</v>
      </c>
      <c r="B40" s="6" t="s">
        <v>379</v>
      </c>
      <c r="C40" s="7" t="n">
        <v>44286</v>
      </c>
      <c r="D40" s="6" t="s">
        <v>380</v>
      </c>
      <c r="E40" s="6" t="s">
        <v>381</v>
      </c>
      <c r="F40" s="6" t="s">
        <v>510</v>
      </c>
      <c r="G40" s="6" t="s">
        <v>511</v>
      </c>
      <c r="H40" s="9" t="n">
        <v>7924</v>
      </c>
      <c r="K40" s="6" t="s">
        <v>384</v>
      </c>
      <c r="L40" s="6" t="s">
        <v>13</v>
      </c>
      <c r="M40" s="6" t="s">
        <v>119</v>
      </c>
      <c r="N40" s="6" t="s">
        <v>512</v>
      </c>
      <c r="O40" s="6"/>
      <c r="P40" s="6" t="s">
        <v>386</v>
      </c>
    </row>
    <row r="41" customFormat="false" ht="15" hidden="false" customHeight="false" outlineLevel="0" collapsed="false">
      <c r="A41" s="6" t="s">
        <v>513</v>
      </c>
      <c r="B41" s="6" t="s">
        <v>103</v>
      </c>
      <c r="C41" s="7" t="n">
        <v>44377</v>
      </c>
      <c r="D41" s="6" t="s">
        <v>380</v>
      </c>
      <c r="E41" s="6" t="s">
        <v>381</v>
      </c>
      <c r="F41" s="6" t="s">
        <v>510</v>
      </c>
      <c r="G41" s="6" t="s">
        <v>514</v>
      </c>
      <c r="H41" s="9" t="n">
        <v>9108</v>
      </c>
      <c r="K41" s="6" t="s">
        <v>384</v>
      </c>
      <c r="L41" s="6" t="s">
        <v>13</v>
      </c>
      <c r="M41" s="6" t="s">
        <v>100</v>
      </c>
      <c r="N41" s="6" t="s">
        <v>515</v>
      </c>
      <c r="O41" s="6"/>
      <c r="P41" s="6"/>
    </row>
    <row r="42" customFormat="false" ht="15" hidden="false" customHeight="false" outlineLevel="0" collapsed="false">
      <c r="A42" s="6" t="s">
        <v>516</v>
      </c>
      <c r="B42" s="6" t="s">
        <v>391</v>
      </c>
      <c r="C42" s="7" t="n">
        <v>44377</v>
      </c>
      <c r="D42" s="6" t="s">
        <v>392</v>
      </c>
      <c r="E42" s="6" t="s">
        <v>381</v>
      </c>
      <c r="F42" s="6" t="s">
        <v>510</v>
      </c>
      <c r="G42" s="6" t="s">
        <v>517</v>
      </c>
      <c r="H42" s="9" t="n">
        <v>17032</v>
      </c>
      <c r="K42" s="6" t="s">
        <v>384</v>
      </c>
      <c r="L42" s="6" t="s">
        <v>13</v>
      </c>
      <c r="M42" s="6" t="s">
        <v>100</v>
      </c>
      <c r="N42" s="6" t="s">
        <v>518</v>
      </c>
      <c r="O42" s="6"/>
      <c r="P42" s="6"/>
    </row>
    <row r="43" customFormat="false" ht="15" hidden="false" customHeight="false" outlineLevel="0" collapsed="false">
      <c r="A43" s="6" t="s">
        <v>519</v>
      </c>
      <c r="B43" s="6" t="s">
        <v>111</v>
      </c>
      <c r="C43" s="7" t="n">
        <v>44469</v>
      </c>
      <c r="D43" s="6" t="s">
        <v>380</v>
      </c>
      <c r="E43" s="6" t="s">
        <v>381</v>
      </c>
      <c r="F43" s="6" t="s">
        <v>510</v>
      </c>
      <c r="G43" s="6" t="s">
        <v>520</v>
      </c>
      <c r="H43" s="9" t="n">
        <v>10213</v>
      </c>
      <c r="K43" s="6" t="s">
        <v>384</v>
      </c>
      <c r="L43" s="6" t="s">
        <v>13</v>
      </c>
      <c r="M43" s="6" t="s">
        <v>109</v>
      </c>
      <c r="N43" s="6" t="s">
        <v>521</v>
      </c>
      <c r="O43" s="6"/>
      <c r="P43" s="6"/>
    </row>
    <row r="44" customFormat="false" ht="15" hidden="false" customHeight="false" outlineLevel="0" collapsed="false">
      <c r="A44" s="6" t="s">
        <v>522</v>
      </c>
      <c r="B44" s="6" t="s">
        <v>399</v>
      </c>
      <c r="C44" s="7" t="n">
        <v>44469</v>
      </c>
      <c r="D44" s="6" t="s">
        <v>400</v>
      </c>
      <c r="E44" s="6" t="s">
        <v>381</v>
      </c>
      <c r="F44" s="6" t="s">
        <v>510</v>
      </c>
      <c r="G44" s="6" t="s">
        <v>523</v>
      </c>
      <c r="H44" s="9" t="n">
        <v>27245</v>
      </c>
      <c r="K44" s="6" t="s">
        <v>384</v>
      </c>
      <c r="L44" s="6" t="s">
        <v>13</v>
      </c>
      <c r="M44" s="6" t="s">
        <v>109</v>
      </c>
      <c r="N44" s="6" t="s">
        <v>524</v>
      </c>
      <c r="O44" s="6"/>
      <c r="P44" s="6"/>
    </row>
    <row r="45" customFormat="false" ht="15" hidden="false" customHeight="false" outlineLevel="0" collapsed="false">
      <c r="A45" s="6" t="s">
        <v>525</v>
      </c>
      <c r="B45" s="6" t="s">
        <v>116</v>
      </c>
      <c r="C45" s="7" t="n">
        <v>44561</v>
      </c>
      <c r="D45" s="6" t="s">
        <v>380</v>
      </c>
      <c r="E45" s="6" t="s">
        <v>381</v>
      </c>
      <c r="F45" s="6" t="s">
        <v>510</v>
      </c>
      <c r="G45" s="6" t="s">
        <v>526</v>
      </c>
      <c r="H45" s="9" t="n">
        <v>11768</v>
      </c>
      <c r="K45" s="6" t="s">
        <v>384</v>
      </c>
      <c r="L45" s="6" t="s">
        <v>13</v>
      </c>
      <c r="M45" s="6" t="s">
        <v>114</v>
      </c>
      <c r="N45" s="6" t="s">
        <v>527</v>
      </c>
      <c r="O45" s="6"/>
      <c r="P45" s="6"/>
    </row>
    <row r="46" customFormat="false" ht="15" hidden="false" customHeight="false" outlineLevel="0" collapsed="false">
      <c r="A46" s="6" t="s">
        <v>528</v>
      </c>
      <c r="B46" s="6" t="s">
        <v>212</v>
      </c>
      <c r="C46" s="7" t="n">
        <v>44561</v>
      </c>
      <c r="D46" s="6" t="s">
        <v>407</v>
      </c>
      <c r="E46" s="6" t="s">
        <v>381</v>
      </c>
      <c r="F46" s="6" t="s">
        <v>510</v>
      </c>
      <c r="G46" s="6" t="s">
        <v>529</v>
      </c>
      <c r="H46" s="9" t="n">
        <v>39013</v>
      </c>
      <c r="K46" s="6" t="s">
        <v>384</v>
      </c>
      <c r="L46" s="6" t="s">
        <v>13</v>
      </c>
      <c r="M46" s="6" t="s">
        <v>114</v>
      </c>
      <c r="N46" s="6" t="s">
        <v>530</v>
      </c>
      <c r="O46" s="6"/>
      <c r="P46" s="6"/>
    </row>
    <row r="47" customFormat="false" ht="15" hidden="false" customHeight="false" outlineLevel="0" collapsed="false">
      <c r="A47" s="6" t="s">
        <v>531</v>
      </c>
      <c r="B47" s="6" t="s">
        <v>121</v>
      </c>
      <c r="C47" s="7" t="n">
        <v>44651</v>
      </c>
      <c r="D47" s="6" t="s">
        <v>380</v>
      </c>
      <c r="E47" s="6" t="s">
        <v>381</v>
      </c>
      <c r="F47" s="6" t="s">
        <v>510</v>
      </c>
      <c r="G47" s="6" t="s">
        <v>532</v>
      </c>
      <c r="H47" s="9" t="n">
        <v>14609</v>
      </c>
      <c r="K47" s="6" t="s">
        <v>384</v>
      </c>
      <c r="L47" s="6" t="s">
        <v>13</v>
      </c>
      <c r="M47" s="6" t="s">
        <v>119</v>
      </c>
      <c r="N47" s="6" t="s">
        <v>533</v>
      </c>
      <c r="O47" s="6"/>
      <c r="P47" s="6"/>
    </row>
    <row r="48" customFormat="false" ht="15" hidden="false" customHeight="false" outlineLevel="0" collapsed="false">
      <c r="A48" s="6" t="s">
        <v>534</v>
      </c>
      <c r="B48" s="6" t="s">
        <v>126</v>
      </c>
      <c r="C48" s="7" t="n">
        <v>44742</v>
      </c>
      <c r="D48" s="6" t="s">
        <v>380</v>
      </c>
      <c r="E48" s="6" t="s">
        <v>381</v>
      </c>
      <c r="F48" s="6" t="s">
        <v>510</v>
      </c>
      <c r="G48" s="6" t="s">
        <v>535</v>
      </c>
      <c r="H48" s="9" t="n">
        <v>16730</v>
      </c>
      <c r="K48" s="6" t="s">
        <v>384</v>
      </c>
      <c r="L48" s="6" t="s">
        <v>13</v>
      </c>
      <c r="M48" s="6" t="s">
        <v>124</v>
      </c>
      <c r="N48" s="6" t="s">
        <v>536</v>
      </c>
      <c r="O48" s="6"/>
      <c r="P48" s="6"/>
    </row>
    <row r="49" customFormat="false" ht="15" hidden="false" customHeight="false" outlineLevel="0" collapsed="false">
      <c r="A49" s="6" t="s">
        <v>537</v>
      </c>
      <c r="B49" s="6" t="s">
        <v>417</v>
      </c>
      <c r="C49" s="7" t="n">
        <v>44742</v>
      </c>
      <c r="D49" s="6" t="s">
        <v>392</v>
      </c>
      <c r="E49" s="6" t="s">
        <v>381</v>
      </c>
      <c r="F49" s="6" t="s">
        <v>510</v>
      </c>
      <c r="G49" s="6" t="s">
        <v>538</v>
      </c>
      <c r="H49" s="9" t="n">
        <v>31339</v>
      </c>
      <c r="K49" s="6" t="s">
        <v>384</v>
      </c>
      <c r="L49" s="6" t="s">
        <v>13</v>
      </c>
      <c r="M49" s="6" t="s">
        <v>124</v>
      </c>
      <c r="N49" s="6" t="s">
        <v>539</v>
      </c>
      <c r="O49" s="6"/>
      <c r="P49" s="6"/>
    </row>
    <row r="50" customFormat="false" ht="15" hidden="false" customHeight="false" outlineLevel="0" collapsed="false">
      <c r="A50" s="6" t="s">
        <v>540</v>
      </c>
      <c r="B50" s="6" t="s">
        <v>131</v>
      </c>
      <c r="C50" s="7" t="n">
        <v>44834</v>
      </c>
      <c r="D50" s="6" t="s">
        <v>380</v>
      </c>
      <c r="E50" s="6" t="s">
        <v>381</v>
      </c>
      <c r="F50" s="6" t="s">
        <v>510</v>
      </c>
      <c r="G50" s="6" t="s">
        <v>541</v>
      </c>
      <c r="H50" s="9" t="n">
        <v>17830</v>
      </c>
      <c r="K50" s="6" t="s">
        <v>384</v>
      </c>
      <c r="L50" s="6" t="s">
        <v>13</v>
      </c>
      <c r="M50" s="6" t="s">
        <v>129</v>
      </c>
      <c r="N50" s="6" t="s">
        <v>542</v>
      </c>
      <c r="O50" s="6"/>
      <c r="P50" s="6"/>
    </row>
    <row r="51" customFormat="false" ht="15" hidden="false" customHeight="false" outlineLevel="0" collapsed="false">
      <c r="A51" s="6" t="s">
        <v>543</v>
      </c>
      <c r="B51" s="6" t="s">
        <v>424</v>
      </c>
      <c r="C51" s="7" t="n">
        <v>44834</v>
      </c>
      <c r="D51" s="6" t="s">
        <v>400</v>
      </c>
      <c r="E51" s="6" t="s">
        <v>381</v>
      </c>
      <c r="F51" s="6" t="s">
        <v>510</v>
      </c>
      <c r="G51" s="6" t="s">
        <v>544</v>
      </c>
      <c r="H51" s="9" t="n">
        <v>49169</v>
      </c>
      <c r="K51" s="6" t="s">
        <v>384</v>
      </c>
      <c r="L51" s="6" t="s">
        <v>13</v>
      </c>
      <c r="M51" s="6" t="s">
        <v>129</v>
      </c>
      <c r="N51" s="6" t="s">
        <v>545</v>
      </c>
      <c r="O51" s="6"/>
      <c r="P51" s="6"/>
    </row>
    <row r="52" customFormat="false" ht="15" hidden="false" customHeight="false" outlineLevel="0" collapsed="false">
      <c r="A52" s="6" t="s">
        <v>546</v>
      </c>
      <c r="B52" s="6" t="s">
        <v>136</v>
      </c>
      <c r="C52" s="7" t="n">
        <v>44926</v>
      </c>
      <c r="D52" s="6" t="s">
        <v>380</v>
      </c>
      <c r="E52" s="6" t="s">
        <v>381</v>
      </c>
      <c r="F52" s="6" t="s">
        <v>510</v>
      </c>
      <c r="G52" s="6" t="s">
        <v>547</v>
      </c>
      <c r="H52" s="9" t="n">
        <v>17359</v>
      </c>
      <c r="K52" s="6" t="s">
        <v>384</v>
      </c>
      <c r="L52" s="6" t="s">
        <v>13</v>
      </c>
      <c r="M52" s="6" t="s">
        <v>134</v>
      </c>
      <c r="N52" s="6" t="s">
        <v>548</v>
      </c>
      <c r="O52" s="6"/>
      <c r="P52" s="6"/>
    </row>
    <row r="53" customFormat="false" ht="15" hidden="false" customHeight="false" outlineLevel="0" collapsed="false">
      <c r="A53" s="6" t="s">
        <v>549</v>
      </c>
      <c r="B53" s="6" t="s">
        <v>220</v>
      </c>
      <c r="C53" s="7" t="n">
        <v>44926</v>
      </c>
      <c r="D53" s="6" t="s">
        <v>407</v>
      </c>
      <c r="E53" s="6" t="s">
        <v>381</v>
      </c>
      <c r="F53" s="6" t="s">
        <v>510</v>
      </c>
      <c r="G53" s="6" t="s">
        <v>550</v>
      </c>
      <c r="H53" s="9" t="n">
        <v>66528</v>
      </c>
      <c r="K53" s="6" t="s">
        <v>384</v>
      </c>
      <c r="L53" s="6" t="s">
        <v>13</v>
      </c>
      <c r="M53" s="6" t="s">
        <v>134</v>
      </c>
      <c r="N53" s="6" t="s">
        <v>551</v>
      </c>
      <c r="O53" s="6"/>
      <c r="P53" s="6"/>
    </row>
    <row r="54" customFormat="false" ht="15" hidden="false" customHeight="false" outlineLevel="0" collapsed="false">
      <c r="A54" s="6" t="s">
        <v>552</v>
      </c>
      <c r="B54" s="6" t="s">
        <v>141</v>
      </c>
      <c r="C54" s="7" t="n">
        <v>45016</v>
      </c>
      <c r="D54" s="6" t="s">
        <v>380</v>
      </c>
      <c r="E54" s="6" t="s">
        <v>381</v>
      </c>
      <c r="F54" s="6" t="s">
        <v>510</v>
      </c>
      <c r="G54" s="6" t="s">
        <v>553</v>
      </c>
      <c r="H54" s="9" t="n">
        <v>17014</v>
      </c>
      <c r="K54" s="6" t="s">
        <v>384</v>
      </c>
      <c r="L54" s="6" t="s">
        <v>13</v>
      </c>
      <c r="M54" s="6" t="s">
        <v>139</v>
      </c>
      <c r="N54" s="6" t="s">
        <v>554</v>
      </c>
      <c r="O54" s="6"/>
      <c r="P54" s="6"/>
    </row>
    <row r="55" customFormat="false" ht="15" hidden="false" customHeight="false" outlineLevel="0" collapsed="false">
      <c r="A55" s="6" t="s">
        <v>555</v>
      </c>
      <c r="B55" s="6" t="s">
        <v>146</v>
      </c>
      <c r="C55" s="7" t="n">
        <v>45107</v>
      </c>
      <c r="D55" s="6" t="s">
        <v>380</v>
      </c>
      <c r="E55" s="6" t="s">
        <v>381</v>
      </c>
      <c r="F55" s="6" t="s">
        <v>510</v>
      </c>
      <c r="G55" s="6" t="s">
        <v>556</v>
      </c>
      <c r="H55" s="9" t="n">
        <v>19516</v>
      </c>
      <c r="K55" s="6" t="s">
        <v>384</v>
      </c>
      <c r="L55" s="6" t="s">
        <v>13</v>
      </c>
      <c r="M55" s="6" t="s">
        <v>144</v>
      </c>
      <c r="N55" s="6" t="s">
        <v>557</v>
      </c>
      <c r="O55" s="6"/>
      <c r="P55" s="6"/>
    </row>
    <row r="56" customFormat="false" ht="15" hidden="false" customHeight="false" outlineLevel="0" collapsed="false">
      <c r="A56" s="6" t="s">
        <v>558</v>
      </c>
      <c r="B56" s="6" t="s">
        <v>440</v>
      </c>
      <c r="C56" s="7" t="n">
        <v>45107</v>
      </c>
      <c r="D56" s="6" t="s">
        <v>392</v>
      </c>
      <c r="E56" s="6" t="s">
        <v>381</v>
      </c>
      <c r="F56" s="6" t="s">
        <v>510</v>
      </c>
      <c r="G56" s="6" t="s">
        <v>559</v>
      </c>
      <c r="H56" s="9" t="n">
        <v>36530</v>
      </c>
      <c r="K56" s="6" t="s">
        <v>384</v>
      </c>
      <c r="L56" s="6" t="s">
        <v>13</v>
      </c>
      <c r="M56" s="6" t="s">
        <v>144</v>
      </c>
      <c r="N56" s="6" t="s">
        <v>560</v>
      </c>
      <c r="O56" s="6"/>
      <c r="P56" s="6"/>
    </row>
    <row r="57" customFormat="false" ht="15" hidden="false" customHeight="false" outlineLevel="0" collapsed="false">
      <c r="A57" s="6" t="s">
        <v>561</v>
      </c>
      <c r="B57" s="6" t="s">
        <v>151</v>
      </c>
      <c r="C57" s="7" t="n">
        <v>45199</v>
      </c>
      <c r="D57" s="6" t="s">
        <v>380</v>
      </c>
      <c r="E57" s="6" t="s">
        <v>381</v>
      </c>
      <c r="F57" s="6" t="s">
        <v>510</v>
      </c>
      <c r="G57" s="6" t="s">
        <v>562</v>
      </c>
      <c r="H57" s="9" t="n">
        <v>21707</v>
      </c>
      <c r="K57" s="6" t="s">
        <v>384</v>
      </c>
      <c r="L57" s="6" t="s">
        <v>13</v>
      </c>
      <c r="M57" s="6" t="s">
        <v>149</v>
      </c>
      <c r="N57" s="6" t="s">
        <v>563</v>
      </c>
      <c r="O57" s="6"/>
      <c r="P57" s="6"/>
    </row>
    <row r="58" customFormat="false" ht="15" hidden="false" customHeight="false" outlineLevel="0" collapsed="false">
      <c r="A58" s="6" t="s">
        <v>564</v>
      </c>
      <c r="B58" s="6" t="s">
        <v>447</v>
      </c>
      <c r="C58" s="7" t="n">
        <v>45199</v>
      </c>
      <c r="D58" s="6" t="s">
        <v>400</v>
      </c>
      <c r="E58" s="6" t="s">
        <v>381</v>
      </c>
      <c r="F58" s="6" t="s">
        <v>510</v>
      </c>
      <c r="G58" s="6" t="s">
        <v>565</v>
      </c>
      <c r="H58" s="9" t="n">
        <v>58237</v>
      </c>
      <c r="K58" s="6" t="s">
        <v>384</v>
      </c>
      <c r="L58" s="6" t="s">
        <v>13</v>
      </c>
      <c r="M58" s="6" t="s">
        <v>149</v>
      </c>
      <c r="N58" s="6" t="s">
        <v>566</v>
      </c>
      <c r="O58" s="6"/>
      <c r="P58" s="6"/>
    </row>
    <row r="59" customFormat="false" ht="15" hidden="false" customHeight="false" outlineLevel="0" collapsed="false">
      <c r="A59" s="6" t="s">
        <v>567</v>
      </c>
      <c r="B59" s="6" t="s">
        <v>156</v>
      </c>
      <c r="C59" s="7" t="n">
        <v>45291</v>
      </c>
      <c r="D59" s="6" t="s">
        <v>380</v>
      </c>
      <c r="E59" s="6" t="s">
        <v>381</v>
      </c>
      <c r="F59" s="6" t="s">
        <v>510</v>
      </c>
      <c r="G59" s="6" t="s">
        <v>568</v>
      </c>
      <c r="H59" s="9" t="n">
        <v>22408</v>
      </c>
      <c r="K59" s="6" t="s">
        <v>384</v>
      </c>
      <c r="L59" s="6" t="s">
        <v>13</v>
      </c>
      <c r="M59" s="6" t="s">
        <v>154</v>
      </c>
      <c r="N59" s="6" t="s">
        <v>569</v>
      </c>
      <c r="O59" s="6"/>
      <c r="P59" s="6"/>
    </row>
    <row r="60" customFormat="false" ht="15" hidden="false" customHeight="false" outlineLevel="0" collapsed="false">
      <c r="A60" s="6" t="s">
        <v>570</v>
      </c>
      <c r="B60" s="6" t="s">
        <v>225</v>
      </c>
      <c r="C60" s="7" t="n">
        <v>45291</v>
      </c>
      <c r="D60" s="6" t="s">
        <v>407</v>
      </c>
      <c r="E60" s="6" t="s">
        <v>381</v>
      </c>
      <c r="F60" s="6" t="s">
        <v>510</v>
      </c>
      <c r="G60" s="6" t="s">
        <v>571</v>
      </c>
      <c r="H60" s="9" t="n">
        <v>80645</v>
      </c>
      <c r="K60" s="6" t="s">
        <v>384</v>
      </c>
      <c r="L60" s="6" t="s">
        <v>13</v>
      </c>
      <c r="M60" s="6" t="s">
        <v>154</v>
      </c>
      <c r="N60" s="6" t="s">
        <v>572</v>
      </c>
      <c r="O60" s="6"/>
      <c r="P60" s="6"/>
    </row>
    <row r="61" customFormat="false" ht="15" hidden="false" customHeight="false" outlineLevel="0" collapsed="false">
      <c r="A61" s="6" t="s">
        <v>573</v>
      </c>
      <c r="B61" s="6" t="s">
        <v>161</v>
      </c>
      <c r="C61" s="7" t="n">
        <v>45382</v>
      </c>
      <c r="D61" s="6" t="s">
        <v>380</v>
      </c>
      <c r="E61" s="6" t="s">
        <v>381</v>
      </c>
      <c r="F61" s="6" t="s">
        <v>510</v>
      </c>
      <c r="G61" s="6" t="s">
        <v>574</v>
      </c>
      <c r="H61" s="9" t="n">
        <v>23454</v>
      </c>
      <c r="K61" s="6" t="s">
        <v>384</v>
      </c>
      <c r="L61" s="6" t="s">
        <v>13</v>
      </c>
      <c r="M61" s="6" t="s">
        <v>159</v>
      </c>
      <c r="N61" s="6" t="s">
        <v>575</v>
      </c>
      <c r="O61" s="6"/>
      <c r="P61" s="6"/>
    </row>
    <row r="62" customFormat="false" ht="15" hidden="false" customHeight="false" outlineLevel="0" collapsed="false">
      <c r="A62" s="6" t="s">
        <v>576</v>
      </c>
      <c r="B62" s="6" t="s">
        <v>166</v>
      </c>
      <c r="C62" s="7" t="n">
        <v>45473</v>
      </c>
      <c r="D62" s="6" t="s">
        <v>380</v>
      </c>
      <c r="E62" s="6" t="s">
        <v>381</v>
      </c>
      <c r="F62" s="6" t="s">
        <v>510</v>
      </c>
      <c r="G62" s="6" t="s">
        <v>577</v>
      </c>
      <c r="H62" s="9" t="n">
        <v>23763</v>
      </c>
      <c r="K62" s="6" t="s">
        <v>384</v>
      </c>
      <c r="L62" s="6" t="s">
        <v>13</v>
      </c>
      <c r="M62" s="6" t="s">
        <v>164</v>
      </c>
      <c r="N62" s="6" t="s">
        <v>578</v>
      </c>
      <c r="O62" s="6"/>
      <c r="P62" s="6"/>
    </row>
    <row r="63" customFormat="false" ht="15" hidden="false" customHeight="false" outlineLevel="0" collapsed="false">
      <c r="A63" s="6" t="s">
        <v>579</v>
      </c>
      <c r="B63" s="6" t="s">
        <v>241</v>
      </c>
      <c r="C63" s="7" t="n">
        <v>45473</v>
      </c>
      <c r="D63" s="6" t="s">
        <v>392</v>
      </c>
      <c r="E63" s="6" t="s">
        <v>381</v>
      </c>
      <c r="F63" s="6" t="s">
        <v>510</v>
      </c>
      <c r="G63" s="6" t="s">
        <v>580</v>
      </c>
      <c r="H63" s="9" t="n">
        <v>47217</v>
      </c>
      <c r="K63" s="6" t="s">
        <v>384</v>
      </c>
      <c r="L63" s="6" t="s">
        <v>13</v>
      </c>
      <c r="M63" s="6" t="s">
        <v>164</v>
      </c>
      <c r="N63" s="6" t="s">
        <v>581</v>
      </c>
      <c r="O63" s="6"/>
      <c r="P63" s="6"/>
    </row>
    <row r="64" customFormat="false" ht="15" hidden="false" customHeight="false" outlineLevel="0" collapsed="false">
      <c r="A64" s="6" t="s">
        <v>582</v>
      </c>
      <c r="B64" s="6" t="s">
        <v>171</v>
      </c>
      <c r="C64" s="7" t="n">
        <v>45565</v>
      </c>
      <c r="D64" s="6" t="s">
        <v>380</v>
      </c>
      <c r="E64" s="6" t="s">
        <v>381</v>
      </c>
      <c r="F64" s="6" t="s">
        <v>510</v>
      </c>
      <c r="G64" s="6" t="s">
        <v>583</v>
      </c>
      <c r="H64" s="9" t="n">
        <v>25972</v>
      </c>
      <c r="K64" s="6" t="s">
        <v>384</v>
      </c>
      <c r="L64" s="6" t="s">
        <v>13</v>
      </c>
      <c r="M64" s="6" t="s">
        <v>169</v>
      </c>
      <c r="N64" s="6" t="s">
        <v>584</v>
      </c>
      <c r="O64" s="6"/>
      <c r="P64" s="6"/>
    </row>
    <row r="65" customFormat="false" ht="15" hidden="false" customHeight="false" outlineLevel="0" collapsed="false">
      <c r="A65" s="6" t="s">
        <v>585</v>
      </c>
      <c r="B65" s="6" t="s">
        <v>469</v>
      </c>
      <c r="C65" s="7" t="n">
        <v>45565</v>
      </c>
      <c r="D65" s="6" t="s">
        <v>400</v>
      </c>
      <c r="E65" s="6" t="s">
        <v>381</v>
      </c>
      <c r="F65" s="6" t="s">
        <v>510</v>
      </c>
      <c r="G65" s="6" t="s">
        <v>586</v>
      </c>
      <c r="H65" s="9" t="n">
        <v>73189</v>
      </c>
      <c r="K65" s="6" t="s">
        <v>384</v>
      </c>
      <c r="L65" s="6" t="s">
        <v>13</v>
      </c>
      <c r="M65" s="6" t="s">
        <v>169</v>
      </c>
      <c r="N65" s="6" t="s">
        <v>587</v>
      </c>
      <c r="O65" s="6"/>
      <c r="P65" s="6"/>
    </row>
    <row r="66" customFormat="false" ht="15" hidden="false" customHeight="false" outlineLevel="0" collapsed="false">
      <c r="A66" s="6" t="s">
        <v>588</v>
      </c>
      <c r="B66" s="6" t="s">
        <v>176</v>
      </c>
      <c r="C66" s="7" t="n">
        <v>45657</v>
      </c>
      <c r="D66" s="6" t="s">
        <v>380</v>
      </c>
      <c r="E66" s="6" t="s">
        <v>381</v>
      </c>
      <c r="F66" s="6" t="s">
        <v>510</v>
      </c>
      <c r="G66" s="6" t="s">
        <v>589</v>
      </c>
      <c r="H66" s="9" t="n">
        <v>30502</v>
      </c>
      <c r="K66" s="6" t="s">
        <v>384</v>
      </c>
      <c r="L66" s="6" t="s">
        <v>13</v>
      </c>
      <c r="M66" s="6" t="s">
        <v>174</v>
      </c>
      <c r="N66" s="6" t="s">
        <v>590</v>
      </c>
      <c r="O66" s="6"/>
      <c r="P66" s="6"/>
    </row>
    <row r="67" customFormat="false" ht="15" hidden="false" customHeight="false" outlineLevel="0" collapsed="false">
      <c r="A67" s="6" t="s">
        <v>591</v>
      </c>
      <c r="B67" s="6" t="s">
        <v>230</v>
      </c>
      <c r="C67" s="7" t="n">
        <v>45657</v>
      </c>
      <c r="D67" s="6" t="s">
        <v>407</v>
      </c>
      <c r="E67" s="6" t="s">
        <v>381</v>
      </c>
      <c r="F67" s="6" t="s">
        <v>510</v>
      </c>
      <c r="G67" s="6" t="s">
        <v>592</v>
      </c>
      <c r="H67" s="9" t="n">
        <v>103691</v>
      </c>
      <c r="K67" s="6" t="s">
        <v>384</v>
      </c>
      <c r="L67" s="6" t="s">
        <v>13</v>
      </c>
      <c r="M67" s="6" t="s">
        <v>174</v>
      </c>
      <c r="N67" s="6" t="s">
        <v>593</v>
      </c>
      <c r="O67" s="6"/>
      <c r="P67" s="6"/>
    </row>
    <row r="68" customFormat="false" ht="15" hidden="false" customHeight="false" outlineLevel="0" collapsed="false">
      <c r="A68" s="6" t="s">
        <v>594</v>
      </c>
      <c r="B68" s="6" t="s">
        <v>181</v>
      </c>
      <c r="C68" s="7" t="n">
        <v>45747</v>
      </c>
      <c r="D68" s="6" t="s">
        <v>380</v>
      </c>
      <c r="E68" s="6" t="s">
        <v>381</v>
      </c>
      <c r="F68" s="6" t="s">
        <v>510</v>
      </c>
      <c r="G68" s="6" t="s">
        <v>595</v>
      </c>
      <c r="H68" s="9" t="n">
        <v>28805</v>
      </c>
      <c r="K68" s="6" t="s">
        <v>384</v>
      </c>
      <c r="L68" s="6" t="s">
        <v>13</v>
      </c>
      <c r="M68" s="6" t="s">
        <v>179</v>
      </c>
      <c r="N68" s="6" t="s">
        <v>596</v>
      </c>
      <c r="O68" s="6"/>
      <c r="P68" s="6"/>
    </row>
    <row r="69" customFormat="false" ht="15" hidden="false" customHeight="false" outlineLevel="0" collapsed="false">
      <c r="A69" s="6" t="s">
        <v>597</v>
      </c>
      <c r="B69" s="6" t="s">
        <v>186</v>
      </c>
      <c r="C69" s="7" t="n">
        <v>45838</v>
      </c>
      <c r="D69" s="6" t="s">
        <v>380</v>
      </c>
      <c r="E69" s="6" t="s">
        <v>381</v>
      </c>
      <c r="F69" s="6" t="s">
        <v>510</v>
      </c>
      <c r="G69" s="6" t="s">
        <v>598</v>
      </c>
      <c r="H69" s="9" t="n">
        <v>31173</v>
      </c>
      <c r="K69" s="6" t="s">
        <v>384</v>
      </c>
      <c r="L69" s="6" t="s">
        <v>13</v>
      </c>
      <c r="M69" s="6" t="s">
        <v>184</v>
      </c>
      <c r="N69" s="6" t="s">
        <v>599</v>
      </c>
      <c r="O69" s="6"/>
      <c r="P69" s="6"/>
    </row>
    <row r="70" customFormat="false" ht="15" hidden="false" customHeight="false" outlineLevel="0" collapsed="false">
      <c r="A70" s="6" t="s">
        <v>600</v>
      </c>
      <c r="B70" s="6" t="s">
        <v>255</v>
      </c>
      <c r="C70" s="7" t="n">
        <v>45838</v>
      </c>
      <c r="D70" s="6" t="s">
        <v>392</v>
      </c>
      <c r="E70" s="6" t="s">
        <v>381</v>
      </c>
      <c r="F70" s="6" t="s">
        <v>510</v>
      </c>
      <c r="G70" s="6" t="s">
        <v>601</v>
      </c>
      <c r="H70" s="9" t="n">
        <v>59978</v>
      </c>
      <c r="K70" s="6" t="s">
        <v>384</v>
      </c>
      <c r="L70" s="6" t="s">
        <v>13</v>
      </c>
      <c r="M70" s="6" t="s">
        <v>184</v>
      </c>
      <c r="N70" s="6" t="s">
        <v>602</v>
      </c>
      <c r="O70" s="6"/>
      <c r="P70" s="6"/>
    </row>
    <row r="71" customFormat="false" ht="15" hidden="false" customHeight="false" outlineLevel="0" collapsed="false">
      <c r="A71" s="6" t="s">
        <v>603</v>
      </c>
      <c r="B71" s="6" t="s">
        <v>191</v>
      </c>
      <c r="C71" s="7" t="n">
        <v>45930</v>
      </c>
      <c r="D71" s="6" t="s">
        <v>380</v>
      </c>
      <c r="E71" s="6" t="s">
        <v>381</v>
      </c>
      <c r="F71" s="6" t="s">
        <v>510</v>
      </c>
      <c r="G71" s="6" t="s">
        <v>604</v>
      </c>
      <c r="H71" s="9" t="n">
        <v>35788</v>
      </c>
      <c r="K71" s="6" t="s">
        <v>384</v>
      </c>
      <c r="L71" s="6" t="s">
        <v>13</v>
      </c>
      <c r="M71" s="6" t="s">
        <v>189</v>
      </c>
      <c r="N71" s="6" t="s">
        <v>605</v>
      </c>
      <c r="O71" s="6"/>
      <c r="P71" s="6"/>
    </row>
    <row r="72" customFormat="false" ht="15" hidden="false" customHeight="false" outlineLevel="0" collapsed="false">
      <c r="A72" s="6" t="s">
        <v>606</v>
      </c>
      <c r="B72" s="6" t="s">
        <v>491</v>
      </c>
      <c r="C72" s="7" t="n">
        <v>45930</v>
      </c>
      <c r="D72" s="6" t="s">
        <v>400</v>
      </c>
      <c r="E72" s="6" t="s">
        <v>381</v>
      </c>
      <c r="F72" s="6" t="s">
        <v>510</v>
      </c>
      <c r="G72" s="6" t="s">
        <v>607</v>
      </c>
      <c r="H72" s="9" t="n">
        <v>95766</v>
      </c>
      <c r="K72" s="6" t="s">
        <v>384</v>
      </c>
      <c r="L72" s="6" t="s">
        <v>13</v>
      </c>
      <c r="M72" s="6" t="s">
        <v>189</v>
      </c>
      <c r="N72" s="6" t="s">
        <v>608</v>
      </c>
      <c r="O72" s="6"/>
      <c r="P72" s="6"/>
    </row>
    <row r="73" customFormat="false" ht="15" hidden="false" customHeight="false" outlineLevel="0" collapsed="false">
      <c r="A73" s="6" t="s">
        <v>609</v>
      </c>
      <c r="B73" s="6" t="s">
        <v>196</v>
      </c>
      <c r="C73" s="7" t="n">
        <v>46022</v>
      </c>
      <c r="D73" s="6" t="s">
        <v>380</v>
      </c>
      <c r="E73" s="6" t="s">
        <v>381</v>
      </c>
      <c r="F73" s="6" t="s">
        <v>510</v>
      </c>
      <c r="G73" s="6" t="s">
        <v>610</v>
      </c>
      <c r="H73" s="9" t="n">
        <v>37333</v>
      </c>
      <c r="K73" s="6" t="s">
        <v>384</v>
      </c>
      <c r="L73" s="6" t="s">
        <v>13</v>
      </c>
      <c r="M73" s="6" t="s">
        <v>194</v>
      </c>
      <c r="N73" s="6" t="s">
        <v>611</v>
      </c>
      <c r="O73" s="6"/>
      <c r="P73" s="6"/>
    </row>
    <row r="74" customFormat="false" ht="15" hidden="false" customHeight="false" outlineLevel="0" collapsed="false">
      <c r="A74" s="6" t="s">
        <v>612</v>
      </c>
      <c r="B74" s="6" t="s">
        <v>235</v>
      </c>
      <c r="C74" s="7" t="n">
        <v>46022</v>
      </c>
      <c r="D74" s="6" t="s">
        <v>407</v>
      </c>
      <c r="E74" s="6" t="s">
        <v>381</v>
      </c>
      <c r="F74" s="6" t="s">
        <v>510</v>
      </c>
      <c r="G74" s="6" t="s">
        <v>613</v>
      </c>
      <c r="H74" s="9" t="n">
        <v>133099</v>
      </c>
      <c r="K74" s="6" t="s">
        <v>384</v>
      </c>
      <c r="L74" s="6" t="s">
        <v>13</v>
      </c>
      <c r="M74" s="6" t="s">
        <v>194</v>
      </c>
      <c r="N74" s="6" t="s">
        <v>614</v>
      </c>
      <c r="O74" s="6"/>
      <c r="P74" s="6"/>
    </row>
    <row r="75" customFormat="false" ht="15" hidden="false" customHeight="false" outlineLevel="0" collapsed="false">
      <c r="A75" s="6" t="s">
        <v>615</v>
      </c>
      <c r="B75" s="6" t="s">
        <v>201</v>
      </c>
      <c r="C75" s="7" t="n">
        <v>46112</v>
      </c>
      <c r="D75" s="6" t="s">
        <v>380</v>
      </c>
      <c r="E75" s="6" t="s">
        <v>381</v>
      </c>
      <c r="F75" s="6" t="s">
        <v>510</v>
      </c>
      <c r="G75" s="6" t="s">
        <v>616</v>
      </c>
      <c r="H75" s="9" t="n">
        <v>38124</v>
      </c>
      <c r="K75" s="6" t="s">
        <v>384</v>
      </c>
      <c r="L75" s="6" t="s">
        <v>13</v>
      </c>
      <c r="M75" s="6" t="s">
        <v>199</v>
      </c>
      <c r="N75" s="6" t="s">
        <v>617</v>
      </c>
      <c r="O75" s="6"/>
      <c r="P75" s="6"/>
    </row>
    <row r="76" customFormat="false" ht="15" hidden="false" customHeight="false" outlineLevel="0" collapsed="false">
      <c r="A76" s="6" t="s">
        <v>618</v>
      </c>
      <c r="B76" s="6" t="s">
        <v>206</v>
      </c>
      <c r="C76" s="7" t="n">
        <v>46203</v>
      </c>
      <c r="D76" s="6" t="s">
        <v>380</v>
      </c>
      <c r="E76" s="6" t="s">
        <v>381</v>
      </c>
      <c r="F76" s="6" t="s">
        <v>510</v>
      </c>
      <c r="G76" s="6" t="s">
        <v>619</v>
      </c>
      <c r="H76" s="9" t="n">
        <v>42661</v>
      </c>
      <c r="K76" s="6" t="s">
        <v>384</v>
      </c>
      <c r="L76" s="6" t="s">
        <v>13</v>
      </c>
      <c r="M76" s="6" t="s">
        <v>204</v>
      </c>
      <c r="N76" s="6" t="s">
        <v>620</v>
      </c>
      <c r="O76" s="6"/>
      <c r="P76" s="6"/>
    </row>
    <row r="77" customFormat="false" ht="15" hidden="false" customHeight="false" outlineLevel="0" collapsed="false">
      <c r="A77" s="6" t="s">
        <v>621</v>
      </c>
      <c r="B77" s="6" t="s">
        <v>263</v>
      </c>
      <c r="C77" s="7" t="n">
        <v>46203</v>
      </c>
      <c r="D77" s="6" t="s">
        <v>392</v>
      </c>
      <c r="E77" s="6" t="s">
        <v>381</v>
      </c>
      <c r="F77" s="6" t="s">
        <v>510</v>
      </c>
      <c r="G77" s="6" t="s">
        <v>622</v>
      </c>
      <c r="H77" s="9" t="n">
        <v>80785</v>
      </c>
      <c r="K77" s="6" t="s">
        <v>384</v>
      </c>
      <c r="L77" s="6" t="s">
        <v>13</v>
      </c>
      <c r="M77" s="6" t="s">
        <v>204</v>
      </c>
      <c r="N77" s="6" t="s">
        <v>623</v>
      </c>
      <c r="O77" s="6"/>
      <c r="P77" s="6"/>
    </row>
    <row r="78" customFormat="false" ht="15" hidden="false" customHeight="false" outlineLevel="0" collapsed="false">
      <c r="A78" s="6" t="s">
        <v>624</v>
      </c>
      <c r="B78" s="6" t="s">
        <v>379</v>
      </c>
      <c r="C78" s="7" t="n">
        <v>44286</v>
      </c>
      <c r="D78" s="6" t="s">
        <v>380</v>
      </c>
      <c r="E78" s="6" t="s">
        <v>381</v>
      </c>
      <c r="F78" s="6" t="s">
        <v>625</v>
      </c>
      <c r="G78" s="6" t="s">
        <v>626</v>
      </c>
      <c r="H78" s="9" t="n">
        <v>51048</v>
      </c>
      <c r="K78" s="6" t="s">
        <v>384</v>
      </c>
      <c r="L78" s="6" t="s">
        <v>13</v>
      </c>
      <c r="M78" s="6" t="s">
        <v>119</v>
      </c>
      <c r="N78" s="6" t="s">
        <v>627</v>
      </c>
      <c r="O78" s="6"/>
      <c r="P78" s="6" t="s">
        <v>386</v>
      </c>
    </row>
    <row r="79" customFormat="false" ht="15" hidden="false" customHeight="false" outlineLevel="0" collapsed="false">
      <c r="A79" s="6" t="s">
        <v>628</v>
      </c>
      <c r="B79" s="6" t="s">
        <v>103</v>
      </c>
      <c r="C79" s="7" t="n">
        <v>44377</v>
      </c>
      <c r="D79" s="6" t="s">
        <v>380</v>
      </c>
      <c r="E79" s="6" t="s">
        <v>381</v>
      </c>
      <c r="F79" s="6" t="s">
        <v>625</v>
      </c>
      <c r="G79" s="6" t="s">
        <v>629</v>
      </c>
      <c r="H79" s="9" t="n">
        <v>61507</v>
      </c>
      <c r="K79" s="6" t="s">
        <v>384</v>
      </c>
      <c r="L79" s="6" t="s">
        <v>13</v>
      </c>
      <c r="M79" s="6" t="s">
        <v>100</v>
      </c>
      <c r="N79" s="6" t="s">
        <v>630</v>
      </c>
      <c r="O79" s="6"/>
      <c r="P79" s="6"/>
    </row>
    <row r="80" customFormat="false" ht="15" hidden="false" customHeight="false" outlineLevel="0" collapsed="false">
      <c r="A80" s="6" t="s">
        <v>631</v>
      </c>
      <c r="B80" s="6" t="s">
        <v>391</v>
      </c>
      <c r="C80" s="7" t="n">
        <v>44377</v>
      </c>
      <c r="D80" s="6" t="s">
        <v>392</v>
      </c>
      <c r="E80" s="6" t="s">
        <v>381</v>
      </c>
      <c r="F80" s="6" t="s">
        <v>625</v>
      </c>
      <c r="G80" s="6" t="s">
        <v>632</v>
      </c>
      <c r="H80" s="9" t="n">
        <v>112555</v>
      </c>
      <c r="K80" s="6" t="s">
        <v>384</v>
      </c>
      <c r="L80" s="6" t="s">
        <v>13</v>
      </c>
      <c r="M80" s="6" t="s">
        <v>100</v>
      </c>
      <c r="N80" s="6" t="s">
        <v>633</v>
      </c>
      <c r="O80" s="6"/>
      <c r="P80" s="6"/>
    </row>
    <row r="81" customFormat="false" ht="15" hidden="false" customHeight="false" outlineLevel="0" collapsed="false">
      <c r="A81" s="6" t="s">
        <v>634</v>
      </c>
      <c r="B81" s="6" t="s">
        <v>111</v>
      </c>
      <c r="C81" s="7" t="n">
        <v>44469</v>
      </c>
      <c r="D81" s="6" t="s">
        <v>380</v>
      </c>
      <c r="E81" s="6" t="s">
        <v>381</v>
      </c>
      <c r="F81" s="6" t="s">
        <v>625</v>
      </c>
      <c r="G81" s="6" t="s">
        <v>635</v>
      </c>
      <c r="H81" s="9" t="n">
        <v>72805</v>
      </c>
      <c r="K81" s="6" t="s">
        <v>384</v>
      </c>
      <c r="L81" s="6" t="s">
        <v>13</v>
      </c>
      <c r="M81" s="6" t="s">
        <v>109</v>
      </c>
      <c r="N81" s="6" t="s">
        <v>636</v>
      </c>
      <c r="O81" s="6"/>
      <c r="P81" s="6"/>
    </row>
    <row r="82" customFormat="false" ht="15" hidden="false" customHeight="false" outlineLevel="0" collapsed="false">
      <c r="A82" s="6" t="s">
        <v>637</v>
      </c>
      <c r="B82" s="6" t="s">
        <v>399</v>
      </c>
      <c r="C82" s="7" t="n">
        <v>44469</v>
      </c>
      <c r="D82" s="6" t="s">
        <v>400</v>
      </c>
      <c r="E82" s="6" t="s">
        <v>381</v>
      </c>
      <c r="F82" s="6" t="s">
        <v>625</v>
      </c>
      <c r="G82" s="6" t="s">
        <v>638</v>
      </c>
      <c r="H82" s="9" t="n">
        <v>185360</v>
      </c>
      <c r="K82" s="6" t="s">
        <v>384</v>
      </c>
      <c r="L82" s="6" t="s">
        <v>13</v>
      </c>
      <c r="M82" s="6" t="s">
        <v>109</v>
      </c>
      <c r="N82" s="6" t="s">
        <v>639</v>
      </c>
      <c r="O82" s="6"/>
      <c r="P82" s="6"/>
    </row>
    <row r="83" customFormat="false" ht="15" hidden="false" customHeight="false" outlineLevel="0" collapsed="false">
      <c r="A83" s="6" t="s">
        <v>640</v>
      </c>
      <c r="B83" s="6" t="s">
        <v>116</v>
      </c>
      <c r="C83" s="7" t="n">
        <v>44561</v>
      </c>
      <c r="D83" s="6" t="s">
        <v>380</v>
      </c>
      <c r="E83" s="6" t="s">
        <v>381</v>
      </c>
      <c r="F83" s="6" t="s">
        <v>625</v>
      </c>
      <c r="G83" s="6" t="s">
        <v>641</v>
      </c>
      <c r="H83" s="9" t="n">
        <v>83777</v>
      </c>
      <c r="K83" s="6" t="s">
        <v>384</v>
      </c>
      <c r="L83" s="6" t="s">
        <v>13</v>
      </c>
      <c r="M83" s="6" t="s">
        <v>114</v>
      </c>
      <c r="N83" s="6" t="s">
        <v>642</v>
      </c>
      <c r="O83" s="6"/>
      <c r="P83" s="6"/>
    </row>
    <row r="84" customFormat="false" ht="15" hidden="false" customHeight="false" outlineLevel="0" collapsed="false">
      <c r="A84" s="6" t="s">
        <v>643</v>
      </c>
      <c r="B84" s="6" t="s">
        <v>212</v>
      </c>
      <c r="C84" s="7" t="n">
        <v>44561</v>
      </c>
      <c r="D84" s="6" t="s">
        <v>407</v>
      </c>
      <c r="E84" s="6" t="s">
        <v>381</v>
      </c>
      <c r="F84" s="6" t="s">
        <v>625</v>
      </c>
      <c r="G84" s="6" t="s">
        <v>644</v>
      </c>
      <c r="H84" s="9" t="n">
        <v>269137</v>
      </c>
      <c r="K84" s="6" t="s">
        <v>384</v>
      </c>
      <c r="L84" s="6" t="s">
        <v>13</v>
      </c>
      <c r="M84" s="6" t="s">
        <v>114</v>
      </c>
      <c r="N84" s="6" t="s">
        <v>645</v>
      </c>
      <c r="O84" s="6"/>
      <c r="P84" s="6"/>
    </row>
    <row r="85" customFormat="false" ht="15" hidden="false" customHeight="false" outlineLevel="0" collapsed="false">
      <c r="A85" s="6" t="s">
        <v>646</v>
      </c>
      <c r="B85" s="6" t="s">
        <v>121</v>
      </c>
      <c r="C85" s="7" t="n">
        <v>44651</v>
      </c>
      <c r="D85" s="6" t="s">
        <v>380</v>
      </c>
      <c r="E85" s="6" t="s">
        <v>381</v>
      </c>
      <c r="F85" s="6" t="s">
        <v>625</v>
      </c>
      <c r="G85" s="6" t="s">
        <v>647</v>
      </c>
      <c r="H85" s="9" t="n">
        <v>93888</v>
      </c>
      <c r="K85" s="6" t="s">
        <v>384</v>
      </c>
      <c r="L85" s="6" t="s">
        <v>13</v>
      </c>
      <c r="M85" s="6" t="s">
        <v>119</v>
      </c>
      <c r="N85" s="6" t="s">
        <v>648</v>
      </c>
      <c r="O85" s="6"/>
      <c r="P85" s="6"/>
    </row>
    <row r="86" customFormat="false" ht="15" hidden="false" customHeight="false" outlineLevel="0" collapsed="false">
      <c r="A86" s="6" t="s">
        <v>649</v>
      </c>
      <c r="B86" s="6" t="s">
        <v>126</v>
      </c>
      <c r="C86" s="7" t="n">
        <v>44742</v>
      </c>
      <c r="D86" s="6" t="s">
        <v>380</v>
      </c>
      <c r="E86" s="6" t="s">
        <v>381</v>
      </c>
      <c r="F86" s="6" t="s">
        <v>625</v>
      </c>
      <c r="G86" s="6" t="s">
        <v>650</v>
      </c>
      <c r="H86" s="9" t="n">
        <v>106988</v>
      </c>
      <c r="K86" s="6" t="s">
        <v>384</v>
      </c>
      <c r="L86" s="6" t="s">
        <v>13</v>
      </c>
      <c r="M86" s="6" t="s">
        <v>124</v>
      </c>
      <c r="N86" s="6" t="s">
        <v>651</v>
      </c>
      <c r="O86" s="6"/>
      <c r="P86" s="6"/>
    </row>
    <row r="87" customFormat="false" ht="15" hidden="false" customHeight="false" outlineLevel="0" collapsed="false">
      <c r="A87" s="6" t="s">
        <v>652</v>
      </c>
      <c r="B87" s="6" t="s">
        <v>417</v>
      </c>
      <c r="C87" s="7" t="n">
        <v>44742</v>
      </c>
      <c r="D87" s="6" t="s">
        <v>392</v>
      </c>
      <c r="E87" s="6" t="s">
        <v>381</v>
      </c>
      <c r="F87" s="6" t="s">
        <v>625</v>
      </c>
      <c r="G87" s="6" t="s">
        <v>653</v>
      </c>
      <c r="H87" s="9" t="n">
        <v>200876</v>
      </c>
      <c r="K87" s="6" t="s">
        <v>384</v>
      </c>
      <c r="L87" s="6" t="s">
        <v>13</v>
      </c>
      <c r="M87" s="6" t="s">
        <v>124</v>
      </c>
      <c r="N87" s="6" t="s">
        <v>654</v>
      </c>
      <c r="O87" s="6"/>
      <c r="P87" s="6"/>
    </row>
    <row r="88" customFormat="false" ht="15" hidden="false" customHeight="false" outlineLevel="0" collapsed="false">
      <c r="A88" s="6" t="s">
        <v>655</v>
      </c>
      <c r="B88" s="6" t="s">
        <v>131</v>
      </c>
      <c r="C88" s="7" t="n">
        <v>44834</v>
      </c>
      <c r="D88" s="6" t="s">
        <v>380</v>
      </c>
      <c r="E88" s="6" t="s">
        <v>381</v>
      </c>
      <c r="F88" s="6" t="s">
        <v>625</v>
      </c>
      <c r="G88" s="6" t="s">
        <v>656</v>
      </c>
      <c r="H88" s="9" t="n">
        <v>119063</v>
      </c>
      <c r="K88" s="6" t="s">
        <v>384</v>
      </c>
      <c r="L88" s="6" t="s">
        <v>13</v>
      </c>
      <c r="M88" s="6" t="s">
        <v>129</v>
      </c>
      <c r="N88" s="6" t="s">
        <v>657</v>
      </c>
      <c r="O88" s="6"/>
      <c r="P88" s="6"/>
    </row>
    <row r="89" customFormat="false" ht="15" hidden="false" customHeight="false" outlineLevel="0" collapsed="false">
      <c r="A89" s="6" t="s">
        <v>658</v>
      </c>
      <c r="B89" s="6" t="s">
        <v>424</v>
      </c>
      <c r="C89" s="7" t="n">
        <v>44834</v>
      </c>
      <c r="D89" s="6" t="s">
        <v>400</v>
      </c>
      <c r="E89" s="6" t="s">
        <v>381</v>
      </c>
      <c r="F89" s="6" t="s">
        <v>625</v>
      </c>
      <c r="G89" s="6" t="s">
        <v>659</v>
      </c>
      <c r="H89" s="9" t="n">
        <v>319939</v>
      </c>
      <c r="K89" s="6" t="s">
        <v>384</v>
      </c>
      <c r="L89" s="6" t="s">
        <v>13</v>
      </c>
      <c r="M89" s="6" t="s">
        <v>129</v>
      </c>
      <c r="N89" s="6" t="s">
        <v>660</v>
      </c>
      <c r="O89" s="6"/>
      <c r="P89" s="6"/>
    </row>
    <row r="90" customFormat="false" ht="15" hidden="false" customHeight="false" outlineLevel="0" collapsed="false">
      <c r="A90" s="6" t="s">
        <v>661</v>
      </c>
      <c r="B90" s="6" t="s">
        <v>136</v>
      </c>
      <c r="C90" s="7" t="n">
        <v>44926</v>
      </c>
      <c r="D90" s="6" t="s">
        <v>380</v>
      </c>
      <c r="E90" s="6" t="s">
        <v>381</v>
      </c>
      <c r="F90" s="6" t="s">
        <v>625</v>
      </c>
      <c r="G90" s="6" t="s">
        <v>662</v>
      </c>
      <c r="H90" s="9" t="n">
        <v>132562</v>
      </c>
      <c r="K90" s="6" t="s">
        <v>384</v>
      </c>
      <c r="L90" s="6" t="s">
        <v>13</v>
      </c>
      <c r="M90" s="6" t="s">
        <v>134</v>
      </c>
      <c r="N90" s="6" t="s">
        <v>663</v>
      </c>
      <c r="O90" s="6"/>
      <c r="P90" s="6"/>
    </row>
    <row r="91" customFormat="false" ht="15" hidden="false" customHeight="false" outlineLevel="0" collapsed="false">
      <c r="A91" s="6" t="s">
        <v>664</v>
      </c>
      <c r="B91" s="6" t="s">
        <v>220</v>
      </c>
      <c r="C91" s="7" t="n">
        <v>44926</v>
      </c>
      <c r="D91" s="6" t="s">
        <v>407</v>
      </c>
      <c r="E91" s="6" t="s">
        <v>381</v>
      </c>
      <c r="F91" s="6" t="s">
        <v>625</v>
      </c>
      <c r="G91" s="6" t="s">
        <v>665</v>
      </c>
      <c r="H91" s="9" t="n">
        <v>452501</v>
      </c>
      <c r="K91" s="6" t="s">
        <v>384</v>
      </c>
      <c r="L91" s="6" t="s">
        <v>13</v>
      </c>
      <c r="M91" s="6" t="s">
        <v>134</v>
      </c>
      <c r="N91" s="6" t="s">
        <v>666</v>
      </c>
      <c r="O91" s="6"/>
      <c r="P91" s="6"/>
    </row>
    <row r="92" customFormat="false" ht="15" hidden="false" customHeight="false" outlineLevel="0" collapsed="false">
      <c r="A92" s="6" t="s">
        <v>667</v>
      </c>
      <c r="B92" s="6" t="s">
        <v>141</v>
      </c>
      <c r="C92" s="7" t="n">
        <v>45016</v>
      </c>
      <c r="D92" s="6" t="s">
        <v>380</v>
      </c>
      <c r="E92" s="6" t="s">
        <v>381</v>
      </c>
      <c r="F92" s="6" t="s">
        <v>625</v>
      </c>
      <c r="G92" s="6" t="s">
        <v>668</v>
      </c>
      <c r="H92" s="9" t="n">
        <v>145242</v>
      </c>
      <c r="K92" s="6" t="s">
        <v>384</v>
      </c>
      <c r="L92" s="6" t="s">
        <v>13</v>
      </c>
      <c r="M92" s="6" t="s">
        <v>139</v>
      </c>
      <c r="N92" s="6" t="s">
        <v>669</v>
      </c>
      <c r="O92" s="6"/>
      <c r="P92" s="6"/>
    </row>
    <row r="93" customFormat="false" ht="15" hidden="false" customHeight="false" outlineLevel="0" collapsed="false">
      <c r="A93" s="6" t="s">
        <v>670</v>
      </c>
      <c r="B93" s="6" t="s">
        <v>146</v>
      </c>
      <c r="C93" s="7" t="n">
        <v>45107</v>
      </c>
      <c r="D93" s="6" t="s">
        <v>380</v>
      </c>
      <c r="E93" s="6" t="s">
        <v>381</v>
      </c>
      <c r="F93" s="6" t="s">
        <v>625</v>
      </c>
      <c r="G93" s="6" t="s">
        <v>671</v>
      </c>
      <c r="H93" s="9" t="n">
        <v>156163</v>
      </c>
      <c r="K93" s="6" t="s">
        <v>384</v>
      </c>
      <c r="L93" s="6" t="s">
        <v>13</v>
      </c>
      <c r="M93" s="6" t="s">
        <v>144</v>
      </c>
      <c r="N93" s="6" t="s">
        <v>672</v>
      </c>
      <c r="O93" s="6"/>
      <c r="P93" s="6"/>
    </row>
    <row r="94" customFormat="false" ht="15" hidden="false" customHeight="false" outlineLevel="0" collapsed="false">
      <c r="A94" s="6" t="s">
        <v>673</v>
      </c>
      <c r="B94" s="6" t="s">
        <v>440</v>
      </c>
      <c r="C94" s="7" t="n">
        <v>45107</v>
      </c>
      <c r="D94" s="6" t="s">
        <v>392</v>
      </c>
      <c r="E94" s="6" t="s">
        <v>381</v>
      </c>
      <c r="F94" s="6" t="s">
        <v>625</v>
      </c>
      <c r="G94" s="6" t="s">
        <v>674</v>
      </c>
      <c r="H94" s="9" t="n">
        <v>301405</v>
      </c>
      <c r="K94" s="6" t="s">
        <v>384</v>
      </c>
      <c r="L94" s="6" t="s">
        <v>13</v>
      </c>
      <c r="M94" s="6" t="s">
        <v>144</v>
      </c>
      <c r="N94" s="6" t="s">
        <v>675</v>
      </c>
      <c r="O94" s="6"/>
      <c r="P94" s="6"/>
    </row>
    <row r="95" customFormat="false" ht="15" hidden="false" customHeight="false" outlineLevel="0" collapsed="false">
      <c r="A95" s="6" t="s">
        <v>676</v>
      </c>
      <c r="B95" s="6" t="s">
        <v>151</v>
      </c>
      <c r="C95" s="7" t="n">
        <v>45199</v>
      </c>
      <c r="D95" s="6" t="s">
        <v>380</v>
      </c>
      <c r="E95" s="6" t="s">
        <v>381</v>
      </c>
      <c r="F95" s="6" t="s">
        <v>625</v>
      </c>
      <c r="G95" s="6" t="s">
        <v>677</v>
      </c>
      <c r="H95" s="9" t="n">
        <v>167483</v>
      </c>
      <c r="K95" s="6" t="s">
        <v>384</v>
      </c>
      <c r="L95" s="6" t="s">
        <v>13</v>
      </c>
      <c r="M95" s="6" t="s">
        <v>149</v>
      </c>
      <c r="N95" s="6" t="s">
        <v>678</v>
      </c>
      <c r="O95" s="6"/>
      <c r="P95" s="6"/>
    </row>
    <row r="96" customFormat="false" ht="15" hidden="false" customHeight="false" outlineLevel="0" collapsed="false">
      <c r="A96" s="6" t="s">
        <v>679</v>
      </c>
      <c r="B96" s="6" t="s">
        <v>447</v>
      </c>
      <c r="C96" s="7" t="n">
        <v>45199</v>
      </c>
      <c r="D96" s="6" t="s">
        <v>400</v>
      </c>
      <c r="E96" s="6" t="s">
        <v>381</v>
      </c>
      <c r="F96" s="6" t="s">
        <v>625</v>
      </c>
      <c r="G96" s="6" t="s">
        <v>680</v>
      </c>
      <c r="H96" s="9" t="n">
        <v>468888</v>
      </c>
      <c r="K96" s="6" t="s">
        <v>384</v>
      </c>
      <c r="L96" s="6" t="s">
        <v>13</v>
      </c>
      <c r="M96" s="6" t="s">
        <v>149</v>
      </c>
      <c r="N96" s="6" t="s">
        <v>681</v>
      </c>
      <c r="O96" s="6"/>
      <c r="P96" s="6"/>
    </row>
    <row r="97" customFormat="false" ht="15" hidden="false" customHeight="false" outlineLevel="0" collapsed="false">
      <c r="A97" s="6" t="s">
        <v>682</v>
      </c>
      <c r="B97" s="6" t="s">
        <v>156</v>
      </c>
      <c r="C97" s="7" t="n">
        <v>45291</v>
      </c>
      <c r="D97" s="6" t="s">
        <v>380</v>
      </c>
      <c r="E97" s="6" t="s">
        <v>381</v>
      </c>
      <c r="F97" s="6" t="s">
        <v>625</v>
      </c>
      <c r="G97" s="6" t="s">
        <v>683</v>
      </c>
      <c r="H97" s="9" t="n">
        <v>180162</v>
      </c>
      <c r="K97" s="6" t="s">
        <v>384</v>
      </c>
      <c r="L97" s="6" t="s">
        <v>13</v>
      </c>
      <c r="M97" s="6" t="s">
        <v>154</v>
      </c>
      <c r="N97" s="6" t="s">
        <v>684</v>
      </c>
      <c r="O97" s="6"/>
      <c r="P97" s="6"/>
    </row>
    <row r="98" customFormat="false" ht="15" hidden="false" customHeight="false" outlineLevel="0" collapsed="false">
      <c r="A98" s="6" t="s">
        <v>685</v>
      </c>
      <c r="B98" s="6" t="s">
        <v>225</v>
      </c>
      <c r="C98" s="7" t="n">
        <v>45291</v>
      </c>
      <c r="D98" s="6" t="s">
        <v>407</v>
      </c>
      <c r="E98" s="6" t="s">
        <v>381</v>
      </c>
      <c r="F98" s="6" t="s">
        <v>625</v>
      </c>
      <c r="G98" s="6" t="s">
        <v>686</v>
      </c>
      <c r="H98" s="9" t="n">
        <v>649050</v>
      </c>
      <c r="K98" s="6" t="s">
        <v>384</v>
      </c>
      <c r="L98" s="6" t="s">
        <v>13</v>
      </c>
      <c r="M98" s="6" t="s">
        <v>154</v>
      </c>
      <c r="N98" s="6" t="s">
        <v>687</v>
      </c>
      <c r="O98" s="6"/>
      <c r="P98" s="6"/>
    </row>
    <row r="99" customFormat="false" ht="15" hidden="false" customHeight="false" outlineLevel="0" collapsed="false">
      <c r="A99" s="6" t="s">
        <v>688</v>
      </c>
      <c r="B99" s="6" t="s">
        <v>161</v>
      </c>
      <c r="C99" s="7" t="n">
        <v>45382</v>
      </c>
      <c r="D99" s="6" t="s">
        <v>380</v>
      </c>
      <c r="E99" s="6" t="s">
        <v>381</v>
      </c>
      <c r="F99" s="6" t="s">
        <v>625</v>
      </c>
      <c r="G99" s="6" t="s">
        <v>689</v>
      </c>
      <c r="H99" s="9" t="n">
        <v>193459</v>
      </c>
      <c r="K99" s="6" t="s">
        <v>384</v>
      </c>
      <c r="L99" s="6" t="s">
        <v>13</v>
      </c>
      <c r="M99" s="6" t="s">
        <v>159</v>
      </c>
      <c r="N99" s="6" t="s">
        <v>690</v>
      </c>
      <c r="O99" s="6"/>
      <c r="P99" s="6"/>
    </row>
    <row r="100" customFormat="false" ht="15" hidden="false" customHeight="false" outlineLevel="0" collapsed="false">
      <c r="A100" s="6" t="s">
        <v>691</v>
      </c>
      <c r="B100" s="6" t="s">
        <v>166</v>
      </c>
      <c r="C100" s="7" t="n">
        <v>45473</v>
      </c>
      <c r="D100" s="6" t="s">
        <v>380</v>
      </c>
      <c r="E100" s="6" t="s">
        <v>381</v>
      </c>
      <c r="F100" s="6" t="s">
        <v>625</v>
      </c>
      <c r="G100" s="6" t="s">
        <v>692</v>
      </c>
      <c r="H100" s="9" t="n">
        <v>212343</v>
      </c>
      <c r="K100" s="6" t="s">
        <v>384</v>
      </c>
      <c r="L100" s="6" t="s">
        <v>13</v>
      </c>
      <c r="M100" s="6" t="s">
        <v>164</v>
      </c>
      <c r="N100" s="6" t="s">
        <v>693</v>
      </c>
      <c r="O100" s="6"/>
      <c r="P100" s="6"/>
    </row>
    <row r="101" customFormat="false" ht="15" hidden="false" customHeight="false" outlineLevel="0" collapsed="false">
      <c r="A101" s="6" t="s">
        <v>694</v>
      </c>
      <c r="B101" s="6" t="s">
        <v>241</v>
      </c>
      <c r="C101" s="7" t="n">
        <v>45473</v>
      </c>
      <c r="D101" s="6" t="s">
        <v>392</v>
      </c>
      <c r="E101" s="6" t="s">
        <v>381</v>
      </c>
      <c r="F101" s="6" t="s">
        <v>625</v>
      </c>
      <c r="G101" s="6" t="s">
        <v>695</v>
      </c>
      <c r="H101" s="9" t="n">
        <v>405802</v>
      </c>
      <c r="K101" s="6" t="s">
        <v>384</v>
      </c>
      <c r="L101" s="6" t="s">
        <v>13</v>
      </c>
      <c r="M101" s="6" t="s">
        <v>164</v>
      </c>
      <c r="N101" s="6" t="s">
        <v>696</v>
      </c>
      <c r="O101" s="6"/>
      <c r="P101" s="6"/>
    </row>
    <row r="102" customFormat="false" ht="15" hidden="false" customHeight="false" outlineLevel="0" collapsed="false">
      <c r="A102" s="6" t="s">
        <v>697</v>
      </c>
      <c r="B102" s="6" t="s">
        <v>171</v>
      </c>
      <c r="C102" s="7" t="n">
        <v>45565</v>
      </c>
      <c r="D102" s="6" t="s">
        <v>380</v>
      </c>
      <c r="E102" s="6" t="s">
        <v>381</v>
      </c>
      <c r="F102" s="6" t="s">
        <v>625</v>
      </c>
      <c r="G102" s="6" t="s">
        <v>698</v>
      </c>
      <c r="H102" s="9" t="n">
        <v>225028</v>
      </c>
      <c r="K102" s="6" t="s">
        <v>384</v>
      </c>
      <c r="L102" s="6" t="s">
        <v>13</v>
      </c>
      <c r="M102" s="6" t="s">
        <v>169</v>
      </c>
      <c r="N102" s="6" t="s">
        <v>699</v>
      </c>
      <c r="O102" s="6"/>
      <c r="P102" s="6"/>
    </row>
    <row r="103" customFormat="false" ht="15" hidden="false" customHeight="false" outlineLevel="0" collapsed="false">
      <c r="A103" s="6" t="s">
        <v>700</v>
      </c>
      <c r="B103" s="6" t="s">
        <v>469</v>
      </c>
      <c r="C103" s="7" t="n">
        <v>45565</v>
      </c>
      <c r="D103" s="6" t="s">
        <v>400</v>
      </c>
      <c r="E103" s="6" t="s">
        <v>381</v>
      </c>
      <c r="F103" s="6" t="s">
        <v>625</v>
      </c>
      <c r="G103" s="6" t="s">
        <v>701</v>
      </c>
      <c r="H103" s="9" t="n">
        <v>630830</v>
      </c>
      <c r="K103" s="6" t="s">
        <v>384</v>
      </c>
      <c r="L103" s="6" t="s">
        <v>13</v>
      </c>
      <c r="M103" s="6" t="s">
        <v>169</v>
      </c>
      <c r="N103" s="6" t="s">
        <v>702</v>
      </c>
      <c r="O103" s="6"/>
      <c r="P103" s="6"/>
    </row>
    <row r="104" customFormat="false" ht="15" hidden="false" customHeight="false" outlineLevel="0" collapsed="false">
      <c r="A104" s="6" t="s">
        <v>703</v>
      </c>
      <c r="B104" s="6" t="s">
        <v>176</v>
      </c>
      <c r="C104" s="7" t="n">
        <v>45657</v>
      </c>
      <c r="D104" s="6" t="s">
        <v>380</v>
      </c>
      <c r="E104" s="6" t="s">
        <v>381</v>
      </c>
      <c r="F104" s="6" t="s">
        <v>625</v>
      </c>
      <c r="G104" s="6" t="s">
        <v>704</v>
      </c>
      <c r="H104" s="9" t="n">
        <v>237474</v>
      </c>
      <c r="K104" s="6" t="s">
        <v>384</v>
      </c>
      <c r="L104" s="6" t="s">
        <v>13</v>
      </c>
      <c r="M104" s="6" t="s">
        <v>174</v>
      </c>
      <c r="N104" s="6" t="s">
        <v>705</v>
      </c>
      <c r="O104" s="6"/>
      <c r="P104" s="6"/>
    </row>
    <row r="105" customFormat="false" ht="15" hidden="false" customHeight="false" outlineLevel="0" collapsed="false">
      <c r="A105" s="6" t="s">
        <v>706</v>
      </c>
      <c r="B105" s="6" t="s">
        <v>230</v>
      </c>
      <c r="C105" s="7" t="n">
        <v>45657</v>
      </c>
      <c r="D105" s="6" t="s">
        <v>407</v>
      </c>
      <c r="E105" s="6" t="s">
        <v>381</v>
      </c>
      <c r="F105" s="6" t="s">
        <v>625</v>
      </c>
      <c r="G105" s="6" t="s">
        <v>707</v>
      </c>
      <c r="H105" s="9" t="n">
        <v>868304</v>
      </c>
      <c r="K105" s="6" t="s">
        <v>384</v>
      </c>
      <c r="L105" s="6" t="s">
        <v>13</v>
      </c>
      <c r="M105" s="6" t="s">
        <v>174</v>
      </c>
      <c r="N105" s="6" t="s">
        <v>708</v>
      </c>
      <c r="O105" s="6"/>
      <c r="P105" s="6"/>
    </row>
    <row r="106" customFormat="false" ht="15" hidden="false" customHeight="false" outlineLevel="0" collapsed="false">
      <c r="A106" s="6" t="s">
        <v>709</v>
      </c>
      <c r="B106" s="6" t="s">
        <v>181</v>
      </c>
      <c r="C106" s="7" t="n">
        <v>45747</v>
      </c>
      <c r="D106" s="6" t="s">
        <v>380</v>
      </c>
      <c r="E106" s="6" t="s">
        <v>381</v>
      </c>
      <c r="F106" s="6" t="s">
        <v>625</v>
      </c>
      <c r="G106" s="6" t="s">
        <v>710</v>
      </c>
      <c r="H106" s="9" t="n">
        <v>253445</v>
      </c>
      <c r="K106" s="6" t="s">
        <v>384</v>
      </c>
      <c r="L106" s="6" t="s">
        <v>13</v>
      </c>
      <c r="M106" s="6" t="s">
        <v>179</v>
      </c>
      <c r="N106" s="6" t="s">
        <v>711</v>
      </c>
      <c r="O106" s="6"/>
      <c r="P106" s="6"/>
    </row>
    <row r="107" customFormat="false" ht="15" hidden="false" customHeight="false" outlineLevel="0" collapsed="false">
      <c r="A107" s="6" t="s">
        <v>712</v>
      </c>
      <c r="B107" s="6" t="s">
        <v>186</v>
      </c>
      <c r="C107" s="7" t="n">
        <v>45838</v>
      </c>
      <c r="D107" s="6" t="s">
        <v>380</v>
      </c>
      <c r="E107" s="6" t="s">
        <v>381</v>
      </c>
      <c r="F107" s="6" t="s">
        <v>625</v>
      </c>
      <c r="G107" s="6" t="s">
        <v>713</v>
      </c>
      <c r="H107" s="9" t="n">
        <v>267841</v>
      </c>
      <c r="K107" s="6" t="s">
        <v>384</v>
      </c>
      <c r="L107" s="6" t="s">
        <v>13</v>
      </c>
      <c r="M107" s="6" t="s">
        <v>184</v>
      </c>
      <c r="N107" s="6" t="s">
        <v>714</v>
      </c>
      <c r="O107" s="6"/>
      <c r="P107" s="6"/>
    </row>
    <row r="108" customFormat="false" ht="15" hidden="false" customHeight="false" outlineLevel="0" collapsed="false">
      <c r="A108" s="6" t="s">
        <v>715</v>
      </c>
      <c r="B108" s="6" t="s">
        <v>255</v>
      </c>
      <c r="C108" s="7" t="n">
        <v>45838</v>
      </c>
      <c r="D108" s="6" t="s">
        <v>392</v>
      </c>
      <c r="E108" s="6" t="s">
        <v>381</v>
      </c>
      <c r="F108" s="6" t="s">
        <v>625</v>
      </c>
      <c r="G108" s="6" t="s">
        <v>716</v>
      </c>
      <c r="H108" s="9" t="n">
        <v>521286</v>
      </c>
      <c r="K108" s="6" t="s">
        <v>384</v>
      </c>
      <c r="L108" s="6" t="s">
        <v>13</v>
      </c>
      <c r="M108" s="6" t="s">
        <v>184</v>
      </c>
      <c r="N108" s="6" t="s">
        <v>717</v>
      </c>
      <c r="O108" s="6"/>
      <c r="P108" s="6"/>
    </row>
    <row r="109" customFormat="false" ht="15" hidden="false" customHeight="false" outlineLevel="0" collapsed="false">
      <c r="A109" s="6" t="s">
        <v>718</v>
      </c>
      <c r="B109" s="6" t="s">
        <v>191</v>
      </c>
      <c r="C109" s="7" t="n">
        <v>45930</v>
      </c>
      <c r="D109" s="6" t="s">
        <v>380</v>
      </c>
      <c r="E109" s="6" t="s">
        <v>381</v>
      </c>
      <c r="F109" s="6" t="s">
        <v>625</v>
      </c>
      <c r="G109" s="6" t="s">
        <v>719</v>
      </c>
      <c r="H109" s="9" t="n">
        <v>281067</v>
      </c>
      <c r="K109" s="6" t="s">
        <v>384</v>
      </c>
      <c r="L109" s="6" t="s">
        <v>13</v>
      </c>
      <c r="M109" s="6" t="s">
        <v>189</v>
      </c>
      <c r="N109" s="6" t="s">
        <v>720</v>
      </c>
      <c r="O109" s="6"/>
      <c r="P109" s="6"/>
    </row>
    <row r="110" customFormat="false" ht="15" hidden="false" customHeight="false" outlineLevel="0" collapsed="false">
      <c r="A110" s="6" t="s">
        <v>721</v>
      </c>
      <c r="B110" s="6" t="s">
        <v>491</v>
      </c>
      <c r="C110" s="7" t="n">
        <v>45930</v>
      </c>
      <c r="D110" s="6" t="s">
        <v>400</v>
      </c>
      <c r="E110" s="6" t="s">
        <v>381</v>
      </c>
      <c r="F110" s="6" t="s">
        <v>625</v>
      </c>
      <c r="G110" s="6" t="s">
        <v>722</v>
      </c>
      <c r="H110" s="9" t="n">
        <v>802353</v>
      </c>
      <c r="K110" s="6" t="s">
        <v>384</v>
      </c>
      <c r="L110" s="6" t="s">
        <v>13</v>
      </c>
      <c r="M110" s="6" t="s">
        <v>189</v>
      </c>
      <c r="N110" s="6" t="s">
        <v>723</v>
      </c>
      <c r="O110" s="6"/>
      <c r="P110" s="6"/>
    </row>
    <row r="111" customFormat="false" ht="15" hidden="false" customHeight="false" outlineLevel="0" collapsed="false">
      <c r="A111" s="6" t="s">
        <v>724</v>
      </c>
      <c r="B111" s="6" t="s">
        <v>196</v>
      </c>
      <c r="C111" s="7" t="n">
        <v>46022</v>
      </c>
      <c r="D111" s="6" t="s">
        <v>380</v>
      </c>
      <c r="E111" s="6" t="s">
        <v>381</v>
      </c>
      <c r="F111" s="6" t="s">
        <v>625</v>
      </c>
      <c r="G111" s="6" t="s">
        <v>725</v>
      </c>
      <c r="H111" s="9" t="n">
        <v>296545</v>
      </c>
      <c r="K111" s="6" t="s">
        <v>384</v>
      </c>
      <c r="L111" s="6" t="s">
        <v>13</v>
      </c>
      <c r="M111" s="6" t="s">
        <v>194</v>
      </c>
      <c r="N111" s="6" t="s">
        <v>726</v>
      </c>
      <c r="O111" s="6"/>
      <c r="P111" s="6"/>
    </row>
    <row r="112" customFormat="false" ht="15" hidden="false" customHeight="false" outlineLevel="0" collapsed="false">
      <c r="A112" s="6" t="s">
        <v>727</v>
      </c>
      <c r="B112" s="6" t="s">
        <v>235</v>
      </c>
      <c r="C112" s="7" t="n">
        <v>46022</v>
      </c>
      <c r="D112" s="6" t="s">
        <v>407</v>
      </c>
      <c r="E112" s="6" t="s">
        <v>381</v>
      </c>
      <c r="F112" s="6" t="s">
        <v>625</v>
      </c>
      <c r="G112" s="6" t="s">
        <v>728</v>
      </c>
      <c r="H112" s="9" t="n">
        <v>1098898</v>
      </c>
      <c r="K112" s="6" t="s">
        <v>384</v>
      </c>
      <c r="L112" s="6" t="s">
        <v>13</v>
      </c>
      <c r="M112" s="6" t="s">
        <v>194</v>
      </c>
      <c r="N112" s="6" t="s">
        <v>729</v>
      </c>
      <c r="O112" s="6"/>
      <c r="P112" s="6"/>
    </row>
    <row r="113" customFormat="false" ht="15" hidden="false" customHeight="false" outlineLevel="0" collapsed="false">
      <c r="A113" s="6" t="s">
        <v>730</v>
      </c>
      <c r="B113" s="6" t="s">
        <v>201</v>
      </c>
      <c r="C113" s="7" t="n">
        <v>46112</v>
      </c>
      <c r="D113" s="6" t="s">
        <v>380</v>
      </c>
      <c r="E113" s="6" t="s">
        <v>381</v>
      </c>
      <c r="F113" s="6" t="s">
        <v>625</v>
      </c>
      <c r="G113" s="6" t="s">
        <v>731</v>
      </c>
      <c r="H113" s="9" t="n">
        <v>313141</v>
      </c>
      <c r="K113" s="6" t="s">
        <v>384</v>
      </c>
      <c r="L113" s="6" t="s">
        <v>13</v>
      </c>
      <c r="M113" s="6" t="s">
        <v>199</v>
      </c>
      <c r="N113" s="6" t="s">
        <v>732</v>
      </c>
      <c r="O113" s="6"/>
      <c r="P113" s="6"/>
    </row>
    <row r="114" customFormat="false" ht="15" hidden="false" customHeight="false" outlineLevel="0" collapsed="false">
      <c r="A114" s="6" t="s">
        <v>733</v>
      </c>
      <c r="B114" s="6" t="s">
        <v>206</v>
      </c>
      <c r="C114" s="7" t="n">
        <v>46203</v>
      </c>
      <c r="D114" s="6" t="s">
        <v>380</v>
      </c>
      <c r="E114" s="6" t="s">
        <v>381</v>
      </c>
      <c r="F114" s="6" t="s">
        <v>625</v>
      </c>
      <c r="G114" s="6" t="s">
        <v>734</v>
      </c>
      <c r="H114" s="9" t="n">
        <v>321960</v>
      </c>
      <c r="K114" s="6" t="s">
        <v>384</v>
      </c>
      <c r="L114" s="6" t="s">
        <v>13</v>
      </c>
      <c r="M114" s="6" t="s">
        <v>204</v>
      </c>
      <c r="N114" s="6" t="s">
        <v>735</v>
      </c>
      <c r="O114" s="6"/>
      <c r="P114" s="6"/>
    </row>
    <row r="115" customFormat="false" ht="15" hidden="false" customHeight="false" outlineLevel="0" collapsed="false">
      <c r="A115" s="6" t="s">
        <v>736</v>
      </c>
      <c r="B115" s="6" t="s">
        <v>263</v>
      </c>
      <c r="C115" s="7" t="n">
        <v>46203</v>
      </c>
      <c r="D115" s="6" t="s">
        <v>392</v>
      </c>
      <c r="E115" s="6" t="s">
        <v>381</v>
      </c>
      <c r="F115" s="6" t="s">
        <v>625</v>
      </c>
      <c r="G115" s="6" t="s">
        <v>737</v>
      </c>
      <c r="H115" s="9" t="n">
        <v>635101</v>
      </c>
      <c r="K115" s="6" t="s">
        <v>384</v>
      </c>
      <c r="L115" s="6" t="s">
        <v>13</v>
      </c>
      <c r="M115" s="6" t="s">
        <v>204</v>
      </c>
      <c r="N115" s="6" t="s">
        <v>738</v>
      </c>
      <c r="O115" s="6"/>
      <c r="P115" s="6"/>
    </row>
    <row r="116" customFormat="false" ht="15" hidden="false" customHeight="false" outlineLevel="0" collapsed="false">
      <c r="A116" s="6" t="s">
        <v>739</v>
      </c>
      <c r="B116" s="6" t="s">
        <v>379</v>
      </c>
      <c r="C116" s="7" t="n">
        <v>44286</v>
      </c>
      <c r="D116" s="6" t="s">
        <v>380</v>
      </c>
      <c r="E116" s="6" t="s">
        <v>381</v>
      </c>
      <c r="F116" s="6" t="s">
        <v>740</v>
      </c>
      <c r="G116" s="6" t="s">
        <v>741</v>
      </c>
      <c r="H116" s="10" t="n">
        <v>0.87</v>
      </c>
      <c r="K116" s="6" t="s">
        <v>742</v>
      </c>
      <c r="L116" s="6" t="s">
        <v>13</v>
      </c>
      <c r="M116" s="6" t="s">
        <v>119</v>
      </c>
      <c r="N116" s="6" t="s">
        <v>743</v>
      </c>
      <c r="O116" s="6"/>
      <c r="P116" s="6" t="s">
        <v>386</v>
      </c>
    </row>
    <row r="117" customFormat="false" ht="15" hidden="false" customHeight="false" outlineLevel="0" collapsed="false">
      <c r="A117" s="6" t="s">
        <v>744</v>
      </c>
      <c r="B117" s="6" t="s">
        <v>103</v>
      </c>
      <c r="C117" s="7" t="n">
        <v>44377</v>
      </c>
      <c r="D117" s="6" t="s">
        <v>380</v>
      </c>
      <c r="E117" s="6" t="s">
        <v>381</v>
      </c>
      <c r="F117" s="6" t="s">
        <v>740</v>
      </c>
      <c r="G117" s="6" t="s">
        <v>741</v>
      </c>
      <c r="H117" s="10" t="n">
        <v>0.87</v>
      </c>
      <c r="K117" s="6" t="s">
        <v>742</v>
      </c>
      <c r="L117" s="6" t="s">
        <v>13</v>
      </c>
      <c r="M117" s="6" t="s">
        <v>100</v>
      </c>
      <c r="N117" s="6" t="s">
        <v>745</v>
      </c>
      <c r="O117" s="6"/>
      <c r="P117" s="6"/>
    </row>
    <row r="118" customFormat="false" ht="15" hidden="false" customHeight="false" outlineLevel="0" collapsed="false">
      <c r="A118" s="6" t="s">
        <v>746</v>
      </c>
      <c r="B118" s="6" t="s">
        <v>391</v>
      </c>
      <c r="C118" s="7" t="n">
        <v>44377</v>
      </c>
      <c r="D118" s="6" t="s">
        <v>392</v>
      </c>
      <c r="E118" s="6" t="s">
        <v>381</v>
      </c>
      <c r="F118" s="6" t="s">
        <v>740</v>
      </c>
      <c r="G118" s="6" t="s">
        <v>741</v>
      </c>
      <c r="H118" s="10" t="n">
        <v>0.87</v>
      </c>
      <c r="K118" s="6" t="s">
        <v>742</v>
      </c>
      <c r="L118" s="6" t="s">
        <v>13</v>
      </c>
      <c r="M118" s="6" t="s">
        <v>100</v>
      </c>
      <c r="N118" s="6" t="s">
        <v>747</v>
      </c>
      <c r="O118" s="6"/>
      <c r="P118" s="6"/>
    </row>
    <row r="119" customFormat="false" ht="15" hidden="false" customHeight="false" outlineLevel="0" collapsed="false">
      <c r="A119" s="6" t="s">
        <v>748</v>
      </c>
      <c r="B119" s="6" t="s">
        <v>111</v>
      </c>
      <c r="C119" s="7" t="n">
        <v>44469</v>
      </c>
      <c r="D119" s="6" t="s">
        <v>380</v>
      </c>
      <c r="E119" s="6" t="s">
        <v>381</v>
      </c>
      <c r="F119" s="6" t="s">
        <v>740</v>
      </c>
      <c r="G119" s="6" t="s">
        <v>749</v>
      </c>
      <c r="H119" s="10" t="n">
        <v>0.88</v>
      </c>
      <c r="K119" s="6" t="s">
        <v>742</v>
      </c>
      <c r="L119" s="6" t="s">
        <v>13</v>
      </c>
      <c r="M119" s="6" t="s">
        <v>109</v>
      </c>
      <c r="N119" s="6" t="s">
        <v>750</v>
      </c>
      <c r="O119" s="6"/>
      <c r="P119" s="6"/>
    </row>
    <row r="120" customFormat="false" ht="15" hidden="false" customHeight="false" outlineLevel="0" collapsed="false">
      <c r="A120" s="6" t="s">
        <v>751</v>
      </c>
      <c r="B120" s="6" t="s">
        <v>399</v>
      </c>
      <c r="C120" s="7" t="n">
        <v>44469</v>
      </c>
      <c r="D120" s="6" t="s">
        <v>400</v>
      </c>
      <c r="E120" s="6" t="s">
        <v>381</v>
      </c>
      <c r="F120" s="6" t="s">
        <v>740</v>
      </c>
      <c r="G120" s="6" t="s">
        <v>741</v>
      </c>
      <c r="H120" s="10" t="n">
        <v>0.87</v>
      </c>
      <c r="K120" s="6" t="s">
        <v>742</v>
      </c>
      <c r="L120" s="6" t="s">
        <v>13</v>
      </c>
      <c r="M120" s="6" t="s">
        <v>109</v>
      </c>
      <c r="N120" s="6" t="s">
        <v>752</v>
      </c>
      <c r="O120" s="6"/>
      <c r="P120" s="6"/>
    </row>
    <row r="121" customFormat="false" ht="15" hidden="false" customHeight="false" outlineLevel="0" collapsed="false">
      <c r="A121" s="6" t="s">
        <v>753</v>
      </c>
      <c r="B121" s="6" t="s">
        <v>116</v>
      </c>
      <c r="C121" s="7" t="n">
        <v>44561</v>
      </c>
      <c r="D121" s="6" t="s">
        <v>380</v>
      </c>
      <c r="E121" s="6" t="s">
        <v>381</v>
      </c>
      <c r="F121" s="6" t="s">
        <v>740</v>
      </c>
      <c r="G121" s="6" t="s">
        <v>749</v>
      </c>
      <c r="H121" s="10" t="n">
        <v>0.88</v>
      </c>
      <c r="K121" s="6" t="s">
        <v>742</v>
      </c>
      <c r="L121" s="6" t="s">
        <v>13</v>
      </c>
      <c r="M121" s="6" t="s">
        <v>114</v>
      </c>
      <c r="N121" s="6" t="s">
        <v>754</v>
      </c>
      <c r="O121" s="6"/>
      <c r="P121" s="6"/>
    </row>
    <row r="122" customFormat="false" ht="15" hidden="false" customHeight="false" outlineLevel="0" collapsed="false">
      <c r="A122" s="6" t="s">
        <v>755</v>
      </c>
      <c r="B122" s="6" t="s">
        <v>212</v>
      </c>
      <c r="C122" s="7" t="n">
        <v>44561</v>
      </c>
      <c r="D122" s="6" t="s">
        <v>407</v>
      </c>
      <c r="E122" s="6" t="s">
        <v>381</v>
      </c>
      <c r="F122" s="6" t="s">
        <v>740</v>
      </c>
      <c r="G122" s="6" t="s">
        <v>741</v>
      </c>
      <c r="H122" s="10" t="n">
        <v>0.87</v>
      </c>
      <c r="K122" s="6" t="s">
        <v>742</v>
      </c>
      <c r="L122" s="6" t="s">
        <v>13</v>
      </c>
      <c r="M122" s="6" t="s">
        <v>114</v>
      </c>
      <c r="N122" s="6" t="s">
        <v>756</v>
      </c>
      <c r="O122" s="6"/>
      <c r="P122" s="6"/>
    </row>
    <row r="123" customFormat="false" ht="15" hidden="false" customHeight="false" outlineLevel="0" collapsed="false">
      <c r="A123" s="6" t="s">
        <v>757</v>
      </c>
      <c r="B123" s="6" t="s">
        <v>121</v>
      </c>
      <c r="C123" s="7" t="n">
        <v>44651</v>
      </c>
      <c r="D123" s="6" t="s">
        <v>380</v>
      </c>
      <c r="E123" s="6" t="s">
        <v>381</v>
      </c>
      <c r="F123" s="6" t="s">
        <v>740</v>
      </c>
      <c r="G123" s="6" t="s">
        <v>741</v>
      </c>
      <c r="H123" s="10" t="n">
        <v>0.87</v>
      </c>
      <c r="K123" s="6" t="s">
        <v>742</v>
      </c>
      <c r="L123" s="6" t="s">
        <v>13</v>
      </c>
      <c r="M123" s="6" t="s">
        <v>119</v>
      </c>
      <c r="N123" s="6" t="s">
        <v>758</v>
      </c>
      <c r="O123" s="6"/>
      <c r="P123" s="6"/>
    </row>
    <row r="124" customFormat="false" ht="15" hidden="false" customHeight="false" outlineLevel="0" collapsed="false">
      <c r="A124" s="6" t="s">
        <v>759</v>
      </c>
      <c r="B124" s="6" t="s">
        <v>126</v>
      </c>
      <c r="C124" s="7" t="n">
        <v>44742</v>
      </c>
      <c r="D124" s="6" t="s">
        <v>380</v>
      </c>
      <c r="E124" s="6" t="s">
        <v>381</v>
      </c>
      <c r="F124" s="6" t="s">
        <v>740</v>
      </c>
      <c r="G124" s="6" t="s">
        <v>760</v>
      </c>
      <c r="H124" s="10" t="n">
        <v>0.86</v>
      </c>
      <c r="K124" s="6" t="s">
        <v>742</v>
      </c>
      <c r="L124" s="6" t="s">
        <v>13</v>
      </c>
      <c r="M124" s="6" t="s">
        <v>124</v>
      </c>
      <c r="N124" s="6" t="s">
        <v>761</v>
      </c>
      <c r="O124" s="6"/>
      <c r="P124" s="6"/>
    </row>
    <row r="125" customFormat="false" ht="15" hidden="false" customHeight="false" outlineLevel="0" collapsed="false">
      <c r="A125" s="6" t="s">
        <v>762</v>
      </c>
      <c r="B125" s="6" t="s">
        <v>417</v>
      </c>
      <c r="C125" s="7" t="n">
        <v>44742</v>
      </c>
      <c r="D125" s="6" t="s">
        <v>392</v>
      </c>
      <c r="E125" s="6" t="s">
        <v>381</v>
      </c>
      <c r="F125" s="6" t="s">
        <v>740</v>
      </c>
      <c r="G125" s="6" t="s">
        <v>741</v>
      </c>
      <c r="H125" s="10" t="n">
        <v>0.87</v>
      </c>
      <c r="K125" s="6" t="s">
        <v>742</v>
      </c>
      <c r="L125" s="6" t="s">
        <v>13</v>
      </c>
      <c r="M125" s="6" t="s">
        <v>124</v>
      </c>
      <c r="N125" s="6" t="s">
        <v>763</v>
      </c>
      <c r="O125" s="6"/>
      <c r="P125" s="6"/>
    </row>
    <row r="126" customFormat="false" ht="15" hidden="false" customHeight="false" outlineLevel="0" collapsed="false">
      <c r="A126" s="6" t="s">
        <v>764</v>
      </c>
      <c r="B126" s="6" t="s">
        <v>131</v>
      </c>
      <c r="C126" s="7" t="n">
        <v>44834</v>
      </c>
      <c r="D126" s="6" t="s">
        <v>380</v>
      </c>
      <c r="E126" s="6" t="s">
        <v>381</v>
      </c>
      <c r="F126" s="6" t="s">
        <v>740</v>
      </c>
      <c r="G126" s="6" t="s">
        <v>741</v>
      </c>
      <c r="H126" s="10" t="n">
        <v>0.87</v>
      </c>
      <c r="K126" s="6" t="s">
        <v>742</v>
      </c>
      <c r="L126" s="6" t="s">
        <v>13</v>
      </c>
      <c r="M126" s="6" t="s">
        <v>129</v>
      </c>
      <c r="N126" s="6" t="s">
        <v>765</v>
      </c>
      <c r="O126" s="6"/>
      <c r="P126" s="6"/>
    </row>
    <row r="127" customFormat="false" ht="15" hidden="false" customHeight="false" outlineLevel="0" collapsed="false">
      <c r="A127" s="6" t="s">
        <v>766</v>
      </c>
      <c r="B127" s="6" t="s">
        <v>424</v>
      </c>
      <c r="C127" s="7" t="n">
        <v>44834</v>
      </c>
      <c r="D127" s="6" t="s">
        <v>400</v>
      </c>
      <c r="E127" s="6" t="s">
        <v>381</v>
      </c>
      <c r="F127" s="6" t="s">
        <v>740</v>
      </c>
      <c r="G127" s="6" t="s">
        <v>741</v>
      </c>
      <c r="H127" s="10" t="n">
        <v>0.87</v>
      </c>
      <c r="K127" s="6" t="s">
        <v>742</v>
      </c>
      <c r="L127" s="6" t="s">
        <v>13</v>
      </c>
      <c r="M127" s="6" t="s">
        <v>129</v>
      </c>
      <c r="N127" s="6" t="s">
        <v>767</v>
      </c>
      <c r="O127" s="6"/>
      <c r="P127" s="6"/>
    </row>
    <row r="128" customFormat="false" ht="15" hidden="false" customHeight="false" outlineLevel="0" collapsed="false">
      <c r="A128" s="6" t="s">
        <v>768</v>
      </c>
      <c r="B128" s="6" t="s">
        <v>136</v>
      </c>
      <c r="C128" s="7" t="n">
        <v>44926</v>
      </c>
      <c r="D128" s="6" t="s">
        <v>380</v>
      </c>
      <c r="E128" s="6" t="s">
        <v>381</v>
      </c>
      <c r="F128" s="6" t="s">
        <v>740</v>
      </c>
      <c r="G128" s="6" t="s">
        <v>749</v>
      </c>
      <c r="H128" s="10" t="n">
        <v>0.88</v>
      </c>
      <c r="K128" s="6" t="s">
        <v>742</v>
      </c>
      <c r="L128" s="6" t="s">
        <v>13</v>
      </c>
      <c r="M128" s="6" t="s">
        <v>134</v>
      </c>
      <c r="N128" s="6" t="s">
        <v>769</v>
      </c>
      <c r="O128" s="6"/>
      <c r="P128" s="6"/>
    </row>
    <row r="129" customFormat="false" ht="15" hidden="false" customHeight="false" outlineLevel="0" collapsed="false">
      <c r="A129" s="6" t="s">
        <v>770</v>
      </c>
      <c r="B129" s="6" t="s">
        <v>220</v>
      </c>
      <c r="C129" s="7" t="n">
        <v>44926</v>
      </c>
      <c r="D129" s="6" t="s">
        <v>407</v>
      </c>
      <c r="E129" s="6" t="s">
        <v>381</v>
      </c>
      <c r="F129" s="6" t="s">
        <v>740</v>
      </c>
      <c r="G129" s="6" t="s">
        <v>741</v>
      </c>
      <c r="H129" s="10" t="n">
        <v>0.87</v>
      </c>
      <c r="K129" s="6" t="s">
        <v>742</v>
      </c>
      <c r="L129" s="6" t="s">
        <v>13</v>
      </c>
      <c r="M129" s="6" t="s">
        <v>134</v>
      </c>
      <c r="N129" s="6" t="s">
        <v>771</v>
      </c>
      <c r="O129" s="6"/>
      <c r="P129" s="6"/>
    </row>
    <row r="130" customFormat="false" ht="15" hidden="false" customHeight="false" outlineLevel="0" collapsed="false">
      <c r="A130" s="6" t="s">
        <v>772</v>
      </c>
      <c r="B130" s="6" t="s">
        <v>141</v>
      </c>
      <c r="C130" s="7" t="n">
        <v>45016</v>
      </c>
      <c r="D130" s="6" t="s">
        <v>380</v>
      </c>
      <c r="E130" s="6" t="s">
        <v>381</v>
      </c>
      <c r="F130" s="6" t="s">
        <v>740</v>
      </c>
      <c r="G130" s="6" t="s">
        <v>773</v>
      </c>
      <c r="H130" s="10" t="n">
        <v>0.9</v>
      </c>
      <c r="K130" s="6" t="s">
        <v>742</v>
      </c>
      <c r="L130" s="6" t="s">
        <v>13</v>
      </c>
      <c r="M130" s="6" t="s">
        <v>139</v>
      </c>
      <c r="N130" s="6" t="s">
        <v>774</v>
      </c>
      <c r="O130" s="6"/>
      <c r="P130" s="6"/>
    </row>
    <row r="131" customFormat="false" ht="15" hidden="false" customHeight="false" outlineLevel="0" collapsed="false">
      <c r="A131" s="6" t="s">
        <v>775</v>
      </c>
      <c r="B131" s="6" t="s">
        <v>146</v>
      </c>
      <c r="C131" s="7" t="n">
        <v>45107</v>
      </c>
      <c r="D131" s="6" t="s">
        <v>380</v>
      </c>
      <c r="E131" s="6" t="s">
        <v>381</v>
      </c>
      <c r="F131" s="6" t="s">
        <v>740</v>
      </c>
      <c r="G131" s="6" t="s">
        <v>776</v>
      </c>
      <c r="H131" s="10" t="n">
        <v>0.89</v>
      </c>
      <c r="K131" s="6" t="s">
        <v>742</v>
      </c>
      <c r="L131" s="6" t="s">
        <v>13</v>
      </c>
      <c r="M131" s="6" t="s">
        <v>144</v>
      </c>
      <c r="N131" s="6" t="s">
        <v>777</v>
      </c>
      <c r="O131" s="6"/>
      <c r="P131" s="6"/>
    </row>
    <row r="132" customFormat="false" ht="15" hidden="false" customHeight="false" outlineLevel="0" collapsed="false">
      <c r="A132" s="6" t="s">
        <v>778</v>
      </c>
      <c r="B132" s="6" t="s">
        <v>440</v>
      </c>
      <c r="C132" s="7" t="n">
        <v>45107</v>
      </c>
      <c r="D132" s="6" t="s">
        <v>392</v>
      </c>
      <c r="E132" s="6" t="s">
        <v>381</v>
      </c>
      <c r="F132" s="6" t="s">
        <v>740</v>
      </c>
      <c r="G132" s="6" t="s">
        <v>776</v>
      </c>
      <c r="H132" s="10" t="n">
        <v>0.89</v>
      </c>
      <c r="K132" s="6" t="s">
        <v>742</v>
      </c>
      <c r="L132" s="6" t="s">
        <v>13</v>
      </c>
      <c r="M132" s="6" t="s">
        <v>144</v>
      </c>
      <c r="N132" s="6" t="s">
        <v>779</v>
      </c>
      <c r="O132" s="6"/>
      <c r="P132" s="6"/>
    </row>
    <row r="133" customFormat="false" ht="15" hidden="false" customHeight="false" outlineLevel="0" collapsed="false">
      <c r="A133" s="6" t="s">
        <v>780</v>
      </c>
      <c r="B133" s="6" t="s">
        <v>151</v>
      </c>
      <c r="C133" s="7" t="n">
        <v>45199</v>
      </c>
      <c r="D133" s="6" t="s">
        <v>380</v>
      </c>
      <c r="E133" s="6" t="s">
        <v>381</v>
      </c>
      <c r="F133" s="6" t="s">
        <v>740</v>
      </c>
      <c r="G133" s="6" t="s">
        <v>776</v>
      </c>
      <c r="H133" s="10" t="n">
        <v>0.89</v>
      </c>
      <c r="K133" s="6" t="s">
        <v>742</v>
      </c>
      <c r="L133" s="6" t="s">
        <v>13</v>
      </c>
      <c r="M133" s="6" t="s">
        <v>149</v>
      </c>
      <c r="N133" s="6" t="s">
        <v>781</v>
      </c>
      <c r="O133" s="6"/>
      <c r="P133" s="6"/>
    </row>
    <row r="134" customFormat="false" ht="15" hidden="false" customHeight="false" outlineLevel="0" collapsed="false">
      <c r="A134" s="6" t="s">
        <v>782</v>
      </c>
      <c r="B134" s="6" t="s">
        <v>447</v>
      </c>
      <c r="C134" s="7" t="n">
        <v>45199</v>
      </c>
      <c r="D134" s="6" t="s">
        <v>400</v>
      </c>
      <c r="E134" s="6" t="s">
        <v>381</v>
      </c>
      <c r="F134" s="6" t="s">
        <v>740</v>
      </c>
      <c r="G134" s="6" t="s">
        <v>776</v>
      </c>
      <c r="H134" s="10" t="n">
        <v>0.89</v>
      </c>
      <c r="K134" s="6" t="s">
        <v>742</v>
      </c>
      <c r="L134" s="6" t="s">
        <v>13</v>
      </c>
      <c r="M134" s="6" t="s">
        <v>149</v>
      </c>
      <c r="N134" s="6" t="s">
        <v>783</v>
      </c>
      <c r="O134" s="6"/>
      <c r="P134" s="6"/>
    </row>
    <row r="135" customFormat="false" ht="15" hidden="false" customHeight="false" outlineLevel="0" collapsed="false">
      <c r="A135" s="6" t="s">
        <v>784</v>
      </c>
      <c r="B135" s="6" t="s">
        <v>156</v>
      </c>
      <c r="C135" s="7" t="n">
        <v>45291</v>
      </c>
      <c r="D135" s="6" t="s">
        <v>380</v>
      </c>
      <c r="E135" s="6" t="s">
        <v>381</v>
      </c>
      <c r="F135" s="6" t="s">
        <v>740</v>
      </c>
      <c r="G135" s="6" t="s">
        <v>776</v>
      </c>
      <c r="H135" s="10" t="n">
        <v>0.89</v>
      </c>
      <c r="K135" s="6" t="s">
        <v>742</v>
      </c>
      <c r="L135" s="6" t="s">
        <v>13</v>
      </c>
      <c r="M135" s="6" t="s">
        <v>154</v>
      </c>
      <c r="N135" s="6" t="s">
        <v>785</v>
      </c>
      <c r="O135" s="6"/>
      <c r="P135" s="6"/>
    </row>
    <row r="136" customFormat="false" ht="15" hidden="false" customHeight="false" outlineLevel="0" collapsed="false">
      <c r="A136" s="6" t="s">
        <v>786</v>
      </c>
      <c r="B136" s="6" t="s">
        <v>225</v>
      </c>
      <c r="C136" s="7" t="n">
        <v>45291</v>
      </c>
      <c r="D136" s="6" t="s">
        <v>407</v>
      </c>
      <c r="E136" s="6" t="s">
        <v>381</v>
      </c>
      <c r="F136" s="6" t="s">
        <v>740</v>
      </c>
      <c r="G136" s="6" t="s">
        <v>776</v>
      </c>
      <c r="H136" s="10" t="n">
        <v>0.89</v>
      </c>
      <c r="K136" s="6" t="s">
        <v>742</v>
      </c>
      <c r="L136" s="6" t="s">
        <v>13</v>
      </c>
      <c r="M136" s="6" t="s">
        <v>154</v>
      </c>
      <c r="N136" s="6" t="s">
        <v>787</v>
      </c>
      <c r="O136" s="6"/>
      <c r="P136" s="6"/>
    </row>
    <row r="137" customFormat="false" ht="15" hidden="false" customHeight="false" outlineLevel="0" collapsed="false">
      <c r="A137" s="6" t="s">
        <v>788</v>
      </c>
      <c r="B137" s="6" t="s">
        <v>161</v>
      </c>
      <c r="C137" s="7" t="n">
        <v>45382</v>
      </c>
      <c r="D137" s="6" t="s">
        <v>380</v>
      </c>
      <c r="E137" s="6" t="s">
        <v>381</v>
      </c>
      <c r="F137" s="6" t="s">
        <v>740</v>
      </c>
      <c r="G137" s="6" t="s">
        <v>776</v>
      </c>
      <c r="H137" s="10" t="n">
        <v>0.89</v>
      </c>
      <c r="K137" s="6" t="s">
        <v>742</v>
      </c>
      <c r="L137" s="6" t="s">
        <v>13</v>
      </c>
      <c r="M137" s="6" t="s">
        <v>159</v>
      </c>
      <c r="N137" s="6" t="s">
        <v>789</v>
      </c>
      <c r="O137" s="6"/>
      <c r="P137" s="6"/>
    </row>
    <row r="138" customFormat="false" ht="15" hidden="false" customHeight="false" outlineLevel="0" collapsed="false">
      <c r="A138" s="6" t="s">
        <v>790</v>
      </c>
      <c r="B138" s="6" t="s">
        <v>166</v>
      </c>
      <c r="C138" s="7" t="n">
        <v>45473</v>
      </c>
      <c r="D138" s="6" t="s">
        <v>380</v>
      </c>
      <c r="E138" s="6" t="s">
        <v>381</v>
      </c>
      <c r="F138" s="6" t="s">
        <v>740</v>
      </c>
      <c r="G138" s="6" t="s">
        <v>773</v>
      </c>
      <c r="H138" s="10" t="n">
        <v>0.9</v>
      </c>
      <c r="K138" s="6" t="s">
        <v>742</v>
      </c>
      <c r="L138" s="6" t="s">
        <v>13</v>
      </c>
      <c r="M138" s="6" t="s">
        <v>164</v>
      </c>
      <c r="N138" s="6" t="s">
        <v>791</v>
      </c>
      <c r="O138" s="6"/>
      <c r="P138" s="6"/>
    </row>
    <row r="139" customFormat="false" ht="15" hidden="false" customHeight="false" outlineLevel="0" collapsed="false">
      <c r="A139" s="6" t="s">
        <v>792</v>
      </c>
      <c r="B139" s="6" t="s">
        <v>241</v>
      </c>
      <c r="C139" s="7" t="n">
        <v>45473</v>
      </c>
      <c r="D139" s="6" t="s">
        <v>392</v>
      </c>
      <c r="E139" s="6" t="s">
        <v>381</v>
      </c>
      <c r="F139" s="6" t="s">
        <v>740</v>
      </c>
      <c r="G139" s="6" t="s">
        <v>773</v>
      </c>
      <c r="H139" s="10" t="n">
        <v>0.9</v>
      </c>
      <c r="K139" s="6" t="s">
        <v>742</v>
      </c>
      <c r="L139" s="6" t="s">
        <v>13</v>
      </c>
      <c r="M139" s="6" t="s">
        <v>164</v>
      </c>
      <c r="N139" s="6" t="s">
        <v>793</v>
      </c>
      <c r="O139" s="6"/>
      <c r="P139" s="6"/>
    </row>
    <row r="140" customFormat="false" ht="15" hidden="false" customHeight="false" outlineLevel="0" collapsed="false">
      <c r="A140" s="6" t="s">
        <v>794</v>
      </c>
      <c r="B140" s="6" t="s">
        <v>171</v>
      </c>
      <c r="C140" s="7" t="n">
        <v>45565</v>
      </c>
      <c r="D140" s="6" t="s">
        <v>380</v>
      </c>
      <c r="E140" s="6" t="s">
        <v>381</v>
      </c>
      <c r="F140" s="6" t="s">
        <v>740</v>
      </c>
      <c r="G140" s="6" t="s">
        <v>773</v>
      </c>
      <c r="H140" s="10" t="n">
        <v>0.9</v>
      </c>
      <c r="K140" s="6" t="s">
        <v>742</v>
      </c>
      <c r="L140" s="6" t="s">
        <v>13</v>
      </c>
      <c r="M140" s="6" t="s">
        <v>169</v>
      </c>
      <c r="N140" s="6" t="s">
        <v>795</v>
      </c>
      <c r="O140" s="6"/>
      <c r="P140" s="6"/>
    </row>
    <row r="141" customFormat="false" ht="15" hidden="false" customHeight="false" outlineLevel="0" collapsed="false">
      <c r="A141" s="6" t="s">
        <v>796</v>
      </c>
      <c r="B141" s="6" t="s">
        <v>469</v>
      </c>
      <c r="C141" s="7" t="n">
        <v>45565</v>
      </c>
      <c r="D141" s="6" t="s">
        <v>400</v>
      </c>
      <c r="E141" s="6" t="s">
        <v>381</v>
      </c>
      <c r="F141" s="6" t="s">
        <v>740</v>
      </c>
      <c r="G141" s="6" t="s">
        <v>773</v>
      </c>
      <c r="H141" s="10" t="n">
        <v>0.9</v>
      </c>
      <c r="K141" s="6" t="s">
        <v>742</v>
      </c>
      <c r="L141" s="6" t="s">
        <v>13</v>
      </c>
      <c r="M141" s="6" t="s">
        <v>169</v>
      </c>
      <c r="N141" s="6" t="s">
        <v>797</v>
      </c>
      <c r="O141" s="6"/>
      <c r="P141" s="6"/>
    </row>
    <row r="142" customFormat="false" ht="15" hidden="false" customHeight="false" outlineLevel="0" collapsed="false">
      <c r="A142" s="6" t="s">
        <v>798</v>
      </c>
      <c r="B142" s="6" t="s">
        <v>176</v>
      </c>
      <c r="C142" s="7" t="n">
        <v>45657</v>
      </c>
      <c r="D142" s="6" t="s">
        <v>380</v>
      </c>
      <c r="E142" s="6" t="s">
        <v>381</v>
      </c>
      <c r="F142" s="6" t="s">
        <v>740</v>
      </c>
      <c r="G142" s="6" t="s">
        <v>776</v>
      </c>
      <c r="H142" s="10" t="n">
        <v>0.89</v>
      </c>
      <c r="K142" s="6" t="s">
        <v>742</v>
      </c>
      <c r="L142" s="6" t="s">
        <v>13</v>
      </c>
      <c r="M142" s="6" t="s">
        <v>174</v>
      </c>
      <c r="N142" s="6" t="s">
        <v>799</v>
      </c>
      <c r="O142" s="6"/>
      <c r="P142" s="6"/>
    </row>
    <row r="143" customFormat="false" ht="15" hidden="false" customHeight="false" outlineLevel="0" collapsed="false">
      <c r="A143" s="6" t="s">
        <v>800</v>
      </c>
      <c r="B143" s="6" t="s">
        <v>230</v>
      </c>
      <c r="C143" s="7" t="n">
        <v>45657</v>
      </c>
      <c r="D143" s="6" t="s">
        <v>407</v>
      </c>
      <c r="E143" s="6" t="s">
        <v>381</v>
      </c>
      <c r="F143" s="6" t="s">
        <v>740</v>
      </c>
      <c r="G143" s="6" t="s">
        <v>776</v>
      </c>
      <c r="H143" s="10" t="n">
        <v>0.89</v>
      </c>
      <c r="K143" s="6" t="s">
        <v>742</v>
      </c>
      <c r="L143" s="6" t="s">
        <v>13</v>
      </c>
      <c r="M143" s="6" t="s">
        <v>174</v>
      </c>
      <c r="N143" s="6" t="s">
        <v>801</v>
      </c>
      <c r="O143" s="6"/>
      <c r="P143" s="6"/>
    </row>
    <row r="144" customFormat="false" ht="15" hidden="false" customHeight="false" outlineLevel="0" collapsed="false">
      <c r="A144" s="6" t="s">
        <v>802</v>
      </c>
      <c r="B144" s="6" t="s">
        <v>181</v>
      </c>
      <c r="C144" s="7" t="n">
        <v>45747</v>
      </c>
      <c r="D144" s="6" t="s">
        <v>380</v>
      </c>
      <c r="E144" s="6" t="s">
        <v>381</v>
      </c>
      <c r="F144" s="6" t="s">
        <v>740</v>
      </c>
      <c r="G144" s="6" t="s">
        <v>773</v>
      </c>
      <c r="H144" s="10" t="n">
        <v>0.9</v>
      </c>
      <c r="K144" s="6" t="s">
        <v>742</v>
      </c>
      <c r="L144" s="6" t="s">
        <v>13</v>
      </c>
      <c r="M144" s="6" t="s">
        <v>179</v>
      </c>
      <c r="N144" s="6" t="s">
        <v>803</v>
      </c>
      <c r="O144" s="6"/>
      <c r="P144" s="6"/>
    </row>
    <row r="145" customFormat="false" ht="15" hidden="false" customHeight="false" outlineLevel="0" collapsed="false">
      <c r="A145" s="6" t="s">
        <v>804</v>
      </c>
      <c r="B145" s="6" t="s">
        <v>186</v>
      </c>
      <c r="C145" s="7" t="n">
        <v>45838</v>
      </c>
      <c r="D145" s="6" t="s">
        <v>380</v>
      </c>
      <c r="E145" s="6" t="s">
        <v>381</v>
      </c>
      <c r="F145" s="6" t="s">
        <v>740</v>
      </c>
      <c r="G145" s="6" t="s">
        <v>773</v>
      </c>
      <c r="H145" s="10" t="n">
        <v>0.9</v>
      </c>
      <c r="K145" s="6" t="s">
        <v>742</v>
      </c>
      <c r="L145" s="6" t="s">
        <v>13</v>
      </c>
      <c r="M145" s="6" t="s">
        <v>184</v>
      </c>
      <c r="N145" s="6" t="s">
        <v>805</v>
      </c>
      <c r="O145" s="6"/>
      <c r="P145" s="6"/>
    </row>
    <row r="146" customFormat="false" ht="15" hidden="false" customHeight="false" outlineLevel="0" collapsed="false">
      <c r="A146" s="6" t="s">
        <v>806</v>
      </c>
      <c r="B146" s="6" t="s">
        <v>255</v>
      </c>
      <c r="C146" s="7" t="n">
        <v>45838</v>
      </c>
      <c r="D146" s="6" t="s">
        <v>392</v>
      </c>
      <c r="E146" s="6" t="s">
        <v>381</v>
      </c>
      <c r="F146" s="6" t="s">
        <v>740</v>
      </c>
      <c r="G146" s="6" t="s">
        <v>773</v>
      </c>
      <c r="H146" s="10" t="n">
        <v>0.9</v>
      </c>
      <c r="K146" s="6" t="s">
        <v>742</v>
      </c>
      <c r="L146" s="6" t="s">
        <v>13</v>
      </c>
      <c r="M146" s="6" t="s">
        <v>184</v>
      </c>
      <c r="N146" s="6" t="s">
        <v>807</v>
      </c>
      <c r="O146" s="6"/>
      <c r="P146" s="6"/>
    </row>
    <row r="147" customFormat="false" ht="15" hidden="false" customHeight="false" outlineLevel="0" collapsed="false">
      <c r="A147" s="6" t="s">
        <v>808</v>
      </c>
      <c r="B147" s="6" t="s">
        <v>191</v>
      </c>
      <c r="C147" s="7" t="n">
        <v>45930</v>
      </c>
      <c r="D147" s="6" t="s">
        <v>380</v>
      </c>
      <c r="E147" s="6" t="s">
        <v>381</v>
      </c>
      <c r="F147" s="6" t="s">
        <v>740</v>
      </c>
      <c r="G147" s="6" t="s">
        <v>776</v>
      </c>
      <c r="H147" s="10" t="n">
        <v>0.89</v>
      </c>
      <c r="K147" s="6" t="s">
        <v>742</v>
      </c>
      <c r="L147" s="6" t="s">
        <v>13</v>
      </c>
      <c r="M147" s="6" t="s">
        <v>189</v>
      </c>
      <c r="N147" s="6" t="s">
        <v>809</v>
      </c>
      <c r="O147" s="6"/>
      <c r="P147" s="6"/>
    </row>
    <row r="148" customFormat="false" ht="15" hidden="false" customHeight="false" outlineLevel="0" collapsed="false">
      <c r="A148" s="6" t="s">
        <v>810</v>
      </c>
      <c r="B148" s="6" t="s">
        <v>491</v>
      </c>
      <c r="C148" s="7" t="n">
        <v>45930</v>
      </c>
      <c r="D148" s="6" t="s">
        <v>400</v>
      </c>
      <c r="E148" s="6" t="s">
        <v>381</v>
      </c>
      <c r="F148" s="6" t="s">
        <v>740</v>
      </c>
      <c r="G148" s="6" t="s">
        <v>776</v>
      </c>
      <c r="H148" s="10" t="n">
        <v>0.89</v>
      </c>
      <c r="K148" s="6" t="s">
        <v>742</v>
      </c>
      <c r="L148" s="6" t="s">
        <v>13</v>
      </c>
      <c r="M148" s="6" t="s">
        <v>189</v>
      </c>
      <c r="N148" s="6" t="s">
        <v>811</v>
      </c>
      <c r="O148" s="6"/>
      <c r="P148" s="6"/>
    </row>
    <row r="149" customFormat="false" ht="15" hidden="false" customHeight="false" outlineLevel="0" collapsed="false">
      <c r="A149" s="6" t="s">
        <v>812</v>
      </c>
      <c r="B149" s="6" t="s">
        <v>196</v>
      </c>
      <c r="C149" s="7" t="n">
        <v>46022</v>
      </c>
      <c r="D149" s="6" t="s">
        <v>380</v>
      </c>
      <c r="E149" s="6" t="s">
        <v>381</v>
      </c>
      <c r="F149" s="6" t="s">
        <v>740</v>
      </c>
      <c r="G149" s="6" t="s">
        <v>776</v>
      </c>
      <c r="H149" s="10" t="n">
        <v>0.89</v>
      </c>
      <c r="K149" s="6" t="s">
        <v>742</v>
      </c>
      <c r="L149" s="6" t="s">
        <v>13</v>
      </c>
      <c r="M149" s="6" t="s">
        <v>194</v>
      </c>
      <c r="N149" s="6" t="s">
        <v>813</v>
      </c>
      <c r="O149" s="6"/>
      <c r="P149" s="6"/>
    </row>
    <row r="150" customFormat="false" ht="15" hidden="false" customHeight="false" outlineLevel="0" collapsed="false">
      <c r="A150" s="6" t="s">
        <v>814</v>
      </c>
      <c r="B150" s="6" t="s">
        <v>235</v>
      </c>
      <c r="C150" s="7" t="n">
        <v>46022</v>
      </c>
      <c r="D150" s="6" t="s">
        <v>407</v>
      </c>
      <c r="E150" s="6" t="s">
        <v>381</v>
      </c>
      <c r="F150" s="6" t="s">
        <v>740</v>
      </c>
      <c r="G150" s="6" t="s">
        <v>776</v>
      </c>
      <c r="H150" s="10" t="n">
        <v>0.89</v>
      </c>
      <c r="K150" s="6" t="s">
        <v>742</v>
      </c>
      <c r="L150" s="6" t="s">
        <v>13</v>
      </c>
      <c r="M150" s="6" t="s">
        <v>194</v>
      </c>
      <c r="N150" s="6" t="s">
        <v>815</v>
      </c>
      <c r="O150" s="6"/>
      <c r="P150" s="6"/>
    </row>
    <row r="151" customFormat="false" ht="15" hidden="false" customHeight="false" outlineLevel="0" collapsed="false">
      <c r="A151" s="6" t="s">
        <v>816</v>
      </c>
      <c r="B151" s="6" t="s">
        <v>201</v>
      </c>
      <c r="C151" s="7" t="n">
        <v>46112</v>
      </c>
      <c r="D151" s="6" t="s">
        <v>380</v>
      </c>
      <c r="E151" s="6" t="s">
        <v>381</v>
      </c>
      <c r="F151" s="6" t="s">
        <v>740</v>
      </c>
      <c r="G151" s="6" t="s">
        <v>776</v>
      </c>
      <c r="H151" s="10" t="n">
        <v>0.89</v>
      </c>
      <c r="K151" s="6" t="s">
        <v>742</v>
      </c>
      <c r="L151" s="6" t="s">
        <v>13</v>
      </c>
      <c r="M151" s="6" t="s">
        <v>199</v>
      </c>
      <c r="N151" s="6" t="s">
        <v>817</v>
      </c>
      <c r="O151" s="6"/>
      <c r="P151" s="6"/>
    </row>
    <row r="152" customFormat="false" ht="15" hidden="false" customHeight="false" outlineLevel="0" collapsed="false">
      <c r="A152" s="6" t="s">
        <v>818</v>
      </c>
      <c r="B152" s="6" t="s">
        <v>206</v>
      </c>
      <c r="C152" s="7" t="n">
        <v>46203</v>
      </c>
      <c r="D152" s="6" t="s">
        <v>380</v>
      </c>
      <c r="E152" s="6" t="s">
        <v>381</v>
      </c>
      <c r="F152" s="6" t="s">
        <v>740</v>
      </c>
      <c r="G152" s="6" t="s">
        <v>749</v>
      </c>
      <c r="H152" s="10" t="n">
        <v>0.88</v>
      </c>
      <c r="K152" s="6" t="s">
        <v>742</v>
      </c>
      <c r="L152" s="6" t="s">
        <v>13</v>
      </c>
      <c r="M152" s="6" t="s">
        <v>204</v>
      </c>
      <c r="N152" s="6" t="s">
        <v>819</v>
      </c>
      <c r="O152" s="6"/>
      <c r="P152" s="6"/>
    </row>
    <row r="153" customFormat="false" ht="15" hidden="false" customHeight="false" outlineLevel="0" collapsed="false">
      <c r="A153" s="6" t="s">
        <v>820</v>
      </c>
      <c r="B153" s="6" t="s">
        <v>263</v>
      </c>
      <c r="C153" s="7" t="n">
        <v>46203</v>
      </c>
      <c r="D153" s="6" t="s">
        <v>392</v>
      </c>
      <c r="E153" s="6" t="s">
        <v>381</v>
      </c>
      <c r="F153" s="6" t="s">
        <v>740</v>
      </c>
      <c r="G153" s="6" t="s">
        <v>776</v>
      </c>
      <c r="H153" s="10" t="n">
        <v>0.89</v>
      </c>
      <c r="K153" s="6" t="s">
        <v>742</v>
      </c>
      <c r="L153" s="6" t="s">
        <v>13</v>
      </c>
      <c r="M153" s="6" t="s">
        <v>204</v>
      </c>
      <c r="N153" s="6" t="s">
        <v>821</v>
      </c>
      <c r="O153" s="6"/>
      <c r="P153" s="6"/>
    </row>
    <row r="154" customFormat="false" ht="15" hidden="false" customHeight="false" outlineLevel="0" collapsed="false">
      <c r="A154" s="6" t="s">
        <v>822</v>
      </c>
      <c r="B154" s="6" t="s">
        <v>379</v>
      </c>
      <c r="C154" s="7" t="n">
        <v>44286</v>
      </c>
      <c r="D154" s="6" t="s">
        <v>380</v>
      </c>
      <c r="E154" s="6" t="s">
        <v>381</v>
      </c>
      <c r="F154" s="6" t="s">
        <v>823</v>
      </c>
      <c r="G154" s="6" t="s">
        <v>824</v>
      </c>
      <c r="H154" s="9" t="n">
        <v>15581</v>
      </c>
      <c r="K154" s="6" t="s">
        <v>384</v>
      </c>
      <c r="L154" s="6" t="s">
        <v>13</v>
      </c>
      <c r="M154" s="6" t="s">
        <v>119</v>
      </c>
      <c r="N154" s="6" t="s">
        <v>825</v>
      </c>
      <c r="O154" s="6"/>
      <c r="P154" s="6" t="s">
        <v>386</v>
      </c>
    </row>
    <row r="155" customFormat="false" ht="15" hidden="false" customHeight="false" outlineLevel="0" collapsed="false">
      <c r="A155" s="6" t="s">
        <v>826</v>
      </c>
      <c r="B155" s="6" t="s">
        <v>103</v>
      </c>
      <c r="C155" s="7" t="n">
        <v>44377</v>
      </c>
      <c r="D155" s="6" t="s">
        <v>380</v>
      </c>
      <c r="E155" s="6" t="s">
        <v>381</v>
      </c>
      <c r="F155" s="6" t="s">
        <v>823</v>
      </c>
      <c r="G155" s="6" t="s">
        <v>827</v>
      </c>
      <c r="H155" s="9" t="n">
        <v>16271</v>
      </c>
      <c r="K155" s="6" t="s">
        <v>384</v>
      </c>
      <c r="L155" s="6" t="s">
        <v>13</v>
      </c>
      <c r="M155" s="6" t="s">
        <v>100</v>
      </c>
      <c r="N155" s="6" t="s">
        <v>828</v>
      </c>
      <c r="O155" s="6"/>
      <c r="P155" s="6"/>
    </row>
    <row r="156" customFormat="false" ht="15" hidden="false" customHeight="false" outlineLevel="0" collapsed="false">
      <c r="A156" s="6" t="s">
        <v>829</v>
      </c>
      <c r="B156" s="6" t="s">
        <v>391</v>
      </c>
      <c r="C156" s="7" t="n">
        <v>44377</v>
      </c>
      <c r="D156" s="6" t="s">
        <v>392</v>
      </c>
      <c r="E156" s="6" t="s">
        <v>381</v>
      </c>
      <c r="F156" s="6" t="s">
        <v>823</v>
      </c>
      <c r="G156" s="6" t="s">
        <v>830</v>
      </c>
      <c r="H156" s="9" t="n">
        <v>31852</v>
      </c>
      <c r="K156" s="6" t="s">
        <v>384</v>
      </c>
      <c r="L156" s="6" t="s">
        <v>13</v>
      </c>
      <c r="M156" s="6" t="s">
        <v>100</v>
      </c>
      <c r="N156" s="6" t="s">
        <v>831</v>
      </c>
      <c r="O156" s="6"/>
      <c r="P156" s="6"/>
    </row>
    <row r="157" customFormat="false" ht="15" hidden="false" customHeight="false" outlineLevel="0" collapsed="false">
      <c r="A157" s="6" t="s">
        <v>832</v>
      </c>
      <c r="B157" s="6" t="s">
        <v>111</v>
      </c>
      <c r="C157" s="7" t="n">
        <v>44469</v>
      </c>
      <c r="D157" s="6" t="s">
        <v>380</v>
      </c>
      <c r="E157" s="6" t="s">
        <v>381</v>
      </c>
      <c r="F157" s="6" t="s">
        <v>823</v>
      </c>
      <c r="G157" s="6" t="s">
        <v>833</v>
      </c>
      <c r="H157" s="9" t="n">
        <v>19875</v>
      </c>
      <c r="K157" s="6" t="s">
        <v>384</v>
      </c>
      <c r="L157" s="6" t="s">
        <v>13</v>
      </c>
      <c r="M157" s="6" t="s">
        <v>109</v>
      </c>
      <c r="N157" s="6" t="s">
        <v>834</v>
      </c>
      <c r="O157" s="6"/>
      <c r="P157" s="6"/>
    </row>
    <row r="158" customFormat="false" ht="15" hidden="false" customHeight="false" outlineLevel="0" collapsed="false">
      <c r="A158" s="6" t="s">
        <v>835</v>
      </c>
      <c r="B158" s="6" t="s">
        <v>399</v>
      </c>
      <c r="C158" s="7" t="n">
        <v>44469</v>
      </c>
      <c r="D158" s="6" t="s">
        <v>400</v>
      </c>
      <c r="E158" s="6" t="s">
        <v>381</v>
      </c>
      <c r="F158" s="6" t="s">
        <v>823</v>
      </c>
      <c r="G158" s="6" t="s">
        <v>836</v>
      </c>
      <c r="H158" s="9" t="n">
        <v>51727</v>
      </c>
      <c r="K158" s="6" t="s">
        <v>384</v>
      </c>
      <c r="L158" s="6" t="s">
        <v>13</v>
      </c>
      <c r="M158" s="6" t="s">
        <v>109</v>
      </c>
      <c r="N158" s="6" t="s">
        <v>837</v>
      </c>
      <c r="O158" s="6"/>
      <c r="P158" s="6"/>
    </row>
    <row r="159" customFormat="false" ht="15" hidden="false" customHeight="false" outlineLevel="0" collapsed="false">
      <c r="A159" s="6" t="s">
        <v>838</v>
      </c>
      <c r="B159" s="6" t="s">
        <v>116</v>
      </c>
      <c r="C159" s="7" t="n">
        <v>44561</v>
      </c>
      <c r="D159" s="6" t="s">
        <v>380</v>
      </c>
      <c r="E159" s="6" t="s">
        <v>381</v>
      </c>
      <c r="F159" s="6" t="s">
        <v>823</v>
      </c>
      <c r="G159" s="6" t="s">
        <v>839</v>
      </c>
      <c r="H159" s="9" t="n">
        <v>21959</v>
      </c>
      <c r="K159" s="6" t="s">
        <v>384</v>
      </c>
      <c r="L159" s="6" t="s">
        <v>13</v>
      </c>
      <c r="M159" s="6" t="s">
        <v>114</v>
      </c>
      <c r="N159" s="6" t="s">
        <v>840</v>
      </c>
      <c r="O159" s="6"/>
      <c r="P159" s="6"/>
    </row>
    <row r="160" customFormat="false" ht="15" hidden="false" customHeight="false" outlineLevel="0" collapsed="false">
      <c r="A160" s="6" t="s">
        <v>841</v>
      </c>
      <c r="B160" s="6" t="s">
        <v>212</v>
      </c>
      <c r="C160" s="7" t="n">
        <v>44561</v>
      </c>
      <c r="D160" s="6" t="s">
        <v>407</v>
      </c>
      <c r="E160" s="6" t="s">
        <v>381</v>
      </c>
      <c r="F160" s="6" t="s">
        <v>823</v>
      </c>
      <c r="G160" s="6" t="s">
        <v>842</v>
      </c>
      <c r="H160" s="9" t="n">
        <v>73686</v>
      </c>
      <c r="K160" s="6" t="s">
        <v>384</v>
      </c>
      <c r="L160" s="6" t="s">
        <v>13</v>
      </c>
      <c r="M160" s="6" t="s">
        <v>114</v>
      </c>
      <c r="N160" s="6" t="s">
        <v>843</v>
      </c>
      <c r="O160" s="6"/>
      <c r="P160" s="6"/>
    </row>
    <row r="161" customFormat="false" ht="15" hidden="false" customHeight="false" outlineLevel="0" collapsed="false">
      <c r="A161" s="6" t="s">
        <v>844</v>
      </c>
      <c r="B161" s="6" t="s">
        <v>121</v>
      </c>
      <c r="C161" s="7" t="n">
        <v>44651</v>
      </c>
      <c r="D161" s="6" t="s">
        <v>380</v>
      </c>
      <c r="E161" s="6" t="s">
        <v>381</v>
      </c>
      <c r="F161" s="6" t="s">
        <v>823</v>
      </c>
      <c r="G161" s="6" t="s">
        <v>845</v>
      </c>
      <c r="H161" s="9" t="n">
        <v>26541</v>
      </c>
      <c r="K161" s="6" t="s">
        <v>384</v>
      </c>
      <c r="L161" s="6" t="s">
        <v>13</v>
      </c>
      <c r="M161" s="6" t="s">
        <v>119</v>
      </c>
      <c r="N161" s="6" t="s">
        <v>846</v>
      </c>
      <c r="O161" s="6"/>
      <c r="P161" s="6"/>
    </row>
    <row r="162" customFormat="false" ht="15" hidden="false" customHeight="false" outlineLevel="0" collapsed="false">
      <c r="A162" s="6" t="s">
        <v>847</v>
      </c>
      <c r="B162" s="6" t="s">
        <v>126</v>
      </c>
      <c r="C162" s="7" t="n">
        <v>44742</v>
      </c>
      <c r="D162" s="6" t="s">
        <v>380</v>
      </c>
      <c r="E162" s="6" t="s">
        <v>381</v>
      </c>
      <c r="F162" s="6" t="s">
        <v>823</v>
      </c>
      <c r="G162" s="6" t="s">
        <v>848</v>
      </c>
      <c r="H162" s="9" t="n">
        <v>33962</v>
      </c>
      <c r="K162" s="6" t="s">
        <v>384</v>
      </c>
      <c r="L162" s="6" t="s">
        <v>13</v>
      </c>
      <c r="M162" s="6" t="s">
        <v>124</v>
      </c>
      <c r="N162" s="6" t="s">
        <v>849</v>
      </c>
      <c r="O162" s="6"/>
      <c r="P162" s="6"/>
    </row>
    <row r="163" customFormat="false" ht="15" hidden="false" customHeight="false" outlineLevel="0" collapsed="false">
      <c r="A163" s="6" t="s">
        <v>850</v>
      </c>
      <c r="B163" s="6" t="s">
        <v>417</v>
      </c>
      <c r="C163" s="7" t="n">
        <v>44742</v>
      </c>
      <c r="D163" s="6" t="s">
        <v>392</v>
      </c>
      <c r="E163" s="6" t="s">
        <v>381</v>
      </c>
      <c r="F163" s="6" t="s">
        <v>823</v>
      </c>
      <c r="G163" s="6" t="s">
        <v>851</v>
      </c>
      <c r="H163" s="9" t="n">
        <v>60503</v>
      </c>
      <c r="K163" s="6" t="s">
        <v>384</v>
      </c>
      <c r="L163" s="6" t="s">
        <v>13</v>
      </c>
      <c r="M163" s="6" t="s">
        <v>124</v>
      </c>
      <c r="N163" s="6" t="s">
        <v>852</v>
      </c>
      <c r="O163" s="6"/>
      <c r="P163" s="6"/>
    </row>
    <row r="164" customFormat="false" ht="15" hidden="false" customHeight="false" outlineLevel="0" collapsed="false">
      <c r="A164" s="6" t="s">
        <v>853</v>
      </c>
      <c r="B164" s="6" t="s">
        <v>131</v>
      </c>
      <c r="C164" s="7" t="n">
        <v>44834</v>
      </c>
      <c r="D164" s="6" t="s">
        <v>380</v>
      </c>
      <c r="E164" s="6" t="s">
        <v>381</v>
      </c>
      <c r="F164" s="6" t="s">
        <v>823</v>
      </c>
      <c r="G164" s="6" t="s">
        <v>854</v>
      </c>
      <c r="H164" s="9" t="n">
        <v>33984</v>
      </c>
      <c r="K164" s="6" t="s">
        <v>384</v>
      </c>
      <c r="L164" s="6" t="s">
        <v>13</v>
      </c>
      <c r="M164" s="6" t="s">
        <v>129</v>
      </c>
      <c r="N164" s="6" t="s">
        <v>855</v>
      </c>
      <c r="O164" s="6"/>
      <c r="P164" s="6"/>
    </row>
    <row r="165" customFormat="false" ht="15" hidden="false" customHeight="false" outlineLevel="0" collapsed="false">
      <c r="A165" s="6" t="s">
        <v>856</v>
      </c>
      <c r="B165" s="6" t="s">
        <v>424</v>
      </c>
      <c r="C165" s="7" t="n">
        <v>44834</v>
      </c>
      <c r="D165" s="6" t="s">
        <v>400</v>
      </c>
      <c r="E165" s="6" t="s">
        <v>381</v>
      </c>
      <c r="F165" s="6" t="s">
        <v>823</v>
      </c>
      <c r="G165" s="6" t="s">
        <v>857</v>
      </c>
      <c r="H165" s="9" t="n">
        <v>94487</v>
      </c>
      <c r="K165" s="6" t="s">
        <v>384</v>
      </c>
      <c r="L165" s="6" t="s">
        <v>13</v>
      </c>
      <c r="M165" s="6" t="s">
        <v>129</v>
      </c>
      <c r="N165" s="6" t="s">
        <v>858</v>
      </c>
      <c r="O165" s="6"/>
      <c r="P165" s="6"/>
    </row>
    <row r="166" customFormat="false" ht="15" hidden="false" customHeight="false" outlineLevel="0" collapsed="false">
      <c r="A166" s="6" t="s">
        <v>859</v>
      </c>
      <c r="B166" s="6" t="s">
        <v>136</v>
      </c>
      <c r="C166" s="7" t="n">
        <v>44926</v>
      </c>
      <c r="D166" s="6" t="s">
        <v>380</v>
      </c>
      <c r="E166" s="6" t="s">
        <v>381</v>
      </c>
      <c r="F166" s="6" t="s">
        <v>823</v>
      </c>
      <c r="G166" s="6" t="s">
        <v>860</v>
      </c>
      <c r="H166" s="9" t="n">
        <v>32560</v>
      </c>
      <c r="K166" s="6" t="s">
        <v>384</v>
      </c>
      <c r="L166" s="6" t="s">
        <v>13</v>
      </c>
      <c r="M166" s="6" t="s">
        <v>134</v>
      </c>
      <c r="N166" s="6" t="s">
        <v>861</v>
      </c>
      <c r="O166" s="6"/>
      <c r="P166" s="6"/>
    </row>
    <row r="167" customFormat="false" ht="15" hidden="false" customHeight="false" outlineLevel="0" collapsed="false">
      <c r="A167" s="6" t="s">
        <v>862</v>
      </c>
      <c r="B167" s="6" t="s">
        <v>220</v>
      </c>
      <c r="C167" s="7" t="n">
        <v>44926</v>
      </c>
      <c r="D167" s="6" t="s">
        <v>407</v>
      </c>
      <c r="E167" s="6" t="s">
        <v>381</v>
      </c>
      <c r="F167" s="6" t="s">
        <v>823</v>
      </c>
      <c r="G167" s="6" t="s">
        <v>863</v>
      </c>
      <c r="H167" s="9" t="n">
        <v>127047</v>
      </c>
      <c r="K167" s="6" t="s">
        <v>384</v>
      </c>
      <c r="L167" s="6" t="s">
        <v>13</v>
      </c>
      <c r="M167" s="6" t="s">
        <v>134</v>
      </c>
      <c r="N167" s="6" t="s">
        <v>864</v>
      </c>
      <c r="O167" s="6"/>
      <c r="P167" s="6"/>
    </row>
    <row r="168" customFormat="false" ht="15" hidden="false" customHeight="false" outlineLevel="0" collapsed="false">
      <c r="A168" s="6" t="s">
        <v>865</v>
      </c>
      <c r="B168" s="6" t="s">
        <v>141</v>
      </c>
      <c r="C168" s="7" t="n">
        <v>45016</v>
      </c>
      <c r="D168" s="6" t="s">
        <v>380</v>
      </c>
      <c r="E168" s="6" t="s">
        <v>381</v>
      </c>
      <c r="F168" s="6" t="s">
        <v>823</v>
      </c>
      <c r="G168" s="6" t="s">
        <v>866</v>
      </c>
      <c r="H168" s="9" t="n">
        <v>37063</v>
      </c>
      <c r="K168" s="6" t="s">
        <v>384</v>
      </c>
      <c r="L168" s="6" t="s">
        <v>13</v>
      </c>
      <c r="M168" s="6" t="s">
        <v>139</v>
      </c>
      <c r="N168" s="6" t="s">
        <v>867</v>
      </c>
      <c r="O168" s="6"/>
      <c r="P168" s="6"/>
    </row>
    <row r="169" customFormat="false" ht="15" hidden="false" customHeight="false" outlineLevel="0" collapsed="false">
      <c r="A169" s="6" t="s">
        <v>868</v>
      </c>
      <c r="B169" s="6" t="s">
        <v>146</v>
      </c>
      <c r="C169" s="7" t="n">
        <v>45107</v>
      </c>
      <c r="D169" s="6" t="s">
        <v>380</v>
      </c>
      <c r="E169" s="6" t="s">
        <v>381</v>
      </c>
      <c r="F169" s="6" t="s">
        <v>823</v>
      </c>
      <c r="G169" s="6" t="s">
        <v>869</v>
      </c>
      <c r="H169" s="9" t="n">
        <v>39106</v>
      </c>
      <c r="K169" s="6" t="s">
        <v>384</v>
      </c>
      <c r="L169" s="6" t="s">
        <v>13</v>
      </c>
      <c r="M169" s="6" t="s">
        <v>144</v>
      </c>
      <c r="N169" s="6" t="s">
        <v>870</v>
      </c>
      <c r="O169" s="6"/>
      <c r="P169" s="6"/>
    </row>
    <row r="170" customFormat="false" ht="15" hidden="false" customHeight="false" outlineLevel="0" collapsed="false">
      <c r="A170" s="6" t="s">
        <v>871</v>
      </c>
      <c r="B170" s="6" t="s">
        <v>440</v>
      </c>
      <c r="C170" s="7" t="n">
        <v>45107</v>
      </c>
      <c r="D170" s="6" t="s">
        <v>392</v>
      </c>
      <c r="E170" s="6" t="s">
        <v>381</v>
      </c>
      <c r="F170" s="6" t="s">
        <v>823</v>
      </c>
      <c r="G170" s="6" t="s">
        <v>872</v>
      </c>
      <c r="H170" s="9" t="n">
        <v>76169</v>
      </c>
      <c r="K170" s="6" t="s">
        <v>384</v>
      </c>
      <c r="L170" s="6" t="s">
        <v>13</v>
      </c>
      <c r="M170" s="6" t="s">
        <v>144</v>
      </c>
      <c r="N170" s="6" t="s">
        <v>873</v>
      </c>
      <c r="O170" s="6"/>
      <c r="P170" s="6"/>
    </row>
    <row r="171" customFormat="false" ht="15" hidden="false" customHeight="false" outlineLevel="0" collapsed="false">
      <c r="A171" s="6" t="s">
        <v>874</v>
      </c>
      <c r="B171" s="6" t="s">
        <v>151</v>
      </c>
      <c r="C171" s="7" t="n">
        <v>45199</v>
      </c>
      <c r="D171" s="6" t="s">
        <v>380</v>
      </c>
      <c r="E171" s="6" t="s">
        <v>381</v>
      </c>
      <c r="F171" s="6" t="s">
        <v>823</v>
      </c>
      <c r="G171" s="6" t="s">
        <v>875</v>
      </c>
      <c r="H171" s="9" t="n">
        <v>38433</v>
      </c>
      <c r="K171" s="6" t="s">
        <v>384</v>
      </c>
      <c r="L171" s="6" t="s">
        <v>13</v>
      </c>
      <c r="M171" s="6" t="s">
        <v>149</v>
      </c>
      <c r="N171" s="6" t="s">
        <v>876</v>
      </c>
      <c r="O171" s="6"/>
      <c r="P171" s="6"/>
    </row>
    <row r="172" customFormat="false" ht="15" hidden="false" customHeight="false" outlineLevel="0" collapsed="false">
      <c r="A172" s="6" t="s">
        <v>877</v>
      </c>
      <c r="B172" s="6" t="s">
        <v>447</v>
      </c>
      <c r="C172" s="7" t="n">
        <v>45199</v>
      </c>
      <c r="D172" s="6" t="s">
        <v>400</v>
      </c>
      <c r="E172" s="6" t="s">
        <v>381</v>
      </c>
      <c r="F172" s="6" t="s">
        <v>823</v>
      </c>
      <c r="G172" s="6" t="s">
        <v>878</v>
      </c>
      <c r="H172" s="9" t="n">
        <v>114602</v>
      </c>
      <c r="K172" s="6" t="s">
        <v>384</v>
      </c>
      <c r="L172" s="6" t="s">
        <v>13</v>
      </c>
      <c r="M172" s="6" t="s">
        <v>149</v>
      </c>
      <c r="N172" s="6" t="s">
        <v>879</v>
      </c>
      <c r="O172" s="6"/>
      <c r="P172" s="6"/>
    </row>
    <row r="173" customFormat="false" ht="15" hidden="false" customHeight="false" outlineLevel="0" collapsed="false">
      <c r="A173" s="6" t="s">
        <v>880</v>
      </c>
      <c r="B173" s="6" t="s">
        <v>156</v>
      </c>
      <c r="C173" s="7" t="n">
        <v>45291</v>
      </c>
      <c r="D173" s="6" t="s">
        <v>380</v>
      </c>
      <c r="E173" s="6" t="s">
        <v>381</v>
      </c>
      <c r="F173" s="6" t="s">
        <v>823</v>
      </c>
      <c r="G173" s="6" t="s">
        <v>881</v>
      </c>
      <c r="H173" s="9" t="n">
        <v>41898</v>
      </c>
      <c r="K173" s="6" t="s">
        <v>384</v>
      </c>
      <c r="L173" s="6" t="s">
        <v>13</v>
      </c>
      <c r="M173" s="6" t="s">
        <v>154</v>
      </c>
      <c r="N173" s="6" t="s">
        <v>882</v>
      </c>
      <c r="O173" s="6"/>
      <c r="P173" s="6"/>
    </row>
    <row r="174" customFormat="false" ht="15" hidden="false" customHeight="false" outlineLevel="0" collapsed="false">
      <c r="A174" s="6" t="s">
        <v>883</v>
      </c>
      <c r="B174" s="6" t="s">
        <v>225</v>
      </c>
      <c r="C174" s="7" t="n">
        <v>45291</v>
      </c>
      <c r="D174" s="6" t="s">
        <v>407</v>
      </c>
      <c r="E174" s="6" t="s">
        <v>381</v>
      </c>
      <c r="F174" s="6" t="s">
        <v>823</v>
      </c>
      <c r="G174" s="6" t="s">
        <v>884</v>
      </c>
      <c r="H174" s="9" t="n">
        <v>156500</v>
      </c>
      <c r="K174" s="6" t="s">
        <v>384</v>
      </c>
      <c r="L174" s="6" t="s">
        <v>13</v>
      </c>
      <c r="M174" s="6" t="s">
        <v>154</v>
      </c>
      <c r="N174" s="6" t="s">
        <v>885</v>
      </c>
      <c r="O174" s="6"/>
      <c r="P174" s="6"/>
    </row>
    <row r="175" customFormat="false" ht="15" hidden="false" customHeight="false" outlineLevel="0" collapsed="false">
      <c r="A175" s="6" t="s">
        <v>886</v>
      </c>
      <c r="B175" s="6" t="s">
        <v>161</v>
      </c>
      <c r="C175" s="7" t="n">
        <v>45382</v>
      </c>
      <c r="D175" s="6" t="s">
        <v>380</v>
      </c>
      <c r="E175" s="6" t="s">
        <v>381</v>
      </c>
      <c r="F175" s="6" t="s">
        <v>823</v>
      </c>
      <c r="G175" s="6" t="s">
        <v>887</v>
      </c>
      <c r="H175" s="9" t="n">
        <v>44423</v>
      </c>
      <c r="K175" s="6" t="s">
        <v>384</v>
      </c>
      <c r="L175" s="6" t="s">
        <v>13</v>
      </c>
      <c r="M175" s="6" t="s">
        <v>159</v>
      </c>
      <c r="N175" s="6" t="s">
        <v>888</v>
      </c>
      <c r="O175" s="6"/>
      <c r="P175" s="6"/>
    </row>
    <row r="176" customFormat="false" ht="15" hidden="false" customHeight="false" outlineLevel="0" collapsed="false">
      <c r="A176" s="6" t="s">
        <v>889</v>
      </c>
      <c r="B176" s="6" t="s">
        <v>166</v>
      </c>
      <c r="C176" s="7" t="n">
        <v>45473</v>
      </c>
      <c r="D176" s="6" t="s">
        <v>380</v>
      </c>
      <c r="E176" s="6" t="s">
        <v>381</v>
      </c>
      <c r="F176" s="6" t="s">
        <v>823</v>
      </c>
      <c r="G176" s="6" t="s">
        <v>890</v>
      </c>
      <c r="H176" s="9" t="n">
        <v>50445</v>
      </c>
      <c r="K176" s="6" t="s">
        <v>384</v>
      </c>
      <c r="L176" s="6" t="s">
        <v>13</v>
      </c>
      <c r="M176" s="6" t="s">
        <v>164</v>
      </c>
      <c r="N176" s="6" t="s">
        <v>891</v>
      </c>
      <c r="O176" s="6"/>
      <c r="P176" s="6"/>
    </row>
    <row r="177" customFormat="false" ht="15" hidden="false" customHeight="false" outlineLevel="0" collapsed="false">
      <c r="A177" s="6" t="s">
        <v>892</v>
      </c>
      <c r="B177" s="6" t="s">
        <v>241</v>
      </c>
      <c r="C177" s="7" t="n">
        <v>45473</v>
      </c>
      <c r="D177" s="6" t="s">
        <v>392</v>
      </c>
      <c r="E177" s="6" t="s">
        <v>381</v>
      </c>
      <c r="F177" s="6" t="s">
        <v>823</v>
      </c>
      <c r="G177" s="6" t="s">
        <v>893</v>
      </c>
      <c r="H177" s="9" t="n">
        <v>94868</v>
      </c>
      <c r="K177" s="6" t="s">
        <v>384</v>
      </c>
      <c r="L177" s="6" t="s">
        <v>13</v>
      </c>
      <c r="M177" s="6" t="s">
        <v>164</v>
      </c>
      <c r="N177" s="6" t="s">
        <v>894</v>
      </c>
      <c r="O177" s="6"/>
      <c r="P177" s="6"/>
    </row>
    <row r="178" customFormat="false" ht="15" hidden="false" customHeight="false" outlineLevel="0" collapsed="false">
      <c r="A178" s="6" t="s">
        <v>895</v>
      </c>
      <c r="B178" s="6" t="s">
        <v>171</v>
      </c>
      <c r="C178" s="7" t="n">
        <v>45565</v>
      </c>
      <c r="D178" s="6" t="s">
        <v>380</v>
      </c>
      <c r="E178" s="6" t="s">
        <v>381</v>
      </c>
      <c r="F178" s="6" t="s">
        <v>823</v>
      </c>
      <c r="G178" s="6" t="s">
        <v>896</v>
      </c>
      <c r="H178" s="9" t="n">
        <v>56509</v>
      </c>
      <c r="K178" s="6" t="s">
        <v>384</v>
      </c>
      <c r="L178" s="6" t="s">
        <v>13</v>
      </c>
      <c r="M178" s="6" t="s">
        <v>169</v>
      </c>
      <c r="N178" s="6" t="s">
        <v>897</v>
      </c>
      <c r="O178" s="6"/>
      <c r="P178" s="6"/>
    </row>
    <row r="179" customFormat="false" ht="15" hidden="false" customHeight="false" outlineLevel="0" collapsed="false">
      <c r="A179" s="6" t="s">
        <v>898</v>
      </c>
      <c r="B179" s="6" t="s">
        <v>469</v>
      </c>
      <c r="C179" s="7" t="n">
        <v>45565</v>
      </c>
      <c r="D179" s="6" t="s">
        <v>400</v>
      </c>
      <c r="E179" s="6" t="s">
        <v>381</v>
      </c>
      <c r="F179" s="6" t="s">
        <v>823</v>
      </c>
      <c r="G179" s="6" t="s">
        <v>899</v>
      </c>
      <c r="H179" s="9" t="n">
        <v>151377</v>
      </c>
      <c r="K179" s="6" t="s">
        <v>384</v>
      </c>
      <c r="L179" s="6" t="s">
        <v>13</v>
      </c>
      <c r="M179" s="6" t="s">
        <v>169</v>
      </c>
      <c r="N179" s="6" t="s">
        <v>900</v>
      </c>
      <c r="O179" s="6"/>
      <c r="P179" s="6"/>
    </row>
    <row r="180" customFormat="false" ht="15" hidden="false" customHeight="false" outlineLevel="0" collapsed="false">
      <c r="A180" s="6" t="s">
        <v>901</v>
      </c>
      <c r="B180" s="6" t="s">
        <v>176</v>
      </c>
      <c r="C180" s="7" t="n">
        <v>45657</v>
      </c>
      <c r="D180" s="6" t="s">
        <v>380</v>
      </c>
      <c r="E180" s="6" t="s">
        <v>381</v>
      </c>
      <c r="F180" s="6" t="s">
        <v>823</v>
      </c>
      <c r="G180" s="6" t="s">
        <v>902</v>
      </c>
      <c r="H180" s="9" t="n">
        <v>62332</v>
      </c>
      <c r="K180" s="6" t="s">
        <v>384</v>
      </c>
      <c r="L180" s="6" t="s">
        <v>13</v>
      </c>
      <c r="M180" s="6" t="s">
        <v>174</v>
      </c>
      <c r="N180" s="6" t="s">
        <v>903</v>
      </c>
      <c r="O180" s="6"/>
      <c r="P180" s="6"/>
    </row>
    <row r="181" customFormat="false" ht="15" hidden="false" customHeight="false" outlineLevel="0" collapsed="false">
      <c r="A181" s="6" t="s">
        <v>904</v>
      </c>
      <c r="B181" s="6" t="s">
        <v>230</v>
      </c>
      <c r="C181" s="7" t="n">
        <v>45657</v>
      </c>
      <c r="D181" s="6" t="s">
        <v>407</v>
      </c>
      <c r="E181" s="6" t="s">
        <v>381</v>
      </c>
      <c r="F181" s="6" t="s">
        <v>823</v>
      </c>
      <c r="G181" s="6" t="s">
        <v>905</v>
      </c>
      <c r="H181" s="9" t="n">
        <v>213709</v>
      </c>
      <c r="K181" s="6" t="s">
        <v>384</v>
      </c>
      <c r="L181" s="6" t="s">
        <v>13</v>
      </c>
      <c r="M181" s="6" t="s">
        <v>174</v>
      </c>
      <c r="N181" s="6" t="s">
        <v>906</v>
      </c>
      <c r="O181" s="6"/>
      <c r="P181" s="6"/>
    </row>
    <row r="182" customFormat="false" ht="15" hidden="false" customHeight="false" outlineLevel="0" collapsed="false">
      <c r="A182" s="6" t="s">
        <v>907</v>
      </c>
      <c r="B182" s="6" t="s">
        <v>181</v>
      </c>
      <c r="C182" s="7" t="n">
        <v>45747</v>
      </c>
      <c r="D182" s="6" t="s">
        <v>380</v>
      </c>
      <c r="E182" s="6" t="s">
        <v>381</v>
      </c>
      <c r="F182" s="6" t="s">
        <v>823</v>
      </c>
      <c r="G182" s="6" t="s">
        <v>908</v>
      </c>
      <c r="H182" s="9" t="n">
        <v>69385</v>
      </c>
      <c r="K182" s="6" t="s">
        <v>384</v>
      </c>
      <c r="L182" s="6" t="s">
        <v>13</v>
      </c>
      <c r="M182" s="6" t="s">
        <v>179</v>
      </c>
      <c r="N182" s="6" t="s">
        <v>909</v>
      </c>
      <c r="O182" s="6"/>
      <c r="P182" s="6"/>
    </row>
    <row r="183" customFormat="false" ht="15" hidden="false" customHeight="false" outlineLevel="0" collapsed="false">
      <c r="A183" s="6" t="s">
        <v>910</v>
      </c>
      <c r="B183" s="6" t="s">
        <v>186</v>
      </c>
      <c r="C183" s="7" t="n">
        <v>45838</v>
      </c>
      <c r="D183" s="6" t="s">
        <v>380</v>
      </c>
      <c r="E183" s="6" t="s">
        <v>381</v>
      </c>
      <c r="F183" s="6" t="s">
        <v>823</v>
      </c>
      <c r="G183" s="6" t="s">
        <v>911</v>
      </c>
      <c r="H183" s="9" t="n">
        <v>87039</v>
      </c>
      <c r="K183" s="6" t="s">
        <v>384</v>
      </c>
      <c r="L183" s="6" t="s">
        <v>13</v>
      </c>
      <c r="M183" s="6" t="s">
        <v>184</v>
      </c>
      <c r="N183" s="6" t="s">
        <v>912</v>
      </c>
      <c r="O183" s="6"/>
      <c r="P183" s="6"/>
    </row>
    <row r="184" customFormat="false" ht="15" hidden="false" customHeight="false" outlineLevel="0" collapsed="false">
      <c r="A184" s="6" t="s">
        <v>913</v>
      </c>
      <c r="B184" s="6" t="s">
        <v>255</v>
      </c>
      <c r="C184" s="7" t="n">
        <v>45838</v>
      </c>
      <c r="D184" s="6" t="s">
        <v>392</v>
      </c>
      <c r="E184" s="6" t="s">
        <v>381</v>
      </c>
      <c r="F184" s="6" t="s">
        <v>823</v>
      </c>
      <c r="G184" s="6" t="s">
        <v>914</v>
      </c>
      <c r="H184" s="9" t="n">
        <v>156424</v>
      </c>
      <c r="K184" s="6" t="s">
        <v>384</v>
      </c>
      <c r="L184" s="6" t="s">
        <v>13</v>
      </c>
      <c r="M184" s="6" t="s">
        <v>184</v>
      </c>
      <c r="N184" s="6" t="s">
        <v>915</v>
      </c>
      <c r="O184" s="6"/>
      <c r="P184" s="6"/>
    </row>
    <row r="185" customFormat="false" ht="15" hidden="false" customHeight="false" outlineLevel="0" collapsed="false">
      <c r="A185" s="6" t="s">
        <v>916</v>
      </c>
      <c r="B185" s="6" t="s">
        <v>191</v>
      </c>
      <c r="C185" s="7" t="n">
        <v>45930</v>
      </c>
      <c r="D185" s="6" t="s">
        <v>380</v>
      </c>
      <c r="E185" s="6" t="s">
        <v>381</v>
      </c>
      <c r="F185" s="6" t="s">
        <v>823</v>
      </c>
      <c r="G185" s="6" t="s">
        <v>917</v>
      </c>
      <c r="H185" s="9" t="n">
        <v>79453</v>
      </c>
      <c r="K185" s="6" t="s">
        <v>384</v>
      </c>
      <c r="L185" s="6" t="s">
        <v>13</v>
      </c>
      <c r="M185" s="6" t="s">
        <v>189</v>
      </c>
      <c r="N185" s="6" t="s">
        <v>918</v>
      </c>
      <c r="O185" s="6"/>
      <c r="P185" s="6"/>
    </row>
    <row r="186" customFormat="false" ht="15" hidden="false" customHeight="false" outlineLevel="0" collapsed="false">
      <c r="A186" s="6" t="s">
        <v>919</v>
      </c>
      <c r="B186" s="6" t="s">
        <v>491</v>
      </c>
      <c r="C186" s="7" t="n">
        <v>45930</v>
      </c>
      <c r="D186" s="6" t="s">
        <v>400</v>
      </c>
      <c r="E186" s="6" t="s">
        <v>381</v>
      </c>
      <c r="F186" s="6" t="s">
        <v>823</v>
      </c>
      <c r="G186" s="6" t="s">
        <v>920</v>
      </c>
      <c r="H186" s="9" t="n">
        <v>235877</v>
      </c>
      <c r="K186" s="6" t="s">
        <v>384</v>
      </c>
      <c r="L186" s="6" t="s">
        <v>13</v>
      </c>
      <c r="M186" s="6" t="s">
        <v>189</v>
      </c>
      <c r="N186" s="6" t="s">
        <v>921</v>
      </c>
      <c r="O186" s="6"/>
      <c r="P186" s="6"/>
    </row>
    <row r="187" customFormat="false" ht="15" hidden="false" customHeight="false" outlineLevel="0" collapsed="false">
      <c r="A187" s="6" t="s">
        <v>922</v>
      </c>
      <c r="B187" s="6" t="s">
        <v>196</v>
      </c>
      <c r="C187" s="7" t="n">
        <v>46022</v>
      </c>
      <c r="D187" s="6" t="s">
        <v>380</v>
      </c>
      <c r="E187" s="6" t="s">
        <v>381</v>
      </c>
      <c r="F187" s="6" t="s">
        <v>823</v>
      </c>
      <c r="G187" s="6" t="s">
        <v>923</v>
      </c>
      <c r="H187" s="9" t="n">
        <v>84922</v>
      </c>
      <c r="K187" s="6" t="s">
        <v>384</v>
      </c>
      <c r="L187" s="6" t="s">
        <v>13</v>
      </c>
      <c r="M187" s="6" t="s">
        <v>194</v>
      </c>
      <c r="N187" s="6" t="s">
        <v>924</v>
      </c>
      <c r="O187" s="6"/>
      <c r="P187" s="6"/>
    </row>
    <row r="188" customFormat="false" ht="15" hidden="false" customHeight="false" outlineLevel="0" collapsed="false">
      <c r="A188" s="6" t="s">
        <v>925</v>
      </c>
      <c r="B188" s="6" t="s">
        <v>235</v>
      </c>
      <c r="C188" s="7" t="n">
        <v>46022</v>
      </c>
      <c r="D188" s="6" t="s">
        <v>407</v>
      </c>
      <c r="E188" s="6" t="s">
        <v>381</v>
      </c>
      <c r="F188" s="6" t="s">
        <v>823</v>
      </c>
      <c r="G188" s="6" t="s">
        <v>926</v>
      </c>
      <c r="H188" s="9" t="n">
        <v>320799</v>
      </c>
      <c r="K188" s="6" t="s">
        <v>384</v>
      </c>
      <c r="L188" s="6" t="s">
        <v>13</v>
      </c>
      <c r="M188" s="6" t="s">
        <v>194</v>
      </c>
      <c r="N188" s="6" t="s">
        <v>927</v>
      </c>
      <c r="O188" s="6"/>
      <c r="P188" s="6"/>
    </row>
    <row r="189" customFormat="false" ht="15" hidden="false" customHeight="false" outlineLevel="0" collapsed="false">
      <c r="A189" s="6" t="s">
        <v>928</v>
      </c>
      <c r="B189" s="6" t="s">
        <v>201</v>
      </c>
      <c r="C189" s="7" t="n">
        <v>46112</v>
      </c>
      <c r="D189" s="6" t="s">
        <v>380</v>
      </c>
      <c r="E189" s="6" t="s">
        <v>381</v>
      </c>
      <c r="F189" s="6" t="s">
        <v>823</v>
      </c>
      <c r="G189" s="6" t="s">
        <v>929</v>
      </c>
      <c r="H189" s="9" t="n">
        <v>92020</v>
      </c>
      <c r="K189" s="6" t="s">
        <v>384</v>
      </c>
      <c r="L189" s="6" t="s">
        <v>13</v>
      </c>
      <c r="M189" s="6" t="s">
        <v>199</v>
      </c>
      <c r="N189" s="6" t="s">
        <v>930</v>
      </c>
      <c r="O189" s="6"/>
      <c r="P189" s="6"/>
    </row>
    <row r="190" customFormat="false" ht="15" hidden="false" customHeight="false" outlineLevel="0" collapsed="false">
      <c r="A190" s="6" t="s">
        <v>931</v>
      </c>
      <c r="B190" s="6" t="s">
        <v>206</v>
      </c>
      <c r="C190" s="7" t="n">
        <v>46203</v>
      </c>
      <c r="D190" s="6" t="s">
        <v>380</v>
      </c>
      <c r="E190" s="6" t="s">
        <v>381</v>
      </c>
      <c r="F190" s="6" t="s">
        <v>823</v>
      </c>
      <c r="G190" s="6" t="s">
        <v>932</v>
      </c>
      <c r="H190" s="9" t="n">
        <v>99307</v>
      </c>
      <c r="K190" s="6" t="s">
        <v>384</v>
      </c>
      <c r="L190" s="6" t="s">
        <v>13</v>
      </c>
      <c r="M190" s="6" t="s">
        <v>204</v>
      </c>
      <c r="N190" s="6" t="s">
        <v>933</v>
      </c>
      <c r="O190" s="6"/>
      <c r="P190" s="6"/>
    </row>
    <row r="191" customFormat="false" ht="15" hidden="false" customHeight="false" outlineLevel="0" collapsed="false">
      <c r="A191" s="6" t="s">
        <v>934</v>
      </c>
      <c r="B191" s="6" t="s">
        <v>263</v>
      </c>
      <c r="C191" s="7" t="n">
        <v>46203</v>
      </c>
      <c r="D191" s="6" t="s">
        <v>392</v>
      </c>
      <c r="E191" s="6" t="s">
        <v>381</v>
      </c>
      <c r="F191" s="6" t="s">
        <v>823</v>
      </c>
      <c r="G191" s="6" t="s">
        <v>935</v>
      </c>
      <c r="H191" s="9" t="n">
        <v>191327</v>
      </c>
      <c r="K191" s="6" t="s">
        <v>384</v>
      </c>
      <c r="L191" s="6" t="s">
        <v>13</v>
      </c>
      <c r="M191" s="6" t="s">
        <v>204</v>
      </c>
      <c r="N191" s="6" t="s">
        <v>936</v>
      </c>
      <c r="O191" s="6"/>
      <c r="P191" s="6"/>
    </row>
    <row r="192" customFormat="false" ht="15" hidden="false" customHeight="false" outlineLevel="0" collapsed="false">
      <c r="A192" s="6" t="s">
        <v>937</v>
      </c>
      <c r="B192" s="6" t="s">
        <v>379</v>
      </c>
      <c r="C192" s="7" t="n">
        <v>44286</v>
      </c>
      <c r="D192" s="6" t="s">
        <v>380</v>
      </c>
      <c r="E192" s="6" t="s">
        <v>381</v>
      </c>
      <c r="F192" s="6" t="s">
        <v>938</v>
      </c>
      <c r="G192" s="6" t="s">
        <v>939</v>
      </c>
      <c r="H192" s="9" t="n">
        <v>63048</v>
      </c>
      <c r="K192" s="6" t="s">
        <v>384</v>
      </c>
      <c r="L192" s="6" t="s">
        <v>13</v>
      </c>
      <c r="M192" s="6" t="s">
        <v>119</v>
      </c>
      <c r="N192" s="6" t="s">
        <v>940</v>
      </c>
      <c r="O192" s="6"/>
      <c r="P192" s="6" t="s">
        <v>386</v>
      </c>
    </row>
    <row r="193" customFormat="false" ht="15" hidden="false" customHeight="false" outlineLevel="0" collapsed="false">
      <c r="A193" s="6" t="s">
        <v>941</v>
      </c>
      <c r="B193" s="6" t="s">
        <v>103</v>
      </c>
      <c r="C193" s="7" t="n">
        <v>44377</v>
      </c>
      <c r="D193" s="6" t="s">
        <v>380</v>
      </c>
      <c r="E193" s="6" t="s">
        <v>381</v>
      </c>
      <c r="F193" s="6" t="s">
        <v>938</v>
      </c>
      <c r="G193" s="6" t="s">
        <v>942</v>
      </c>
      <c r="H193" s="9" t="n">
        <v>61057</v>
      </c>
      <c r="K193" s="6" t="s">
        <v>384</v>
      </c>
      <c r="L193" s="6" t="s">
        <v>13</v>
      </c>
      <c r="M193" s="6" t="s">
        <v>100</v>
      </c>
      <c r="N193" s="6" t="s">
        <v>943</v>
      </c>
      <c r="O193" s="6"/>
      <c r="P193" s="6"/>
    </row>
    <row r="194" customFormat="false" ht="15" hidden="false" customHeight="false" outlineLevel="0" collapsed="false">
      <c r="A194" s="6" t="s">
        <v>944</v>
      </c>
      <c r="B194" s="6" t="s">
        <v>391</v>
      </c>
      <c r="C194" s="7" t="n">
        <v>44377</v>
      </c>
      <c r="D194" s="6" t="s">
        <v>392</v>
      </c>
      <c r="E194" s="6" t="s">
        <v>381</v>
      </c>
      <c r="F194" s="6" t="s">
        <v>938</v>
      </c>
      <c r="G194" s="6" t="s">
        <v>945</v>
      </c>
      <c r="H194" s="9" t="n">
        <v>124105</v>
      </c>
      <c r="K194" s="6" t="s">
        <v>384</v>
      </c>
      <c r="L194" s="6" t="s">
        <v>13</v>
      </c>
      <c r="M194" s="6" t="s">
        <v>100</v>
      </c>
      <c r="N194" s="6" t="s">
        <v>946</v>
      </c>
      <c r="O194" s="6"/>
      <c r="P194" s="6"/>
    </row>
    <row r="195" customFormat="false" ht="15" hidden="false" customHeight="false" outlineLevel="0" collapsed="false">
      <c r="A195" s="6" t="s">
        <v>947</v>
      </c>
      <c r="B195" s="6" t="s">
        <v>111</v>
      </c>
      <c r="C195" s="7" t="n">
        <v>44469</v>
      </c>
      <c r="D195" s="6" t="s">
        <v>380</v>
      </c>
      <c r="E195" s="6" t="s">
        <v>381</v>
      </c>
      <c r="F195" s="6" t="s">
        <v>938</v>
      </c>
      <c r="G195" s="6" t="s">
        <v>948</v>
      </c>
      <c r="H195" s="9" t="n">
        <v>67443</v>
      </c>
      <c r="K195" s="6" t="s">
        <v>384</v>
      </c>
      <c r="L195" s="6" t="s">
        <v>13</v>
      </c>
      <c r="M195" s="6" t="s">
        <v>109</v>
      </c>
      <c r="N195" s="6" t="s">
        <v>949</v>
      </c>
      <c r="O195" s="6"/>
      <c r="P195" s="6"/>
    </row>
    <row r="196" customFormat="false" ht="15" hidden="false" customHeight="false" outlineLevel="0" collapsed="false">
      <c r="A196" s="6" t="s">
        <v>950</v>
      </c>
      <c r="B196" s="6" t="s">
        <v>399</v>
      </c>
      <c r="C196" s="7" t="n">
        <v>44469</v>
      </c>
      <c r="D196" s="6" t="s">
        <v>400</v>
      </c>
      <c r="E196" s="6" t="s">
        <v>381</v>
      </c>
      <c r="F196" s="6" t="s">
        <v>938</v>
      </c>
      <c r="G196" s="6" t="s">
        <v>951</v>
      </c>
      <c r="H196" s="9" t="n">
        <v>191548</v>
      </c>
      <c r="K196" s="6" t="s">
        <v>384</v>
      </c>
      <c r="L196" s="6" t="s">
        <v>13</v>
      </c>
      <c r="M196" s="6" t="s">
        <v>109</v>
      </c>
      <c r="N196" s="6" t="s">
        <v>952</v>
      </c>
      <c r="O196" s="6"/>
      <c r="P196" s="6"/>
    </row>
    <row r="197" customFormat="false" ht="15" hidden="false" customHeight="false" outlineLevel="0" collapsed="false">
      <c r="A197" s="6" t="s">
        <v>953</v>
      </c>
      <c r="B197" s="6" t="s">
        <v>116</v>
      </c>
      <c r="C197" s="7" t="n">
        <v>44561</v>
      </c>
      <c r="D197" s="6" t="s">
        <v>380</v>
      </c>
      <c r="E197" s="6" t="s">
        <v>381</v>
      </c>
      <c r="F197" s="6" t="s">
        <v>938</v>
      </c>
      <c r="G197" s="6" t="s">
        <v>954</v>
      </c>
      <c r="H197" s="9" t="n">
        <v>76535</v>
      </c>
      <c r="K197" s="6" t="s">
        <v>384</v>
      </c>
      <c r="L197" s="6" t="s">
        <v>13</v>
      </c>
      <c r="M197" s="6" t="s">
        <v>114</v>
      </c>
      <c r="N197" s="6" t="s">
        <v>955</v>
      </c>
      <c r="O197" s="6"/>
      <c r="P197" s="6"/>
    </row>
    <row r="198" customFormat="false" ht="15" hidden="false" customHeight="false" outlineLevel="0" collapsed="false">
      <c r="A198" s="6" t="s">
        <v>956</v>
      </c>
      <c r="B198" s="6" t="s">
        <v>212</v>
      </c>
      <c r="C198" s="7" t="n">
        <v>44561</v>
      </c>
      <c r="D198" s="6" t="s">
        <v>407</v>
      </c>
      <c r="E198" s="6" t="s">
        <v>381</v>
      </c>
      <c r="F198" s="6" t="s">
        <v>938</v>
      </c>
      <c r="G198" s="6" t="s">
        <v>957</v>
      </c>
      <c r="H198" s="9" t="n">
        <v>268083</v>
      </c>
      <c r="K198" s="6" t="s">
        <v>384</v>
      </c>
      <c r="L198" s="6" t="s">
        <v>13</v>
      </c>
      <c r="M198" s="6" t="s">
        <v>114</v>
      </c>
      <c r="N198" s="6" t="s">
        <v>958</v>
      </c>
      <c r="O198" s="6"/>
      <c r="P198" s="6"/>
    </row>
    <row r="199" customFormat="false" ht="15" hidden="false" customHeight="false" outlineLevel="0" collapsed="false">
      <c r="A199" s="6" t="s">
        <v>959</v>
      </c>
      <c r="B199" s="6" t="s">
        <v>121</v>
      </c>
      <c r="C199" s="7" t="n">
        <v>44651</v>
      </c>
      <c r="D199" s="6" t="s">
        <v>380</v>
      </c>
      <c r="E199" s="6" t="s">
        <v>381</v>
      </c>
      <c r="F199" s="6" t="s">
        <v>938</v>
      </c>
      <c r="G199" s="6" t="s">
        <v>960</v>
      </c>
      <c r="H199" s="9" t="n">
        <v>115973</v>
      </c>
      <c r="K199" s="6" t="s">
        <v>384</v>
      </c>
      <c r="L199" s="6" t="s">
        <v>13</v>
      </c>
      <c r="M199" s="6" t="s">
        <v>119</v>
      </c>
      <c r="N199" s="6" t="s">
        <v>961</v>
      </c>
      <c r="O199" s="6"/>
      <c r="P199" s="6"/>
    </row>
    <row r="200" customFormat="false" ht="15" hidden="false" customHeight="false" outlineLevel="0" collapsed="false">
      <c r="A200" s="6" t="s">
        <v>962</v>
      </c>
      <c r="B200" s="6" t="s">
        <v>126</v>
      </c>
      <c r="C200" s="7" t="n">
        <v>44742</v>
      </c>
      <c r="D200" s="6" t="s">
        <v>380</v>
      </c>
      <c r="E200" s="6" t="s">
        <v>381</v>
      </c>
      <c r="F200" s="6" t="s">
        <v>938</v>
      </c>
      <c r="G200" s="6" t="s">
        <v>963</v>
      </c>
      <c r="H200" s="9" t="n">
        <v>96740</v>
      </c>
      <c r="K200" s="6" t="s">
        <v>384</v>
      </c>
      <c r="L200" s="6" t="s">
        <v>13</v>
      </c>
      <c r="M200" s="6" t="s">
        <v>124</v>
      </c>
      <c r="N200" s="6" t="s">
        <v>964</v>
      </c>
      <c r="O200" s="6"/>
      <c r="P200" s="6"/>
    </row>
    <row r="201" customFormat="false" ht="15" hidden="false" customHeight="false" outlineLevel="0" collapsed="false">
      <c r="A201" s="6" t="s">
        <v>965</v>
      </c>
      <c r="B201" s="6" t="s">
        <v>417</v>
      </c>
      <c r="C201" s="7" t="n">
        <v>44742</v>
      </c>
      <c r="D201" s="6" t="s">
        <v>392</v>
      </c>
      <c r="E201" s="6" t="s">
        <v>381</v>
      </c>
      <c r="F201" s="6" t="s">
        <v>938</v>
      </c>
      <c r="G201" s="6" t="s">
        <v>966</v>
      </c>
      <c r="H201" s="9" t="n">
        <v>212713</v>
      </c>
      <c r="K201" s="6" t="s">
        <v>384</v>
      </c>
      <c r="L201" s="6" t="s">
        <v>13</v>
      </c>
      <c r="M201" s="6" t="s">
        <v>124</v>
      </c>
      <c r="N201" s="6" t="s">
        <v>967</v>
      </c>
      <c r="O201" s="6"/>
      <c r="P201" s="6"/>
    </row>
    <row r="202" customFormat="false" ht="15" hidden="false" customHeight="false" outlineLevel="0" collapsed="false">
      <c r="A202" s="6" t="s">
        <v>968</v>
      </c>
      <c r="B202" s="6" t="s">
        <v>131</v>
      </c>
      <c r="C202" s="7" t="n">
        <v>44834</v>
      </c>
      <c r="D202" s="6" t="s">
        <v>380</v>
      </c>
      <c r="E202" s="6" t="s">
        <v>381</v>
      </c>
      <c r="F202" s="6" t="s">
        <v>938</v>
      </c>
      <c r="G202" s="6" t="s">
        <v>969</v>
      </c>
      <c r="H202" s="9" t="n">
        <v>90970</v>
      </c>
      <c r="K202" s="6" t="s">
        <v>384</v>
      </c>
      <c r="L202" s="6" t="s">
        <v>13</v>
      </c>
      <c r="M202" s="6" t="s">
        <v>129</v>
      </c>
      <c r="N202" s="6" t="s">
        <v>970</v>
      </c>
      <c r="O202" s="6"/>
      <c r="P202" s="6"/>
    </row>
    <row r="203" customFormat="false" ht="15" hidden="false" customHeight="false" outlineLevel="0" collapsed="false">
      <c r="A203" s="6" t="s">
        <v>971</v>
      </c>
      <c r="B203" s="6" t="s">
        <v>424</v>
      </c>
      <c r="C203" s="7" t="n">
        <v>44834</v>
      </c>
      <c r="D203" s="6" t="s">
        <v>400</v>
      </c>
      <c r="E203" s="6" t="s">
        <v>381</v>
      </c>
      <c r="F203" s="6" t="s">
        <v>938</v>
      </c>
      <c r="G203" s="6" t="s">
        <v>972</v>
      </c>
      <c r="H203" s="9" t="n">
        <v>303683</v>
      </c>
      <c r="K203" s="6" t="s">
        <v>384</v>
      </c>
      <c r="L203" s="6" t="s">
        <v>13</v>
      </c>
      <c r="M203" s="6" t="s">
        <v>129</v>
      </c>
      <c r="N203" s="6" t="s">
        <v>973</v>
      </c>
      <c r="O203" s="6"/>
      <c r="P203" s="6"/>
    </row>
    <row r="204" customFormat="false" ht="15" hidden="false" customHeight="false" outlineLevel="0" collapsed="false">
      <c r="A204" s="6" t="s">
        <v>974</v>
      </c>
      <c r="B204" s="6" t="s">
        <v>136</v>
      </c>
      <c r="C204" s="7" t="n">
        <v>44926</v>
      </c>
      <c r="D204" s="6" t="s">
        <v>380</v>
      </c>
      <c r="E204" s="6" t="s">
        <v>381</v>
      </c>
      <c r="F204" s="6" t="s">
        <v>938</v>
      </c>
      <c r="G204" s="6" t="s">
        <v>975</v>
      </c>
      <c r="H204" s="9" t="n">
        <v>88385</v>
      </c>
      <c r="K204" s="6" t="s">
        <v>384</v>
      </c>
      <c r="L204" s="6" t="s">
        <v>13</v>
      </c>
      <c r="M204" s="6" t="s">
        <v>134</v>
      </c>
      <c r="N204" s="6" t="s">
        <v>976</v>
      </c>
      <c r="O204" s="6"/>
      <c r="P204" s="6"/>
    </row>
    <row r="205" customFormat="false" ht="15" hidden="false" customHeight="false" outlineLevel="0" collapsed="false">
      <c r="A205" s="6" t="s">
        <v>977</v>
      </c>
      <c r="B205" s="6" t="s">
        <v>220</v>
      </c>
      <c r="C205" s="7" t="n">
        <v>44926</v>
      </c>
      <c r="D205" s="6" t="s">
        <v>407</v>
      </c>
      <c r="E205" s="6" t="s">
        <v>381</v>
      </c>
      <c r="F205" s="6" t="s">
        <v>938</v>
      </c>
      <c r="G205" s="6" t="s">
        <v>978</v>
      </c>
      <c r="H205" s="9" t="n">
        <v>392068</v>
      </c>
      <c r="K205" s="6" t="s">
        <v>384</v>
      </c>
      <c r="L205" s="6" t="s">
        <v>13</v>
      </c>
      <c r="M205" s="6" t="s">
        <v>134</v>
      </c>
      <c r="N205" s="6" t="s">
        <v>979</v>
      </c>
      <c r="O205" s="6"/>
      <c r="P205" s="6"/>
    </row>
    <row r="206" customFormat="false" ht="15" hidden="false" customHeight="false" outlineLevel="0" collapsed="false">
      <c r="A206" s="6" t="s">
        <v>980</v>
      </c>
      <c r="B206" s="6" t="s">
        <v>141</v>
      </c>
      <c r="C206" s="7" t="n">
        <v>45016</v>
      </c>
      <c r="D206" s="6" t="s">
        <v>380</v>
      </c>
      <c r="E206" s="6" t="s">
        <v>381</v>
      </c>
      <c r="F206" s="6" t="s">
        <v>938</v>
      </c>
      <c r="G206" s="6" t="s">
        <v>981</v>
      </c>
      <c r="H206" s="9" t="n">
        <v>107680</v>
      </c>
      <c r="K206" s="6" t="s">
        <v>384</v>
      </c>
      <c r="L206" s="6" t="s">
        <v>13</v>
      </c>
      <c r="M206" s="6" t="s">
        <v>139</v>
      </c>
      <c r="N206" s="6" t="s">
        <v>982</v>
      </c>
      <c r="O206" s="6"/>
      <c r="P206" s="6"/>
    </row>
    <row r="207" customFormat="false" ht="15" hidden="false" customHeight="false" outlineLevel="0" collapsed="false">
      <c r="A207" s="6" t="s">
        <v>983</v>
      </c>
      <c r="B207" s="6" t="s">
        <v>146</v>
      </c>
      <c r="C207" s="7" t="n">
        <v>45107</v>
      </c>
      <c r="D207" s="6" t="s">
        <v>380</v>
      </c>
      <c r="E207" s="6" t="s">
        <v>381</v>
      </c>
      <c r="F207" s="6" t="s">
        <v>938</v>
      </c>
      <c r="G207" s="6" t="s">
        <v>984</v>
      </c>
      <c r="H207" s="9" t="n">
        <v>107443</v>
      </c>
      <c r="K207" s="6" t="s">
        <v>384</v>
      </c>
      <c r="L207" s="6" t="s">
        <v>13</v>
      </c>
      <c r="M207" s="6" t="s">
        <v>144</v>
      </c>
      <c r="N207" s="6" t="s">
        <v>985</v>
      </c>
      <c r="O207" s="6"/>
      <c r="P207" s="6"/>
    </row>
    <row r="208" customFormat="false" ht="15" hidden="false" customHeight="false" outlineLevel="0" collapsed="false">
      <c r="A208" s="6" t="s">
        <v>986</v>
      </c>
      <c r="B208" s="6" t="s">
        <v>440</v>
      </c>
      <c r="C208" s="7" t="n">
        <v>45107</v>
      </c>
      <c r="D208" s="6" t="s">
        <v>392</v>
      </c>
      <c r="E208" s="6" t="s">
        <v>381</v>
      </c>
      <c r="F208" s="6" t="s">
        <v>938</v>
      </c>
      <c r="G208" s="6" t="s">
        <v>987</v>
      </c>
      <c r="H208" s="9" t="n">
        <v>215123</v>
      </c>
      <c r="K208" s="6" t="s">
        <v>384</v>
      </c>
      <c r="L208" s="6" t="s">
        <v>13</v>
      </c>
      <c r="M208" s="6" t="s">
        <v>144</v>
      </c>
      <c r="N208" s="6" t="s">
        <v>988</v>
      </c>
      <c r="O208" s="6"/>
      <c r="P208" s="6"/>
    </row>
    <row r="209" customFormat="false" ht="15" hidden="false" customHeight="false" outlineLevel="0" collapsed="false">
      <c r="A209" s="6" t="s">
        <v>989</v>
      </c>
      <c r="B209" s="6" t="s">
        <v>151</v>
      </c>
      <c r="C209" s="7" t="n">
        <v>45199</v>
      </c>
      <c r="D209" s="6" t="s">
        <v>380</v>
      </c>
      <c r="E209" s="6" t="s">
        <v>381</v>
      </c>
      <c r="F209" s="6" t="s">
        <v>938</v>
      </c>
      <c r="G209" s="6" t="s">
        <v>990</v>
      </c>
      <c r="H209" s="9" t="n">
        <v>108360</v>
      </c>
      <c r="K209" s="6" t="s">
        <v>384</v>
      </c>
      <c r="L209" s="6" t="s">
        <v>13</v>
      </c>
      <c r="M209" s="6" t="s">
        <v>149</v>
      </c>
      <c r="N209" s="6" t="s">
        <v>991</v>
      </c>
      <c r="O209" s="6"/>
      <c r="P209" s="6"/>
    </row>
    <row r="210" customFormat="false" ht="15" hidden="false" customHeight="false" outlineLevel="0" collapsed="false">
      <c r="A210" s="6" t="s">
        <v>992</v>
      </c>
      <c r="B210" s="6" t="s">
        <v>447</v>
      </c>
      <c r="C210" s="7" t="n">
        <v>45199</v>
      </c>
      <c r="D210" s="6" t="s">
        <v>400</v>
      </c>
      <c r="E210" s="6" t="s">
        <v>381</v>
      </c>
      <c r="F210" s="6" t="s">
        <v>938</v>
      </c>
      <c r="G210" s="6" t="s">
        <v>993</v>
      </c>
      <c r="H210" s="9" t="n">
        <v>323483</v>
      </c>
      <c r="K210" s="6" t="s">
        <v>384</v>
      </c>
      <c r="L210" s="6" t="s">
        <v>13</v>
      </c>
      <c r="M210" s="6" t="s">
        <v>149</v>
      </c>
      <c r="N210" s="6" t="s">
        <v>994</v>
      </c>
      <c r="O210" s="6"/>
      <c r="P210" s="6"/>
    </row>
    <row r="211" customFormat="false" ht="15" hidden="false" customHeight="false" outlineLevel="0" collapsed="false">
      <c r="A211" s="6" t="s">
        <v>995</v>
      </c>
      <c r="B211" s="6" t="s">
        <v>156</v>
      </c>
      <c r="C211" s="7" t="n">
        <v>45291</v>
      </c>
      <c r="D211" s="6" t="s">
        <v>380</v>
      </c>
      <c r="E211" s="6" t="s">
        <v>381</v>
      </c>
      <c r="F211" s="6" t="s">
        <v>938</v>
      </c>
      <c r="G211" s="6" t="s">
        <v>996</v>
      </c>
      <c r="H211" s="9" t="n">
        <v>114919</v>
      </c>
      <c r="K211" s="6" t="s">
        <v>384</v>
      </c>
      <c r="L211" s="6" t="s">
        <v>13</v>
      </c>
      <c r="M211" s="6" t="s">
        <v>154</v>
      </c>
      <c r="N211" s="6" t="s">
        <v>997</v>
      </c>
      <c r="O211" s="6"/>
      <c r="P211" s="6"/>
    </row>
    <row r="212" customFormat="false" ht="15" hidden="false" customHeight="false" outlineLevel="0" collapsed="false">
      <c r="A212" s="6" t="s">
        <v>998</v>
      </c>
      <c r="B212" s="6" t="s">
        <v>225</v>
      </c>
      <c r="C212" s="7" t="n">
        <v>45291</v>
      </c>
      <c r="D212" s="6" t="s">
        <v>407</v>
      </c>
      <c r="E212" s="6" t="s">
        <v>381</v>
      </c>
      <c r="F212" s="6" t="s">
        <v>938</v>
      </c>
      <c r="G212" s="6" t="s">
        <v>999</v>
      </c>
      <c r="H212" s="9" t="n">
        <v>438402</v>
      </c>
      <c r="K212" s="6" t="s">
        <v>384</v>
      </c>
      <c r="L212" s="6" t="s">
        <v>13</v>
      </c>
      <c r="M212" s="6" t="s">
        <v>154</v>
      </c>
      <c r="N212" s="6" t="s">
        <v>1000</v>
      </c>
      <c r="O212" s="6"/>
      <c r="P212" s="6"/>
    </row>
    <row r="213" customFormat="false" ht="15" hidden="false" customHeight="false" outlineLevel="0" collapsed="false">
      <c r="A213" s="6" t="s">
        <v>1001</v>
      </c>
      <c r="B213" s="6" t="s">
        <v>161</v>
      </c>
      <c r="C213" s="7" t="n">
        <v>45382</v>
      </c>
      <c r="D213" s="6" t="s">
        <v>380</v>
      </c>
      <c r="E213" s="6" t="s">
        <v>381</v>
      </c>
      <c r="F213" s="6" t="s">
        <v>938</v>
      </c>
      <c r="G213" s="6" t="s">
        <v>1002</v>
      </c>
      <c r="H213" s="9" t="n">
        <v>128141</v>
      </c>
      <c r="K213" s="6" t="s">
        <v>384</v>
      </c>
      <c r="L213" s="6" t="s">
        <v>13</v>
      </c>
      <c r="M213" s="6" t="s">
        <v>159</v>
      </c>
      <c r="N213" s="6" t="s">
        <v>1003</v>
      </c>
      <c r="O213" s="6"/>
      <c r="P213" s="6"/>
    </row>
    <row r="214" customFormat="false" ht="15" hidden="false" customHeight="false" outlineLevel="0" collapsed="false">
      <c r="A214" s="6" t="s">
        <v>1004</v>
      </c>
      <c r="B214" s="6" t="s">
        <v>166</v>
      </c>
      <c r="C214" s="7" t="n">
        <v>45473</v>
      </c>
      <c r="D214" s="6" t="s">
        <v>380</v>
      </c>
      <c r="E214" s="6" t="s">
        <v>381</v>
      </c>
      <c r="F214" s="6" t="s">
        <v>938</v>
      </c>
      <c r="G214" s="6" t="s">
        <v>1005</v>
      </c>
      <c r="H214" s="9" t="n">
        <v>131471</v>
      </c>
      <c r="K214" s="6" t="s">
        <v>384</v>
      </c>
      <c r="L214" s="6" t="s">
        <v>13</v>
      </c>
      <c r="M214" s="6" t="s">
        <v>164</v>
      </c>
      <c r="N214" s="6" t="s">
        <v>1006</v>
      </c>
      <c r="O214" s="6"/>
      <c r="P214" s="6"/>
    </row>
    <row r="215" customFormat="false" ht="15" hidden="false" customHeight="false" outlineLevel="0" collapsed="false">
      <c r="A215" s="6" t="s">
        <v>1007</v>
      </c>
      <c r="B215" s="6" t="s">
        <v>241</v>
      </c>
      <c r="C215" s="7" t="n">
        <v>45473</v>
      </c>
      <c r="D215" s="6" t="s">
        <v>392</v>
      </c>
      <c r="E215" s="6" t="s">
        <v>381</v>
      </c>
      <c r="F215" s="6" t="s">
        <v>938</v>
      </c>
      <c r="G215" s="6" t="s">
        <v>1008</v>
      </c>
      <c r="H215" s="9" t="n">
        <v>259612</v>
      </c>
      <c r="K215" s="6" t="s">
        <v>384</v>
      </c>
      <c r="L215" s="6" t="s">
        <v>13</v>
      </c>
      <c r="M215" s="6" t="s">
        <v>164</v>
      </c>
      <c r="N215" s="6" t="s">
        <v>1009</v>
      </c>
      <c r="O215" s="6"/>
      <c r="P215" s="6"/>
    </row>
    <row r="216" customFormat="false" ht="15" hidden="false" customHeight="false" outlineLevel="0" collapsed="false">
      <c r="A216" s="6" t="s">
        <v>1010</v>
      </c>
      <c r="B216" s="6" t="s">
        <v>171</v>
      </c>
      <c r="C216" s="7" t="n">
        <v>45565</v>
      </c>
      <c r="D216" s="6" t="s">
        <v>380</v>
      </c>
      <c r="E216" s="6" t="s">
        <v>381</v>
      </c>
      <c r="F216" s="6" t="s">
        <v>938</v>
      </c>
      <c r="G216" s="6" t="s">
        <v>1011</v>
      </c>
      <c r="H216" s="9" t="n">
        <v>140284</v>
      </c>
      <c r="K216" s="6" t="s">
        <v>384</v>
      </c>
      <c r="L216" s="6" t="s">
        <v>13</v>
      </c>
      <c r="M216" s="6" t="s">
        <v>169</v>
      </c>
      <c r="N216" s="6" t="s">
        <v>1012</v>
      </c>
      <c r="O216" s="6"/>
      <c r="P216" s="6"/>
    </row>
    <row r="217" customFormat="false" ht="15" hidden="false" customHeight="false" outlineLevel="0" collapsed="false">
      <c r="A217" s="6" t="s">
        <v>1013</v>
      </c>
      <c r="B217" s="6" t="s">
        <v>469</v>
      </c>
      <c r="C217" s="7" t="n">
        <v>45565</v>
      </c>
      <c r="D217" s="6" t="s">
        <v>400</v>
      </c>
      <c r="E217" s="6" t="s">
        <v>381</v>
      </c>
      <c r="F217" s="6" t="s">
        <v>938</v>
      </c>
      <c r="G217" s="6" t="s">
        <v>1014</v>
      </c>
      <c r="H217" s="9" t="n">
        <v>399896</v>
      </c>
      <c r="K217" s="6" t="s">
        <v>384</v>
      </c>
      <c r="L217" s="6" t="s">
        <v>13</v>
      </c>
      <c r="M217" s="6" t="s">
        <v>169</v>
      </c>
      <c r="N217" s="6" t="s">
        <v>1015</v>
      </c>
      <c r="O217" s="6"/>
      <c r="P217" s="6"/>
    </row>
    <row r="218" customFormat="false" ht="15" hidden="false" customHeight="false" outlineLevel="0" collapsed="false">
      <c r="A218" s="6" t="s">
        <v>1016</v>
      </c>
      <c r="B218" s="6" t="s">
        <v>176</v>
      </c>
      <c r="C218" s="7" t="n">
        <v>45657</v>
      </c>
      <c r="D218" s="6" t="s">
        <v>380</v>
      </c>
      <c r="E218" s="6" t="s">
        <v>381</v>
      </c>
      <c r="F218" s="6" t="s">
        <v>938</v>
      </c>
      <c r="G218" s="6" t="s">
        <v>1017</v>
      </c>
      <c r="H218" s="9" t="n">
        <v>133643</v>
      </c>
      <c r="K218" s="6" t="s">
        <v>384</v>
      </c>
      <c r="L218" s="6" t="s">
        <v>13</v>
      </c>
      <c r="M218" s="6" t="s">
        <v>174</v>
      </c>
      <c r="N218" s="6" t="s">
        <v>1018</v>
      </c>
      <c r="O218" s="6"/>
      <c r="P218" s="6"/>
    </row>
    <row r="219" customFormat="false" ht="15" hidden="false" customHeight="false" outlineLevel="0" collapsed="false">
      <c r="A219" s="6" t="s">
        <v>1019</v>
      </c>
      <c r="B219" s="6" t="s">
        <v>230</v>
      </c>
      <c r="C219" s="7" t="n">
        <v>45657</v>
      </c>
      <c r="D219" s="6" t="s">
        <v>407</v>
      </c>
      <c r="E219" s="6" t="s">
        <v>381</v>
      </c>
      <c r="F219" s="6" t="s">
        <v>938</v>
      </c>
      <c r="G219" s="6" t="s">
        <v>1020</v>
      </c>
      <c r="H219" s="9" t="n">
        <v>533539</v>
      </c>
      <c r="K219" s="6" t="s">
        <v>384</v>
      </c>
      <c r="L219" s="6" t="s">
        <v>13</v>
      </c>
      <c r="M219" s="6" t="s">
        <v>174</v>
      </c>
      <c r="N219" s="6" t="s">
        <v>1021</v>
      </c>
      <c r="O219" s="6"/>
      <c r="P219" s="6"/>
    </row>
    <row r="220" customFormat="false" ht="15" hidden="false" customHeight="false" outlineLevel="0" collapsed="false">
      <c r="A220" s="6" t="s">
        <v>1022</v>
      </c>
      <c r="B220" s="6" t="s">
        <v>181</v>
      </c>
      <c r="C220" s="7" t="n">
        <v>45747</v>
      </c>
      <c r="D220" s="6" t="s">
        <v>380</v>
      </c>
      <c r="E220" s="6" t="s">
        <v>381</v>
      </c>
      <c r="F220" s="6" t="s">
        <v>938</v>
      </c>
      <c r="G220" s="6" t="s">
        <v>1023</v>
      </c>
      <c r="H220" s="9" t="n">
        <v>141720</v>
      </c>
      <c r="K220" s="6" t="s">
        <v>384</v>
      </c>
      <c r="L220" s="6" t="s">
        <v>13</v>
      </c>
      <c r="M220" s="6" t="s">
        <v>179</v>
      </c>
      <c r="N220" s="6" t="s">
        <v>1024</v>
      </c>
      <c r="O220" s="6"/>
      <c r="P220" s="6"/>
    </row>
    <row r="221" customFormat="false" ht="15" hidden="false" customHeight="false" outlineLevel="0" collapsed="false">
      <c r="A221" s="6" t="s">
        <v>1025</v>
      </c>
      <c r="B221" s="6" t="s">
        <v>186</v>
      </c>
      <c r="C221" s="7" t="n">
        <v>45838</v>
      </c>
      <c r="D221" s="6" t="s">
        <v>380</v>
      </c>
      <c r="E221" s="6" t="s">
        <v>381</v>
      </c>
      <c r="F221" s="6" t="s">
        <v>938</v>
      </c>
      <c r="G221" s="6" t="s">
        <v>1026</v>
      </c>
      <c r="H221" s="9" t="n">
        <v>152590</v>
      </c>
      <c r="K221" s="6" t="s">
        <v>384</v>
      </c>
      <c r="L221" s="6" t="s">
        <v>13</v>
      </c>
      <c r="M221" s="6" t="s">
        <v>184</v>
      </c>
      <c r="N221" s="6" t="s">
        <v>1027</v>
      </c>
      <c r="O221" s="6"/>
      <c r="P221" s="6"/>
    </row>
    <row r="222" customFormat="false" ht="15" hidden="false" customHeight="false" outlineLevel="0" collapsed="false">
      <c r="A222" s="6" t="s">
        <v>1028</v>
      </c>
      <c r="B222" s="6" t="s">
        <v>255</v>
      </c>
      <c r="C222" s="7" t="n">
        <v>45838</v>
      </c>
      <c r="D222" s="6" t="s">
        <v>392</v>
      </c>
      <c r="E222" s="6" t="s">
        <v>381</v>
      </c>
      <c r="F222" s="6" t="s">
        <v>938</v>
      </c>
      <c r="G222" s="6" t="s">
        <v>1029</v>
      </c>
      <c r="H222" s="9" t="n">
        <v>294310</v>
      </c>
      <c r="K222" s="6" t="s">
        <v>384</v>
      </c>
      <c r="L222" s="6" t="s">
        <v>13</v>
      </c>
      <c r="M222" s="6" t="s">
        <v>184</v>
      </c>
      <c r="N222" s="6" t="s">
        <v>1030</v>
      </c>
      <c r="O222" s="6"/>
      <c r="P222" s="6"/>
    </row>
    <row r="223" customFormat="false" ht="15" hidden="false" customHeight="false" outlineLevel="0" collapsed="false">
      <c r="A223" s="6" t="s">
        <v>1031</v>
      </c>
      <c r="B223" s="6" t="s">
        <v>191</v>
      </c>
      <c r="C223" s="7" t="n">
        <v>45930</v>
      </c>
      <c r="D223" s="6" t="s">
        <v>380</v>
      </c>
      <c r="E223" s="6" t="s">
        <v>381</v>
      </c>
      <c r="F223" s="6" t="s">
        <v>938</v>
      </c>
      <c r="G223" s="6" t="s">
        <v>1032</v>
      </c>
      <c r="H223" s="9" t="n">
        <v>165808</v>
      </c>
      <c r="K223" s="6" t="s">
        <v>384</v>
      </c>
      <c r="L223" s="6" t="s">
        <v>13</v>
      </c>
      <c r="M223" s="6" t="s">
        <v>189</v>
      </c>
      <c r="N223" s="6" t="s">
        <v>1033</v>
      </c>
      <c r="O223" s="6"/>
      <c r="P223" s="6"/>
    </row>
    <row r="224" customFormat="false" ht="15" hidden="false" customHeight="false" outlineLevel="0" collapsed="false">
      <c r="A224" s="6" t="s">
        <v>1034</v>
      </c>
      <c r="B224" s="6" t="s">
        <v>491</v>
      </c>
      <c r="C224" s="7" t="n">
        <v>45930</v>
      </c>
      <c r="D224" s="6" t="s">
        <v>400</v>
      </c>
      <c r="E224" s="6" t="s">
        <v>381</v>
      </c>
      <c r="F224" s="6" t="s">
        <v>938</v>
      </c>
      <c r="G224" s="6" t="s">
        <v>1035</v>
      </c>
      <c r="H224" s="9" t="n">
        <v>460118</v>
      </c>
      <c r="K224" s="6" t="s">
        <v>384</v>
      </c>
      <c r="L224" s="6" t="s">
        <v>13</v>
      </c>
      <c r="M224" s="6" t="s">
        <v>189</v>
      </c>
      <c r="N224" s="6" t="s">
        <v>1036</v>
      </c>
      <c r="O224" s="6"/>
      <c r="P224" s="6"/>
    </row>
    <row r="225" customFormat="false" ht="15" hidden="false" customHeight="false" outlineLevel="0" collapsed="false">
      <c r="A225" s="6" t="s">
        <v>1037</v>
      </c>
      <c r="B225" s="6" t="s">
        <v>196</v>
      </c>
      <c r="C225" s="7" t="n">
        <v>46022</v>
      </c>
      <c r="D225" s="6" t="s">
        <v>380</v>
      </c>
      <c r="E225" s="6" t="s">
        <v>381</v>
      </c>
      <c r="F225" s="6" t="s">
        <v>938</v>
      </c>
      <c r="G225" s="6" t="s">
        <v>1038</v>
      </c>
      <c r="H225" s="9" t="n">
        <v>170733</v>
      </c>
      <c r="K225" s="6" t="s">
        <v>384</v>
      </c>
      <c r="L225" s="6" t="s">
        <v>13</v>
      </c>
      <c r="M225" s="6" t="s">
        <v>194</v>
      </c>
      <c r="N225" s="6" t="s">
        <v>1039</v>
      </c>
      <c r="O225" s="6"/>
      <c r="P225" s="6"/>
    </row>
    <row r="226" customFormat="false" ht="15" hidden="false" customHeight="false" outlineLevel="0" collapsed="false">
      <c r="A226" s="6" t="s">
        <v>1040</v>
      </c>
      <c r="B226" s="6" t="s">
        <v>235</v>
      </c>
      <c r="C226" s="7" t="n">
        <v>46022</v>
      </c>
      <c r="D226" s="6" t="s">
        <v>407</v>
      </c>
      <c r="E226" s="6" t="s">
        <v>381</v>
      </c>
      <c r="F226" s="6" t="s">
        <v>938</v>
      </c>
      <c r="G226" s="6" t="s">
        <v>1041</v>
      </c>
      <c r="H226" s="9" t="n">
        <v>630851</v>
      </c>
      <c r="K226" s="6" t="s">
        <v>384</v>
      </c>
      <c r="L226" s="6" t="s">
        <v>13</v>
      </c>
      <c r="M226" s="6" t="s">
        <v>194</v>
      </c>
      <c r="N226" s="6" t="s">
        <v>1042</v>
      </c>
      <c r="O226" s="6"/>
      <c r="P226" s="6"/>
    </row>
    <row r="227" customFormat="false" ht="15" hidden="false" customHeight="false" outlineLevel="0" collapsed="false">
      <c r="A227" s="6" t="s">
        <v>1043</v>
      </c>
      <c r="B227" s="6" t="s">
        <v>201</v>
      </c>
      <c r="C227" s="7" t="n">
        <v>46112</v>
      </c>
      <c r="D227" s="6" t="s">
        <v>380</v>
      </c>
      <c r="E227" s="6" t="s">
        <v>381</v>
      </c>
      <c r="F227" s="6" t="s">
        <v>938</v>
      </c>
      <c r="G227" s="6" t="s">
        <v>1044</v>
      </c>
      <c r="H227" s="9" t="n">
        <v>165395</v>
      </c>
      <c r="K227" s="6" t="s">
        <v>384</v>
      </c>
      <c r="L227" s="6" t="s">
        <v>13</v>
      </c>
      <c r="M227" s="6" t="s">
        <v>199</v>
      </c>
      <c r="N227" s="6" t="s">
        <v>1045</v>
      </c>
      <c r="O227" s="6"/>
      <c r="P227" s="6"/>
    </row>
    <row r="228" customFormat="false" ht="15" hidden="false" customHeight="false" outlineLevel="0" collapsed="false">
      <c r="A228" s="6" t="s">
        <v>1046</v>
      </c>
      <c r="B228" s="6" t="s">
        <v>206</v>
      </c>
      <c r="C228" s="7" t="n">
        <v>46203</v>
      </c>
      <c r="D228" s="6" t="s">
        <v>380</v>
      </c>
      <c r="E228" s="6" t="s">
        <v>381</v>
      </c>
      <c r="F228" s="6" t="s">
        <v>938</v>
      </c>
      <c r="G228" s="6" t="s">
        <v>1047</v>
      </c>
      <c r="H228" s="9" t="n">
        <v>162402</v>
      </c>
      <c r="K228" s="6" t="s">
        <v>384</v>
      </c>
      <c r="L228" s="6" t="s">
        <v>13</v>
      </c>
      <c r="M228" s="6" t="s">
        <v>204</v>
      </c>
      <c r="N228" s="6" t="s">
        <v>1048</v>
      </c>
      <c r="O228" s="6"/>
      <c r="P228" s="6"/>
    </row>
    <row r="229" customFormat="false" ht="15" hidden="false" customHeight="false" outlineLevel="0" collapsed="false">
      <c r="A229" s="6" t="s">
        <v>1049</v>
      </c>
      <c r="B229" s="6" t="s">
        <v>263</v>
      </c>
      <c r="C229" s="7" t="n">
        <v>46203</v>
      </c>
      <c r="D229" s="6" t="s">
        <v>392</v>
      </c>
      <c r="E229" s="6" t="s">
        <v>381</v>
      </c>
      <c r="F229" s="6" t="s">
        <v>938</v>
      </c>
      <c r="G229" s="6" t="s">
        <v>1050</v>
      </c>
      <c r="H229" s="9" t="n">
        <v>327797</v>
      </c>
      <c r="K229" s="6" t="s">
        <v>384</v>
      </c>
      <c r="L229" s="6" t="s">
        <v>13</v>
      </c>
      <c r="M229" s="6" t="s">
        <v>204</v>
      </c>
      <c r="N229" s="6" t="s">
        <v>1051</v>
      </c>
      <c r="O229" s="6"/>
      <c r="P229" s="6"/>
    </row>
    <row r="230" customFormat="false" ht="15" hidden="false" customHeight="false" outlineLevel="0" collapsed="false">
      <c r="A230" s="6" t="s">
        <v>1052</v>
      </c>
      <c r="B230" s="6" t="s">
        <v>379</v>
      </c>
      <c r="C230" s="7" t="n">
        <v>44286</v>
      </c>
      <c r="D230" s="6" t="s">
        <v>380</v>
      </c>
      <c r="E230" s="6" t="s">
        <v>381</v>
      </c>
      <c r="F230" s="6" t="s">
        <v>1053</v>
      </c>
      <c r="G230" s="6" t="s">
        <v>1054</v>
      </c>
      <c r="H230" s="9" t="n">
        <v>10266</v>
      </c>
      <c r="K230" s="6" t="s">
        <v>384</v>
      </c>
      <c r="L230" s="6" t="s">
        <v>13</v>
      </c>
      <c r="M230" s="6" t="s">
        <v>119</v>
      </c>
      <c r="N230" s="6" t="s">
        <v>1055</v>
      </c>
      <c r="O230" s="6"/>
      <c r="P230" s="6" t="s">
        <v>386</v>
      </c>
    </row>
    <row r="231" customFormat="false" ht="15" hidden="false" customHeight="false" outlineLevel="0" collapsed="false">
      <c r="A231" s="6" t="s">
        <v>1056</v>
      </c>
      <c r="B231" s="6" t="s">
        <v>103</v>
      </c>
      <c r="C231" s="7" t="n">
        <v>44377</v>
      </c>
      <c r="D231" s="6" t="s">
        <v>380</v>
      </c>
      <c r="E231" s="6" t="s">
        <v>381</v>
      </c>
      <c r="F231" s="6" t="s">
        <v>1053</v>
      </c>
      <c r="G231" s="6" t="s">
        <v>1057</v>
      </c>
      <c r="H231" s="9" t="n">
        <v>11648</v>
      </c>
      <c r="K231" s="6" t="s">
        <v>384</v>
      </c>
      <c r="L231" s="6" t="s">
        <v>13</v>
      </c>
      <c r="M231" s="6" t="s">
        <v>100</v>
      </c>
      <c r="N231" s="6" t="s">
        <v>1058</v>
      </c>
      <c r="O231" s="6"/>
      <c r="P231" s="6"/>
    </row>
    <row r="232" customFormat="false" ht="15" hidden="false" customHeight="false" outlineLevel="0" collapsed="false">
      <c r="A232" s="6" t="s">
        <v>1059</v>
      </c>
      <c r="B232" s="6" t="s">
        <v>391</v>
      </c>
      <c r="C232" s="7" t="n">
        <v>44377</v>
      </c>
      <c r="D232" s="6" t="s">
        <v>392</v>
      </c>
      <c r="E232" s="6" t="s">
        <v>381</v>
      </c>
      <c r="F232" s="6" t="s">
        <v>1053</v>
      </c>
      <c r="G232" s="6" t="s">
        <v>1060</v>
      </c>
      <c r="H232" s="9" t="n">
        <v>21914</v>
      </c>
      <c r="K232" s="6" t="s">
        <v>384</v>
      </c>
      <c r="L232" s="6" t="s">
        <v>13</v>
      </c>
      <c r="M232" s="6" t="s">
        <v>100</v>
      </c>
      <c r="N232" s="6" t="s">
        <v>1061</v>
      </c>
      <c r="O232" s="6"/>
      <c r="P232" s="6"/>
    </row>
    <row r="233" customFormat="false" ht="15" hidden="false" customHeight="false" outlineLevel="0" collapsed="false">
      <c r="A233" s="6" t="s">
        <v>1062</v>
      </c>
      <c r="B233" s="6" t="s">
        <v>111</v>
      </c>
      <c r="C233" s="7" t="n">
        <v>44469</v>
      </c>
      <c r="D233" s="6" t="s">
        <v>380</v>
      </c>
      <c r="E233" s="6" t="s">
        <v>381</v>
      </c>
      <c r="F233" s="6" t="s">
        <v>1053</v>
      </c>
      <c r="G233" s="6" t="s">
        <v>1063</v>
      </c>
      <c r="H233" s="9" t="n">
        <v>14698</v>
      </c>
      <c r="K233" s="6" t="s">
        <v>384</v>
      </c>
      <c r="L233" s="6" t="s">
        <v>13</v>
      </c>
      <c r="M233" s="6" t="s">
        <v>109</v>
      </c>
      <c r="N233" s="6" t="s">
        <v>1064</v>
      </c>
      <c r="O233" s="6"/>
      <c r="P233" s="6"/>
    </row>
    <row r="234" customFormat="false" ht="15" hidden="false" customHeight="false" outlineLevel="0" collapsed="false">
      <c r="A234" s="6" t="s">
        <v>1065</v>
      </c>
      <c r="B234" s="6" t="s">
        <v>399</v>
      </c>
      <c r="C234" s="7" t="n">
        <v>44469</v>
      </c>
      <c r="D234" s="6" t="s">
        <v>400</v>
      </c>
      <c r="E234" s="6" t="s">
        <v>381</v>
      </c>
      <c r="F234" s="6" t="s">
        <v>1053</v>
      </c>
      <c r="G234" s="6" t="s">
        <v>1066</v>
      </c>
      <c r="H234" s="9" t="n">
        <v>36612</v>
      </c>
      <c r="K234" s="6" t="s">
        <v>384</v>
      </c>
      <c r="L234" s="6" t="s">
        <v>13</v>
      </c>
      <c r="M234" s="6" t="s">
        <v>109</v>
      </c>
      <c r="N234" s="6" t="s">
        <v>1067</v>
      </c>
      <c r="O234" s="6"/>
      <c r="P234" s="6"/>
    </row>
    <row r="235" customFormat="false" ht="15" hidden="false" customHeight="false" outlineLevel="0" collapsed="false">
      <c r="A235" s="6" t="s">
        <v>1068</v>
      </c>
      <c r="B235" s="6" t="s">
        <v>116</v>
      </c>
      <c r="C235" s="7" t="n">
        <v>44561</v>
      </c>
      <c r="D235" s="6" t="s">
        <v>380</v>
      </c>
      <c r="E235" s="6" t="s">
        <v>381</v>
      </c>
      <c r="F235" s="6" t="s">
        <v>1053</v>
      </c>
      <c r="G235" s="6" t="s">
        <v>1069</v>
      </c>
      <c r="H235" s="9" t="n">
        <v>16881</v>
      </c>
      <c r="K235" s="6" t="s">
        <v>384</v>
      </c>
      <c r="L235" s="6" t="s">
        <v>13</v>
      </c>
      <c r="M235" s="6" t="s">
        <v>114</v>
      </c>
      <c r="N235" s="6" t="s">
        <v>1070</v>
      </c>
      <c r="O235" s="6"/>
      <c r="P235" s="6"/>
    </row>
    <row r="236" customFormat="false" ht="15" hidden="false" customHeight="false" outlineLevel="0" collapsed="false">
      <c r="A236" s="6" t="s">
        <v>1071</v>
      </c>
      <c r="B236" s="6" t="s">
        <v>212</v>
      </c>
      <c r="C236" s="7" t="n">
        <v>44561</v>
      </c>
      <c r="D236" s="6" t="s">
        <v>407</v>
      </c>
      <c r="E236" s="6" t="s">
        <v>381</v>
      </c>
      <c r="F236" s="6" t="s">
        <v>1053</v>
      </c>
      <c r="G236" s="6" t="s">
        <v>1072</v>
      </c>
      <c r="H236" s="9" t="n">
        <v>53493</v>
      </c>
      <c r="K236" s="6" t="s">
        <v>384</v>
      </c>
      <c r="L236" s="6" t="s">
        <v>13</v>
      </c>
      <c r="M236" s="6" t="s">
        <v>114</v>
      </c>
      <c r="N236" s="6" t="s">
        <v>1073</v>
      </c>
      <c r="O236" s="6"/>
      <c r="P236" s="6"/>
    </row>
    <row r="237" customFormat="false" ht="15" hidden="false" customHeight="false" outlineLevel="0" collapsed="false">
      <c r="A237" s="6" t="s">
        <v>1074</v>
      </c>
      <c r="B237" s="6" t="s">
        <v>121</v>
      </c>
      <c r="C237" s="7" t="n">
        <v>44651</v>
      </c>
      <c r="D237" s="6" t="s">
        <v>380</v>
      </c>
      <c r="E237" s="6" t="s">
        <v>381</v>
      </c>
      <c r="F237" s="6" t="s">
        <v>1053</v>
      </c>
      <c r="G237" s="6" t="s">
        <v>1075</v>
      </c>
      <c r="H237" s="9" t="n">
        <v>18870</v>
      </c>
      <c r="K237" s="6" t="s">
        <v>384</v>
      </c>
      <c r="L237" s="6" t="s">
        <v>13</v>
      </c>
      <c r="M237" s="6" t="s">
        <v>119</v>
      </c>
      <c r="N237" s="6" t="s">
        <v>1076</v>
      </c>
      <c r="O237" s="6"/>
      <c r="P237" s="6"/>
    </row>
    <row r="238" customFormat="false" ht="15" hidden="false" customHeight="false" outlineLevel="0" collapsed="false">
      <c r="A238" s="6" t="s">
        <v>1077</v>
      </c>
      <c r="B238" s="6" t="s">
        <v>126</v>
      </c>
      <c r="C238" s="7" t="n">
        <v>44742</v>
      </c>
      <c r="D238" s="6" t="s">
        <v>380</v>
      </c>
      <c r="E238" s="6" t="s">
        <v>381</v>
      </c>
      <c r="F238" s="6" t="s">
        <v>1053</v>
      </c>
      <c r="G238" s="6" t="s">
        <v>1078</v>
      </c>
      <c r="H238" s="9" t="n">
        <v>22466</v>
      </c>
      <c r="K238" s="6" t="s">
        <v>384</v>
      </c>
      <c r="L238" s="6" t="s">
        <v>13</v>
      </c>
      <c r="M238" s="6" t="s">
        <v>124</v>
      </c>
      <c r="N238" s="6" t="s">
        <v>1079</v>
      </c>
      <c r="O238" s="6"/>
      <c r="P238" s="6"/>
    </row>
    <row r="239" customFormat="false" ht="15" hidden="false" customHeight="false" outlineLevel="0" collapsed="false">
      <c r="A239" s="6" t="s">
        <v>1080</v>
      </c>
      <c r="B239" s="6" t="s">
        <v>417</v>
      </c>
      <c r="C239" s="7" t="n">
        <v>44742</v>
      </c>
      <c r="D239" s="6" t="s">
        <v>392</v>
      </c>
      <c r="E239" s="6" t="s">
        <v>381</v>
      </c>
      <c r="F239" s="6" t="s">
        <v>1053</v>
      </c>
      <c r="G239" s="6" t="s">
        <v>1081</v>
      </c>
      <c r="H239" s="9" t="n">
        <v>41336</v>
      </c>
      <c r="K239" s="6" t="s">
        <v>384</v>
      </c>
      <c r="L239" s="6" t="s">
        <v>13</v>
      </c>
      <c r="M239" s="6" t="s">
        <v>124</v>
      </c>
      <c r="N239" s="6" t="s">
        <v>1082</v>
      </c>
      <c r="O239" s="6"/>
      <c r="P239" s="6"/>
    </row>
    <row r="240" customFormat="false" ht="15" hidden="false" customHeight="false" outlineLevel="0" collapsed="false">
      <c r="A240" s="6" t="s">
        <v>1083</v>
      </c>
      <c r="B240" s="6" t="s">
        <v>131</v>
      </c>
      <c r="C240" s="7" t="n">
        <v>44834</v>
      </c>
      <c r="D240" s="6" t="s">
        <v>380</v>
      </c>
      <c r="E240" s="6" t="s">
        <v>381</v>
      </c>
      <c r="F240" s="6" t="s">
        <v>1053</v>
      </c>
      <c r="G240" s="6" t="s">
        <v>1084</v>
      </c>
      <c r="H240" s="9" t="n">
        <v>22348</v>
      </c>
      <c r="K240" s="6" t="s">
        <v>384</v>
      </c>
      <c r="L240" s="6" t="s">
        <v>13</v>
      </c>
      <c r="M240" s="6" t="s">
        <v>129</v>
      </c>
      <c r="N240" s="6" t="s">
        <v>1085</v>
      </c>
      <c r="O240" s="6"/>
      <c r="P240" s="6"/>
    </row>
    <row r="241" customFormat="false" ht="15" hidden="false" customHeight="false" outlineLevel="0" collapsed="false">
      <c r="A241" s="6" t="s">
        <v>1086</v>
      </c>
      <c r="B241" s="6" t="s">
        <v>424</v>
      </c>
      <c r="C241" s="7" t="n">
        <v>44834</v>
      </c>
      <c r="D241" s="6" t="s">
        <v>400</v>
      </c>
      <c r="E241" s="6" t="s">
        <v>381</v>
      </c>
      <c r="F241" s="6" t="s">
        <v>1053</v>
      </c>
      <c r="G241" s="6" t="s">
        <v>1087</v>
      </c>
      <c r="H241" s="9" t="n">
        <v>63684</v>
      </c>
      <c r="K241" s="6" t="s">
        <v>384</v>
      </c>
      <c r="L241" s="6" t="s">
        <v>13</v>
      </c>
      <c r="M241" s="6" t="s">
        <v>129</v>
      </c>
      <c r="N241" s="6" t="s">
        <v>1088</v>
      </c>
      <c r="O241" s="6"/>
      <c r="P241" s="6"/>
    </row>
    <row r="242" customFormat="false" ht="15" hidden="false" customHeight="false" outlineLevel="0" collapsed="false">
      <c r="A242" s="6" t="s">
        <v>1089</v>
      </c>
      <c r="B242" s="6" t="s">
        <v>136</v>
      </c>
      <c r="C242" s="7" t="n">
        <v>44926</v>
      </c>
      <c r="D242" s="6" t="s">
        <v>380</v>
      </c>
      <c r="E242" s="6" t="s">
        <v>381</v>
      </c>
      <c r="F242" s="6" t="s">
        <v>1053</v>
      </c>
      <c r="G242" s="6" t="s">
        <v>1090</v>
      </c>
      <c r="H242" s="9" t="n">
        <v>21717</v>
      </c>
      <c r="K242" s="6" t="s">
        <v>384</v>
      </c>
      <c r="L242" s="6" t="s">
        <v>13</v>
      </c>
      <c r="M242" s="6" t="s">
        <v>134</v>
      </c>
      <c r="N242" s="6" t="s">
        <v>1091</v>
      </c>
      <c r="O242" s="6"/>
      <c r="P242" s="6"/>
    </row>
    <row r="243" customFormat="false" ht="15" hidden="false" customHeight="false" outlineLevel="0" collapsed="false">
      <c r="A243" s="6" t="s">
        <v>1092</v>
      </c>
      <c r="B243" s="6" t="s">
        <v>220</v>
      </c>
      <c r="C243" s="7" t="n">
        <v>44926</v>
      </c>
      <c r="D243" s="6" t="s">
        <v>407</v>
      </c>
      <c r="E243" s="6" t="s">
        <v>381</v>
      </c>
      <c r="F243" s="6" t="s">
        <v>1053</v>
      </c>
      <c r="G243" s="6" t="s">
        <v>1093</v>
      </c>
      <c r="H243" s="9" t="n">
        <v>85401</v>
      </c>
      <c r="K243" s="6" t="s">
        <v>384</v>
      </c>
      <c r="L243" s="6" t="s">
        <v>13</v>
      </c>
      <c r="M243" s="6" t="s">
        <v>134</v>
      </c>
      <c r="N243" s="6" t="s">
        <v>1094</v>
      </c>
      <c r="O243" s="6"/>
      <c r="P243" s="6"/>
    </row>
    <row r="244" customFormat="false" ht="15" hidden="false" customHeight="false" outlineLevel="0" collapsed="false">
      <c r="A244" s="6" t="s">
        <v>1095</v>
      </c>
      <c r="B244" s="6" t="s">
        <v>141</v>
      </c>
      <c r="C244" s="7" t="n">
        <v>45016</v>
      </c>
      <c r="D244" s="6" t="s">
        <v>380</v>
      </c>
      <c r="E244" s="6" t="s">
        <v>381</v>
      </c>
      <c r="F244" s="6" t="s">
        <v>1053</v>
      </c>
      <c r="G244" s="6" t="s">
        <v>1096</v>
      </c>
      <c r="H244" s="9" t="n">
        <v>23251</v>
      </c>
      <c r="K244" s="6" t="s">
        <v>384</v>
      </c>
      <c r="L244" s="6" t="s">
        <v>13</v>
      </c>
      <c r="M244" s="6" t="s">
        <v>139</v>
      </c>
      <c r="N244" s="6" t="s">
        <v>1097</v>
      </c>
      <c r="O244" s="6"/>
      <c r="P244" s="6"/>
    </row>
    <row r="245" customFormat="false" ht="15" hidden="false" customHeight="false" outlineLevel="0" collapsed="false">
      <c r="A245" s="6" t="s">
        <v>1098</v>
      </c>
      <c r="B245" s="6" t="s">
        <v>146</v>
      </c>
      <c r="C245" s="7" t="n">
        <v>45107</v>
      </c>
      <c r="D245" s="6" t="s">
        <v>380</v>
      </c>
      <c r="E245" s="6" t="s">
        <v>381</v>
      </c>
      <c r="F245" s="6" t="s">
        <v>1053</v>
      </c>
      <c r="G245" s="6" t="s">
        <v>1099</v>
      </c>
      <c r="H245" s="9" t="n">
        <v>21781</v>
      </c>
      <c r="K245" s="6" t="s">
        <v>384</v>
      </c>
      <c r="L245" s="6" t="s">
        <v>13</v>
      </c>
      <c r="M245" s="6" t="s">
        <v>144</v>
      </c>
      <c r="N245" s="6" t="s">
        <v>1100</v>
      </c>
      <c r="O245" s="6"/>
      <c r="P245" s="6"/>
    </row>
    <row r="246" customFormat="false" ht="15" hidden="false" customHeight="false" outlineLevel="0" collapsed="false">
      <c r="A246" s="6" t="s">
        <v>1101</v>
      </c>
      <c r="B246" s="6" t="s">
        <v>440</v>
      </c>
      <c r="C246" s="7" t="n">
        <v>45107</v>
      </c>
      <c r="D246" s="6" t="s">
        <v>392</v>
      </c>
      <c r="E246" s="6" t="s">
        <v>381</v>
      </c>
      <c r="F246" s="6" t="s">
        <v>1053</v>
      </c>
      <c r="G246" s="6" t="s">
        <v>1102</v>
      </c>
      <c r="H246" s="9" t="n">
        <v>45032</v>
      </c>
      <c r="K246" s="6" t="s">
        <v>384</v>
      </c>
      <c r="L246" s="6" t="s">
        <v>13</v>
      </c>
      <c r="M246" s="6" t="s">
        <v>144</v>
      </c>
      <c r="N246" s="6" t="s">
        <v>1103</v>
      </c>
      <c r="O246" s="6"/>
      <c r="P246" s="6"/>
    </row>
    <row r="247" customFormat="false" ht="15" hidden="false" customHeight="false" outlineLevel="0" collapsed="false">
      <c r="A247" s="6" t="s">
        <v>1104</v>
      </c>
      <c r="B247" s="6" t="s">
        <v>151</v>
      </c>
      <c r="C247" s="7" t="n">
        <v>45199</v>
      </c>
      <c r="D247" s="6" t="s">
        <v>380</v>
      </c>
      <c r="E247" s="6" t="s">
        <v>381</v>
      </c>
      <c r="F247" s="6" t="s">
        <v>1053</v>
      </c>
      <c r="G247" s="6" t="s">
        <v>1105</v>
      </c>
      <c r="H247" s="9" t="n">
        <v>23211</v>
      </c>
      <c r="K247" s="6" t="s">
        <v>384</v>
      </c>
      <c r="L247" s="6" t="s">
        <v>13</v>
      </c>
      <c r="M247" s="6" t="s">
        <v>149</v>
      </c>
      <c r="N247" s="6" t="s">
        <v>1106</v>
      </c>
      <c r="O247" s="6"/>
      <c r="P247" s="6"/>
    </row>
    <row r="248" customFormat="false" ht="15" hidden="false" customHeight="false" outlineLevel="0" collapsed="false">
      <c r="A248" s="6" t="s">
        <v>1107</v>
      </c>
      <c r="B248" s="6" t="s">
        <v>447</v>
      </c>
      <c r="C248" s="7" t="n">
        <v>45199</v>
      </c>
      <c r="D248" s="6" t="s">
        <v>400</v>
      </c>
      <c r="E248" s="6" t="s">
        <v>381</v>
      </c>
      <c r="F248" s="6" t="s">
        <v>1053</v>
      </c>
      <c r="G248" s="6" t="s">
        <v>1108</v>
      </c>
      <c r="H248" s="9" t="n">
        <v>68243</v>
      </c>
      <c r="K248" s="6" t="s">
        <v>384</v>
      </c>
      <c r="L248" s="6" t="s">
        <v>13</v>
      </c>
      <c r="M248" s="6" t="s">
        <v>149</v>
      </c>
      <c r="N248" s="6" t="s">
        <v>1109</v>
      </c>
      <c r="O248" s="6"/>
      <c r="P248" s="6"/>
    </row>
    <row r="249" customFormat="false" ht="15" hidden="false" customHeight="false" outlineLevel="0" collapsed="false">
      <c r="A249" s="6" t="s">
        <v>1110</v>
      </c>
      <c r="B249" s="6" t="s">
        <v>156</v>
      </c>
      <c r="C249" s="7" t="n">
        <v>45291</v>
      </c>
      <c r="D249" s="6" t="s">
        <v>380</v>
      </c>
      <c r="E249" s="6" t="s">
        <v>381</v>
      </c>
      <c r="F249" s="6" t="s">
        <v>1053</v>
      </c>
      <c r="G249" s="6" t="s">
        <v>1111</v>
      </c>
      <c r="H249" s="9" t="n">
        <v>24490</v>
      </c>
      <c r="K249" s="6" t="s">
        <v>384</v>
      </c>
      <c r="L249" s="6" t="s">
        <v>13</v>
      </c>
      <c r="M249" s="6" t="s">
        <v>154</v>
      </c>
      <c r="N249" s="6" t="s">
        <v>1112</v>
      </c>
      <c r="O249" s="6"/>
      <c r="P249" s="6"/>
    </row>
    <row r="250" customFormat="false" ht="15" hidden="false" customHeight="false" outlineLevel="0" collapsed="false">
      <c r="A250" s="6" t="s">
        <v>1113</v>
      </c>
      <c r="B250" s="6" t="s">
        <v>225</v>
      </c>
      <c r="C250" s="7" t="n">
        <v>45291</v>
      </c>
      <c r="D250" s="6" t="s">
        <v>407</v>
      </c>
      <c r="E250" s="6" t="s">
        <v>381</v>
      </c>
      <c r="F250" s="6" t="s">
        <v>1053</v>
      </c>
      <c r="G250" s="6" t="s">
        <v>1114</v>
      </c>
      <c r="H250" s="9" t="n">
        <v>92733</v>
      </c>
      <c r="K250" s="6" t="s">
        <v>384</v>
      </c>
      <c r="L250" s="6" t="s">
        <v>13</v>
      </c>
      <c r="M250" s="6" t="s">
        <v>154</v>
      </c>
      <c r="N250" s="6" t="s">
        <v>1115</v>
      </c>
      <c r="O250" s="6"/>
      <c r="P250" s="6"/>
    </row>
    <row r="251" customFormat="false" ht="15" hidden="false" customHeight="false" outlineLevel="0" collapsed="false">
      <c r="A251" s="6" t="s">
        <v>1116</v>
      </c>
      <c r="B251" s="6" t="s">
        <v>161</v>
      </c>
      <c r="C251" s="7" t="n">
        <v>45382</v>
      </c>
      <c r="D251" s="6" t="s">
        <v>380</v>
      </c>
      <c r="E251" s="6" t="s">
        <v>381</v>
      </c>
      <c r="F251" s="6" t="s">
        <v>1053</v>
      </c>
      <c r="G251" s="6" t="s">
        <v>1117</v>
      </c>
      <c r="H251" s="9" t="n">
        <v>25917</v>
      </c>
      <c r="K251" s="6" t="s">
        <v>384</v>
      </c>
      <c r="L251" s="6" t="s">
        <v>13</v>
      </c>
      <c r="M251" s="6" t="s">
        <v>159</v>
      </c>
      <c r="N251" s="6" t="s">
        <v>1118</v>
      </c>
      <c r="O251" s="6"/>
      <c r="P251" s="6"/>
    </row>
    <row r="252" customFormat="false" ht="15" hidden="false" customHeight="false" outlineLevel="0" collapsed="false">
      <c r="A252" s="6" t="s">
        <v>1119</v>
      </c>
      <c r="B252" s="6" t="s">
        <v>166</v>
      </c>
      <c r="C252" s="7" t="n">
        <v>45473</v>
      </c>
      <c r="D252" s="6" t="s">
        <v>380</v>
      </c>
      <c r="E252" s="6" t="s">
        <v>381</v>
      </c>
      <c r="F252" s="6" t="s">
        <v>1053</v>
      </c>
      <c r="G252" s="6" t="s">
        <v>1120</v>
      </c>
      <c r="H252" s="9" t="n">
        <v>28633</v>
      </c>
      <c r="K252" s="6" t="s">
        <v>384</v>
      </c>
      <c r="L252" s="6" t="s">
        <v>13</v>
      </c>
      <c r="M252" s="6" t="s">
        <v>164</v>
      </c>
      <c r="N252" s="6" t="s">
        <v>1121</v>
      </c>
      <c r="O252" s="6"/>
      <c r="P252" s="6"/>
    </row>
    <row r="253" customFormat="false" ht="15" hidden="false" customHeight="false" outlineLevel="0" collapsed="false">
      <c r="A253" s="6" t="s">
        <v>1122</v>
      </c>
      <c r="B253" s="6" t="s">
        <v>241</v>
      </c>
      <c r="C253" s="7" t="n">
        <v>45473</v>
      </c>
      <c r="D253" s="6" t="s">
        <v>392</v>
      </c>
      <c r="E253" s="6" t="s">
        <v>381</v>
      </c>
      <c r="F253" s="6" t="s">
        <v>1053</v>
      </c>
      <c r="G253" s="6" t="s">
        <v>1123</v>
      </c>
      <c r="H253" s="9" t="n">
        <v>54550</v>
      </c>
      <c r="K253" s="6" t="s">
        <v>384</v>
      </c>
      <c r="L253" s="6" t="s">
        <v>13</v>
      </c>
      <c r="M253" s="6" t="s">
        <v>164</v>
      </c>
      <c r="N253" s="6" t="s">
        <v>1124</v>
      </c>
      <c r="O253" s="6"/>
      <c r="P253" s="6"/>
    </row>
    <row r="254" customFormat="false" ht="15" hidden="false" customHeight="false" outlineLevel="0" collapsed="false">
      <c r="A254" s="6" t="s">
        <v>1125</v>
      </c>
      <c r="B254" s="6" t="s">
        <v>171</v>
      </c>
      <c r="C254" s="7" t="n">
        <v>45565</v>
      </c>
      <c r="D254" s="6" t="s">
        <v>380</v>
      </c>
      <c r="E254" s="6" t="s">
        <v>381</v>
      </c>
      <c r="F254" s="6" t="s">
        <v>1053</v>
      </c>
      <c r="G254" s="6" t="s">
        <v>1126</v>
      </c>
      <c r="H254" s="9" t="n">
        <v>55637</v>
      </c>
      <c r="K254" s="6" t="s">
        <v>384</v>
      </c>
      <c r="L254" s="6" t="s">
        <v>13</v>
      </c>
      <c r="M254" s="6" t="s">
        <v>169</v>
      </c>
      <c r="N254" s="6" t="s">
        <v>1127</v>
      </c>
      <c r="O254" s="6"/>
      <c r="P254" s="6"/>
    </row>
    <row r="255" customFormat="false" ht="15" hidden="false" customHeight="false" outlineLevel="0" collapsed="false">
      <c r="A255" s="6" t="s">
        <v>1128</v>
      </c>
      <c r="B255" s="6" t="s">
        <v>469</v>
      </c>
      <c r="C255" s="7" t="n">
        <v>45565</v>
      </c>
      <c r="D255" s="6" t="s">
        <v>400</v>
      </c>
      <c r="E255" s="6" t="s">
        <v>381</v>
      </c>
      <c r="F255" s="6" t="s">
        <v>1053</v>
      </c>
      <c r="G255" s="6" t="s">
        <v>1129</v>
      </c>
      <c r="H255" s="9" t="n">
        <v>110187</v>
      </c>
      <c r="K255" s="6" t="s">
        <v>384</v>
      </c>
      <c r="L255" s="6" t="s">
        <v>13</v>
      </c>
      <c r="M255" s="6" t="s">
        <v>169</v>
      </c>
      <c r="N255" s="6" t="s">
        <v>1130</v>
      </c>
      <c r="O255" s="6"/>
      <c r="P255" s="6"/>
    </row>
    <row r="256" customFormat="false" ht="15" hidden="false" customHeight="false" outlineLevel="0" collapsed="false">
      <c r="A256" s="6" t="s">
        <v>1131</v>
      </c>
      <c r="B256" s="6" t="s">
        <v>176</v>
      </c>
      <c r="C256" s="7" t="n">
        <v>45657</v>
      </c>
      <c r="D256" s="6" t="s">
        <v>380</v>
      </c>
      <c r="E256" s="6" t="s">
        <v>381</v>
      </c>
      <c r="F256" s="6" t="s">
        <v>1053</v>
      </c>
      <c r="G256" s="6" t="s">
        <v>1132</v>
      </c>
      <c r="H256" s="9" t="n">
        <v>31903</v>
      </c>
      <c r="K256" s="6" t="s">
        <v>384</v>
      </c>
      <c r="L256" s="6" t="s">
        <v>13</v>
      </c>
      <c r="M256" s="6" t="s">
        <v>174</v>
      </c>
      <c r="N256" s="6" t="s">
        <v>1133</v>
      </c>
      <c r="O256" s="6"/>
      <c r="P256" s="6"/>
    </row>
    <row r="257" customFormat="false" ht="15" hidden="false" customHeight="false" outlineLevel="0" collapsed="false">
      <c r="A257" s="6" t="s">
        <v>1134</v>
      </c>
      <c r="B257" s="6" t="s">
        <v>230</v>
      </c>
      <c r="C257" s="7" t="n">
        <v>45657</v>
      </c>
      <c r="D257" s="6" t="s">
        <v>407</v>
      </c>
      <c r="E257" s="6" t="s">
        <v>381</v>
      </c>
      <c r="F257" s="6" t="s">
        <v>1053</v>
      </c>
      <c r="G257" s="6" t="s">
        <v>1135</v>
      </c>
      <c r="H257" s="9" t="n">
        <v>142090</v>
      </c>
      <c r="K257" s="6" t="s">
        <v>384</v>
      </c>
      <c r="L257" s="6" t="s">
        <v>13</v>
      </c>
      <c r="M257" s="6" t="s">
        <v>174</v>
      </c>
      <c r="N257" s="6" t="s">
        <v>1136</v>
      </c>
      <c r="O257" s="6"/>
      <c r="P257" s="6"/>
    </row>
    <row r="258" customFormat="false" ht="15" hidden="false" customHeight="false" outlineLevel="0" collapsed="false">
      <c r="A258" s="6" t="s">
        <v>1137</v>
      </c>
      <c r="B258" s="6" t="s">
        <v>181</v>
      </c>
      <c r="C258" s="7" t="n">
        <v>45747</v>
      </c>
      <c r="D258" s="6" t="s">
        <v>380</v>
      </c>
      <c r="E258" s="6" t="s">
        <v>381</v>
      </c>
      <c r="F258" s="6" t="s">
        <v>1053</v>
      </c>
      <c r="G258" s="6" t="s">
        <v>1138</v>
      </c>
      <c r="H258" s="9" t="n">
        <v>32544</v>
      </c>
      <c r="K258" s="6" t="s">
        <v>384</v>
      </c>
      <c r="L258" s="6" t="s">
        <v>13</v>
      </c>
      <c r="M258" s="6" t="s">
        <v>179</v>
      </c>
      <c r="N258" s="6" t="s">
        <v>1139</v>
      </c>
      <c r="O258" s="6"/>
      <c r="P258" s="6"/>
    </row>
    <row r="259" customFormat="false" ht="15" hidden="false" customHeight="false" outlineLevel="0" collapsed="false">
      <c r="A259" s="6" t="s">
        <v>1140</v>
      </c>
      <c r="B259" s="6" t="s">
        <v>186</v>
      </c>
      <c r="C259" s="7" t="n">
        <v>45838</v>
      </c>
      <c r="D259" s="6" t="s">
        <v>380</v>
      </c>
      <c r="E259" s="6" t="s">
        <v>381</v>
      </c>
      <c r="F259" s="6" t="s">
        <v>1053</v>
      </c>
      <c r="G259" s="6" t="s">
        <v>1141</v>
      </c>
      <c r="H259" s="9" t="n">
        <v>39763</v>
      </c>
      <c r="K259" s="6" t="s">
        <v>384</v>
      </c>
      <c r="L259" s="6" t="s">
        <v>13</v>
      </c>
      <c r="M259" s="6" t="s">
        <v>184</v>
      </c>
      <c r="N259" s="6" t="s">
        <v>1142</v>
      </c>
      <c r="O259" s="6"/>
      <c r="P259" s="6"/>
    </row>
    <row r="260" customFormat="false" ht="15" hidden="false" customHeight="false" outlineLevel="0" collapsed="false">
      <c r="A260" s="6" t="s">
        <v>1143</v>
      </c>
      <c r="B260" s="6" t="s">
        <v>255</v>
      </c>
      <c r="C260" s="7" t="n">
        <v>45838</v>
      </c>
      <c r="D260" s="6" t="s">
        <v>392</v>
      </c>
      <c r="E260" s="6" t="s">
        <v>381</v>
      </c>
      <c r="F260" s="6" t="s">
        <v>1053</v>
      </c>
      <c r="G260" s="6" t="s">
        <v>1144</v>
      </c>
      <c r="H260" s="9" t="n">
        <v>72307</v>
      </c>
      <c r="K260" s="6" t="s">
        <v>384</v>
      </c>
      <c r="L260" s="6" t="s">
        <v>13</v>
      </c>
      <c r="M260" s="6" t="s">
        <v>184</v>
      </c>
      <c r="N260" s="6" t="s">
        <v>1145</v>
      </c>
      <c r="O260" s="6"/>
      <c r="P260" s="6"/>
    </row>
    <row r="261" customFormat="false" ht="15" hidden="false" customHeight="false" outlineLevel="0" collapsed="false">
      <c r="A261" s="6" t="s">
        <v>1146</v>
      </c>
      <c r="B261" s="6" t="s">
        <v>191</v>
      </c>
      <c r="C261" s="7" t="n">
        <v>45930</v>
      </c>
      <c r="D261" s="6" t="s">
        <v>380</v>
      </c>
      <c r="E261" s="6" t="s">
        <v>381</v>
      </c>
      <c r="F261" s="6" t="s">
        <v>1053</v>
      </c>
      <c r="G261" s="6" t="s">
        <v>1147</v>
      </c>
      <c r="H261" s="9" t="n">
        <v>38184</v>
      </c>
      <c r="K261" s="6" t="s">
        <v>384</v>
      </c>
      <c r="L261" s="6" t="s">
        <v>13</v>
      </c>
      <c r="M261" s="6" t="s">
        <v>189</v>
      </c>
      <c r="N261" s="6" t="s">
        <v>1148</v>
      </c>
      <c r="O261" s="6"/>
      <c r="P261" s="6"/>
    </row>
    <row r="262" customFormat="false" ht="15" hidden="false" customHeight="false" outlineLevel="0" collapsed="false">
      <c r="A262" s="6" t="s">
        <v>1149</v>
      </c>
      <c r="B262" s="6" t="s">
        <v>491</v>
      </c>
      <c r="C262" s="7" t="n">
        <v>45930</v>
      </c>
      <c r="D262" s="6" t="s">
        <v>400</v>
      </c>
      <c r="E262" s="6" t="s">
        <v>381</v>
      </c>
      <c r="F262" s="6" t="s">
        <v>1053</v>
      </c>
      <c r="G262" s="6" t="s">
        <v>1150</v>
      </c>
      <c r="H262" s="9" t="n">
        <v>110491</v>
      </c>
      <c r="K262" s="6" t="s">
        <v>384</v>
      </c>
      <c r="L262" s="6" t="s">
        <v>13</v>
      </c>
      <c r="M262" s="6" t="s">
        <v>189</v>
      </c>
      <c r="N262" s="6" t="s">
        <v>1151</v>
      </c>
      <c r="O262" s="6"/>
      <c r="P262" s="6"/>
    </row>
    <row r="263" customFormat="false" ht="15" hidden="false" customHeight="false" outlineLevel="0" collapsed="false">
      <c r="A263" s="6" t="s">
        <v>1152</v>
      </c>
      <c r="B263" s="6" t="s">
        <v>196</v>
      </c>
      <c r="C263" s="7" t="n">
        <v>46022</v>
      </c>
      <c r="D263" s="6" t="s">
        <v>380</v>
      </c>
      <c r="E263" s="6" t="s">
        <v>381</v>
      </c>
      <c r="F263" s="6" t="s">
        <v>1053</v>
      </c>
      <c r="G263" s="6" t="s">
        <v>1153</v>
      </c>
      <c r="H263" s="9" t="n">
        <v>38505</v>
      </c>
      <c r="K263" s="6" t="s">
        <v>384</v>
      </c>
      <c r="L263" s="6" t="s">
        <v>13</v>
      </c>
      <c r="M263" s="6" t="s">
        <v>194</v>
      </c>
      <c r="N263" s="6" t="s">
        <v>1154</v>
      </c>
      <c r="O263" s="6"/>
      <c r="P263" s="6"/>
    </row>
    <row r="264" customFormat="false" ht="15" hidden="false" customHeight="false" outlineLevel="0" collapsed="false">
      <c r="A264" s="6" t="s">
        <v>1155</v>
      </c>
      <c r="B264" s="6" t="s">
        <v>235</v>
      </c>
      <c r="C264" s="7" t="n">
        <v>46022</v>
      </c>
      <c r="D264" s="6" t="s">
        <v>407</v>
      </c>
      <c r="E264" s="6" t="s">
        <v>381</v>
      </c>
      <c r="F264" s="6" t="s">
        <v>1053</v>
      </c>
      <c r="G264" s="6" t="s">
        <v>1156</v>
      </c>
      <c r="H264" s="9" t="n">
        <v>148996</v>
      </c>
      <c r="K264" s="6" t="s">
        <v>384</v>
      </c>
      <c r="L264" s="6" t="s">
        <v>13</v>
      </c>
      <c r="M264" s="6" t="s">
        <v>194</v>
      </c>
      <c r="N264" s="6" t="s">
        <v>1157</v>
      </c>
      <c r="O264" s="6"/>
      <c r="P264" s="6"/>
    </row>
    <row r="265" customFormat="false" ht="15" hidden="false" customHeight="false" outlineLevel="0" collapsed="false">
      <c r="A265" s="6" t="s">
        <v>1158</v>
      </c>
      <c r="B265" s="6" t="s">
        <v>201</v>
      </c>
      <c r="C265" s="7" t="n">
        <v>46112</v>
      </c>
      <c r="D265" s="6" t="s">
        <v>380</v>
      </c>
      <c r="E265" s="6" t="s">
        <v>381</v>
      </c>
      <c r="F265" s="6" t="s">
        <v>1053</v>
      </c>
      <c r="G265" s="6" t="s">
        <v>1159</v>
      </c>
      <c r="H265" s="9" t="n">
        <v>35972</v>
      </c>
      <c r="K265" s="6" t="s">
        <v>384</v>
      </c>
      <c r="L265" s="6" t="s">
        <v>13</v>
      </c>
      <c r="M265" s="6" t="s">
        <v>199</v>
      </c>
      <c r="N265" s="6" t="s">
        <v>1160</v>
      </c>
      <c r="O265" s="6"/>
      <c r="P265" s="6"/>
    </row>
    <row r="266" customFormat="false" ht="15" hidden="false" customHeight="false" outlineLevel="0" collapsed="false">
      <c r="A266" s="6" t="s">
        <v>1161</v>
      </c>
      <c r="B266" s="6" t="s">
        <v>206</v>
      </c>
      <c r="C266" s="7" t="n">
        <v>46203</v>
      </c>
      <c r="D266" s="6" t="s">
        <v>380</v>
      </c>
      <c r="E266" s="6" t="s">
        <v>381</v>
      </c>
      <c r="F266" s="6" t="s">
        <v>1053</v>
      </c>
      <c r="G266" s="6" t="s">
        <v>1162</v>
      </c>
      <c r="H266" s="9" t="n">
        <v>40359</v>
      </c>
      <c r="K266" s="6" t="s">
        <v>384</v>
      </c>
      <c r="L266" s="6" t="s">
        <v>13</v>
      </c>
      <c r="M266" s="6" t="s">
        <v>204</v>
      </c>
      <c r="N266" s="6" t="s">
        <v>1163</v>
      </c>
      <c r="O266" s="6"/>
      <c r="P266" s="6"/>
    </row>
    <row r="267" customFormat="false" ht="15" hidden="false" customHeight="false" outlineLevel="0" collapsed="false">
      <c r="A267" s="6" t="s">
        <v>1164</v>
      </c>
      <c r="B267" s="6" t="s">
        <v>263</v>
      </c>
      <c r="C267" s="7" t="n">
        <v>46203</v>
      </c>
      <c r="D267" s="6" t="s">
        <v>392</v>
      </c>
      <c r="E267" s="6" t="s">
        <v>381</v>
      </c>
      <c r="F267" s="6" t="s">
        <v>1053</v>
      </c>
      <c r="G267" s="6" t="s">
        <v>1165</v>
      </c>
      <c r="H267" s="9" t="n">
        <v>76331</v>
      </c>
      <c r="K267" s="6" t="s">
        <v>384</v>
      </c>
      <c r="L267" s="6" t="s">
        <v>13</v>
      </c>
      <c r="M267" s="6" t="s">
        <v>204</v>
      </c>
      <c r="N267" s="6" t="s">
        <v>1166</v>
      </c>
      <c r="O267" s="6"/>
      <c r="P267" s="6"/>
    </row>
    <row r="268" customFormat="false" ht="15" hidden="false" customHeight="false" outlineLevel="0" collapsed="false">
      <c r="A268" s="6" t="s">
        <v>1167</v>
      </c>
      <c r="B268" s="6" t="s">
        <v>206</v>
      </c>
      <c r="C268" s="7" t="n">
        <v>46203</v>
      </c>
      <c r="D268" s="6" t="s">
        <v>380</v>
      </c>
      <c r="E268" s="6" t="s">
        <v>381</v>
      </c>
      <c r="F268" s="6" t="s">
        <v>1168</v>
      </c>
      <c r="G268" s="6" t="s">
        <v>1169</v>
      </c>
      <c r="H268" s="9" t="n">
        <v>21436</v>
      </c>
      <c r="K268" s="6" t="s">
        <v>384</v>
      </c>
      <c r="L268" s="6" t="s">
        <v>13</v>
      </c>
      <c r="M268" s="6" t="s">
        <v>204</v>
      </c>
      <c r="N268" s="6" t="s">
        <v>1170</v>
      </c>
      <c r="O268" s="6"/>
      <c r="P268" s="6"/>
    </row>
    <row r="269" customFormat="false" ht="15" hidden="false" customHeight="false" outlineLevel="0" collapsed="false">
      <c r="A269" s="6" t="s">
        <v>1171</v>
      </c>
      <c r="B269" s="6" t="s">
        <v>263</v>
      </c>
      <c r="C269" s="7" t="n">
        <v>46203</v>
      </c>
      <c r="D269" s="6" t="s">
        <v>392</v>
      </c>
      <c r="E269" s="6" t="s">
        <v>381</v>
      </c>
      <c r="F269" s="6" t="s">
        <v>1168</v>
      </c>
      <c r="G269" s="6" t="s">
        <v>1169</v>
      </c>
      <c r="H269" s="9" t="n">
        <v>21436</v>
      </c>
      <c r="K269" s="6" t="s">
        <v>384</v>
      </c>
      <c r="L269" s="6" t="s">
        <v>13</v>
      </c>
      <c r="M269" s="6" t="s">
        <v>204</v>
      </c>
      <c r="N269" s="6" t="s">
        <v>1172</v>
      </c>
      <c r="O269" s="6"/>
      <c r="P269" s="6"/>
    </row>
    <row r="270" customFormat="false" ht="15" hidden="false" customHeight="false" outlineLevel="0" collapsed="false">
      <c r="A270" s="6" t="s">
        <v>1173</v>
      </c>
      <c r="B270" s="6" t="s">
        <v>379</v>
      </c>
      <c r="C270" s="7" t="n">
        <v>44286</v>
      </c>
      <c r="D270" s="6" t="s">
        <v>380</v>
      </c>
      <c r="E270" s="6" t="s">
        <v>381</v>
      </c>
      <c r="F270" s="6" t="s">
        <v>1174</v>
      </c>
      <c r="G270" s="6" t="s">
        <v>1175</v>
      </c>
      <c r="H270" s="9" t="n">
        <v>88895</v>
      </c>
      <c r="K270" s="6" t="s">
        <v>384</v>
      </c>
      <c r="L270" s="6" t="s">
        <v>13</v>
      </c>
      <c r="M270" s="6" t="s">
        <v>119</v>
      </c>
      <c r="N270" s="6" t="s">
        <v>1176</v>
      </c>
      <c r="O270" s="6"/>
      <c r="P270" s="6" t="s">
        <v>386</v>
      </c>
    </row>
    <row r="271" customFormat="false" ht="15" hidden="false" customHeight="false" outlineLevel="0" collapsed="false">
      <c r="A271" s="6" t="s">
        <v>1177</v>
      </c>
      <c r="B271" s="6" t="s">
        <v>103</v>
      </c>
      <c r="C271" s="7" t="n">
        <v>44377</v>
      </c>
      <c r="D271" s="6" t="s">
        <v>380</v>
      </c>
      <c r="E271" s="6" t="s">
        <v>381</v>
      </c>
      <c r="F271" s="6" t="s">
        <v>1174</v>
      </c>
      <c r="G271" s="6" t="s">
        <v>1178</v>
      </c>
      <c r="H271" s="9" t="n">
        <v>88976</v>
      </c>
      <c r="K271" s="6" t="s">
        <v>384</v>
      </c>
      <c r="L271" s="6" t="s">
        <v>13</v>
      </c>
      <c r="M271" s="6" t="s">
        <v>100</v>
      </c>
      <c r="N271" s="6" t="s">
        <v>1179</v>
      </c>
      <c r="O271" s="6"/>
      <c r="P271" s="6"/>
    </row>
    <row r="272" customFormat="false" ht="15" hidden="false" customHeight="false" outlineLevel="0" collapsed="false">
      <c r="A272" s="6" t="s">
        <v>1180</v>
      </c>
      <c r="B272" s="6" t="s">
        <v>391</v>
      </c>
      <c r="C272" s="7" t="n">
        <v>44377</v>
      </c>
      <c r="D272" s="6" t="s">
        <v>392</v>
      </c>
      <c r="E272" s="6" t="s">
        <v>381</v>
      </c>
      <c r="F272" s="6" t="s">
        <v>1174</v>
      </c>
      <c r="G272" s="6" t="s">
        <v>1181</v>
      </c>
      <c r="H272" s="9" t="n">
        <v>177871</v>
      </c>
      <c r="K272" s="6" t="s">
        <v>384</v>
      </c>
      <c r="L272" s="6" t="s">
        <v>13</v>
      </c>
      <c r="M272" s="6" t="s">
        <v>100</v>
      </c>
      <c r="N272" s="6" t="s">
        <v>1182</v>
      </c>
      <c r="O272" s="6"/>
      <c r="P272" s="6"/>
    </row>
    <row r="273" customFormat="false" ht="15" hidden="false" customHeight="false" outlineLevel="0" collapsed="false">
      <c r="A273" s="6" t="s">
        <v>1183</v>
      </c>
      <c r="B273" s="6" t="s">
        <v>111</v>
      </c>
      <c r="C273" s="7" t="n">
        <v>44469</v>
      </c>
      <c r="D273" s="6" t="s">
        <v>380</v>
      </c>
      <c r="E273" s="6" t="s">
        <v>381</v>
      </c>
      <c r="F273" s="6" t="s">
        <v>1174</v>
      </c>
      <c r="G273" s="6" t="s">
        <v>1184</v>
      </c>
      <c r="H273" s="9" t="n">
        <v>102016</v>
      </c>
      <c r="K273" s="6" t="s">
        <v>384</v>
      </c>
      <c r="L273" s="6" t="s">
        <v>13</v>
      </c>
      <c r="M273" s="6" t="s">
        <v>109</v>
      </c>
      <c r="N273" s="6" t="s">
        <v>1185</v>
      </c>
      <c r="O273" s="6"/>
      <c r="P273" s="6"/>
    </row>
    <row r="274" customFormat="false" ht="15" hidden="false" customHeight="false" outlineLevel="0" collapsed="false">
      <c r="A274" s="6" t="s">
        <v>1186</v>
      </c>
      <c r="B274" s="6" t="s">
        <v>399</v>
      </c>
      <c r="C274" s="7" t="n">
        <v>44469</v>
      </c>
      <c r="D274" s="6" t="s">
        <v>400</v>
      </c>
      <c r="E274" s="6" t="s">
        <v>381</v>
      </c>
      <c r="F274" s="6" t="s">
        <v>1174</v>
      </c>
      <c r="G274" s="6" t="s">
        <v>1187</v>
      </c>
      <c r="H274" s="9" t="n">
        <v>279887</v>
      </c>
      <c r="K274" s="6" t="s">
        <v>384</v>
      </c>
      <c r="L274" s="6" t="s">
        <v>13</v>
      </c>
      <c r="M274" s="6" t="s">
        <v>109</v>
      </c>
      <c r="N274" s="6" t="s">
        <v>1188</v>
      </c>
      <c r="O274" s="6"/>
      <c r="P274" s="6"/>
    </row>
    <row r="275" customFormat="false" ht="15" hidden="false" customHeight="false" outlineLevel="0" collapsed="false">
      <c r="A275" s="6" t="s">
        <v>1189</v>
      </c>
      <c r="B275" s="6" t="s">
        <v>116</v>
      </c>
      <c r="C275" s="7" t="n">
        <v>44561</v>
      </c>
      <c r="D275" s="6" t="s">
        <v>380</v>
      </c>
      <c r="E275" s="6" t="s">
        <v>381</v>
      </c>
      <c r="F275" s="6" t="s">
        <v>1174</v>
      </c>
      <c r="G275" s="6" t="s">
        <v>1190</v>
      </c>
      <c r="H275" s="9" t="n">
        <v>115375</v>
      </c>
      <c r="K275" s="6" t="s">
        <v>384</v>
      </c>
      <c r="L275" s="6" t="s">
        <v>13</v>
      </c>
      <c r="M275" s="6" t="s">
        <v>114</v>
      </c>
      <c r="N275" s="6" t="s">
        <v>1191</v>
      </c>
      <c r="O275" s="6"/>
      <c r="P275" s="6"/>
    </row>
    <row r="276" customFormat="false" ht="15" hidden="false" customHeight="false" outlineLevel="0" collapsed="false">
      <c r="A276" s="6" t="s">
        <v>1192</v>
      </c>
      <c r="B276" s="6" t="s">
        <v>212</v>
      </c>
      <c r="C276" s="7" t="n">
        <v>44561</v>
      </c>
      <c r="D276" s="6" t="s">
        <v>407</v>
      </c>
      <c r="E276" s="6" t="s">
        <v>381</v>
      </c>
      <c r="F276" s="6" t="s">
        <v>1174</v>
      </c>
      <c r="G276" s="6" t="s">
        <v>1193</v>
      </c>
      <c r="H276" s="9" t="n">
        <v>395262</v>
      </c>
      <c r="K276" s="6" t="s">
        <v>384</v>
      </c>
      <c r="L276" s="6" t="s">
        <v>13</v>
      </c>
      <c r="M276" s="6" t="s">
        <v>114</v>
      </c>
      <c r="N276" s="6" t="s">
        <v>1194</v>
      </c>
      <c r="O276" s="6"/>
      <c r="P276" s="6"/>
    </row>
    <row r="277" customFormat="false" ht="15" hidden="false" customHeight="false" outlineLevel="0" collapsed="false">
      <c r="A277" s="6" t="s">
        <v>1195</v>
      </c>
      <c r="B277" s="6" t="s">
        <v>121</v>
      </c>
      <c r="C277" s="7" t="n">
        <v>44651</v>
      </c>
      <c r="D277" s="6" t="s">
        <v>380</v>
      </c>
      <c r="E277" s="6" t="s">
        <v>381</v>
      </c>
      <c r="F277" s="6" t="s">
        <v>1174</v>
      </c>
      <c r="G277" s="6" t="s">
        <v>1196</v>
      </c>
      <c r="H277" s="9" t="n">
        <v>161384</v>
      </c>
      <c r="K277" s="6" t="s">
        <v>384</v>
      </c>
      <c r="L277" s="6" t="s">
        <v>13</v>
      </c>
      <c r="M277" s="6" t="s">
        <v>119</v>
      </c>
      <c r="N277" s="6" t="s">
        <v>1197</v>
      </c>
      <c r="O277" s="6"/>
      <c r="P277" s="6"/>
    </row>
    <row r="278" customFormat="false" ht="15" hidden="false" customHeight="false" outlineLevel="0" collapsed="false">
      <c r="A278" s="6" t="s">
        <v>1198</v>
      </c>
      <c r="B278" s="6" t="s">
        <v>126</v>
      </c>
      <c r="C278" s="7" t="n">
        <v>44742</v>
      </c>
      <c r="D278" s="6" t="s">
        <v>380</v>
      </c>
      <c r="E278" s="6" t="s">
        <v>381</v>
      </c>
      <c r="F278" s="6" t="s">
        <v>1174</v>
      </c>
      <c r="G278" s="6" t="s">
        <v>1199</v>
      </c>
      <c r="H278" s="9" t="n">
        <v>153168</v>
      </c>
      <c r="K278" s="6" t="s">
        <v>384</v>
      </c>
      <c r="L278" s="6" t="s">
        <v>13</v>
      </c>
      <c r="M278" s="6" t="s">
        <v>124</v>
      </c>
      <c r="N278" s="6" t="s">
        <v>1200</v>
      </c>
      <c r="O278" s="6"/>
      <c r="P278" s="6"/>
    </row>
    <row r="279" customFormat="false" ht="15" hidden="false" customHeight="false" outlineLevel="0" collapsed="false">
      <c r="A279" s="6" t="s">
        <v>1201</v>
      </c>
      <c r="B279" s="6" t="s">
        <v>417</v>
      </c>
      <c r="C279" s="7" t="n">
        <v>44742</v>
      </c>
      <c r="D279" s="6" t="s">
        <v>392</v>
      </c>
      <c r="E279" s="6" t="s">
        <v>381</v>
      </c>
      <c r="F279" s="6" t="s">
        <v>1174</v>
      </c>
      <c r="G279" s="6" t="s">
        <v>1202</v>
      </c>
      <c r="H279" s="9" t="n">
        <v>314552</v>
      </c>
      <c r="K279" s="6" t="s">
        <v>384</v>
      </c>
      <c r="L279" s="6" t="s">
        <v>13</v>
      </c>
      <c r="M279" s="6" t="s">
        <v>124</v>
      </c>
      <c r="N279" s="6" t="s">
        <v>1203</v>
      </c>
      <c r="O279" s="6"/>
      <c r="P279" s="6"/>
    </row>
    <row r="280" customFormat="false" ht="15" hidden="false" customHeight="false" outlineLevel="0" collapsed="false">
      <c r="A280" s="6" t="s">
        <v>1204</v>
      </c>
      <c r="B280" s="6" t="s">
        <v>131</v>
      </c>
      <c r="C280" s="7" t="n">
        <v>44834</v>
      </c>
      <c r="D280" s="6" t="s">
        <v>380</v>
      </c>
      <c r="E280" s="6" t="s">
        <v>381</v>
      </c>
      <c r="F280" s="6" t="s">
        <v>1174</v>
      </c>
      <c r="G280" s="6" t="s">
        <v>1205</v>
      </c>
      <c r="H280" s="9" t="n">
        <v>147302</v>
      </c>
      <c r="K280" s="6" t="s">
        <v>384</v>
      </c>
      <c r="L280" s="6" t="s">
        <v>13</v>
      </c>
      <c r="M280" s="6" t="s">
        <v>129</v>
      </c>
      <c r="N280" s="6" t="s">
        <v>1206</v>
      </c>
      <c r="O280" s="6"/>
      <c r="P280" s="6"/>
    </row>
    <row r="281" customFormat="false" ht="15" hidden="false" customHeight="false" outlineLevel="0" collapsed="false">
      <c r="A281" s="6" t="s">
        <v>1207</v>
      </c>
      <c r="B281" s="6" t="s">
        <v>424</v>
      </c>
      <c r="C281" s="7" t="n">
        <v>44834</v>
      </c>
      <c r="D281" s="6" t="s">
        <v>400</v>
      </c>
      <c r="E281" s="6" t="s">
        <v>381</v>
      </c>
      <c r="F281" s="6" t="s">
        <v>1174</v>
      </c>
      <c r="G281" s="6" t="s">
        <v>1208</v>
      </c>
      <c r="H281" s="9" t="n">
        <v>461854</v>
      </c>
      <c r="K281" s="6" t="s">
        <v>384</v>
      </c>
      <c r="L281" s="6" t="s">
        <v>13</v>
      </c>
      <c r="M281" s="6" t="s">
        <v>129</v>
      </c>
      <c r="N281" s="6" t="s">
        <v>1209</v>
      </c>
      <c r="O281" s="6"/>
      <c r="P281" s="6"/>
    </row>
    <row r="282" customFormat="false" ht="15" hidden="false" customHeight="false" outlineLevel="0" collapsed="false">
      <c r="A282" s="6" t="s">
        <v>1210</v>
      </c>
      <c r="B282" s="6" t="s">
        <v>136</v>
      </c>
      <c r="C282" s="7" t="n">
        <v>44926</v>
      </c>
      <c r="D282" s="6" t="s">
        <v>380</v>
      </c>
      <c r="E282" s="6" t="s">
        <v>381</v>
      </c>
      <c r="F282" s="6" t="s">
        <v>1174</v>
      </c>
      <c r="G282" s="6" t="s">
        <v>1211</v>
      </c>
      <c r="H282" s="9" t="n">
        <v>142662</v>
      </c>
      <c r="K282" s="6" t="s">
        <v>384</v>
      </c>
      <c r="L282" s="6" t="s">
        <v>13</v>
      </c>
      <c r="M282" s="6" t="s">
        <v>134</v>
      </c>
      <c r="N282" s="6" t="s">
        <v>1212</v>
      </c>
      <c r="O282" s="6"/>
      <c r="P282" s="6"/>
    </row>
    <row r="283" customFormat="false" ht="15" hidden="false" customHeight="false" outlineLevel="0" collapsed="false">
      <c r="A283" s="6" t="s">
        <v>1213</v>
      </c>
      <c r="B283" s="6" t="s">
        <v>220</v>
      </c>
      <c r="C283" s="7" t="n">
        <v>44926</v>
      </c>
      <c r="D283" s="6" t="s">
        <v>407</v>
      </c>
      <c r="E283" s="6" t="s">
        <v>381</v>
      </c>
      <c r="F283" s="6" t="s">
        <v>1174</v>
      </c>
      <c r="G283" s="6" t="s">
        <v>1214</v>
      </c>
      <c r="H283" s="9" t="n">
        <v>604516</v>
      </c>
      <c r="K283" s="6" t="s">
        <v>384</v>
      </c>
      <c r="L283" s="6" t="s">
        <v>13</v>
      </c>
      <c r="M283" s="6" t="s">
        <v>134</v>
      </c>
      <c r="N283" s="6" t="s">
        <v>1215</v>
      </c>
      <c r="O283" s="6"/>
      <c r="P283" s="6"/>
    </row>
    <row r="284" customFormat="false" ht="15" hidden="false" customHeight="false" outlineLevel="0" collapsed="false">
      <c r="A284" s="6" t="s">
        <v>1216</v>
      </c>
      <c r="B284" s="6" t="s">
        <v>141</v>
      </c>
      <c r="C284" s="7" t="n">
        <v>45016</v>
      </c>
      <c r="D284" s="6" t="s">
        <v>380</v>
      </c>
      <c r="E284" s="6" t="s">
        <v>381</v>
      </c>
      <c r="F284" s="6" t="s">
        <v>1174</v>
      </c>
      <c r="G284" s="6" t="s">
        <v>1217</v>
      </c>
      <c r="H284" s="9" t="n">
        <v>167994</v>
      </c>
      <c r="K284" s="6" t="s">
        <v>384</v>
      </c>
      <c r="L284" s="6" t="s">
        <v>13</v>
      </c>
      <c r="M284" s="6" t="s">
        <v>139</v>
      </c>
      <c r="N284" s="6" t="s">
        <v>1218</v>
      </c>
      <c r="O284" s="6"/>
      <c r="P284" s="6"/>
    </row>
    <row r="285" customFormat="false" ht="15" hidden="false" customHeight="false" outlineLevel="0" collapsed="false">
      <c r="A285" s="6" t="s">
        <v>1219</v>
      </c>
      <c r="B285" s="6" t="s">
        <v>146</v>
      </c>
      <c r="C285" s="7" t="n">
        <v>45107</v>
      </c>
      <c r="D285" s="6" t="s">
        <v>380</v>
      </c>
      <c r="E285" s="6" t="s">
        <v>381</v>
      </c>
      <c r="F285" s="6" t="s">
        <v>1174</v>
      </c>
      <c r="G285" s="6" t="s">
        <v>1220</v>
      </c>
      <c r="H285" s="9" t="n">
        <v>168330</v>
      </c>
      <c r="K285" s="6" t="s">
        <v>384</v>
      </c>
      <c r="L285" s="6" t="s">
        <v>13</v>
      </c>
      <c r="M285" s="6" t="s">
        <v>144</v>
      </c>
      <c r="N285" s="6" t="s">
        <v>1221</v>
      </c>
      <c r="O285" s="6"/>
      <c r="P285" s="6"/>
    </row>
    <row r="286" customFormat="false" ht="15" hidden="false" customHeight="false" outlineLevel="0" collapsed="false">
      <c r="A286" s="6" t="s">
        <v>1222</v>
      </c>
      <c r="B286" s="6" t="s">
        <v>440</v>
      </c>
      <c r="C286" s="7" t="n">
        <v>45107</v>
      </c>
      <c r="D286" s="6" t="s">
        <v>392</v>
      </c>
      <c r="E286" s="6" t="s">
        <v>381</v>
      </c>
      <c r="F286" s="6" t="s">
        <v>1174</v>
      </c>
      <c r="G286" s="6" t="s">
        <v>1223</v>
      </c>
      <c r="H286" s="9" t="n">
        <v>336324</v>
      </c>
      <c r="K286" s="6" t="s">
        <v>384</v>
      </c>
      <c r="L286" s="6" t="s">
        <v>13</v>
      </c>
      <c r="M286" s="6" t="s">
        <v>144</v>
      </c>
      <c r="N286" s="6" t="s">
        <v>1224</v>
      </c>
      <c r="O286" s="6"/>
      <c r="P286" s="6"/>
    </row>
    <row r="287" customFormat="false" ht="15" hidden="false" customHeight="false" outlineLevel="0" collapsed="false">
      <c r="A287" s="6" t="s">
        <v>1225</v>
      </c>
      <c r="B287" s="6" t="s">
        <v>151</v>
      </c>
      <c r="C287" s="7" t="n">
        <v>45199</v>
      </c>
      <c r="D287" s="6" t="s">
        <v>380</v>
      </c>
      <c r="E287" s="6" t="s">
        <v>381</v>
      </c>
      <c r="F287" s="6" t="s">
        <v>1174</v>
      </c>
      <c r="G287" s="6" t="s">
        <v>1226</v>
      </c>
      <c r="H287" s="9" t="n">
        <v>170004</v>
      </c>
      <c r="K287" s="6" t="s">
        <v>384</v>
      </c>
      <c r="L287" s="6" t="s">
        <v>13</v>
      </c>
      <c r="M287" s="6" t="s">
        <v>149</v>
      </c>
      <c r="N287" s="6" t="s">
        <v>1227</v>
      </c>
      <c r="O287" s="6"/>
      <c r="P287" s="6"/>
    </row>
    <row r="288" customFormat="false" ht="15" hidden="false" customHeight="false" outlineLevel="0" collapsed="false">
      <c r="A288" s="6" t="s">
        <v>1228</v>
      </c>
      <c r="B288" s="6" t="s">
        <v>447</v>
      </c>
      <c r="C288" s="7" t="n">
        <v>45199</v>
      </c>
      <c r="D288" s="6" t="s">
        <v>400</v>
      </c>
      <c r="E288" s="6" t="s">
        <v>381</v>
      </c>
      <c r="F288" s="6" t="s">
        <v>1174</v>
      </c>
      <c r="G288" s="6" t="s">
        <v>1229</v>
      </c>
      <c r="H288" s="9" t="n">
        <v>506328</v>
      </c>
      <c r="K288" s="6" t="s">
        <v>384</v>
      </c>
      <c r="L288" s="6" t="s">
        <v>13</v>
      </c>
      <c r="M288" s="6" t="s">
        <v>149</v>
      </c>
      <c r="N288" s="6" t="s">
        <v>1230</v>
      </c>
      <c r="O288" s="6"/>
      <c r="P288" s="6"/>
    </row>
    <row r="289" customFormat="false" ht="15" hidden="false" customHeight="false" outlineLevel="0" collapsed="false">
      <c r="A289" s="6" t="s">
        <v>1231</v>
      </c>
      <c r="B289" s="6" t="s">
        <v>156</v>
      </c>
      <c r="C289" s="7" t="n">
        <v>45291</v>
      </c>
      <c r="D289" s="6" t="s">
        <v>380</v>
      </c>
      <c r="E289" s="6" t="s">
        <v>381</v>
      </c>
      <c r="F289" s="6" t="s">
        <v>1174</v>
      </c>
      <c r="G289" s="6" t="s">
        <v>1232</v>
      </c>
      <c r="H289" s="9" t="n">
        <v>181307</v>
      </c>
      <c r="K289" s="6" t="s">
        <v>384</v>
      </c>
      <c r="L289" s="6" t="s">
        <v>13</v>
      </c>
      <c r="M289" s="6" t="s">
        <v>154</v>
      </c>
      <c r="N289" s="6" t="s">
        <v>1233</v>
      </c>
      <c r="O289" s="6"/>
      <c r="P289" s="6"/>
    </row>
    <row r="290" customFormat="false" ht="15" hidden="false" customHeight="false" outlineLevel="0" collapsed="false">
      <c r="A290" s="6" t="s">
        <v>1234</v>
      </c>
      <c r="B290" s="6" t="s">
        <v>225</v>
      </c>
      <c r="C290" s="7" t="n">
        <v>45291</v>
      </c>
      <c r="D290" s="6" t="s">
        <v>407</v>
      </c>
      <c r="E290" s="6" t="s">
        <v>381</v>
      </c>
      <c r="F290" s="6" t="s">
        <v>1174</v>
      </c>
      <c r="G290" s="6" t="s">
        <v>1235</v>
      </c>
      <c r="H290" s="9" t="n">
        <v>687635</v>
      </c>
      <c r="K290" s="6" t="s">
        <v>384</v>
      </c>
      <c r="L290" s="6" t="s">
        <v>13</v>
      </c>
      <c r="M290" s="6" t="s">
        <v>154</v>
      </c>
      <c r="N290" s="6" t="s">
        <v>1236</v>
      </c>
      <c r="O290" s="6"/>
      <c r="P290" s="6"/>
    </row>
    <row r="291" customFormat="false" ht="15" hidden="false" customHeight="false" outlineLevel="0" collapsed="false">
      <c r="A291" s="6" t="s">
        <v>1237</v>
      </c>
      <c r="B291" s="6" t="s">
        <v>161</v>
      </c>
      <c r="C291" s="7" t="n">
        <v>45382</v>
      </c>
      <c r="D291" s="6" t="s">
        <v>380</v>
      </c>
      <c r="E291" s="6" t="s">
        <v>381</v>
      </c>
      <c r="F291" s="6" t="s">
        <v>1174</v>
      </c>
      <c r="G291" s="6" t="s">
        <v>1238</v>
      </c>
      <c r="H291" s="9" t="n">
        <v>198481</v>
      </c>
      <c r="K291" s="6" t="s">
        <v>384</v>
      </c>
      <c r="L291" s="6" t="s">
        <v>13</v>
      </c>
      <c r="M291" s="6" t="s">
        <v>159</v>
      </c>
      <c r="N291" s="6" t="s">
        <v>1239</v>
      </c>
      <c r="O291" s="6"/>
      <c r="P291" s="6"/>
    </row>
    <row r="292" customFormat="false" ht="15" hidden="false" customHeight="false" outlineLevel="0" collapsed="false">
      <c r="A292" s="6" t="s">
        <v>1240</v>
      </c>
      <c r="B292" s="6" t="s">
        <v>166</v>
      </c>
      <c r="C292" s="7" t="n">
        <v>45473</v>
      </c>
      <c r="D292" s="6" t="s">
        <v>380</v>
      </c>
      <c r="E292" s="6" t="s">
        <v>381</v>
      </c>
      <c r="F292" s="6" t="s">
        <v>1174</v>
      </c>
      <c r="G292" s="6" t="s">
        <v>1241</v>
      </c>
      <c r="H292" s="9" t="n">
        <v>210549</v>
      </c>
      <c r="K292" s="6" t="s">
        <v>384</v>
      </c>
      <c r="L292" s="6" t="s">
        <v>13</v>
      </c>
      <c r="M292" s="6" t="s">
        <v>164</v>
      </c>
      <c r="N292" s="6" t="s">
        <v>1242</v>
      </c>
      <c r="O292" s="6"/>
      <c r="P292" s="6"/>
    </row>
    <row r="293" customFormat="false" ht="15" hidden="false" customHeight="false" outlineLevel="0" collapsed="false">
      <c r="A293" s="6" t="s">
        <v>1243</v>
      </c>
      <c r="B293" s="6" t="s">
        <v>241</v>
      </c>
      <c r="C293" s="7" t="n">
        <v>45473</v>
      </c>
      <c r="D293" s="6" t="s">
        <v>392</v>
      </c>
      <c r="E293" s="6" t="s">
        <v>381</v>
      </c>
      <c r="F293" s="6" t="s">
        <v>1174</v>
      </c>
      <c r="G293" s="6" t="s">
        <v>1244</v>
      </c>
      <c r="H293" s="9" t="n">
        <v>409030</v>
      </c>
      <c r="K293" s="6" t="s">
        <v>384</v>
      </c>
      <c r="L293" s="6" t="s">
        <v>13</v>
      </c>
      <c r="M293" s="6" t="s">
        <v>164</v>
      </c>
      <c r="N293" s="6" t="s">
        <v>1245</v>
      </c>
      <c r="O293" s="6"/>
      <c r="P293" s="6"/>
    </row>
    <row r="294" customFormat="false" ht="15" hidden="false" customHeight="false" outlineLevel="0" collapsed="false">
      <c r="A294" s="6" t="s">
        <v>1246</v>
      </c>
      <c r="B294" s="6" t="s">
        <v>171</v>
      </c>
      <c r="C294" s="7" t="n">
        <v>45565</v>
      </c>
      <c r="D294" s="6" t="s">
        <v>380</v>
      </c>
      <c r="E294" s="6" t="s">
        <v>381</v>
      </c>
      <c r="F294" s="6" t="s">
        <v>1174</v>
      </c>
      <c r="G294" s="6" t="s">
        <v>1247</v>
      </c>
      <c r="H294" s="9" t="n">
        <v>252430</v>
      </c>
      <c r="K294" s="6" t="s">
        <v>384</v>
      </c>
      <c r="L294" s="6" t="s">
        <v>13</v>
      </c>
      <c r="M294" s="6" t="s">
        <v>169</v>
      </c>
      <c r="N294" s="6" t="s">
        <v>1248</v>
      </c>
      <c r="O294" s="6"/>
      <c r="P294" s="6"/>
    </row>
    <row r="295" customFormat="false" ht="15" hidden="false" customHeight="false" outlineLevel="0" collapsed="false">
      <c r="A295" s="6" t="s">
        <v>1249</v>
      </c>
      <c r="B295" s="6" t="s">
        <v>469</v>
      </c>
      <c r="C295" s="7" t="n">
        <v>45565</v>
      </c>
      <c r="D295" s="6" t="s">
        <v>400</v>
      </c>
      <c r="E295" s="6" t="s">
        <v>381</v>
      </c>
      <c r="F295" s="6" t="s">
        <v>1174</v>
      </c>
      <c r="G295" s="6" t="s">
        <v>1250</v>
      </c>
      <c r="H295" s="9" t="n">
        <v>661460</v>
      </c>
      <c r="K295" s="6" t="s">
        <v>384</v>
      </c>
      <c r="L295" s="6" t="s">
        <v>13</v>
      </c>
      <c r="M295" s="6" t="s">
        <v>169</v>
      </c>
      <c r="N295" s="6" t="s">
        <v>1251</v>
      </c>
      <c r="O295" s="6"/>
      <c r="P295" s="6"/>
    </row>
    <row r="296" customFormat="false" ht="15" hidden="false" customHeight="false" outlineLevel="0" collapsed="false">
      <c r="A296" s="6" t="s">
        <v>1252</v>
      </c>
      <c r="B296" s="6" t="s">
        <v>176</v>
      </c>
      <c r="C296" s="7" t="n">
        <v>45657</v>
      </c>
      <c r="D296" s="6" t="s">
        <v>380</v>
      </c>
      <c r="E296" s="6" t="s">
        <v>381</v>
      </c>
      <c r="F296" s="6" t="s">
        <v>1174</v>
      </c>
      <c r="G296" s="6" t="s">
        <v>1253</v>
      </c>
      <c r="H296" s="9" t="n">
        <v>227878</v>
      </c>
      <c r="K296" s="6" t="s">
        <v>384</v>
      </c>
      <c r="L296" s="6" t="s">
        <v>13</v>
      </c>
      <c r="M296" s="6" t="s">
        <v>174</v>
      </c>
      <c r="N296" s="6" t="s">
        <v>1254</v>
      </c>
      <c r="O296" s="6"/>
      <c r="P296" s="6"/>
    </row>
    <row r="297" customFormat="false" ht="15" hidden="false" customHeight="false" outlineLevel="0" collapsed="false">
      <c r="A297" s="6" t="s">
        <v>1255</v>
      </c>
      <c r="B297" s="6" t="s">
        <v>230</v>
      </c>
      <c r="C297" s="7" t="n">
        <v>45657</v>
      </c>
      <c r="D297" s="6" t="s">
        <v>407</v>
      </c>
      <c r="E297" s="6" t="s">
        <v>381</v>
      </c>
      <c r="F297" s="6" t="s">
        <v>1174</v>
      </c>
      <c r="G297" s="6" t="s">
        <v>1256</v>
      </c>
      <c r="H297" s="9" t="n">
        <v>889338</v>
      </c>
      <c r="K297" s="6" t="s">
        <v>384</v>
      </c>
      <c r="L297" s="6" t="s">
        <v>13</v>
      </c>
      <c r="M297" s="6" t="s">
        <v>174</v>
      </c>
      <c r="N297" s="6" t="s">
        <v>1257</v>
      </c>
      <c r="O297" s="6"/>
      <c r="P297" s="6"/>
    </row>
    <row r="298" customFormat="false" ht="15" hidden="false" customHeight="false" outlineLevel="0" collapsed="false">
      <c r="A298" s="6" t="s">
        <v>1258</v>
      </c>
      <c r="B298" s="6" t="s">
        <v>181</v>
      </c>
      <c r="C298" s="7" t="n">
        <v>45747</v>
      </c>
      <c r="D298" s="6" t="s">
        <v>380</v>
      </c>
      <c r="E298" s="6" t="s">
        <v>381</v>
      </c>
      <c r="F298" s="6" t="s">
        <v>1174</v>
      </c>
      <c r="G298" s="6" t="s">
        <v>1259</v>
      </c>
      <c r="H298" s="9" t="n">
        <v>243649</v>
      </c>
      <c r="K298" s="6" t="s">
        <v>384</v>
      </c>
      <c r="L298" s="6" t="s">
        <v>13</v>
      </c>
      <c r="M298" s="6" t="s">
        <v>179</v>
      </c>
      <c r="N298" s="6" t="s">
        <v>1260</v>
      </c>
      <c r="O298" s="6"/>
      <c r="P298" s="6"/>
    </row>
    <row r="299" customFormat="false" ht="15" hidden="false" customHeight="false" outlineLevel="0" collapsed="false">
      <c r="A299" s="6" t="s">
        <v>1261</v>
      </c>
      <c r="B299" s="6" t="s">
        <v>186</v>
      </c>
      <c r="C299" s="7" t="n">
        <v>45838</v>
      </c>
      <c r="D299" s="6" t="s">
        <v>380</v>
      </c>
      <c r="E299" s="6" t="s">
        <v>381</v>
      </c>
      <c r="F299" s="6" t="s">
        <v>1174</v>
      </c>
      <c r="G299" s="6" t="s">
        <v>1262</v>
      </c>
      <c r="H299" s="9" t="n">
        <v>279392</v>
      </c>
      <c r="K299" s="6" t="s">
        <v>384</v>
      </c>
      <c r="L299" s="6" t="s">
        <v>13</v>
      </c>
      <c r="M299" s="6" t="s">
        <v>184</v>
      </c>
      <c r="N299" s="6" t="s">
        <v>1263</v>
      </c>
      <c r="O299" s="6"/>
      <c r="P299" s="6"/>
    </row>
    <row r="300" customFormat="false" ht="15" hidden="false" customHeight="false" outlineLevel="0" collapsed="false">
      <c r="A300" s="6" t="s">
        <v>1264</v>
      </c>
      <c r="B300" s="6" t="s">
        <v>255</v>
      </c>
      <c r="C300" s="7" t="n">
        <v>45838</v>
      </c>
      <c r="D300" s="6" t="s">
        <v>392</v>
      </c>
      <c r="E300" s="6" t="s">
        <v>381</v>
      </c>
      <c r="F300" s="6" t="s">
        <v>1174</v>
      </c>
      <c r="G300" s="6" t="s">
        <v>1265</v>
      </c>
      <c r="H300" s="9" t="n">
        <v>523041</v>
      </c>
      <c r="K300" s="6" t="s">
        <v>384</v>
      </c>
      <c r="L300" s="6" t="s">
        <v>13</v>
      </c>
      <c r="M300" s="6" t="s">
        <v>184</v>
      </c>
      <c r="N300" s="6" t="s">
        <v>1266</v>
      </c>
      <c r="O300" s="6"/>
      <c r="P300" s="6"/>
    </row>
    <row r="301" customFormat="false" ht="15" hidden="false" customHeight="false" outlineLevel="0" collapsed="false">
      <c r="A301" s="6" t="s">
        <v>1267</v>
      </c>
      <c r="B301" s="6" t="s">
        <v>191</v>
      </c>
      <c r="C301" s="7" t="n">
        <v>45930</v>
      </c>
      <c r="D301" s="6" t="s">
        <v>380</v>
      </c>
      <c r="E301" s="6" t="s">
        <v>381</v>
      </c>
      <c r="F301" s="6" t="s">
        <v>1174</v>
      </c>
      <c r="G301" s="6" t="s">
        <v>1268</v>
      </c>
      <c r="H301" s="9" t="n">
        <v>283445</v>
      </c>
      <c r="K301" s="6" t="s">
        <v>384</v>
      </c>
      <c r="L301" s="6" t="s">
        <v>13</v>
      </c>
      <c r="M301" s="6" t="s">
        <v>189</v>
      </c>
      <c r="N301" s="6" t="s">
        <v>1269</v>
      </c>
      <c r="O301" s="6"/>
      <c r="P301" s="6"/>
    </row>
    <row r="302" customFormat="false" ht="15" hidden="false" customHeight="false" outlineLevel="0" collapsed="false">
      <c r="A302" s="6" t="s">
        <v>1270</v>
      </c>
      <c r="B302" s="6" t="s">
        <v>491</v>
      </c>
      <c r="C302" s="7" t="n">
        <v>45930</v>
      </c>
      <c r="D302" s="6" t="s">
        <v>400</v>
      </c>
      <c r="E302" s="6" t="s">
        <v>381</v>
      </c>
      <c r="F302" s="6" t="s">
        <v>1174</v>
      </c>
      <c r="G302" s="6" t="s">
        <v>1271</v>
      </c>
      <c r="H302" s="9" t="n">
        <v>806486</v>
      </c>
      <c r="K302" s="6" t="s">
        <v>384</v>
      </c>
      <c r="L302" s="6" t="s">
        <v>13</v>
      </c>
      <c r="M302" s="6" t="s">
        <v>189</v>
      </c>
      <c r="N302" s="6" t="s">
        <v>1272</v>
      </c>
      <c r="O302" s="6"/>
      <c r="P302" s="6"/>
    </row>
    <row r="303" customFormat="false" ht="15" hidden="false" customHeight="false" outlineLevel="0" collapsed="false">
      <c r="A303" s="6" t="s">
        <v>1273</v>
      </c>
      <c r="B303" s="6" t="s">
        <v>196</v>
      </c>
      <c r="C303" s="7" t="n">
        <v>46022</v>
      </c>
      <c r="D303" s="6" t="s">
        <v>380</v>
      </c>
      <c r="E303" s="6" t="s">
        <v>381</v>
      </c>
      <c r="F303" s="6" t="s">
        <v>1174</v>
      </c>
      <c r="G303" s="6" t="s">
        <v>1274</v>
      </c>
      <c r="H303" s="9" t="n">
        <v>294160</v>
      </c>
      <c r="K303" s="6" t="s">
        <v>384</v>
      </c>
      <c r="L303" s="6" t="s">
        <v>13</v>
      </c>
      <c r="M303" s="6" t="s">
        <v>194</v>
      </c>
      <c r="N303" s="6" t="s">
        <v>1275</v>
      </c>
      <c r="O303" s="6"/>
      <c r="P303" s="6"/>
    </row>
    <row r="304" customFormat="false" ht="15" hidden="false" customHeight="false" outlineLevel="0" collapsed="false">
      <c r="A304" s="6" t="s">
        <v>1276</v>
      </c>
      <c r="B304" s="6" t="s">
        <v>235</v>
      </c>
      <c r="C304" s="7" t="n">
        <v>46022</v>
      </c>
      <c r="D304" s="6" t="s">
        <v>407</v>
      </c>
      <c r="E304" s="6" t="s">
        <v>381</v>
      </c>
      <c r="F304" s="6" t="s">
        <v>1174</v>
      </c>
      <c r="G304" s="6" t="s">
        <v>1277</v>
      </c>
      <c r="H304" s="9" t="n">
        <v>1100646</v>
      </c>
      <c r="K304" s="6" t="s">
        <v>384</v>
      </c>
      <c r="L304" s="6" t="s">
        <v>13</v>
      </c>
      <c r="M304" s="6" t="s">
        <v>194</v>
      </c>
      <c r="N304" s="6" t="s">
        <v>1278</v>
      </c>
      <c r="O304" s="6"/>
      <c r="P304" s="6"/>
    </row>
    <row r="305" customFormat="false" ht="15" hidden="false" customHeight="false" outlineLevel="0" collapsed="false">
      <c r="A305" s="6" t="s">
        <v>1279</v>
      </c>
      <c r="B305" s="6" t="s">
        <v>201</v>
      </c>
      <c r="C305" s="7" t="n">
        <v>46112</v>
      </c>
      <c r="D305" s="6" t="s">
        <v>380</v>
      </c>
      <c r="E305" s="6" t="s">
        <v>381</v>
      </c>
      <c r="F305" s="6" t="s">
        <v>1174</v>
      </c>
      <c r="G305" s="6" t="s">
        <v>1280</v>
      </c>
      <c r="H305" s="9" t="n">
        <v>293387</v>
      </c>
      <c r="K305" s="6" t="s">
        <v>384</v>
      </c>
      <c r="L305" s="6" t="s">
        <v>13</v>
      </c>
      <c r="M305" s="6" t="s">
        <v>199</v>
      </c>
      <c r="N305" s="6" t="s">
        <v>1281</v>
      </c>
      <c r="O305" s="6"/>
      <c r="P305" s="6"/>
    </row>
    <row r="306" customFormat="false" ht="15" hidden="false" customHeight="false" outlineLevel="0" collapsed="false">
      <c r="A306" s="6" t="s">
        <v>1282</v>
      </c>
      <c r="B306" s="6" t="s">
        <v>206</v>
      </c>
      <c r="C306" s="7" t="n">
        <v>46203</v>
      </c>
      <c r="D306" s="6" t="s">
        <v>380</v>
      </c>
      <c r="E306" s="6" t="s">
        <v>381</v>
      </c>
      <c r="F306" s="6" t="s">
        <v>1174</v>
      </c>
      <c r="G306" s="6" t="s">
        <v>1283</v>
      </c>
      <c r="H306" s="9" t="n">
        <v>323504</v>
      </c>
      <c r="K306" s="6" t="s">
        <v>384</v>
      </c>
      <c r="L306" s="6" t="s">
        <v>13</v>
      </c>
      <c r="M306" s="6" t="s">
        <v>204</v>
      </c>
      <c r="N306" s="6" t="s">
        <v>1284</v>
      </c>
      <c r="O306" s="6"/>
      <c r="P306" s="6"/>
    </row>
    <row r="307" customFormat="false" ht="15" hidden="false" customHeight="false" outlineLevel="0" collapsed="false">
      <c r="A307" s="6" t="s">
        <v>1285</v>
      </c>
      <c r="B307" s="6" t="s">
        <v>263</v>
      </c>
      <c r="C307" s="7" t="n">
        <v>46203</v>
      </c>
      <c r="D307" s="6" t="s">
        <v>392</v>
      </c>
      <c r="E307" s="6" t="s">
        <v>381</v>
      </c>
      <c r="F307" s="6" t="s">
        <v>1174</v>
      </c>
      <c r="G307" s="6" t="s">
        <v>1286</v>
      </c>
      <c r="H307" s="9" t="n">
        <v>616891</v>
      </c>
      <c r="K307" s="6" t="s">
        <v>384</v>
      </c>
      <c r="L307" s="6" t="s">
        <v>13</v>
      </c>
      <c r="M307" s="6" t="s">
        <v>204</v>
      </c>
      <c r="N307" s="6" t="s">
        <v>1287</v>
      </c>
      <c r="O307" s="6"/>
      <c r="P307" s="6"/>
    </row>
    <row r="308" customFormat="false" ht="15" hidden="false" customHeight="false" outlineLevel="0" collapsed="false">
      <c r="A308" s="6" t="s">
        <v>1288</v>
      </c>
      <c r="B308" s="6" t="s">
        <v>379</v>
      </c>
      <c r="C308" s="7" t="n">
        <v>44286</v>
      </c>
      <c r="D308" s="6" t="s">
        <v>380</v>
      </c>
      <c r="E308" s="6" t="s">
        <v>381</v>
      </c>
      <c r="F308" s="6" t="s">
        <v>1289</v>
      </c>
      <c r="G308" s="6" t="s">
        <v>1290</v>
      </c>
      <c r="H308" s="9" t="n">
        <v>-37847</v>
      </c>
      <c r="K308" s="6" t="s">
        <v>384</v>
      </c>
      <c r="L308" s="6" t="s">
        <v>13</v>
      </c>
      <c r="M308" s="6" t="s">
        <v>119</v>
      </c>
      <c r="N308" s="6" t="s">
        <v>1291</v>
      </c>
      <c r="O308" s="6"/>
      <c r="P308" s="6" t="s">
        <v>386</v>
      </c>
    </row>
    <row r="309" customFormat="false" ht="15" hidden="false" customHeight="false" outlineLevel="0" collapsed="false">
      <c r="A309" s="6" t="s">
        <v>1292</v>
      </c>
      <c r="B309" s="6" t="s">
        <v>103</v>
      </c>
      <c r="C309" s="7" t="n">
        <v>44377</v>
      </c>
      <c r="D309" s="6" t="s">
        <v>380</v>
      </c>
      <c r="E309" s="6" t="s">
        <v>381</v>
      </c>
      <c r="F309" s="6" t="s">
        <v>1289</v>
      </c>
      <c r="G309" s="6" t="s">
        <v>1293</v>
      </c>
      <c r="H309" s="9" t="n">
        <v>-27469</v>
      </c>
      <c r="K309" s="6" t="s">
        <v>384</v>
      </c>
      <c r="L309" s="6" t="s">
        <v>13</v>
      </c>
      <c r="M309" s="6" t="s">
        <v>100</v>
      </c>
      <c r="N309" s="6" t="s">
        <v>1294</v>
      </c>
      <c r="O309" s="6"/>
      <c r="P309" s="6"/>
    </row>
    <row r="310" customFormat="false" ht="15" hidden="false" customHeight="false" outlineLevel="0" collapsed="false">
      <c r="A310" s="6" t="s">
        <v>1295</v>
      </c>
      <c r="B310" s="6" t="s">
        <v>391</v>
      </c>
      <c r="C310" s="7" t="n">
        <v>44377</v>
      </c>
      <c r="D310" s="6" t="s">
        <v>392</v>
      </c>
      <c r="E310" s="6" t="s">
        <v>381</v>
      </c>
      <c r="F310" s="6" t="s">
        <v>1289</v>
      </c>
      <c r="G310" s="6" t="s">
        <v>1296</v>
      </c>
      <c r="H310" s="9" t="n">
        <v>-65316</v>
      </c>
      <c r="K310" s="6" t="s">
        <v>384</v>
      </c>
      <c r="L310" s="6" t="s">
        <v>13</v>
      </c>
      <c r="M310" s="6" t="s">
        <v>100</v>
      </c>
      <c r="N310" s="6" t="s">
        <v>1297</v>
      </c>
      <c r="O310" s="6"/>
      <c r="P310" s="6"/>
    </row>
    <row r="311" customFormat="false" ht="15" hidden="false" customHeight="false" outlineLevel="0" collapsed="false">
      <c r="A311" s="6" t="s">
        <v>1298</v>
      </c>
      <c r="B311" s="6" t="s">
        <v>111</v>
      </c>
      <c r="C311" s="7" t="n">
        <v>44469</v>
      </c>
      <c r="D311" s="6" t="s">
        <v>380</v>
      </c>
      <c r="E311" s="6" t="s">
        <v>381</v>
      </c>
      <c r="F311" s="6" t="s">
        <v>1289</v>
      </c>
      <c r="G311" s="6" t="s">
        <v>1299</v>
      </c>
      <c r="H311" s="9" t="n">
        <v>-29211</v>
      </c>
      <c r="K311" s="6" t="s">
        <v>384</v>
      </c>
      <c r="L311" s="6" t="s">
        <v>13</v>
      </c>
      <c r="M311" s="6" t="s">
        <v>109</v>
      </c>
      <c r="N311" s="6" t="s">
        <v>1300</v>
      </c>
      <c r="O311" s="6"/>
      <c r="P311" s="6"/>
    </row>
    <row r="312" customFormat="false" ht="15" hidden="false" customHeight="false" outlineLevel="0" collapsed="false">
      <c r="A312" s="6" t="s">
        <v>1301</v>
      </c>
      <c r="B312" s="6" t="s">
        <v>399</v>
      </c>
      <c r="C312" s="7" t="n">
        <v>44469</v>
      </c>
      <c r="D312" s="6" t="s">
        <v>400</v>
      </c>
      <c r="E312" s="6" t="s">
        <v>381</v>
      </c>
      <c r="F312" s="6" t="s">
        <v>1289</v>
      </c>
      <c r="G312" s="6" t="s">
        <v>1302</v>
      </c>
      <c r="H312" s="9" t="n">
        <v>-94527</v>
      </c>
      <c r="K312" s="6" t="s">
        <v>384</v>
      </c>
      <c r="L312" s="6" t="s">
        <v>13</v>
      </c>
      <c r="M312" s="6" t="s">
        <v>109</v>
      </c>
      <c r="N312" s="6" t="s">
        <v>1303</v>
      </c>
      <c r="O312" s="6"/>
      <c r="P312" s="6"/>
    </row>
    <row r="313" customFormat="false" ht="15" hidden="false" customHeight="false" outlineLevel="0" collapsed="false">
      <c r="A313" s="6" t="s">
        <v>1304</v>
      </c>
      <c r="B313" s="6" t="s">
        <v>116</v>
      </c>
      <c r="C313" s="7" t="n">
        <v>44561</v>
      </c>
      <c r="D313" s="6" t="s">
        <v>380</v>
      </c>
      <c r="E313" s="6" t="s">
        <v>381</v>
      </c>
      <c r="F313" s="6" t="s">
        <v>1289</v>
      </c>
      <c r="G313" s="6" t="s">
        <v>1305</v>
      </c>
      <c r="H313" s="9" t="n">
        <v>-31598</v>
      </c>
      <c r="K313" s="6" t="s">
        <v>384</v>
      </c>
      <c r="L313" s="6" t="s">
        <v>13</v>
      </c>
      <c r="M313" s="6" t="s">
        <v>114</v>
      </c>
      <c r="N313" s="6" t="s">
        <v>1306</v>
      </c>
      <c r="O313" s="6"/>
      <c r="P313" s="6"/>
    </row>
    <row r="314" customFormat="false" ht="15" hidden="false" customHeight="false" outlineLevel="0" collapsed="false">
      <c r="A314" s="6" t="s">
        <v>1307</v>
      </c>
      <c r="B314" s="6" t="s">
        <v>212</v>
      </c>
      <c r="C314" s="7" t="n">
        <v>44561</v>
      </c>
      <c r="D314" s="6" t="s">
        <v>407</v>
      </c>
      <c r="E314" s="6" t="s">
        <v>381</v>
      </c>
      <c r="F314" s="6" t="s">
        <v>1289</v>
      </c>
      <c r="G314" s="6" t="s">
        <v>1308</v>
      </c>
      <c r="H314" s="9" t="n">
        <v>-126125</v>
      </c>
      <c r="K314" s="6" t="s">
        <v>384</v>
      </c>
      <c r="L314" s="6" t="s">
        <v>13</v>
      </c>
      <c r="M314" s="6" t="s">
        <v>114</v>
      </c>
      <c r="N314" s="6" t="s">
        <v>1309</v>
      </c>
      <c r="O314" s="6"/>
      <c r="P314" s="6"/>
    </row>
    <row r="315" customFormat="false" ht="15" hidden="false" customHeight="false" outlineLevel="0" collapsed="false">
      <c r="A315" s="6" t="s">
        <v>1310</v>
      </c>
      <c r="B315" s="6" t="s">
        <v>121</v>
      </c>
      <c r="C315" s="7" t="n">
        <v>44651</v>
      </c>
      <c r="D315" s="6" t="s">
        <v>380</v>
      </c>
      <c r="E315" s="6" t="s">
        <v>381</v>
      </c>
      <c r="F315" s="6" t="s">
        <v>1289</v>
      </c>
      <c r="G315" s="6" t="s">
        <v>1311</v>
      </c>
      <c r="H315" s="9" t="n">
        <v>-67496</v>
      </c>
      <c r="K315" s="6" t="s">
        <v>384</v>
      </c>
      <c r="L315" s="6" t="s">
        <v>13</v>
      </c>
      <c r="M315" s="6" t="s">
        <v>119</v>
      </c>
      <c r="N315" s="6" t="s">
        <v>1312</v>
      </c>
      <c r="O315" s="6"/>
      <c r="P315" s="6"/>
    </row>
    <row r="316" customFormat="false" ht="15" hidden="false" customHeight="false" outlineLevel="0" collapsed="false">
      <c r="A316" s="6" t="s">
        <v>1313</v>
      </c>
      <c r="B316" s="6" t="s">
        <v>126</v>
      </c>
      <c r="C316" s="7" t="n">
        <v>44742</v>
      </c>
      <c r="D316" s="6" t="s">
        <v>380</v>
      </c>
      <c r="E316" s="6" t="s">
        <v>381</v>
      </c>
      <c r="F316" s="6" t="s">
        <v>1289</v>
      </c>
      <c r="G316" s="6" t="s">
        <v>1314</v>
      </c>
      <c r="H316" s="9" t="n">
        <v>-46180</v>
      </c>
      <c r="K316" s="6" t="s">
        <v>384</v>
      </c>
      <c r="L316" s="6" t="s">
        <v>13</v>
      </c>
      <c r="M316" s="6" t="s">
        <v>124</v>
      </c>
      <c r="N316" s="6" t="s">
        <v>1315</v>
      </c>
      <c r="O316" s="6"/>
      <c r="P316" s="6"/>
    </row>
    <row r="317" customFormat="false" ht="15" hidden="false" customHeight="false" outlineLevel="0" collapsed="false">
      <c r="A317" s="6" t="s">
        <v>1316</v>
      </c>
      <c r="B317" s="6" t="s">
        <v>417</v>
      </c>
      <c r="C317" s="7" t="n">
        <v>44742</v>
      </c>
      <c r="D317" s="6" t="s">
        <v>392</v>
      </c>
      <c r="E317" s="6" t="s">
        <v>381</v>
      </c>
      <c r="F317" s="6" t="s">
        <v>1289</v>
      </c>
      <c r="G317" s="6" t="s">
        <v>1317</v>
      </c>
      <c r="H317" s="9" t="n">
        <v>-113676</v>
      </c>
      <c r="K317" s="6" t="s">
        <v>384</v>
      </c>
      <c r="L317" s="6" t="s">
        <v>13</v>
      </c>
      <c r="M317" s="6" t="s">
        <v>124</v>
      </c>
      <c r="N317" s="6" t="s">
        <v>1318</v>
      </c>
      <c r="O317" s="6"/>
      <c r="P317" s="6"/>
    </row>
    <row r="318" customFormat="false" ht="15" hidden="false" customHeight="false" outlineLevel="0" collapsed="false">
      <c r="A318" s="6" t="s">
        <v>1319</v>
      </c>
      <c r="B318" s="6" t="s">
        <v>131</v>
      </c>
      <c r="C318" s="7" t="n">
        <v>44834</v>
      </c>
      <c r="D318" s="6" t="s">
        <v>380</v>
      </c>
      <c r="E318" s="6" t="s">
        <v>381</v>
      </c>
      <c r="F318" s="6" t="s">
        <v>1289</v>
      </c>
      <c r="G318" s="6" t="s">
        <v>1320</v>
      </c>
      <c r="H318" s="9" t="n">
        <v>-28239</v>
      </c>
      <c r="K318" s="6" t="s">
        <v>384</v>
      </c>
      <c r="L318" s="6" t="s">
        <v>13</v>
      </c>
      <c r="M318" s="6" t="s">
        <v>129</v>
      </c>
      <c r="N318" s="6" t="s">
        <v>1321</v>
      </c>
      <c r="O318" s="6"/>
      <c r="P318" s="6"/>
    </row>
    <row r="319" customFormat="false" ht="15" hidden="false" customHeight="false" outlineLevel="0" collapsed="false">
      <c r="A319" s="6" t="s">
        <v>1322</v>
      </c>
      <c r="B319" s="6" t="s">
        <v>424</v>
      </c>
      <c r="C319" s="7" t="n">
        <v>44834</v>
      </c>
      <c r="D319" s="6" t="s">
        <v>400</v>
      </c>
      <c r="E319" s="6" t="s">
        <v>381</v>
      </c>
      <c r="F319" s="6" t="s">
        <v>1289</v>
      </c>
      <c r="G319" s="6" t="s">
        <v>1323</v>
      </c>
      <c r="H319" s="9" t="n">
        <v>-141915</v>
      </c>
      <c r="K319" s="6" t="s">
        <v>384</v>
      </c>
      <c r="L319" s="6" t="s">
        <v>13</v>
      </c>
      <c r="M319" s="6" t="s">
        <v>129</v>
      </c>
      <c r="N319" s="6" t="s">
        <v>1324</v>
      </c>
      <c r="O319" s="6"/>
      <c r="P319" s="6"/>
    </row>
    <row r="320" customFormat="false" ht="15" hidden="false" customHeight="false" outlineLevel="0" collapsed="false">
      <c r="A320" s="6" t="s">
        <v>1325</v>
      </c>
      <c r="B320" s="6" t="s">
        <v>136</v>
      </c>
      <c r="C320" s="7" t="n">
        <v>44926</v>
      </c>
      <c r="D320" s="6" t="s">
        <v>380</v>
      </c>
      <c r="E320" s="6" t="s">
        <v>381</v>
      </c>
      <c r="F320" s="6" t="s">
        <v>1289</v>
      </c>
      <c r="G320" s="6" t="s">
        <v>1326</v>
      </c>
      <c r="H320" s="9" t="n">
        <v>-10100</v>
      </c>
      <c r="K320" s="6" t="s">
        <v>384</v>
      </c>
      <c r="L320" s="6" t="s">
        <v>13</v>
      </c>
      <c r="M320" s="6" t="s">
        <v>134</v>
      </c>
      <c r="N320" s="6" t="s">
        <v>1327</v>
      </c>
      <c r="O320" s="6"/>
      <c r="P320" s="6"/>
    </row>
    <row r="321" customFormat="false" ht="15" hidden="false" customHeight="false" outlineLevel="0" collapsed="false">
      <c r="A321" s="6" t="s">
        <v>1328</v>
      </c>
      <c r="B321" s="6" t="s">
        <v>220</v>
      </c>
      <c r="C321" s="7" t="n">
        <v>44926</v>
      </c>
      <c r="D321" s="6" t="s">
        <v>407</v>
      </c>
      <c r="E321" s="6" t="s">
        <v>381</v>
      </c>
      <c r="F321" s="6" t="s">
        <v>1289</v>
      </c>
      <c r="G321" s="6" t="s">
        <v>1329</v>
      </c>
      <c r="H321" s="9" t="n">
        <v>-152015</v>
      </c>
      <c r="K321" s="6" t="s">
        <v>384</v>
      </c>
      <c r="L321" s="6" t="s">
        <v>13</v>
      </c>
      <c r="M321" s="6" t="s">
        <v>134</v>
      </c>
      <c r="N321" s="6" t="s">
        <v>1330</v>
      </c>
      <c r="O321" s="6"/>
      <c r="P321" s="6"/>
    </row>
    <row r="322" customFormat="false" ht="15" hidden="false" customHeight="false" outlineLevel="0" collapsed="false">
      <c r="A322" s="6" t="s">
        <v>1331</v>
      </c>
      <c r="B322" s="6" t="s">
        <v>141</v>
      </c>
      <c r="C322" s="7" t="n">
        <v>45016</v>
      </c>
      <c r="D322" s="6" t="s">
        <v>380</v>
      </c>
      <c r="E322" s="6" t="s">
        <v>381</v>
      </c>
      <c r="F322" s="6" t="s">
        <v>1289</v>
      </c>
      <c r="G322" s="6" t="s">
        <v>1332</v>
      </c>
      <c r="H322" s="9" t="n">
        <v>-22752</v>
      </c>
      <c r="K322" s="6" t="s">
        <v>384</v>
      </c>
      <c r="L322" s="6" t="s">
        <v>13</v>
      </c>
      <c r="M322" s="6" t="s">
        <v>139</v>
      </c>
      <c r="N322" s="6" t="s">
        <v>1333</v>
      </c>
      <c r="O322" s="6"/>
      <c r="P322" s="6"/>
    </row>
    <row r="323" customFormat="false" ht="15" hidden="false" customHeight="false" outlineLevel="0" collapsed="false">
      <c r="A323" s="6" t="s">
        <v>1334</v>
      </c>
      <c r="B323" s="6" t="s">
        <v>146</v>
      </c>
      <c r="C323" s="7" t="n">
        <v>45107</v>
      </c>
      <c r="D323" s="6" t="s">
        <v>380</v>
      </c>
      <c r="E323" s="6" t="s">
        <v>381</v>
      </c>
      <c r="F323" s="6" t="s">
        <v>1289</v>
      </c>
      <c r="G323" s="6" t="s">
        <v>1335</v>
      </c>
      <c r="H323" s="9" t="n">
        <v>-12167</v>
      </c>
      <c r="K323" s="6" t="s">
        <v>384</v>
      </c>
      <c r="L323" s="6" t="s">
        <v>13</v>
      </c>
      <c r="M323" s="6" t="s">
        <v>144</v>
      </c>
      <c r="N323" s="6" t="s">
        <v>1336</v>
      </c>
      <c r="O323" s="6"/>
      <c r="P323" s="6"/>
    </row>
    <row r="324" customFormat="false" ht="15" hidden="false" customHeight="false" outlineLevel="0" collapsed="false">
      <c r="A324" s="6" t="s">
        <v>1337</v>
      </c>
      <c r="B324" s="6" t="s">
        <v>440</v>
      </c>
      <c r="C324" s="7" t="n">
        <v>45107</v>
      </c>
      <c r="D324" s="6" t="s">
        <v>392</v>
      </c>
      <c r="E324" s="6" t="s">
        <v>381</v>
      </c>
      <c r="F324" s="6" t="s">
        <v>1289</v>
      </c>
      <c r="G324" s="6" t="s">
        <v>1338</v>
      </c>
      <c r="H324" s="9" t="n">
        <v>-34919</v>
      </c>
      <c r="K324" s="6" t="s">
        <v>384</v>
      </c>
      <c r="L324" s="6" t="s">
        <v>13</v>
      </c>
      <c r="M324" s="6" t="s">
        <v>144</v>
      </c>
      <c r="N324" s="6" t="s">
        <v>1339</v>
      </c>
      <c r="O324" s="6"/>
      <c r="P324" s="6"/>
    </row>
    <row r="325" customFormat="false" ht="15" hidden="false" customHeight="false" outlineLevel="0" collapsed="false">
      <c r="A325" s="6" t="s">
        <v>1340</v>
      </c>
      <c r="B325" s="6" t="s">
        <v>151</v>
      </c>
      <c r="C325" s="7" t="n">
        <v>45199</v>
      </c>
      <c r="D325" s="6" t="s">
        <v>380</v>
      </c>
      <c r="E325" s="6" t="s">
        <v>381</v>
      </c>
      <c r="F325" s="6" t="s">
        <v>1289</v>
      </c>
      <c r="G325" s="6" t="s">
        <v>1341</v>
      </c>
      <c r="H325" s="9" t="n">
        <v>-2521</v>
      </c>
      <c r="K325" s="6" t="s">
        <v>384</v>
      </c>
      <c r="L325" s="6" t="s">
        <v>13</v>
      </c>
      <c r="M325" s="6" t="s">
        <v>149</v>
      </c>
      <c r="N325" s="6" t="s">
        <v>1342</v>
      </c>
      <c r="O325" s="6"/>
      <c r="P325" s="6"/>
    </row>
    <row r="326" customFormat="false" ht="15" hidden="false" customHeight="false" outlineLevel="0" collapsed="false">
      <c r="A326" s="6" t="s">
        <v>1343</v>
      </c>
      <c r="B326" s="6" t="s">
        <v>447</v>
      </c>
      <c r="C326" s="7" t="n">
        <v>45199</v>
      </c>
      <c r="D326" s="6" t="s">
        <v>400</v>
      </c>
      <c r="E326" s="6" t="s">
        <v>381</v>
      </c>
      <c r="F326" s="6" t="s">
        <v>1289</v>
      </c>
      <c r="G326" s="6" t="s">
        <v>1344</v>
      </c>
      <c r="H326" s="9" t="n">
        <v>-37440</v>
      </c>
      <c r="K326" s="6" t="s">
        <v>384</v>
      </c>
      <c r="L326" s="6" t="s">
        <v>13</v>
      </c>
      <c r="M326" s="6" t="s">
        <v>149</v>
      </c>
      <c r="N326" s="6" t="s">
        <v>1345</v>
      </c>
      <c r="O326" s="6"/>
      <c r="P326" s="6"/>
    </row>
    <row r="327" customFormat="false" ht="15" hidden="false" customHeight="false" outlineLevel="0" collapsed="false">
      <c r="A327" s="6" t="s">
        <v>1346</v>
      </c>
      <c r="B327" s="6" t="s">
        <v>156</v>
      </c>
      <c r="C327" s="7" t="n">
        <v>45291</v>
      </c>
      <c r="D327" s="6" t="s">
        <v>380</v>
      </c>
      <c r="E327" s="6" t="s">
        <v>381</v>
      </c>
      <c r="F327" s="6" t="s">
        <v>1289</v>
      </c>
      <c r="G327" s="6" t="s">
        <v>1347</v>
      </c>
      <c r="H327" s="9" t="n">
        <v>-1145</v>
      </c>
      <c r="K327" s="6" t="s">
        <v>384</v>
      </c>
      <c r="L327" s="6" t="s">
        <v>13</v>
      </c>
      <c r="M327" s="6" t="s">
        <v>154</v>
      </c>
      <c r="N327" s="6" t="s">
        <v>1348</v>
      </c>
      <c r="O327" s="6"/>
      <c r="P327" s="6"/>
    </row>
    <row r="328" customFormat="false" ht="15" hidden="false" customHeight="false" outlineLevel="0" collapsed="false">
      <c r="A328" s="6" t="s">
        <v>1349</v>
      </c>
      <c r="B328" s="6" t="s">
        <v>225</v>
      </c>
      <c r="C328" s="7" t="n">
        <v>45291</v>
      </c>
      <c r="D328" s="6" t="s">
        <v>407</v>
      </c>
      <c r="E328" s="6" t="s">
        <v>381</v>
      </c>
      <c r="F328" s="6" t="s">
        <v>1289</v>
      </c>
      <c r="G328" s="6" t="s">
        <v>1350</v>
      </c>
      <c r="H328" s="9" t="n">
        <v>-38585</v>
      </c>
      <c r="K328" s="6" t="s">
        <v>384</v>
      </c>
      <c r="L328" s="6" t="s">
        <v>13</v>
      </c>
      <c r="M328" s="6" t="s">
        <v>154</v>
      </c>
      <c r="N328" s="6" t="s">
        <v>1351</v>
      </c>
      <c r="O328" s="6"/>
      <c r="P328" s="6"/>
    </row>
    <row r="329" customFormat="false" ht="15" hidden="false" customHeight="false" outlineLevel="0" collapsed="false">
      <c r="A329" s="6" t="s">
        <v>1352</v>
      </c>
      <c r="B329" s="6" t="s">
        <v>161</v>
      </c>
      <c r="C329" s="7" t="n">
        <v>45382</v>
      </c>
      <c r="D329" s="6" t="s">
        <v>380</v>
      </c>
      <c r="E329" s="6" t="s">
        <v>381</v>
      </c>
      <c r="F329" s="6" t="s">
        <v>1289</v>
      </c>
      <c r="G329" s="6" t="s">
        <v>1353</v>
      </c>
      <c r="H329" s="9" t="n">
        <v>-5022</v>
      </c>
      <c r="K329" s="6" t="s">
        <v>384</v>
      </c>
      <c r="L329" s="6" t="s">
        <v>13</v>
      </c>
      <c r="M329" s="6" t="s">
        <v>159</v>
      </c>
      <c r="N329" s="6" t="s">
        <v>1354</v>
      </c>
      <c r="O329" s="6"/>
      <c r="P329" s="6"/>
    </row>
    <row r="330" customFormat="false" ht="15" hidden="false" customHeight="false" outlineLevel="0" collapsed="false">
      <c r="A330" s="6" t="s">
        <v>1355</v>
      </c>
      <c r="B330" s="6" t="s">
        <v>166</v>
      </c>
      <c r="C330" s="7" t="n">
        <v>45473</v>
      </c>
      <c r="D330" s="6" t="s">
        <v>380</v>
      </c>
      <c r="E330" s="6" t="s">
        <v>381</v>
      </c>
      <c r="F330" s="6" t="s">
        <v>1289</v>
      </c>
      <c r="G330" s="6" t="s">
        <v>1356</v>
      </c>
      <c r="H330" s="9" t="n">
        <v>1794</v>
      </c>
      <c r="K330" s="6" t="s">
        <v>384</v>
      </c>
      <c r="L330" s="6" t="s">
        <v>13</v>
      </c>
      <c r="M330" s="6" t="s">
        <v>164</v>
      </c>
      <c r="N330" s="6" t="s">
        <v>1357</v>
      </c>
      <c r="O330" s="6"/>
      <c r="P330" s="6"/>
    </row>
    <row r="331" customFormat="false" ht="15" hidden="false" customHeight="false" outlineLevel="0" collapsed="false">
      <c r="A331" s="6" t="s">
        <v>1358</v>
      </c>
      <c r="B331" s="6" t="s">
        <v>241</v>
      </c>
      <c r="C331" s="7" t="n">
        <v>45473</v>
      </c>
      <c r="D331" s="6" t="s">
        <v>392</v>
      </c>
      <c r="E331" s="6" t="s">
        <v>381</v>
      </c>
      <c r="F331" s="6" t="s">
        <v>1289</v>
      </c>
      <c r="G331" s="6" t="s">
        <v>1359</v>
      </c>
      <c r="H331" s="9" t="n">
        <v>-3228</v>
      </c>
      <c r="K331" s="6" t="s">
        <v>384</v>
      </c>
      <c r="L331" s="6" t="s">
        <v>13</v>
      </c>
      <c r="M331" s="6" t="s">
        <v>164</v>
      </c>
      <c r="N331" s="6" t="s">
        <v>1360</v>
      </c>
      <c r="O331" s="6"/>
      <c r="P331" s="6"/>
    </row>
    <row r="332" customFormat="false" ht="15" hidden="false" customHeight="false" outlineLevel="0" collapsed="false">
      <c r="A332" s="6" t="s">
        <v>1361</v>
      </c>
      <c r="B332" s="6" t="s">
        <v>171</v>
      </c>
      <c r="C332" s="7" t="n">
        <v>45565</v>
      </c>
      <c r="D332" s="6" t="s">
        <v>380</v>
      </c>
      <c r="E332" s="6" t="s">
        <v>381</v>
      </c>
      <c r="F332" s="6" t="s">
        <v>1289</v>
      </c>
      <c r="G332" s="6" t="s">
        <v>1362</v>
      </c>
      <c r="H332" s="9" t="n">
        <v>-27402</v>
      </c>
      <c r="K332" s="6" t="s">
        <v>384</v>
      </c>
      <c r="L332" s="6" t="s">
        <v>13</v>
      </c>
      <c r="M332" s="6" t="s">
        <v>169</v>
      </c>
      <c r="N332" s="6" t="s">
        <v>1363</v>
      </c>
      <c r="O332" s="6"/>
      <c r="P332" s="6"/>
    </row>
    <row r="333" customFormat="false" ht="15" hidden="false" customHeight="false" outlineLevel="0" collapsed="false">
      <c r="A333" s="6" t="s">
        <v>1364</v>
      </c>
      <c r="B333" s="6" t="s">
        <v>469</v>
      </c>
      <c r="C333" s="7" t="n">
        <v>45565</v>
      </c>
      <c r="D333" s="6" t="s">
        <v>400</v>
      </c>
      <c r="E333" s="6" t="s">
        <v>381</v>
      </c>
      <c r="F333" s="6" t="s">
        <v>1289</v>
      </c>
      <c r="G333" s="6" t="s">
        <v>1365</v>
      </c>
      <c r="H333" s="9" t="n">
        <v>-30630</v>
      </c>
      <c r="K333" s="6" t="s">
        <v>384</v>
      </c>
      <c r="L333" s="6" t="s">
        <v>13</v>
      </c>
      <c r="M333" s="6" t="s">
        <v>169</v>
      </c>
      <c r="N333" s="6" t="s">
        <v>1366</v>
      </c>
      <c r="O333" s="6"/>
      <c r="P333" s="6"/>
    </row>
    <row r="334" customFormat="false" ht="15" hidden="false" customHeight="false" outlineLevel="0" collapsed="false">
      <c r="A334" s="6" t="s">
        <v>1367</v>
      </c>
      <c r="B334" s="6" t="s">
        <v>176</v>
      </c>
      <c r="C334" s="7" t="n">
        <v>45657</v>
      </c>
      <c r="D334" s="6" t="s">
        <v>380</v>
      </c>
      <c r="E334" s="6" t="s">
        <v>381</v>
      </c>
      <c r="F334" s="6" t="s">
        <v>1289</v>
      </c>
      <c r="G334" s="6" t="s">
        <v>1368</v>
      </c>
      <c r="H334" s="9" t="n">
        <v>9596</v>
      </c>
      <c r="K334" s="6" t="s">
        <v>384</v>
      </c>
      <c r="L334" s="6" t="s">
        <v>13</v>
      </c>
      <c r="M334" s="6" t="s">
        <v>174</v>
      </c>
      <c r="N334" s="6" t="s">
        <v>1369</v>
      </c>
      <c r="O334" s="6"/>
      <c r="P334" s="6"/>
    </row>
    <row r="335" customFormat="false" ht="15" hidden="false" customHeight="false" outlineLevel="0" collapsed="false">
      <c r="A335" s="6" t="s">
        <v>1370</v>
      </c>
      <c r="B335" s="6" t="s">
        <v>230</v>
      </c>
      <c r="C335" s="7" t="n">
        <v>45657</v>
      </c>
      <c r="D335" s="6" t="s">
        <v>407</v>
      </c>
      <c r="E335" s="6" t="s">
        <v>381</v>
      </c>
      <c r="F335" s="6" t="s">
        <v>1289</v>
      </c>
      <c r="G335" s="6" t="s">
        <v>1371</v>
      </c>
      <c r="H335" s="9" t="n">
        <v>-21034</v>
      </c>
      <c r="K335" s="6" t="s">
        <v>384</v>
      </c>
      <c r="L335" s="6" t="s">
        <v>13</v>
      </c>
      <c r="M335" s="6" t="s">
        <v>174</v>
      </c>
      <c r="N335" s="6" t="s">
        <v>1372</v>
      </c>
      <c r="O335" s="6"/>
      <c r="P335" s="6"/>
    </row>
    <row r="336" customFormat="false" ht="15" hidden="false" customHeight="false" outlineLevel="0" collapsed="false">
      <c r="A336" s="6" t="s">
        <v>1373</v>
      </c>
      <c r="B336" s="6" t="s">
        <v>181</v>
      </c>
      <c r="C336" s="7" t="n">
        <v>45747</v>
      </c>
      <c r="D336" s="6" t="s">
        <v>380</v>
      </c>
      <c r="E336" s="6" t="s">
        <v>381</v>
      </c>
      <c r="F336" s="6" t="s">
        <v>1289</v>
      </c>
      <c r="G336" s="6" t="s">
        <v>1374</v>
      </c>
      <c r="H336" s="9" t="n">
        <v>9796</v>
      </c>
      <c r="K336" s="6" t="s">
        <v>384</v>
      </c>
      <c r="L336" s="6" t="s">
        <v>13</v>
      </c>
      <c r="M336" s="6" t="s">
        <v>179</v>
      </c>
      <c r="N336" s="6" t="s">
        <v>1375</v>
      </c>
      <c r="O336" s="6"/>
      <c r="P336" s="6"/>
    </row>
    <row r="337" customFormat="false" ht="15" hidden="false" customHeight="false" outlineLevel="0" collapsed="false">
      <c r="A337" s="6" t="s">
        <v>1376</v>
      </c>
      <c r="B337" s="6" t="s">
        <v>186</v>
      </c>
      <c r="C337" s="7" t="n">
        <v>45838</v>
      </c>
      <c r="D337" s="6" t="s">
        <v>380</v>
      </c>
      <c r="E337" s="6" t="s">
        <v>381</v>
      </c>
      <c r="F337" s="6" t="s">
        <v>1289</v>
      </c>
      <c r="G337" s="6" t="s">
        <v>1377</v>
      </c>
      <c r="H337" s="9" t="n">
        <v>-11551</v>
      </c>
      <c r="K337" s="6" t="s">
        <v>384</v>
      </c>
      <c r="L337" s="6" t="s">
        <v>13</v>
      </c>
      <c r="M337" s="6" t="s">
        <v>184</v>
      </c>
      <c r="N337" s="6" t="s">
        <v>1378</v>
      </c>
      <c r="O337" s="6"/>
      <c r="P337" s="6"/>
    </row>
    <row r="338" customFormat="false" ht="15" hidden="false" customHeight="false" outlineLevel="0" collapsed="false">
      <c r="A338" s="6" t="s">
        <v>1379</v>
      </c>
      <c r="B338" s="6" t="s">
        <v>255</v>
      </c>
      <c r="C338" s="7" t="n">
        <v>45838</v>
      </c>
      <c r="D338" s="6" t="s">
        <v>392</v>
      </c>
      <c r="E338" s="6" t="s">
        <v>381</v>
      </c>
      <c r="F338" s="6" t="s">
        <v>1289</v>
      </c>
      <c r="G338" s="6" t="s">
        <v>1380</v>
      </c>
      <c r="H338" s="9" t="n">
        <v>-1755</v>
      </c>
      <c r="K338" s="6" t="s">
        <v>384</v>
      </c>
      <c r="L338" s="6" t="s">
        <v>13</v>
      </c>
      <c r="M338" s="6" t="s">
        <v>184</v>
      </c>
      <c r="N338" s="6" t="s">
        <v>1381</v>
      </c>
      <c r="O338" s="6"/>
      <c r="P338" s="6"/>
    </row>
    <row r="339" customFormat="false" ht="15" hidden="false" customHeight="false" outlineLevel="0" collapsed="false">
      <c r="A339" s="6" t="s">
        <v>1382</v>
      </c>
      <c r="B339" s="6" t="s">
        <v>191</v>
      </c>
      <c r="C339" s="7" t="n">
        <v>45930</v>
      </c>
      <c r="D339" s="6" t="s">
        <v>380</v>
      </c>
      <c r="E339" s="6" t="s">
        <v>381</v>
      </c>
      <c r="F339" s="6" t="s">
        <v>1289</v>
      </c>
      <c r="G339" s="6" t="s">
        <v>1383</v>
      </c>
      <c r="H339" s="9" t="n">
        <v>-2378</v>
      </c>
      <c r="K339" s="6" t="s">
        <v>384</v>
      </c>
      <c r="L339" s="6" t="s">
        <v>13</v>
      </c>
      <c r="M339" s="6" t="s">
        <v>189</v>
      </c>
      <c r="N339" s="6" t="s">
        <v>1384</v>
      </c>
      <c r="O339" s="6"/>
      <c r="P339" s="6"/>
    </row>
    <row r="340" customFormat="false" ht="15" hidden="false" customHeight="false" outlineLevel="0" collapsed="false">
      <c r="A340" s="6" t="s">
        <v>1385</v>
      </c>
      <c r="B340" s="6" t="s">
        <v>491</v>
      </c>
      <c r="C340" s="7" t="n">
        <v>45930</v>
      </c>
      <c r="D340" s="6" t="s">
        <v>400</v>
      </c>
      <c r="E340" s="6" t="s">
        <v>381</v>
      </c>
      <c r="F340" s="6" t="s">
        <v>1289</v>
      </c>
      <c r="G340" s="6" t="s">
        <v>1386</v>
      </c>
      <c r="H340" s="9" t="n">
        <v>-4133</v>
      </c>
      <c r="K340" s="6" t="s">
        <v>384</v>
      </c>
      <c r="L340" s="6" t="s">
        <v>13</v>
      </c>
      <c r="M340" s="6" t="s">
        <v>189</v>
      </c>
      <c r="N340" s="6" t="s">
        <v>1387</v>
      </c>
      <c r="O340" s="6"/>
      <c r="P340" s="6"/>
    </row>
    <row r="341" customFormat="false" ht="15" hidden="false" customHeight="false" outlineLevel="0" collapsed="false">
      <c r="A341" s="6" t="s">
        <v>1388</v>
      </c>
      <c r="B341" s="6" t="s">
        <v>196</v>
      </c>
      <c r="C341" s="7" t="n">
        <v>46022</v>
      </c>
      <c r="D341" s="6" t="s">
        <v>380</v>
      </c>
      <c r="E341" s="6" t="s">
        <v>381</v>
      </c>
      <c r="F341" s="6" t="s">
        <v>1289</v>
      </c>
      <c r="G341" s="6" t="s">
        <v>1389</v>
      </c>
      <c r="H341" s="9" t="n">
        <v>2385</v>
      </c>
      <c r="K341" s="6" t="s">
        <v>384</v>
      </c>
      <c r="L341" s="6" t="s">
        <v>13</v>
      </c>
      <c r="M341" s="6" t="s">
        <v>194</v>
      </c>
      <c r="N341" s="6" t="s">
        <v>1390</v>
      </c>
      <c r="O341" s="6"/>
      <c r="P341" s="6"/>
    </row>
    <row r="342" customFormat="false" ht="15" hidden="false" customHeight="false" outlineLevel="0" collapsed="false">
      <c r="A342" s="6" t="s">
        <v>1391</v>
      </c>
      <c r="B342" s="6" t="s">
        <v>235</v>
      </c>
      <c r="C342" s="7" t="n">
        <v>46022</v>
      </c>
      <c r="D342" s="6" t="s">
        <v>407</v>
      </c>
      <c r="E342" s="6" t="s">
        <v>381</v>
      </c>
      <c r="F342" s="6" t="s">
        <v>1289</v>
      </c>
      <c r="G342" s="6" t="s">
        <v>1392</v>
      </c>
      <c r="H342" s="9" t="n">
        <v>-1748</v>
      </c>
      <c r="K342" s="6" t="s">
        <v>384</v>
      </c>
      <c r="L342" s="6" t="s">
        <v>13</v>
      </c>
      <c r="M342" s="6" t="s">
        <v>194</v>
      </c>
      <c r="N342" s="6" t="s">
        <v>1393</v>
      </c>
      <c r="O342" s="6"/>
      <c r="P342" s="6"/>
    </row>
    <row r="343" customFormat="false" ht="15" hidden="false" customHeight="false" outlineLevel="0" collapsed="false">
      <c r="A343" s="6" t="s">
        <v>1394</v>
      </c>
      <c r="B343" s="6" t="s">
        <v>201</v>
      </c>
      <c r="C343" s="7" t="n">
        <v>46112</v>
      </c>
      <c r="D343" s="6" t="s">
        <v>380</v>
      </c>
      <c r="E343" s="6" t="s">
        <v>381</v>
      </c>
      <c r="F343" s="6" t="s">
        <v>1289</v>
      </c>
      <c r="G343" s="6" t="s">
        <v>1395</v>
      </c>
      <c r="H343" s="9" t="n">
        <v>19754</v>
      </c>
      <c r="K343" s="6" t="s">
        <v>384</v>
      </c>
      <c r="L343" s="6" t="s">
        <v>13</v>
      </c>
      <c r="M343" s="6" t="s">
        <v>199</v>
      </c>
      <c r="N343" s="6" t="s">
        <v>1396</v>
      </c>
      <c r="O343" s="6"/>
      <c r="P343" s="6"/>
    </row>
    <row r="344" customFormat="false" ht="15" hidden="false" customHeight="false" outlineLevel="0" collapsed="false">
      <c r="A344" s="6" t="s">
        <v>1397</v>
      </c>
      <c r="B344" s="6" t="s">
        <v>206</v>
      </c>
      <c r="C344" s="7" t="n">
        <v>46203</v>
      </c>
      <c r="D344" s="6" t="s">
        <v>380</v>
      </c>
      <c r="E344" s="6" t="s">
        <v>381</v>
      </c>
      <c r="F344" s="6" t="s">
        <v>1289</v>
      </c>
      <c r="G344" s="6" t="s">
        <v>1398</v>
      </c>
      <c r="H344" s="9" t="n">
        <v>-1544</v>
      </c>
      <c r="K344" s="6" t="s">
        <v>384</v>
      </c>
      <c r="L344" s="6" t="s">
        <v>13</v>
      </c>
      <c r="M344" s="6" t="s">
        <v>204</v>
      </c>
      <c r="N344" s="6" t="s">
        <v>1399</v>
      </c>
      <c r="O344" s="6"/>
      <c r="P344" s="6"/>
    </row>
    <row r="345" customFormat="false" ht="15" hidden="false" customHeight="false" outlineLevel="0" collapsed="false">
      <c r="A345" s="6" t="s">
        <v>1400</v>
      </c>
      <c r="B345" s="6" t="s">
        <v>263</v>
      </c>
      <c r="C345" s="7" t="n">
        <v>46203</v>
      </c>
      <c r="D345" s="6" t="s">
        <v>392</v>
      </c>
      <c r="E345" s="6" t="s">
        <v>381</v>
      </c>
      <c r="F345" s="6" t="s">
        <v>1289</v>
      </c>
      <c r="G345" s="6" t="s">
        <v>1401</v>
      </c>
      <c r="H345" s="9" t="n">
        <v>18210</v>
      </c>
      <c r="K345" s="6" t="s">
        <v>384</v>
      </c>
      <c r="L345" s="6" t="s">
        <v>13</v>
      </c>
      <c r="M345" s="6" t="s">
        <v>204</v>
      </c>
      <c r="N345" s="6" t="s">
        <v>1402</v>
      </c>
      <c r="O345" s="6"/>
      <c r="P345" s="6"/>
    </row>
    <row r="346" customFormat="false" ht="15" hidden="false" customHeight="false" outlineLevel="0" collapsed="false">
      <c r="A346" s="6" t="s">
        <v>1403</v>
      </c>
      <c r="B346" s="6" t="s">
        <v>379</v>
      </c>
      <c r="C346" s="7" t="n">
        <v>44286</v>
      </c>
      <c r="D346" s="6" t="s">
        <v>380</v>
      </c>
      <c r="E346" s="6" t="s">
        <v>381</v>
      </c>
      <c r="F346" s="6" t="s">
        <v>1404</v>
      </c>
      <c r="G346" s="6" t="s">
        <v>1405</v>
      </c>
      <c r="H346" s="10" t="n">
        <v>-0.64</v>
      </c>
      <c r="K346" s="6" t="s">
        <v>742</v>
      </c>
      <c r="L346" s="6" t="s">
        <v>13</v>
      </c>
      <c r="M346" s="6" t="s">
        <v>119</v>
      </c>
      <c r="N346" s="6" t="s">
        <v>1406</v>
      </c>
      <c r="O346" s="6"/>
      <c r="P346" s="6" t="s">
        <v>386</v>
      </c>
    </row>
    <row r="347" customFormat="false" ht="15" hidden="false" customHeight="false" outlineLevel="0" collapsed="false">
      <c r="A347" s="6" t="s">
        <v>1407</v>
      </c>
      <c r="B347" s="6" t="s">
        <v>103</v>
      </c>
      <c r="C347" s="7" t="n">
        <v>44377</v>
      </c>
      <c r="D347" s="6" t="s">
        <v>380</v>
      </c>
      <c r="E347" s="6" t="s">
        <v>381</v>
      </c>
      <c r="F347" s="6" t="s">
        <v>1404</v>
      </c>
      <c r="G347" s="6" t="s">
        <v>1408</v>
      </c>
      <c r="H347" s="10" t="n">
        <v>-0.39</v>
      </c>
      <c r="K347" s="6" t="s">
        <v>742</v>
      </c>
      <c r="L347" s="6" t="s">
        <v>13</v>
      </c>
      <c r="M347" s="6" t="s">
        <v>100</v>
      </c>
      <c r="N347" s="6" t="s">
        <v>1409</v>
      </c>
      <c r="O347" s="6"/>
      <c r="P347" s="6"/>
    </row>
    <row r="348" customFormat="false" ht="15" hidden="false" customHeight="false" outlineLevel="0" collapsed="false">
      <c r="A348" s="6" t="s">
        <v>1410</v>
      </c>
      <c r="B348" s="6" t="s">
        <v>391</v>
      </c>
      <c r="C348" s="7" t="n">
        <v>44377</v>
      </c>
      <c r="D348" s="6" t="s">
        <v>392</v>
      </c>
      <c r="E348" s="6" t="s">
        <v>381</v>
      </c>
      <c r="F348" s="6" t="s">
        <v>1404</v>
      </c>
      <c r="G348" s="6" t="s">
        <v>1411</v>
      </c>
      <c r="H348" s="10" t="n">
        <v>-0.5</v>
      </c>
      <c r="K348" s="6" t="s">
        <v>742</v>
      </c>
      <c r="L348" s="6" t="s">
        <v>13</v>
      </c>
      <c r="M348" s="6" t="s">
        <v>100</v>
      </c>
      <c r="N348" s="6" t="s">
        <v>1412</v>
      </c>
      <c r="O348" s="6"/>
      <c r="P348" s="6"/>
    </row>
    <row r="349" customFormat="false" ht="15" hidden="false" customHeight="false" outlineLevel="0" collapsed="false">
      <c r="A349" s="6" t="s">
        <v>1413</v>
      </c>
      <c r="B349" s="6" t="s">
        <v>111</v>
      </c>
      <c r="C349" s="7" t="n">
        <v>44469</v>
      </c>
      <c r="D349" s="6" t="s">
        <v>380</v>
      </c>
      <c r="E349" s="6" t="s">
        <v>381</v>
      </c>
      <c r="F349" s="6" t="s">
        <v>1404</v>
      </c>
      <c r="G349" s="6" t="s">
        <v>1414</v>
      </c>
      <c r="H349" s="10" t="n">
        <v>-0.35</v>
      </c>
      <c r="K349" s="6" t="s">
        <v>742</v>
      </c>
      <c r="L349" s="6" t="s">
        <v>13</v>
      </c>
      <c r="M349" s="6" t="s">
        <v>109</v>
      </c>
      <c r="N349" s="6" t="s">
        <v>1415</v>
      </c>
      <c r="O349" s="6"/>
      <c r="P349" s="6"/>
    </row>
    <row r="350" customFormat="false" ht="15" hidden="false" customHeight="false" outlineLevel="0" collapsed="false">
      <c r="A350" s="6" t="s">
        <v>1416</v>
      </c>
      <c r="B350" s="6" t="s">
        <v>399</v>
      </c>
      <c r="C350" s="7" t="n">
        <v>44469</v>
      </c>
      <c r="D350" s="6" t="s">
        <v>400</v>
      </c>
      <c r="E350" s="6" t="s">
        <v>381</v>
      </c>
      <c r="F350" s="6" t="s">
        <v>1404</v>
      </c>
      <c r="G350" s="6" t="s">
        <v>1417</v>
      </c>
      <c r="H350" s="10" t="n">
        <v>-0.44</v>
      </c>
      <c r="K350" s="6" t="s">
        <v>742</v>
      </c>
      <c r="L350" s="6" t="s">
        <v>13</v>
      </c>
      <c r="M350" s="6" t="s">
        <v>109</v>
      </c>
      <c r="N350" s="6" t="s">
        <v>1418</v>
      </c>
      <c r="O350" s="6"/>
      <c r="P350" s="6"/>
    </row>
    <row r="351" customFormat="false" ht="15" hidden="false" customHeight="false" outlineLevel="0" collapsed="false">
      <c r="A351" s="6" t="s">
        <v>1419</v>
      </c>
      <c r="B351" s="6" t="s">
        <v>116</v>
      </c>
      <c r="C351" s="7" t="n">
        <v>44561</v>
      </c>
      <c r="D351" s="6" t="s">
        <v>380</v>
      </c>
      <c r="E351" s="6" t="s">
        <v>381</v>
      </c>
      <c r="F351" s="6" t="s">
        <v>1404</v>
      </c>
      <c r="G351" s="6" t="s">
        <v>1420</v>
      </c>
      <c r="H351" s="10" t="n">
        <v>-0.33</v>
      </c>
      <c r="K351" s="6" t="s">
        <v>742</v>
      </c>
      <c r="L351" s="6" t="s">
        <v>13</v>
      </c>
      <c r="M351" s="6" t="s">
        <v>114</v>
      </c>
      <c r="N351" s="6" t="s">
        <v>1421</v>
      </c>
      <c r="O351" s="6"/>
      <c r="P351" s="6"/>
    </row>
    <row r="352" customFormat="false" ht="15" hidden="false" customHeight="false" outlineLevel="0" collapsed="false">
      <c r="A352" s="6" t="s">
        <v>1422</v>
      </c>
      <c r="B352" s="6" t="s">
        <v>212</v>
      </c>
      <c r="C352" s="7" t="n">
        <v>44561</v>
      </c>
      <c r="D352" s="6" t="s">
        <v>407</v>
      </c>
      <c r="E352" s="6" t="s">
        <v>381</v>
      </c>
      <c r="F352" s="6" t="s">
        <v>1404</v>
      </c>
      <c r="G352" s="6" t="s">
        <v>1423</v>
      </c>
      <c r="H352" s="10" t="n">
        <v>-0.41</v>
      </c>
      <c r="K352" s="6" t="s">
        <v>742</v>
      </c>
      <c r="L352" s="6" t="s">
        <v>13</v>
      </c>
      <c r="M352" s="6" t="s">
        <v>114</v>
      </c>
      <c r="N352" s="6" t="s">
        <v>1424</v>
      </c>
      <c r="O352" s="6"/>
      <c r="P352" s="6"/>
    </row>
    <row r="353" customFormat="false" ht="15" hidden="false" customHeight="false" outlineLevel="0" collapsed="false">
      <c r="A353" s="6" t="s">
        <v>1425</v>
      </c>
      <c r="B353" s="6" t="s">
        <v>121</v>
      </c>
      <c r="C353" s="7" t="n">
        <v>44651</v>
      </c>
      <c r="D353" s="6" t="s">
        <v>380</v>
      </c>
      <c r="E353" s="6" t="s">
        <v>381</v>
      </c>
      <c r="F353" s="6" t="s">
        <v>1404</v>
      </c>
      <c r="G353" s="6" t="s">
        <v>1426</v>
      </c>
      <c r="H353" s="10" t="n">
        <v>-0.62</v>
      </c>
      <c r="K353" s="6" t="s">
        <v>742</v>
      </c>
      <c r="L353" s="6" t="s">
        <v>13</v>
      </c>
      <c r="M353" s="6" t="s">
        <v>119</v>
      </c>
      <c r="N353" s="6" t="s">
        <v>1427</v>
      </c>
      <c r="O353" s="6"/>
      <c r="P353" s="6"/>
    </row>
    <row r="354" customFormat="false" ht="15" hidden="false" customHeight="false" outlineLevel="0" collapsed="false">
      <c r="A354" s="6" t="s">
        <v>1428</v>
      </c>
      <c r="B354" s="6" t="s">
        <v>126</v>
      </c>
      <c r="C354" s="7" t="n">
        <v>44742</v>
      </c>
      <c r="D354" s="6" t="s">
        <v>380</v>
      </c>
      <c r="E354" s="6" t="s">
        <v>381</v>
      </c>
      <c r="F354" s="6" t="s">
        <v>1404</v>
      </c>
      <c r="G354" s="6" t="s">
        <v>1429</v>
      </c>
      <c r="H354" s="10" t="n">
        <v>-0.37</v>
      </c>
      <c r="K354" s="6" t="s">
        <v>742</v>
      </c>
      <c r="L354" s="6" t="s">
        <v>13</v>
      </c>
      <c r="M354" s="6" t="s">
        <v>124</v>
      </c>
      <c r="N354" s="6" t="s">
        <v>1430</v>
      </c>
      <c r="O354" s="6"/>
      <c r="P354" s="6"/>
    </row>
    <row r="355" customFormat="false" ht="15" hidden="false" customHeight="false" outlineLevel="0" collapsed="false">
      <c r="A355" s="6" t="s">
        <v>1431</v>
      </c>
      <c r="B355" s="6" t="s">
        <v>417</v>
      </c>
      <c r="C355" s="7" t="n">
        <v>44742</v>
      </c>
      <c r="D355" s="6" t="s">
        <v>392</v>
      </c>
      <c r="E355" s="6" t="s">
        <v>381</v>
      </c>
      <c r="F355" s="6" t="s">
        <v>1404</v>
      </c>
      <c r="G355" s="6" t="s">
        <v>1432</v>
      </c>
      <c r="H355" s="10" t="n">
        <v>-0.49</v>
      </c>
      <c r="K355" s="6" t="s">
        <v>742</v>
      </c>
      <c r="L355" s="6" t="s">
        <v>13</v>
      </c>
      <c r="M355" s="6" t="s">
        <v>124</v>
      </c>
      <c r="N355" s="6" t="s">
        <v>1433</v>
      </c>
      <c r="O355" s="6"/>
      <c r="P355" s="6"/>
    </row>
    <row r="356" customFormat="false" ht="15" hidden="false" customHeight="false" outlineLevel="0" collapsed="false">
      <c r="A356" s="6" t="s">
        <v>1434</v>
      </c>
      <c r="B356" s="6" t="s">
        <v>131</v>
      </c>
      <c r="C356" s="7" t="n">
        <v>44834</v>
      </c>
      <c r="D356" s="6" t="s">
        <v>380</v>
      </c>
      <c r="E356" s="6" t="s">
        <v>381</v>
      </c>
      <c r="F356" s="6" t="s">
        <v>1404</v>
      </c>
      <c r="G356" s="6" t="s">
        <v>1435</v>
      </c>
      <c r="H356" s="10" t="n">
        <v>-0.21</v>
      </c>
      <c r="K356" s="6" t="s">
        <v>742</v>
      </c>
      <c r="L356" s="6" t="s">
        <v>13</v>
      </c>
      <c r="M356" s="6" t="s">
        <v>129</v>
      </c>
      <c r="N356" s="6" t="s">
        <v>1436</v>
      </c>
      <c r="O356" s="6"/>
      <c r="P356" s="6"/>
    </row>
    <row r="357" customFormat="false" ht="15" hidden="false" customHeight="false" outlineLevel="0" collapsed="false">
      <c r="A357" s="6" t="s">
        <v>1437</v>
      </c>
      <c r="B357" s="6" t="s">
        <v>424</v>
      </c>
      <c r="C357" s="7" t="n">
        <v>44834</v>
      </c>
      <c r="D357" s="6" t="s">
        <v>400</v>
      </c>
      <c r="E357" s="6" t="s">
        <v>381</v>
      </c>
      <c r="F357" s="6" t="s">
        <v>1404</v>
      </c>
      <c r="G357" s="6" t="s">
        <v>1438</v>
      </c>
      <c r="H357" s="10" t="n">
        <v>-0.38</v>
      </c>
      <c r="K357" s="6" t="s">
        <v>742</v>
      </c>
      <c r="L357" s="6" t="s">
        <v>13</v>
      </c>
      <c r="M357" s="6" t="s">
        <v>129</v>
      </c>
      <c r="N357" s="6" t="s">
        <v>1439</v>
      </c>
      <c r="O357" s="6"/>
      <c r="P357" s="6"/>
    </row>
    <row r="358" customFormat="false" ht="15" hidden="false" customHeight="false" outlineLevel="0" collapsed="false">
      <c r="A358" s="6" t="s">
        <v>1440</v>
      </c>
      <c r="B358" s="6" t="s">
        <v>136</v>
      </c>
      <c r="C358" s="7" t="n">
        <v>44926</v>
      </c>
      <c r="D358" s="6" t="s">
        <v>380</v>
      </c>
      <c r="E358" s="6" t="s">
        <v>381</v>
      </c>
      <c r="F358" s="6" t="s">
        <v>1404</v>
      </c>
      <c r="G358" s="6" t="s">
        <v>1441</v>
      </c>
      <c r="H358" s="10" t="n">
        <v>-0.07</v>
      </c>
      <c r="K358" s="6" t="s">
        <v>742</v>
      </c>
      <c r="L358" s="6" t="s">
        <v>13</v>
      </c>
      <c r="M358" s="6" t="s">
        <v>134</v>
      </c>
      <c r="N358" s="6" t="s">
        <v>1442</v>
      </c>
      <c r="O358" s="6"/>
      <c r="P358" s="6"/>
    </row>
    <row r="359" customFormat="false" ht="15" hidden="false" customHeight="false" outlineLevel="0" collapsed="false">
      <c r="A359" s="6" t="s">
        <v>1443</v>
      </c>
      <c r="B359" s="6" t="s">
        <v>220</v>
      </c>
      <c r="C359" s="7" t="n">
        <v>44926</v>
      </c>
      <c r="D359" s="6" t="s">
        <v>407</v>
      </c>
      <c r="E359" s="6" t="s">
        <v>381</v>
      </c>
      <c r="F359" s="6" t="s">
        <v>1404</v>
      </c>
      <c r="G359" s="6" t="s">
        <v>1444</v>
      </c>
      <c r="H359" s="10" t="n">
        <v>-0.29</v>
      </c>
      <c r="K359" s="6" t="s">
        <v>742</v>
      </c>
      <c r="L359" s="6" t="s">
        <v>13</v>
      </c>
      <c r="M359" s="6" t="s">
        <v>134</v>
      </c>
      <c r="N359" s="6" t="s">
        <v>1445</v>
      </c>
      <c r="O359" s="6"/>
      <c r="P359" s="6"/>
    </row>
    <row r="360" customFormat="false" ht="15" hidden="false" customHeight="false" outlineLevel="0" collapsed="false">
      <c r="A360" s="6" t="s">
        <v>1446</v>
      </c>
      <c r="B360" s="6" t="s">
        <v>141</v>
      </c>
      <c r="C360" s="7" t="n">
        <v>45016</v>
      </c>
      <c r="D360" s="6" t="s">
        <v>380</v>
      </c>
      <c r="E360" s="6" t="s">
        <v>381</v>
      </c>
      <c r="F360" s="6" t="s">
        <v>1404</v>
      </c>
      <c r="G360" s="6" t="s">
        <v>1447</v>
      </c>
      <c r="H360" s="10" t="n">
        <v>-0.14</v>
      </c>
      <c r="K360" s="6" t="s">
        <v>742</v>
      </c>
      <c r="L360" s="6" t="s">
        <v>13</v>
      </c>
      <c r="M360" s="6" t="s">
        <v>139</v>
      </c>
      <c r="N360" s="6" t="s">
        <v>1448</v>
      </c>
      <c r="O360" s="6"/>
      <c r="P360" s="6"/>
    </row>
    <row r="361" customFormat="false" ht="15" hidden="false" customHeight="false" outlineLevel="0" collapsed="false">
      <c r="A361" s="6" t="s">
        <v>1449</v>
      </c>
      <c r="B361" s="6" t="s">
        <v>146</v>
      </c>
      <c r="C361" s="7" t="n">
        <v>45107</v>
      </c>
      <c r="D361" s="6" t="s">
        <v>380</v>
      </c>
      <c r="E361" s="6" t="s">
        <v>381</v>
      </c>
      <c r="F361" s="6" t="s">
        <v>1404</v>
      </c>
      <c r="G361" s="6" t="s">
        <v>1441</v>
      </c>
      <c r="H361" s="10" t="n">
        <v>-0.07</v>
      </c>
      <c r="K361" s="6" t="s">
        <v>742</v>
      </c>
      <c r="L361" s="6" t="s">
        <v>13</v>
      </c>
      <c r="M361" s="6" t="s">
        <v>144</v>
      </c>
      <c r="N361" s="6" t="s">
        <v>1450</v>
      </c>
      <c r="O361" s="6"/>
      <c r="P361" s="6"/>
    </row>
    <row r="362" customFormat="false" ht="15" hidden="false" customHeight="false" outlineLevel="0" collapsed="false">
      <c r="A362" s="6" t="s">
        <v>1451</v>
      </c>
      <c r="B362" s="6" t="s">
        <v>440</v>
      </c>
      <c r="C362" s="7" t="n">
        <v>45107</v>
      </c>
      <c r="D362" s="6" t="s">
        <v>392</v>
      </c>
      <c r="E362" s="6" t="s">
        <v>381</v>
      </c>
      <c r="F362" s="6" t="s">
        <v>1404</v>
      </c>
      <c r="G362" s="6" t="s">
        <v>1452</v>
      </c>
      <c r="H362" s="10" t="n">
        <v>-0.1</v>
      </c>
      <c r="K362" s="6" t="s">
        <v>742</v>
      </c>
      <c r="L362" s="6" t="s">
        <v>13</v>
      </c>
      <c r="M362" s="6" t="s">
        <v>144</v>
      </c>
      <c r="N362" s="6" t="s">
        <v>1453</v>
      </c>
      <c r="O362" s="6"/>
      <c r="P362" s="6"/>
    </row>
    <row r="363" customFormat="false" ht="15" hidden="false" customHeight="false" outlineLevel="0" collapsed="false">
      <c r="A363" s="6" t="s">
        <v>1454</v>
      </c>
      <c r="B363" s="6" t="s">
        <v>151</v>
      </c>
      <c r="C363" s="7" t="n">
        <v>45199</v>
      </c>
      <c r="D363" s="6" t="s">
        <v>380</v>
      </c>
      <c r="E363" s="6" t="s">
        <v>381</v>
      </c>
      <c r="F363" s="6" t="s">
        <v>1404</v>
      </c>
      <c r="G363" s="6" t="s">
        <v>1455</v>
      </c>
      <c r="H363" s="10" t="n">
        <v>-0.01</v>
      </c>
      <c r="K363" s="6" t="s">
        <v>742</v>
      </c>
      <c r="L363" s="6" t="s">
        <v>13</v>
      </c>
      <c r="M363" s="6" t="s">
        <v>149</v>
      </c>
      <c r="N363" s="6" t="s">
        <v>1456</v>
      </c>
      <c r="O363" s="6"/>
      <c r="P363" s="6"/>
    </row>
    <row r="364" customFormat="false" ht="15" hidden="false" customHeight="false" outlineLevel="0" collapsed="false">
      <c r="A364" s="6" t="s">
        <v>1457</v>
      </c>
      <c r="B364" s="6" t="s">
        <v>447</v>
      </c>
      <c r="C364" s="7" t="n">
        <v>45199</v>
      </c>
      <c r="D364" s="6" t="s">
        <v>400</v>
      </c>
      <c r="E364" s="6" t="s">
        <v>381</v>
      </c>
      <c r="F364" s="6" t="s">
        <v>1404</v>
      </c>
      <c r="G364" s="6" t="s">
        <v>1441</v>
      </c>
      <c r="H364" s="10" t="n">
        <v>-0.07</v>
      </c>
      <c r="K364" s="6" t="s">
        <v>742</v>
      </c>
      <c r="L364" s="6" t="s">
        <v>13</v>
      </c>
      <c r="M364" s="6" t="s">
        <v>149</v>
      </c>
      <c r="N364" s="6" t="s">
        <v>1458</v>
      </c>
      <c r="O364" s="6"/>
      <c r="P364" s="6"/>
    </row>
    <row r="365" customFormat="false" ht="15" hidden="false" customHeight="false" outlineLevel="0" collapsed="false">
      <c r="A365" s="6" t="s">
        <v>1459</v>
      </c>
      <c r="B365" s="6" t="s">
        <v>156</v>
      </c>
      <c r="C365" s="7" t="n">
        <v>45291</v>
      </c>
      <c r="D365" s="6" t="s">
        <v>380</v>
      </c>
      <c r="E365" s="6" t="s">
        <v>381</v>
      </c>
      <c r="F365" s="6" t="s">
        <v>1404</v>
      </c>
      <c r="G365" s="6" t="s">
        <v>1455</v>
      </c>
      <c r="H365" s="10" t="n">
        <v>-0.01</v>
      </c>
      <c r="K365" s="6" t="s">
        <v>742</v>
      </c>
      <c r="L365" s="6" t="s">
        <v>13</v>
      </c>
      <c r="M365" s="6" t="s">
        <v>154</v>
      </c>
      <c r="N365" s="6" t="s">
        <v>1460</v>
      </c>
      <c r="O365" s="6"/>
      <c r="P365" s="6"/>
    </row>
    <row r="366" customFormat="false" ht="15" hidden="false" customHeight="false" outlineLevel="0" collapsed="false">
      <c r="A366" s="6" t="s">
        <v>1461</v>
      </c>
      <c r="B366" s="6" t="s">
        <v>225</v>
      </c>
      <c r="C366" s="7" t="n">
        <v>45291</v>
      </c>
      <c r="D366" s="6" t="s">
        <v>407</v>
      </c>
      <c r="E366" s="6" t="s">
        <v>381</v>
      </c>
      <c r="F366" s="6" t="s">
        <v>1404</v>
      </c>
      <c r="G366" s="6" t="s">
        <v>1462</v>
      </c>
      <c r="H366" s="10" t="n">
        <v>-0.05</v>
      </c>
      <c r="K366" s="6" t="s">
        <v>742</v>
      </c>
      <c r="L366" s="6" t="s">
        <v>13</v>
      </c>
      <c r="M366" s="6" t="s">
        <v>154</v>
      </c>
      <c r="N366" s="6" t="s">
        <v>1463</v>
      </c>
      <c r="O366" s="6"/>
      <c r="P366" s="6"/>
    </row>
    <row r="367" customFormat="false" ht="15" hidden="false" customHeight="false" outlineLevel="0" collapsed="false">
      <c r="A367" s="6" t="s">
        <v>1464</v>
      </c>
      <c r="B367" s="6" t="s">
        <v>161</v>
      </c>
      <c r="C367" s="7" t="n">
        <v>45382</v>
      </c>
      <c r="D367" s="6" t="s">
        <v>380</v>
      </c>
      <c r="E367" s="6" t="s">
        <v>381</v>
      </c>
      <c r="F367" s="6" t="s">
        <v>1404</v>
      </c>
      <c r="G367" s="6" t="s">
        <v>1465</v>
      </c>
      <c r="H367" s="10" t="n">
        <v>-0.02</v>
      </c>
      <c r="K367" s="6" t="s">
        <v>742</v>
      </c>
      <c r="L367" s="6" t="s">
        <v>13</v>
      </c>
      <c r="M367" s="6" t="s">
        <v>159</v>
      </c>
      <c r="N367" s="6" t="s">
        <v>1466</v>
      </c>
      <c r="O367" s="6"/>
      <c r="P367" s="6"/>
    </row>
    <row r="368" customFormat="false" ht="15" hidden="false" customHeight="false" outlineLevel="0" collapsed="false">
      <c r="A368" s="6" t="s">
        <v>1467</v>
      </c>
      <c r="B368" s="6" t="s">
        <v>166</v>
      </c>
      <c r="C368" s="7" t="n">
        <v>45473</v>
      </c>
      <c r="D368" s="6" t="s">
        <v>380</v>
      </c>
      <c r="E368" s="6" t="s">
        <v>381</v>
      </c>
      <c r="F368" s="6" t="s">
        <v>1404</v>
      </c>
      <c r="G368" s="6" t="s">
        <v>1468</v>
      </c>
      <c r="H368" s="10" t="n">
        <v>0.01</v>
      </c>
      <c r="K368" s="6" t="s">
        <v>742</v>
      </c>
      <c r="L368" s="6" t="s">
        <v>13</v>
      </c>
      <c r="M368" s="6" t="s">
        <v>164</v>
      </c>
      <c r="N368" s="6" t="s">
        <v>1469</v>
      </c>
      <c r="O368" s="6"/>
      <c r="P368" s="6"/>
    </row>
    <row r="369" customFormat="false" ht="15" hidden="false" customHeight="false" outlineLevel="0" collapsed="false">
      <c r="A369" s="6" t="s">
        <v>1470</v>
      </c>
      <c r="B369" s="6" t="s">
        <v>241</v>
      </c>
      <c r="C369" s="7" t="n">
        <v>45473</v>
      </c>
      <c r="D369" s="6" t="s">
        <v>392</v>
      </c>
      <c r="E369" s="6" t="s">
        <v>381</v>
      </c>
      <c r="F369" s="6" t="s">
        <v>1404</v>
      </c>
      <c r="G369" s="6" t="s">
        <v>1455</v>
      </c>
      <c r="H369" s="10" t="n">
        <v>-0.01</v>
      </c>
      <c r="K369" s="6" t="s">
        <v>742</v>
      </c>
      <c r="L369" s="6" t="s">
        <v>13</v>
      </c>
      <c r="M369" s="6" t="s">
        <v>164</v>
      </c>
      <c r="N369" s="6" t="s">
        <v>1471</v>
      </c>
      <c r="O369" s="6"/>
      <c r="P369" s="6"/>
    </row>
    <row r="370" customFormat="false" ht="15" hidden="false" customHeight="false" outlineLevel="0" collapsed="false">
      <c r="A370" s="6" t="s">
        <v>1472</v>
      </c>
      <c r="B370" s="6" t="s">
        <v>171</v>
      </c>
      <c r="C370" s="7" t="n">
        <v>45565</v>
      </c>
      <c r="D370" s="6" t="s">
        <v>380</v>
      </c>
      <c r="E370" s="6" t="s">
        <v>381</v>
      </c>
      <c r="F370" s="6" t="s">
        <v>1404</v>
      </c>
      <c r="G370" s="6" t="s">
        <v>1473</v>
      </c>
      <c r="H370" s="10" t="n">
        <v>-0.11</v>
      </c>
      <c r="K370" s="6" t="s">
        <v>742</v>
      </c>
      <c r="L370" s="6" t="s">
        <v>13</v>
      </c>
      <c r="M370" s="6" t="s">
        <v>169</v>
      </c>
      <c r="N370" s="6" t="s">
        <v>1474</v>
      </c>
      <c r="O370" s="6"/>
      <c r="P370" s="6"/>
    </row>
    <row r="371" customFormat="false" ht="15" hidden="false" customHeight="false" outlineLevel="0" collapsed="false">
      <c r="A371" s="6" t="s">
        <v>1475</v>
      </c>
      <c r="B371" s="6" t="s">
        <v>469</v>
      </c>
      <c r="C371" s="7" t="n">
        <v>45565</v>
      </c>
      <c r="D371" s="6" t="s">
        <v>400</v>
      </c>
      <c r="E371" s="6" t="s">
        <v>381</v>
      </c>
      <c r="F371" s="6" t="s">
        <v>1404</v>
      </c>
      <c r="G371" s="6" t="s">
        <v>1476</v>
      </c>
      <c r="H371" s="10" t="n">
        <v>-0.04</v>
      </c>
      <c r="K371" s="6" t="s">
        <v>742</v>
      </c>
      <c r="L371" s="6" t="s">
        <v>13</v>
      </c>
      <c r="M371" s="6" t="s">
        <v>169</v>
      </c>
      <c r="N371" s="6" t="s">
        <v>1477</v>
      </c>
      <c r="O371" s="6"/>
      <c r="P371" s="6"/>
    </row>
    <row r="372" customFormat="false" ht="15" hidden="false" customHeight="false" outlineLevel="0" collapsed="false">
      <c r="A372" s="6" t="s">
        <v>1478</v>
      </c>
      <c r="B372" s="6" t="s">
        <v>176</v>
      </c>
      <c r="C372" s="7" t="n">
        <v>45657</v>
      </c>
      <c r="D372" s="6" t="s">
        <v>380</v>
      </c>
      <c r="E372" s="6" t="s">
        <v>381</v>
      </c>
      <c r="F372" s="6" t="s">
        <v>1404</v>
      </c>
      <c r="G372" s="6" t="s">
        <v>1479</v>
      </c>
      <c r="H372" s="10" t="n">
        <v>0.04</v>
      </c>
      <c r="K372" s="6" t="s">
        <v>742</v>
      </c>
      <c r="L372" s="6" t="s">
        <v>13</v>
      </c>
      <c r="M372" s="6" t="s">
        <v>174</v>
      </c>
      <c r="N372" s="6" t="s">
        <v>1480</v>
      </c>
      <c r="O372" s="6"/>
      <c r="P372" s="6"/>
    </row>
    <row r="373" customFormat="false" ht="15" hidden="false" customHeight="false" outlineLevel="0" collapsed="false">
      <c r="A373" s="6" t="s">
        <v>1481</v>
      </c>
      <c r="B373" s="6" t="s">
        <v>230</v>
      </c>
      <c r="C373" s="7" t="n">
        <v>45657</v>
      </c>
      <c r="D373" s="6" t="s">
        <v>407</v>
      </c>
      <c r="E373" s="6" t="s">
        <v>381</v>
      </c>
      <c r="F373" s="6" t="s">
        <v>1404</v>
      </c>
      <c r="G373" s="6" t="s">
        <v>1465</v>
      </c>
      <c r="H373" s="10" t="n">
        <v>-0.02</v>
      </c>
      <c r="K373" s="6" t="s">
        <v>742</v>
      </c>
      <c r="L373" s="6" t="s">
        <v>13</v>
      </c>
      <c r="M373" s="6" t="s">
        <v>174</v>
      </c>
      <c r="N373" s="6" t="s">
        <v>1482</v>
      </c>
      <c r="O373" s="6"/>
      <c r="P373" s="6"/>
    </row>
    <row r="374" customFormat="false" ht="15" hidden="false" customHeight="false" outlineLevel="0" collapsed="false">
      <c r="A374" s="6" t="s">
        <v>1483</v>
      </c>
      <c r="B374" s="6" t="s">
        <v>181</v>
      </c>
      <c r="C374" s="7" t="n">
        <v>45747</v>
      </c>
      <c r="D374" s="6" t="s">
        <v>380</v>
      </c>
      <c r="E374" s="6" t="s">
        <v>381</v>
      </c>
      <c r="F374" s="6" t="s">
        <v>1404</v>
      </c>
      <c r="G374" s="6" t="s">
        <v>1484</v>
      </c>
      <c r="H374" s="10" t="n">
        <v>0.03</v>
      </c>
      <c r="K374" s="6" t="s">
        <v>742</v>
      </c>
      <c r="L374" s="6" t="s">
        <v>13</v>
      </c>
      <c r="M374" s="6" t="s">
        <v>179</v>
      </c>
      <c r="N374" s="6" t="s">
        <v>1485</v>
      </c>
      <c r="O374" s="6"/>
      <c r="P374" s="6"/>
    </row>
    <row r="375" customFormat="false" ht="15" hidden="false" customHeight="false" outlineLevel="0" collapsed="false">
      <c r="A375" s="6" t="s">
        <v>1486</v>
      </c>
      <c r="B375" s="6" t="s">
        <v>186</v>
      </c>
      <c r="C375" s="7" t="n">
        <v>45838</v>
      </c>
      <c r="D375" s="6" t="s">
        <v>380</v>
      </c>
      <c r="E375" s="6" t="s">
        <v>381</v>
      </c>
      <c r="F375" s="6" t="s">
        <v>1404</v>
      </c>
      <c r="G375" s="6" t="s">
        <v>1476</v>
      </c>
      <c r="H375" s="10" t="n">
        <v>-0.04</v>
      </c>
      <c r="K375" s="6" t="s">
        <v>742</v>
      </c>
      <c r="L375" s="6" t="s">
        <v>13</v>
      </c>
      <c r="M375" s="6" t="s">
        <v>184</v>
      </c>
      <c r="N375" s="6" t="s">
        <v>1487</v>
      </c>
      <c r="O375" s="6"/>
      <c r="P375" s="6"/>
    </row>
    <row r="376" customFormat="false" ht="15" hidden="false" customHeight="false" outlineLevel="0" collapsed="false">
      <c r="A376" s="6" t="s">
        <v>1488</v>
      </c>
      <c r="B376" s="6" t="s">
        <v>255</v>
      </c>
      <c r="C376" s="7" t="n">
        <v>45838</v>
      </c>
      <c r="D376" s="6" t="s">
        <v>392</v>
      </c>
      <c r="E376" s="6" t="s">
        <v>381</v>
      </c>
      <c r="F376" s="6" t="s">
        <v>1404</v>
      </c>
      <c r="G376" s="6" t="s">
        <v>1489</v>
      </c>
      <c r="H376" s="10" t="n">
        <v>0</v>
      </c>
      <c r="K376" s="6" t="s">
        <v>742</v>
      </c>
      <c r="L376" s="6" t="s">
        <v>13</v>
      </c>
      <c r="M376" s="6" t="s">
        <v>184</v>
      </c>
      <c r="N376" s="6" t="s">
        <v>1490</v>
      </c>
      <c r="O376" s="6"/>
      <c r="P376" s="6"/>
    </row>
    <row r="377" customFormat="false" ht="15" hidden="false" customHeight="false" outlineLevel="0" collapsed="false">
      <c r="A377" s="6" t="s">
        <v>1491</v>
      </c>
      <c r="B377" s="6" t="s">
        <v>191</v>
      </c>
      <c r="C377" s="7" t="n">
        <v>45930</v>
      </c>
      <c r="D377" s="6" t="s">
        <v>380</v>
      </c>
      <c r="E377" s="6" t="s">
        <v>381</v>
      </c>
      <c r="F377" s="6" t="s">
        <v>1404</v>
      </c>
      <c r="G377" s="6" t="s">
        <v>1455</v>
      </c>
      <c r="H377" s="10" t="n">
        <v>-0.01</v>
      </c>
      <c r="K377" s="6" t="s">
        <v>742</v>
      </c>
      <c r="L377" s="6" t="s">
        <v>13</v>
      </c>
      <c r="M377" s="6" t="s">
        <v>189</v>
      </c>
      <c r="N377" s="6" t="s">
        <v>1492</v>
      </c>
      <c r="O377" s="6"/>
      <c r="P377" s="6"/>
    </row>
    <row r="378" customFormat="false" ht="15" hidden="false" customHeight="false" outlineLevel="0" collapsed="false">
      <c r="A378" s="6" t="s">
        <v>1493</v>
      </c>
      <c r="B378" s="6" t="s">
        <v>491</v>
      </c>
      <c r="C378" s="7" t="n">
        <v>45930</v>
      </c>
      <c r="D378" s="6" t="s">
        <v>400</v>
      </c>
      <c r="E378" s="6" t="s">
        <v>381</v>
      </c>
      <c r="F378" s="6" t="s">
        <v>1404</v>
      </c>
      <c r="G378" s="6" t="s">
        <v>1489</v>
      </c>
      <c r="H378" s="10" t="n">
        <v>0</v>
      </c>
      <c r="K378" s="6" t="s">
        <v>742</v>
      </c>
      <c r="L378" s="6" t="s">
        <v>13</v>
      </c>
      <c r="M378" s="6" t="s">
        <v>189</v>
      </c>
      <c r="N378" s="6" t="s">
        <v>1494</v>
      </c>
      <c r="O378" s="6"/>
      <c r="P378" s="6"/>
    </row>
    <row r="379" customFormat="false" ht="15" hidden="false" customHeight="false" outlineLevel="0" collapsed="false">
      <c r="A379" s="6" t="s">
        <v>1495</v>
      </c>
      <c r="B379" s="6" t="s">
        <v>196</v>
      </c>
      <c r="C379" s="7" t="n">
        <v>46022</v>
      </c>
      <c r="D379" s="6" t="s">
        <v>380</v>
      </c>
      <c r="E379" s="6" t="s">
        <v>381</v>
      </c>
      <c r="F379" s="6" t="s">
        <v>1404</v>
      </c>
      <c r="G379" s="6" t="s">
        <v>1468</v>
      </c>
      <c r="H379" s="10" t="n">
        <v>0.01</v>
      </c>
      <c r="K379" s="6" t="s">
        <v>742</v>
      </c>
      <c r="L379" s="6" t="s">
        <v>13</v>
      </c>
      <c r="M379" s="6" t="s">
        <v>194</v>
      </c>
      <c r="N379" s="6" t="s">
        <v>1496</v>
      </c>
      <c r="O379" s="6"/>
      <c r="P379" s="6"/>
    </row>
    <row r="380" customFormat="false" ht="15" hidden="false" customHeight="false" outlineLevel="0" collapsed="false">
      <c r="A380" s="6" t="s">
        <v>1497</v>
      </c>
      <c r="B380" s="6" t="s">
        <v>235</v>
      </c>
      <c r="C380" s="7" t="n">
        <v>46022</v>
      </c>
      <c r="D380" s="6" t="s">
        <v>407</v>
      </c>
      <c r="E380" s="6" t="s">
        <v>381</v>
      </c>
      <c r="F380" s="6" t="s">
        <v>1404</v>
      </c>
      <c r="G380" s="6" t="s">
        <v>1489</v>
      </c>
      <c r="H380" s="10" t="n">
        <v>0</v>
      </c>
      <c r="K380" s="6" t="s">
        <v>742</v>
      </c>
      <c r="L380" s="6" t="s">
        <v>13</v>
      </c>
      <c r="M380" s="6" t="s">
        <v>194</v>
      </c>
      <c r="N380" s="6" t="s">
        <v>1498</v>
      </c>
      <c r="O380" s="6"/>
      <c r="P380" s="6"/>
    </row>
    <row r="381" customFormat="false" ht="15" hidden="false" customHeight="false" outlineLevel="0" collapsed="false">
      <c r="A381" s="6" t="s">
        <v>1499</v>
      </c>
      <c r="B381" s="6" t="s">
        <v>201</v>
      </c>
      <c r="C381" s="7" t="n">
        <v>46112</v>
      </c>
      <c r="D381" s="6" t="s">
        <v>380</v>
      </c>
      <c r="E381" s="6" t="s">
        <v>381</v>
      </c>
      <c r="F381" s="6" t="s">
        <v>1404</v>
      </c>
      <c r="G381" s="6" t="s">
        <v>1500</v>
      </c>
      <c r="H381" s="10" t="n">
        <v>0.06</v>
      </c>
      <c r="K381" s="6" t="s">
        <v>742</v>
      </c>
      <c r="L381" s="6" t="s">
        <v>13</v>
      </c>
      <c r="M381" s="6" t="s">
        <v>199</v>
      </c>
      <c r="N381" s="6" t="s">
        <v>1501</v>
      </c>
      <c r="O381" s="6"/>
      <c r="P381" s="6"/>
    </row>
    <row r="382" customFormat="false" ht="15" hidden="false" customHeight="false" outlineLevel="0" collapsed="false">
      <c r="A382" s="6" t="s">
        <v>1502</v>
      </c>
      <c r="B382" s="6" t="s">
        <v>206</v>
      </c>
      <c r="C382" s="7" t="n">
        <v>46203</v>
      </c>
      <c r="D382" s="6" t="s">
        <v>380</v>
      </c>
      <c r="E382" s="6" t="s">
        <v>381</v>
      </c>
      <c r="F382" s="6" t="s">
        <v>1404</v>
      </c>
      <c r="G382" s="6" t="s">
        <v>1489</v>
      </c>
      <c r="H382" s="10" t="n">
        <v>0</v>
      </c>
      <c r="K382" s="6" t="s">
        <v>742</v>
      </c>
      <c r="L382" s="6" t="s">
        <v>13</v>
      </c>
      <c r="M382" s="6" t="s">
        <v>204</v>
      </c>
      <c r="N382" s="6" t="s">
        <v>1503</v>
      </c>
      <c r="O382" s="6"/>
      <c r="P382" s="6"/>
    </row>
    <row r="383" customFormat="false" ht="15" hidden="false" customHeight="false" outlineLevel="0" collapsed="false">
      <c r="A383" s="6" t="s">
        <v>1504</v>
      </c>
      <c r="B383" s="6" t="s">
        <v>263</v>
      </c>
      <c r="C383" s="7" t="n">
        <v>46203</v>
      </c>
      <c r="D383" s="6" t="s">
        <v>392</v>
      </c>
      <c r="E383" s="6" t="s">
        <v>381</v>
      </c>
      <c r="F383" s="6" t="s">
        <v>1404</v>
      </c>
      <c r="G383" s="6" t="s">
        <v>1484</v>
      </c>
      <c r="H383" s="10" t="n">
        <v>0.03</v>
      </c>
      <c r="K383" s="6" t="s">
        <v>742</v>
      </c>
      <c r="L383" s="6" t="s">
        <v>13</v>
      </c>
      <c r="M383" s="6" t="s">
        <v>204</v>
      </c>
      <c r="N383" s="6" t="s">
        <v>1505</v>
      </c>
      <c r="O383" s="6"/>
      <c r="P383" s="6"/>
    </row>
    <row r="384" customFormat="false" ht="15" hidden="false" customHeight="false" outlineLevel="0" collapsed="false">
      <c r="A384" s="6" t="s">
        <v>1506</v>
      </c>
      <c r="B384" s="6" t="s">
        <v>379</v>
      </c>
      <c r="C384" s="7" t="n">
        <v>44286</v>
      </c>
      <c r="D384" s="6" t="s">
        <v>380</v>
      </c>
      <c r="E384" s="6" t="s">
        <v>381</v>
      </c>
      <c r="F384" s="6" t="s">
        <v>1507</v>
      </c>
      <c r="G384" s="6" t="s">
        <v>1508</v>
      </c>
      <c r="H384" s="9" t="n">
        <v>-38952</v>
      </c>
      <c r="K384" s="6" t="s">
        <v>384</v>
      </c>
      <c r="L384" s="6" t="s">
        <v>13</v>
      </c>
      <c r="M384" s="6" t="s">
        <v>119</v>
      </c>
      <c r="N384" s="6" t="s">
        <v>1509</v>
      </c>
      <c r="O384" s="6"/>
      <c r="P384" s="6" t="s">
        <v>386</v>
      </c>
    </row>
    <row r="385" customFormat="false" ht="15" hidden="false" customHeight="false" outlineLevel="0" collapsed="false">
      <c r="A385" s="6" t="s">
        <v>1510</v>
      </c>
      <c r="B385" s="6" t="s">
        <v>103</v>
      </c>
      <c r="C385" s="7" t="n">
        <v>44377</v>
      </c>
      <c r="D385" s="6" t="s">
        <v>380</v>
      </c>
      <c r="E385" s="6" t="s">
        <v>381</v>
      </c>
      <c r="F385" s="6" t="s">
        <v>1507</v>
      </c>
      <c r="G385" s="6" t="s">
        <v>1511</v>
      </c>
      <c r="H385" s="9" t="n">
        <v>-28891</v>
      </c>
      <c r="K385" s="6" t="s">
        <v>384</v>
      </c>
      <c r="L385" s="6" t="s">
        <v>13</v>
      </c>
      <c r="M385" s="6" t="s">
        <v>100</v>
      </c>
      <c r="N385" s="6" t="s">
        <v>1512</v>
      </c>
      <c r="O385" s="6"/>
      <c r="P385" s="6"/>
    </row>
    <row r="386" customFormat="false" ht="15" hidden="false" customHeight="false" outlineLevel="0" collapsed="false">
      <c r="A386" s="6" t="s">
        <v>1513</v>
      </c>
      <c r="B386" s="6" t="s">
        <v>391</v>
      </c>
      <c r="C386" s="7" t="n">
        <v>44377</v>
      </c>
      <c r="D386" s="6" t="s">
        <v>392</v>
      </c>
      <c r="E386" s="6" t="s">
        <v>381</v>
      </c>
      <c r="F386" s="6" t="s">
        <v>1507</v>
      </c>
      <c r="G386" s="6" t="s">
        <v>1514</v>
      </c>
      <c r="H386" s="9" t="n">
        <v>-67843</v>
      </c>
      <c r="K386" s="6" t="s">
        <v>384</v>
      </c>
      <c r="L386" s="6" t="s">
        <v>13</v>
      </c>
      <c r="M386" s="6" t="s">
        <v>100</v>
      </c>
      <c r="N386" s="6" t="s">
        <v>1515</v>
      </c>
      <c r="O386" s="6"/>
      <c r="P386" s="6"/>
    </row>
    <row r="387" customFormat="false" ht="15" hidden="false" customHeight="false" outlineLevel="0" collapsed="false">
      <c r="A387" s="6" t="s">
        <v>1516</v>
      </c>
      <c r="B387" s="6" t="s">
        <v>111</v>
      </c>
      <c r="C387" s="7" t="n">
        <v>44469</v>
      </c>
      <c r="D387" s="6" t="s">
        <v>380</v>
      </c>
      <c r="E387" s="6" t="s">
        <v>381</v>
      </c>
      <c r="F387" s="6" t="s">
        <v>1507</v>
      </c>
      <c r="G387" s="6" t="s">
        <v>1517</v>
      </c>
      <c r="H387" s="9" t="n">
        <v>-28846</v>
      </c>
      <c r="K387" s="6" t="s">
        <v>384</v>
      </c>
      <c r="L387" s="6" t="s">
        <v>13</v>
      </c>
      <c r="M387" s="6" t="s">
        <v>109</v>
      </c>
      <c r="N387" s="6" t="s">
        <v>1518</v>
      </c>
      <c r="O387" s="6"/>
      <c r="P387" s="6"/>
    </row>
    <row r="388" customFormat="false" ht="15" hidden="false" customHeight="false" outlineLevel="0" collapsed="false">
      <c r="A388" s="6" t="s">
        <v>1519</v>
      </c>
      <c r="B388" s="6" t="s">
        <v>399</v>
      </c>
      <c r="C388" s="7" t="n">
        <v>44469</v>
      </c>
      <c r="D388" s="6" t="s">
        <v>400</v>
      </c>
      <c r="E388" s="6" t="s">
        <v>381</v>
      </c>
      <c r="F388" s="6" t="s">
        <v>1507</v>
      </c>
      <c r="G388" s="6" t="s">
        <v>1520</v>
      </c>
      <c r="H388" s="9" t="n">
        <v>-96689</v>
      </c>
      <c r="K388" s="6" t="s">
        <v>384</v>
      </c>
      <c r="L388" s="6" t="s">
        <v>13</v>
      </c>
      <c r="M388" s="6" t="s">
        <v>109</v>
      </c>
      <c r="N388" s="6" t="s">
        <v>1521</v>
      </c>
      <c r="O388" s="6"/>
      <c r="P388" s="6"/>
    </row>
    <row r="389" customFormat="false" ht="15" hidden="false" customHeight="false" outlineLevel="0" collapsed="false">
      <c r="A389" s="6" t="s">
        <v>1522</v>
      </c>
      <c r="B389" s="6" t="s">
        <v>116</v>
      </c>
      <c r="C389" s="7" t="n">
        <v>44561</v>
      </c>
      <c r="D389" s="6" t="s">
        <v>380</v>
      </c>
      <c r="E389" s="6" t="s">
        <v>381</v>
      </c>
      <c r="F389" s="6" t="s">
        <v>1507</v>
      </c>
      <c r="G389" s="6" t="s">
        <v>1523</v>
      </c>
      <c r="H389" s="9" t="n">
        <v>-32605</v>
      </c>
      <c r="K389" s="6" t="s">
        <v>384</v>
      </c>
      <c r="L389" s="6" t="s">
        <v>13</v>
      </c>
      <c r="M389" s="6" t="s">
        <v>114</v>
      </c>
      <c r="N389" s="6" t="s">
        <v>1524</v>
      </c>
      <c r="O389" s="6"/>
      <c r="P389" s="6"/>
    </row>
    <row r="390" customFormat="false" ht="15" hidden="false" customHeight="false" outlineLevel="0" collapsed="false">
      <c r="A390" s="6" t="s">
        <v>1525</v>
      </c>
      <c r="B390" s="6" t="s">
        <v>212</v>
      </c>
      <c r="C390" s="7" t="n">
        <v>44561</v>
      </c>
      <c r="D390" s="6" t="s">
        <v>407</v>
      </c>
      <c r="E390" s="6" t="s">
        <v>381</v>
      </c>
      <c r="F390" s="6" t="s">
        <v>1507</v>
      </c>
      <c r="G390" s="6" t="s">
        <v>1526</v>
      </c>
      <c r="H390" s="9" t="n">
        <v>-129294</v>
      </c>
      <c r="K390" s="6" t="s">
        <v>384</v>
      </c>
      <c r="L390" s="6" t="s">
        <v>13</v>
      </c>
      <c r="M390" s="6" t="s">
        <v>114</v>
      </c>
      <c r="N390" s="6" t="s">
        <v>1527</v>
      </c>
      <c r="O390" s="6"/>
      <c r="P390" s="6"/>
    </row>
    <row r="391" customFormat="false" ht="15" hidden="false" customHeight="false" outlineLevel="0" collapsed="false">
      <c r="A391" s="6" t="s">
        <v>1528</v>
      </c>
      <c r="B391" s="6" t="s">
        <v>121</v>
      </c>
      <c r="C391" s="7" t="n">
        <v>44651</v>
      </c>
      <c r="D391" s="6" t="s">
        <v>380</v>
      </c>
      <c r="E391" s="6" t="s">
        <v>381</v>
      </c>
      <c r="F391" s="6" t="s">
        <v>1507</v>
      </c>
      <c r="G391" s="6" t="s">
        <v>1529</v>
      </c>
      <c r="H391" s="9" t="n">
        <v>-66678</v>
      </c>
      <c r="K391" s="6" t="s">
        <v>384</v>
      </c>
      <c r="L391" s="6" t="s">
        <v>13</v>
      </c>
      <c r="M391" s="6" t="s">
        <v>119</v>
      </c>
      <c r="N391" s="6" t="s">
        <v>1530</v>
      </c>
      <c r="O391" s="6"/>
      <c r="P391" s="6"/>
    </row>
    <row r="392" customFormat="false" ht="15" hidden="false" customHeight="false" outlineLevel="0" collapsed="false">
      <c r="A392" s="6" t="s">
        <v>1531</v>
      </c>
      <c r="B392" s="6" t="s">
        <v>126</v>
      </c>
      <c r="C392" s="7" t="n">
        <v>44742</v>
      </c>
      <c r="D392" s="6" t="s">
        <v>380</v>
      </c>
      <c r="E392" s="6" t="s">
        <v>381</v>
      </c>
      <c r="F392" s="6" t="s">
        <v>1507</v>
      </c>
      <c r="G392" s="6" t="s">
        <v>1532</v>
      </c>
      <c r="H392" s="9" t="n">
        <v>-45671</v>
      </c>
      <c r="K392" s="6" t="s">
        <v>384</v>
      </c>
      <c r="L392" s="6" t="s">
        <v>13</v>
      </c>
      <c r="M392" s="6" t="s">
        <v>124</v>
      </c>
      <c r="N392" s="6" t="s">
        <v>1533</v>
      </c>
      <c r="O392" s="6"/>
      <c r="P392" s="6"/>
    </row>
    <row r="393" customFormat="false" ht="15" hidden="false" customHeight="false" outlineLevel="0" collapsed="false">
      <c r="A393" s="6" t="s">
        <v>1534</v>
      </c>
      <c r="B393" s="6" t="s">
        <v>417</v>
      </c>
      <c r="C393" s="7" t="n">
        <v>44742</v>
      </c>
      <c r="D393" s="6" t="s">
        <v>392</v>
      </c>
      <c r="E393" s="6" t="s">
        <v>381</v>
      </c>
      <c r="F393" s="6" t="s">
        <v>1507</v>
      </c>
      <c r="G393" s="6" t="s">
        <v>1535</v>
      </c>
      <c r="H393" s="9" t="n">
        <v>-112349</v>
      </c>
      <c r="K393" s="6" t="s">
        <v>384</v>
      </c>
      <c r="L393" s="6" t="s">
        <v>13</v>
      </c>
      <c r="M393" s="6" t="s">
        <v>124</v>
      </c>
      <c r="N393" s="6" t="s">
        <v>1536</v>
      </c>
      <c r="O393" s="6"/>
      <c r="P393" s="6"/>
    </row>
    <row r="394" customFormat="false" ht="15" hidden="false" customHeight="false" outlineLevel="0" collapsed="false">
      <c r="A394" s="6" t="s">
        <v>1537</v>
      </c>
      <c r="B394" s="6" t="s">
        <v>131</v>
      </c>
      <c r="C394" s="7" t="n">
        <v>44834</v>
      </c>
      <c r="D394" s="6" t="s">
        <v>380</v>
      </c>
      <c r="E394" s="6" t="s">
        <v>381</v>
      </c>
      <c r="F394" s="6" t="s">
        <v>1507</v>
      </c>
      <c r="G394" s="6" t="s">
        <v>1538</v>
      </c>
      <c r="H394" s="9" t="n">
        <v>-23030</v>
      </c>
      <c r="K394" s="6" t="s">
        <v>384</v>
      </c>
      <c r="L394" s="6" t="s">
        <v>13</v>
      </c>
      <c r="M394" s="6" t="s">
        <v>129</v>
      </c>
      <c r="N394" s="6" t="s">
        <v>1539</v>
      </c>
      <c r="O394" s="6"/>
      <c r="P394" s="6"/>
    </row>
    <row r="395" customFormat="false" ht="15" hidden="false" customHeight="false" outlineLevel="0" collapsed="false">
      <c r="A395" s="6" t="s">
        <v>1540</v>
      </c>
      <c r="B395" s="6" t="s">
        <v>424</v>
      </c>
      <c r="C395" s="7" t="n">
        <v>44834</v>
      </c>
      <c r="D395" s="6" t="s">
        <v>400</v>
      </c>
      <c r="E395" s="6" t="s">
        <v>381</v>
      </c>
      <c r="F395" s="6" t="s">
        <v>1507</v>
      </c>
      <c r="G395" s="6" t="s">
        <v>1541</v>
      </c>
      <c r="H395" s="9" t="n">
        <v>-135379</v>
      </c>
      <c r="K395" s="6" t="s">
        <v>384</v>
      </c>
      <c r="L395" s="6" t="s">
        <v>13</v>
      </c>
      <c r="M395" s="6" t="s">
        <v>129</v>
      </c>
      <c r="N395" s="6" t="s">
        <v>1542</v>
      </c>
      <c r="O395" s="6"/>
      <c r="P395" s="6"/>
    </row>
    <row r="396" customFormat="false" ht="15" hidden="false" customHeight="false" outlineLevel="0" collapsed="false">
      <c r="A396" s="6" t="s">
        <v>1543</v>
      </c>
      <c r="B396" s="6" t="s">
        <v>136</v>
      </c>
      <c r="C396" s="7" t="n">
        <v>44926</v>
      </c>
      <c r="D396" s="6" t="s">
        <v>380</v>
      </c>
      <c r="E396" s="6" t="s">
        <v>381</v>
      </c>
      <c r="F396" s="6" t="s">
        <v>1507</v>
      </c>
      <c r="G396" s="6" t="s">
        <v>1544</v>
      </c>
      <c r="H396" s="9" t="n">
        <v>-1488</v>
      </c>
      <c r="K396" s="6" t="s">
        <v>384</v>
      </c>
      <c r="L396" s="6" t="s">
        <v>13</v>
      </c>
      <c r="M396" s="6" t="s">
        <v>134</v>
      </c>
      <c r="N396" s="6" t="s">
        <v>1545</v>
      </c>
      <c r="O396" s="6"/>
      <c r="P396" s="6"/>
    </row>
    <row r="397" customFormat="false" ht="15" hidden="false" customHeight="false" outlineLevel="0" collapsed="false">
      <c r="A397" s="6" t="s">
        <v>1546</v>
      </c>
      <c r="B397" s="6" t="s">
        <v>220</v>
      </c>
      <c r="C397" s="7" t="n">
        <v>44926</v>
      </c>
      <c r="D397" s="6" t="s">
        <v>407</v>
      </c>
      <c r="E397" s="6" t="s">
        <v>381</v>
      </c>
      <c r="F397" s="6" t="s">
        <v>1507</v>
      </c>
      <c r="G397" s="6" t="s">
        <v>1547</v>
      </c>
      <c r="H397" s="9" t="n">
        <v>-136867</v>
      </c>
      <c r="K397" s="6" t="s">
        <v>384</v>
      </c>
      <c r="L397" s="6" t="s">
        <v>13</v>
      </c>
      <c r="M397" s="6" t="s">
        <v>134</v>
      </c>
      <c r="N397" s="6" t="s">
        <v>1548</v>
      </c>
      <c r="O397" s="6"/>
      <c r="P397" s="6"/>
    </row>
    <row r="398" customFormat="false" ht="15" hidden="false" customHeight="false" outlineLevel="0" collapsed="false">
      <c r="A398" s="6" t="s">
        <v>1549</v>
      </c>
      <c r="B398" s="6" t="s">
        <v>141</v>
      </c>
      <c r="C398" s="7" t="n">
        <v>45016</v>
      </c>
      <c r="D398" s="6" t="s">
        <v>380</v>
      </c>
      <c r="E398" s="6" t="s">
        <v>381</v>
      </c>
      <c r="F398" s="6" t="s">
        <v>1507</v>
      </c>
      <c r="G398" s="6" t="s">
        <v>1550</v>
      </c>
      <c r="H398" s="9" t="n">
        <v>-14667</v>
      </c>
      <c r="K398" s="6" t="s">
        <v>384</v>
      </c>
      <c r="L398" s="6" t="s">
        <v>13</v>
      </c>
      <c r="M398" s="6" t="s">
        <v>139</v>
      </c>
      <c r="N398" s="6" t="s">
        <v>1551</v>
      </c>
      <c r="O398" s="6"/>
      <c r="P398" s="6"/>
    </row>
    <row r="399" customFormat="false" ht="15" hidden="false" customHeight="false" outlineLevel="0" collapsed="false">
      <c r="A399" s="6" t="s">
        <v>1552</v>
      </c>
      <c r="B399" s="6" t="s">
        <v>146</v>
      </c>
      <c r="C399" s="7" t="n">
        <v>45107</v>
      </c>
      <c r="D399" s="6" t="s">
        <v>380</v>
      </c>
      <c r="E399" s="6" t="s">
        <v>381</v>
      </c>
      <c r="F399" s="6" t="s">
        <v>1507</v>
      </c>
      <c r="G399" s="6" t="s">
        <v>1553</v>
      </c>
      <c r="H399" s="9" t="n">
        <v>-7035</v>
      </c>
      <c r="K399" s="6" t="s">
        <v>384</v>
      </c>
      <c r="L399" s="6" t="s">
        <v>13</v>
      </c>
      <c r="M399" s="6" t="s">
        <v>144</v>
      </c>
      <c r="N399" s="6" t="s">
        <v>1554</v>
      </c>
      <c r="O399" s="6"/>
      <c r="P399" s="6"/>
    </row>
    <row r="400" customFormat="false" ht="15" hidden="false" customHeight="false" outlineLevel="0" collapsed="false">
      <c r="A400" s="6" t="s">
        <v>1555</v>
      </c>
      <c r="B400" s="6" t="s">
        <v>440</v>
      </c>
      <c r="C400" s="7" t="n">
        <v>45107</v>
      </c>
      <c r="D400" s="6" t="s">
        <v>392</v>
      </c>
      <c r="E400" s="6" t="s">
        <v>381</v>
      </c>
      <c r="F400" s="6" t="s">
        <v>1507</v>
      </c>
      <c r="G400" s="6" t="s">
        <v>1556</v>
      </c>
      <c r="H400" s="9" t="n">
        <v>-21702</v>
      </c>
      <c r="K400" s="6" t="s">
        <v>384</v>
      </c>
      <c r="L400" s="6" t="s">
        <v>13</v>
      </c>
      <c r="M400" s="6" t="s">
        <v>144</v>
      </c>
      <c r="N400" s="6" t="s">
        <v>1557</v>
      </c>
      <c r="O400" s="6"/>
      <c r="P400" s="6"/>
    </row>
    <row r="401" customFormat="false" ht="15" hidden="false" customHeight="false" outlineLevel="0" collapsed="false">
      <c r="A401" s="6" t="s">
        <v>1558</v>
      </c>
      <c r="B401" s="6" t="s">
        <v>151</v>
      </c>
      <c r="C401" s="7" t="n">
        <v>45199</v>
      </c>
      <c r="D401" s="6" t="s">
        <v>380</v>
      </c>
      <c r="E401" s="6" t="s">
        <v>381</v>
      </c>
      <c r="F401" s="6" t="s">
        <v>1507</v>
      </c>
      <c r="G401" s="6" t="s">
        <v>1559</v>
      </c>
      <c r="H401" s="9" t="n">
        <v>7488</v>
      </c>
      <c r="K401" s="6" t="s">
        <v>384</v>
      </c>
      <c r="L401" s="6" t="s">
        <v>13</v>
      </c>
      <c r="M401" s="6" t="s">
        <v>149</v>
      </c>
      <c r="N401" s="6" t="s">
        <v>1560</v>
      </c>
      <c r="O401" s="6"/>
      <c r="P401" s="6"/>
    </row>
    <row r="402" customFormat="false" ht="15" hidden="false" customHeight="false" outlineLevel="0" collapsed="false">
      <c r="A402" s="6" t="s">
        <v>1561</v>
      </c>
      <c r="B402" s="6" t="s">
        <v>447</v>
      </c>
      <c r="C402" s="7" t="n">
        <v>45199</v>
      </c>
      <c r="D402" s="6" t="s">
        <v>400</v>
      </c>
      <c r="E402" s="6" t="s">
        <v>381</v>
      </c>
      <c r="F402" s="6" t="s">
        <v>1507</v>
      </c>
      <c r="G402" s="6" t="s">
        <v>1562</v>
      </c>
      <c r="H402" s="9" t="n">
        <v>-14214</v>
      </c>
      <c r="K402" s="6" t="s">
        <v>384</v>
      </c>
      <c r="L402" s="6" t="s">
        <v>13</v>
      </c>
      <c r="M402" s="6" t="s">
        <v>149</v>
      </c>
      <c r="N402" s="6" t="s">
        <v>1563</v>
      </c>
      <c r="O402" s="6"/>
      <c r="P402" s="6"/>
    </row>
    <row r="403" customFormat="false" ht="15" hidden="false" customHeight="false" outlineLevel="0" collapsed="false">
      <c r="A403" s="6" t="s">
        <v>1564</v>
      </c>
      <c r="B403" s="6" t="s">
        <v>156</v>
      </c>
      <c r="C403" s="7" t="n">
        <v>45291</v>
      </c>
      <c r="D403" s="6" t="s">
        <v>380</v>
      </c>
      <c r="E403" s="6" t="s">
        <v>381</v>
      </c>
      <c r="F403" s="6" t="s">
        <v>1507</v>
      </c>
      <c r="G403" s="6" t="s">
        <v>1565</v>
      </c>
      <c r="H403" s="9" t="n">
        <v>12337</v>
      </c>
      <c r="K403" s="6" t="s">
        <v>384</v>
      </c>
      <c r="L403" s="6" t="s">
        <v>13</v>
      </c>
      <c r="M403" s="6" t="s">
        <v>154</v>
      </c>
      <c r="N403" s="6" t="s">
        <v>1566</v>
      </c>
      <c r="O403" s="6"/>
      <c r="P403" s="6"/>
    </row>
    <row r="404" customFormat="false" ht="15" hidden="false" customHeight="false" outlineLevel="0" collapsed="false">
      <c r="A404" s="6" t="s">
        <v>1567</v>
      </c>
      <c r="B404" s="6" t="s">
        <v>225</v>
      </c>
      <c r="C404" s="7" t="n">
        <v>45291</v>
      </c>
      <c r="D404" s="6" t="s">
        <v>407</v>
      </c>
      <c r="E404" s="6" t="s">
        <v>381</v>
      </c>
      <c r="F404" s="6" t="s">
        <v>1507</v>
      </c>
      <c r="G404" s="6" t="s">
        <v>1568</v>
      </c>
      <c r="H404" s="9" t="n">
        <v>-1877</v>
      </c>
      <c r="K404" s="6" t="s">
        <v>384</v>
      </c>
      <c r="L404" s="6" t="s">
        <v>13</v>
      </c>
      <c r="M404" s="6" t="s">
        <v>154</v>
      </c>
      <c r="N404" s="6" t="s">
        <v>1569</v>
      </c>
      <c r="O404" s="6"/>
      <c r="P404" s="6"/>
    </row>
    <row r="405" customFormat="false" ht="15" hidden="false" customHeight="false" outlineLevel="0" collapsed="false">
      <c r="A405" s="6" t="s">
        <v>1570</v>
      </c>
      <c r="B405" s="6" t="s">
        <v>161</v>
      </c>
      <c r="C405" s="7" t="n">
        <v>45382</v>
      </c>
      <c r="D405" s="6" t="s">
        <v>380</v>
      </c>
      <c r="E405" s="6" t="s">
        <v>381</v>
      </c>
      <c r="F405" s="6" t="s">
        <v>1507</v>
      </c>
      <c r="G405" s="6" t="s">
        <v>1571</v>
      </c>
      <c r="H405" s="9" t="n">
        <v>7078</v>
      </c>
      <c r="K405" s="6" t="s">
        <v>384</v>
      </c>
      <c r="L405" s="6" t="s">
        <v>13</v>
      </c>
      <c r="M405" s="6" t="s">
        <v>159</v>
      </c>
      <c r="N405" s="6" t="s">
        <v>1572</v>
      </c>
      <c r="O405" s="6"/>
      <c r="P405" s="6"/>
    </row>
    <row r="406" customFormat="false" ht="15" hidden="false" customHeight="false" outlineLevel="0" collapsed="false">
      <c r="A406" s="6" t="s">
        <v>1573</v>
      </c>
      <c r="B406" s="6" t="s">
        <v>166</v>
      </c>
      <c r="C406" s="7" t="n">
        <v>45473</v>
      </c>
      <c r="D406" s="6" t="s">
        <v>380</v>
      </c>
      <c r="E406" s="6" t="s">
        <v>381</v>
      </c>
      <c r="F406" s="6" t="s">
        <v>1507</v>
      </c>
      <c r="G406" s="6" t="s">
        <v>1574</v>
      </c>
      <c r="H406" s="9" t="n">
        <v>14315</v>
      </c>
      <c r="K406" s="6" t="s">
        <v>384</v>
      </c>
      <c r="L406" s="6" t="s">
        <v>13</v>
      </c>
      <c r="M406" s="6" t="s">
        <v>164</v>
      </c>
      <c r="N406" s="6" t="s">
        <v>1575</v>
      </c>
      <c r="O406" s="6"/>
      <c r="P406" s="6"/>
    </row>
    <row r="407" customFormat="false" ht="15" hidden="false" customHeight="false" outlineLevel="0" collapsed="false">
      <c r="A407" s="6" t="s">
        <v>1576</v>
      </c>
      <c r="B407" s="6" t="s">
        <v>241</v>
      </c>
      <c r="C407" s="7" t="n">
        <v>45473</v>
      </c>
      <c r="D407" s="6" t="s">
        <v>392</v>
      </c>
      <c r="E407" s="6" t="s">
        <v>381</v>
      </c>
      <c r="F407" s="6" t="s">
        <v>1507</v>
      </c>
      <c r="G407" s="6" t="s">
        <v>1577</v>
      </c>
      <c r="H407" s="9" t="n">
        <v>21393</v>
      </c>
      <c r="K407" s="6" t="s">
        <v>384</v>
      </c>
      <c r="L407" s="6" t="s">
        <v>13</v>
      </c>
      <c r="M407" s="6" t="s">
        <v>164</v>
      </c>
      <c r="N407" s="6" t="s">
        <v>1578</v>
      </c>
      <c r="O407" s="6"/>
      <c r="P407" s="6"/>
    </row>
    <row r="408" customFormat="false" ht="15" hidden="false" customHeight="false" outlineLevel="0" collapsed="false">
      <c r="A408" s="6" t="s">
        <v>1579</v>
      </c>
      <c r="B408" s="6" t="s">
        <v>171</v>
      </c>
      <c r="C408" s="7" t="n">
        <v>45565</v>
      </c>
      <c r="D408" s="6" t="s">
        <v>380</v>
      </c>
      <c r="E408" s="6" t="s">
        <v>381</v>
      </c>
      <c r="F408" s="6" t="s">
        <v>1507</v>
      </c>
      <c r="G408" s="6" t="s">
        <v>1580</v>
      </c>
      <c r="H408" s="9" t="n">
        <v>-12026</v>
      </c>
      <c r="K408" s="6" t="s">
        <v>384</v>
      </c>
      <c r="L408" s="6" t="s">
        <v>13</v>
      </c>
      <c r="M408" s="6" t="s">
        <v>169</v>
      </c>
      <c r="N408" s="6" t="s">
        <v>1581</v>
      </c>
      <c r="O408" s="6"/>
      <c r="P408" s="6"/>
    </row>
    <row r="409" customFormat="false" ht="15" hidden="false" customHeight="false" outlineLevel="0" collapsed="false">
      <c r="A409" s="6" t="s">
        <v>1582</v>
      </c>
      <c r="B409" s="6" t="s">
        <v>469</v>
      </c>
      <c r="C409" s="7" t="n">
        <v>45565</v>
      </c>
      <c r="D409" s="6" t="s">
        <v>400</v>
      </c>
      <c r="E409" s="6" t="s">
        <v>381</v>
      </c>
      <c r="F409" s="6" t="s">
        <v>1507</v>
      </c>
      <c r="G409" s="6" t="s">
        <v>1583</v>
      </c>
      <c r="H409" s="9" t="n">
        <v>9367</v>
      </c>
      <c r="K409" s="6" t="s">
        <v>384</v>
      </c>
      <c r="L409" s="6" t="s">
        <v>13</v>
      </c>
      <c r="M409" s="6" t="s">
        <v>169</v>
      </c>
      <c r="N409" s="6" t="s">
        <v>1584</v>
      </c>
      <c r="O409" s="6"/>
      <c r="P409" s="6"/>
    </row>
    <row r="410" customFormat="false" ht="15" hidden="false" customHeight="false" outlineLevel="0" collapsed="false">
      <c r="A410" s="6" t="s">
        <v>1585</v>
      </c>
      <c r="B410" s="6" t="s">
        <v>176</v>
      </c>
      <c r="C410" s="7" t="n">
        <v>45657</v>
      </c>
      <c r="D410" s="6" t="s">
        <v>380</v>
      </c>
      <c r="E410" s="6" t="s">
        <v>381</v>
      </c>
      <c r="F410" s="6" t="s">
        <v>1507</v>
      </c>
      <c r="G410" s="6" t="s">
        <v>1586</v>
      </c>
      <c r="H410" s="9" t="n">
        <v>23005</v>
      </c>
      <c r="K410" s="6" t="s">
        <v>384</v>
      </c>
      <c r="L410" s="6" t="s">
        <v>13</v>
      </c>
      <c r="M410" s="6" t="s">
        <v>174</v>
      </c>
      <c r="N410" s="6" t="s">
        <v>1587</v>
      </c>
      <c r="O410" s="6"/>
      <c r="P410" s="6"/>
    </row>
    <row r="411" customFormat="false" ht="15" hidden="false" customHeight="false" outlineLevel="0" collapsed="false">
      <c r="A411" s="6" t="s">
        <v>1588</v>
      </c>
      <c r="B411" s="6" t="s">
        <v>230</v>
      </c>
      <c r="C411" s="7" t="n">
        <v>45657</v>
      </c>
      <c r="D411" s="6" t="s">
        <v>407</v>
      </c>
      <c r="E411" s="6" t="s">
        <v>381</v>
      </c>
      <c r="F411" s="6" t="s">
        <v>1507</v>
      </c>
      <c r="G411" s="6" t="s">
        <v>1589</v>
      </c>
      <c r="H411" s="9" t="n">
        <v>32372</v>
      </c>
      <c r="K411" s="6" t="s">
        <v>384</v>
      </c>
      <c r="L411" s="6" t="s">
        <v>13</v>
      </c>
      <c r="M411" s="6" t="s">
        <v>174</v>
      </c>
      <c r="N411" s="6" t="s">
        <v>1590</v>
      </c>
      <c r="O411" s="6"/>
      <c r="P411" s="6"/>
    </row>
    <row r="412" customFormat="false" ht="15" hidden="false" customHeight="false" outlineLevel="0" collapsed="false">
      <c r="A412" s="6" t="s">
        <v>1591</v>
      </c>
      <c r="B412" s="6" t="s">
        <v>181</v>
      </c>
      <c r="C412" s="7" t="n">
        <v>45747</v>
      </c>
      <c r="D412" s="6" t="s">
        <v>380</v>
      </c>
      <c r="E412" s="6" t="s">
        <v>381</v>
      </c>
      <c r="F412" s="6" t="s">
        <v>1507</v>
      </c>
      <c r="G412" s="6" t="s">
        <v>1592</v>
      </c>
      <c r="H412" s="9" t="n">
        <v>27425</v>
      </c>
      <c r="K412" s="6" t="s">
        <v>384</v>
      </c>
      <c r="L412" s="6" t="s">
        <v>13</v>
      </c>
      <c r="M412" s="6" t="s">
        <v>179</v>
      </c>
      <c r="N412" s="6" t="s">
        <v>1593</v>
      </c>
      <c r="O412" s="6"/>
      <c r="P412" s="6"/>
    </row>
    <row r="413" customFormat="false" ht="15" hidden="false" customHeight="false" outlineLevel="0" collapsed="false">
      <c r="A413" s="6" t="s">
        <v>1594</v>
      </c>
      <c r="B413" s="6" t="s">
        <v>186</v>
      </c>
      <c r="C413" s="7" t="n">
        <v>45838</v>
      </c>
      <c r="D413" s="6" t="s">
        <v>380</v>
      </c>
      <c r="E413" s="6" t="s">
        <v>381</v>
      </c>
      <c r="F413" s="6" t="s">
        <v>1507</v>
      </c>
      <c r="G413" s="6" t="s">
        <v>1595</v>
      </c>
      <c r="H413" s="9" t="n">
        <v>1573</v>
      </c>
      <c r="K413" s="6" t="s">
        <v>384</v>
      </c>
      <c r="L413" s="6" t="s">
        <v>13</v>
      </c>
      <c r="M413" s="6" t="s">
        <v>184</v>
      </c>
      <c r="N413" s="6" t="s">
        <v>1596</v>
      </c>
      <c r="O413" s="6"/>
      <c r="P413" s="6"/>
    </row>
    <row r="414" customFormat="false" ht="15" hidden="false" customHeight="false" outlineLevel="0" collapsed="false">
      <c r="A414" s="6" t="s">
        <v>1597</v>
      </c>
      <c r="B414" s="6" t="s">
        <v>255</v>
      </c>
      <c r="C414" s="7" t="n">
        <v>45838</v>
      </c>
      <c r="D414" s="6" t="s">
        <v>392</v>
      </c>
      <c r="E414" s="6" t="s">
        <v>381</v>
      </c>
      <c r="F414" s="6" t="s">
        <v>1507</v>
      </c>
      <c r="G414" s="6" t="s">
        <v>1598</v>
      </c>
      <c r="H414" s="9" t="n">
        <v>28998</v>
      </c>
      <c r="K414" s="6" t="s">
        <v>384</v>
      </c>
      <c r="L414" s="6" t="s">
        <v>13</v>
      </c>
      <c r="M414" s="6" t="s">
        <v>184</v>
      </c>
      <c r="N414" s="6" t="s">
        <v>1599</v>
      </c>
      <c r="O414" s="6"/>
      <c r="P414" s="6"/>
    </row>
    <row r="415" customFormat="false" ht="15" hidden="false" customHeight="false" outlineLevel="0" collapsed="false">
      <c r="A415" s="6" t="s">
        <v>1600</v>
      </c>
      <c r="B415" s="6" t="s">
        <v>191</v>
      </c>
      <c r="C415" s="7" t="n">
        <v>45930</v>
      </c>
      <c r="D415" s="6" t="s">
        <v>380</v>
      </c>
      <c r="E415" s="6" t="s">
        <v>381</v>
      </c>
      <c r="F415" s="6" t="s">
        <v>1507</v>
      </c>
      <c r="G415" s="6" t="s">
        <v>1601</v>
      </c>
      <c r="H415" s="9" t="n">
        <v>13052</v>
      </c>
      <c r="K415" s="6" t="s">
        <v>384</v>
      </c>
      <c r="L415" s="6" t="s">
        <v>13</v>
      </c>
      <c r="M415" s="6" t="s">
        <v>189</v>
      </c>
      <c r="N415" s="6" t="s">
        <v>1602</v>
      </c>
      <c r="O415" s="6"/>
      <c r="P415" s="6"/>
    </row>
    <row r="416" customFormat="false" ht="15" hidden="false" customHeight="false" outlineLevel="0" collapsed="false">
      <c r="A416" s="6" t="s">
        <v>1603</v>
      </c>
      <c r="B416" s="6" t="s">
        <v>491</v>
      </c>
      <c r="C416" s="7" t="n">
        <v>45930</v>
      </c>
      <c r="D416" s="6" t="s">
        <v>400</v>
      </c>
      <c r="E416" s="6" t="s">
        <v>381</v>
      </c>
      <c r="F416" s="6" t="s">
        <v>1507</v>
      </c>
      <c r="G416" s="6" t="s">
        <v>1604</v>
      </c>
      <c r="H416" s="9" t="n">
        <v>42050</v>
      </c>
      <c r="K416" s="6" t="s">
        <v>384</v>
      </c>
      <c r="L416" s="6" t="s">
        <v>13</v>
      </c>
      <c r="M416" s="6" t="s">
        <v>189</v>
      </c>
      <c r="N416" s="6" t="s">
        <v>1605</v>
      </c>
      <c r="O416" s="6"/>
      <c r="P416" s="6"/>
    </row>
    <row r="417" customFormat="false" ht="15" hidden="false" customHeight="false" outlineLevel="0" collapsed="false">
      <c r="A417" s="6" t="s">
        <v>1606</v>
      </c>
      <c r="B417" s="6" t="s">
        <v>196</v>
      </c>
      <c r="C417" s="7" t="n">
        <v>46022</v>
      </c>
      <c r="D417" s="6" t="s">
        <v>380</v>
      </c>
      <c r="E417" s="6" t="s">
        <v>381</v>
      </c>
      <c r="F417" s="6" t="s">
        <v>1507</v>
      </c>
      <c r="G417" s="6" t="s">
        <v>1607</v>
      </c>
      <c r="H417" s="9" t="n">
        <v>76692</v>
      </c>
      <c r="K417" s="6" t="s">
        <v>384</v>
      </c>
      <c r="L417" s="6" t="s">
        <v>13</v>
      </c>
      <c r="M417" s="6" t="s">
        <v>194</v>
      </c>
      <c r="N417" s="6" t="s">
        <v>1608</v>
      </c>
      <c r="O417" s="6"/>
      <c r="P417" s="6"/>
    </row>
    <row r="418" customFormat="false" ht="15" hidden="false" customHeight="false" outlineLevel="0" collapsed="false">
      <c r="A418" s="6" t="s">
        <v>1609</v>
      </c>
      <c r="B418" s="6" t="s">
        <v>235</v>
      </c>
      <c r="C418" s="7" t="n">
        <v>46022</v>
      </c>
      <c r="D418" s="6" t="s">
        <v>407</v>
      </c>
      <c r="E418" s="6" t="s">
        <v>381</v>
      </c>
      <c r="F418" s="6" t="s">
        <v>1507</v>
      </c>
      <c r="G418" s="6" t="s">
        <v>1610</v>
      </c>
      <c r="H418" s="9" t="n">
        <v>118742</v>
      </c>
      <c r="K418" s="6" t="s">
        <v>384</v>
      </c>
      <c r="L418" s="6" t="s">
        <v>13</v>
      </c>
      <c r="M418" s="6" t="s">
        <v>194</v>
      </c>
      <c r="N418" s="6" t="s">
        <v>1611</v>
      </c>
      <c r="O418" s="6"/>
      <c r="P418" s="6"/>
    </row>
    <row r="419" customFormat="false" ht="15" hidden="false" customHeight="false" outlineLevel="0" collapsed="false">
      <c r="A419" s="6" t="s">
        <v>1612</v>
      </c>
      <c r="B419" s="6" t="s">
        <v>201</v>
      </c>
      <c r="C419" s="7" t="n">
        <v>46112</v>
      </c>
      <c r="D419" s="6" t="s">
        <v>380</v>
      </c>
      <c r="E419" s="6" t="s">
        <v>381</v>
      </c>
      <c r="F419" s="6" t="s">
        <v>1507</v>
      </c>
      <c r="G419" s="6" t="s">
        <v>1613</v>
      </c>
      <c r="H419" s="9" t="n">
        <v>28034</v>
      </c>
      <c r="K419" s="6" t="s">
        <v>384</v>
      </c>
      <c r="L419" s="6" t="s">
        <v>13</v>
      </c>
      <c r="M419" s="6" t="s">
        <v>199</v>
      </c>
      <c r="N419" s="6" t="s">
        <v>1614</v>
      </c>
      <c r="O419" s="6"/>
      <c r="P419" s="6"/>
    </row>
    <row r="420" customFormat="false" ht="15" hidden="false" customHeight="false" outlineLevel="0" collapsed="false">
      <c r="A420" s="6" t="s">
        <v>1615</v>
      </c>
      <c r="B420" s="6" t="s">
        <v>206</v>
      </c>
      <c r="C420" s="7" t="n">
        <v>46203</v>
      </c>
      <c r="D420" s="6" t="s">
        <v>380</v>
      </c>
      <c r="E420" s="6" t="s">
        <v>381</v>
      </c>
      <c r="F420" s="6" t="s">
        <v>1507</v>
      </c>
      <c r="G420" s="6" t="s">
        <v>1616</v>
      </c>
      <c r="H420" s="9" t="n">
        <v>3460</v>
      </c>
      <c r="K420" s="6" t="s">
        <v>384</v>
      </c>
      <c r="L420" s="6" t="s">
        <v>13</v>
      </c>
      <c r="M420" s="6" t="s">
        <v>204</v>
      </c>
      <c r="N420" s="6" t="s">
        <v>1617</v>
      </c>
      <c r="O420" s="6"/>
      <c r="P420" s="6"/>
    </row>
    <row r="421" customFormat="false" ht="15" hidden="false" customHeight="false" outlineLevel="0" collapsed="false">
      <c r="A421" s="6" t="s">
        <v>1618</v>
      </c>
      <c r="B421" s="6" t="s">
        <v>263</v>
      </c>
      <c r="C421" s="7" t="n">
        <v>46203</v>
      </c>
      <c r="D421" s="6" t="s">
        <v>392</v>
      </c>
      <c r="E421" s="6" t="s">
        <v>381</v>
      </c>
      <c r="F421" s="6" t="s">
        <v>1507</v>
      </c>
      <c r="G421" s="6" t="s">
        <v>1619</v>
      </c>
      <c r="H421" s="9" t="n">
        <v>31494</v>
      </c>
      <c r="K421" s="6" t="s">
        <v>384</v>
      </c>
      <c r="L421" s="6" t="s">
        <v>13</v>
      </c>
      <c r="M421" s="6" t="s">
        <v>204</v>
      </c>
      <c r="N421" s="6" t="s">
        <v>1620</v>
      </c>
      <c r="O421" s="6"/>
      <c r="P421" s="6"/>
    </row>
    <row r="422" customFormat="false" ht="15" hidden="false" customHeight="false" outlineLevel="0" collapsed="false">
      <c r="A422" s="6" t="s">
        <v>1621</v>
      </c>
      <c r="B422" s="6" t="s">
        <v>379</v>
      </c>
      <c r="C422" s="7" t="n">
        <v>44286</v>
      </c>
      <c r="D422" s="6" t="s">
        <v>380</v>
      </c>
      <c r="E422" s="6" t="s">
        <v>381</v>
      </c>
      <c r="F422" s="6" t="s">
        <v>1622</v>
      </c>
      <c r="G422" s="6"/>
      <c r="H422" s="11" t="n">
        <f aca="false">H78/H2</f>
        <v>0.86563114698501</v>
      </c>
      <c r="K422" s="6" t="s">
        <v>742</v>
      </c>
      <c r="L422" s="6" t="s">
        <v>15</v>
      </c>
      <c r="M422" s="6" t="s">
        <v>119</v>
      </c>
      <c r="N422" s="6" t="s">
        <v>1623</v>
      </c>
      <c r="O422" s="6" t="s">
        <v>1624</v>
      </c>
      <c r="P422" s="6" t="s">
        <v>1625</v>
      </c>
    </row>
    <row r="423" customFormat="false" ht="15" hidden="false" customHeight="false" outlineLevel="0" collapsed="false">
      <c r="A423" s="6" t="s">
        <v>1626</v>
      </c>
      <c r="B423" s="6" t="s">
        <v>103</v>
      </c>
      <c r="C423" s="7" t="n">
        <v>44377</v>
      </c>
      <c r="D423" s="6" t="s">
        <v>380</v>
      </c>
      <c r="E423" s="6" t="s">
        <v>381</v>
      </c>
      <c r="F423" s="6" t="s">
        <v>1622</v>
      </c>
      <c r="G423" s="6"/>
      <c r="H423" s="11" t="n">
        <f aca="false">H79/H3</f>
        <v>0.871018905331728</v>
      </c>
      <c r="K423" s="6" t="s">
        <v>742</v>
      </c>
      <c r="L423" s="6" t="s">
        <v>15</v>
      </c>
      <c r="M423" s="6" t="s">
        <v>100</v>
      </c>
      <c r="N423" s="6" t="s">
        <v>1623</v>
      </c>
      <c r="O423" s="6" t="s">
        <v>1627</v>
      </c>
      <c r="P423" s="6" t="s">
        <v>1625</v>
      </c>
    </row>
    <row r="424" customFormat="false" ht="15" hidden="false" customHeight="false" outlineLevel="0" collapsed="false">
      <c r="A424" s="6" t="s">
        <v>1628</v>
      </c>
      <c r="B424" s="6" t="s">
        <v>111</v>
      </c>
      <c r="C424" s="7" t="n">
        <v>44469</v>
      </c>
      <c r="D424" s="6" t="s">
        <v>380</v>
      </c>
      <c r="E424" s="6" t="s">
        <v>381</v>
      </c>
      <c r="F424" s="6" t="s">
        <v>1622</v>
      </c>
      <c r="G424" s="6"/>
      <c r="H424" s="11" t="n">
        <f aca="false">H81/H5</f>
        <v>0.876978486593269</v>
      </c>
      <c r="K424" s="6" t="s">
        <v>742</v>
      </c>
      <c r="L424" s="6" t="s">
        <v>15</v>
      </c>
      <c r="M424" s="6" t="s">
        <v>109</v>
      </c>
      <c r="N424" s="6" t="s">
        <v>1623</v>
      </c>
      <c r="O424" s="6" t="s">
        <v>1629</v>
      </c>
      <c r="P424" s="6" t="s">
        <v>1625</v>
      </c>
    </row>
    <row r="425" customFormat="false" ht="15" hidden="false" customHeight="false" outlineLevel="0" collapsed="false">
      <c r="A425" s="6" t="s">
        <v>1630</v>
      </c>
      <c r="B425" s="6" t="s">
        <v>116</v>
      </c>
      <c r="C425" s="7" t="n">
        <v>44561</v>
      </c>
      <c r="D425" s="6" t="s">
        <v>380</v>
      </c>
      <c r="E425" s="6" t="s">
        <v>381</v>
      </c>
      <c r="F425" s="6" t="s">
        <v>1622</v>
      </c>
      <c r="G425" s="6"/>
      <c r="H425" s="11" t="n">
        <f aca="false">H83/H7</f>
        <v>0.876832905960542</v>
      </c>
      <c r="K425" s="6" t="s">
        <v>742</v>
      </c>
      <c r="L425" s="6" t="s">
        <v>15</v>
      </c>
      <c r="M425" s="6" t="s">
        <v>114</v>
      </c>
      <c r="N425" s="6" t="s">
        <v>1623</v>
      </c>
      <c r="O425" s="6" t="s">
        <v>1631</v>
      </c>
      <c r="P425" s="6" t="s">
        <v>1625</v>
      </c>
    </row>
    <row r="426" customFormat="false" ht="15" hidden="false" customHeight="false" outlineLevel="0" collapsed="false">
      <c r="A426" s="6" t="s">
        <v>1632</v>
      </c>
      <c r="B426" s="6" t="s">
        <v>212</v>
      </c>
      <c r="C426" s="7" t="n">
        <v>44561</v>
      </c>
      <c r="D426" s="6" t="s">
        <v>407</v>
      </c>
      <c r="E426" s="6" t="s">
        <v>381</v>
      </c>
      <c r="F426" s="6" t="s">
        <v>1622</v>
      </c>
      <c r="G426" s="6"/>
      <c r="H426" s="11" t="n">
        <f aca="false">H84/H8</f>
        <v>0.873396073340905</v>
      </c>
      <c r="K426" s="6" t="s">
        <v>742</v>
      </c>
      <c r="L426" s="6" t="s">
        <v>15</v>
      </c>
      <c r="M426" s="6" t="s">
        <v>114</v>
      </c>
      <c r="N426" s="6" t="s">
        <v>1623</v>
      </c>
      <c r="O426" s="6" t="s">
        <v>1633</v>
      </c>
      <c r="P426" s="6" t="s">
        <v>1625</v>
      </c>
    </row>
    <row r="427" customFormat="false" ht="15" hidden="false" customHeight="false" outlineLevel="0" collapsed="false">
      <c r="A427" s="6" t="s">
        <v>1634</v>
      </c>
      <c r="B427" s="6" t="s">
        <v>121</v>
      </c>
      <c r="C427" s="7" t="n">
        <v>44651</v>
      </c>
      <c r="D427" s="6" t="s">
        <v>380</v>
      </c>
      <c r="E427" s="6" t="s">
        <v>381</v>
      </c>
      <c r="F427" s="6" t="s">
        <v>1622</v>
      </c>
      <c r="G427" s="6"/>
      <c r="H427" s="11" t="n">
        <f aca="false">H85/H9</f>
        <v>0.865351115699052</v>
      </c>
      <c r="K427" s="6" t="s">
        <v>742</v>
      </c>
      <c r="L427" s="6" t="s">
        <v>15</v>
      </c>
      <c r="M427" s="6" t="s">
        <v>119</v>
      </c>
      <c r="N427" s="6" t="s">
        <v>1623</v>
      </c>
      <c r="O427" s="6" t="s">
        <v>1635</v>
      </c>
      <c r="P427" s="6" t="s">
        <v>1625</v>
      </c>
    </row>
    <row r="428" customFormat="false" ht="15" hidden="false" customHeight="false" outlineLevel="0" collapsed="false">
      <c r="A428" s="6" t="s">
        <v>1636</v>
      </c>
      <c r="B428" s="6" t="s">
        <v>126</v>
      </c>
      <c r="C428" s="7" t="n">
        <v>44742</v>
      </c>
      <c r="D428" s="6" t="s">
        <v>380</v>
      </c>
      <c r="E428" s="6" t="s">
        <v>381</v>
      </c>
      <c r="F428" s="6" t="s">
        <v>1622</v>
      </c>
      <c r="G428" s="6"/>
      <c r="H428" s="11" t="n">
        <f aca="false">H86/H10</f>
        <v>0.864773113047414</v>
      </c>
      <c r="K428" s="6" t="s">
        <v>742</v>
      </c>
      <c r="L428" s="6" t="s">
        <v>15</v>
      </c>
      <c r="M428" s="6" t="s">
        <v>124</v>
      </c>
      <c r="N428" s="6" t="s">
        <v>1623</v>
      </c>
      <c r="O428" s="6" t="s">
        <v>1637</v>
      </c>
      <c r="P428" s="6" t="s">
        <v>1625</v>
      </c>
    </row>
    <row r="429" customFormat="false" ht="15" hidden="false" customHeight="false" outlineLevel="0" collapsed="false">
      <c r="A429" s="6" t="s">
        <v>1638</v>
      </c>
      <c r="B429" s="6" t="s">
        <v>131</v>
      </c>
      <c r="C429" s="7" t="n">
        <v>44834</v>
      </c>
      <c r="D429" s="6" t="s">
        <v>380</v>
      </c>
      <c r="E429" s="6" t="s">
        <v>381</v>
      </c>
      <c r="F429" s="6" t="s">
        <v>1622</v>
      </c>
      <c r="G429" s="6"/>
      <c r="H429" s="11" t="n">
        <f aca="false">H88/H12</f>
        <v>0.86975228828355</v>
      </c>
      <c r="K429" s="6" t="s">
        <v>742</v>
      </c>
      <c r="L429" s="6" t="s">
        <v>15</v>
      </c>
      <c r="M429" s="6" t="s">
        <v>129</v>
      </c>
      <c r="N429" s="6" t="s">
        <v>1623</v>
      </c>
      <c r="O429" s="6" t="s">
        <v>1639</v>
      </c>
      <c r="P429" s="6" t="s">
        <v>1625</v>
      </c>
    </row>
    <row r="430" customFormat="false" ht="15" hidden="false" customHeight="false" outlineLevel="0" collapsed="false">
      <c r="A430" s="6" t="s">
        <v>1640</v>
      </c>
      <c r="B430" s="6" t="s">
        <v>136</v>
      </c>
      <c r="C430" s="7" t="n">
        <v>44926</v>
      </c>
      <c r="D430" s="6" t="s">
        <v>380</v>
      </c>
      <c r="E430" s="6" t="s">
        <v>381</v>
      </c>
      <c r="F430" s="6" t="s">
        <v>1622</v>
      </c>
      <c r="G430" s="6"/>
      <c r="H430" s="11" t="n">
        <f aca="false">H90/H14</f>
        <v>0.884212351838635</v>
      </c>
      <c r="K430" s="6" t="s">
        <v>742</v>
      </c>
      <c r="L430" s="6" t="s">
        <v>15</v>
      </c>
      <c r="M430" s="6" t="s">
        <v>134</v>
      </c>
      <c r="N430" s="6" t="s">
        <v>1623</v>
      </c>
      <c r="O430" s="6" t="s">
        <v>1641</v>
      </c>
      <c r="P430" s="6" t="s">
        <v>1625</v>
      </c>
    </row>
    <row r="431" customFormat="false" ht="15" hidden="false" customHeight="false" outlineLevel="0" collapsed="false">
      <c r="A431" s="6" t="s">
        <v>1642</v>
      </c>
      <c r="B431" s="6" t="s">
        <v>220</v>
      </c>
      <c r="C431" s="7" t="n">
        <v>44926</v>
      </c>
      <c r="D431" s="6" t="s">
        <v>407</v>
      </c>
      <c r="E431" s="6" t="s">
        <v>381</v>
      </c>
      <c r="F431" s="6" t="s">
        <v>1622</v>
      </c>
      <c r="G431" s="6"/>
      <c r="H431" s="11" t="n">
        <f aca="false">H91/H15</f>
        <v>0.871822191052908</v>
      </c>
      <c r="K431" s="6" t="s">
        <v>742</v>
      </c>
      <c r="L431" s="6" t="s">
        <v>15</v>
      </c>
      <c r="M431" s="6" t="s">
        <v>134</v>
      </c>
      <c r="N431" s="6" t="s">
        <v>1623</v>
      </c>
      <c r="O431" s="6" t="s">
        <v>1643</v>
      </c>
      <c r="P431" s="6" t="s">
        <v>1625</v>
      </c>
    </row>
    <row r="432" customFormat="false" ht="15" hidden="false" customHeight="false" outlineLevel="0" collapsed="false">
      <c r="A432" s="6" t="s">
        <v>1644</v>
      </c>
      <c r="B432" s="6" t="s">
        <v>141</v>
      </c>
      <c r="C432" s="7" t="n">
        <v>45016</v>
      </c>
      <c r="D432" s="6" t="s">
        <v>380</v>
      </c>
      <c r="E432" s="6" t="s">
        <v>381</v>
      </c>
      <c r="F432" s="6" t="s">
        <v>1622</v>
      </c>
      <c r="G432" s="6"/>
      <c r="H432" s="11" t="n">
        <f aca="false">H92/H16</f>
        <v>0.895141011734543</v>
      </c>
      <c r="K432" s="6" t="s">
        <v>742</v>
      </c>
      <c r="L432" s="6" t="s">
        <v>15</v>
      </c>
      <c r="M432" s="6" t="s">
        <v>139</v>
      </c>
      <c r="N432" s="6" t="s">
        <v>1623</v>
      </c>
      <c r="O432" s="6" t="s">
        <v>1645</v>
      </c>
      <c r="P432" s="6" t="s">
        <v>1625</v>
      </c>
    </row>
    <row r="433" customFormat="false" ht="15" hidden="false" customHeight="false" outlineLevel="0" collapsed="false">
      <c r="A433" s="6" t="s">
        <v>1646</v>
      </c>
      <c r="B433" s="6" t="s">
        <v>146</v>
      </c>
      <c r="C433" s="7" t="n">
        <v>45107</v>
      </c>
      <c r="D433" s="6" t="s">
        <v>380</v>
      </c>
      <c r="E433" s="6" t="s">
        <v>381</v>
      </c>
      <c r="F433" s="6" t="s">
        <v>1622</v>
      </c>
      <c r="G433" s="6"/>
      <c r="H433" s="11" t="n">
        <f aca="false">H93/H17</f>
        <v>0.888911025222138</v>
      </c>
      <c r="K433" s="6" t="s">
        <v>742</v>
      </c>
      <c r="L433" s="6" t="s">
        <v>15</v>
      </c>
      <c r="M433" s="6" t="s">
        <v>144</v>
      </c>
      <c r="N433" s="6" t="s">
        <v>1623</v>
      </c>
      <c r="O433" s="6" t="s">
        <v>1647</v>
      </c>
      <c r="P433" s="6" t="s">
        <v>1625</v>
      </c>
    </row>
    <row r="434" customFormat="false" ht="15" hidden="false" customHeight="false" outlineLevel="0" collapsed="false">
      <c r="A434" s="6" t="s">
        <v>1648</v>
      </c>
      <c r="B434" s="6" t="s">
        <v>151</v>
      </c>
      <c r="C434" s="7" t="n">
        <v>45199</v>
      </c>
      <c r="D434" s="6" t="s">
        <v>380</v>
      </c>
      <c r="E434" s="6" t="s">
        <v>381</v>
      </c>
      <c r="F434" s="6" t="s">
        <v>1622</v>
      </c>
      <c r="G434" s="6"/>
      <c r="H434" s="11" t="n">
        <f aca="false">H95/H19</f>
        <v>0.885263491727893</v>
      </c>
      <c r="K434" s="6" t="s">
        <v>742</v>
      </c>
      <c r="L434" s="6" t="s">
        <v>15</v>
      </c>
      <c r="M434" s="6" t="s">
        <v>149</v>
      </c>
      <c r="N434" s="6" t="s">
        <v>1623</v>
      </c>
      <c r="O434" s="6" t="s">
        <v>1649</v>
      </c>
      <c r="P434" s="6" t="s">
        <v>1625</v>
      </c>
    </row>
    <row r="435" customFormat="false" ht="15" hidden="false" customHeight="false" outlineLevel="0" collapsed="false">
      <c r="A435" s="6" t="s">
        <v>1650</v>
      </c>
      <c r="B435" s="6" t="s">
        <v>156</v>
      </c>
      <c r="C435" s="7" t="n">
        <v>45291</v>
      </c>
      <c r="D435" s="6" t="s">
        <v>380</v>
      </c>
      <c r="E435" s="6" t="s">
        <v>381</v>
      </c>
      <c r="F435" s="6" t="s">
        <v>1622</v>
      </c>
      <c r="G435" s="6"/>
      <c r="H435" s="11" t="n">
        <f aca="false">H97/H21</f>
        <v>0.889381448388212</v>
      </c>
      <c r="K435" s="6" t="s">
        <v>742</v>
      </c>
      <c r="L435" s="6" t="s">
        <v>15</v>
      </c>
      <c r="M435" s="6" t="s">
        <v>154</v>
      </c>
      <c r="N435" s="6" t="s">
        <v>1623</v>
      </c>
      <c r="O435" s="6" t="s">
        <v>1651</v>
      </c>
      <c r="P435" s="6" t="s">
        <v>1625</v>
      </c>
    </row>
    <row r="436" customFormat="false" ht="15" hidden="false" customHeight="false" outlineLevel="0" collapsed="false">
      <c r="A436" s="6" t="s">
        <v>1652</v>
      </c>
      <c r="B436" s="6" t="s">
        <v>225</v>
      </c>
      <c r="C436" s="7" t="n">
        <v>45291</v>
      </c>
      <c r="D436" s="6" t="s">
        <v>407</v>
      </c>
      <c r="E436" s="6" t="s">
        <v>381</v>
      </c>
      <c r="F436" s="6" t="s">
        <v>1622</v>
      </c>
      <c r="G436" s="6"/>
      <c r="H436" s="11" t="n">
        <f aca="false">H98/H22</f>
        <v>0.889481221606288</v>
      </c>
      <c r="K436" s="6" t="s">
        <v>742</v>
      </c>
      <c r="L436" s="6" t="s">
        <v>15</v>
      </c>
      <c r="M436" s="6" t="s">
        <v>154</v>
      </c>
      <c r="N436" s="6" t="s">
        <v>1623</v>
      </c>
      <c r="O436" s="6" t="s">
        <v>1653</v>
      </c>
      <c r="P436" s="6" t="s">
        <v>1625</v>
      </c>
    </row>
    <row r="437" customFormat="false" ht="15" hidden="false" customHeight="false" outlineLevel="0" collapsed="false">
      <c r="A437" s="6" t="s">
        <v>1654</v>
      </c>
      <c r="B437" s="6" t="s">
        <v>161</v>
      </c>
      <c r="C437" s="7" t="n">
        <v>45382</v>
      </c>
      <c r="D437" s="6" t="s">
        <v>380</v>
      </c>
      <c r="E437" s="6" t="s">
        <v>381</v>
      </c>
      <c r="F437" s="6" t="s">
        <v>1622</v>
      </c>
      <c r="G437" s="6"/>
      <c r="H437" s="11" t="n">
        <f aca="false">H99/H23</f>
        <v>0.891873700515875</v>
      </c>
      <c r="K437" s="6" t="s">
        <v>742</v>
      </c>
      <c r="L437" s="6" t="s">
        <v>15</v>
      </c>
      <c r="M437" s="6" t="s">
        <v>159</v>
      </c>
      <c r="N437" s="6" t="s">
        <v>1623</v>
      </c>
      <c r="O437" s="6" t="s">
        <v>1655</v>
      </c>
      <c r="P437" s="6" t="s">
        <v>1625</v>
      </c>
    </row>
    <row r="438" customFormat="false" ht="15" hidden="false" customHeight="false" outlineLevel="0" collapsed="false">
      <c r="A438" s="6" t="s">
        <v>1656</v>
      </c>
      <c r="B438" s="6" t="s">
        <v>166</v>
      </c>
      <c r="C438" s="7" t="n">
        <v>45473</v>
      </c>
      <c r="D438" s="6" t="s">
        <v>380</v>
      </c>
      <c r="E438" s="6" t="s">
        <v>381</v>
      </c>
      <c r="F438" s="6" t="s">
        <v>1622</v>
      </c>
      <c r="G438" s="6"/>
      <c r="H438" s="11" t="n">
        <f aca="false">H100/H24</f>
        <v>0.899354527203883</v>
      </c>
      <c r="K438" s="6" t="s">
        <v>742</v>
      </c>
      <c r="L438" s="6" t="s">
        <v>15</v>
      </c>
      <c r="M438" s="6" t="s">
        <v>164</v>
      </c>
      <c r="N438" s="6" t="s">
        <v>1623</v>
      </c>
      <c r="O438" s="6" t="s">
        <v>1657</v>
      </c>
      <c r="P438" s="6" t="s">
        <v>1625</v>
      </c>
    </row>
    <row r="439" customFormat="false" ht="15" hidden="false" customHeight="false" outlineLevel="0" collapsed="false">
      <c r="A439" s="6" t="s">
        <v>1658</v>
      </c>
      <c r="B439" s="6" t="s">
        <v>171</v>
      </c>
      <c r="C439" s="7" t="n">
        <v>45565</v>
      </c>
      <c r="D439" s="6" t="s">
        <v>380</v>
      </c>
      <c r="E439" s="6" t="s">
        <v>381</v>
      </c>
      <c r="F439" s="6" t="s">
        <v>1622</v>
      </c>
      <c r="G439" s="6"/>
      <c r="H439" s="11" t="n">
        <f aca="false">H102/H26</f>
        <v>0.896525896414343</v>
      </c>
      <c r="K439" s="6" t="s">
        <v>742</v>
      </c>
      <c r="L439" s="6" t="s">
        <v>15</v>
      </c>
      <c r="M439" s="6" t="s">
        <v>169</v>
      </c>
      <c r="N439" s="6" t="s">
        <v>1623</v>
      </c>
      <c r="O439" s="6" t="s">
        <v>1659</v>
      </c>
      <c r="P439" s="6" t="s">
        <v>1625</v>
      </c>
    </row>
    <row r="440" customFormat="false" ht="15" hidden="false" customHeight="false" outlineLevel="0" collapsed="false">
      <c r="A440" s="6" t="s">
        <v>1660</v>
      </c>
      <c r="B440" s="6" t="s">
        <v>176</v>
      </c>
      <c r="C440" s="7" t="n">
        <v>45657</v>
      </c>
      <c r="D440" s="6" t="s">
        <v>380</v>
      </c>
      <c r="E440" s="6" t="s">
        <v>381</v>
      </c>
      <c r="F440" s="6" t="s">
        <v>1622</v>
      </c>
      <c r="G440" s="6"/>
      <c r="H440" s="11" t="n">
        <f aca="false">H104/H28</f>
        <v>0.886176374003642</v>
      </c>
      <c r="K440" s="6" t="s">
        <v>742</v>
      </c>
      <c r="L440" s="6" t="s">
        <v>15</v>
      </c>
      <c r="M440" s="6" t="s">
        <v>174</v>
      </c>
      <c r="N440" s="6" t="s">
        <v>1623</v>
      </c>
      <c r="O440" s="6" t="s">
        <v>1661</v>
      </c>
      <c r="P440" s="6" t="s">
        <v>1625</v>
      </c>
    </row>
    <row r="441" customFormat="false" ht="15" hidden="false" customHeight="false" outlineLevel="0" collapsed="false">
      <c r="A441" s="6" t="s">
        <v>1662</v>
      </c>
      <c r="B441" s="6" t="s">
        <v>230</v>
      </c>
      <c r="C441" s="7" t="n">
        <v>45657</v>
      </c>
      <c r="D441" s="6" t="s">
        <v>407</v>
      </c>
      <c r="E441" s="6" t="s">
        <v>381</v>
      </c>
      <c r="F441" s="6" t="s">
        <v>1622</v>
      </c>
      <c r="G441" s="6"/>
      <c r="H441" s="11" t="n">
        <f aca="false">H105/H29</f>
        <v>0.893321467703023</v>
      </c>
      <c r="K441" s="6" t="s">
        <v>742</v>
      </c>
      <c r="L441" s="6" t="s">
        <v>15</v>
      </c>
      <c r="M441" s="6" t="s">
        <v>174</v>
      </c>
      <c r="N441" s="6" t="s">
        <v>1623</v>
      </c>
      <c r="O441" s="6" t="s">
        <v>1663</v>
      </c>
      <c r="P441" s="6" t="s">
        <v>1625</v>
      </c>
    </row>
    <row r="442" customFormat="false" ht="15" hidden="false" customHeight="false" outlineLevel="0" collapsed="false">
      <c r="A442" s="6" t="s">
        <v>1664</v>
      </c>
      <c r="B442" s="6" t="s">
        <v>181</v>
      </c>
      <c r="C442" s="7" t="n">
        <v>45747</v>
      </c>
      <c r="D442" s="6" t="s">
        <v>380</v>
      </c>
      <c r="E442" s="6" t="s">
        <v>381</v>
      </c>
      <c r="F442" s="6" t="s">
        <v>1622</v>
      </c>
      <c r="G442" s="6"/>
      <c r="H442" s="11" t="n">
        <f aca="false">H106/H30</f>
        <v>0.897945084145261</v>
      </c>
      <c r="K442" s="6" t="s">
        <v>742</v>
      </c>
      <c r="L442" s="6" t="s">
        <v>15</v>
      </c>
      <c r="M442" s="6" t="s">
        <v>179</v>
      </c>
      <c r="N442" s="6" t="s">
        <v>1623</v>
      </c>
      <c r="O442" s="6" t="s">
        <v>1665</v>
      </c>
      <c r="P442" s="6" t="s">
        <v>1625</v>
      </c>
    </row>
    <row r="443" customFormat="false" ht="15" hidden="false" customHeight="false" outlineLevel="0" collapsed="false">
      <c r="A443" s="6" t="s">
        <v>1666</v>
      </c>
      <c r="B443" s="6" t="s">
        <v>186</v>
      </c>
      <c r="C443" s="7" t="n">
        <v>45838</v>
      </c>
      <c r="D443" s="6" t="s">
        <v>380</v>
      </c>
      <c r="E443" s="6" t="s">
        <v>381</v>
      </c>
      <c r="F443" s="6" t="s">
        <v>1622</v>
      </c>
      <c r="G443" s="6"/>
      <c r="H443" s="11" t="n">
        <f aca="false">H107/H31</f>
        <v>0.895747356311076</v>
      </c>
      <c r="K443" s="6" t="s">
        <v>742</v>
      </c>
      <c r="L443" s="6" t="s">
        <v>15</v>
      </c>
      <c r="M443" s="6" t="s">
        <v>184</v>
      </c>
      <c r="N443" s="6" t="s">
        <v>1623</v>
      </c>
      <c r="O443" s="6" t="s">
        <v>1667</v>
      </c>
      <c r="P443" s="6" t="s">
        <v>1625</v>
      </c>
    </row>
    <row r="444" customFormat="false" ht="15" hidden="false" customHeight="false" outlineLevel="0" collapsed="false">
      <c r="A444" s="6" t="s">
        <v>1668</v>
      </c>
      <c r="B444" s="6" t="s">
        <v>191</v>
      </c>
      <c r="C444" s="7" t="n">
        <v>45930</v>
      </c>
      <c r="D444" s="6" t="s">
        <v>380</v>
      </c>
      <c r="E444" s="6" t="s">
        <v>381</v>
      </c>
      <c r="F444" s="6" t="s">
        <v>1622</v>
      </c>
      <c r="G444" s="6"/>
      <c r="H444" s="11" t="n">
        <f aca="false">H109/H33</f>
        <v>0.887052437234697</v>
      </c>
      <c r="K444" s="6" t="s">
        <v>742</v>
      </c>
      <c r="L444" s="6" t="s">
        <v>15</v>
      </c>
      <c r="M444" s="6" t="s">
        <v>189</v>
      </c>
      <c r="N444" s="6" t="s">
        <v>1623</v>
      </c>
      <c r="O444" s="6" t="s">
        <v>1669</v>
      </c>
      <c r="P444" s="6" t="s">
        <v>1625</v>
      </c>
    </row>
    <row r="445" customFormat="false" ht="15" hidden="false" customHeight="false" outlineLevel="0" collapsed="false">
      <c r="A445" s="6" t="s">
        <v>1670</v>
      </c>
      <c r="B445" s="6" t="s">
        <v>196</v>
      </c>
      <c r="C445" s="7" t="n">
        <v>46022</v>
      </c>
      <c r="D445" s="6" t="s">
        <v>380</v>
      </c>
      <c r="E445" s="6" t="s">
        <v>381</v>
      </c>
      <c r="F445" s="6" t="s">
        <v>1622</v>
      </c>
      <c r="G445" s="6"/>
      <c r="H445" s="11" t="n">
        <f aca="false">H111/H35</f>
        <v>0.88818370782142</v>
      </c>
      <c r="K445" s="6" t="s">
        <v>742</v>
      </c>
      <c r="L445" s="6" t="s">
        <v>15</v>
      </c>
      <c r="M445" s="6" t="s">
        <v>194</v>
      </c>
      <c r="N445" s="6" t="s">
        <v>1623</v>
      </c>
      <c r="O445" s="6" t="s">
        <v>1671</v>
      </c>
      <c r="P445" s="6" t="s">
        <v>1625</v>
      </c>
    </row>
    <row r="446" customFormat="false" ht="15" hidden="false" customHeight="false" outlineLevel="0" collapsed="false">
      <c r="A446" s="6" t="s">
        <v>1672</v>
      </c>
      <c r="B446" s="6" t="s">
        <v>235</v>
      </c>
      <c r="C446" s="7" t="n">
        <v>46022</v>
      </c>
      <c r="D446" s="6" t="s">
        <v>407</v>
      </c>
      <c r="E446" s="6" t="s">
        <v>381</v>
      </c>
      <c r="F446" s="6" t="s">
        <v>1622</v>
      </c>
      <c r="G446" s="6"/>
      <c r="H446" s="11" t="n">
        <f aca="false">H112/H36</f>
        <v>0.891964834329954</v>
      </c>
      <c r="K446" s="6" t="s">
        <v>742</v>
      </c>
      <c r="L446" s="6" t="s">
        <v>15</v>
      </c>
      <c r="M446" s="6" t="s">
        <v>194</v>
      </c>
      <c r="N446" s="6" t="s">
        <v>1623</v>
      </c>
      <c r="O446" s="6" t="s">
        <v>1673</v>
      </c>
      <c r="P446" s="6" t="s">
        <v>1625</v>
      </c>
    </row>
    <row r="447" customFormat="false" ht="15" hidden="false" customHeight="false" outlineLevel="0" collapsed="false">
      <c r="A447" s="6" t="s">
        <v>1674</v>
      </c>
      <c r="B447" s="6" t="s">
        <v>201</v>
      </c>
      <c r="C447" s="7" t="n">
        <v>46112</v>
      </c>
      <c r="D447" s="6" t="s">
        <v>380</v>
      </c>
      <c r="E447" s="6" t="s">
        <v>381</v>
      </c>
      <c r="F447" s="6" t="s">
        <v>1622</v>
      </c>
      <c r="G447" s="6"/>
      <c r="H447" s="11" t="n">
        <f aca="false">H113/H37</f>
        <v>0.891466556588331</v>
      </c>
      <c r="K447" s="6" t="s">
        <v>742</v>
      </c>
      <c r="L447" s="6" t="s">
        <v>15</v>
      </c>
      <c r="M447" s="6" t="s">
        <v>199</v>
      </c>
      <c r="N447" s="6" t="s">
        <v>1623</v>
      </c>
      <c r="O447" s="6" t="s">
        <v>1675</v>
      </c>
      <c r="P447" s="6" t="s">
        <v>1625</v>
      </c>
    </row>
    <row r="448" customFormat="false" ht="15" hidden="false" customHeight="false" outlineLevel="0" collapsed="false">
      <c r="A448" s="6" t="s">
        <v>1676</v>
      </c>
      <c r="B448" s="6" t="s">
        <v>206</v>
      </c>
      <c r="C448" s="7" t="n">
        <v>46203</v>
      </c>
      <c r="D448" s="6" t="s">
        <v>380</v>
      </c>
      <c r="E448" s="6" t="s">
        <v>381</v>
      </c>
      <c r="F448" s="6" t="s">
        <v>1622</v>
      </c>
      <c r="G448" s="6"/>
      <c r="H448" s="11" t="n">
        <f aca="false">H114/H38</f>
        <v>0.882999059297188</v>
      </c>
      <c r="K448" s="6" t="s">
        <v>742</v>
      </c>
      <c r="L448" s="6" t="s">
        <v>15</v>
      </c>
      <c r="M448" s="6" t="s">
        <v>204</v>
      </c>
      <c r="N448" s="6" t="s">
        <v>1623</v>
      </c>
      <c r="O448" s="6" t="s">
        <v>1677</v>
      </c>
      <c r="P448" s="6" t="s">
        <v>1625</v>
      </c>
    </row>
    <row r="449" customFormat="false" ht="15" hidden="false" customHeight="false" outlineLevel="0" collapsed="false">
      <c r="A449" s="6" t="s">
        <v>1678</v>
      </c>
      <c r="B449" s="6" t="s">
        <v>379</v>
      </c>
      <c r="C449" s="7" t="n">
        <v>44286</v>
      </c>
      <c r="D449" s="6" t="s">
        <v>380</v>
      </c>
      <c r="E449" s="6" t="s">
        <v>381</v>
      </c>
      <c r="F449" s="6" t="s">
        <v>1679</v>
      </c>
      <c r="G449" s="6"/>
      <c r="H449" s="11" t="n">
        <f aca="false">H308/H2</f>
        <v>-0.641779149426847</v>
      </c>
      <c r="K449" s="6" t="s">
        <v>742</v>
      </c>
      <c r="L449" s="6" t="s">
        <v>15</v>
      </c>
      <c r="M449" s="6" t="s">
        <v>119</v>
      </c>
      <c r="N449" s="6" t="s">
        <v>1623</v>
      </c>
      <c r="O449" s="6" t="s">
        <v>1680</v>
      </c>
      <c r="P449" s="6" t="s">
        <v>1625</v>
      </c>
    </row>
    <row r="450" customFormat="false" ht="15" hidden="false" customHeight="false" outlineLevel="0" collapsed="false">
      <c r="A450" s="6" t="s">
        <v>1681</v>
      </c>
      <c r="B450" s="6" t="s">
        <v>103</v>
      </c>
      <c r="C450" s="7" t="n">
        <v>44377</v>
      </c>
      <c r="D450" s="6" t="s">
        <v>380</v>
      </c>
      <c r="E450" s="6" t="s">
        <v>381</v>
      </c>
      <c r="F450" s="6" t="s">
        <v>1679</v>
      </c>
      <c r="G450" s="6"/>
      <c r="H450" s="11" t="n">
        <f aca="false">H309/H3</f>
        <v>-0.388996672095164</v>
      </c>
      <c r="K450" s="6" t="s">
        <v>742</v>
      </c>
      <c r="L450" s="6" t="s">
        <v>15</v>
      </c>
      <c r="M450" s="6" t="s">
        <v>100</v>
      </c>
      <c r="N450" s="6" t="s">
        <v>1623</v>
      </c>
      <c r="O450" s="6" t="s">
        <v>1682</v>
      </c>
      <c r="P450" s="6" t="s">
        <v>1625</v>
      </c>
    </row>
    <row r="451" customFormat="false" ht="15" hidden="false" customHeight="false" outlineLevel="0" collapsed="false">
      <c r="A451" s="6" t="s">
        <v>1683</v>
      </c>
      <c r="B451" s="6" t="s">
        <v>111</v>
      </c>
      <c r="C451" s="7" t="n">
        <v>44469</v>
      </c>
      <c r="D451" s="6" t="s">
        <v>380</v>
      </c>
      <c r="E451" s="6" t="s">
        <v>381</v>
      </c>
      <c r="F451" s="6" t="s">
        <v>1679</v>
      </c>
      <c r="G451" s="6"/>
      <c r="H451" s="11" t="n">
        <f aca="false">H311/H5</f>
        <v>-0.351863451299718</v>
      </c>
      <c r="K451" s="6" t="s">
        <v>742</v>
      </c>
      <c r="L451" s="6" t="s">
        <v>15</v>
      </c>
      <c r="M451" s="6" t="s">
        <v>109</v>
      </c>
      <c r="N451" s="6" t="s">
        <v>1623</v>
      </c>
      <c r="O451" s="6" t="s">
        <v>1684</v>
      </c>
      <c r="P451" s="6" t="s">
        <v>1625</v>
      </c>
    </row>
    <row r="452" customFormat="false" ht="15" hidden="false" customHeight="false" outlineLevel="0" collapsed="false">
      <c r="A452" s="6" t="s">
        <v>1685</v>
      </c>
      <c r="B452" s="6" t="s">
        <v>116</v>
      </c>
      <c r="C452" s="7" t="n">
        <v>44561</v>
      </c>
      <c r="D452" s="6" t="s">
        <v>380</v>
      </c>
      <c r="E452" s="6" t="s">
        <v>381</v>
      </c>
      <c r="F452" s="6" t="s">
        <v>1679</v>
      </c>
      <c r="G452" s="6"/>
      <c r="H452" s="11" t="n">
        <f aca="false">H313/H7</f>
        <v>-0.330713276466586</v>
      </c>
      <c r="K452" s="6" t="s">
        <v>742</v>
      </c>
      <c r="L452" s="6" t="s">
        <v>15</v>
      </c>
      <c r="M452" s="6" t="s">
        <v>114</v>
      </c>
      <c r="N452" s="6" t="s">
        <v>1623</v>
      </c>
      <c r="O452" s="6" t="s">
        <v>1686</v>
      </c>
      <c r="P452" s="6" t="s">
        <v>1625</v>
      </c>
    </row>
    <row r="453" customFormat="false" ht="15" hidden="false" customHeight="false" outlineLevel="0" collapsed="false">
      <c r="A453" s="6" t="s">
        <v>1687</v>
      </c>
      <c r="B453" s="6" t="s">
        <v>212</v>
      </c>
      <c r="C453" s="7" t="n">
        <v>44561</v>
      </c>
      <c r="D453" s="6" t="s">
        <v>407</v>
      </c>
      <c r="E453" s="6" t="s">
        <v>381</v>
      </c>
      <c r="F453" s="6" t="s">
        <v>1679</v>
      </c>
      <c r="G453" s="6"/>
      <c r="H453" s="11" t="n">
        <f aca="false">H314/H8</f>
        <v>-0.40929742008762</v>
      </c>
      <c r="K453" s="6" t="s">
        <v>742</v>
      </c>
      <c r="L453" s="6" t="s">
        <v>15</v>
      </c>
      <c r="M453" s="6" t="s">
        <v>114</v>
      </c>
      <c r="N453" s="6" t="s">
        <v>1623</v>
      </c>
      <c r="O453" s="6" t="s">
        <v>1688</v>
      </c>
      <c r="P453" s="6" t="s">
        <v>1625</v>
      </c>
    </row>
    <row r="454" customFormat="false" ht="15" hidden="false" customHeight="false" outlineLevel="0" collapsed="false">
      <c r="A454" s="6" t="s">
        <v>1689</v>
      </c>
      <c r="B454" s="6" t="s">
        <v>121</v>
      </c>
      <c r="C454" s="7" t="n">
        <v>44651</v>
      </c>
      <c r="D454" s="6" t="s">
        <v>380</v>
      </c>
      <c r="E454" s="6" t="s">
        <v>381</v>
      </c>
      <c r="F454" s="6" t="s">
        <v>1679</v>
      </c>
      <c r="G454" s="6"/>
      <c r="H454" s="11" t="n">
        <f aca="false">H315/H9</f>
        <v>-0.622100150234569</v>
      </c>
      <c r="K454" s="6" t="s">
        <v>742</v>
      </c>
      <c r="L454" s="6" t="s">
        <v>15</v>
      </c>
      <c r="M454" s="6" t="s">
        <v>119</v>
      </c>
      <c r="N454" s="6" t="s">
        <v>1623</v>
      </c>
      <c r="O454" s="6" t="s">
        <v>1690</v>
      </c>
      <c r="P454" s="6" t="s">
        <v>1625</v>
      </c>
    </row>
    <row r="455" customFormat="false" ht="15" hidden="false" customHeight="false" outlineLevel="0" collapsed="false">
      <c r="A455" s="6" t="s">
        <v>1691</v>
      </c>
      <c r="B455" s="6" t="s">
        <v>126</v>
      </c>
      <c r="C455" s="7" t="n">
        <v>44742</v>
      </c>
      <c r="D455" s="6" t="s">
        <v>380</v>
      </c>
      <c r="E455" s="6" t="s">
        <v>381</v>
      </c>
      <c r="F455" s="6" t="s">
        <v>1679</v>
      </c>
      <c r="G455" s="6"/>
      <c r="H455" s="11" t="n">
        <f aca="false">H316/H10</f>
        <v>-0.373268239059797</v>
      </c>
      <c r="K455" s="6" t="s">
        <v>742</v>
      </c>
      <c r="L455" s="6" t="s">
        <v>15</v>
      </c>
      <c r="M455" s="6" t="s">
        <v>124</v>
      </c>
      <c r="N455" s="6" t="s">
        <v>1623</v>
      </c>
      <c r="O455" s="6" t="s">
        <v>1692</v>
      </c>
      <c r="P455" s="6" t="s">
        <v>1625</v>
      </c>
    </row>
    <row r="456" customFormat="false" ht="15" hidden="false" customHeight="false" outlineLevel="0" collapsed="false">
      <c r="A456" s="6" t="s">
        <v>1693</v>
      </c>
      <c r="B456" s="6" t="s">
        <v>131</v>
      </c>
      <c r="C456" s="7" t="n">
        <v>44834</v>
      </c>
      <c r="D456" s="6" t="s">
        <v>380</v>
      </c>
      <c r="E456" s="6" t="s">
        <v>381</v>
      </c>
      <c r="F456" s="6" t="s">
        <v>1679</v>
      </c>
      <c r="G456" s="6"/>
      <c r="H456" s="11" t="n">
        <f aca="false">H318/H12</f>
        <v>-0.206285200850299</v>
      </c>
      <c r="K456" s="6" t="s">
        <v>742</v>
      </c>
      <c r="L456" s="6" t="s">
        <v>15</v>
      </c>
      <c r="M456" s="6" t="s">
        <v>129</v>
      </c>
      <c r="N456" s="6" t="s">
        <v>1623</v>
      </c>
      <c r="O456" s="6" t="s">
        <v>1694</v>
      </c>
      <c r="P456" s="6" t="s">
        <v>1625</v>
      </c>
    </row>
    <row r="457" customFormat="false" ht="15" hidden="false" customHeight="false" outlineLevel="0" collapsed="false">
      <c r="A457" s="6" t="s">
        <v>1695</v>
      </c>
      <c r="B457" s="6" t="s">
        <v>136</v>
      </c>
      <c r="C457" s="7" t="n">
        <v>44926</v>
      </c>
      <c r="D457" s="6" t="s">
        <v>380</v>
      </c>
      <c r="E457" s="6" t="s">
        <v>381</v>
      </c>
      <c r="F457" s="6" t="s">
        <v>1679</v>
      </c>
      <c r="G457" s="6"/>
      <c r="H457" s="11" t="n">
        <f aca="false">H320/H14</f>
        <v>-0.0673688142421675</v>
      </c>
      <c r="K457" s="6" t="s">
        <v>742</v>
      </c>
      <c r="L457" s="6" t="s">
        <v>15</v>
      </c>
      <c r="M457" s="6" t="s">
        <v>134</v>
      </c>
      <c r="N457" s="6" t="s">
        <v>1623</v>
      </c>
      <c r="O457" s="6" t="s">
        <v>1696</v>
      </c>
      <c r="P457" s="6" t="s">
        <v>1625</v>
      </c>
    </row>
    <row r="458" customFormat="false" ht="15" hidden="false" customHeight="false" outlineLevel="0" collapsed="false">
      <c r="A458" s="6" t="s">
        <v>1697</v>
      </c>
      <c r="B458" s="6" t="s">
        <v>220</v>
      </c>
      <c r="C458" s="7" t="n">
        <v>44926</v>
      </c>
      <c r="D458" s="6" t="s">
        <v>407</v>
      </c>
      <c r="E458" s="6" t="s">
        <v>381</v>
      </c>
      <c r="F458" s="6" t="s">
        <v>1679</v>
      </c>
      <c r="G458" s="6"/>
      <c r="H458" s="11" t="n">
        <f aca="false">H321/H15</f>
        <v>-0.292883441965671</v>
      </c>
      <c r="K458" s="6" t="s">
        <v>742</v>
      </c>
      <c r="L458" s="6" t="s">
        <v>15</v>
      </c>
      <c r="M458" s="6" t="s">
        <v>134</v>
      </c>
      <c r="N458" s="6" t="s">
        <v>1623</v>
      </c>
      <c r="O458" s="6" t="s">
        <v>1698</v>
      </c>
      <c r="P458" s="6" t="s">
        <v>1625</v>
      </c>
    </row>
    <row r="459" customFormat="false" ht="15" hidden="false" customHeight="false" outlineLevel="0" collapsed="false">
      <c r="A459" s="6" t="s">
        <v>1699</v>
      </c>
      <c r="B459" s="6" t="s">
        <v>141</v>
      </c>
      <c r="C459" s="7" t="n">
        <v>45016</v>
      </c>
      <c r="D459" s="6" t="s">
        <v>380</v>
      </c>
      <c r="E459" s="6" t="s">
        <v>381</v>
      </c>
      <c r="F459" s="6" t="s">
        <v>1679</v>
      </c>
      <c r="G459" s="6"/>
      <c r="H459" s="11" t="n">
        <f aca="false">H322/H16</f>
        <v>-0.140222857706341</v>
      </c>
      <c r="K459" s="6" t="s">
        <v>742</v>
      </c>
      <c r="L459" s="6" t="s">
        <v>15</v>
      </c>
      <c r="M459" s="6" t="s">
        <v>139</v>
      </c>
      <c r="N459" s="6" t="s">
        <v>1623</v>
      </c>
      <c r="O459" s="6" t="s">
        <v>1700</v>
      </c>
      <c r="P459" s="6" t="s">
        <v>1625</v>
      </c>
    </row>
    <row r="460" customFormat="false" ht="15" hidden="false" customHeight="false" outlineLevel="0" collapsed="false">
      <c r="A460" s="6" t="s">
        <v>1701</v>
      </c>
      <c r="B460" s="6" t="s">
        <v>146</v>
      </c>
      <c r="C460" s="7" t="n">
        <v>45107</v>
      </c>
      <c r="D460" s="6" t="s">
        <v>380</v>
      </c>
      <c r="E460" s="6" t="s">
        <v>381</v>
      </c>
      <c r="F460" s="6" t="s">
        <v>1679</v>
      </c>
      <c r="G460" s="6"/>
      <c r="H460" s="11" t="n">
        <f aca="false">H323/H17</f>
        <v>-0.0692569971368234</v>
      </c>
      <c r="K460" s="6" t="s">
        <v>742</v>
      </c>
      <c r="L460" s="6" t="s">
        <v>15</v>
      </c>
      <c r="M460" s="6" t="s">
        <v>144</v>
      </c>
      <c r="N460" s="6" t="s">
        <v>1623</v>
      </c>
      <c r="O460" s="6" t="s">
        <v>1702</v>
      </c>
      <c r="P460" s="6" t="s">
        <v>1625</v>
      </c>
    </row>
    <row r="461" customFormat="false" ht="15" hidden="false" customHeight="false" outlineLevel="0" collapsed="false">
      <c r="A461" s="6" t="s">
        <v>1703</v>
      </c>
      <c r="B461" s="6" t="s">
        <v>151</v>
      </c>
      <c r="C461" s="7" t="n">
        <v>45199</v>
      </c>
      <c r="D461" s="6" t="s">
        <v>380</v>
      </c>
      <c r="E461" s="6" t="s">
        <v>381</v>
      </c>
      <c r="F461" s="6" t="s">
        <v>1679</v>
      </c>
      <c r="G461" s="6"/>
      <c r="H461" s="11" t="n">
        <f aca="false">H325/H19</f>
        <v>-0.0133252286061631</v>
      </c>
      <c r="K461" s="6" t="s">
        <v>742</v>
      </c>
      <c r="L461" s="6" t="s">
        <v>15</v>
      </c>
      <c r="M461" s="6" t="s">
        <v>149</v>
      </c>
      <c r="N461" s="6" t="s">
        <v>1623</v>
      </c>
      <c r="O461" s="6" t="s">
        <v>1704</v>
      </c>
      <c r="P461" s="6" t="s">
        <v>1625</v>
      </c>
    </row>
    <row r="462" customFormat="false" ht="15" hidden="false" customHeight="false" outlineLevel="0" collapsed="false">
      <c r="A462" s="6" t="s">
        <v>1705</v>
      </c>
      <c r="B462" s="6" t="s">
        <v>156</v>
      </c>
      <c r="C462" s="7" t="n">
        <v>45291</v>
      </c>
      <c r="D462" s="6" t="s">
        <v>380</v>
      </c>
      <c r="E462" s="6" t="s">
        <v>381</v>
      </c>
      <c r="F462" s="6" t="s">
        <v>1679</v>
      </c>
      <c r="G462" s="6"/>
      <c r="H462" s="11" t="n">
        <f aca="false">H327/H21</f>
        <v>-0.00565236708298366</v>
      </c>
      <c r="K462" s="6" t="s">
        <v>742</v>
      </c>
      <c r="L462" s="6" t="s">
        <v>15</v>
      </c>
      <c r="M462" s="6" t="s">
        <v>154</v>
      </c>
      <c r="N462" s="6" t="s">
        <v>1623</v>
      </c>
      <c r="O462" s="6" t="s">
        <v>1706</v>
      </c>
      <c r="P462" s="6" t="s">
        <v>1625</v>
      </c>
    </row>
    <row r="463" customFormat="false" ht="15" hidden="false" customHeight="false" outlineLevel="0" collapsed="false">
      <c r="A463" s="6" t="s">
        <v>1707</v>
      </c>
      <c r="B463" s="6" t="s">
        <v>225</v>
      </c>
      <c r="C463" s="7" t="n">
        <v>45291</v>
      </c>
      <c r="D463" s="6" t="s">
        <v>407</v>
      </c>
      <c r="E463" s="6" t="s">
        <v>381</v>
      </c>
      <c r="F463" s="6" t="s">
        <v>1679</v>
      </c>
      <c r="G463" s="6"/>
      <c r="H463" s="11" t="n">
        <f aca="false">H328/H22</f>
        <v>-0.0528782573541</v>
      </c>
      <c r="K463" s="6" t="s">
        <v>742</v>
      </c>
      <c r="L463" s="6" t="s">
        <v>15</v>
      </c>
      <c r="M463" s="6" t="s">
        <v>154</v>
      </c>
      <c r="N463" s="6" t="s">
        <v>1623</v>
      </c>
      <c r="O463" s="6" t="s">
        <v>1708</v>
      </c>
      <c r="P463" s="6" t="s">
        <v>1625</v>
      </c>
    </row>
    <row r="464" customFormat="false" ht="15" hidden="false" customHeight="false" outlineLevel="0" collapsed="false">
      <c r="A464" s="6" t="s">
        <v>1709</v>
      </c>
      <c r="B464" s="6" t="s">
        <v>161</v>
      </c>
      <c r="C464" s="7" t="n">
        <v>45382</v>
      </c>
      <c r="D464" s="6" t="s">
        <v>380</v>
      </c>
      <c r="E464" s="6" t="s">
        <v>381</v>
      </c>
      <c r="F464" s="6" t="s">
        <v>1679</v>
      </c>
      <c r="G464" s="6"/>
      <c r="H464" s="11" t="n">
        <f aca="false">H329/H23</f>
        <v>-0.0231521393369692</v>
      </c>
      <c r="K464" s="6" t="s">
        <v>742</v>
      </c>
      <c r="L464" s="6" t="s">
        <v>15</v>
      </c>
      <c r="M464" s="6" t="s">
        <v>159</v>
      </c>
      <c r="N464" s="6" t="s">
        <v>1623</v>
      </c>
      <c r="O464" s="6" t="s">
        <v>1710</v>
      </c>
      <c r="P464" s="6" t="s">
        <v>1625</v>
      </c>
    </row>
    <row r="465" customFormat="false" ht="15" hidden="false" customHeight="false" outlineLevel="0" collapsed="false">
      <c r="A465" s="6" t="s">
        <v>1711</v>
      </c>
      <c r="B465" s="6" t="s">
        <v>166</v>
      </c>
      <c r="C465" s="7" t="n">
        <v>45473</v>
      </c>
      <c r="D465" s="6" t="s">
        <v>380</v>
      </c>
      <c r="E465" s="6" t="s">
        <v>381</v>
      </c>
      <c r="F465" s="6" t="s">
        <v>1679</v>
      </c>
      <c r="G465" s="6"/>
      <c r="H465" s="11" t="n">
        <f aca="false">H330/H24</f>
        <v>0.007598282127519</v>
      </c>
      <c r="K465" s="6" t="s">
        <v>742</v>
      </c>
      <c r="L465" s="6" t="s">
        <v>15</v>
      </c>
      <c r="M465" s="6" t="s">
        <v>164</v>
      </c>
      <c r="N465" s="6" t="s">
        <v>1623</v>
      </c>
      <c r="O465" s="6" t="s">
        <v>1712</v>
      </c>
      <c r="P465" s="6" t="s">
        <v>1625</v>
      </c>
    </row>
    <row r="466" customFormat="false" ht="15" hidden="false" customHeight="false" outlineLevel="0" collapsed="false">
      <c r="A466" s="6" t="s">
        <v>1713</v>
      </c>
      <c r="B466" s="6" t="s">
        <v>171</v>
      </c>
      <c r="C466" s="7" t="n">
        <v>45565</v>
      </c>
      <c r="D466" s="6" t="s">
        <v>380</v>
      </c>
      <c r="E466" s="6" t="s">
        <v>381</v>
      </c>
      <c r="F466" s="6" t="s">
        <v>1679</v>
      </c>
      <c r="G466" s="6"/>
      <c r="H466" s="11" t="n">
        <f aca="false">H332/H26</f>
        <v>-0.109171314741036</v>
      </c>
      <c r="K466" s="6" t="s">
        <v>742</v>
      </c>
      <c r="L466" s="6" t="s">
        <v>15</v>
      </c>
      <c r="M466" s="6" t="s">
        <v>169</v>
      </c>
      <c r="N466" s="6" t="s">
        <v>1623</v>
      </c>
      <c r="O466" s="6" t="s">
        <v>1714</v>
      </c>
      <c r="P466" s="6" t="s">
        <v>1625</v>
      </c>
    </row>
    <row r="467" customFormat="false" ht="15" hidden="false" customHeight="false" outlineLevel="0" collapsed="false">
      <c r="A467" s="6" t="s">
        <v>1715</v>
      </c>
      <c r="B467" s="6" t="s">
        <v>176</v>
      </c>
      <c r="C467" s="7" t="n">
        <v>45657</v>
      </c>
      <c r="D467" s="6" t="s">
        <v>380</v>
      </c>
      <c r="E467" s="6" t="s">
        <v>381</v>
      </c>
      <c r="F467" s="6" t="s">
        <v>1679</v>
      </c>
      <c r="G467" s="6"/>
      <c r="H467" s="11" t="n">
        <f aca="false">H334/H28</f>
        <v>0.0358091769412186</v>
      </c>
      <c r="K467" s="6" t="s">
        <v>742</v>
      </c>
      <c r="L467" s="6" t="s">
        <v>15</v>
      </c>
      <c r="M467" s="6" t="s">
        <v>174</v>
      </c>
      <c r="N467" s="6" t="s">
        <v>1623</v>
      </c>
      <c r="O467" s="6" t="s">
        <v>1716</v>
      </c>
      <c r="P467" s="6" t="s">
        <v>1625</v>
      </c>
    </row>
    <row r="468" customFormat="false" ht="15" hidden="false" customHeight="false" outlineLevel="0" collapsed="false">
      <c r="A468" s="6" t="s">
        <v>1717</v>
      </c>
      <c r="B468" s="6" t="s">
        <v>230</v>
      </c>
      <c r="C468" s="7" t="n">
        <v>45657</v>
      </c>
      <c r="D468" s="6" t="s">
        <v>407</v>
      </c>
      <c r="E468" s="6" t="s">
        <v>381</v>
      </c>
      <c r="F468" s="6" t="s">
        <v>1679</v>
      </c>
      <c r="G468" s="6"/>
      <c r="H468" s="11" t="n">
        <f aca="false">H335/H29</f>
        <v>-0.0216400290124949</v>
      </c>
      <c r="K468" s="6" t="s">
        <v>742</v>
      </c>
      <c r="L468" s="6" t="s">
        <v>15</v>
      </c>
      <c r="M468" s="6" t="s">
        <v>174</v>
      </c>
      <c r="N468" s="6" t="s">
        <v>1623</v>
      </c>
      <c r="O468" s="6" t="s">
        <v>1718</v>
      </c>
      <c r="P468" s="6" t="s">
        <v>1625</v>
      </c>
    </row>
    <row r="469" customFormat="false" ht="15" hidden="false" customHeight="false" outlineLevel="0" collapsed="false">
      <c r="A469" s="6" t="s">
        <v>1719</v>
      </c>
      <c r="B469" s="6" t="s">
        <v>181</v>
      </c>
      <c r="C469" s="7" t="n">
        <v>45747</v>
      </c>
      <c r="D469" s="6" t="s">
        <v>380</v>
      </c>
      <c r="E469" s="6" t="s">
        <v>381</v>
      </c>
      <c r="F469" s="6" t="s">
        <v>1679</v>
      </c>
      <c r="G469" s="6"/>
      <c r="H469" s="11" t="n">
        <f aca="false">H336/H30</f>
        <v>0.0347068201948627</v>
      </c>
      <c r="K469" s="6" t="s">
        <v>742</v>
      </c>
      <c r="L469" s="6" t="s">
        <v>15</v>
      </c>
      <c r="M469" s="6" t="s">
        <v>179</v>
      </c>
      <c r="N469" s="6" t="s">
        <v>1623</v>
      </c>
      <c r="O469" s="6" t="s">
        <v>1720</v>
      </c>
      <c r="P469" s="6" t="s">
        <v>1625</v>
      </c>
    </row>
    <row r="470" customFormat="false" ht="15" hidden="false" customHeight="false" outlineLevel="0" collapsed="false">
      <c r="A470" s="6" t="s">
        <v>1721</v>
      </c>
      <c r="B470" s="6" t="s">
        <v>186</v>
      </c>
      <c r="C470" s="7" t="n">
        <v>45838</v>
      </c>
      <c r="D470" s="6" t="s">
        <v>380</v>
      </c>
      <c r="E470" s="6" t="s">
        <v>381</v>
      </c>
      <c r="F470" s="6" t="s">
        <v>1679</v>
      </c>
      <c r="G470" s="6"/>
      <c r="H470" s="11" t="n">
        <f aca="false">H337/H31</f>
        <v>-0.0386302982469048</v>
      </c>
      <c r="K470" s="6" t="s">
        <v>742</v>
      </c>
      <c r="L470" s="6" t="s">
        <v>15</v>
      </c>
      <c r="M470" s="6" t="s">
        <v>184</v>
      </c>
      <c r="N470" s="6" t="s">
        <v>1623</v>
      </c>
      <c r="O470" s="6" t="s">
        <v>1722</v>
      </c>
      <c r="P470" s="6" t="s">
        <v>1625</v>
      </c>
    </row>
    <row r="471" customFormat="false" ht="15" hidden="false" customHeight="false" outlineLevel="0" collapsed="false">
      <c r="A471" s="6" t="s">
        <v>1723</v>
      </c>
      <c r="B471" s="6" t="s">
        <v>191</v>
      </c>
      <c r="C471" s="7" t="n">
        <v>45930</v>
      </c>
      <c r="D471" s="6" t="s">
        <v>380</v>
      </c>
      <c r="E471" s="6" t="s">
        <v>381</v>
      </c>
      <c r="F471" s="6" t="s">
        <v>1679</v>
      </c>
      <c r="G471" s="6"/>
      <c r="H471" s="11" t="n">
        <f aca="false">H339/H33</f>
        <v>-0.0075050101781572</v>
      </c>
      <c r="K471" s="6" t="s">
        <v>742</v>
      </c>
      <c r="L471" s="6" t="s">
        <v>15</v>
      </c>
      <c r="M471" s="6" t="s">
        <v>189</v>
      </c>
      <c r="N471" s="6" t="s">
        <v>1623</v>
      </c>
      <c r="O471" s="6" t="s">
        <v>1724</v>
      </c>
      <c r="P471" s="6" t="s">
        <v>1625</v>
      </c>
    </row>
    <row r="472" customFormat="false" ht="15" hidden="false" customHeight="false" outlineLevel="0" collapsed="false">
      <c r="A472" s="6" t="s">
        <v>1725</v>
      </c>
      <c r="B472" s="6" t="s">
        <v>196</v>
      </c>
      <c r="C472" s="7" t="n">
        <v>46022</v>
      </c>
      <c r="D472" s="6" t="s">
        <v>380</v>
      </c>
      <c r="E472" s="6" t="s">
        <v>381</v>
      </c>
      <c r="F472" s="6" t="s">
        <v>1679</v>
      </c>
      <c r="G472" s="6"/>
      <c r="H472" s="11" t="n">
        <f aca="false">H341/H35</f>
        <v>0.00714332780237093</v>
      </c>
      <c r="K472" s="6" t="s">
        <v>742</v>
      </c>
      <c r="L472" s="6" t="s">
        <v>15</v>
      </c>
      <c r="M472" s="6" t="s">
        <v>194</v>
      </c>
      <c r="N472" s="6" t="s">
        <v>1623</v>
      </c>
      <c r="O472" s="6" t="s">
        <v>1726</v>
      </c>
      <c r="P472" s="6" t="s">
        <v>1625</v>
      </c>
    </row>
    <row r="473" customFormat="false" ht="15" hidden="false" customHeight="false" outlineLevel="0" collapsed="false">
      <c r="A473" s="6" t="s">
        <v>1727</v>
      </c>
      <c r="B473" s="6" t="s">
        <v>235</v>
      </c>
      <c r="C473" s="7" t="n">
        <v>46022</v>
      </c>
      <c r="D473" s="6" t="s">
        <v>407</v>
      </c>
      <c r="E473" s="6" t="s">
        <v>381</v>
      </c>
      <c r="F473" s="6" t="s">
        <v>1679</v>
      </c>
      <c r="G473" s="6"/>
      <c r="H473" s="11" t="n">
        <f aca="false">H342/H36</f>
        <v>-0.00141883462378561</v>
      </c>
      <c r="K473" s="6" t="s">
        <v>742</v>
      </c>
      <c r="L473" s="6" t="s">
        <v>15</v>
      </c>
      <c r="M473" s="6" t="s">
        <v>194</v>
      </c>
      <c r="N473" s="6" t="s">
        <v>1623</v>
      </c>
      <c r="O473" s="6" t="s">
        <v>1728</v>
      </c>
      <c r="P473" s="6" t="s">
        <v>1625</v>
      </c>
    </row>
    <row r="474" customFormat="false" ht="15" hidden="false" customHeight="false" outlineLevel="0" collapsed="false">
      <c r="A474" s="6" t="s">
        <v>1729</v>
      </c>
      <c r="B474" s="6" t="s">
        <v>201</v>
      </c>
      <c r="C474" s="7" t="n">
        <v>46112</v>
      </c>
      <c r="D474" s="6" t="s">
        <v>380</v>
      </c>
      <c r="E474" s="6" t="s">
        <v>381</v>
      </c>
      <c r="F474" s="6" t="s">
        <v>1679</v>
      </c>
      <c r="G474" s="6"/>
      <c r="H474" s="11" t="n">
        <f aca="false">H343/H37</f>
        <v>0.0562367443383201</v>
      </c>
      <c r="K474" s="6" t="s">
        <v>742</v>
      </c>
      <c r="L474" s="6" t="s">
        <v>15</v>
      </c>
      <c r="M474" s="6" t="s">
        <v>199</v>
      </c>
      <c r="N474" s="6" t="s">
        <v>1623</v>
      </c>
      <c r="O474" s="6" t="s">
        <v>1730</v>
      </c>
      <c r="P474" s="6" t="s">
        <v>1625</v>
      </c>
    </row>
    <row r="475" customFormat="false" ht="15" hidden="false" customHeight="false" outlineLevel="0" collapsed="false">
      <c r="A475" s="6" t="s">
        <v>1731</v>
      </c>
      <c r="B475" s="6" t="s">
        <v>206</v>
      </c>
      <c r="C475" s="7" t="n">
        <v>46203</v>
      </c>
      <c r="D475" s="6" t="s">
        <v>380</v>
      </c>
      <c r="E475" s="6" t="s">
        <v>381</v>
      </c>
      <c r="F475" s="6" t="s">
        <v>1679</v>
      </c>
      <c r="G475" s="6"/>
      <c r="H475" s="11" t="n">
        <f aca="false">H344/H38</f>
        <v>-0.00423453394072201</v>
      </c>
      <c r="K475" s="6" t="s">
        <v>742</v>
      </c>
      <c r="L475" s="6" t="s">
        <v>15</v>
      </c>
      <c r="M475" s="6" t="s">
        <v>204</v>
      </c>
      <c r="N475" s="6" t="s">
        <v>1623</v>
      </c>
      <c r="O475" s="6" t="s">
        <v>1732</v>
      </c>
      <c r="P475" s="6" t="s">
        <v>1625</v>
      </c>
    </row>
    <row r="476" customFormat="false" ht="15" hidden="false" customHeight="false" outlineLevel="0" collapsed="false">
      <c r="A476" s="6" t="s">
        <v>1733</v>
      </c>
      <c r="B476" s="6" t="s">
        <v>379</v>
      </c>
      <c r="C476" s="7" t="n">
        <v>44286</v>
      </c>
      <c r="D476" s="6" t="s">
        <v>380</v>
      </c>
      <c r="E476" s="6" t="s">
        <v>1734</v>
      </c>
      <c r="F476" s="6" t="s">
        <v>1735</v>
      </c>
      <c r="G476" s="6" t="s">
        <v>1736</v>
      </c>
      <c r="H476" s="9" t="n">
        <v>52579</v>
      </c>
      <c r="K476" s="6" t="s">
        <v>384</v>
      </c>
      <c r="L476" s="6" t="s">
        <v>13</v>
      </c>
      <c r="M476" s="6" t="s">
        <v>119</v>
      </c>
      <c r="N476" s="6" t="s">
        <v>1737</v>
      </c>
      <c r="O476" s="6"/>
      <c r="P476" s="6" t="s">
        <v>386</v>
      </c>
    </row>
    <row r="477" customFormat="false" ht="15" hidden="false" customHeight="false" outlineLevel="0" collapsed="false">
      <c r="A477" s="6" t="s">
        <v>1738</v>
      </c>
      <c r="B477" s="6" t="s">
        <v>103</v>
      </c>
      <c r="C477" s="7" t="n">
        <v>44377</v>
      </c>
      <c r="D477" s="6" t="s">
        <v>380</v>
      </c>
      <c r="E477" s="6" t="s">
        <v>1734</v>
      </c>
      <c r="F477" s="6" t="s">
        <v>1735</v>
      </c>
      <c r="G477" s="6" t="s">
        <v>1739</v>
      </c>
      <c r="H477" s="9" t="n">
        <v>63340</v>
      </c>
      <c r="K477" s="6" t="s">
        <v>384</v>
      </c>
      <c r="L477" s="6" t="s">
        <v>13</v>
      </c>
      <c r="M477" s="6" t="s">
        <v>100</v>
      </c>
      <c r="N477" s="6" t="s">
        <v>1740</v>
      </c>
      <c r="O477" s="6"/>
      <c r="P477" s="6"/>
    </row>
    <row r="478" customFormat="false" ht="15" hidden="false" customHeight="false" outlineLevel="0" collapsed="false">
      <c r="A478" s="6" t="s">
        <v>1741</v>
      </c>
      <c r="B478" s="6" t="s">
        <v>391</v>
      </c>
      <c r="C478" s="7" t="n">
        <v>44377</v>
      </c>
      <c r="D478" s="6" t="s">
        <v>392</v>
      </c>
      <c r="E478" s="6" t="s">
        <v>1734</v>
      </c>
      <c r="F478" s="6" t="s">
        <v>1735</v>
      </c>
      <c r="G478" s="6" t="s">
        <v>1742</v>
      </c>
      <c r="H478" s="9" t="n">
        <v>115919</v>
      </c>
      <c r="K478" s="6" t="s">
        <v>384</v>
      </c>
      <c r="L478" s="6" t="s">
        <v>13</v>
      </c>
      <c r="M478" s="6" t="s">
        <v>100</v>
      </c>
      <c r="N478" s="6" t="s">
        <v>1743</v>
      </c>
      <c r="O478" s="6"/>
      <c r="P478" s="6"/>
    </row>
    <row r="479" customFormat="false" ht="15" hidden="false" customHeight="false" outlineLevel="0" collapsed="false">
      <c r="A479" s="6" t="s">
        <v>1744</v>
      </c>
      <c r="B479" s="6" t="s">
        <v>111</v>
      </c>
      <c r="C479" s="7" t="n">
        <v>44469</v>
      </c>
      <c r="D479" s="6" t="s">
        <v>380</v>
      </c>
      <c r="E479" s="6" t="s">
        <v>1734</v>
      </c>
      <c r="F479" s="6" t="s">
        <v>1735</v>
      </c>
      <c r="G479" s="6" t="s">
        <v>1745</v>
      </c>
      <c r="H479" s="9" t="n">
        <v>74912</v>
      </c>
      <c r="K479" s="6" t="s">
        <v>384</v>
      </c>
      <c r="L479" s="6" t="s">
        <v>13</v>
      </c>
      <c r="M479" s="6" t="s">
        <v>109</v>
      </c>
      <c r="N479" s="6" t="s">
        <v>1746</v>
      </c>
      <c r="O479" s="6"/>
      <c r="P479" s="6"/>
    </row>
    <row r="480" customFormat="false" ht="15" hidden="false" customHeight="false" outlineLevel="0" collapsed="false">
      <c r="A480" s="6" t="s">
        <v>1747</v>
      </c>
      <c r="B480" s="6" t="s">
        <v>399</v>
      </c>
      <c r="C480" s="7" t="n">
        <v>44469</v>
      </c>
      <c r="D480" s="6" t="s">
        <v>400</v>
      </c>
      <c r="E480" s="6" t="s">
        <v>1734</v>
      </c>
      <c r="F480" s="6" t="s">
        <v>1735</v>
      </c>
      <c r="G480" s="6" t="s">
        <v>1748</v>
      </c>
      <c r="H480" s="9" t="n">
        <v>190831</v>
      </c>
      <c r="K480" s="6" t="s">
        <v>384</v>
      </c>
      <c r="L480" s="6" t="s">
        <v>13</v>
      </c>
      <c r="M480" s="6" t="s">
        <v>109</v>
      </c>
      <c r="N480" s="6" t="s">
        <v>1749</v>
      </c>
      <c r="O480" s="6"/>
      <c r="P480" s="6"/>
    </row>
    <row r="481" customFormat="false" ht="15" hidden="false" customHeight="false" outlineLevel="0" collapsed="false">
      <c r="A481" s="6" t="s">
        <v>1750</v>
      </c>
      <c r="B481" s="6" t="s">
        <v>116</v>
      </c>
      <c r="C481" s="7" t="n">
        <v>44561</v>
      </c>
      <c r="D481" s="6" t="s">
        <v>380</v>
      </c>
      <c r="E481" s="6" t="s">
        <v>1734</v>
      </c>
      <c r="F481" s="6" t="s">
        <v>1735</v>
      </c>
      <c r="G481" s="6" t="s">
        <v>1751</v>
      </c>
      <c r="H481" s="9" t="n">
        <v>85987</v>
      </c>
      <c r="K481" s="6" t="s">
        <v>384</v>
      </c>
      <c r="L481" s="6" t="s">
        <v>13</v>
      </c>
      <c r="M481" s="6" t="s">
        <v>114</v>
      </c>
      <c r="N481" s="6" t="s">
        <v>1752</v>
      </c>
      <c r="O481" s="6"/>
      <c r="P481" s="6"/>
    </row>
    <row r="482" customFormat="false" ht="15" hidden="false" customHeight="false" outlineLevel="0" collapsed="false">
      <c r="A482" s="6" t="s">
        <v>1753</v>
      </c>
      <c r="B482" s="6" t="s">
        <v>212</v>
      </c>
      <c r="C482" s="7" t="n">
        <v>44561</v>
      </c>
      <c r="D482" s="6" t="s">
        <v>407</v>
      </c>
      <c r="E482" s="6" t="s">
        <v>1734</v>
      </c>
      <c r="F482" s="6" t="s">
        <v>1735</v>
      </c>
      <c r="G482" s="6" t="s">
        <v>1754</v>
      </c>
      <c r="H482" s="9" t="n">
        <v>276818</v>
      </c>
      <c r="K482" s="6" t="s">
        <v>384</v>
      </c>
      <c r="L482" s="6" t="s">
        <v>13</v>
      </c>
      <c r="M482" s="6" t="s">
        <v>114</v>
      </c>
      <c r="N482" s="6" t="s">
        <v>1755</v>
      </c>
      <c r="O482" s="6"/>
      <c r="P482" s="6"/>
    </row>
    <row r="483" customFormat="false" ht="15" hidden="false" customHeight="false" outlineLevel="0" collapsed="false">
      <c r="A483" s="6" t="s">
        <v>1756</v>
      </c>
      <c r="B483" s="6" t="s">
        <v>121</v>
      </c>
      <c r="C483" s="7" t="n">
        <v>44651</v>
      </c>
      <c r="D483" s="6" t="s">
        <v>380</v>
      </c>
      <c r="E483" s="6" t="s">
        <v>1734</v>
      </c>
      <c r="F483" s="6" t="s">
        <v>1735</v>
      </c>
      <c r="G483" s="6" t="s">
        <v>1757</v>
      </c>
      <c r="H483" s="9" t="n">
        <v>96329</v>
      </c>
      <c r="K483" s="6" t="s">
        <v>384</v>
      </c>
      <c r="L483" s="6" t="s">
        <v>13</v>
      </c>
      <c r="M483" s="6" t="s">
        <v>119</v>
      </c>
      <c r="N483" s="6" t="s">
        <v>1758</v>
      </c>
      <c r="O483" s="6"/>
      <c r="P483" s="6"/>
    </row>
    <row r="484" customFormat="false" ht="15" hidden="false" customHeight="false" outlineLevel="0" collapsed="false">
      <c r="A484" s="6" t="s">
        <v>1759</v>
      </c>
      <c r="B484" s="6" t="s">
        <v>126</v>
      </c>
      <c r="C484" s="7" t="n">
        <v>44742</v>
      </c>
      <c r="D484" s="6" t="s">
        <v>380</v>
      </c>
      <c r="E484" s="6" t="s">
        <v>1734</v>
      </c>
      <c r="F484" s="6" t="s">
        <v>1735</v>
      </c>
      <c r="G484" s="6" t="s">
        <v>1760</v>
      </c>
      <c r="H484" s="9" t="n">
        <v>109903</v>
      </c>
      <c r="K484" s="6" t="s">
        <v>384</v>
      </c>
      <c r="L484" s="6" t="s">
        <v>13</v>
      </c>
      <c r="M484" s="6" t="s">
        <v>124</v>
      </c>
      <c r="N484" s="6" t="s">
        <v>1761</v>
      </c>
      <c r="O484" s="6"/>
      <c r="P484" s="6"/>
    </row>
    <row r="485" customFormat="false" ht="15" hidden="false" customHeight="false" outlineLevel="0" collapsed="false">
      <c r="A485" s="6" t="s">
        <v>1762</v>
      </c>
      <c r="B485" s="6" t="s">
        <v>417</v>
      </c>
      <c r="C485" s="7" t="n">
        <v>44742</v>
      </c>
      <c r="D485" s="6" t="s">
        <v>392</v>
      </c>
      <c r="E485" s="6" t="s">
        <v>1734</v>
      </c>
      <c r="F485" s="6" t="s">
        <v>1735</v>
      </c>
      <c r="G485" s="6" t="s">
        <v>1763</v>
      </c>
      <c r="H485" s="9" t="n">
        <v>206232</v>
      </c>
      <c r="K485" s="6" t="s">
        <v>384</v>
      </c>
      <c r="L485" s="6" t="s">
        <v>13</v>
      </c>
      <c r="M485" s="6" t="s">
        <v>124</v>
      </c>
      <c r="N485" s="6" t="s">
        <v>1764</v>
      </c>
      <c r="O485" s="6"/>
      <c r="P485" s="6"/>
    </row>
    <row r="486" customFormat="false" ht="15" hidden="false" customHeight="false" outlineLevel="0" collapsed="false">
      <c r="A486" s="6" t="s">
        <v>1765</v>
      </c>
      <c r="B486" s="6" t="s">
        <v>131</v>
      </c>
      <c r="C486" s="7" t="n">
        <v>44834</v>
      </c>
      <c r="D486" s="6" t="s">
        <v>380</v>
      </c>
      <c r="E486" s="6" t="s">
        <v>1734</v>
      </c>
      <c r="F486" s="6" t="s">
        <v>1735</v>
      </c>
      <c r="G486" s="6" t="s">
        <v>1766</v>
      </c>
      <c r="H486" s="9" t="n">
        <v>121746</v>
      </c>
      <c r="K486" s="6" t="s">
        <v>384</v>
      </c>
      <c r="L486" s="6" t="s">
        <v>13</v>
      </c>
      <c r="M486" s="6" t="s">
        <v>129</v>
      </c>
      <c r="N486" s="6" t="s">
        <v>1767</v>
      </c>
      <c r="O486" s="6"/>
      <c r="P486" s="6"/>
    </row>
    <row r="487" customFormat="false" ht="15" hidden="false" customHeight="false" outlineLevel="0" collapsed="false">
      <c r="A487" s="6" t="s">
        <v>1768</v>
      </c>
      <c r="B487" s="6" t="s">
        <v>424</v>
      </c>
      <c r="C487" s="7" t="n">
        <v>44834</v>
      </c>
      <c r="D487" s="6" t="s">
        <v>400</v>
      </c>
      <c r="E487" s="6" t="s">
        <v>1734</v>
      </c>
      <c r="F487" s="6" t="s">
        <v>1735</v>
      </c>
      <c r="G487" s="6" t="s">
        <v>1769</v>
      </c>
      <c r="H487" s="9" t="n">
        <v>327978</v>
      </c>
      <c r="K487" s="6" t="s">
        <v>384</v>
      </c>
      <c r="L487" s="6" t="s">
        <v>13</v>
      </c>
      <c r="M487" s="6" t="s">
        <v>129</v>
      </c>
      <c r="N487" s="6" t="s">
        <v>1770</v>
      </c>
      <c r="O487" s="6"/>
      <c r="P487" s="6"/>
    </row>
    <row r="488" customFormat="false" ht="15" hidden="false" customHeight="false" outlineLevel="0" collapsed="false">
      <c r="A488" s="6" t="s">
        <v>1771</v>
      </c>
      <c r="B488" s="6" t="s">
        <v>136</v>
      </c>
      <c r="C488" s="7" t="n">
        <v>44926</v>
      </c>
      <c r="D488" s="6" t="s">
        <v>380</v>
      </c>
      <c r="E488" s="6" t="s">
        <v>1734</v>
      </c>
      <c r="F488" s="6" t="s">
        <v>1735</v>
      </c>
      <c r="G488" s="6" t="s">
        <v>1772</v>
      </c>
      <c r="H488" s="9" t="n">
        <v>134929</v>
      </c>
      <c r="K488" s="6" t="s">
        <v>384</v>
      </c>
      <c r="L488" s="6" t="s">
        <v>13</v>
      </c>
      <c r="M488" s="6" t="s">
        <v>134</v>
      </c>
      <c r="N488" s="6" t="s">
        <v>1773</v>
      </c>
      <c r="O488" s="6"/>
      <c r="P488" s="6"/>
    </row>
    <row r="489" customFormat="false" ht="15" hidden="false" customHeight="false" outlineLevel="0" collapsed="false">
      <c r="A489" s="6" t="s">
        <v>1774</v>
      </c>
      <c r="B489" s="6" t="s">
        <v>220</v>
      </c>
      <c r="C489" s="7" t="n">
        <v>44926</v>
      </c>
      <c r="D489" s="6" t="s">
        <v>407</v>
      </c>
      <c r="E489" s="6" t="s">
        <v>1734</v>
      </c>
      <c r="F489" s="6" t="s">
        <v>1735</v>
      </c>
      <c r="G489" s="6" t="s">
        <v>1775</v>
      </c>
      <c r="H489" s="9" t="n">
        <v>462907</v>
      </c>
      <c r="K489" s="6" t="s">
        <v>384</v>
      </c>
      <c r="L489" s="6" t="s">
        <v>13</v>
      </c>
      <c r="M489" s="6" t="s">
        <v>134</v>
      </c>
      <c r="N489" s="6" t="s">
        <v>1776</v>
      </c>
      <c r="O489" s="6"/>
      <c r="P489" s="6"/>
    </row>
    <row r="490" customFormat="false" ht="15" hidden="false" customHeight="false" outlineLevel="0" collapsed="false">
      <c r="A490" s="6" t="s">
        <v>1777</v>
      </c>
      <c r="B490" s="6" t="s">
        <v>141</v>
      </c>
      <c r="C490" s="7" t="n">
        <v>45016</v>
      </c>
      <c r="D490" s="6" t="s">
        <v>380</v>
      </c>
      <c r="E490" s="6" t="s">
        <v>1734</v>
      </c>
      <c r="F490" s="6" t="s">
        <v>1735</v>
      </c>
      <c r="G490" s="6" t="s">
        <v>1778</v>
      </c>
      <c r="H490" s="9" t="n">
        <v>146719</v>
      </c>
      <c r="K490" s="6" t="s">
        <v>384</v>
      </c>
      <c r="L490" s="6" t="s">
        <v>13</v>
      </c>
      <c r="M490" s="6" t="s">
        <v>139</v>
      </c>
      <c r="N490" s="6" t="s">
        <v>1779</v>
      </c>
      <c r="O490" s="6"/>
      <c r="P490" s="6"/>
    </row>
    <row r="491" customFormat="false" ht="15" hidden="false" customHeight="false" outlineLevel="0" collapsed="false">
      <c r="A491" s="6" t="s">
        <v>1780</v>
      </c>
      <c r="B491" s="6" t="s">
        <v>146</v>
      </c>
      <c r="C491" s="7" t="n">
        <v>45107</v>
      </c>
      <c r="D491" s="6" t="s">
        <v>380</v>
      </c>
      <c r="E491" s="6" t="s">
        <v>1734</v>
      </c>
      <c r="F491" s="6" t="s">
        <v>1735</v>
      </c>
      <c r="G491" s="6" t="s">
        <v>1781</v>
      </c>
      <c r="H491" s="9" t="n">
        <v>158008</v>
      </c>
      <c r="K491" s="6" t="s">
        <v>384</v>
      </c>
      <c r="L491" s="6" t="s">
        <v>13</v>
      </c>
      <c r="M491" s="6" t="s">
        <v>144</v>
      </c>
      <c r="N491" s="6" t="s">
        <v>1782</v>
      </c>
      <c r="O491" s="6"/>
      <c r="P491" s="6"/>
    </row>
    <row r="492" customFormat="false" ht="15" hidden="false" customHeight="false" outlineLevel="0" collapsed="false">
      <c r="A492" s="6" t="s">
        <v>1783</v>
      </c>
      <c r="B492" s="6" t="s">
        <v>440</v>
      </c>
      <c r="C492" s="7" t="n">
        <v>45107</v>
      </c>
      <c r="D492" s="6" t="s">
        <v>392</v>
      </c>
      <c r="E492" s="6" t="s">
        <v>1734</v>
      </c>
      <c r="F492" s="6" t="s">
        <v>1735</v>
      </c>
      <c r="G492" s="6" t="s">
        <v>1784</v>
      </c>
      <c r="H492" s="9" t="n">
        <v>304727</v>
      </c>
      <c r="K492" s="6" t="s">
        <v>384</v>
      </c>
      <c r="L492" s="6" t="s">
        <v>13</v>
      </c>
      <c r="M492" s="6" t="s">
        <v>144</v>
      </c>
      <c r="N492" s="6" t="s">
        <v>1785</v>
      </c>
      <c r="O492" s="6"/>
      <c r="P492" s="6"/>
    </row>
    <row r="493" customFormat="false" ht="15" hidden="false" customHeight="false" outlineLevel="0" collapsed="false">
      <c r="A493" s="6" t="s">
        <v>1786</v>
      </c>
      <c r="B493" s="6" t="s">
        <v>151</v>
      </c>
      <c r="C493" s="7" t="n">
        <v>45199</v>
      </c>
      <c r="D493" s="6" t="s">
        <v>380</v>
      </c>
      <c r="E493" s="6" t="s">
        <v>1734</v>
      </c>
      <c r="F493" s="6" t="s">
        <v>1735</v>
      </c>
      <c r="G493" s="6" t="s">
        <v>1787</v>
      </c>
      <c r="H493" s="9" t="n">
        <v>168866</v>
      </c>
      <c r="K493" s="6" t="s">
        <v>384</v>
      </c>
      <c r="L493" s="6" t="s">
        <v>13</v>
      </c>
      <c r="M493" s="6" t="s">
        <v>149</v>
      </c>
      <c r="N493" s="6" t="s">
        <v>1788</v>
      </c>
      <c r="O493" s="6"/>
      <c r="P493" s="6"/>
    </row>
    <row r="494" customFormat="false" ht="15" hidden="false" customHeight="false" outlineLevel="0" collapsed="false">
      <c r="A494" s="6" t="s">
        <v>1789</v>
      </c>
      <c r="B494" s="6" t="s">
        <v>447</v>
      </c>
      <c r="C494" s="7" t="n">
        <v>45199</v>
      </c>
      <c r="D494" s="6" t="s">
        <v>400</v>
      </c>
      <c r="E494" s="6" t="s">
        <v>1734</v>
      </c>
      <c r="F494" s="6" t="s">
        <v>1735</v>
      </c>
      <c r="G494" s="6" t="s">
        <v>1790</v>
      </c>
      <c r="H494" s="9" t="n">
        <v>473593</v>
      </c>
      <c r="K494" s="6" t="s">
        <v>384</v>
      </c>
      <c r="L494" s="6" t="s">
        <v>13</v>
      </c>
      <c r="M494" s="6" t="s">
        <v>149</v>
      </c>
      <c r="N494" s="6" t="s">
        <v>1791</v>
      </c>
      <c r="O494" s="6"/>
      <c r="P494" s="6"/>
    </row>
    <row r="495" customFormat="false" ht="15" hidden="false" customHeight="false" outlineLevel="0" collapsed="false">
      <c r="A495" s="6" t="s">
        <v>1792</v>
      </c>
      <c r="B495" s="6" t="s">
        <v>156</v>
      </c>
      <c r="C495" s="7" t="n">
        <v>45291</v>
      </c>
      <c r="D495" s="6" t="s">
        <v>380</v>
      </c>
      <c r="E495" s="6" t="s">
        <v>1734</v>
      </c>
      <c r="F495" s="6" t="s">
        <v>1735</v>
      </c>
      <c r="G495" s="6" t="s">
        <v>1793</v>
      </c>
      <c r="H495" s="9" t="n">
        <v>181764</v>
      </c>
      <c r="K495" s="6" t="s">
        <v>384</v>
      </c>
      <c r="L495" s="6" t="s">
        <v>13</v>
      </c>
      <c r="M495" s="6" t="s">
        <v>154</v>
      </c>
      <c r="N495" s="6" t="s">
        <v>1794</v>
      </c>
      <c r="O495" s="6"/>
      <c r="P495" s="6"/>
    </row>
    <row r="496" customFormat="false" ht="15" hidden="false" customHeight="false" outlineLevel="0" collapsed="false">
      <c r="A496" s="6" t="s">
        <v>1795</v>
      </c>
      <c r="B496" s="6" t="s">
        <v>225</v>
      </c>
      <c r="C496" s="7" t="n">
        <v>45291</v>
      </c>
      <c r="D496" s="6" t="s">
        <v>407</v>
      </c>
      <c r="E496" s="6" t="s">
        <v>1734</v>
      </c>
      <c r="F496" s="6" t="s">
        <v>1735</v>
      </c>
      <c r="G496" s="6" t="s">
        <v>1796</v>
      </c>
      <c r="H496" s="9" t="n">
        <v>655357</v>
      </c>
      <c r="K496" s="6" t="s">
        <v>384</v>
      </c>
      <c r="L496" s="6" t="s">
        <v>13</v>
      </c>
      <c r="M496" s="6" t="s">
        <v>154</v>
      </c>
      <c r="N496" s="6" t="s">
        <v>1797</v>
      </c>
      <c r="O496" s="6"/>
      <c r="P496" s="6"/>
    </row>
    <row r="497" customFormat="false" ht="15" hidden="false" customHeight="false" outlineLevel="0" collapsed="false">
      <c r="A497" s="6" t="s">
        <v>1798</v>
      </c>
      <c r="B497" s="6" t="s">
        <v>161</v>
      </c>
      <c r="C497" s="7" t="n">
        <v>45382</v>
      </c>
      <c r="D497" s="6" t="s">
        <v>380</v>
      </c>
      <c r="E497" s="6" t="s">
        <v>1734</v>
      </c>
      <c r="F497" s="6" t="s">
        <v>1735</v>
      </c>
      <c r="G497" s="6" t="s">
        <v>1799</v>
      </c>
      <c r="H497" s="9" t="n">
        <v>194703</v>
      </c>
      <c r="K497" s="6" t="s">
        <v>384</v>
      </c>
      <c r="L497" s="6" t="s">
        <v>13</v>
      </c>
      <c r="M497" s="6" t="s">
        <v>159</v>
      </c>
      <c r="N497" s="6" t="s">
        <v>1800</v>
      </c>
      <c r="O497" s="6"/>
      <c r="P497" s="6"/>
    </row>
    <row r="498" customFormat="false" ht="15" hidden="false" customHeight="false" outlineLevel="0" collapsed="false">
      <c r="A498" s="6" t="s">
        <v>1801</v>
      </c>
      <c r="B498" s="6" t="s">
        <v>166</v>
      </c>
      <c r="C498" s="7" t="n">
        <v>45473</v>
      </c>
      <c r="D498" s="6" t="s">
        <v>380</v>
      </c>
      <c r="E498" s="6" t="s">
        <v>1734</v>
      </c>
      <c r="F498" s="6" t="s">
        <v>1735</v>
      </c>
      <c r="G498" s="6" t="s">
        <v>1802</v>
      </c>
      <c r="H498" s="9" t="n">
        <v>214215</v>
      </c>
      <c r="K498" s="6" t="s">
        <v>384</v>
      </c>
      <c r="L498" s="6" t="s">
        <v>13</v>
      </c>
      <c r="M498" s="6" t="s">
        <v>164</v>
      </c>
      <c r="N498" s="6" t="s">
        <v>1803</v>
      </c>
      <c r="O498" s="6"/>
      <c r="P498" s="6"/>
    </row>
    <row r="499" customFormat="false" ht="15" hidden="false" customHeight="false" outlineLevel="0" collapsed="false">
      <c r="A499" s="6" t="s">
        <v>1804</v>
      </c>
      <c r="B499" s="6" t="s">
        <v>241</v>
      </c>
      <c r="C499" s="7" t="n">
        <v>45473</v>
      </c>
      <c r="D499" s="6" t="s">
        <v>392</v>
      </c>
      <c r="E499" s="6" t="s">
        <v>1734</v>
      </c>
      <c r="F499" s="6" t="s">
        <v>1735</v>
      </c>
      <c r="G499" s="6" t="s">
        <v>1805</v>
      </c>
      <c r="H499" s="9" t="n">
        <v>408918</v>
      </c>
      <c r="K499" s="6" t="s">
        <v>384</v>
      </c>
      <c r="L499" s="6" t="s">
        <v>13</v>
      </c>
      <c r="M499" s="6" t="s">
        <v>164</v>
      </c>
      <c r="N499" s="6" t="s">
        <v>1806</v>
      </c>
      <c r="O499" s="6"/>
      <c r="P499" s="6"/>
    </row>
    <row r="500" customFormat="false" ht="15" hidden="false" customHeight="false" outlineLevel="0" collapsed="false">
      <c r="A500" s="6" t="s">
        <v>1807</v>
      </c>
      <c r="B500" s="6" t="s">
        <v>171</v>
      </c>
      <c r="C500" s="7" t="n">
        <v>45565</v>
      </c>
      <c r="D500" s="6" t="s">
        <v>380</v>
      </c>
      <c r="E500" s="6" t="s">
        <v>1734</v>
      </c>
      <c r="F500" s="6" t="s">
        <v>1735</v>
      </c>
      <c r="G500" s="6" t="s">
        <v>1808</v>
      </c>
      <c r="H500" s="9" t="n">
        <v>226909</v>
      </c>
      <c r="K500" s="6" t="s">
        <v>384</v>
      </c>
      <c r="L500" s="6" t="s">
        <v>13</v>
      </c>
      <c r="M500" s="6" t="s">
        <v>169</v>
      </c>
      <c r="N500" s="6" t="s">
        <v>1809</v>
      </c>
      <c r="O500" s="6"/>
      <c r="P500" s="6"/>
    </row>
    <row r="501" customFormat="false" ht="15" hidden="false" customHeight="false" outlineLevel="0" collapsed="false">
      <c r="A501" s="6" t="s">
        <v>1810</v>
      </c>
      <c r="B501" s="6" t="s">
        <v>469</v>
      </c>
      <c r="C501" s="7" t="n">
        <v>45565</v>
      </c>
      <c r="D501" s="6" t="s">
        <v>400</v>
      </c>
      <c r="E501" s="6" t="s">
        <v>1734</v>
      </c>
      <c r="F501" s="6" t="s">
        <v>1735</v>
      </c>
      <c r="G501" s="6" t="s">
        <v>1811</v>
      </c>
      <c r="H501" s="9" t="n">
        <v>635827</v>
      </c>
      <c r="K501" s="6" t="s">
        <v>384</v>
      </c>
      <c r="L501" s="6" t="s">
        <v>13</v>
      </c>
      <c r="M501" s="6" t="s">
        <v>169</v>
      </c>
      <c r="N501" s="6" t="s">
        <v>1812</v>
      </c>
      <c r="O501" s="6"/>
      <c r="P501" s="6"/>
    </row>
    <row r="502" customFormat="false" ht="15" hidden="false" customHeight="false" outlineLevel="0" collapsed="false">
      <c r="A502" s="6" t="s">
        <v>1813</v>
      </c>
      <c r="B502" s="6" t="s">
        <v>176</v>
      </c>
      <c r="C502" s="7" t="n">
        <v>45657</v>
      </c>
      <c r="D502" s="6" t="s">
        <v>380</v>
      </c>
      <c r="E502" s="6" t="s">
        <v>1734</v>
      </c>
      <c r="F502" s="6" t="s">
        <v>1735</v>
      </c>
      <c r="G502" s="6" t="s">
        <v>1814</v>
      </c>
      <c r="H502" s="9" t="n">
        <v>239080</v>
      </c>
      <c r="K502" s="6" t="s">
        <v>384</v>
      </c>
      <c r="L502" s="6" t="s">
        <v>13</v>
      </c>
      <c r="M502" s="6" t="s">
        <v>174</v>
      </c>
      <c r="N502" s="6" t="s">
        <v>1815</v>
      </c>
      <c r="O502" s="6"/>
      <c r="P502" s="6"/>
    </row>
    <row r="503" customFormat="false" ht="15" hidden="false" customHeight="false" outlineLevel="0" collapsed="false">
      <c r="A503" s="6" t="s">
        <v>1816</v>
      </c>
      <c r="B503" s="6" t="s">
        <v>230</v>
      </c>
      <c r="C503" s="7" t="n">
        <v>45657</v>
      </c>
      <c r="D503" s="6" t="s">
        <v>407</v>
      </c>
      <c r="E503" s="6" t="s">
        <v>1734</v>
      </c>
      <c r="F503" s="6" t="s">
        <v>1735</v>
      </c>
      <c r="G503" s="6" t="s">
        <v>1817</v>
      </c>
      <c r="H503" s="9" t="n">
        <v>874907</v>
      </c>
      <c r="K503" s="6" t="s">
        <v>384</v>
      </c>
      <c r="L503" s="6" t="s">
        <v>13</v>
      </c>
      <c r="M503" s="6" t="s">
        <v>174</v>
      </c>
      <c r="N503" s="6" t="s">
        <v>1818</v>
      </c>
      <c r="O503" s="6"/>
      <c r="P503" s="6"/>
    </row>
    <row r="504" customFormat="false" ht="15" hidden="false" customHeight="false" outlineLevel="0" collapsed="false">
      <c r="A504" s="6" t="s">
        <v>1819</v>
      </c>
      <c r="B504" s="6" t="s">
        <v>181</v>
      </c>
      <c r="C504" s="7" t="n">
        <v>45747</v>
      </c>
      <c r="D504" s="6" t="s">
        <v>380</v>
      </c>
      <c r="E504" s="6" t="s">
        <v>1734</v>
      </c>
      <c r="F504" s="6" t="s">
        <v>1735</v>
      </c>
      <c r="G504" s="6" t="s">
        <v>1820</v>
      </c>
      <c r="H504" s="9" t="n">
        <v>254579</v>
      </c>
      <c r="K504" s="6" t="s">
        <v>384</v>
      </c>
      <c r="L504" s="6" t="s">
        <v>13</v>
      </c>
      <c r="M504" s="6" t="s">
        <v>179</v>
      </c>
      <c r="N504" s="6" t="s">
        <v>1821</v>
      </c>
      <c r="O504" s="6"/>
      <c r="P504" s="6"/>
    </row>
    <row r="505" customFormat="false" ht="15" hidden="false" customHeight="false" outlineLevel="0" collapsed="false">
      <c r="A505" s="6" t="s">
        <v>1822</v>
      </c>
      <c r="B505" s="6" t="s">
        <v>186</v>
      </c>
      <c r="C505" s="7" t="n">
        <v>45838</v>
      </c>
      <c r="D505" s="6" t="s">
        <v>380</v>
      </c>
      <c r="E505" s="6" t="s">
        <v>1734</v>
      </c>
      <c r="F505" s="6" t="s">
        <v>1735</v>
      </c>
      <c r="G505" s="6" t="s">
        <v>1823</v>
      </c>
      <c r="H505" s="9" t="n">
        <v>270113</v>
      </c>
      <c r="K505" s="6" t="s">
        <v>384</v>
      </c>
      <c r="L505" s="6" t="s">
        <v>13</v>
      </c>
      <c r="M505" s="6" t="s">
        <v>184</v>
      </c>
      <c r="N505" s="6" t="s">
        <v>1824</v>
      </c>
      <c r="O505" s="6"/>
      <c r="P505" s="6"/>
    </row>
    <row r="506" customFormat="false" ht="15" hidden="false" customHeight="false" outlineLevel="0" collapsed="false">
      <c r="A506" s="6" t="s">
        <v>1825</v>
      </c>
      <c r="B506" s="6" t="s">
        <v>255</v>
      </c>
      <c r="C506" s="7" t="n">
        <v>45838</v>
      </c>
      <c r="D506" s="6" t="s">
        <v>392</v>
      </c>
      <c r="E506" s="6" t="s">
        <v>1734</v>
      </c>
      <c r="F506" s="6" t="s">
        <v>1735</v>
      </c>
      <c r="G506" s="6" t="s">
        <v>1826</v>
      </c>
      <c r="H506" s="9" t="n">
        <v>524692</v>
      </c>
      <c r="K506" s="6" t="s">
        <v>384</v>
      </c>
      <c r="L506" s="6" t="s">
        <v>13</v>
      </c>
      <c r="M506" s="6" t="s">
        <v>184</v>
      </c>
      <c r="N506" s="6" t="s">
        <v>1827</v>
      </c>
      <c r="O506" s="6"/>
      <c r="P506" s="6"/>
    </row>
    <row r="507" customFormat="false" ht="15" hidden="false" customHeight="false" outlineLevel="0" collapsed="false">
      <c r="A507" s="6" t="s">
        <v>1828</v>
      </c>
      <c r="B507" s="6" t="s">
        <v>191</v>
      </c>
      <c r="C507" s="7" t="n">
        <v>45930</v>
      </c>
      <c r="D507" s="6" t="s">
        <v>380</v>
      </c>
      <c r="E507" s="6" t="s">
        <v>1734</v>
      </c>
      <c r="F507" s="6" t="s">
        <v>1735</v>
      </c>
      <c r="G507" s="6" t="s">
        <v>1829</v>
      </c>
      <c r="H507" s="9" t="n">
        <v>284031</v>
      </c>
      <c r="K507" s="6" t="s">
        <v>384</v>
      </c>
      <c r="L507" s="6" t="s">
        <v>13</v>
      </c>
      <c r="M507" s="6" t="s">
        <v>189</v>
      </c>
      <c r="N507" s="6" t="s">
        <v>1830</v>
      </c>
      <c r="O507" s="6"/>
      <c r="P507" s="6"/>
    </row>
    <row r="508" customFormat="false" ht="15" hidden="false" customHeight="false" outlineLevel="0" collapsed="false">
      <c r="A508" s="6" t="s">
        <v>1831</v>
      </c>
      <c r="B508" s="6" t="s">
        <v>491</v>
      </c>
      <c r="C508" s="7" t="n">
        <v>45930</v>
      </c>
      <c r="D508" s="6" t="s">
        <v>400</v>
      </c>
      <c r="E508" s="6" t="s">
        <v>1734</v>
      </c>
      <c r="F508" s="6" t="s">
        <v>1735</v>
      </c>
      <c r="G508" s="6" t="s">
        <v>1832</v>
      </c>
      <c r="H508" s="9" t="n">
        <v>808723</v>
      </c>
      <c r="K508" s="6" t="s">
        <v>384</v>
      </c>
      <c r="L508" s="6" t="s">
        <v>13</v>
      </c>
      <c r="M508" s="6" t="s">
        <v>189</v>
      </c>
      <c r="N508" s="6" t="s">
        <v>1833</v>
      </c>
      <c r="O508" s="6"/>
      <c r="P508" s="6"/>
    </row>
    <row r="509" customFormat="false" ht="15" hidden="false" customHeight="false" outlineLevel="0" collapsed="false">
      <c r="A509" s="6" t="s">
        <v>1834</v>
      </c>
      <c r="B509" s="6" t="s">
        <v>196</v>
      </c>
      <c r="C509" s="7" t="n">
        <v>46022</v>
      </c>
      <c r="D509" s="6" t="s">
        <v>380</v>
      </c>
      <c r="E509" s="6" t="s">
        <v>1734</v>
      </c>
      <c r="F509" s="6" t="s">
        <v>1735</v>
      </c>
      <c r="G509" s="6" t="s">
        <v>1835</v>
      </c>
      <c r="H509" s="9" t="n">
        <v>298736</v>
      </c>
      <c r="K509" s="6" t="s">
        <v>384</v>
      </c>
      <c r="L509" s="6" t="s">
        <v>13</v>
      </c>
      <c r="M509" s="6" t="s">
        <v>194</v>
      </c>
      <c r="N509" s="6" t="s">
        <v>1836</v>
      </c>
      <c r="O509" s="6"/>
      <c r="P509" s="6"/>
    </row>
    <row r="510" customFormat="false" ht="15" hidden="false" customHeight="false" outlineLevel="0" collapsed="false">
      <c r="A510" s="6" t="s">
        <v>1837</v>
      </c>
      <c r="B510" s="6" t="s">
        <v>235</v>
      </c>
      <c r="C510" s="7" t="n">
        <v>46022</v>
      </c>
      <c r="D510" s="6" t="s">
        <v>407</v>
      </c>
      <c r="E510" s="6" t="s">
        <v>1734</v>
      </c>
      <c r="F510" s="6" t="s">
        <v>1735</v>
      </c>
      <c r="G510" s="6" t="s">
        <v>1838</v>
      </c>
      <c r="H510" s="9" t="n">
        <v>1107459</v>
      </c>
      <c r="K510" s="6" t="s">
        <v>384</v>
      </c>
      <c r="L510" s="6" t="s">
        <v>13</v>
      </c>
      <c r="M510" s="6" t="s">
        <v>194</v>
      </c>
      <c r="N510" s="6" t="s">
        <v>1839</v>
      </c>
      <c r="O510" s="6"/>
      <c r="P510" s="6"/>
    </row>
    <row r="511" customFormat="false" ht="15" hidden="false" customHeight="false" outlineLevel="0" collapsed="false">
      <c r="A511" s="6" t="s">
        <v>1840</v>
      </c>
      <c r="B511" s="6" t="s">
        <v>201</v>
      </c>
      <c r="C511" s="7" t="n">
        <v>46112</v>
      </c>
      <c r="D511" s="6" t="s">
        <v>380</v>
      </c>
      <c r="E511" s="6" t="s">
        <v>1734</v>
      </c>
      <c r="F511" s="6" t="s">
        <v>1735</v>
      </c>
      <c r="G511" s="6" t="s">
        <v>1841</v>
      </c>
      <c r="H511" s="9" t="n">
        <v>314190</v>
      </c>
      <c r="K511" s="6" t="s">
        <v>384</v>
      </c>
      <c r="L511" s="6" t="s">
        <v>13</v>
      </c>
      <c r="M511" s="6" t="s">
        <v>199</v>
      </c>
      <c r="N511" s="6" t="s">
        <v>1842</v>
      </c>
      <c r="O511" s="6"/>
      <c r="P511" s="6"/>
    </row>
    <row r="512" customFormat="false" ht="15" hidden="false" customHeight="false" outlineLevel="0" collapsed="false">
      <c r="A512" s="6" t="s">
        <v>1843</v>
      </c>
      <c r="B512" s="6" t="s">
        <v>206</v>
      </c>
      <c r="C512" s="7" t="n">
        <v>46203</v>
      </c>
      <c r="D512" s="6" t="s">
        <v>380</v>
      </c>
      <c r="E512" s="6" t="s">
        <v>1734</v>
      </c>
      <c r="F512" s="6" t="s">
        <v>1735</v>
      </c>
      <c r="G512" s="6" t="s">
        <v>1844</v>
      </c>
      <c r="H512" s="9" t="n">
        <v>324222</v>
      </c>
      <c r="K512" s="6" t="s">
        <v>384</v>
      </c>
      <c r="L512" s="6" t="s">
        <v>13</v>
      </c>
      <c r="M512" s="6" t="s">
        <v>204</v>
      </c>
      <c r="N512" s="6" t="s">
        <v>1845</v>
      </c>
      <c r="O512" s="6"/>
      <c r="P512" s="6"/>
    </row>
    <row r="513" customFormat="false" ht="15" hidden="false" customHeight="false" outlineLevel="0" collapsed="false">
      <c r="A513" s="6" t="s">
        <v>1846</v>
      </c>
      <c r="B513" s="6" t="s">
        <v>263</v>
      </c>
      <c r="C513" s="7" t="n">
        <v>46203</v>
      </c>
      <c r="D513" s="6" t="s">
        <v>392</v>
      </c>
      <c r="E513" s="6" t="s">
        <v>1734</v>
      </c>
      <c r="F513" s="6" t="s">
        <v>1735</v>
      </c>
      <c r="G513" s="6" t="s">
        <v>1847</v>
      </c>
      <c r="H513" s="9" t="n">
        <v>638412</v>
      </c>
      <c r="K513" s="6" t="s">
        <v>384</v>
      </c>
      <c r="L513" s="6" t="s">
        <v>13</v>
      </c>
      <c r="M513" s="6" t="s">
        <v>204</v>
      </c>
      <c r="N513" s="6" t="s">
        <v>1848</v>
      </c>
      <c r="O513" s="6"/>
      <c r="P513" s="6"/>
    </row>
    <row r="514" customFormat="false" ht="15" hidden="false" customHeight="false" outlineLevel="0" collapsed="false">
      <c r="A514" s="6" t="s">
        <v>1849</v>
      </c>
      <c r="B514" s="6" t="s">
        <v>379</v>
      </c>
      <c r="C514" s="7" t="n">
        <v>44286</v>
      </c>
      <c r="D514" s="6" t="s">
        <v>380</v>
      </c>
      <c r="E514" s="6" t="s">
        <v>1734</v>
      </c>
      <c r="F514" s="6" t="s">
        <v>1850</v>
      </c>
      <c r="G514" s="6" t="s">
        <v>776</v>
      </c>
      <c r="H514" s="10" t="n">
        <v>0.89</v>
      </c>
      <c r="K514" s="6" t="s">
        <v>742</v>
      </c>
      <c r="L514" s="6" t="s">
        <v>13</v>
      </c>
      <c r="M514" s="6" t="s">
        <v>119</v>
      </c>
      <c r="N514" s="6" t="s">
        <v>1851</v>
      </c>
      <c r="O514" s="6"/>
      <c r="P514" s="6" t="s">
        <v>386</v>
      </c>
    </row>
    <row r="515" customFormat="false" ht="15" hidden="false" customHeight="false" outlineLevel="0" collapsed="false">
      <c r="A515" s="6" t="s">
        <v>1852</v>
      </c>
      <c r="B515" s="6" t="s">
        <v>103</v>
      </c>
      <c r="C515" s="7" t="n">
        <v>44377</v>
      </c>
      <c r="D515" s="6" t="s">
        <v>380</v>
      </c>
      <c r="E515" s="6" t="s">
        <v>1734</v>
      </c>
      <c r="F515" s="6" t="s">
        <v>1850</v>
      </c>
      <c r="G515" s="6" t="s">
        <v>773</v>
      </c>
      <c r="H515" s="10" t="n">
        <v>0.9</v>
      </c>
      <c r="K515" s="6" t="s">
        <v>742</v>
      </c>
      <c r="L515" s="6" t="s">
        <v>13</v>
      </c>
      <c r="M515" s="6" t="s">
        <v>100</v>
      </c>
      <c r="N515" s="6" t="s">
        <v>1853</v>
      </c>
      <c r="O515" s="6"/>
      <c r="P515" s="6"/>
    </row>
    <row r="516" customFormat="false" ht="15" hidden="false" customHeight="false" outlineLevel="0" collapsed="false">
      <c r="A516" s="6" t="s">
        <v>1854</v>
      </c>
      <c r="B516" s="6" t="s">
        <v>391</v>
      </c>
      <c r="C516" s="7" t="n">
        <v>44377</v>
      </c>
      <c r="D516" s="6" t="s">
        <v>392</v>
      </c>
      <c r="E516" s="6" t="s">
        <v>1734</v>
      </c>
      <c r="F516" s="6" t="s">
        <v>1850</v>
      </c>
      <c r="G516" s="6" t="s">
        <v>776</v>
      </c>
      <c r="H516" s="10" t="n">
        <v>0.89</v>
      </c>
      <c r="K516" s="6" t="s">
        <v>742</v>
      </c>
      <c r="L516" s="6" t="s">
        <v>13</v>
      </c>
      <c r="M516" s="6" t="s">
        <v>100</v>
      </c>
      <c r="N516" s="6" t="s">
        <v>1855</v>
      </c>
      <c r="O516" s="6"/>
      <c r="P516" s="6"/>
    </row>
    <row r="517" customFormat="false" ht="15" hidden="false" customHeight="false" outlineLevel="0" collapsed="false">
      <c r="A517" s="6" t="s">
        <v>1856</v>
      </c>
      <c r="B517" s="6" t="s">
        <v>111</v>
      </c>
      <c r="C517" s="7" t="n">
        <v>44469</v>
      </c>
      <c r="D517" s="6" t="s">
        <v>380</v>
      </c>
      <c r="E517" s="6" t="s">
        <v>1734</v>
      </c>
      <c r="F517" s="6" t="s">
        <v>1850</v>
      </c>
      <c r="G517" s="6" t="s">
        <v>773</v>
      </c>
      <c r="H517" s="10" t="n">
        <v>0.9</v>
      </c>
      <c r="K517" s="6" t="s">
        <v>742</v>
      </c>
      <c r="L517" s="6" t="s">
        <v>13</v>
      </c>
      <c r="M517" s="6" t="s">
        <v>109</v>
      </c>
      <c r="N517" s="6" t="s">
        <v>1857</v>
      </c>
      <c r="O517" s="6"/>
      <c r="P517" s="6"/>
    </row>
    <row r="518" customFormat="false" ht="15" hidden="false" customHeight="false" outlineLevel="0" collapsed="false">
      <c r="A518" s="6" t="s">
        <v>1858</v>
      </c>
      <c r="B518" s="6" t="s">
        <v>399</v>
      </c>
      <c r="C518" s="7" t="n">
        <v>44469</v>
      </c>
      <c r="D518" s="6" t="s">
        <v>400</v>
      </c>
      <c r="E518" s="6" t="s">
        <v>1734</v>
      </c>
      <c r="F518" s="6" t="s">
        <v>1850</v>
      </c>
      <c r="G518" s="6" t="s">
        <v>773</v>
      </c>
      <c r="H518" s="10" t="n">
        <v>0.9</v>
      </c>
      <c r="K518" s="6" t="s">
        <v>742</v>
      </c>
      <c r="L518" s="6" t="s">
        <v>13</v>
      </c>
      <c r="M518" s="6" t="s">
        <v>109</v>
      </c>
      <c r="N518" s="6" t="s">
        <v>1859</v>
      </c>
      <c r="O518" s="6"/>
      <c r="P518" s="6"/>
    </row>
    <row r="519" customFormat="false" ht="15" hidden="false" customHeight="false" outlineLevel="0" collapsed="false">
      <c r="A519" s="6" t="s">
        <v>1860</v>
      </c>
      <c r="B519" s="6" t="s">
        <v>116</v>
      </c>
      <c r="C519" s="7" t="n">
        <v>44561</v>
      </c>
      <c r="D519" s="6" t="s">
        <v>380</v>
      </c>
      <c r="E519" s="6" t="s">
        <v>1734</v>
      </c>
      <c r="F519" s="6" t="s">
        <v>1850</v>
      </c>
      <c r="G519" s="6" t="s">
        <v>773</v>
      </c>
      <c r="H519" s="10" t="n">
        <v>0.9</v>
      </c>
      <c r="K519" s="6" t="s">
        <v>742</v>
      </c>
      <c r="L519" s="6" t="s">
        <v>13</v>
      </c>
      <c r="M519" s="6" t="s">
        <v>114</v>
      </c>
      <c r="N519" s="6" t="s">
        <v>1861</v>
      </c>
      <c r="O519" s="6"/>
      <c r="P519" s="6"/>
    </row>
    <row r="520" customFormat="false" ht="15" hidden="false" customHeight="false" outlineLevel="0" collapsed="false">
      <c r="A520" s="6" t="s">
        <v>1862</v>
      </c>
      <c r="B520" s="6" t="s">
        <v>212</v>
      </c>
      <c r="C520" s="7" t="n">
        <v>44561</v>
      </c>
      <c r="D520" s="6" t="s">
        <v>407</v>
      </c>
      <c r="E520" s="6" t="s">
        <v>1734</v>
      </c>
      <c r="F520" s="6" t="s">
        <v>1850</v>
      </c>
      <c r="G520" s="6" t="s">
        <v>773</v>
      </c>
      <c r="H520" s="10" t="n">
        <v>0.9</v>
      </c>
      <c r="K520" s="6" t="s">
        <v>742</v>
      </c>
      <c r="L520" s="6" t="s">
        <v>13</v>
      </c>
      <c r="M520" s="6" t="s">
        <v>114</v>
      </c>
      <c r="N520" s="6" t="s">
        <v>1863</v>
      </c>
      <c r="O520" s="6"/>
      <c r="P520" s="6"/>
    </row>
    <row r="521" customFormat="false" ht="15" hidden="false" customHeight="false" outlineLevel="0" collapsed="false">
      <c r="A521" s="6" t="s">
        <v>1864</v>
      </c>
      <c r="B521" s="6" t="s">
        <v>121</v>
      </c>
      <c r="C521" s="7" t="n">
        <v>44651</v>
      </c>
      <c r="D521" s="6" t="s">
        <v>380</v>
      </c>
      <c r="E521" s="6" t="s">
        <v>1734</v>
      </c>
      <c r="F521" s="6" t="s">
        <v>1850</v>
      </c>
      <c r="G521" s="6" t="s">
        <v>776</v>
      </c>
      <c r="H521" s="10" t="n">
        <v>0.89</v>
      </c>
      <c r="K521" s="6" t="s">
        <v>742</v>
      </c>
      <c r="L521" s="6" t="s">
        <v>13</v>
      </c>
      <c r="M521" s="6" t="s">
        <v>119</v>
      </c>
      <c r="N521" s="6" t="s">
        <v>1865</v>
      </c>
      <c r="O521" s="6"/>
      <c r="P521" s="6"/>
    </row>
    <row r="522" customFormat="false" ht="15" hidden="false" customHeight="false" outlineLevel="0" collapsed="false">
      <c r="A522" s="6" t="s">
        <v>1866</v>
      </c>
      <c r="B522" s="6" t="s">
        <v>126</v>
      </c>
      <c r="C522" s="7" t="n">
        <v>44742</v>
      </c>
      <c r="D522" s="6" t="s">
        <v>380</v>
      </c>
      <c r="E522" s="6" t="s">
        <v>1734</v>
      </c>
      <c r="F522" s="6" t="s">
        <v>1850</v>
      </c>
      <c r="G522" s="6" t="s">
        <v>776</v>
      </c>
      <c r="H522" s="10" t="n">
        <v>0.89</v>
      </c>
      <c r="K522" s="6" t="s">
        <v>742</v>
      </c>
      <c r="L522" s="6" t="s">
        <v>13</v>
      </c>
      <c r="M522" s="6" t="s">
        <v>124</v>
      </c>
      <c r="N522" s="6" t="s">
        <v>1867</v>
      </c>
      <c r="O522" s="6"/>
      <c r="P522" s="6"/>
    </row>
    <row r="523" customFormat="false" ht="15" hidden="false" customHeight="false" outlineLevel="0" collapsed="false">
      <c r="A523" s="6" t="s">
        <v>1868</v>
      </c>
      <c r="B523" s="6" t="s">
        <v>417</v>
      </c>
      <c r="C523" s="7" t="n">
        <v>44742</v>
      </c>
      <c r="D523" s="6" t="s">
        <v>392</v>
      </c>
      <c r="E523" s="6" t="s">
        <v>1734</v>
      </c>
      <c r="F523" s="6" t="s">
        <v>1850</v>
      </c>
      <c r="G523" s="6" t="s">
        <v>776</v>
      </c>
      <c r="H523" s="10" t="n">
        <v>0.89</v>
      </c>
      <c r="K523" s="6" t="s">
        <v>742</v>
      </c>
      <c r="L523" s="6" t="s">
        <v>13</v>
      </c>
      <c r="M523" s="6" t="s">
        <v>124</v>
      </c>
      <c r="N523" s="6" t="s">
        <v>1869</v>
      </c>
      <c r="O523" s="6"/>
      <c r="P523" s="6"/>
    </row>
    <row r="524" customFormat="false" ht="15" hidden="false" customHeight="false" outlineLevel="0" collapsed="false">
      <c r="A524" s="6" t="s">
        <v>1870</v>
      </c>
      <c r="B524" s="6" t="s">
        <v>131</v>
      </c>
      <c r="C524" s="7" t="n">
        <v>44834</v>
      </c>
      <c r="D524" s="6" t="s">
        <v>380</v>
      </c>
      <c r="E524" s="6" t="s">
        <v>1734</v>
      </c>
      <c r="F524" s="6" t="s">
        <v>1850</v>
      </c>
      <c r="G524" s="6" t="s">
        <v>776</v>
      </c>
      <c r="H524" s="10" t="n">
        <v>0.89</v>
      </c>
      <c r="K524" s="6" t="s">
        <v>742</v>
      </c>
      <c r="L524" s="6" t="s">
        <v>13</v>
      </c>
      <c r="M524" s="6" t="s">
        <v>129</v>
      </c>
      <c r="N524" s="6" t="s">
        <v>1871</v>
      </c>
      <c r="O524" s="6"/>
      <c r="P524" s="6"/>
    </row>
    <row r="525" customFormat="false" ht="15" hidden="false" customHeight="false" outlineLevel="0" collapsed="false">
      <c r="A525" s="6" t="s">
        <v>1872</v>
      </c>
      <c r="B525" s="6" t="s">
        <v>424</v>
      </c>
      <c r="C525" s="7" t="n">
        <v>44834</v>
      </c>
      <c r="D525" s="6" t="s">
        <v>400</v>
      </c>
      <c r="E525" s="6" t="s">
        <v>1734</v>
      </c>
      <c r="F525" s="6" t="s">
        <v>1850</v>
      </c>
      <c r="G525" s="6" t="s">
        <v>776</v>
      </c>
      <c r="H525" s="10" t="n">
        <v>0.89</v>
      </c>
      <c r="K525" s="6" t="s">
        <v>742</v>
      </c>
      <c r="L525" s="6" t="s">
        <v>13</v>
      </c>
      <c r="M525" s="6" t="s">
        <v>129</v>
      </c>
      <c r="N525" s="6" t="s">
        <v>1873</v>
      </c>
      <c r="O525" s="6"/>
      <c r="P525" s="6"/>
    </row>
    <row r="526" customFormat="false" ht="15" hidden="false" customHeight="false" outlineLevel="0" collapsed="false">
      <c r="A526" s="6" t="s">
        <v>1874</v>
      </c>
      <c r="B526" s="6" t="s">
        <v>136</v>
      </c>
      <c r="C526" s="7" t="n">
        <v>44926</v>
      </c>
      <c r="D526" s="6" t="s">
        <v>380</v>
      </c>
      <c r="E526" s="6" t="s">
        <v>1734</v>
      </c>
      <c r="F526" s="6" t="s">
        <v>1850</v>
      </c>
      <c r="G526" s="6" t="s">
        <v>773</v>
      </c>
      <c r="H526" s="10" t="n">
        <v>0.9</v>
      </c>
      <c r="K526" s="6" t="s">
        <v>742</v>
      </c>
      <c r="L526" s="6" t="s">
        <v>13</v>
      </c>
      <c r="M526" s="6" t="s">
        <v>134</v>
      </c>
      <c r="N526" s="6" t="s">
        <v>1875</v>
      </c>
      <c r="O526" s="6"/>
      <c r="P526" s="6"/>
    </row>
    <row r="527" customFormat="false" ht="15" hidden="false" customHeight="false" outlineLevel="0" collapsed="false">
      <c r="A527" s="6" t="s">
        <v>1876</v>
      </c>
      <c r="B527" s="6" t="s">
        <v>220</v>
      </c>
      <c r="C527" s="7" t="n">
        <v>44926</v>
      </c>
      <c r="D527" s="6" t="s">
        <v>407</v>
      </c>
      <c r="E527" s="6" t="s">
        <v>1734</v>
      </c>
      <c r="F527" s="6" t="s">
        <v>1850</v>
      </c>
      <c r="G527" s="6" t="s">
        <v>776</v>
      </c>
      <c r="H527" s="10" t="n">
        <v>0.89</v>
      </c>
      <c r="K527" s="6" t="s">
        <v>742</v>
      </c>
      <c r="L527" s="6" t="s">
        <v>13</v>
      </c>
      <c r="M527" s="6" t="s">
        <v>134</v>
      </c>
      <c r="N527" s="6" t="s">
        <v>1877</v>
      </c>
      <c r="O527" s="6"/>
      <c r="P527" s="6"/>
    </row>
    <row r="528" customFormat="false" ht="15" hidden="false" customHeight="false" outlineLevel="0" collapsed="false">
      <c r="A528" s="6" t="s">
        <v>1878</v>
      </c>
      <c r="B528" s="6" t="s">
        <v>141</v>
      </c>
      <c r="C528" s="7" t="n">
        <v>45016</v>
      </c>
      <c r="D528" s="6" t="s">
        <v>380</v>
      </c>
      <c r="E528" s="6" t="s">
        <v>1734</v>
      </c>
      <c r="F528" s="6" t="s">
        <v>1850</v>
      </c>
      <c r="G528" s="6" t="s">
        <v>773</v>
      </c>
      <c r="H528" s="10" t="n">
        <v>0.9</v>
      </c>
      <c r="K528" s="6" t="s">
        <v>742</v>
      </c>
      <c r="L528" s="6" t="s">
        <v>13</v>
      </c>
      <c r="M528" s="6" t="s">
        <v>139</v>
      </c>
      <c r="N528" s="6" t="s">
        <v>1879</v>
      </c>
      <c r="O528" s="6"/>
      <c r="P528" s="6"/>
    </row>
    <row r="529" customFormat="false" ht="15" hidden="false" customHeight="false" outlineLevel="0" collapsed="false">
      <c r="A529" s="6" t="s">
        <v>1880</v>
      </c>
      <c r="B529" s="6" t="s">
        <v>146</v>
      </c>
      <c r="C529" s="7" t="n">
        <v>45107</v>
      </c>
      <c r="D529" s="6" t="s">
        <v>380</v>
      </c>
      <c r="E529" s="6" t="s">
        <v>1734</v>
      </c>
      <c r="F529" s="6" t="s">
        <v>1850</v>
      </c>
      <c r="G529" s="6" t="s">
        <v>773</v>
      </c>
      <c r="H529" s="10" t="n">
        <v>0.9</v>
      </c>
      <c r="K529" s="6" t="s">
        <v>742</v>
      </c>
      <c r="L529" s="6" t="s">
        <v>13</v>
      </c>
      <c r="M529" s="6" t="s">
        <v>144</v>
      </c>
      <c r="N529" s="6" t="s">
        <v>1881</v>
      </c>
      <c r="O529" s="6"/>
      <c r="P529" s="6"/>
    </row>
    <row r="530" customFormat="false" ht="15" hidden="false" customHeight="false" outlineLevel="0" collapsed="false">
      <c r="A530" s="6" t="s">
        <v>1882</v>
      </c>
      <c r="B530" s="6" t="s">
        <v>440</v>
      </c>
      <c r="C530" s="7" t="n">
        <v>45107</v>
      </c>
      <c r="D530" s="6" t="s">
        <v>392</v>
      </c>
      <c r="E530" s="6" t="s">
        <v>1734</v>
      </c>
      <c r="F530" s="6" t="s">
        <v>1850</v>
      </c>
      <c r="G530" s="6" t="s">
        <v>773</v>
      </c>
      <c r="H530" s="10" t="n">
        <v>0.9</v>
      </c>
      <c r="K530" s="6" t="s">
        <v>742</v>
      </c>
      <c r="L530" s="6" t="s">
        <v>13</v>
      </c>
      <c r="M530" s="6" t="s">
        <v>144</v>
      </c>
      <c r="N530" s="6" t="s">
        <v>1883</v>
      </c>
      <c r="O530" s="6"/>
      <c r="P530" s="6"/>
    </row>
    <row r="531" customFormat="false" ht="15" hidden="false" customHeight="false" outlineLevel="0" collapsed="false">
      <c r="A531" s="6" t="s">
        <v>1884</v>
      </c>
      <c r="B531" s="6" t="s">
        <v>151</v>
      </c>
      <c r="C531" s="7" t="n">
        <v>45199</v>
      </c>
      <c r="D531" s="6" t="s">
        <v>380</v>
      </c>
      <c r="E531" s="6" t="s">
        <v>1734</v>
      </c>
      <c r="F531" s="6" t="s">
        <v>1850</v>
      </c>
      <c r="G531" s="6" t="s">
        <v>776</v>
      </c>
      <c r="H531" s="10" t="n">
        <v>0.89</v>
      </c>
      <c r="K531" s="6" t="s">
        <v>742</v>
      </c>
      <c r="L531" s="6" t="s">
        <v>13</v>
      </c>
      <c r="M531" s="6" t="s">
        <v>149</v>
      </c>
      <c r="N531" s="6" t="s">
        <v>1885</v>
      </c>
      <c r="O531" s="6"/>
      <c r="P531" s="6"/>
    </row>
    <row r="532" customFormat="false" ht="15" hidden="false" customHeight="false" outlineLevel="0" collapsed="false">
      <c r="A532" s="6" t="s">
        <v>1886</v>
      </c>
      <c r="B532" s="6" t="s">
        <v>447</v>
      </c>
      <c r="C532" s="7" t="n">
        <v>45199</v>
      </c>
      <c r="D532" s="6" t="s">
        <v>400</v>
      </c>
      <c r="E532" s="6" t="s">
        <v>1734</v>
      </c>
      <c r="F532" s="6" t="s">
        <v>1850</v>
      </c>
      <c r="G532" s="6" t="s">
        <v>773</v>
      </c>
      <c r="H532" s="10" t="n">
        <v>0.9</v>
      </c>
      <c r="K532" s="6" t="s">
        <v>742</v>
      </c>
      <c r="L532" s="6" t="s">
        <v>13</v>
      </c>
      <c r="M532" s="6" t="s">
        <v>149</v>
      </c>
      <c r="N532" s="6" t="s">
        <v>1887</v>
      </c>
      <c r="O532" s="6"/>
      <c r="P532" s="6"/>
    </row>
    <row r="533" customFormat="false" ht="15" hidden="false" customHeight="false" outlineLevel="0" collapsed="false">
      <c r="A533" s="6" t="s">
        <v>1888</v>
      </c>
      <c r="B533" s="6" t="s">
        <v>156</v>
      </c>
      <c r="C533" s="7" t="n">
        <v>45291</v>
      </c>
      <c r="D533" s="6" t="s">
        <v>380</v>
      </c>
      <c r="E533" s="6" t="s">
        <v>1734</v>
      </c>
      <c r="F533" s="6" t="s">
        <v>1850</v>
      </c>
      <c r="G533" s="6" t="s">
        <v>773</v>
      </c>
      <c r="H533" s="10" t="n">
        <v>0.9</v>
      </c>
      <c r="K533" s="6" t="s">
        <v>742</v>
      </c>
      <c r="L533" s="6" t="s">
        <v>13</v>
      </c>
      <c r="M533" s="6" t="s">
        <v>154</v>
      </c>
      <c r="N533" s="6" t="s">
        <v>1889</v>
      </c>
      <c r="O533" s="6"/>
      <c r="P533" s="6"/>
    </row>
    <row r="534" customFormat="false" ht="15" hidden="false" customHeight="false" outlineLevel="0" collapsed="false">
      <c r="A534" s="6" t="s">
        <v>1890</v>
      </c>
      <c r="B534" s="6" t="s">
        <v>225</v>
      </c>
      <c r="C534" s="7" t="n">
        <v>45291</v>
      </c>
      <c r="D534" s="6" t="s">
        <v>407</v>
      </c>
      <c r="E534" s="6" t="s">
        <v>1734</v>
      </c>
      <c r="F534" s="6" t="s">
        <v>1850</v>
      </c>
      <c r="G534" s="6" t="s">
        <v>773</v>
      </c>
      <c r="H534" s="10" t="n">
        <v>0.9</v>
      </c>
      <c r="K534" s="6" t="s">
        <v>742</v>
      </c>
      <c r="L534" s="6" t="s">
        <v>13</v>
      </c>
      <c r="M534" s="6" t="s">
        <v>154</v>
      </c>
      <c r="N534" s="6" t="s">
        <v>1891</v>
      </c>
      <c r="O534" s="6"/>
      <c r="P534" s="6"/>
    </row>
    <row r="535" customFormat="false" ht="15" hidden="false" customHeight="false" outlineLevel="0" collapsed="false">
      <c r="A535" s="6" t="s">
        <v>1892</v>
      </c>
      <c r="B535" s="6" t="s">
        <v>161</v>
      </c>
      <c r="C535" s="7" t="n">
        <v>45382</v>
      </c>
      <c r="D535" s="6" t="s">
        <v>380</v>
      </c>
      <c r="E535" s="6" t="s">
        <v>1734</v>
      </c>
      <c r="F535" s="6" t="s">
        <v>1850</v>
      </c>
      <c r="G535" s="6" t="s">
        <v>773</v>
      </c>
      <c r="H535" s="10" t="n">
        <v>0.9</v>
      </c>
      <c r="K535" s="6" t="s">
        <v>742</v>
      </c>
      <c r="L535" s="6" t="s">
        <v>13</v>
      </c>
      <c r="M535" s="6" t="s">
        <v>159</v>
      </c>
      <c r="N535" s="6" t="s">
        <v>1893</v>
      </c>
      <c r="O535" s="6"/>
      <c r="P535" s="6"/>
    </row>
    <row r="536" customFormat="false" ht="15" hidden="false" customHeight="false" outlineLevel="0" collapsed="false">
      <c r="A536" s="6" t="s">
        <v>1894</v>
      </c>
      <c r="B536" s="6" t="s">
        <v>166</v>
      </c>
      <c r="C536" s="7" t="n">
        <v>45473</v>
      </c>
      <c r="D536" s="6" t="s">
        <v>380</v>
      </c>
      <c r="E536" s="6" t="s">
        <v>1734</v>
      </c>
      <c r="F536" s="6" t="s">
        <v>1850</v>
      </c>
      <c r="G536" s="6" t="s">
        <v>1895</v>
      </c>
      <c r="H536" s="10" t="n">
        <v>0.91</v>
      </c>
      <c r="K536" s="6" t="s">
        <v>742</v>
      </c>
      <c r="L536" s="6" t="s">
        <v>13</v>
      </c>
      <c r="M536" s="6" t="s">
        <v>164</v>
      </c>
      <c r="N536" s="6" t="s">
        <v>1896</v>
      </c>
      <c r="O536" s="6"/>
      <c r="P536" s="6"/>
    </row>
    <row r="537" customFormat="false" ht="15" hidden="false" customHeight="false" outlineLevel="0" collapsed="false">
      <c r="A537" s="6" t="s">
        <v>1897</v>
      </c>
      <c r="B537" s="6" t="s">
        <v>241</v>
      </c>
      <c r="C537" s="7" t="n">
        <v>45473</v>
      </c>
      <c r="D537" s="6" t="s">
        <v>392</v>
      </c>
      <c r="E537" s="6" t="s">
        <v>1734</v>
      </c>
      <c r="F537" s="6" t="s">
        <v>1850</v>
      </c>
      <c r="G537" s="6" t="s">
        <v>773</v>
      </c>
      <c r="H537" s="10" t="n">
        <v>0.9</v>
      </c>
      <c r="K537" s="6" t="s">
        <v>742</v>
      </c>
      <c r="L537" s="6" t="s">
        <v>13</v>
      </c>
      <c r="M537" s="6" t="s">
        <v>164</v>
      </c>
      <c r="N537" s="6" t="s">
        <v>1898</v>
      </c>
      <c r="O537" s="6"/>
      <c r="P537" s="6"/>
    </row>
    <row r="538" customFormat="false" ht="15" hidden="false" customHeight="false" outlineLevel="0" collapsed="false">
      <c r="A538" s="6" t="s">
        <v>1899</v>
      </c>
      <c r="B538" s="6" t="s">
        <v>171</v>
      </c>
      <c r="C538" s="7" t="n">
        <v>45565</v>
      </c>
      <c r="D538" s="6" t="s">
        <v>380</v>
      </c>
      <c r="E538" s="6" t="s">
        <v>1734</v>
      </c>
      <c r="F538" s="6" t="s">
        <v>1850</v>
      </c>
      <c r="G538" s="6" t="s">
        <v>773</v>
      </c>
      <c r="H538" s="10" t="n">
        <v>0.9</v>
      </c>
      <c r="K538" s="6" t="s">
        <v>742</v>
      </c>
      <c r="L538" s="6" t="s">
        <v>13</v>
      </c>
      <c r="M538" s="6" t="s">
        <v>169</v>
      </c>
      <c r="N538" s="6" t="s">
        <v>1900</v>
      </c>
      <c r="O538" s="6"/>
      <c r="P538" s="6"/>
    </row>
    <row r="539" customFormat="false" ht="15" hidden="false" customHeight="false" outlineLevel="0" collapsed="false">
      <c r="A539" s="6" t="s">
        <v>1901</v>
      </c>
      <c r="B539" s="6" t="s">
        <v>469</v>
      </c>
      <c r="C539" s="7" t="n">
        <v>45565</v>
      </c>
      <c r="D539" s="6" t="s">
        <v>400</v>
      </c>
      <c r="E539" s="6" t="s">
        <v>1734</v>
      </c>
      <c r="F539" s="6" t="s">
        <v>1850</v>
      </c>
      <c r="G539" s="6" t="s">
        <v>773</v>
      </c>
      <c r="H539" s="10" t="n">
        <v>0.9</v>
      </c>
      <c r="K539" s="6" t="s">
        <v>742</v>
      </c>
      <c r="L539" s="6" t="s">
        <v>13</v>
      </c>
      <c r="M539" s="6" t="s">
        <v>169</v>
      </c>
      <c r="N539" s="6" t="s">
        <v>1902</v>
      </c>
      <c r="O539" s="6"/>
      <c r="P539" s="6"/>
    </row>
    <row r="540" customFormat="false" ht="15" hidden="false" customHeight="false" outlineLevel="0" collapsed="false">
      <c r="A540" s="6" t="s">
        <v>1903</v>
      </c>
      <c r="B540" s="6" t="s">
        <v>176</v>
      </c>
      <c r="C540" s="7" t="n">
        <v>45657</v>
      </c>
      <c r="D540" s="6" t="s">
        <v>380</v>
      </c>
      <c r="E540" s="6" t="s">
        <v>1734</v>
      </c>
      <c r="F540" s="6" t="s">
        <v>1850</v>
      </c>
      <c r="G540" s="6" t="s">
        <v>776</v>
      </c>
      <c r="H540" s="10" t="n">
        <v>0.89</v>
      </c>
      <c r="K540" s="6" t="s">
        <v>742</v>
      </c>
      <c r="L540" s="6" t="s">
        <v>13</v>
      </c>
      <c r="M540" s="6" t="s">
        <v>174</v>
      </c>
      <c r="N540" s="6" t="s">
        <v>1904</v>
      </c>
      <c r="O540" s="6"/>
      <c r="P540" s="6"/>
    </row>
    <row r="541" customFormat="false" ht="15" hidden="false" customHeight="false" outlineLevel="0" collapsed="false">
      <c r="A541" s="6" t="s">
        <v>1905</v>
      </c>
      <c r="B541" s="6" t="s">
        <v>230</v>
      </c>
      <c r="C541" s="7" t="n">
        <v>45657</v>
      </c>
      <c r="D541" s="6" t="s">
        <v>407</v>
      </c>
      <c r="E541" s="6" t="s">
        <v>1734</v>
      </c>
      <c r="F541" s="6" t="s">
        <v>1850</v>
      </c>
      <c r="G541" s="6" t="s">
        <v>773</v>
      </c>
      <c r="H541" s="10" t="n">
        <v>0.9</v>
      </c>
      <c r="K541" s="6" t="s">
        <v>742</v>
      </c>
      <c r="L541" s="6" t="s">
        <v>13</v>
      </c>
      <c r="M541" s="6" t="s">
        <v>174</v>
      </c>
      <c r="N541" s="6" t="s">
        <v>1906</v>
      </c>
      <c r="O541" s="6"/>
      <c r="P541" s="6"/>
    </row>
    <row r="542" customFormat="false" ht="15" hidden="false" customHeight="false" outlineLevel="0" collapsed="false">
      <c r="A542" s="6" t="s">
        <v>1907</v>
      </c>
      <c r="B542" s="6" t="s">
        <v>181</v>
      </c>
      <c r="C542" s="7" t="n">
        <v>45747</v>
      </c>
      <c r="D542" s="6" t="s">
        <v>380</v>
      </c>
      <c r="E542" s="6" t="s">
        <v>1734</v>
      </c>
      <c r="F542" s="6" t="s">
        <v>1850</v>
      </c>
      <c r="G542" s="6" t="s">
        <v>773</v>
      </c>
      <c r="H542" s="10" t="n">
        <v>0.9</v>
      </c>
      <c r="K542" s="6" t="s">
        <v>742</v>
      </c>
      <c r="L542" s="6" t="s">
        <v>13</v>
      </c>
      <c r="M542" s="6" t="s">
        <v>179</v>
      </c>
      <c r="N542" s="6" t="s">
        <v>1908</v>
      </c>
      <c r="O542" s="6"/>
      <c r="P542" s="6"/>
    </row>
    <row r="543" customFormat="false" ht="15" hidden="false" customHeight="false" outlineLevel="0" collapsed="false">
      <c r="A543" s="6" t="s">
        <v>1909</v>
      </c>
      <c r="B543" s="6" t="s">
        <v>186</v>
      </c>
      <c r="C543" s="7" t="n">
        <v>45838</v>
      </c>
      <c r="D543" s="6" t="s">
        <v>380</v>
      </c>
      <c r="E543" s="6" t="s">
        <v>1734</v>
      </c>
      <c r="F543" s="6" t="s">
        <v>1850</v>
      </c>
      <c r="G543" s="6" t="s">
        <v>773</v>
      </c>
      <c r="H543" s="10" t="n">
        <v>0.9</v>
      </c>
      <c r="K543" s="6" t="s">
        <v>742</v>
      </c>
      <c r="L543" s="6" t="s">
        <v>13</v>
      </c>
      <c r="M543" s="6" t="s">
        <v>184</v>
      </c>
      <c r="N543" s="6" t="s">
        <v>1910</v>
      </c>
      <c r="O543" s="6"/>
      <c r="P543" s="6"/>
    </row>
    <row r="544" customFormat="false" ht="15" hidden="false" customHeight="false" outlineLevel="0" collapsed="false">
      <c r="A544" s="6" t="s">
        <v>1911</v>
      </c>
      <c r="B544" s="6" t="s">
        <v>255</v>
      </c>
      <c r="C544" s="7" t="n">
        <v>45838</v>
      </c>
      <c r="D544" s="6" t="s">
        <v>392</v>
      </c>
      <c r="E544" s="6" t="s">
        <v>1734</v>
      </c>
      <c r="F544" s="6" t="s">
        <v>1850</v>
      </c>
      <c r="G544" s="6" t="s">
        <v>773</v>
      </c>
      <c r="H544" s="10" t="n">
        <v>0.9</v>
      </c>
      <c r="K544" s="6" t="s">
        <v>742</v>
      </c>
      <c r="L544" s="6" t="s">
        <v>13</v>
      </c>
      <c r="M544" s="6" t="s">
        <v>184</v>
      </c>
      <c r="N544" s="6" t="s">
        <v>1912</v>
      </c>
      <c r="O544" s="6"/>
      <c r="P544" s="6"/>
    </row>
    <row r="545" customFormat="false" ht="15" hidden="false" customHeight="false" outlineLevel="0" collapsed="false">
      <c r="A545" s="6" t="s">
        <v>1913</v>
      </c>
      <c r="B545" s="6" t="s">
        <v>191</v>
      </c>
      <c r="C545" s="7" t="n">
        <v>45930</v>
      </c>
      <c r="D545" s="6" t="s">
        <v>380</v>
      </c>
      <c r="E545" s="6" t="s">
        <v>1734</v>
      </c>
      <c r="F545" s="6" t="s">
        <v>1850</v>
      </c>
      <c r="G545" s="6" t="s">
        <v>773</v>
      </c>
      <c r="H545" s="10" t="n">
        <v>0.9</v>
      </c>
      <c r="K545" s="6" t="s">
        <v>742</v>
      </c>
      <c r="L545" s="6" t="s">
        <v>13</v>
      </c>
      <c r="M545" s="6" t="s">
        <v>189</v>
      </c>
      <c r="N545" s="6" t="s">
        <v>1914</v>
      </c>
      <c r="O545" s="6"/>
      <c r="P545" s="6"/>
    </row>
    <row r="546" customFormat="false" ht="15" hidden="false" customHeight="false" outlineLevel="0" collapsed="false">
      <c r="A546" s="6" t="s">
        <v>1915</v>
      </c>
      <c r="B546" s="6" t="s">
        <v>491</v>
      </c>
      <c r="C546" s="7" t="n">
        <v>45930</v>
      </c>
      <c r="D546" s="6" t="s">
        <v>400</v>
      </c>
      <c r="E546" s="6" t="s">
        <v>1734</v>
      </c>
      <c r="F546" s="6" t="s">
        <v>1850</v>
      </c>
      <c r="G546" s="6" t="s">
        <v>773</v>
      </c>
      <c r="H546" s="10" t="n">
        <v>0.9</v>
      </c>
      <c r="K546" s="6" t="s">
        <v>742</v>
      </c>
      <c r="L546" s="6" t="s">
        <v>13</v>
      </c>
      <c r="M546" s="6" t="s">
        <v>189</v>
      </c>
      <c r="N546" s="6" t="s">
        <v>1916</v>
      </c>
      <c r="O546" s="6"/>
      <c r="P546" s="6"/>
    </row>
    <row r="547" customFormat="false" ht="15" hidden="false" customHeight="false" outlineLevel="0" collapsed="false">
      <c r="A547" s="6" t="s">
        <v>1917</v>
      </c>
      <c r="B547" s="6" t="s">
        <v>196</v>
      </c>
      <c r="C547" s="7" t="n">
        <v>46022</v>
      </c>
      <c r="D547" s="6" t="s">
        <v>380</v>
      </c>
      <c r="E547" s="6" t="s">
        <v>1734</v>
      </c>
      <c r="F547" s="6" t="s">
        <v>1850</v>
      </c>
      <c r="G547" s="6" t="s">
        <v>776</v>
      </c>
      <c r="H547" s="10" t="n">
        <v>0.89</v>
      </c>
      <c r="K547" s="6" t="s">
        <v>742</v>
      </c>
      <c r="L547" s="6" t="s">
        <v>13</v>
      </c>
      <c r="M547" s="6" t="s">
        <v>194</v>
      </c>
      <c r="N547" s="6" t="s">
        <v>1918</v>
      </c>
      <c r="O547" s="6"/>
      <c r="P547" s="6"/>
    </row>
    <row r="548" customFormat="false" ht="15" hidden="false" customHeight="false" outlineLevel="0" collapsed="false">
      <c r="A548" s="6" t="s">
        <v>1919</v>
      </c>
      <c r="B548" s="6" t="s">
        <v>235</v>
      </c>
      <c r="C548" s="7" t="n">
        <v>46022</v>
      </c>
      <c r="D548" s="6" t="s">
        <v>407</v>
      </c>
      <c r="E548" s="6" t="s">
        <v>1734</v>
      </c>
      <c r="F548" s="6" t="s">
        <v>1850</v>
      </c>
      <c r="G548" s="6" t="s">
        <v>773</v>
      </c>
      <c r="H548" s="10" t="n">
        <v>0.9</v>
      </c>
      <c r="K548" s="6" t="s">
        <v>742</v>
      </c>
      <c r="L548" s="6" t="s">
        <v>13</v>
      </c>
      <c r="M548" s="6" t="s">
        <v>194</v>
      </c>
      <c r="N548" s="6" t="s">
        <v>1920</v>
      </c>
      <c r="O548" s="6"/>
      <c r="P548" s="6"/>
    </row>
    <row r="549" customFormat="false" ht="15" hidden="false" customHeight="false" outlineLevel="0" collapsed="false">
      <c r="A549" s="6" t="s">
        <v>1921</v>
      </c>
      <c r="B549" s="6" t="s">
        <v>201</v>
      </c>
      <c r="C549" s="7" t="n">
        <v>46112</v>
      </c>
      <c r="D549" s="6" t="s">
        <v>380</v>
      </c>
      <c r="E549" s="6" t="s">
        <v>1734</v>
      </c>
      <c r="F549" s="6" t="s">
        <v>1850</v>
      </c>
      <c r="G549" s="6" t="s">
        <v>776</v>
      </c>
      <c r="H549" s="10" t="n">
        <v>0.89</v>
      </c>
      <c r="K549" s="6" t="s">
        <v>742</v>
      </c>
      <c r="L549" s="6" t="s">
        <v>13</v>
      </c>
      <c r="M549" s="6" t="s">
        <v>199</v>
      </c>
      <c r="N549" s="6" t="s">
        <v>1922</v>
      </c>
      <c r="O549" s="6"/>
      <c r="P549" s="6"/>
    </row>
    <row r="550" customFormat="false" ht="15" hidden="false" customHeight="false" outlineLevel="0" collapsed="false">
      <c r="A550" s="6" t="s">
        <v>1923</v>
      </c>
      <c r="B550" s="6" t="s">
        <v>206</v>
      </c>
      <c r="C550" s="7" t="n">
        <v>46203</v>
      </c>
      <c r="D550" s="6" t="s">
        <v>380</v>
      </c>
      <c r="E550" s="6" t="s">
        <v>1734</v>
      </c>
      <c r="F550" s="6" t="s">
        <v>1850</v>
      </c>
      <c r="G550" s="6" t="s">
        <v>776</v>
      </c>
      <c r="H550" s="10" t="n">
        <v>0.89</v>
      </c>
      <c r="K550" s="6" t="s">
        <v>742</v>
      </c>
      <c r="L550" s="6" t="s">
        <v>13</v>
      </c>
      <c r="M550" s="6" t="s">
        <v>204</v>
      </c>
      <c r="N550" s="6" t="s">
        <v>1924</v>
      </c>
      <c r="O550" s="6"/>
      <c r="P550" s="6"/>
    </row>
    <row r="551" customFormat="false" ht="15" hidden="false" customHeight="false" outlineLevel="0" collapsed="false">
      <c r="A551" s="6" t="s">
        <v>1925</v>
      </c>
      <c r="B551" s="6" t="s">
        <v>263</v>
      </c>
      <c r="C551" s="7" t="n">
        <v>46203</v>
      </c>
      <c r="D551" s="6" t="s">
        <v>392</v>
      </c>
      <c r="E551" s="6" t="s">
        <v>1734</v>
      </c>
      <c r="F551" s="6" t="s">
        <v>1850</v>
      </c>
      <c r="G551" s="6" t="s">
        <v>776</v>
      </c>
      <c r="H551" s="10" t="n">
        <v>0.89</v>
      </c>
      <c r="K551" s="6" t="s">
        <v>742</v>
      </c>
      <c r="L551" s="6" t="s">
        <v>13</v>
      </c>
      <c r="M551" s="6" t="s">
        <v>204</v>
      </c>
      <c r="N551" s="6" t="s">
        <v>1926</v>
      </c>
      <c r="O551" s="6"/>
      <c r="P551" s="6"/>
    </row>
    <row r="552" customFormat="false" ht="15" hidden="false" customHeight="false" outlineLevel="0" collapsed="false">
      <c r="A552" s="6" t="s">
        <v>1927</v>
      </c>
      <c r="B552" s="6" t="s">
        <v>379</v>
      </c>
      <c r="C552" s="7" t="n">
        <v>44286</v>
      </c>
      <c r="D552" s="6" t="s">
        <v>380</v>
      </c>
      <c r="E552" s="6" t="s">
        <v>1734</v>
      </c>
      <c r="F552" s="6" t="s">
        <v>1928</v>
      </c>
      <c r="G552" s="6" t="s">
        <v>1929</v>
      </c>
      <c r="H552" s="9" t="n">
        <v>11044</v>
      </c>
      <c r="K552" s="6" t="s">
        <v>384</v>
      </c>
      <c r="L552" s="6" t="s">
        <v>13</v>
      </c>
      <c r="M552" s="6" t="s">
        <v>119</v>
      </c>
      <c r="N552" s="6" t="s">
        <v>1930</v>
      </c>
      <c r="O552" s="6"/>
      <c r="P552" s="6" t="s">
        <v>386</v>
      </c>
    </row>
    <row r="553" customFormat="false" ht="15" hidden="false" customHeight="false" outlineLevel="0" collapsed="false">
      <c r="A553" s="6" t="s">
        <v>1931</v>
      </c>
      <c r="B553" s="6" t="s">
        <v>103</v>
      </c>
      <c r="C553" s="7" t="n">
        <v>44377</v>
      </c>
      <c r="D553" s="6" t="s">
        <v>380</v>
      </c>
      <c r="E553" s="6" t="s">
        <v>1734</v>
      </c>
      <c r="F553" s="6" t="s">
        <v>1928</v>
      </c>
      <c r="G553" s="6" t="s">
        <v>1932</v>
      </c>
      <c r="H553" s="9" t="n">
        <v>11203</v>
      </c>
      <c r="K553" s="6" t="s">
        <v>384</v>
      </c>
      <c r="L553" s="6" t="s">
        <v>13</v>
      </c>
      <c r="M553" s="6" t="s">
        <v>100</v>
      </c>
      <c r="N553" s="6" t="s">
        <v>1933</v>
      </c>
      <c r="O553" s="6"/>
      <c r="P553" s="6"/>
    </row>
    <row r="554" customFormat="false" ht="15" hidden="false" customHeight="false" outlineLevel="0" collapsed="false">
      <c r="A554" s="6" t="s">
        <v>1934</v>
      </c>
      <c r="B554" s="6" t="s">
        <v>391</v>
      </c>
      <c r="C554" s="7" t="n">
        <v>44377</v>
      </c>
      <c r="D554" s="6" t="s">
        <v>392</v>
      </c>
      <c r="E554" s="6" t="s">
        <v>1734</v>
      </c>
      <c r="F554" s="6" t="s">
        <v>1928</v>
      </c>
      <c r="G554" s="6" t="s">
        <v>1935</v>
      </c>
      <c r="H554" s="9" t="n">
        <v>22247</v>
      </c>
      <c r="K554" s="6" t="s">
        <v>384</v>
      </c>
      <c r="L554" s="6" t="s">
        <v>13</v>
      </c>
      <c r="M554" s="6" t="s">
        <v>100</v>
      </c>
      <c r="N554" s="6" t="s">
        <v>1936</v>
      </c>
      <c r="O554" s="6"/>
      <c r="P554" s="6"/>
    </row>
    <row r="555" customFormat="false" ht="15" hidden="false" customHeight="false" outlineLevel="0" collapsed="false">
      <c r="A555" s="6" t="s">
        <v>1937</v>
      </c>
      <c r="B555" s="6" t="s">
        <v>111</v>
      </c>
      <c r="C555" s="7" t="n">
        <v>44469</v>
      </c>
      <c r="D555" s="6" t="s">
        <v>380</v>
      </c>
      <c r="E555" s="6" t="s">
        <v>1734</v>
      </c>
      <c r="F555" s="6" t="s">
        <v>1928</v>
      </c>
      <c r="G555" s="6" t="s">
        <v>1938</v>
      </c>
      <c r="H555" s="9" t="n">
        <v>14255</v>
      </c>
      <c r="K555" s="6" t="s">
        <v>384</v>
      </c>
      <c r="L555" s="6" t="s">
        <v>13</v>
      </c>
      <c r="M555" s="6" t="s">
        <v>109</v>
      </c>
      <c r="N555" s="6" t="s">
        <v>1939</v>
      </c>
      <c r="O555" s="6"/>
      <c r="P555" s="6"/>
    </row>
    <row r="556" customFormat="false" ht="15" hidden="false" customHeight="false" outlineLevel="0" collapsed="false">
      <c r="A556" s="6" t="s">
        <v>1940</v>
      </c>
      <c r="B556" s="6" t="s">
        <v>399</v>
      </c>
      <c r="C556" s="7" t="n">
        <v>44469</v>
      </c>
      <c r="D556" s="6" t="s">
        <v>400</v>
      </c>
      <c r="E556" s="6" t="s">
        <v>1734</v>
      </c>
      <c r="F556" s="6" t="s">
        <v>1928</v>
      </c>
      <c r="G556" s="6" t="s">
        <v>1941</v>
      </c>
      <c r="H556" s="9" t="n">
        <v>36502</v>
      </c>
      <c r="K556" s="6" t="s">
        <v>384</v>
      </c>
      <c r="L556" s="6" t="s">
        <v>13</v>
      </c>
      <c r="M556" s="6" t="s">
        <v>109</v>
      </c>
      <c r="N556" s="6" t="s">
        <v>1942</v>
      </c>
      <c r="O556" s="6"/>
      <c r="P556" s="6"/>
    </row>
    <row r="557" customFormat="false" ht="15" hidden="false" customHeight="false" outlineLevel="0" collapsed="false">
      <c r="A557" s="6" t="s">
        <v>1943</v>
      </c>
      <c r="B557" s="6" t="s">
        <v>116</v>
      </c>
      <c r="C557" s="7" t="n">
        <v>44561</v>
      </c>
      <c r="D557" s="6" t="s">
        <v>380</v>
      </c>
      <c r="E557" s="6" t="s">
        <v>1734</v>
      </c>
      <c r="F557" s="6" t="s">
        <v>1928</v>
      </c>
      <c r="G557" s="6" t="s">
        <v>1944</v>
      </c>
      <c r="H557" s="9" t="n">
        <v>15405</v>
      </c>
      <c r="K557" s="6" t="s">
        <v>384</v>
      </c>
      <c r="L557" s="6" t="s">
        <v>13</v>
      </c>
      <c r="M557" s="6" t="s">
        <v>114</v>
      </c>
      <c r="N557" s="6" t="s">
        <v>1945</v>
      </c>
      <c r="O557" s="6"/>
      <c r="P557" s="6"/>
    </row>
    <row r="558" customFormat="false" ht="15" hidden="false" customHeight="false" outlineLevel="0" collapsed="false">
      <c r="A558" s="6" t="s">
        <v>1946</v>
      </c>
      <c r="B558" s="6" t="s">
        <v>212</v>
      </c>
      <c r="C558" s="7" t="n">
        <v>44561</v>
      </c>
      <c r="D558" s="6" t="s">
        <v>407</v>
      </c>
      <c r="E558" s="6" t="s">
        <v>1734</v>
      </c>
      <c r="F558" s="6" t="s">
        <v>1928</v>
      </c>
      <c r="G558" s="6" t="s">
        <v>1947</v>
      </c>
      <c r="H558" s="9" t="n">
        <v>51907</v>
      </c>
      <c r="K558" s="6" t="s">
        <v>384</v>
      </c>
      <c r="L558" s="6" t="s">
        <v>13</v>
      </c>
      <c r="M558" s="6" t="s">
        <v>114</v>
      </c>
      <c r="N558" s="6" t="s">
        <v>1948</v>
      </c>
      <c r="O558" s="6"/>
      <c r="P558" s="6"/>
    </row>
    <row r="559" customFormat="false" ht="15" hidden="false" customHeight="false" outlineLevel="0" collapsed="false">
      <c r="A559" s="6" t="s">
        <v>1949</v>
      </c>
      <c r="B559" s="6" t="s">
        <v>121</v>
      </c>
      <c r="C559" s="7" t="n">
        <v>44651</v>
      </c>
      <c r="D559" s="6" t="s">
        <v>380</v>
      </c>
      <c r="E559" s="6" t="s">
        <v>1734</v>
      </c>
      <c r="F559" s="6" t="s">
        <v>1928</v>
      </c>
      <c r="G559" s="6" t="s">
        <v>1950</v>
      </c>
      <c r="H559" s="9" t="n">
        <v>19153</v>
      </c>
      <c r="K559" s="6" t="s">
        <v>384</v>
      </c>
      <c r="L559" s="6" t="s">
        <v>13</v>
      </c>
      <c r="M559" s="6" t="s">
        <v>119</v>
      </c>
      <c r="N559" s="6" t="s">
        <v>1951</v>
      </c>
      <c r="O559" s="6"/>
      <c r="P559" s="6"/>
    </row>
    <row r="560" customFormat="false" ht="15" hidden="false" customHeight="false" outlineLevel="0" collapsed="false">
      <c r="A560" s="6" t="s">
        <v>1952</v>
      </c>
      <c r="B560" s="6" t="s">
        <v>126</v>
      </c>
      <c r="C560" s="7" t="n">
        <v>44742</v>
      </c>
      <c r="D560" s="6" t="s">
        <v>380</v>
      </c>
      <c r="E560" s="6" t="s">
        <v>1734</v>
      </c>
      <c r="F560" s="6" t="s">
        <v>1928</v>
      </c>
      <c r="G560" s="6" t="s">
        <v>1953</v>
      </c>
      <c r="H560" s="9" t="n">
        <v>23963</v>
      </c>
      <c r="K560" s="6" t="s">
        <v>384</v>
      </c>
      <c r="L560" s="6" t="s">
        <v>13</v>
      </c>
      <c r="M560" s="6" t="s">
        <v>124</v>
      </c>
      <c r="N560" s="6" t="s">
        <v>1954</v>
      </c>
      <c r="O560" s="6"/>
      <c r="P560" s="6"/>
    </row>
    <row r="561" customFormat="false" ht="15" hidden="false" customHeight="false" outlineLevel="0" collapsed="false">
      <c r="A561" s="6" t="s">
        <v>1955</v>
      </c>
      <c r="B561" s="6" t="s">
        <v>417</v>
      </c>
      <c r="C561" s="7" t="n">
        <v>44742</v>
      </c>
      <c r="D561" s="6" t="s">
        <v>392</v>
      </c>
      <c r="E561" s="6" t="s">
        <v>1734</v>
      </c>
      <c r="F561" s="6" t="s">
        <v>1928</v>
      </c>
      <c r="G561" s="6" t="s">
        <v>1956</v>
      </c>
      <c r="H561" s="9" t="n">
        <v>43116</v>
      </c>
      <c r="K561" s="6" t="s">
        <v>384</v>
      </c>
      <c r="L561" s="6" t="s">
        <v>13</v>
      </c>
      <c r="M561" s="6" t="s">
        <v>124</v>
      </c>
      <c r="N561" s="6" t="s">
        <v>1957</v>
      </c>
      <c r="O561" s="6"/>
      <c r="P561" s="6"/>
    </row>
    <row r="562" customFormat="false" ht="15" hidden="false" customHeight="false" outlineLevel="0" collapsed="false">
      <c r="A562" s="6" t="s">
        <v>1958</v>
      </c>
      <c r="B562" s="6" t="s">
        <v>131</v>
      </c>
      <c r="C562" s="7" t="n">
        <v>44834</v>
      </c>
      <c r="D562" s="6" t="s">
        <v>380</v>
      </c>
      <c r="E562" s="6" t="s">
        <v>1734</v>
      </c>
      <c r="F562" s="6" t="s">
        <v>1928</v>
      </c>
      <c r="G562" s="6" t="s">
        <v>1959</v>
      </c>
      <c r="H562" s="9" t="n">
        <v>26259</v>
      </c>
      <c r="K562" s="6" t="s">
        <v>384</v>
      </c>
      <c r="L562" s="6" t="s">
        <v>13</v>
      </c>
      <c r="M562" s="6" t="s">
        <v>129</v>
      </c>
      <c r="N562" s="6" t="s">
        <v>1960</v>
      </c>
      <c r="O562" s="6"/>
      <c r="P562" s="6"/>
    </row>
    <row r="563" customFormat="false" ht="15" hidden="false" customHeight="false" outlineLevel="0" collapsed="false">
      <c r="A563" s="6" t="s">
        <v>1961</v>
      </c>
      <c r="B563" s="6" t="s">
        <v>424</v>
      </c>
      <c r="C563" s="7" t="n">
        <v>44834</v>
      </c>
      <c r="D563" s="6" t="s">
        <v>400</v>
      </c>
      <c r="E563" s="6" t="s">
        <v>1734</v>
      </c>
      <c r="F563" s="6" t="s">
        <v>1928</v>
      </c>
      <c r="G563" s="6" t="s">
        <v>1962</v>
      </c>
      <c r="H563" s="9" t="n">
        <v>69375</v>
      </c>
      <c r="K563" s="6" t="s">
        <v>384</v>
      </c>
      <c r="L563" s="6" t="s">
        <v>13</v>
      </c>
      <c r="M563" s="6" t="s">
        <v>129</v>
      </c>
      <c r="N563" s="6" t="s">
        <v>1963</v>
      </c>
      <c r="O563" s="6"/>
      <c r="P563" s="6"/>
    </row>
    <row r="564" customFormat="false" ht="15" hidden="false" customHeight="false" outlineLevel="0" collapsed="false">
      <c r="A564" s="6" t="s">
        <v>1964</v>
      </c>
      <c r="B564" s="6" t="s">
        <v>136</v>
      </c>
      <c r="C564" s="7" t="n">
        <v>44926</v>
      </c>
      <c r="D564" s="6" t="s">
        <v>380</v>
      </c>
      <c r="E564" s="6" t="s">
        <v>1734</v>
      </c>
      <c r="F564" s="6" t="s">
        <v>1928</v>
      </c>
      <c r="G564" s="6" t="s">
        <v>1965</v>
      </c>
      <c r="H564" s="9" t="n">
        <v>24715</v>
      </c>
      <c r="K564" s="6" t="s">
        <v>384</v>
      </c>
      <c r="L564" s="6" t="s">
        <v>13</v>
      </c>
      <c r="M564" s="6" t="s">
        <v>134</v>
      </c>
      <c r="N564" s="6" t="s">
        <v>1966</v>
      </c>
      <c r="O564" s="6"/>
      <c r="P564" s="6"/>
    </row>
    <row r="565" customFormat="false" ht="15" hidden="false" customHeight="false" outlineLevel="0" collapsed="false">
      <c r="A565" s="6" t="s">
        <v>1967</v>
      </c>
      <c r="B565" s="6" t="s">
        <v>220</v>
      </c>
      <c r="C565" s="7" t="n">
        <v>44926</v>
      </c>
      <c r="D565" s="6" t="s">
        <v>407</v>
      </c>
      <c r="E565" s="6" t="s">
        <v>1734</v>
      </c>
      <c r="F565" s="6" t="s">
        <v>1928</v>
      </c>
      <c r="G565" s="6" t="s">
        <v>1968</v>
      </c>
      <c r="H565" s="9" t="n">
        <v>94090</v>
      </c>
      <c r="K565" s="6" t="s">
        <v>384</v>
      </c>
      <c r="L565" s="6" t="s">
        <v>13</v>
      </c>
      <c r="M565" s="6" t="s">
        <v>134</v>
      </c>
      <c r="N565" s="6" t="s">
        <v>1969</v>
      </c>
      <c r="O565" s="6"/>
      <c r="P565" s="6"/>
    </row>
    <row r="566" customFormat="false" ht="15" hidden="false" customHeight="false" outlineLevel="0" collapsed="false">
      <c r="A566" s="6" t="s">
        <v>1970</v>
      </c>
      <c r="B566" s="6" t="s">
        <v>141</v>
      </c>
      <c r="C566" s="7" t="n">
        <v>45016</v>
      </c>
      <c r="D566" s="6" t="s">
        <v>380</v>
      </c>
      <c r="E566" s="6" t="s">
        <v>1734</v>
      </c>
      <c r="F566" s="6" t="s">
        <v>1928</v>
      </c>
      <c r="G566" s="6" t="s">
        <v>1971</v>
      </c>
      <c r="H566" s="9" t="n">
        <v>28519</v>
      </c>
      <c r="K566" s="6" t="s">
        <v>384</v>
      </c>
      <c r="L566" s="6" t="s">
        <v>13</v>
      </c>
      <c r="M566" s="6" t="s">
        <v>139</v>
      </c>
      <c r="N566" s="6" t="s">
        <v>1972</v>
      </c>
      <c r="O566" s="6"/>
      <c r="P566" s="6"/>
    </row>
    <row r="567" customFormat="false" ht="15" hidden="false" customHeight="false" outlineLevel="0" collapsed="false">
      <c r="A567" s="6" t="s">
        <v>1973</v>
      </c>
      <c r="B567" s="6" t="s">
        <v>146</v>
      </c>
      <c r="C567" s="7" t="n">
        <v>45107</v>
      </c>
      <c r="D567" s="6" t="s">
        <v>380</v>
      </c>
      <c r="E567" s="6" t="s">
        <v>1734</v>
      </c>
      <c r="F567" s="6" t="s">
        <v>1928</v>
      </c>
      <c r="G567" s="6" t="s">
        <v>1974</v>
      </c>
      <c r="H567" s="9" t="n">
        <v>27908</v>
      </c>
      <c r="K567" s="6" t="s">
        <v>384</v>
      </c>
      <c r="L567" s="6" t="s">
        <v>13</v>
      </c>
      <c r="M567" s="6" t="s">
        <v>144</v>
      </c>
      <c r="N567" s="6" t="s">
        <v>1975</v>
      </c>
      <c r="O567" s="6"/>
      <c r="P567" s="6"/>
    </row>
    <row r="568" customFormat="false" ht="15" hidden="false" customHeight="false" outlineLevel="0" collapsed="false">
      <c r="A568" s="6" t="s">
        <v>1976</v>
      </c>
      <c r="B568" s="6" t="s">
        <v>440</v>
      </c>
      <c r="C568" s="7" t="n">
        <v>45107</v>
      </c>
      <c r="D568" s="6" t="s">
        <v>392</v>
      </c>
      <c r="E568" s="6" t="s">
        <v>1734</v>
      </c>
      <c r="F568" s="6" t="s">
        <v>1928</v>
      </c>
      <c r="G568" s="6" t="s">
        <v>1977</v>
      </c>
      <c r="H568" s="9" t="n">
        <v>56427</v>
      </c>
      <c r="K568" s="6" t="s">
        <v>384</v>
      </c>
      <c r="L568" s="6" t="s">
        <v>13</v>
      </c>
      <c r="M568" s="6" t="s">
        <v>144</v>
      </c>
      <c r="N568" s="6" t="s">
        <v>1978</v>
      </c>
      <c r="O568" s="6"/>
      <c r="P568" s="6"/>
    </row>
    <row r="569" customFormat="false" ht="15" hidden="false" customHeight="false" outlineLevel="0" collapsed="false">
      <c r="A569" s="6" t="s">
        <v>1979</v>
      </c>
      <c r="B569" s="6" t="s">
        <v>151</v>
      </c>
      <c r="C569" s="7" t="n">
        <v>45199</v>
      </c>
      <c r="D569" s="6" t="s">
        <v>380</v>
      </c>
      <c r="E569" s="6" t="s">
        <v>1734</v>
      </c>
      <c r="F569" s="6" t="s">
        <v>1928</v>
      </c>
      <c r="G569" s="6" t="s">
        <v>1980</v>
      </c>
      <c r="H569" s="9" t="n">
        <v>28051</v>
      </c>
      <c r="K569" s="6" t="s">
        <v>384</v>
      </c>
      <c r="L569" s="6" t="s">
        <v>13</v>
      </c>
      <c r="M569" s="6" t="s">
        <v>149</v>
      </c>
      <c r="N569" s="6" t="s">
        <v>1981</v>
      </c>
      <c r="O569" s="6"/>
      <c r="P569" s="6"/>
    </row>
    <row r="570" customFormat="false" ht="15" hidden="false" customHeight="false" outlineLevel="0" collapsed="false">
      <c r="A570" s="6" t="s">
        <v>1982</v>
      </c>
      <c r="B570" s="6" t="s">
        <v>447</v>
      </c>
      <c r="C570" s="7" t="n">
        <v>45199</v>
      </c>
      <c r="D570" s="6" t="s">
        <v>400</v>
      </c>
      <c r="E570" s="6" t="s">
        <v>1734</v>
      </c>
      <c r="F570" s="6" t="s">
        <v>1928</v>
      </c>
      <c r="G570" s="6" t="s">
        <v>1983</v>
      </c>
      <c r="H570" s="9" t="n">
        <v>84478</v>
      </c>
      <c r="K570" s="6" t="s">
        <v>384</v>
      </c>
      <c r="L570" s="6" t="s">
        <v>13</v>
      </c>
      <c r="M570" s="6" t="s">
        <v>149</v>
      </c>
      <c r="N570" s="6" t="s">
        <v>1984</v>
      </c>
      <c r="O570" s="6"/>
      <c r="P570" s="6"/>
    </row>
    <row r="571" customFormat="false" ht="15" hidden="false" customHeight="false" outlineLevel="0" collapsed="false">
      <c r="A571" s="6" t="s">
        <v>1985</v>
      </c>
      <c r="B571" s="6" t="s">
        <v>156</v>
      </c>
      <c r="C571" s="7" t="n">
        <v>45291</v>
      </c>
      <c r="D571" s="6" t="s">
        <v>380</v>
      </c>
      <c r="E571" s="6" t="s">
        <v>1734</v>
      </c>
      <c r="F571" s="6" t="s">
        <v>1928</v>
      </c>
      <c r="G571" s="6" t="s">
        <v>1986</v>
      </c>
      <c r="H571" s="9" t="n">
        <v>33285</v>
      </c>
      <c r="K571" s="6" t="s">
        <v>384</v>
      </c>
      <c r="L571" s="6" t="s">
        <v>13</v>
      </c>
      <c r="M571" s="6" t="s">
        <v>154</v>
      </c>
      <c r="N571" s="6" t="s">
        <v>1987</v>
      </c>
      <c r="O571" s="6"/>
      <c r="P571" s="6"/>
    </row>
    <row r="572" customFormat="false" ht="15" hidden="false" customHeight="false" outlineLevel="0" collapsed="false">
      <c r="A572" s="6" t="s">
        <v>1988</v>
      </c>
      <c r="B572" s="6" t="s">
        <v>225</v>
      </c>
      <c r="C572" s="7" t="n">
        <v>45291</v>
      </c>
      <c r="D572" s="6" t="s">
        <v>407</v>
      </c>
      <c r="E572" s="6" t="s">
        <v>1734</v>
      </c>
      <c r="F572" s="6" t="s">
        <v>1928</v>
      </c>
      <c r="G572" s="6" t="s">
        <v>1989</v>
      </c>
      <c r="H572" s="9" t="n">
        <v>117763</v>
      </c>
      <c r="K572" s="6" t="s">
        <v>384</v>
      </c>
      <c r="L572" s="6" t="s">
        <v>13</v>
      </c>
      <c r="M572" s="6" t="s">
        <v>154</v>
      </c>
      <c r="N572" s="6" t="s">
        <v>1990</v>
      </c>
      <c r="O572" s="6"/>
      <c r="P572" s="6"/>
    </row>
    <row r="573" customFormat="false" ht="15" hidden="false" customHeight="false" outlineLevel="0" collapsed="false">
      <c r="A573" s="6" t="s">
        <v>1991</v>
      </c>
      <c r="B573" s="6" t="s">
        <v>161</v>
      </c>
      <c r="C573" s="7" t="n">
        <v>45382</v>
      </c>
      <c r="D573" s="6" t="s">
        <v>380</v>
      </c>
      <c r="E573" s="6" t="s">
        <v>1734</v>
      </c>
      <c r="F573" s="6" t="s">
        <v>1928</v>
      </c>
      <c r="G573" s="6" t="s">
        <v>1992</v>
      </c>
      <c r="H573" s="9" t="n">
        <v>34797</v>
      </c>
      <c r="K573" s="6" t="s">
        <v>384</v>
      </c>
      <c r="L573" s="6" t="s">
        <v>13</v>
      </c>
      <c r="M573" s="6" t="s">
        <v>159</v>
      </c>
      <c r="N573" s="6" t="s">
        <v>1993</v>
      </c>
      <c r="O573" s="6"/>
      <c r="P573" s="6"/>
    </row>
    <row r="574" customFormat="false" ht="15" hidden="false" customHeight="false" outlineLevel="0" collapsed="false">
      <c r="A574" s="6" t="s">
        <v>1994</v>
      </c>
      <c r="B574" s="6" t="s">
        <v>166</v>
      </c>
      <c r="C574" s="7" t="n">
        <v>45473</v>
      </c>
      <c r="D574" s="6" t="s">
        <v>380</v>
      </c>
      <c r="E574" s="6" t="s">
        <v>1734</v>
      </c>
      <c r="F574" s="6" t="s">
        <v>1928</v>
      </c>
      <c r="G574" s="6" t="s">
        <v>1995</v>
      </c>
      <c r="H574" s="9" t="n">
        <v>36878</v>
      </c>
      <c r="K574" s="6" t="s">
        <v>384</v>
      </c>
      <c r="L574" s="6" t="s">
        <v>13</v>
      </c>
      <c r="M574" s="6" t="s">
        <v>164</v>
      </c>
      <c r="N574" s="6" t="s">
        <v>1996</v>
      </c>
      <c r="O574" s="6"/>
      <c r="P574" s="6"/>
    </row>
    <row r="575" customFormat="false" ht="15" hidden="false" customHeight="false" outlineLevel="0" collapsed="false">
      <c r="A575" s="6" t="s">
        <v>1997</v>
      </c>
      <c r="B575" s="6" t="s">
        <v>241</v>
      </c>
      <c r="C575" s="7" t="n">
        <v>45473</v>
      </c>
      <c r="D575" s="6" t="s">
        <v>392</v>
      </c>
      <c r="E575" s="6" t="s">
        <v>1734</v>
      </c>
      <c r="F575" s="6" t="s">
        <v>1928</v>
      </c>
      <c r="G575" s="6" t="s">
        <v>1998</v>
      </c>
      <c r="H575" s="9" t="n">
        <v>71675</v>
      </c>
      <c r="K575" s="6" t="s">
        <v>384</v>
      </c>
      <c r="L575" s="6" t="s">
        <v>13</v>
      </c>
      <c r="M575" s="6" t="s">
        <v>164</v>
      </c>
      <c r="N575" s="6" t="s">
        <v>1999</v>
      </c>
      <c r="O575" s="6"/>
      <c r="P575" s="6"/>
    </row>
    <row r="576" customFormat="false" ht="15" hidden="false" customHeight="false" outlineLevel="0" collapsed="false">
      <c r="A576" s="6" t="s">
        <v>2000</v>
      </c>
      <c r="B576" s="6" t="s">
        <v>171</v>
      </c>
      <c r="C576" s="7" t="n">
        <v>45565</v>
      </c>
      <c r="D576" s="6" t="s">
        <v>380</v>
      </c>
      <c r="E576" s="6" t="s">
        <v>1734</v>
      </c>
      <c r="F576" s="6" t="s">
        <v>1928</v>
      </c>
      <c r="G576" s="6" t="s">
        <v>2001</v>
      </c>
      <c r="H576" s="9" t="n">
        <v>42973</v>
      </c>
      <c r="K576" s="6" t="s">
        <v>384</v>
      </c>
      <c r="L576" s="6" t="s">
        <v>13</v>
      </c>
      <c r="M576" s="6" t="s">
        <v>169</v>
      </c>
      <c r="N576" s="6" t="s">
        <v>2002</v>
      </c>
      <c r="O576" s="6"/>
      <c r="P576" s="6"/>
    </row>
    <row r="577" customFormat="false" ht="15" hidden="false" customHeight="false" outlineLevel="0" collapsed="false">
      <c r="A577" s="6" t="s">
        <v>2003</v>
      </c>
      <c r="B577" s="6" t="s">
        <v>469</v>
      </c>
      <c r="C577" s="7" t="n">
        <v>45565</v>
      </c>
      <c r="D577" s="6" t="s">
        <v>400</v>
      </c>
      <c r="E577" s="6" t="s">
        <v>1734</v>
      </c>
      <c r="F577" s="6" t="s">
        <v>1928</v>
      </c>
      <c r="G577" s="6" t="s">
        <v>2004</v>
      </c>
      <c r="H577" s="9" t="n">
        <v>114648</v>
      </c>
      <c r="K577" s="6" t="s">
        <v>384</v>
      </c>
      <c r="L577" s="6" t="s">
        <v>13</v>
      </c>
      <c r="M577" s="6" t="s">
        <v>169</v>
      </c>
      <c r="N577" s="6" t="s">
        <v>2005</v>
      </c>
      <c r="O577" s="6"/>
      <c r="P577" s="6"/>
    </row>
    <row r="578" customFormat="false" ht="15" hidden="false" customHeight="false" outlineLevel="0" collapsed="false">
      <c r="A578" s="6" t="s">
        <v>2006</v>
      </c>
      <c r="B578" s="6" t="s">
        <v>176</v>
      </c>
      <c r="C578" s="7" t="n">
        <v>45657</v>
      </c>
      <c r="D578" s="6" t="s">
        <v>380</v>
      </c>
      <c r="E578" s="6" t="s">
        <v>1734</v>
      </c>
      <c r="F578" s="6" t="s">
        <v>1928</v>
      </c>
      <c r="G578" s="6" t="s">
        <v>2007</v>
      </c>
      <c r="H578" s="9" t="n">
        <v>48066</v>
      </c>
      <c r="K578" s="6" t="s">
        <v>384</v>
      </c>
      <c r="L578" s="6" t="s">
        <v>13</v>
      </c>
      <c r="M578" s="6" t="s">
        <v>174</v>
      </c>
      <c r="N578" s="6" t="s">
        <v>2008</v>
      </c>
      <c r="O578" s="6"/>
      <c r="P578" s="6"/>
    </row>
    <row r="579" customFormat="false" ht="15" hidden="false" customHeight="false" outlineLevel="0" collapsed="false">
      <c r="A579" s="6" t="s">
        <v>2009</v>
      </c>
      <c r="B579" s="6" t="s">
        <v>230</v>
      </c>
      <c r="C579" s="7" t="n">
        <v>45657</v>
      </c>
      <c r="D579" s="6" t="s">
        <v>407</v>
      </c>
      <c r="E579" s="6" t="s">
        <v>1734</v>
      </c>
      <c r="F579" s="6" t="s">
        <v>1928</v>
      </c>
      <c r="G579" s="6" t="s">
        <v>2010</v>
      </c>
      <c r="H579" s="9" t="n">
        <v>162714</v>
      </c>
      <c r="K579" s="6" t="s">
        <v>384</v>
      </c>
      <c r="L579" s="6" t="s">
        <v>13</v>
      </c>
      <c r="M579" s="6" t="s">
        <v>174</v>
      </c>
      <c r="N579" s="6" t="s">
        <v>2011</v>
      </c>
      <c r="O579" s="6"/>
      <c r="P579" s="6"/>
    </row>
    <row r="580" customFormat="false" ht="15" hidden="false" customHeight="false" outlineLevel="0" collapsed="false">
      <c r="A580" s="6" t="s">
        <v>2012</v>
      </c>
      <c r="B580" s="6" t="s">
        <v>181</v>
      </c>
      <c r="C580" s="7" t="n">
        <v>45747</v>
      </c>
      <c r="D580" s="6" t="s">
        <v>380</v>
      </c>
      <c r="E580" s="6" t="s">
        <v>1734</v>
      </c>
      <c r="F580" s="6" t="s">
        <v>1928</v>
      </c>
      <c r="G580" s="6" t="s">
        <v>2013</v>
      </c>
      <c r="H580" s="9" t="n">
        <v>53844</v>
      </c>
      <c r="K580" s="6" t="s">
        <v>384</v>
      </c>
      <c r="L580" s="6" t="s">
        <v>13</v>
      </c>
      <c r="M580" s="6" t="s">
        <v>179</v>
      </c>
      <c r="N580" s="6" t="s">
        <v>2014</v>
      </c>
      <c r="O580" s="6"/>
      <c r="P580" s="6"/>
    </row>
    <row r="581" customFormat="false" ht="15" hidden="false" customHeight="false" outlineLevel="0" collapsed="false">
      <c r="A581" s="6" t="s">
        <v>2015</v>
      </c>
      <c r="B581" s="6" t="s">
        <v>186</v>
      </c>
      <c r="C581" s="7" t="n">
        <v>45838</v>
      </c>
      <c r="D581" s="6" t="s">
        <v>380</v>
      </c>
      <c r="E581" s="6" t="s">
        <v>1734</v>
      </c>
      <c r="F581" s="6" t="s">
        <v>1928</v>
      </c>
      <c r="G581" s="6" t="s">
        <v>2016</v>
      </c>
      <c r="H581" s="9" t="n">
        <v>59233</v>
      </c>
      <c r="K581" s="6" t="s">
        <v>384</v>
      </c>
      <c r="L581" s="6" t="s">
        <v>13</v>
      </c>
      <c r="M581" s="6" t="s">
        <v>184</v>
      </c>
      <c r="N581" s="6" t="s">
        <v>2017</v>
      </c>
      <c r="O581" s="6"/>
      <c r="P581" s="6"/>
    </row>
    <row r="582" customFormat="false" ht="15" hidden="false" customHeight="false" outlineLevel="0" collapsed="false">
      <c r="A582" s="6" t="s">
        <v>2018</v>
      </c>
      <c r="B582" s="6" t="s">
        <v>255</v>
      </c>
      <c r="C582" s="7" t="n">
        <v>45838</v>
      </c>
      <c r="D582" s="6" t="s">
        <v>392</v>
      </c>
      <c r="E582" s="6" t="s">
        <v>1734</v>
      </c>
      <c r="F582" s="6" t="s">
        <v>1928</v>
      </c>
      <c r="G582" s="6" t="s">
        <v>2019</v>
      </c>
      <c r="H582" s="9" t="n">
        <v>113077</v>
      </c>
      <c r="K582" s="6" t="s">
        <v>384</v>
      </c>
      <c r="L582" s="6" t="s">
        <v>13</v>
      </c>
      <c r="M582" s="6" t="s">
        <v>184</v>
      </c>
      <c r="N582" s="6" t="s">
        <v>2020</v>
      </c>
      <c r="O582" s="6"/>
      <c r="P582" s="6"/>
    </row>
    <row r="583" customFormat="false" ht="15" hidden="false" customHeight="false" outlineLevel="0" collapsed="false">
      <c r="A583" s="6" t="s">
        <v>2021</v>
      </c>
      <c r="B583" s="6" t="s">
        <v>191</v>
      </c>
      <c r="C583" s="7" t="n">
        <v>45930</v>
      </c>
      <c r="D583" s="6" t="s">
        <v>380</v>
      </c>
      <c r="E583" s="6" t="s">
        <v>1734</v>
      </c>
      <c r="F583" s="6" t="s">
        <v>1928</v>
      </c>
      <c r="G583" s="6" t="s">
        <v>2022</v>
      </c>
      <c r="H583" s="9" t="n">
        <v>57772</v>
      </c>
      <c r="K583" s="6" t="s">
        <v>384</v>
      </c>
      <c r="L583" s="6" t="s">
        <v>13</v>
      </c>
      <c r="M583" s="6" t="s">
        <v>189</v>
      </c>
      <c r="N583" s="6" t="s">
        <v>2023</v>
      </c>
      <c r="O583" s="6"/>
      <c r="P583" s="6"/>
    </row>
    <row r="584" customFormat="false" ht="15" hidden="false" customHeight="false" outlineLevel="0" collapsed="false">
      <c r="A584" s="6" t="s">
        <v>2024</v>
      </c>
      <c r="B584" s="6" t="s">
        <v>491</v>
      </c>
      <c r="C584" s="7" t="n">
        <v>45930</v>
      </c>
      <c r="D584" s="6" t="s">
        <v>400</v>
      </c>
      <c r="E584" s="6" t="s">
        <v>1734</v>
      </c>
      <c r="F584" s="6" t="s">
        <v>1928</v>
      </c>
      <c r="G584" s="6" t="s">
        <v>2025</v>
      </c>
      <c r="H584" s="9" t="n">
        <v>170849</v>
      </c>
      <c r="K584" s="6" t="s">
        <v>384</v>
      </c>
      <c r="L584" s="6" t="s">
        <v>13</v>
      </c>
      <c r="M584" s="6" t="s">
        <v>189</v>
      </c>
      <c r="N584" s="6" t="s">
        <v>2026</v>
      </c>
      <c r="O584" s="6"/>
      <c r="P584" s="6"/>
    </row>
    <row r="585" customFormat="false" ht="15" hidden="false" customHeight="false" outlineLevel="0" collapsed="false">
      <c r="A585" s="6" t="s">
        <v>2027</v>
      </c>
      <c r="B585" s="6" t="s">
        <v>196</v>
      </c>
      <c r="C585" s="7" t="n">
        <v>46022</v>
      </c>
      <c r="D585" s="6" t="s">
        <v>380</v>
      </c>
      <c r="E585" s="6" t="s">
        <v>1734</v>
      </c>
      <c r="F585" s="6" t="s">
        <v>1928</v>
      </c>
      <c r="G585" s="6" t="s">
        <v>2028</v>
      </c>
      <c r="H585" s="9" t="n">
        <v>67700</v>
      </c>
      <c r="K585" s="6" t="s">
        <v>384</v>
      </c>
      <c r="L585" s="6" t="s">
        <v>13</v>
      </c>
      <c r="M585" s="6" t="s">
        <v>194</v>
      </c>
      <c r="N585" s="6" t="s">
        <v>2029</v>
      </c>
      <c r="O585" s="6"/>
      <c r="P585" s="6"/>
    </row>
    <row r="586" customFormat="false" ht="15" hidden="false" customHeight="false" outlineLevel="0" collapsed="false">
      <c r="A586" s="6" t="s">
        <v>2030</v>
      </c>
      <c r="B586" s="6" t="s">
        <v>235</v>
      </c>
      <c r="C586" s="7" t="n">
        <v>46022</v>
      </c>
      <c r="D586" s="6" t="s">
        <v>407</v>
      </c>
      <c r="E586" s="6" t="s">
        <v>1734</v>
      </c>
      <c r="F586" s="6" t="s">
        <v>1928</v>
      </c>
      <c r="G586" s="6" t="s">
        <v>2031</v>
      </c>
      <c r="H586" s="9" t="n">
        <v>238549</v>
      </c>
      <c r="K586" s="6" t="s">
        <v>384</v>
      </c>
      <c r="L586" s="6" t="s">
        <v>13</v>
      </c>
      <c r="M586" s="6" t="s">
        <v>194</v>
      </c>
      <c r="N586" s="6" t="s">
        <v>2032</v>
      </c>
      <c r="O586" s="6"/>
      <c r="P586" s="6"/>
    </row>
    <row r="587" customFormat="false" ht="15" hidden="false" customHeight="false" outlineLevel="0" collapsed="false">
      <c r="A587" s="6" t="s">
        <v>2033</v>
      </c>
      <c r="B587" s="6" t="s">
        <v>201</v>
      </c>
      <c r="C587" s="7" t="n">
        <v>46112</v>
      </c>
      <c r="D587" s="6" t="s">
        <v>380</v>
      </c>
      <c r="E587" s="6" t="s">
        <v>1734</v>
      </c>
      <c r="F587" s="6" t="s">
        <v>1928</v>
      </c>
      <c r="G587" s="6" t="s">
        <v>2034</v>
      </c>
      <c r="H587" s="9" t="n">
        <v>78413</v>
      </c>
      <c r="K587" s="6" t="s">
        <v>384</v>
      </c>
      <c r="L587" s="6" t="s">
        <v>13</v>
      </c>
      <c r="M587" s="6" t="s">
        <v>199</v>
      </c>
      <c r="N587" s="6" t="s">
        <v>2035</v>
      </c>
      <c r="O587" s="6"/>
      <c r="P587" s="6"/>
    </row>
    <row r="588" customFormat="false" ht="15" hidden="false" customHeight="false" outlineLevel="0" collapsed="false">
      <c r="A588" s="6" t="s">
        <v>2036</v>
      </c>
      <c r="B588" s="6" t="s">
        <v>206</v>
      </c>
      <c r="C588" s="7" t="n">
        <v>46203</v>
      </c>
      <c r="D588" s="6" t="s">
        <v>380</v>
      </c>
      <c r="E588" s="6" t="s">
        <v>1734</v>
      </c>
      <c r="F588" s="6" t="s">
        <v>1928</v>
      </c>
      <c r="G588" s="6" t="s">
        <v>2037</v>
      </c>
      <c r="H588" s="9" t="n">
        <v>83003</v>
      </c>
      <c r="K588" s="6" t="s">
        <v>384</v>
      </c>
      <c r="L588" s="6" t="s">
        <v>13</v>
      </c>
      <c r="M588" s="6" t="s">
        <v>204</v>
      </c>
      <c r="N588" s="6" t="s">
        <v>2038</v>
      </c>
      <c r="O588" s="6"/>
      <c r="P588" s="6"/>
    </row>
    <row r="589" customFormat="false" ht="15" hidden="false" customHeight="false" outlineLevel="0" collapsed="false">
      <c r="A589" s="6" t="s">
        <v>2039</v>
      </c>
      <c r="B589" s="6" t="s">
        <v>263</v>
      </c>
      <c r="C589" s="7" t="n">
        <v>46203</v>
      </c>
      <c r="D589" s="6" t="s">
        <v>392</v>
      </c>
      <c r="E589" s="6" t="s">
        <v>1734</v>
      </c>
      <c r="F589" s="6" t="s">
        <v>1928</v>
      </c>
      <c r="G589" s="6" t="s">
        <v>2040</v>
      </c>
      <c r="H589" s="9" t="n">
        <v>161416</v>
      </c>
      <c r="K589" s="6" t="s">
        <v>384</v>
      </c>
      <c r="L589" s="6" t="s">
        <v>13</v>
      </c>
      <c r="M589" s="6" t="s">
        <v>204</v>
      </c>
      <c r="N589" s="6" t="s">
        <v>2041</v>
      </c>
      <c r="O589" s="6"/>
      <c r="P589" s="6"/>
    </row>
    <row r="590" customFormat="false" ht="15" hidden="false" customHeight="false" outlineLevel="0" collapsed="false">
      <c r="A590" s="6" t="s">
        <v>2042</v>
      </c>
      <c r="B590" s="6" t="s">
        <v>379</v>
      </c>
      <c r="C590" s="7" t="n">
        <v>44286</v>
      </c>
      <c r="D590" s="6" t="s">
        <v>380</v>
      </c>
      <c r="E590" s="6" t="s">
        <v>1734</v>
      </c>
      <c r="F590" s="6" t="s">
        <v>2043</v>
      </c>
      <c r="G590" s="6" t="s">
        <v>2044</v>
      </c>
      <c r="H590" s="9" t="n">
        <v>59014</v>
      </c>
      <c r="K590" s="6" t="s">
        <v>384</v>
      </c>
      <c r="L590" s="6" t="s">
        <v>13</v>
      </c>
      <c r="M590" s="6" t="s">
        <v>119</v>
      </c>
      <c r="N590" s="6" t="s">
        <v>2045</v>
      </c>
      <c r="O590" s="6"/>
      <c r="P590" s="6" t="s">
        <v>386</v>
      </c>
    </row>
    <row r="591" customFormat="false" ht="15" hidden="false" customHeight="false" outlineLevel="0" collapsed="false">
      <c r="A591" s="6" t="s">
        <v>2046</v>
      </c>
      <c r="B591" s="6" t="s">
        <v>103</v>
      </c>
      <c r="C591" s="7" t="n">
        <v>44377</v>
      </c>
      <c r="D591" s="6" t="s">
        <v>380</v>
      </c>
      <c r="E591" s="6" t="s">
        <v>1734</v>
      </c>
      <c r="F591" s="6" t="s">
        <v>2043</v>
      </c>
      <c r="G591" s="6" t="s">
        <v>2047</v>
      </c>
      <c r="H591" s="9" t="n">
        <v>55521</v>
      </c>
      <c r="K591" s="6" t="s">
        <v>384</v>
      </c>
      <c r="L591" s="6" t="s">
        <v>13</v>
      </c>
      <c r="M591" s="6" t="s">
        <v>100</v>
      </c>
      <c r="N591" s="6" t="s">
        <v>2048</v>
      </c>
      <c r="O591" s="6"/>
      <c r="P591" s="6"/>
    </row>
    <row r="592" customFormat="false" ht="15" hidden="false" customHeight="false" outlineLevel="0" collapsed="false">
      <c r="A592" s="6" t="s">
        <v>2049</v>
      </c>
      <c r="B592" s="6" t="s">
        <v>391</v>
      </c>
      <c r="C592" s="7" t="n">
        <v>44377</v>
      </c>
      <c r="D592" s="6" t="s">
        <v>392</v>
      </c>
      <c r="E592" s="6" t="s">
        <v>1734</v>
      </c>
      <c r="F592" s="6" t="s">
        <v>2043</v>
      </c>
      <c r="G592" s="6" t="s">
        <v>2050</v>
      </c>
      <c r="H592" s="9" t="n">
        <v>114535</v>
      </c>
      <c r="K592" s="6" t="s">
        <v>384</v>
      </c>
      <c r="L592" s="6" t="s">
        <v>13</v>
      </c>
      <c r="M592" s="6" t="s">
        <v>100</v>
      </c>
      <c r="N592" s="6" t="s">
        <v>2051</v>
      </c>
      <c r="O592" s="6"/>
      <c r="P592" s="6"/>
    </row>
    <row r="593" customFormat="false" ht="15" hidden="false" customHeight="false" outlineLevel="0" collapsed="false">
      <c r="A593" s="6" t="s">
        <v>2052</v>
      </c>
      <c r="B593" s="6" t="s">
        <v>111</v>
      </c>
      <c r="C593" s="7" t="n">
        <v>44469</v>
      </c>
      <c r="D593" s="6" t="s">
        <v>380</v>
      </c>
      <c r="E593" s="6" t="s">
        <v>1734</v>
      </c>
      <c r="F593" s="6" t="s">
        <v>2043</v>
      </c>
      <c r="G593" s="6" t="s">
        <v>2053</v>
      </c>
      <c r="H593" s="9" t="n">
        <v>60995</v>
      </c>
      <c r="K593" s="6" t="s">
        <v>384</v>
      </c>
      <c r="L593" s="6" t="s">
        <v>13</v>
      </c>
      <c r="M593" s="6" t="s">
        <v>109</v>
      </c>
      <c r="N593" s="6" t="s">
        <v>2054</v>
      </c>
      <c r="O593" s="6"/>
      <c r="P593" s="6"/>
    </row>
    <row r="594" customFormat="false" ht="15" hidden="false" customHeight="false" outlineLevel="0" collapsed="false">
      <c r="A594" s="6" t="s">
        <v>2055</v>
      </c>
      <c r="B594" s="6" t="s">
        <v>399</v>
      </c>
      <c r="C594" s="7" t="n">
        <v>44469</v>
      </c>
      <c r="D594" s="6" t="s">
        <v>400</v>
      </c>
      <c r="E594" s="6" t="s">
        <v>1734</v>
      </c>
      <c r="F594" s="6" t="s">
        <v>2043</v>
      </c>
      <c r="G594" s="6" t="s">
        <v>2056</v>
      </c>
      <c r="H594" s="9" t="n">
        <v>175530</v>
      </c>
      <c r="K594" s="6" t="s">
        <v>384</v>
      </c>
      <c r="L594" s="6" t="s">
        <v>13</v>
      </c>
      <c r="M594" s="6" t="s">
        <v>109</v>
      </c>
      <c r="N594" s="6" t="s">
        <v>2057</v>
      </c>
      <c r="O594" s="6"/>
      <c r="P594" s="6"/>
    </row>
    <row r="595" customFormat="false" ht="15" hidden="false" customHeight="false" outlineLevel="0" collapsed="false">
      <c r="A595" s="6" t="s">
        <v>2058</v>
      </c>
      <c r="B595" s="6" t="s">
        <v>116</v>
      </c>
      <c r="C595" s="7" t="n">
        <v>44561</v>
      </c>
      <c r="D595" s="6" t="s">
        <v>380</v>
      </c>
      <c r="E595" s="6" t="s">
        <v>1734</v>
      </c>
      <c r="F595" s="6" t="s">
        <v>2043</v>
      </c>
      <c r="G595" s="6" t="s">
        <v>2059</v>
      </c>
      <c r="H595" s="9" t="n">
        <v>69418</v>
      </c>
      <c r="K595" s="6" t="s">
        <v>384</v>
      </c>
      <c r="L595" s="6" t="s">
        <v>13</v>
      </c>
      <c r="M595" s="6" t="s">
        <v>114</v>
      </c>
      <c r="N595" s="6" t="s">
        <v>2060</v>
      </c>
      <c r="O595" s="6"/>
      <c r="P595" s="6"/>
    </row>
    <row r="596" customFormat="false" ht="15" hidden="false" customHeight="false" outlineLevel="0" collapsed="false">
      <c r="A596" s="6" t="s">
        <v>2061</v>
      </c>
      <c r="B596" s="6" t="s">
        <v>212</v>
      </c>
      <c r="C596" s="7" t="n">
        <v>44561</v>
      </c>
      <c r="D596" s="6" t="s">
        <v>407</v>
      </c>
      <c r="E596" s="6" t="s">
        <v>1734</v>
      </c>
      <c r="F596" s="6" t="s">
        <v>2043</v>
      </c>
      <c r="G596" s="6" t="s">
        <v>2062</v>
      </c>
      <c r="H596" s="9" t="n">
        <v>244948</v>
      </c>
      <c r="K596" s="6" t="s">
        <v>384</v>
      </c>
      <c r="L596" s="6" t="s">
        <v>13</v>
      </c>
      <c r="M596" s="6" t="s">
        <v>114</v>
      </c>
      <c r="N596" s="6" t="s">
        <v>2063</v>
      </c>
      <c r="O596" s="6"/>
      <c r="P596" s="6"/>
    </row>
    <row r="597" customFormat="false" ht="15" hidden="false" customHeight="false" outlineLevel="0" collapsed="false">
      <c r="A597" s="6" t="s">
        <v>2064</v>
      </c>
      <c r="B597" s="6" t="s">
        <v>121</v>
      </c>
      <c r="C597" s="7" t="n">
        <v>44651</v>
      </c>
      <c r="D597" s="6" t="s">
        <v>380</v>
      </c>
      <c r="E597" s="6" t="s">
        <v>1734</v>
      </c>
      <c r="F597" s="6" t="s">
        <v>2043</v>
      </c>
      <c r="G597" s="6" t="s">
        <v>2065</v>
      </c>
      <c r="H597" s="9" t="n">
        <v>108595</v>
      </c>
      <c r="K597" s="6" t="s">
        <v>384</v>
      </c>
      <c r="L597" s="6" t="s">
        <v>13</v>
      </c>
      <c r="M597" s="6" t="s">
        <v>119</v>
      </c>
      <c r="N597" s="6" t="s">
        <v>2066</v>
      </c>
      <c r="O597" s="6"/>
      <c r="P597" s="6"/>
    </row>
    <row r="598" customFormat="false" ht="15" hidden="false" customHeight="false" outlineLevel="0" collapsed="false">
      <c r="A598" s="6" t="s">
        <v>2067</v>
      </c>
      <c r="B598" s="6" t="s">
        <v>126</v>
      </c>
      <c r="C598" s="7" t="n">
        <v>44742</v>
      </c>
      <c r="D598" s="6" t="s">
        <v>380</v>
      </c>
      <c r="E598" s="6" t="s">
        <v>1734</v>
      </c>
      <c r="F598" s="6" t="s">
        <v>2043</v>
      </c>
      <c r="G598" s="6" t="s">
        <v>2068</v>
      </c>
      <c r="H598" s="9" t="n">
        <v>86665</v>
      </c>
      <c r="K598" s="6" t="s">
        <v>384</v>
      </c>
      <c r="L598" s="6" t="s">
        <v>13</v>
      </c>
      <c r="M598" s="6" t="s">
        <v>124</v>
      </c>
      <c r="N598" s="6" t="s">
        <v>2069</v>
      </c>
      <c r="O598" s="6"/>
      <c r="P598" s="6"/>
    </row>
    <row r="599" customFormat="false" ht="15" hidden="false" customHeight="false" outlineLevel="0" collapsed="false">
      <c r="A599" s="6" t="s">
        <v>2070</v>
      </c>
      <c r="B599" s="6" t="s">
        <v>417</v>
      </c>
      <c r="C599" s="7" t="n">
        <v>44742</v>
      </c>
      <c r="D599" s="6" t="s">
        <v>392</v>
      </c>
      <c r="E599" s="6" t="s">
        <v>1734</v>
      </c>
      <c r="F599" s="6" t="s">
        <v>2043</v>
      </c>
      <c r="G599" s="6" t="s">
        <v>2071</v>
      </c>
      <c r="H599" s="9" t="n">
        <v>195260</v>
      </c>
      <c r="K599" s="6" t="s">
        <v>384</v>
      </c>
      <c r="L599" s="6" t="s">
        <v>13</v>
      </c>
      <c r="M599" s="6" t="s">
        <v>124</v>
      </c>
      <c r="N599" s="6" t="s">
        <v>2072</v>
      </c>
      <c r="O599" s="6"/>
      <c r="P599" s="6"/>
    </row>
    <row r="600" customFormat="false" ht="15" hidden="false" customHeight="false" outlineLevel="0" collapsed="false">
      <c r="A600" s="6" t="s">
        <v>2073</v>
      </c>
      <c r="B600" s="6" t="s">
        <v>131</v>
      </c>
      <c r="C600" s="7" t="n">
        <v>44834</v>
      </c>
      <c r="D600" s="6" t="s">
        <v>380</v>
      </c>
      <c r="E600" s="6" t="s">
        <v>1734</v>
      </c>
      <c r="F600" s="6" t="s">
        <v>2043</v>
      </c>
      <c r="G600" s="6" t="s">
        <v>2074</v>
      </c>
      <c r="H600" s="9" t="n">
        <v>82432</v>
      </c>
      <c r="K600" s="6" t="s">
        <v>384</v>
      </c>
      <c r="L600" s="6" t="s">
        <v>13</v>
      </c>
      <c r="M600" s="6" t="s">
        <v>129</v>
      </c>
      <c r="N600" s="6" t="s">
        <v>2075</v>
      </c>
      <c r="O600" s="6"/>
      <c r="P600" s="6"/>
    </row>
    <row r="601" customFormat="false" ht="15" hidden="false" customHeight="false" outlineLevel="0" collapsed="false">
      <c r="A601" s="6" t="s">
        <v>2076</v>
      </c>
      <c r="B601" s="6" t="s">
        <v>424</v>
      </c>
      <c r="C601" s="7" t="n">
        <v>44834</v>
      </c>
      <c r="D601" s="6" t="s">
        <v>400</v>
      </c>
      <c r="E601" s="6" t="s">
        <v>1734</v>
      </c>
      <c r="F601" s="6" t="s">
        <v>2043</v>
      </c>
      <c r="G601" s="6" t="s">
        <v>2077</v>
      </c>
      <c r="H601" s="9" t="n">
        <v>277692</v>
      </c>
      <c r="K601" s="6" t="s">
        <v>384</v>
      </c>
      <c r="L601" s="6" t="s">
        <v>13</v>
      </c>
      <c r="M601" s="6" t="s">
        <v>129</v>
      </c>
      <c r="N601" s="6" t="s">
        <v>2078</v>
      </c>
      <c r="O601" s="6"/>
      <c r="P601" s="6"/>
    </row>
    <row r="602" customFormat="false" ht="15" hidden="false" customHeight="false" outlineLevel="0" collapsed="false">
      <c r="A602" s="6" t="s">
        <v>2079</v>
      </c>
      <c r="B602" s="6" t="s">
        <v>136</v>
      </c>
      <c r="C602" s="7" t="n">
        <v>44926</v>
      </c>
      <c r="D602" s="6" t="s">
        <v>380</v>
      </c>
      <c r="E602" s="6" t="s">
        <v>1734</v>
      </c>
      <c r="F602" s="6" t="s">
        <v>2043</v>
      </c>
      <c r="G602" s="6" t="s">
        <v>2080</v>
      </c>
      <c r="H602" s="9" t="n">
        <v>80919</v>
      </c>
      <c r="K602" s="6" t="s">
        <v>384</v>
      </c>
      <c r="L602" s="6" t="s">
        <v>13</v>
      </c>
      <c r="M602" s="6" t="s">
        <v>134</v>
      </c>
      <c r="N602" s="6" t="s">
        <v>2081</v>
      </c>
      <c r="O602" s="6"/>
      <c r="P602" s="6"/>
    </row>
    <row r="603" customFormat="false" ht="15" hidden="false" customHeight="false" outlineLevel="0" collapsed="false">
      <c r="A603" s="6" t="s">
        <v>2082</v>
      </c>
      <c r="B603" s="6" t="s">
        <v>220</v>
      </c>
      <c r="C603" s="7" t="n">
        <v>44926</v>
      </c>
      <c r="D603" s="6" t="s">
        <v>407</v>
      </c>
      <c r="E603" s="6" t="s">
        <v>1734</v>
      </c>
      <c r="F603" s="6" t="s">
        <v>2043</v>
      </c>
      <c r="G603" s="6" t="s">
        <v>2083</v>
      </c>
      <c r="H603" s="9" t="n">
        <v>358611</v>
      </c>
      <c r="K603" s="6" t="s">
        <v>384</v>
      </c>
      <c r="L603" s="6" t="s">
        <v>13</v>
      </c>
      <c r="M603" s="6" t="s">
        <v>134</v>
      </c>
      <c r="N603" s="6" t="s">
        <v>2084</v>
      </c>
      <c r="O603" s="6"/>
      <c r="P603" s="6"/>
    </row>
    <row r="604" customFormat="false" ht="15" hidden="false" customHeight="false" outlineLevel="0" collapsed="false">
      <c r="A604" s="6" t="s">
        <v>2085</v>
      </c>
      <c r="B604" s="6" t="s">
        <v>141</v>
      </c>
      <c r="C604" s="7" t="n">
        <v>45016</v>
      </c>
      <c r="D604" s="6" t="s">
        <v>380</v>
      </c>
      <c r="E604" s="6" t="s">
        <v>1734</v>
      </c>
      <c r="F604" s="6" t="s">
        <v>2043</v>
      </c>
      <c r="G604" s="6" t="s">
        <v>2086</v>
      </c>
      <c r="H604" s="9" t="n">
        <v>102652</v>
      </c>
      <c r="K604" s="6" t="s">
        <v>384</v>
      </c>
      <c r="L604" s="6" t="s">
        <v>13</v>
      </c>
      <c r="M604" s="6" t="s">
        <v>139</v>
      </c>
      <c r="N604" s="6" t="s">
        <v>2087</v>
      </c>
      <c r="O604" s="6"/>
      <c r="P604" s="6"/>
    </row>
    <row r="605" customFormat="false" ht="15" hidden="false" customHeight="false" outlineLevel="0" collapsed="false">
      <c r="A605" s="6" t="s">
        <v>2088</v>
      </c>
      <c r="B605" s="6" t="s">
        <v>146</v>
      </c>
      <c r="C605" s="7" t="n">
        <v>45107</v>
      </c>
      <c r="D605" s="6" t="s">
        <v>380</v>
      </c>
      <c r="E605" s="6" t="s">
        <v>1734</v>
      </c>
      <c r="F605" s="6" t="s">
        <v>2043</v>
      </c>
      <c r="G605" s="6" t="s">
        <v>2089</v>
      </c>
      <c r="H605" s="9" t="n">
        <v>98831</v>
      </c>
      <c r="K605" s="6" t="s">
        <v>384</v>
      </c>
      <c r="L605" s="6" t="s">
        <v>13</v>
      </c>
      <c r="M605" s="6" t="s">
        <v>144</v>
      </c>
      <c r="N605" s="6" t="s">
        <v>2090</v>
      </c>
      <c r="O605" s="6"/>
      <c r="P605" s="6"/>
    </row>
    <row r="606" customFormat="false" ht="15" hidden="false" customHeight="false" outlineLevel="0" collapsed="false">
      <c r="A606" s="6" t="s">
        <v>2091</v>
      </c>
      <c r="B606" s="6" t="s">
        <v>440</v>
      </c>
      <c r="C606" s="7" t="n">
        <v>45107</v>
      </c>
      <c r="D606" s="6" t="s">
        <v>392</v>
      </c>
      <c r="E606" s="6" t="s">
        <v>1734</v>
      </c>
      <c r="F606" s="6" t="s">
        <v>2043</v>
      </c>
      <c r="G606" s="6" t="s">
        <v>2092</v>
      </c>
      <c r="H606" s="9" t="n">
        <v>201483</v>
      </c>
      <c r="K606" s="6" t="s">
        <v>384</v>
      </c>
      <c r="L606" s="6" t="s">
        <v>13</v>
      </c>
      <c r="M606" s="6" t="s">
        <v>144</v>
      </c>
      <c r="N606" s="6" t="s">
        <v>2093</v>
      </c>
      <c r="O606" s="6"/>
      <c r="P606" s="6"/>
    </row>
    <row r="607" customFormat="false" ht="15" hidden="false" customHeight="false" outlineLevel="0" collapsed="false">
      <c r="A607" s="6" t="s">
        <v>2094</v>
      </c>
      <c r="B607" s="6" t="s">
        <v>151</v>
      </c>
      <c r="C607" s="7" t="n">
        <v>45199</v>
      </c>
      <c r="D607" s="6" t="s">
        <v>380</v>
      </c>
      <c r="E607" s="6" t="s">
        <v>1734</v>
      </c>
      <c r="F607" s="6" t="s">
        <v>2043</v>
      </c>
      <c r="G607" s="6" t="s">
        <v>2095</v>
      </c>
      <c r="H607" s="9" t="n">
        <v>101504</v>
      </c>
      <c r="K607" s="6" t="s">
        <v>384</v>
      </c>
      <c r="L607" s="6" t="s">
        <v>13</v>
      </c>
      <c r="M607" s="6" t="s">
        <v>149</v>
      </c>
      <c r="N607" s="6" t="s">
        <v>2096</v>
      </c>
      <c r="O607" s="6"/>
      <c r="P607" s="6"/>
    </row>
    <row r="608" customFormat="false" ht="15" hidden="false" customHeight="false" outlineLevel="0" collapsed="false">
      <c r="A608" s="6" t="s">
        <v>2097</v>
      </c>
      <c r="B608" s="6" t="s">
        <v>447</v>
      </c>
      <c r="C608" s="7" t="n">
        <v>45199</v>
      </c>
      <c r="D608" s="6" t="s">
        <v>400</v>
      </c>
      <c r="E608" s="6" t="s">
        <v>1734</v>
      </c>
      <c r="F608" s="6" t="s">
        <v>2043</v>
      </c>
      <c r="G608" s="6" t="s">
        <v>2098</v>
      </c>
      <c r="H608" s="9" t="n">
        <v>302987</v>
      </c>
      <c r="K608" s="6" t="s">
        <v>384</v>
      </c>
      <c r="L608" s="6" t="s">
        <v>13</v>
      </c>
      <c r="M608" s="6" t="s">
        <v>149</v>
      </c>
      <c r="N608" s="6" t="s">
        <v>2099</v>
      </c>
      <c r="O608" s="6"/>
      <c r="P608" s="6"/>
    </row>
    <row r="609" customFormat="false" ht="15" hidden="false" customHeight="false" outlineLevel="0" collapsed="false">
      <c r="A609" s="6" t="s">
        <v>2100</v>
      </c>
      <c r="B609" s="6" t="s">
        <v>156</v>
      </c>
      <c r="C609" s="7" t="n">
        <v>45291</v>
      </c>
      <c r="D609" s="6" t="s">
        <v>380</v>
      </c>
      <c r="E609" s="6" t="s">
        <v>1734</v>
      </c>
      <c r="F609" s="6" t="s">
        <v>2043</v>
      </c>
      <c r="G609" s="6" t="s">
        <v>2101</v>
      </c>
      <c r="H609" s="9" t="n">
        <v>110020</v>
      </c>
      <c r="K609" s="6" t="s">
        <v>384</v>
      </c>
      <c r="L609" s="6" t="s">
        <v>13</v>
      </c>
      <c r="M609" s="6" t="s">
        <v>154</v>
      </c>
      <c r="N609" s="6" t="s">
        <v>2102</v>
      </c>
      <c r="O609" s="6"/>
      <c r="P609" s="6"/>
    </row>
    <row r="610" customFormat="false" ht="15" hidden="false" customHeight="false" outlineLevel="0" collapsed="false">
      <c r="A610" s="6" t="s">
        <v>2103</v>
      </c>
      <c r="B610" s="6" t="s">
        <v>225</v>
      </c>
      <c r="C610" s="7" t="n">
        <v>45291</v>
      </c>
      <c r="D610" s="6" t="s">
        <v>407</v>
      </c>
      <c r="E610" s="6" t="s">
        <v>1734</v>
      </c>
      <c r="F610" s="6" t="s">
        <v>2043</v>
      </c>
      <c r="G610" s="6" t="s">
        <v>2104</v>
      </c>
      <c r="H610" s="9" t="n">
        <v>413007</v>
      </c>
      <c r="K610" s="6" t="s">
        <v>384</v>
      </c>
      <c r="L610" s="6" t="s">
        <v>13</v>
      </c>
      <c r="M610" s="6" t="s">
        <v>154</v>
      </c>
      <c r="N610" s="6" t="s">
        <v>2105</v>
      </c>
      <c r="O610" s="6"/>
      <c r="P610" s="6"/>
    </row>
    <row r="611" customFormat="false" ht="15" hidden="false" customHeight="false" outlineLevel="0" collapsed="false">
      <c r="A611" s="6" t="s">
        <v>2106</v>
      </c>
      <c r="B611" s="6" t="s">
        <v>161</v>
      </c>
      <c r="C611" s="7" t="n">
        <v>45382</v>
      </c>
      <c r="D611" s="6" t="s">
        <v>380</v>
      </c>
      <c r="E611" s="6" t="s">
        <v>1734</v>
      </c>
      <c r="F611" s="6" t="s">
        <v>2043</v>
      </c>
      <c r="G611" s="6" t="s">
        <v>2107</v>
      </c>
      <c r="H611" s="9" t="n">
        <v>120806</v>
      </c>
      <c r="K611" s="6" t="s">
        <v>384</v>
      </c>
      <c r="L611" s="6" t="s">
        <v>13</v>
      </c>
      <c r="M611" s="6" t="s">
        <v>159</v>
      </c>
      <c r="N611" s="6" t="s">
        <v>2108</v>
      </c>
      <c r="O611" s="6"/>
      <c r="P611" s="6"/>
    </row>
    <row r="612" customFormat="false" ht="15" hidden="false" customHeight="false" outlineLevel="0" collapsed="false">
      <c r="A612" s="6" t="s">
        <v>2109</v>
      </c>
      <c r="B612" s="6" t="s">
        <v>166</v>
      </c>
      <c r="C612" s="7" t="n">
        <v>45473</v>
      </c>
      <c r="D612" s="6" t="s">
        <v>380</v>
      </c>
      <c r="E612" s="6" t="s">
        <v>1734</v>
      </c>
      <c r="F612" s="6" t="s">
        <v>2043</v>
      </c>
      <c r="G612" s="6" t="s">
        <v>2110</v>
      </c>
      <c r="H612" s="9" t="n">
        <v>120738</v>
      </c>
      <c r="K612" s="6" t="s">
        <v>384</v>
      </c>
      <c r="L612" s="6" t="s">
        <v>13</v>
      </c>
      <c r="M612" s="6" t="s">
        <v>164</v>
      </c>
      <c r="N612" s="6" t="s">
        <v>2111</v>
      </c>
      <c r="O612" s="6"/>
      <c r="P612" s="6"/>
    </row>
    <row r="613" customFormat="false" ht="15" hidden="false" customHeight="false" outlineLevel="0" collapsed="false">
      <c r="A613" s="6" t="s">
        <v>2112</v>
      </c>
      <c r="B613" s="6" t="s">
        <v>241</v>
      </c>
      <c r="C613" s="7" t="n">
        <v>45473</v>
      </c>
      <c r="D613" s="6" t="s">
        <v>392</v>
      </c>
      <c r="E613" s="6" t="s">
        <v>1734</v>
      </c>
      <c r="F613" s="6" t="s">
        <v>2043</v>
      </c>
      <c r="G613" s="6" t="s">
        <v>2113</v>
      </c>
      <c r="H613" s="9" t="n">
        <v>241544</v>
      </c>
      <c r="K613" s="6" t="s">
        <v>384</v>
      </c>
      <c r="L613" s="6" t="s">
        <v>13</v>
      </c>
      <c r="M613" s="6" t="s">
        <v>164</v>
      </c>
      <c r="N613" s="6" t="s">
        <v>2114</v>
      </c>
      <c r="O613" s="6"/>
      <c r="P613" s="6"/>
    </row>
    <row r="614" customFormat="false" ht="15" hidden="false" customHeight="false" outlineLevel="0" collapsed="false">
      <c r="A614" s="6" t="s">
        <v>2115</v>
      </c>
      <c r="B614" s="6" t="s">
        <v>171</v>
      </c>
      <c r="C614" s="7" t="n">
        <v>45565</v>
      </c>
      <c r="D614" s="6" t="s">
        <v>380</v>
      </c>
      <c r="E614" s="6" t="s">
        <v>1734</v>
      </c>
      <c r="F614" s="6" t="s">
        <v>2043</v>
      </c>
      <c r="G614" s="6" t="s">
        <v>2116</v>
      </c>
      <c r="H614" s="9" t="n">
        <v>130339</v>
      </c>
      <c r="K614" s="6" t="s">
        <v>384</v>
      </c>
      <c r="L614" s="6" t="s">
        <v>13</v>
      </c>
      <c r="M614" s="6" t="s">
        <v>169</v>
      </c>
      <c r="N614" s="6" t="s">
        <v>2117</v>
      </c>
      <c r="O614" s="6"/>
      <c r="P614" s="6"/>
    </row>
    <row r="615" customFormat="false" ht="15" hidden="false" customHeight="false" outlineLevel="0" collapsed="false">
      <c r="A615" s="6" t="s">
        <v>2118</v>
      </c>
      <c r="B615" s="6" t="s">
        <v>469</v>
      </c>
      <c r="C615" s="7" t="n">
        <v>45565</v>
      </c>
      <c r="D615" s="6" t="s">
        <v>400</v>
      </c>
      <c r="E615" s="6" t="s">
        <v>1734</v>
      </c>
      <c r="F615" s="6" t="s">
        <v>2043</v>
      </c>
      <c r="G615" s="6" t="s">
        <v>2119</v>
      </c>
      <c r="H615" s="9" t="n">
        <v>371883</v>
      </c>
      <c r="K615" s="6" t="s">
        <v>384</v>
      </c>
      <c r="L615" s="6" t="s">
        <v>13</v>
      </c>
      <c r="M615" s="6" t="s">
        <v>169</v>
      </c>
      <c r="N615" s="6" t="s">
        <v>2120</v>
      </c>
      <c r="O615" s="6"/>
      <c r="P615" s="6"/>
    </row>
    <row r="616" customFormat="false" ht="15" hidden="false" customHeight="false" outlineLevel="0" collapsed="false">
      <c r="A616" s="6" t="s">
        <v>2121</v>
      </c>
      <c r="B616" s="6" t="s">
        <v>176</v>
      </c>
      <c r="C616" s="7" t="n">
        <v>45657</v>
      </c>
      <c r="D616" s="6" t="s">
        <v>380</v>
      </c>
      <c r="E616" s="6" t="s">
        <v>1734</v>
      </c>
      <c r="F616" s="6" t="s">
        <v>2043</v>
      </c>
      <c r="G616" s="6" t="s">
        <v>2122</v>
      </c>
      <c r="H616" s="9" t="n">
        <v>127791</v>
      </c>
      <c r="K616" s="6" t="s">
        <v>384</v>
      </c>
      <c r="L616" s="6" t="s">
        <v>13</v>
      </c>
      <c r="M616" s="6" t="s">
        <v>174</v>
      </c>
      <c r="N616" s="6" t="s">
        <v>2123</v>
      </c>
      <c r="O616" s="6"/>
      <c r="P616" s="6"/>
    </row>
    <row r="617" customFormat="false" ht="15" hidden="false" customHeight="false" outlineLevel="0" collapsed="false">
      <c r="A617" s="6" t="s">
        <v>2124</v>
      </c>
      <c r="B617" s="6" t="s">
        <v>230</v>
      </c>
      <c r="C617" s="7" t="n">
        <v>45657</v>
      </c>
      <c r="D617" s="6" t="s">
        <v>407</v>
      </c>
      <c r="E617" s="6" t="s">
        <v>1734</v>
      </c>
      <c r="F617" s="6" t="s">
        <v>2043</v>
      </c>
      <c r="G617" s="6" t="s">
        <v>2125</v>
      </c>
      <c r="H617" s="9" t="n">
        <v>499674</v>
      </c>
      <c r="K617" s="6" t="s">
        <v>384</v>
      </c>
      <c r="L617" s="6" t="s">
        <v>13</v>
      </c>
      <c r="M617" s="6" t="s">
        <v>174</v>
      </c>
      <c r="N617" s="6" t="s">
        <v>2126</v>
      </c>
      <c r="O617" s="6"/>
      <c r="P617" s="6"/>
    </row>
    <row r="618" customFormat="false" ht="15" hidden="false" customHeight="false" outlineLevel="0" collapsed="false">
      <c r="A618" s="6" t="s">
        <v>2127</v>
      </c>
      <c r="B618" s="6" t="s">
        <v>181</v>
      </c>
      <c r="C618" s="7" t="n">
        <v>45747</v>
      </c>
      <c r="D618" s="6" t="s">
        <v>380</v>
      </c>
      <c r="E618" s="6" t="s">
        <v>1734</v>
      </c>
      <c r="F618" s="6" t="s">
        <v>2043</v>
      </c>
      <c r="G618" s="6" t="s">
        <v>2128</v>
      </c>
      <c r="H618" s="9" t="n">
        <v>135882</v>
      </c>
      <c r="K618" s="6" t="s">
        <v>384</v>
      </c>
      <c r="L618" s="6" t="s">
        <v>13</v>
      </c>
      <c r="M618" s="6" t="s">
        <v>179</v>
      </c>
      <c r="N618" s="6" t="s">
        <v>2129</v>
      </c>
      <c r="O618" s="6"/>
      <c r="P618" s="6"/>
    </row>
    <row r="619" customFormat="false" ht="15" hidden="false" customHeight="false" outlineLevel="0" collapsed="false">
      <c r="A619" s="6" t="s">
        <v>2130</v>
      </c>
      <c r="B619" s="6" t="s">
        <v>186</v>
      </c>
      <c r="C619" s="7" t="n">
        <v>45838</v>
      </c>
      <c r="D619" s="6" t="s">
        <v>380</v>
      </c>
      <c r="E619" s="6" t="s">
        <v>1734</v>
      </c>
      <c r="F619" s="6" t="s">
        <v>2043</v>
      </c>
      <c r="G619" s="6" t="s">
        <v>2131</v>
      </c>
      <c r="H619" s="9" t="n">
        <v>139223</v>
      </c>
      <c r="K619" s="6" t="s">
        <v>384</v>
      </c>
      <c r="L619" s="6" t="s">
        <v>13</v>
      </c>
      <c r="M619" s="6" t="s">
        <v>184</v>
      </c>
      <c r="N619" s="6" t="s">
        <v>2132</v>
      </c>
      <c r="O619" s="6"/>
      <c r="P619" s="6"/>
    </row>
    <row r="620" customFormat="false" ht="15" hidden="false" customHeight="false" outlineLevel="0" collapsed="false">
      <c r="A620" s="6" t="s">
        <v>2133</v>
      </c>
      <c r="B620" s="6" t="s">
        <v>255</v>
      </c>
      <c r="C620" s="7" t="n">
        <v>45838</v>
      </c>
      <c r="D620" s="6" t="s">
        <v>392</v>
      </c>
      <c r="E620" s="6" t="s">
        <v>1734</v>
      </c>
      <c r="F620" s="6" t="s">
        <v>2043</v>
      </c>
      <c r="G620" s="6" t="s">
        <v>2134</v>
      </c>
      <c r="H620" s="9" t="n">
        <v>275105</v>
      </c>
      <c r="K620" s="6" t="s">
        <v>384</v>
      </c>
      <c r="L620" s="6" t="s">
        <v>13</v>
      </c>
      <c r="M620" s="6" t="s">
        <v>184</v>
      </c>
      <c r="N620" s="6" t="s">
        <v>2135</v>
      </c>
      <c r="O620" s="6"/>
      <c r="P620" s="6"/>
    </row>
    <row r="621" customFormat="false" ht="15" hidden="false" customHeight="false" outlineLevel="0" collapsed="false">
      <c r="A621" s="6" t="s">
        <v>2136</v>
      </c>
      <c r="B621" s="6" t="s">
        <v>191</v>
      </c>
      <c r="C621" s="7" t="n">
        <v>45930</v>
      </c>
      <c r="D621" s="6" t="s">
        <v>380</v>
      </c>
      <c r="E621" s="6" t="s">
        <v>1734</v>
      </c>
      <c r="F621" s="6" t="s">
        <v>2043</v>
      </c>
      <c r="G621" s="6" t="s">
        <v>2137</v>
      </c>
      <c r="H621" s="9" t="n">
        <v>151804</v>
      </c>
      <c r="K621" s="6" t="s">
        <v>384</v>
      </c>
      <c r="L621" s="6" t="s">
        <v>13</v>
      </c>
      <c r="M621" s="6" t="s">
        <v>189</v>
      </c>
      <c r="N621" s="6" t="s">
        <v>2138</v>
      </c>
      <c r="O621" s="6"/>
      <c r="P621" s="6"/>
    </row>
    <row r="622" customFormat="false" ht="15" hidden="false" customHeight="false" outlineLevel="0" collapsed="false">
      <c r="A622" s="6" t="s">
        <v>2139</v>
      </c>
      <c r="B622" s="6" t="s">
        <v>491</v>
      </c>
      <c r="C622" s="7" t="n">
        <v>45930</v>
      </c>
      <c r="D622" s="6" t="s">
        <v>400</v>
      </c>
      <c r="E622" s="6" t="s">
        <v>1734</v>
      </c>
      <c r="F622" s="6" t="s">
        <v>2043</v>
      </c>
      <c r="G622" s="6" t="s">
        <v>2140</v>
      </c>
      <c r="H622" s="9" t="n">
        <v>426909</v>
      </c>
      <c r="K622" s="6" t="s">
        <v>384</v>
      </c>
      <c r="L622" s="6" t="s">
        <v>13</v>
      </c>
      <c r="M622" s="6" t="s">
        <v>189</v>
      </c>
      <c r="N622" s="6" t="s">
        <v>2141</v>
      </c>
      <c r="O622" s="6"/>
      <c r="P622" s="6"/>
    </row>
    <row r="623" customFormat="false" ht="15" hidden="false" customHeight="false" outlineLevel="0" collapsed="false">
      <c r="A623" s="6" t="s">
        <v>2142</v>
      </c>
      <c r="B623" s="6" t="s">
        <v>196</v>
      </c>
      <c r="C623" s="7" t="n">
        <v>46022</v>
      </c>
      <c r="D623" s="6" t="s">
        <v>380</v>
      </c>
      <c r="E623" s="6" t="s">
        <v>1734</v>
      </c>
      <c r="F623" s="6" t="s">
        <v>2043</v>
      </c>
      <c r="G623" s="6" t="s">
        <v>2143</v>
      </c>
      <c r="H623" s="9" t="n">
        <v>159858</v>
      </c>
      <c r="K623" s="6" t="s">
        <v>384</v>
      </c>
      <c r="L623" s="6" t="s">
        <v>13</v>
      </c>
      <c r="M623" s="6" t="s">
        <v>194</v>
      </c>
      <c r="N623" s="6" t="s">
        <v>2144</v>
      </c>
      <c r="O623" s="6"/>
      <c r="P623" s="6"/>
    </row>
    <row r="624" customFormat="false" ht="15" hidden="false" customHeight="false" outlineLevel="0" collapsed="false">
      <c r="A624" s="6" t="s">
        <v>2145</v>
      </c>
      <c r="B624" s="6" t="s">
        <v>235</v>
      </c>
      <c r="C624" s="7" t="n">
        <v>46022</v>
      </c>
      <c r="D624" s="6" t="s">
        <v>407</v>
      </c>
      <c r="E624" s="6" t="s">
        <v>1734</v>
      </c>
      <c r="F624" s="6" t="s">
        <v>2043</v>
      </c>
      <c r="G624" s="6" t="s">
        <v>2146</v>
      </c>
      <c r="H624" s="9" t="n">
        <v>586767</v>
      </c>
      <c r="K624" s="6" t="s">
        <v>384</v>
      </c>
      <c r="L624" s="6" t="s">
        <v>13</v>
      </c>
      <c r="M624" s="6" t="s">
        <v>194</v>
      </c>
      <c r="N624" s="6" t="s">
        <v>2147</v>
      </c>
      <c r="O624" s="6"/>
      <c r="P624" s="6"/>
    </row>
    <row r="625" customFormat="false" ht="15" hidden="false" customHeight="false" outlineLevel="0" collapsed="false">
      <c r="A625" s="6" t="s">
        <v>2148</v>
      </c>
      <c r="B625" s="6" t="s">
        <v>201</v>
      </c>
      <c r="C625" s="7" t="n">
        <v>46112</v>
      </c>
      <c r="D625" s="6" t="s">
        <v>380</v>
      </c>
      <c r="E625" s="6" t="s">
        <v>1734</v>
      </c>
      <c r="F625" s="6" t="s">
        <v>2043</v>
      </c>
      <c r="G625" s="6" t="s">
        <v>2149</v>
      </c>
      <c r="H625" s="9" t="n">
        <v>158181</v>
      </c>
      <c r="K625" s="6" t="s">
        <v>384</v>
      </c>
      <c r="L625" s="6" t="s">
        <v>13</v>
      </c>
      <c r="M625" s="6" t="s">
        <v>199</v>
      </c>
      <c r="N625" s="6" t="s">
        <v>2150</v>
      </c>
      <c r="O625" s="6"/>
      <c r="P625" s="6"/>
    </row>
    <row r="626" customFormat="false" ht="15" hidden="false" customHeight="false" outlineLevel="0" collapsed="false">
      <c r="A626" s="6" t="s">
        <v>2151</v>
      </c>
      <c r="B626" s="6" t="s">
        <v>206</v>
      </c>
      <c r="C626" s="7" t="n">
        <v>46203</v>
      </c>
      <c r="D626" s="6" t="s">
        <v>380</v>
      </c>
      <c r="E626" s="6" t="s">
        <v>1734</v>
      </c>
      <c r="F626" s="6" t="s">
        <v>2043</v>
      </c>
      <c r="G626" s="6" t="s">
        <v>2152</v>
      </c>
      <c r="H626" s="9" t="n">
        <v>149444</v>
      </c>
      <c r="K626" s="6" t="s">
        <v>384</v>
      </c>
      <c r="L626" s="6" t="s">
        <v>13</v>
      </c>
      <c r="M626" s="6" t="s">
        <v>204</v>
      </c>
      <c r="N626" s="6" t="s">
        <v>2153</v>
      </c>
      <c r="O626" s="6"/>
      <c r="P626" s="6"/>
    </row>
    <row r="627" customFormat="false" ht="15" hidden="false" customHeight="false" outlineLevel="0" collapsed="false">
      <c r="A627" s="6" t="s">
        <v>2154</v>
      </c>
      <c r="B627" s="6" t="s">
        <v>263</v>
      </c>
      <c r="C627" s="7" t="n">
        <v>46203</v>
      </c>
      <c r="D627" s="6" t="s">
        <v>392</v>
      </c>
      <c r="E627" s="6" t="s">
        <v>1734</v>
      </c>
      <c r="F627" s="6" t="s">
        <v>2043</v>
      </c>
      <c r="G627" s="6" t="s">
        <v>2155</v>
      </c>
      <c r="H627" s="9" t="n">
        <v>307625</v>
      </c>
      <c r="K627" s="6" t="s">
        <v>384</v>
      </c>
      <c r="L627" s="6" t="s">
        <v>13</v>
      </c>
      <c r="M627" s="6" t="s">
        <v>204</v>
      </c>
      <c r="N627" s="6" t="s">
        <v>2156</v>
      </c>
      <c r="O627" s="6"/>
      <c r="P627" s="6"/>
    </row>
    <row r="628" customFormat="false" ht="15" hidden="false" customHeight="false" outlineLevel="0" collapsed="false">
      <c r="A628" s="6" t="s">
        <v>2157</v>
      </c>
      <c r="B628" s="6" t="s">
        <v>379</v>
      </c>
      <c r="C628" s="7" t="n">
        <v>44286</v>
      </c>
      <c r="D628" s="6" t="s">
        <v>380</v>
      </c>
      <c r="E628" s="6" t="s">
        <v>1734</v>
      </c>
      <c r="F628" s="6" t="s">
        <v>2158</v>
      </c>
      <c r="G628" s="6" t="s">
        <v>2159</v>
      </c>
      <c r="H628" s="9" t="n">
        <v>5828</v>
      </c>
      <c r="K628" s="6" t="s">
        <v>384</v>
      </c>
      <c r="L628" s="6" t="s">
        <v>13</v>
      </c>
      <c r="M628" s="6" t="s">
        <v>119</v>
      </c>
      <c r="N628" s="6" t="s">
        <v>2160</v>
      </c>
      <c r="O628" s="6"/>
      <c r="P628" s="6" t="s">
        <v>386</v>
      </c>
    </row>
    <row r="629" customFormat="false" ht="15" hidden="false" customHeight="false" outlineLevel="0" collapsed="false">
      <c r="A629" s="6" t="s">
        <v>2161</v>
      </c>
      <c r="B629" s="6" t="s">
        <v>103</v>
      </c>
      <c r="C629" s="7" t="n">
        <v>44377</v>
      </c>
      <c r="D629" s="6" t="s">
        <v>380</v>
      </c>
      <c r="E629" s="6" t="s">
        <v>1734</v>
      </c>
      <c r="F629" s="6" t="s">
        <v>2158</v>
      </c>
      <c r="G629" s="6" t="s">
        <v>2162</v>
      </c>
      <c r="H629" s="9" t="n">
        <v>6527</v>
      </c>
      <c r="K629" s="6" t="s">
        <v>384</v>
      </c>
      <c r="L629" s="6" t="s">
        <v>13</v>
      </c>
      <c r="M629" s="6" t="s">
        <v>100</v>
      </c>
      <c r="N629" s="6" t="s">
        <v>2163</v>
      </c>
      <c r="O629" s="6"/>
      <c r="P629" s="6"/>
    </row>
    <row r="630" customFormat="false" ht="15" hidden="false" customHeight="false" outlineLevel="0" collapsed="false">
      <c r="A630" s="6" t="s">
        <v>2164</v>
      </c>
      <c r="B630" s="6" t="s">
        <v>391</v>
      </c>
      <c r="C630" s="7" t="n">
        <v>44377</v>
      </c>
      <c r="D630" s="6" t="s">
        <v>392</v>
      </c>
      <c r="E630" s="6" t="s">
        <v>1734</v>
      </c>
      <c r="F630" s="6" t="s">
        <v>2158</v>
      </c>
      <c r="G630" s="6" t="s">
        <v>2165</v>
      </c>
      <c r="H630" s="9" t="n">
        <v>12355</v>
      </c>
      <c r="K630" s="6" t="s">
        <v>384</v>
      </c>
      <c r="L630" s="6" t="s">
        <v>13</v>
      </c>
      <c r="M630" s="6" t="s">
        <v>100</v>
      </c>
      <c r="N630" s="6" t="s">
        <v>2166</v>
      </c>
      <c r="O630" s="6"/>
      <c r="P630" s="6"/>
    </row>
    <row r="631" customFormat="false" ht="15" hidden="false" customHeight="false" outlineLevel="0" collapsed="false">
      <c r="A631" s="6" t="s">
        <v>2167</v>
      </c>
      <c r="B631" s="6" t="s">
        <v>111</v>
      </c>
      <c r="C631" s="7" t="n">
        <v>44469</v>
      </c>
      <c r="D631" s="6" t="s">
        <v>380</v>
      </c>
      <c r="E631" s="6" t="s">
        <v>1734</v>
      </c>
      <c r="F631" s="6" t="s">
        <v>2158</v>
      </c>
      <c r="G631" s="6" t="s">
        <v>2168</v>
      </c>
      <c r="H631" s="9" t="n">
        <v>9111</v>
      </c>
      <c r="K631" s="6" t="s">
        <v>384</v>
      </c>
      <c r="L631" s="6" t="s">
        <v>13</v>
      </c>
      <c r="M631" s="6" t="s">
        <v>109</v>
      </c>
      <c r="N631" s="6" t="s">
        <v>2169</v>
      </c>
      <c r="O631" s="6"/>
      <c r="P631" s="6"/>
    </row>
    <row r="632" customFormat="false" ht="15" hidden="false" customHeight="false" outlineLevel="0" collapsed="false">
      <c r="A632" s="6" t="s">
        <v>2170</v>
      </c>
      <c r="B632" s="6" t="s">
        <v>399</v>
      </c>
      <c r="C632" s="7" t="n">
        <v>44469</v>
      </c>
      <c r="D632" s="6" t="s">
        <v>400</v>
      </c>
      <c r="E632" s="6" t="s">
        <v>1734</v>
      </c>
      <c r="F632" s="6" t="s">
        <v>2158</v>
      </c>
      <c r="G632" s="6" t="s">
        <v>2171</v>
      </c>
      <c r="H632" s="9" t="n">
        <v>21466</v>
      </c>
      <c r="K632" s="6" t="s">
        <v>384</v>
      </c>
      <c r="L632" s="6" t="s">
        <v>13</v>
      </c>
      <c r="M632" s="6" t="s">
        <v>109</v>
      </c>
      <c r="N632" s="6" t="s">
        <v>2172</v>
      </c>
      <c r="O632" s="6"/>
      <c r="P632" s="6"/>
    </row>
    <row r="633" customFormat="false" ht="15" hidden="false" customHeight="false" outlineLevel="0" collapsed="false">
      <c r="A633" s="6" t="s">
        <v>2173</v>
      </c>
      <c r="B633" s="6" t="s">
        <v>116</v>
      </c>
      <c r="C633" s="7" t="n">
        <v>44561</v>
      </c>
      <c r="D633" s="6" t="s">
        <v>380</v>
      </c>
      <c r="E633" s="6" t="s">
        <v>1734</v>
      </c>
      <c r="F633" s="6" t="s">
        <v>2158</v>
      </c>
      <c r="G633" s="6" t="s">
        <v>2174</v>
      </c>
      <c r="H633" s="9" t="n">
        <v>11093</v>
      </c>
      <c r="K633" s="6" t="s">
        <v>384</v>
      </c>
      <c r="L633" s="6" t="s">
        <v>13</v>
      </c>
      <c r="M633" s="6" t="s">
        <v>114</v>
      </c>
      <c r="N633" s="6" t="s">
        <v>2175</v>
      </c>
      <c r="O633" s="6"/>
      <c r="P633" s="6"/>
    </row>
    <row r="634" customFormat="false" ht="15" hidden="false" customHeight="false" outlineLevel="0" collapsed="false">
      <c r="A634" s="6" t="s">
        <v>2176</v>
      </c>
      <c r="B634" s="6" t="s">
        <v>212</v>
      </c>
      <c r="C634" s="7" t="n">
        <v>44561</v>
      </c>
      <c r="D634" s="6" t="s">
        <v>407</v>
      </c>
      <c r="E634" s="6" t="s">
        <v>1734</v>
      </c>
      <c r="F634" s="6" t="s">
        <v>2158</v>
      </c>
      <c r="G634" s="6" t="s">
        <v>2177</v>
      </c>
      <c r="H634" s="9" t="n">
        <v>32559</v>
      </c>
      <c r="K634" s="6" t="s">
        <v>384</v>
      </c>
      <c r="L634" s="6" t="s">
        <v>13</v>
      </c>
      <c r="M634" s="6" t="s">
        <v>114</v>
      </c>
      <c r="N634" s="6" t="s">
        <v>2178</v>
      </c>
      <c r="O634" s="6"/>
      <c r="P634" s="6"/>
    </row>
    <row r="635" customFormat="false" ht="15" hidden="false" customHeight="false" outlineLevel="0" collapsed="false">
      <c r="A635" s="6" t="s">
        <v>2179</v>
      </c>
      <c r="B635" s="6" t="s">
        <v>121</v>
      </c>
      <c r="C635" s="7" t="n">
        <v>44651</v>
      </c>
      <c r="D635" s="6" t="s">
        <v>380</v>
      </c>
      <c r="E635" s="6" t="s">
        <v>1734</v>
      </c>
      <c r="F635" s="6" t="s">
        <v>2158</v>
      </c>
      <c r="G635" s="6" t="s">
        <v>2180</v>
      </c>
      <c r="H635" s="9" t="n">
        <v>12411</v>
      </c>
      <c r="K635" s="6" t="s">
        <v>384</v>
      </c>
      <c r="L635" s="6" t="s">
        <v>13</v>
      </c>
      <c r="M635" s="6" t="s">
        <v>119</v>
      </c>
      <c r="N635" s="6" t="s">
        <v>2181</v>
      </c>
      <c r="O635" s="6"/>
      <c r="P635" s="6"/>
    </row>
    <row r="636" customFormat="false" ht="15" hidden="false" customHeight="false" outlineLevel="0" collapsed="false">
      <c r="A636" s="6" t="s">
        <v>2182</v>
      </c>
      <c r="B636" s="6" t="s">
        <v>126</v>
      </c>
      <c r="C636" s="7" t="n">
        <v>44742</v>
      </c>
      <c r="D636" s="6" t="s">
        <v>380</v>
      </c>
      <c r="E636" s="6" t="s">
        <v>1734</v>
      </c>
      <c r="F636" s="6" t="s">
        <v>2158</v>
      </c>
      <c r="G636" s="6" t="s">
        <v>2183</v>
      </c>
      <c r="H636" s="9" t="n">
        <v>14633</v>
      </c>
      <c r="K636" s="6" t="s">
        <v>384</v>
      </c>
      <c r="L636" s="6" t="s">
        <v>13</v>
      </c>
      <c r="M636" s="6" t="s">
        <v>124</v>
      </c>
      <c r="N636" s="6" t="s">
        <v>2184</v>
      </c>
      <c r="O636" s="6"/>
      <c r="P636" s="6"/>
    </row>
    <row r="637" customFormat="false" ht="15" hidden="false" customHeight="false" outlineLevel="0" collapsed="false">
      <c r="A637" s="6" t="s">
        <v>2185</v>
      </c>
      <c r="B637" s="6" t="s">
        <v>417</v>
      </c>
      <c r="C637" s="7" t="n">
        <v>44742</v>
      </c>
      <c r="D637" s="6" t="s">
        <v>392</v>
      </c>
      <c r="E637" s="6" t="s">
        <v>1734</v>
      </c>
      <c r="F637" s="6" t="s">
        <v>2158</v>
      </c>
      <c r="G637" s="6" t="s">
        <v>2186</v>
      </c>
      <c r="H637" s="9" t="n">
        <v>27044</v>
      </c>
      <c r="K637" s="6" t="s">
        <v>384</v>
      </c>
      <c r="L637" s="6" t="s">
        <v>13</v>
      </c>
      <c r="M637" s="6" t="s">
        <v>124</v>
      </c>
      <c r="N637" s="6" t="s">
        <v>2187</v>
      </c>
      <c r="O637" s="6"/>
      <c r="P637" s="6"/>
    </row>
    <row r="638" customFormat="false" ht="15" hidden="false" customHeight="false" outlineLevel="0" collapsed="false">
      <c r="A638" s="6" t="s">
        <v>2188</v>
      </c>
      <c r="B638" s="6" t="s">
        <v>131</v>
      </c>
      <c r="C638" s="7" t="n">
        <v>44834</v>
      </c>
      <c r="D638" s="6" t="s">
        <v>380</v>
      </c>
      <c r="E638" s="6" t="s">
        <v>1734</v>
      </c>
      <c r="F638" s="6" t="s">
        <v>2158</v>
      </c>
      <c r="G638" s="6" t="s">
        <v>2189</v>
      </c>
      <c r="H638" s="9" t="n">
        <v>15240</v>
      </c>
      <c r="K638" s="6" t="s">
        <v>384</v>
      </c>
      <c r="L638" s="6" t="s">
        <v>13</v>
      </c>
      <c r="M638" s="6" t="s">
        <v>129</v>
      </c>
      <c r="N638" s="6" t="s">
        <v>2190</v>
      </c>
      <c r="O638" s="6"/>
      <c r="P638" s="6"/>
    </row>
    <row r="639" customFormat="false" ht="15" hidden="false" customHeight="false" outlineLevel="0" collapsed="false">
      <c r="A639" s="6" t="s">
        <v>2191</v>
      </c>
      <c r="B639" s="6" t="s">
        <v>424</v>
      </c>
      <c r="C639" s="7" t="n">
        <v>44834</v>
      </c>
      <c r="D639" s="6" t="s">
        <v>400</v>
      </c>
      <c r="E639" s="6" t="s">
        <v>1734</v>
      </c>
      <c r="F639" s="6" t="s">
        <v>2158</v>
      </c>
      <c r="G639" s="6" t="s">
        <v>2192</v>
      </c>
      <c r="H639" s="9" t="n">
        <v>42284</v>
      </c>
      <c r="K639" s="6" t="s">
        <v>384</v>
      </c>
      <c r="L639" s="6" t="s">
        <v>13</v>
      </c>
      <c r="M639" s="6" t="s">
        <v>129</v>
      </c>
      <c r="N639" s="6" t="s">
        <v>2193</v>
      </c>
      <c r="O639" s="6"/>
      <c r="P639" s="6"/>
    </row>
    <row r="640" customFormat="false" ht="15" hidden="false" customHeight="false" outlineLevel="0" collapsed="false">
      <c r="A640" s="6" t="s">
        <v>2194</v>
      </c>
      <c r="B640" s="6" t="s">
        <v>136</v>
      </c>
      <c r="C640" s="7" t="n">
        <v>44926</v>
      </c>
      <c r="D640" s="6" t="s">
        <v>380</v>
      </c>
      <c r="E640" s="6" t="s">
        <v>1734</v>
      </c>
      <c r="F640" s="6" t="s">
        <v>2158</v>
      </c>
      <c r="G640" s="6" t="s">
        <v>2195</v>
      </c>
      <c r="H640" s="9" t="n">
        <v>15017</v>
      </c>
      <c r="K640" s="6" t="s">
        <v>384</v>
      </c>
      <c r="L640" s="6" t="s">
        <v>13</v>
      </c>
      <c r="M640" s="6" t="s">
        <v>134</v>
      </c>
      <c r="N640" s="6" t="s">
        <v>2196</v>
      </c>
      <c r="O640" s="6"/>
      <c r="P640" s="6"/>
    </row>
    <row r="641" customFormat="false" ht="15" hidden="false" customHeight="false" outlineLevel="0" collapsed="false">
      <c r="A641" s="6" t="s">
        <v>2197</v>
      </c>
      <c r="B641" s="6" t="s">
        <v>220</v>
      </c>
      <c r="C641" s="7" t="n">
        <v>44926</v>
      </c>
      <c r="D641" s="6" t="s">
        <v>407</v>
      </c>
      <c r="E641" s="6" t="s">
        <v>1734</v>
      </c>
      <c r="F641" s="6" t="s">
        <v>2158</v>
      </c>
      <c r="G641" s="6" t="s">
        <v>2198</v>
      </c>
      <c r="H641" s="9" t="n">
        <v>57301</v>
      </c>
      <c r="K641" s="6" t="s">
        <v>384</v>
      </c>
      <c r="L641" s="6" t="s">
        <v>13</v>
      </c>
      <c r="M641" s="6" t="s">
        <v>134</v>
      </c>
      <c r="N641" s="6" t="s">
        <v>2199</v>
      </c>
      <c r="O641" s="6"/>
      <c r="P641" s="6"/>
    </row>
    <row r="642" customFormat="false" ht="15" hidden="false" customHeight="false" outlineLevel="0" collapsed="false">
      <c r="A642" s="6" t="s">
        <v>2200</v>
      </c>
      <c r="B642" s="6" t="s">
        <v>141</v>
      </c>
      <c r="C642" s="7" t="n">
        <v>45016</v>
      </c>
      <c r="D642" s="6" t="s">
        <v>380</v>
      </c>
      <c r="E642" s="6" t="s">
        <v>1734</v>
      </c>
      <c r="F642" s="6" t="s">
        <v>2158</v>
      </c>
      <c r="G642" s="6" t="s">
        <v>2201</v>
      </c>
      <c r="H642" s="9" t="n">
        <v>15841</v>
      </c>
      <c r="K642" s="6" t="s">
        <v>384</v>
      </c>
      <c r="L642" s="6" t="s">
        <v>13</v>
      </c>
      <c r="M642" s="6" t="s">
        <v>139</v>
      </c>
      <c r="N642" s="6" t="s">
        <v>2202</v>
      </c>
      <c r="O642" s="6"/>
      <c r="P642" s="6"/>
    </row>
    <row r="643" customFormat="false" ht="15" hidden="false" customHeight="false" outlineLevel="0" collapsed="false">
      <c r="A643" s="6" t="s">
        <v>2203</v>
      </c>
      <c r="B643" s="6" t="s">
        <v>146</v>
      </c>
      <c r="C643" s="7" t="n">
        <v>45107</v>
      </c>
      <c r="D643" s="6" t="s">
        <v>380</v>
      </c>
      <c r="E643" s="6" t="s">
        <v>1734</v>
      </c>
      <c r="F643" s="6" t="s">
        <v>2158</v>
      </c>
      <c r="G643" s="6" t="s">
        <v>2204</v>
      </c>
      <c r="H643" s="9" t="n">
        <v>14652</v>
      </c>
      <c r="K643" s="6" t="s">
        <v>384</v>
      </c>
      <c r="L643" s="6" t="s">
        <v>13</v>
      </c>
      <c r="M643" s="6" t="s">
        <v>144</v>
      </c>
      <c r="N643" s="6" t="s">
        <v>2205</v>
      </c>
      <c r="O643" s="6"/>
      <c r="P643" s="6"/>
    </row>
    <row r="644" customFormat="false" ht="15" hidden="false" customHeight="false" outlineLevel="0" collapsed="false">
      <c r="A644" s="6" t="s">
        <v>2206</v>
      </c>
      <c r="B644" s="6" t="s">
        <v>440</v>
      </c>
      <c r="C644" s="7" t="n">
        <v>45107</v>
      </c>
      <c r="D644" s="6" t="s">
        <v>392</v>
      </c>
      <c r="E644" s="6" t="s">
        <v>1734</v>
      </c>
      <c r="F644" s="6" t="s">
        <v>2158</v>
      </c>
      <c r="G644" s="6" t="s">
        <v>2207</v>
      </c>
      <c r="H644" s="9" t="n">
        <v>30493</v>
      </c>
      <c r="K644" s="6" t="s">
        <v>384</v>
      </c>
      <c r="L644" s="6" t="s">
        <v>13</v>
      </c>
      <c r="M644" s="6" t="s">
        <v>144</v>
      </c>
      <c r="N644" s="6" t="s">
        <v>2208</v>
      </c>
      <c r="O644" s="6"/>
      <c r="P644" s="6"/>
    </row>
    <row r="645" customFormat="false" ht="15" hidden="false" customHeight="false" outlineLevel="0" collapsed="false">
      <c r="A645" s="6" t="s">
        <v>2209</v>
      </c>
      <c r="B645" s="6" t="s">
        <v>151</v>
      </c>
      <c r="C645" s="7" t="n">
        <v>45199</v>
      </c>
      <c r="D645" s="6" t="s">
        <v>380</v>
      </c>
      <c r="E645" s="6" t="s">
        <v>1734</v>
      </c>
      <c r="F645" s="6" t="s">
        <v>2158</v>
      </c>
      <c r="G645" s="6" t="s">
        <v>2210</v>
      </c>
      <c r="H645" s="9" t="n">
        <v>15234</v>
      </c>
      <c r="K645" s="6" t="s">
        <v>384</v>
      </c>
      <c r="L645" s="6" t="s">
        <v>13</v>
      </c>
      <c r="M645" s="6" t="s">
        <v>149</v>
      </c>
      <c r="N645" s="6" t="s">
        <v>2211</v>
      </c>
      <c r="O645" s="6"/>
      <c r="P645" s="6"/>
    </row>
    <row r="646" customFormat="false" ht="15" hidden="false" customHeight="false" outlineLevel="0" collapsed="false">
      <c r="A646" s="6" t="s">
        <v>2212</v>
      </c>
      <c r="B646" s="6" t="s">
        <v>447</v>
      </c>
      <c r="C646" s="7" t="n">
        <v>45199</v>
      </c>
      <c r="D646" s="6" t="s">
        <v>400</v>
      </c>
      <c r="E646" s="6" t="s">
        <v>1734</v>
      </c>
      <c r="F646" s="6" t="s">
        <v>2158</v>
      </c>
      <c r="G646" s="6" t="s">
        <v>2213</v>
      </c>
      <c r="H646" s="9" t="n">
        <v>45727</v>
      </c>
      <c r="K646" s="6" t="s">
        <v>384</v>
      </c>
      <c r="L646" s="6" t="s">
        <v>13</v>
      </c>
      <c r="M646" s="6" t="s">
        <v>149</v>
      </c>
      <c r="N646" s="6" t="s">
        <v>2214</v>
      </c>
      <c r="O646" s="6"/>
      <c r="P646" s="6"/>
    </row>
    <row r="647" customFormat="false" ht="15" hidden="false" customHeight="false" outlineLevel="0" collapsed="false">
      <c r="A647" s="6" t="s">
        <v>2215</v>
      </c>
      <c r="B647" s="6" t="s">
        <v>156</v>
      </c>
      <c r="C647" s="7" t="n">
        <v>45291</v>
      </c>
      <c r="D647" s="6" t="s">
        <v>380</v>
      </c>
      <c r="E647" s="6" t="s">
        <v>1734</v>
      </c>
      <c r="F647" s="6" t="s">
        <v>2158</v>
      </c>
      <c r="G647" s="6" t="s">
        <v>2216</v>
      </c>
      <c r="H647" s="9" t="n">
        <v>17259</v>
      </c>
      <c r="K647" s="6" t="s">
        <v>384</v>
      </c>
      <c r="L647" s="6" t="s">
        <v>13</v>
      </c>
      <c r="M647" s="6" t="s">
        <v>154</v>
      </c>
      <c r="N647" s="6" t="s">
        <v>2217</v>
      </c>
      <c r="O647" s="6"/>
      <c r="P647" s="6"/>
    </row>
    <row r="648" customFormat="false" ht="15" hidden="false" customHeight="false" outlineLevel="0" collapsed="false">
      <c r="A648" s="6" t="s">
        <v>2218</v>
      </c>
      <c r="B648" s="6" t="s">
        <v>225</v>
      </c>
      <c r="C648" s="7" t="n">
        <v>45291</v>
      </c>
      <c r="D648" s="6" t="s">
        <v>407</v>
      </c>
      <c r="E648" s="6" t="s">
        <v>1734</v>
      </c>
      <c r="F648" s="6" t="s">
        <v>2158</v>
      </c>
      <c r="G648" s="6" t="s">
        <v>2219</v>
      </c>
      <c r="H648" s="9" t="n">
        <v>62986</v>
      </c>
      <c r="K648" s="6" t="s">
        <v>384</v>
      </c>
      <c r="L648" s="6" t="s">
        <v>13</v>
      </c>
      <c r="M648" s="6" t="s">
        <v>154</v>
      </c>
      <c r="N648" s="6" t="s">
        <v>2220</v>
      </c>
      <c r="O648" s="6"/>
      <c r="P648" s="6"/>
    </row>
    <row r="649" customFormat="false" ht="15" hidden="false" customHeight="false" outlineLevel="0" collapsed="false">
      <c r="A649" s="6" t="s">
        <v>2221</v>
      </c>
      <c r="B649" s="6" t="s">
        <v>161</v>
      </c>
      <c r="C649" s="7" t="n">
        <v>45382</v>
      </c>
      <c r="D649" s="6" t="s">
        <v>380</v>
      </c>
      <c r="E649" s="6" t="s">
        <v>1734</v>
      </c>
      <c r="F649" s="6" t="s">
        <v>2158</v>
      </c>
      <c r="G649" s="6" t="s">
        <v>2222</v>
      </c>
      <c r="H649" s="9" t="n">
        <v>17579</v>
      </c>
      <c r="K649" s="6" t="s">
        <v>384</v>
      </c>
      <c r="L649" s="6" t="s">
        <v>13</v>
      </c>
      <c r="M649" s="6" t="s">
        <v>159</v>
      </c>
      <c r="N649" s="6" t="s">
        <v>2223</v>
      </c>
      <c r="O649" s="6"/>
      <c r="P649" s="6"/>
    </row>
    <row r="650" customFormat="false" ht="15" hidden="false" customHeight="false" outlineLevel="0" collapsed="false">
      <c r="A650" s="6" t="s">
        <v>2224</v>
      </c>
      <c r="B650" s="6" t="s">
        <v>166</v>
      </c>
      <c r="C650" s="7" t="n">
        <v>45473</v>
      </c>
      <c r="D650" s="6" t="s">
        <v>380</v>
      </c>
      <c r="E650" s="6" t="s">
        <v>1734</v>
      </c>
      <c r="F650" s="6" t="s">
        <v>2158</v>
      </c>
      <c r="G650" s="6" t="s">
        <v>2225</v>
      </c>
      <c r="H650" s="9" t="n">
        <v>18182</v>
      </c>
      <c r="K650" s="6" t="s">
        <v>384</v>
      </c>
      <c r="L650" s="6" t="s">
        <v>13</v>
      </c>
      <c r="M650" s="6" t="s">
        <v>164</v>
      </c>
      <c r="N650" s="6" t="s">
        <v>2226</v>
      </c>
      <c r="O650" s="6"/>
      <c r="P650" s="6"/>
    </row>
    <row r="651" customFormat="false" ht="15" hidden="false" customHeight="false" outlineLevel="0" collapsed="false">
      <c r="A651" s="6" t="s">
        <v>2227</v>
      </c>
      <c r="B651" s="6" t="s">
        <v>241</v>
      </c>
      <c r="C651" s="7" t="n">
        <v>45473</v>
      </c>
      <c r="D651" s="6" t="s">
        <v>392</v>
      </c>
      <c r="E651" s="6" t="s">
        <v>1734</v>
      </c>
      <c r="F651" s="6" t="s">
        <v>2158</v>
      </c>
      <c r="G651" s="6" t="s">
        <v>2228</v>
      </c>
      <c r="H651" s="9" t="n">
        <v>35761</v>
      </c>
      <c r="K651" s="6" t="s">
        <v>384</v>
      </c>
      <c r="L651" s="6" t="s">
        <v>13</v>
      </c>
      <c r="M651" s="6" t="s">
        <v>164</v>
      </c>
      <c r="N651" s="6" t="s">
        <v>2229</v>
      </c>
      <c r="O651" s="6"/>
      <c r="P651" s="6"/>
    </row>
    <row r="652" customFormat="false" ht="15" hidden="false" customHeight="false" outlineLevel="0" collapsed="false">
      <c r="A652" s="6" t="s">
        <v>2230</v>
      </c>
      <c r="B652" s="6" t="s">
        <v>171</v>
      </c>
      <c r="C652" s="7" t="n">
        <v>45565</v>
      </c>
      <c r="D652" s="6" t="s">
        <v>380</v>
      </c>
      <c r="E652" s="6" t="s">
        <v>1734</v>
      </c>
      <c r="F652" s="6" t="s">
        <v>2158</v>
      </c>
      <c r="G652" s="6" t="s">
        <v>2231</v>
      </c>
      <c r="H652" s="9" t="n">
        <v>21417</v>
      </c>
      <c r="K652" s="6" t="s">
        <v>384</v>
      </c>
      <c r="L652" s="6" t="s">
        <v>13</v>
      </c>
      <c r="M652" s="6" t="s">
        <v>169</v>
      </c>
      <c r="N652" s="6" t="s">
        <v>2232</v>
      </c>
      <c r="O652" s="6"/>
      <c r="P652" s="6"/>
    </row>
    <row r="653" customFormat="false" ht="15" hidden="false" customHeight="false" outlineLevel="0" collapsed="false">
      <c r="A653" s="6" t="s">
        <v>2233</v>
      </c>
      <c r="B653" s="6" t="s">
        <v>469</v>
      </c>
      <c r="C653" s="7" t="n">
        <v>45565</v>
      </c>
      <c r="D653" s="6" t="s">
        <v>400</v>
      </c>
      <c r="E653" s="6" t="s">
        <v>1734</v>
      </c>
      <c r="F653" s="6" t="s">
        <v>2158</v>
      </c>
      <c r="G653" s="6" t="s">
        <v>2234</v>
      </c>
      <c r="H653" s="9" t="n">
        <v>57178</v>
      </c>
      <c r="K653" s="6" t="s">
        <v>384</v>
      </c>
      <c r="L653" s="6" t="s">
        <v>13</v>
      </c>
      <c r="M653" s="6" t="s">
        <v>169</v>
      </c>
      <c r="N653" s="6" t="s">
        <v>2235</v>
      </c>
      <c r="O653" s="6"/>
      <c r="P653" s="6"/>
    </row>
    <row r="654" customFormat="false" ht="15" hidden="false" customHeight="false" outlineLevel="0" collapsed="false">
      <c r="A654" s="6" t="s">
        <v>2236</v>
      </c>
      <c r="B654" s="6" t="s">
        <v>176</v>
      </c>
      <c r="C654" s="7" t="n">
        <v>45657</v>
      </c>
      <c r="D654" s="6" t="s">
        <v>380</v>
      </c>
      <c r="E654" s="6" t="s">
        <v>1734</v>
      </c>
      <c r="F654" s="6" t="s">
        <v>2158</v>
      </c>
      <c r="G654" s="6" t="s">
        <v>2237</v>
      </c>
      <c r="H654" s="9" t="n">
        <v>22958</v>
      </c>
      <c r="K654" s="6" t="s">
        <v>384</v>
      </c>
      <c r="L654" s="6" t="s">
        <v>13</v>
      </c>
      <c r="M654" s="6" t="s">
        <v>174</v>
      </c>
      <c r="N654" s="6" t="s">
        <v>2238</v>
      </c>
      <c r="O654" s="6"/>
      <c r="P654" s="6"/>
    </row>
    <row r="655" customFormat="false" ht="15" hidden="false" customHeight="false" outlineLevel="0" collapsed="false">
      <c r="A655" s="6" t="s">
        <v>2239</v>
      </c>
      <c r="B655" s="6" t="s">
        <v>230</v>
      </c>
      <c r="C655" s="7" t="n">
        <v>45657</v>
      </c>
      <c r="D655" s="6" t="s">
        <v>407</v>
      </c>
      <c r="E655" s="6" t="s">
        <v>1734</v>
      </c>
      <c r="F655" s="6" t="s">
        <v>2158</v>
      </c>
      <c r="G655" s="6" t="s">
        <v>2240</v>
      </c>
      <c r="H655" s="9" t="n">
        <v>80136</v>
      </c>
      <c r="K655" s="6" t="s">
        <v>384</v>
      </c>
      <c r="L655" s="6" t="s">
        <v>13</v>
      </c>
      <c r="M655" s="6" t="s">
        <v>174</v>
      </c>
      <c r="N655" s="6" t="s">
        <v>2241</v>
      </c>
      <c r="O655" s="6"/>
      <c r="P655" s="6"/>
    </row>
    <row r="656" customFormat="false" ht="15" hidden="false" customHeight="false" outlineLevel="0" collapsed="false">
      <c r="A656" s="6" t="s">
        <v>2242</v>
      </c>
      <c r="B656" s="6" t="s">
        <v>181</v>
      </c>
      <c r="C656" s="7" t="n">
        <v>45747</v>
      </c>
      <c r="D656" s="6" t="s">
        <v>380</v>
      </c>
      <c r="E656" s="6" t="s">
        <v>1734</v>
      </c>
      <c r="F656" s="6" t="s">
        <v>2158</v>
      </c>
      <c r="G656" s="6" t="s">
        <v>2243</v>
      </c>
      <c r="H656" s="9" t="n">
        <v>24099</v>
      </c>
      <c r="K656" s="6" t="s">
        <v>384</v>
      </c>
      <c r="L656" s="6" t="s">
        <v>13</v>
      </c>
      <c r="M656" s="6" t="s">
        <v>179</v>
      </c>
      <c r="N656" s="6" t="s">
        <v>2244</v>
      </c>
      <c r="O656" s="6"/>
      <c r="P656" s="6"/>
    </row>
    <row r="657" customFormat="false" ht="15" hidden="false" customHeight="false" outlineLevel="0" collapsed="false">
      <c r="A657" s="6" t="s">
        <v>2245</v>
      </c>
      <c r="B657" s="6" t="s">
        <v>186</v>
      </c>
      <c r="C657" s="7" t="n">
        <v>45838</v>
      </c>
      <c r="D657" s="6" t="s">
        <v>380</v>
      </c>
      <c r="E657" s="6" t="s">
        <v>1734</v>
      </c>
      <c r="F657" s="6" t="s">
        <v>2158</v>
      </c>
      <c r="G657" s="6" t="s">
        <v>2246</v>
      </c>
      <c r="H657" s="9" t="n">
        <v>26563</v>
      </c>
      <c r="K657" s="6" t="s">
        <v>384</v>
      </c>
      <c r="L657" s="6" t="s">
        <v>13</v>
      </c>
      <c r="M657" s="6" t="s">
        <v>184</v>
      </c>
      <c r="N657" s="6" t="s">
        <v>2247</v>
      </c>
      <c r="O657" s="6"/>
      <c r="P657" s="6"/>
    </row>
    <row r="658" customFormat="false" ht="15" hidden="false" customHeight="false" outlineLevel="0" collapsed="false">
      <c r="A658" s="6" t="s">
        <v>2248</v>
      </c>
      <c r="B658" s="6" t="s">
        <v>255</v>
      </c>
      <c r="C658" s="7" t="n">
        <v>45838</v>
      </c>
      <c r="D658" s="6" t="s">
        <v>392</v>
      </c>
      <c r="E658" s="6" t="s">
        <v>1734</v>
      </c>
      <c r="F658" s="6" t="s">
        <v>2158</v>
      </c>
      <c r="G658" s="6" t="s">
        <v>2249</v>
      </c>
      <c r="H658" s="9" t="n">
        <v>50662</v>
      </c>
      <c r="K658" s="6" t="s">
        <v>384</v>
      </c>
      <c r="L658" s="6" t="s">
        <v>13</v>
      </c>
      <c r="M658" s="6" t="s">
        <v>184</v>
      </c>
      <c r="N658" s="6" t="s">
        <v>2250</v>
      </c>
      <c r="O658" s="6"/>
      <c r="P658" s="6"/>
    </row>
    <row r="659" customFormat="false" ht="15" hidden="false" customHeight="false" outlineLevel="0" collapsed="false">
      <c r="A659" s="6" t="s">
        <v>2251</v>
      </c>
      <c r="B659" s="6" t="s">
        <v>191</v>
      </c>
      <c r="C659" s="7" t="n">
        <v>45930</v>
      </c>
      <c r="D659" s="6" t="s">
        <v>380</v>
      </c>
      <c r="E659" s="6" t="s">
        <v>1734</v>
      </c>
      <c r="F659" s="6" t="s">
        <v>2158</v>
      </c>
      <c r="G659" s="6" t="s">
        <v>2252</v>
      </c>
      <c r="H659" s="9" t="n">
        <v>26971</v>
      </c>
      <c r="K659" s="6" t="s">
        <v>384</v>
      </c>
      <c r="L659" s="6" t="s">
        <v>13</v>
      </c>
      <c r="M659" s="6" t="s">
        <v>189</v>
      </c>
      <c r="N659" s="6" t="s">
        <v>2253</v>
      </c>
      <c r="O659" s="6"/>
      <c r="P659" s="6"/>
    </row>
    <row r="660" customFormat="false" ht="15" hidden="false" customHeight="false" outlineLevel="0" collapsed="false">
      <c r="A660" s="6" t="s">
        <v>2254</v>
      </c>
      <c r="B660" s="6" t="s">
        <v>491</v>
      </c>
      <c r="C660" s="7" t="n">
        <v>45930</v>
      </c>
      <c r="D660" s="6" t="s">
        <v>400</v>
      </c>
      <c r="E660" s="6" t="s">
        <v>1734</v>
      </c>
      <c r="F660" s="6" t="s">
        <v>2158</v>
      </c>
      <c r="G660" s="6" t="s">
        <v>2255</v>
      </c>
      <c r="H660" s="9" t="n">
        <v>77633</v>
      </c>
      <c r="K660" s="6" t="s">
        <v>384</v>
      </c>
      <c r="L660" s="6" t="s">
        <v>13</v>
      </c>
      <c r="M660" s="6" t="s">
        <v>189</v>
      </c>
      <c r="N660" s="6" t="s">
        <v>2256</v>
      </c>
      <c r="O660" s="6"/>
      <c r="P660" s="6"/>
    </row>
    <row r="661" customFormat="false" ht="15" hidden="false" customHeight="false" outlineLevel="0" collapsed="false">
      <c r="A661" s="6" t="s">
        <v>2257</v>
      </c>
      <c r="B661" s="6" t="s">
        <v>196</v>
      </c>
      <c r="C661" s="7" t="n">
        <v>46022</v>
      </c>
      <c r="D661" s="6" t="s">
        <v>380</v>
      </c>
      <c r="E661" s="6" t="s">
        <v>1734</v>
      </c>
      <c r="F661" s="6" t="s">
        <v>2158</v>
      </c>
      <c r="G661" s="6" t="s">
        <v>2258</v>
      </c>
      <c r="H661" s="9" t="n">
        <v>29247</v>
      </c>
      <c r="K661" s="6" t="s">
        <v>384</v>
      </c>
      <c r="L661" s="6" t="s">
        <v>13</v>
      </c>
      <c r="M661" s="6" t="s">
        <v>194</v>
      </c>
      <c r="N661" s="6" t="s">
        <v>2259</v>
      </c>
      <c r="O661" s="6"/>
      <c r="P661" s="6"/>
    </row>
    <row r="662" customFormat="false" ht="15" hidden="false" customHeight="false" outlineLevel="0" collapsed="false">
      <c r="A662" s="6" t="s">
        <v>2260</v>
      </c>
      <c r="B662" s="6" t="s">
        <v>235</v>
      </c>
      <c r="C662" s="7" t="n">
        <v>46022</v>
      </c>
      <c r="D662" s="6" t="s">
        <v>407</v>
      </c>
      <c r="E662" s="6" t="s">
        <v>1734</v>
      </c>
      <c r="F662" s="6" t="s">
        <v>2158</v>
      </c>
      <c r="G662" s="6" t="s">
        <v>2261</v>
      </c>
      <c r="H662" s="9" t="n">
        <v>106880</v>
      </c>
      <c r="K662" s="6" t="s">
        <v>384</v>
      </c>
      <c r="L662" s="6" t="s">
        <v>13</v>
      </c>
      <c r="M662" s="6" t="s">
        <v>194</v>
      </c>
      <c r="N662" s="6" t="s">
        <v>2262</v>
      </c>
      <c r="O662" s="6"/>
      <c r="P662" s="6"/>
    </row>
    <row r="663" customFormat="false" ht="15" hidden="false" customHeight="false" outlineLevel="0" collapsed="false">
      <c r="A663" s="6" t="s">
        <v>2263</v>
      </c>
      <c r="B663" s="6" t="s">
        <v>201</v>
      </c>
      <c r="C663" s="7" t="n">
        <v>46112</v>
      </c>
      <c r="D663" s="6" t="s">
        <v>380</v>
      </c>
      <c r="E663" s="6" t="s">
        <v>1734</v>
      </c>
      <c r="F663" s="6" t="s">
        <v>2158</v>
      </c>
      <c r="G663" s="6" t="s">
        <v>2264</v>
      </c>
      <c r="H663" s="9" t="n">
        <v>28559</v>
      </c>
      <c r="K663" s="6" t="s">
        <v>384</v>
      </c>
      <c r="L663" s="6" t="s">
        <v>13</v>
      </c>
      <c r="M663" s="6" t="s">
        <v>199</v>
      </c>
      <c r="N663" s="6" t="s">
        <v>2265</v>
      </c>
      <c r="O663" s="6"/>
      <c r="P663" s="6"/>
    </row>
    <row r="664" customFormat="false" ht="15" hidden="false" customHeight="false" outlineLevel="0" collapsed="false">
      <c r="A664" s="6" t="s">
        <v>2266</v>
      </c>
      <c r="B664" s="6" t="s">
        <v>206</v>
      </c>
      <c r="C664" s="7" t="n">
        <v>46203</v>
      </c>
      <c r="D664" s="6" t="s">
        <v>380</v>
      </c>
      <c r="E664" s="6" t="s">
        <v>1734</v>
      </c>
      <c r="F664" s="6" t="s">
        <v>2158</v>
      </c>
      <c r="G664" s="6" t="s">
        <v>2267</v>
      </c>
      <c r="H664" s="9" t="n">
        <v>30665</v>
      </c>
      <c r="K664" s="6" t="s">
        <v>384</v>
      </c>
      <c r="L664" s="6" t="s">
        <v>13</v>
      </c>
      <c r="M664" s="6" t="s">
        <v>204</v>
      </c>
      <c r="N664" s="6" t="s">
        <v>2268</v>
      </c>
      <c r="O664" s="6"/>
      <c r="P664" s="6"/>
    </row>
    <row r="665" customFormat="false" ht="15" hidden="false" customHeight="false" outlineLevel="0" collapsed="false">
      <c r="A665" s="6" t="s">
        <v>2269</v>
      </c>
      <c r="B665" s="6" t="s">
        <v>263</v>
      </c>
      <c r="C665" s="7" t="n">
        <v>46203</v>
      </c>
      <c r="D665" s="6" t="s">
        <v>392</v>
      </c>
      <c r="E665" s="6" t="s">
        <v>1734</v>
      </c>
      <c r="F665" s="6" t="s">
        <v>2158</v>
      </c>
      <c r="G665" s="6" t="s">
        <v>2270</v>
      </c>
      <c r="H665" s="9" t="n">
        <v>59224</v>
      </c>
      <c r="K665" s="6" t="s">
        <v>384</v>
      </c>
      <c r="L665" s="6" t="s">
        <v>13</v>
      </c>
      <c r="M665" s="6" t="s">
        <v>204</v>
      </c>
      <c r="N665" s="6" t="s">
        <v>2271</v>
      </c>
      <c r="O665" s="6"/>
      <c r="P665" s="6"/>
    </row>
    <row r="666" customFormat="false" ht="15" hidden="false" customHeight="false" outlineLevel="0" collapsed="false">
      <c r="A666" s="6" t="s">
        <v>2272</v>
      </c>
      <c r="B666" s="6" t="s">
        <v>379</v>
      </c>
      <c r="C666" s="7" t="n">
        <v>44286</v>
      </c>
      <c r="D666" s="6" t="s">
        <v>380</v>
      </c>
      <c r="E666" s="6" t="s">
        <v>1734</v>
      </c>
      <c r="F666" s="6" t="s">
        <v>2273</v>
      </c>
      <c r="G666" s="6" t="s">
        <v>2274</v>
      </c>
      <c r="H666" s="9" t="n">
        <v>-23307</v>
      </c>
      <c r="K666" s="6" t="s">
        <v>384</v>
      </c>
      <c r="L666" s="6" t="s">
        <v>13</v>
      </c>
      <c r="M666" s="6" t="s">
        <v>119</v>
      </c>
      <c r="N666" s="6" t="s">
        <v>2275</v>
      </c>
      <c r="O666" s="6"/>
      <c r="P666" s="6" t="s">
        <v>386</v>
      </c>
    </row>
    <row r="667" customFormat="false" ht="15" hidden="false" customHeight="false" outlineLevel="0" collapsed="false">
      <c r="A667" s="6" t="s">
        <v>2276</v>
      </c>
      <c r="B667" s="6" t="s">
        <v>103</v>
      </c>
      <c r="C667" s="7" t="n">
        <v>44377</v>
      </c>
      <c r="D667" s="6" t="s">
        <v>380</v>
      </c>
      <c r="E667" s="6" t="s">
        <v>1734</v>
      </c>
      <c r="F667" s="6" t="s">
        <v>2273</v>
      </c>
      <c r="G667" s="6" t="s">
        <v>2277</v>
      </c>
      <c r="H667" s="9" t="n">
        <v>-9911</v>
      </c>
      <c r="K667" s="6" t="s">
        <v>384</v>
      </c>
      <c r="L667" s="6" t="s">
        <v>13</v>
      </c>
      <c r="M667" s="6" t="s">
        <v>100</v>
      </c>
      <c r="N667" s="6" t="s">
        <v>2278</v>
      </c>
      <c r="O667" s="6"/>
      <c r="P667" s="6"/>
    </row>
    <row r="668" customFormat="false" ht="15" hidden="false" customHeight="false" outlineLevel="0" collapsed="false">
      <c r="A668" s="6" t="s">
        <v>2279</v>
      </c>
      <c r="B668" s="6" t="s">
        <v>391</v>
      </c>
      <c r="C668" s="7" t="n">
        <v>44377</v>
      </c>
      <c r="D668" s="6" t="s">
        <v>392</v>
      </c>
      <c r="E668" s="6" t="s">
        <v>1734</v>
      </c>
      <c r="F668" s="6" t="s">
        <v>2273</v>
      </c>
      <c r="G668" s="6" t="s">
        <v>2280</v>
      </c>
      <c r="H668" s="9" t="n">
        <v>-33218</v>
      </c>
      <c r="K668" s="6" t="s">
        <v>384</v>
      </c>
      <c r="L668" s="6" t="s">
        <v>13</v>
      </c>
      <c r="M668" s="6" t="s">
        <v>100</v>
      </c>
      <c r="N668" s="6" t="s">
        <v>2281</v>
      </c>
      <c r="O668" s="6"/>
      <c r="P668" s="6"/>
    </row>
    <row r="669" customFormat="false" ht="15" hidden="false" customHeight="false" outlineLevel="0" collapsed="false">
      <c r="A669" s="6" t="s">
        <v>2282</v>
      </c>
      <c r="B669" s="6" t="s">
        <v>111</v>
      </c>
      <c r="C669" s="7" t="n">
        <v>44469</v>
      </c>
      <c r="D669" s="6" t="s">
        <v>380</v>
      </c>
      <c r="E669" s="6" t="s">
        <v>1734</v>
      </c>
      <c r="F669" s="6" t="s">
        <v>2273</v>
      </c>
      <c r="G669" s="6" t="s">
        <v>2283</v>
      </c>
      <c r="H669" s="9" t="n">
        <v>-9449</v>
      </c>
      <c r="K669" s="6" t="s">
        <v>384</v>
      </c>
      <c r="L669" s="6" t="s">
        <v>13</v>
      </c>
      <c r="M669" s="6" t="s">
        <v>109</v>
      </c>
      <c r="N669" s="6" t="s">
        <v>2284</v>
      </c>
      <c r="O669" s="6"/>
      <c r="P669" s="6"/>
    </row>
    <row r="670" customFormat="false" ht="15" hidden="false" customHeight="false" outlineLevel="0" collapsed="false">
      <c r="A670" s="6" t="s">
        <v>2285</v>
      </c>
      <c r="B670" s="6" t="s">
        <v>399</v>
      </c>
      <c r="C670" s="7" t="n">
        <v>44469</v>
      </c>
      <c r="D670" s="6" t="s">
        <v>400</v>
      </c>
      <c r="E670" s="6" t="s">
        <v>1734</v>
      </c>
      <c r="F670" s="6" t="s">
        <v>2273</v>
      </c>
      <c r="G670" s="6" t="s">
        <v>2286</v>
      </c>
      <c r="H670" s="9" t="n">
        <v>-42667</v>
      </c>
      <c r="K670" s="6" t="s">
        <v>384</v>
      </c>
      <c r="L670" s="6" t="s">
        <v>13</v>
      </c>
      <c r="M670" s="6" t="s">
        <v>109</v>
      </c>
      <c r="N670" s="6" t="s">
        <v>2287</v>
      </c>
      <c r="O670" s="6"/>
      <c r="P670" s="6"/>
    </row>
    <row r="671" customFormat="false" ht="15" hidden="false" customHeight="false" outlineLevel="0" collapsed="false">
      <c r="A671" s="6" t="s">
        <v>2288</v>
      </c>
      <c r="B671" s="6" t="s">
        <v>116</v>
      </c>
      <c r="C671" s="7" t="n">
        <v>44561</v>
      </c>
      <c r="D671" s="6" t="s">
        <v>380</v>
      </c>
      <c r="E671" s="6" t="s">
        <v>1734</v>
      </c>
      <c r="F671" s="6" t="s">
        <v>2273</v>
      </c>
      <c r="G671" s="6" t="s">
        <v>2289</v>
      </c>
      <c r="H671" s="9" t="n">
        <v>-9929</v>
      </c>
      <c r="K671" s="6" t="s">
        <v>384</v>
      </c>
      <c r="L671" s="6" t="s">
        <v>13</v>
      </c>
      <c r="M671" s="6" t="s">
        <v>114</v>
      </c>
      <c r="N671" s="6" t="s">
        <v>2290</v>
      </c>
      <c r="O671" s="6"/>
      <c r="P671" s="6"/>
    </row>
    <row r="672" customFormat="false" ht="15" hidden="false" customHeight="false" outlineLevel="0" collapsed="false">
      <c r="A672" s="6" t="s">
        <v>2291</v>
      </c>
      <c r="B672" s="6" t="s">
        <v>212</v>
      </c>
      <c r="C672" s="7" t="n">
        <v>44561</v>
      </c>
      <c r="D672" s="6" t="s">
        <v>407</v>
      </c>
      <c r="E672" s="6" t="s">
        <v>1734</v>
      </c>
      <c r="F672" s="6" t="s">
        <v>2273</v>
      </c>
      <c r="G672" s="6" t="s">
        <v>2292</v>
      </c>
      <c r="H672" s="9" t="n">
        <v>-52596</v>
      </c>
      <c r="K672" s="6" t="s">
        <v>384</v>
      </c>
      <c r="L672" s="6" t="s">
        <v>13</v>
      </c>
      <c r="M672" s="6" t="s">
        <v>114</v>
      </c>
      <c r="N672" s="6" t="s">
        <v>2293</v>
      </c>
      <c r="O672" s="6"/>
      <c r="P672" s="6"/>
    </row>
    <row r="673" customFormat="false" ht="15" hidden="false" customHeight="false" outlineLevel="0" collapsed="false">
      <c r="A673" s="6" t="s">
        <v>2294</v>
      </c>
      <c r="B673" s="6" t="s">
        <v>121</v>
      </c>
      <c r="C673" s="7" t="n">
        <v>44651</v>
      </c>
      <c r="D673" s="6" t="s">
        <v>380</v>
      </c>
      <c r="E673" s="6" t="s">
        <v>1734</v>
      </c>
      <c r="F673" s="6" t="s">
        <v>2273</v>
      </c>
      <c r="G673" s="6" t="s">
        <v>2295</v>
      </c>
      <c r="H673" s="9" t="n">
        <v>-43830</v>
      </c>
      <c r="K673" s="6" t="s">
        <v>384</v>
      </c>
      <c r="L673" s="6" t="s">
        <v>13</v>
      </c>
      <c r="M673" s="6" t="s">
        <v>119</v>
      </c>
      <c r="N673" s="6" t="s">
        <v>2296</v>
      </c>
      <c r="O673" s="6"/>
      <c r="P673" s="6"/>
    </row>
    <row r="674" customFormat="false" ht="15" hidden="false" customHeight="false" outlineLevel="0" collapsed="false">
      <c r="A674" s="6" t="s">
        <v>2297</v>
      </c>
      <c r="B674" s="6" t="s">
        <v>126</v>
      </c>
      <c r="C674" s="7" t="n">
        <v>44742</v>
      </c>
      <c r="D674" s="6" t="s">
        <v>380</v>
      </c>
      <c r="E674" s="6" t="s">
        <v>1734</v>
      </c>
      <c r="F674" s="6" t="s">
        <v>2273</v>
      </c>
      <c r="G674" s="6" t="s">
        <v>2298</v>
      </c>
      <c r="H674" s="9" t="n">
        <v>-15358</v>
      </c>
      <c r="K674" s="6" t="s">
        <v>384</v>
      </c>
      <c r="L674" s="6" t="s">
        <v>13</v>
      </c>
      <c r="M674" s="6" t="s">
        <v>124</v>
      </c>
      <c r="N674" s="6" t="s">
        <v>2299</v>
      </c>
      <c r="O674" s="6"/>
      <c r="P674" s="6"/>
    </row>
    <row r="675" customFormat="false" ht="15" hidden="false" customHeight="false" outlineLevel="0" collapsed="false">
      <c r="A675" s="6" t="s">
        <v>2300</v>
      </c>
      <c r="B675" s="6" t="s">
        <v>417</v>
      </c>
      <c r="C675" s="7" t="n">
        <v>44742</v>
      </c>
      <c r="D675" s="6" t="s">
        <v>392</v>
      </c>
      <c r="E675" s="6" t="s">
        <v>1734</v>
      </c>
      <c r="F675" s="6" t="s">
        <v>2273</v>
      </c>
      <c r="G675" s="6" t="s">
        <v>2301</v>
      </c>
      <c r="H675" s="9" t="n">
        <v>-59188</v>
      </c>
      <c r="K675" s="6" t="s">
        <v>384</v>
      </c>
      <c r="L675" s="6" t="s">
        <v>13</v>
      </c>
      <c r="M675" s="6" t="s">
        <v>124</v>
      </c>
      <c r="N675" s="6" t="s">
        <v>2302</v>
      </c>
      <c r="O675" s="6"/>
      <c r="P675" s="6"/>
    </row>
    <row r="676" customFormat="false" ht="15" hidden="false" customHeight="false" outlineLevel="0" collapsed="false">
      <c r="A676" s="6" t="s">
        <v>2303</v>
      </c>
      <c r="B676" s="6" t="s">
        <v>131</v>
      </c>
      <c r="C676" s="7" t="n">
        <v>44834</v>
      </c>
      <c r="D676" s="6" t="s">
        <v>380</v>
      </c>
      <c r="E676" s="6" t="s">
        <v>1734</v>
      </c>
      <c r="F676" s="6" t="s">
        <v>2273</v>
      </c>
      <c r="G676" s="6" t="s">
        <v>2304</v>
      </c>
      <c r="H676" s="9" t="n">
        <v>-2185</v>
      </c>
      <c r="K676" s="6" t="s">
        <v>384</v>
      </c>
      <c r="L676" s="6" t="s">
        <v>13</v>
      </c>
      <c r="M676" s="6" t="s">
        <v>129</v>
      </c>
      <c r="N676" s="6" t="s">
        <v>2305</v>
      </c>
      <c r="O676" s="6"/>
      <c r="P676" s="6"/>
    </row>
    <row r="677" customFormat="false" ht="15" hidden="false" customHeight="false" outlineLevel="0" collapsed="false">
      <c r="A677" s="6" t="s">
        <v>2306</v>
      </c>
      <c r="B677" s="6" t="s">
        <v>424</v>
      </c>
      <c r="C677" s="7" t="n">
        <v>44834</v>
      </c>
      <c r="D677" s="6" t="s">
        <v>400</v>
      </c>
      <c r="E677" s="6" t="s">
        <v>1734</v>
      </c>
      <c r="F677" s="6" t="s">
        <v>2273</v>
      </c>
      <c r="G677" s="6" t="s">
        <v>2307</v>
      </c>
      <c r="H677" s="9" t="n">
        <v>-61373</v>
      </c>
      <c r="K677" s="6" t="s">
        <v>384</v>
      </c>
      <c r="L677" s="6" t="s">
        <v>13</v>
      </c>
      <c r="M677" s="6" t="s">
        <v>129</v>
      </c>
      <c r="N677" s="6" t="s">
        <v>2308</v>
      </c>
      <c r="O677" s="6"/>
      <c r="P677" s="6"/>
    </row>
    <row r="678" customFormat="false" ht="15" hidden="false" customHeight="false" outlineLevel="0" collapsed="false">
      <c r="A678" s="6" t="s">
        <v>2309</v>
      </c>
      <c r="B678" s="6" t="s">
        <v>136</v>
      </c>
      <c r="C678" s="7" t="n">
        <v>44926</v>
      </c>
      <c r="D678" s="6" t="s">
        <v>380</v>
      </c>
      <c r="E678" s="6" t="s">
        <v>1734</v>
      </c>
      <c r="F678" s="6" t="s">
        <v>2273</v>
      </c>
      <c r="G678" s="6" t="s">
        <v>2310</v>
      </c>
      <c r="H678" s="9" t="n">
        <v>14278</v>
      </c>
      <c r="K678" s="6" t="s">
        <v>384</v>
      </c>
      <c r="L678" s="6" t="s">
        <v>13</v>
      </c>
      <c r="M678" s="6" t="s">
        <v>134</v>
      </c>
      <c r="N678" s="6" t="s">
        <v>2311</v>
      </c>
      <c r="O678" s="6"/>
      <c r="P678" s="6"/>
    </row>
    <row r="679" customFormat="false" ht="15" hidden="false" customHeight="false" outlineLevel="0" collapsed="false">
      <c r="A679" s="6" t="s">
        <v>2312</v>
      </c>
      <c r="B679" s="6" t="s">
        <v>220</v>
      </c>
      <c r="C679" s="7" t="n">
        <v>44926</v>
      </c>
      <c r="D679" s="6" t="s">
        <v>407</v>
      </c>
      <c r="E679" s="6" t="s">
        <v>1734</v>
      </c>
      <c r="F679" s="6" t="s">
        <v>2273</v>
      </c>
      <c r="G679" s="6" t="s">
        <v>2313</v>
      </c>
      <c r="H679" s="9" t="n">
        <v>-47095</v>
      </c>
      <c r="K679" s="6" t="s">
        <v>384</v>
      </c>
      <c r="L679" s="6" t="s">
        <v>13</v>
      </c>
      <c r="M679" s="6" t="s">
        <v>134</v>
      </c>
      <c r="N679" s="6" t="s">
        <v>2314</v>
      </c>
      <c r="O679" s="6"/>
      <c r="P679" s="6"/>
    </row>
    <row r="680" customFormat="false" ht="15" hidden="false" customHeight="false" outlineLevel="0" collapsed="false">
      <c r="A680" s="6" t="s">
        <v>2315</v>
      </c>
      <c r="B680" s="6" t="s">
        <v>141</v>
      </c>
      <c r="C680" s="7" t="n">
        <v>45016</v>
      </c>
      <c r="D680" s="6" t="s">
        <v>380</v>
      </c>
      <c r="E680" s="6" t="s">
        <v>1734</v>
      </c>
      <c r="F680" s="6" t="s">
        <v>2273</v>
      </c>
      <c r="G680" s="6" t="s">
        <v>2316</v>
      </c>
      <c r="H680" s="9" t="n">
        <v>-293</v>
      </c>
      <c r="K680" s="6" t="s">
        <v>384</v>
      </c>
      <c r="L680" s="6" t="s">
        <v>13</v>
      </c>
      <c r="M680" s="6" t="s">
        <v>139</v>
      </c>
      <c r="N680" s="6" t="s">
        <v>2317</v>
      </c>
      <c r="O680" s="6"/>
      <c r="P680" s="6"/>
    </row>
    <row r="681" customFormat="false" ht="15" hidden="false" customHeight="false" outlineLevel="0" collapsed="false">
      <c r="A681" s="6" t="s">
        <v>2318</v>
      </c>
      <c r="B681" s="6" t="s">
        <v>146</v>
      </c>
      <c r="C681" s="7" t="n">
        <v>45107</v>
      </c>
      <c r="D681" s="6" t="s">
        <v>380</v>
      </c>
      <c r="E681" s="6" t="s">
        <v>1734</v>
      </c>
      <c r="F681" s="6" t="s">
        <v>2273</v>
      </c>
      <c r="G681" s="6" t="s">
        <v>2319</v>
      </c>
      <c r="H681" s="9" t="n">
        <v>16617</v>
      </c>
      <c r="K681" s="6" t="s">
        <v>384</v>
      </c>
      <c r="L681" s="6" t="s">
        <v>13</v>
      </c>
      <c r="M681" s="6" t="s">
        <v>144</v>
      </c>
      <c r="N681" s="6" t="s">
        <v>2320</v>
      </c>
      <c r="O681" s="6"/>
      <c r="P681" s="6"/>
    </row>
    <row r="682" customFormat="false" ht="15" hidden="false" customHeight="false" outlineLevel="0" collapsed="false">
      <c r="A682" s="6" t="s">
        <v>2321</v>
      </c>
      <c r="B682" s="6" t="s">
        <v>440</v>
      </c>
      <c r="C682" s="7" t="n">
        <v>45107</v>
      </c>
      <c r="D682" s="6" t="s">
        <v>392</v>
      </c>
      <c r="E682" s="6" t="s">
        <v>1734</v>
      </c>
      <c r="F682" s="6" t="s">
        <v>2273</v>
      </c>
      <c r="G682" s="6" t="s">
        <v>2322</v>
      </c>
      <c r="H682" s="9" t="n">
        <v>16324</v>
      </c>
      <c r="K682" s="6" t="s">
        <v>384</v>
      </c>
      <c r="L682" s="6" t="s">
        <v>13</v>
      </c>
      <c r="M682" s="6" t="s">
        <v>144</v>
      </c>
      <c r="N682" s="6" t="s">
        <v>2323</v>
      </c>
      <c r="O682" s="6"/>
      <c r="P682" s="6"/>
    </row>
    <row r="683" customFormat="false" ht="15" hidden="false" customHeight="false" outlineLevel="0" collapsed="false">
      <c r="A683" s="6" t="s">
        <v>2324</v>
      </c>
      <c r="B683" s="6" t="s">
        <v>151</v>
      </c>
      <c r="C683" s="7" t="n">
        <v>45199</v>
      </c>
      <c r="D683" s="6" t="s">
        <v>380</v>
      </c>
      <c r="E683" s="6" t="s">
        <v>1734</v>
      </c>
      <c r="F683" s="6" t="s">
        <v>2273</v>
      </c>
      <c r="G683" s="6" t="s">
        <v>2325</v>
      </c>
      <c r="H683" s="9" t="n">
        <v>24077</v>
      </c>
      <c r="K683" s="6" t="s">
        <v>384</v>
      </c>
      <c r="L683" s="6" t="s">
        <v>13</v>
      </c>
      <c r="M683" s="6" t="s">
        <v>149</v>
      </c>
      <c r="N683" s="6" t="s">
        <v>2326</v>
      </c>
      <c r="O683" s="6"/>
      <c r="P683" s="6"/>
    </row>
    <row r="684" customFormat="false" ht="15" hidden="false" customHeight="false" outlineLevel="0" collapsed="false">
      <c r="A684" s="6" t="s">
        <v>2327</v>
      </c>
      <c r="B684" s="6" t="s">
        <v>447</v>
      </c>
      <c r="C684" s="7" t="n">
        <v>45199</v>
      </c>
      <c r="D684" s="6" t="s">
        <v>400</v>
      </c>
      <c r="E684" s="6" t="s">
        <v>1734</v>
      </c>
      <c r="F684" s="6" t="s">
        <v>2273</v>
      </c>
      <c r="G684" s="6" t="s">
        <v>2328</v>
      </c>
      <c r="H684" s="9" t="n">
        <v>40401</v>
      </c>
      <c r="K684" s="6" t="s">
        <v>384</v>
      </c>
      <c r="L684" s="6" t="s">
        <v>13</v>
      </c>
      <c r="M684" s="6" t="s">
        <v>149</v>
      </c>
      <c r="N684" s="6" t="s">
        <v>2329</v>
      </c>
      <c r="O684" s="6"/>
      <c r="P684" s="6"/>
    </row>
    <row r="685" customFormat="false" ht="15" hidden="false" customHeight="false" outlineLevel="0" collapsed="false">
      <c r="A685" s="6" t="s">
        <v>2330</v>
      </c>
      <c r="B685" s="6" t="s">
        <v>156</v>
      </c>
      <c r="C685" s="7" t="n">
        <v>45291</v>
      </c>
      <c r="D685" s="6" t="s">
        <v>380</v>
      </c>
      <c r="E685" s="6" t="s">
        <v>1734</v>
      </c>
      <c r="F685" s="6" t="s">
        <v>2273</v>
      </c>
      <c r="G685" s="6" t="s">
        <v>2331</v>
      </c>
      <c r="H685" s="9" t="n">
        <v>21200</v>
      </c>
      <c r="K685" s="6" t="s">
        <v>384</v>
      </c>
      <c r="L685" s="6" t="s">
        <v>13</v>
      </c>
      <c r="M685" s="6" t="s">
        <v>154</v>
      </c>
      <c r="N685" s="6" t="s">
        <v>2332</v>
      </c>
      <c r="O685" s="6"/>
      <c r="P685" s="6"/>
    </row>
    <row r="686" customFormat="false" ht="15" hidden="false" customHeight="false" outlineLevel="0" collapsed="false">
      <c r="A686" s="6" t="s">
        <v>2333</v>
      </c>
      <c r="B686" s="6" t="s">
        <v>225</v>
      </c>
      <c r="C686" s="7" t="n">
        <v>45291</v>
      </c>
      <c r="D686" s="6" t="s">
        <v>407</v>
      </c>
      <c r="E686" s="6" t="s">
        <v>1734</v>
      </c>
      <c r="F686" s="6" t="s">
        <v>2273</v>
      </c>
      <c r="G686" s="6" t="s">
        <v>2334</v>
      </c>
      <c r="H686" s="9" t="n">
        <v>61601</v>
      </c>
      <c r="K686" s="6" t="s">
        <v>384</v>
      </c>
      <c r="L686" s="6" t="s">
        <v>13</v>
      </c>
      <c r="M686" s="6" t="s">
        <v>154</v>
      </c>
      <c r="N686" s="6" t="s">
        <v>2335</v>
      </c>
      <c r="O686" s="6"/>
      <c r="P686" s="6"/>
    </row>
    <row r="687" customFormat="false" ht="15" hidden="false" customHeight="false" outlineLevel="0" collapsed="false">
      <c r="A687" s="6" t="s">
        <v>2336</v>
      </c>
      <c r="B687" s="6" t="s">
        <v>161</v>
      </c>
      <c r="C687" s="7" t="n">
        <v>45382</v>
      </c>
      <c r="D687" s="6" t="s">
        <v>380</v>
      </c>
      <c r="E687" s="6" t="s">
        <v>1734</v>
      </c>
      <c r="F687" s="6" t="s">
        <v>2273</v>
      </c>
      <c r="G687" s="6" t="s">
        <v>2337</v>
      </c>
      <c r="H687" s="9" t="n">
        <v>21521</v>
      </c>
      <c r="K687" s="6" t="s">
        <v>384</v>
      </c>
      <c r="L687" s="6" t="s">
        <v>13</v>
      </c>
      <c r="M687" s="6" t="s">
        <v>159</v>
      </c>
      <c r="N687" s="6" t="s">
        <v>2338</v>
      </c>
      <c r="O687" s="6"/>
      <c r="P687" s="6"/>
    </row>
    <row r="688" customFormat="false" ht="15" hidden="false" customHeight="false" outlineLevel="0" collapsed="false">
      <c r="A688" s="6" t="s">
        <v>2339</v>
      </c>
      <c r="B688" s="6" t="s">
        <v>166</v>
      </c>
      <c r="C688" s="7" t="n">
        <v>45473</v>
      </c>
      <c r="D688" s="6" t="s">
        <v>380</v>
      </c>
      <c r="E688" s="6" t="s">
        <v>1734</v>
      </c>
      <c r="F688" s="6" t="s">
        <v>2273</v>
      </c>
      <c r="G688" s="6" t="s">
        <v>2340</v>
      </c>
      <c r="H688" s="9" t="n">
        <v>38417</v>
      </c>
      <c r="K688" s="6" t="s">
        <v>384</v>
      </c>
      <c r="L688" s="6" t="s">
        <v>13</v>
      </c>
      <c r="M688" s="6" t="s">
        <v>164</v>
      </c>
      <c r="N688" s="6" t="s">
        <v>2341</v>
      </c>
      <c r="O688" s="6"/>
      <c r="P688" s="6"/>
    </row>
    <row r="689" customFormat="false" ht="15" hidden="false" customHeight="false" outlineLevel="0" collapsed="false">
      <c r="A689" s="6" t="s">
        <v>2342</v>
      </c>
      <c r="B689" s="6" t="s">
        <v>241</v>
      </c>
      <c r="C689" s="7" t="n">
        <v>45473</v>
      </c>
      <c r="D689" s="6" t="s">
        <v>392</v>
      </c>
      <c r="E689" s="6" t="s">
        <v>1734</v>
      </c>
      <c r="F689" s="6" t="s">
        <v>2273</v>
      </c>
      <c r="G689" s="6" t="s">
        <v>2343</v>
      </c>
      <c r="H689" s="9" t="n">
        <v>59938</v>
      </c>
      <c r="K689" s="6" t="s">
        <v>384</v>
      </c>
      <c r="L689" s="6" t="s">
        <v>13</v>
      </c>
      <c r="M689" s="6" t="s">
        <v>164</v>
      </c>
      <c r="N689" s="6" t="s">
        <v>2344</v>
      </c>
      <c r="O689" s="6"/>
      <c r="P689" s="6"/>
    </row>
    <row r="690" customFormat="false" ht="15" hidden="false" customHeight="false" outlineLevel="0" collapsed="false">
      <c r="A690" s="6" t="s">
        <v>2345</v>
      </c>
      <c r="B690" s="6" t="s">
        <v>171</v>
      </c>
      <c r="C690" s="7" t="n">
        <v>45565</v>
      </c>
      <c r="D690" s="6" t="s">
        <v>380</v>
      </c>
      <c r="E690" s="6" t="s">
        <v>1734</v>
      </c>
      <c r="F690" s="6" t="s">
        <v>2273</v>
      </c>
      <c r="G690" s="6" t="s">
        <v>2346</v>
      </c>
      <c r="H690" s="9" t="n">
        <v>32180</v>
      </c>
      <c r="K690" s="6" t="s">
        <v>384</v>
      </c>
      <c r="L690" s="6" t="s">
        <v>13</v>
      </c>
      <c r="M690" s="6" t="s">
        <v>169</v>
      </c>
      <c r="N690" s="6" t="s">
        <v>2347</v>
      </c>
      <c r="O690" s="6"/>
      <c r="P690" s="6"/>
    </row>
    <row r="691" customFormat="false" ht="15" hidden="false" customHeight="false" outlineLevel="0" collapsed="false">
      <c r="A691" s="6" t="s">
        <v>2348</v>
      </c>
      <c r="B691" s="6" t="s">
        <v>469</v>
      </c>
      <c r="C691" s="7" t="n">
        <v>45565</v>
      </c>
      <c r="D691" s="6" t="s">
        <v>400</v>
      </c>
      <c r="E691" s="6" t="s">
        <v>1734</v>
      </c>
      <c r="F691" s="6" t="s">
        <v>2273</v>
      </c>
      <c r="G691" s="6" t="s">
        <v>2349</v>
      </c>
      <c r="H691" s="9" t="n">
        <v>92118</v>
      </c>
      <c r="K691" s="6" t="s">
        <v>384</v>
      </c>
      <c r="L691" s="6" t="s">
        <v>13</v>
      </c>
      <c r="M691" s="6" t="s">
        <v>169</v>
      </c>
      <c r="N691" s="6" t="s">
        <v>2350</v>
      </c>
      <c r="O691" s="6"/>
      <c r="P691" s="6"/>
    </row>
    <row r="692" customFormat="false" ht="15" hidden="false" customHeight="false" outlineLevel="0" collapsed="false">
      <c r="A692" s="6" t="s">
        <v>2351</v>
      </c>
      <c r="B692" s="6" t="s">
        <v>176</v>
      </c>
      <c r="C692" s="7" t="n">
        <v>45657</v>
      </c>
      <c r="D692" s="6" t="s">
        <v>380</v>
      </c>
      <c r="E692" s="6" t="s">
        <v>1734</v>
      </c>
      <c r="F692" s="6" t="s">
        <v>2273</v>
      </c>
      <c r="G692" s="6" t="s">
        <v>2352</v>
      </c>
      <c r="H692" s="9" t="n">
        <v>40265</v>
      </c>
      <c r="K692" s="6" t="s">
        <v>384</v>
      </c>
      <c r="L692" s="6" t="s">
        <v>13</v>
      </c>
      <c r="M692" s="6" t="s">
        <v>174</v>
      </c>
      <c r="N692" s="6" t="s">
        <v>2353</v>
      </c>
      <c r="O692" s="6"/>
      <c r="P692" s="6"/>
    </row>
    <row r="693" customFormat="false" ht="15" hidden="false" customHeight="false" outlineLevel="0" collapsed="false">
      <c r="A693" s="6" t="s">
        <v>2354</v>
      </c>
      <c r="B693" s="6" t="s">
        <v>230</v>
      </c>
      <c r="C693" s="7" t="n">
        <v>45657</v>
      </c>
      <c r="D693" s="6" t="s">
        <v>407</v>
      </c>
      <c r="E693" s="6" t="s">
        <v>1734</v>
      </c>
      <c r="F693" s="6" t="s">
        <v>2273</v>
      </c>
      <c r="G693" s="6" t="s">
        <v>2355</v>
      </c>
      <c r="H693" s="9" t="n">
        <v>132383</v>
      </c>
      <c r="K693" s="6" t="s">
        <v>384</v>
      </c>
      <c r="L693" s="6" t="s">
        <v>13</v>
      </c>
      <c r="M693" s="6" t="s">
        <v>174</v>
      </c>
      <c r="N693" s="6" t="s">
        <v>2356</v>
      </c>
      <c r="O693" s="6"/>
      <c r="P693" s="6"/>
    </row>
    <row r="694" customFormat="false" ht="15" hidden="false" customHeight="false" outlineLevel="0" collapsed="false">
      <c r="A694" s="6" t="s">
        <v>2357</v>
      </c>
      <c r="B694" s="6" t="s">
        <v>181</v>
      </c>
      <c r="C694" s="7" t="n">
        <v>45747</v>
      </c>
      <c r="D694" s="6" t="s">
        <v>380</v>
      </c>
      <c r="E694" s="6" t="s">
        <v>1734</v>
      </c>
      <c r="F694" s="6" t="s">
        <v>2273</v>
      </c>
      <c r="G694" s="6" t="s">
        <v>2358</v>
      </c>
      <c r="H694" s="9" t="n">
        <v>40754</v>
      </c>
      <c r="K694" s="6" t="s">
        <v>384</v>
      </c>
      <c r="L694" s="6" t="s">
        <v>13</v>
      </c>
      <c r="M694" s="6" t="s">
        <v>179</v>
      </c>
      <c r="N694" s="6" t="s">
        <v>2359</v>
      </c>
      <c r="O694" s="6"/>
      <c r="P694" s="6"/>
    </row>
    <row r="695" customFormat="false" ht="15" hidden="false" customHeight="false" outlineLevel="0" collapsed="false">
      <c r="A695" s="6" t="s">
        <v>2360</v>
      </c>
      <c r="B695" s="6" t="s">
        <v>186</v>
      </c>
      <c r="C695" s="7" t="n">
        <v>45838</v>
      </c>
      <c r="D695" s="6" t="s">
        <v>380</v>
      </c>
      <c r="E695" s="6" t="s">
        <v>1734</v>
      </c>
      <c r="F695" s="6" t="s">
        <v>2273</v>
      </c>
      <c r="G695" s="6" t="s">
        <v>2361</v>
      </c>
      <c r="H695" s="9" t="n">
        <v>45094</v>
      </c>
      <c r="K695" s="6" t="s">
        <v>384</v>
      </c>
      <c r="L695" s="6" t="s">
        <v>13</v>
      </c>
      <c r="M695" s="6" t="s">
        <v>184</v>
      </c>
      <c r="N695" s="6" t="s">
        <v>2362</v>
      </c>
      <c r="O695" s="6"/>
      <c r="P695" s="6"/>
    </row>
    <row r="696" customFormat="false" ht="15" hidden="false" customHeight="false" outlineLevel="0" collapsed="false">
      <c r="A696" s="6" t="s">
        <v>2363</v>
      </c>
      <c r="B696" s="6" t="s">
        <v>255</v>
      </c>
      <c r="C696" s="7" t="n">
        <v>45838</v>
      </c>
      <c r="D696" s="6" t="s">
        <v>392</v>
      </c>
      <c r="E696" s="6" t="s">
        <v>1734</v>
      </c>
      <c r="F696" s="6" t="s">
        <v>2273</v>
      </c>
      <c r="G696" s="6" t="s">
        <v>2364</v>
      </c>
      <c r="H696" s="9" t="n">
        <v>85848</v>
      </c>
      <c r="K696" s="6" t="s">
        <v>384</v>
      </c>
      <c r="L696" s="6" t="s">
        <v>13</v>
      </c>
      <c r="M696" s="6" t="s">
        <v>184</v>
      </c>
      <c r="N696" s="6" t="s">
        <v>2365</v>
      </c>
      <c r="O696" s="6"/>
      <c r="P696" s="6"/>
    </row>
    <row r="697" customFormat="false" ht="15" hidden="false" customHeight="false" outlineLevel="0" collapsed="false">
      <c r="A697" s="6" t="s">
        <v>2366</v>
      </c>
      <c r="B697" s="6" t="s">
        <v>191</v>
      </c>
      <c r="C697" s="7" t="n">
        <v>45930</v>
      </c>
      <c r="D697" s="6" t="s">
        <v>380</v>
      </c>
      <c r="E697" s="6" t="s">
        <v>1734</v>
      </c>
      <c r="F697" s="6" t="s">
        <v>2273</v>
      </c>
      <c r="G697" s="6" t="s">
        <v>2367</v>
      </c>
      <c r="H697" s="9" t="n">
        <v>47484</v>
      </c>
      <c r="K697" s="6" t="s">
        <v>384</v>
      </c>
      <c r="L697" s="6" t="s">
        <v>13</v>
      </c>
      <c r="M697" s="6" t="s">
        <v>189</v>
      </c>
      <c r="N697" s="6" t="s">
        <v>2368</v>
      </c>
      <c r="O697" s="6"/>
      <c r="P697" s="6"/>
    </row>
    <row r="698" customFormat="false" ht="15" hidden="false" customHeight="false" outlineLevel="0" collapsed="false">
      <c r="A698" s="6" t="s">
        <v>2369</v>
      </c>
      <c r="B698" s="6" t="s">
        <v>491</v>
      </c>
      <c r="C698" s="7" t="n">
        <v>45930</v>
      </c>
      <c r="D698" s="6" t="s">
        <v>400</v>
      </c>
      <c r="E698" s="6" t="s">
        <v>1734</v>
      </c>
      <c r="F698" s="6" t="s">
        <v>2273</v>
      </c>
      <c r="G698" s="6" t="s">
        <v>2370</v>
      </c>
      <c r="H698" s="9" t="n">
        <v>133332</v>
      </c>
      <c r="K698" s="6" t="s">
        <v>384</v>
      </c>
      <c r="L698" s="6" t="s">
        <v>13</v>
      </c>
      <c r="M698" s="6" t="s">
        <v>189</v>
      </c>
      <c r="N698" s="6" t="s">
        <v>2371</v>
      </c>
      <c r="O698" s="6"/>
      <c r="P698" s="6"/>
    </row>
    <row r="699" customFormat="false" ht="15" hidden="false" customHeight="false" outlineLevel="0" collapsed="false">
      <c r="A699" s="6" t="s">
        <v>2372</v>
      </c>
      <c r="B699" s="6" t="s">
        <v>196</v>
      </c>
      <c r="C699" s="7" t="n">
        <v>46022</v>
      </c>
      <c r="D699" s="6" t="s">
        <v>380</v>
      </c>
      <c r="E699" s="6" t="s">
        <v>1734</v>
      </c>
      <c r="F699" s="6" t="s">
        <v>2273</v>
      </c>
      <c r="G699" s="6" t="s">
        <v>2373</v>
      </c>
      <c r="H699" s="9" t="n">
        <v>41931</v>
      </c>
      <c r="K699" s="6" t="s">
        <v>384</v>
      </c>
      <c r="L699" s="6" t="s">
        <v>13</v>
      </c>
      <c r="M699" s="6" t="s">
        <v>194</v>
      </c>
      <c r="N699" s="6" t="s">
        <v>2374</v>
      </c>
      <c r="O699" s="6"/>
      <c r="P699" s="6"/>
    </row>
    <row r="700" customFormat="false" ht="15" hidden="false" customHeight="false" outlineLevel="0" collapsed="false">
      <c r="A700" s="6" t="s">
        <v>2375</v>
      </c>
      <c r="B700" s="6" t="s">
        <v>235</v>
      </c>
      <c r="C700" s="7" t="n">
        <v>46022</v>
      </c>
      <c r="D700" s="6" t="s">
        <v>407</v>
      </c>
      <c r="E700" s="6" t="s">
        <v>1734</v>
      </c>
      <c r="F700" s="6" t="s">
        <v>2273</v>
      </c>
      <c r="G700" s="6" t="s">
        <v>2376</v>
      </c>
      <c r="H700" s="9" t="n">
        <v>175263</v>
      </c>
      <c r="K700" s="6" t="s">
        <v>384</v>
      </c>
      <c r="L700" s="6" t="s">
        <v>13</v>
      </c>
      <c r="M700" s="6" t="s">
        <v>194</v>
      </c>
      <c r="N700" s="6" t="s">
        <v>2377</v>
      </c>
      <c r="O700" s="6"/>
      <c r="P700" s="6"/>
    </row>
    <row r="701" customFormat="false" ht="15" hidden="false" customHeight="false" outlineLevel="0" collapsed="false">
      <c r="A701" s="6" t="s">
        <v>2378</v>
      </c>
      <c r="B701" s="6" t="s">
        <v>201</v>
      </c>
      <c r="C701" s="7" t="n">
        <v>46112</v>
      </c>
      <c r="D701" s="6" t="s">
        <v>380</v>
      </c>
      <c r="E701" s="6" t="s">
        <v>1734</v>
      </c>
      <c r="F701" s="6" t="s">
        <v>2273</v>
      </c>
      <c r="G701" s="6" t="s">
        <v>2379</v>
      </c>
      <c r="H701" s="9" t="n">
        <v>49037</v>
      </c>
      <c r="K701" s="6" t="s">
        <v>384</v>
      </c>
      <c r="L701" s="6" t="s">
        <v>13</v>
      </c>
      <c r="M701" s="6" t="s">
        <v>199</v>
      </c>
      <c r="N701" s="6" t="s">
        <v>2380</v>
      </c>
      <c r="O701" s="6"/>
      <c r="P701" s="6"/>
    </row>
    <row r="702" customFormat="false" ht="15" hidden="false" customHeight="false" outlineLevel="0" collapsed="false">
      <c r="A702" s="6" t="s">
        <v>2381</v>
      </c>
      <c r="B702" s="6" t="s">
        <v>206</v>
      </c>
      <c r="C702" s="7" t="n">
        <v>46203</v>
      </c>
      <c r="D702" s="6" t="s">
        <v>380</v>
      </c>
      <c r="E702" s="6" t="s">
        <v>1734</v>
      </c>
      <c r="F702" s="6" t="s">
        <v>2273</v>
      </c>
      <c r="G702" s="6" t="s">
        <v>2382</v>
      </c>
      <c r="H702" s="9" t="n">
        <v>61110</v>
      </c>
      <c r="K702" s="6" t="s">
        <v>384</v>
      </c>
      <c r="L702" s="6" t="s">
        <v>13</v>
      </c>
      <c r="M702" s="6" t="s">
        <v>204</v>
      </c>
      <c r="N702" s="6" t="s">
        <v>2383</v>
      </c>
      <c r="O702" s="6"/>
      <c r="P702" s="6"/>
    </row>
    <row r="703" customFormat="false" ht="15" hidden="false" customHeight="false" outlineLevel="0" collapsed="false">
      <c r="A703" s="6" t="s">
        <v>2384</v>
      </c>
      <c r="B703" s="6" t="s">
        <v>263</v>
      </c>
      <c r="C703" s="7" t="n">
        <v>46203</v>
      </c>
      <c r="D703" s="6" t="s">
        <v>392</v>
      </c>
      <c r="E703" s="6" t="s">
        <v>1734</v>
      </c>
      <c r="F703" s="6" t="s">
        <v>2273</v>
      </c>
      <c r="G703" s="6" t="s">
        <v>2385</v>
      </c>
      <c r="H703" s="9" t="n">
        <v>110147</v>
      </c>
      <c r="K703" s="6" t="s">
        <v>384</v>
      </c>
      <c r="L703" s="6" t="s">
        <v>13</v>
      </c>
      <c r="M703" s="6" t="s">
        <v>204</v>
      </c>
      <c r="N703" s="6" t="s">
        <v>2386</v>
      </c>
      <c r="O703" s="6"/>
      <c r="P703" s="6"/>
    </row>
    <row r="704" customFormat="false" ht="15" hidden="false" customHeight="false" outlineLevel="0" collapsed="false">
      <c r="A704" s="6" t="s">
        <v>2387</v>
      </c>
      <c r="B704" s="6" t="s">
        <v>379</v>
      </c>
      <c r="C704" s="7" t="n">
        <v>44286</v>
      </c>
      <c r="D704" s="6" t="s">
        <v>380</v>
      </c>
      <c r="E704" s="6" t="s">
        <v>1734</v>
      </c>
      <c r="F704" s="6" t="s">
        <v>2388</v>
      </c>
      <c r="G704" s="6" t="s">
        <v>2389</v>
      </c>
      <c r="H704" s="10" t="n">
        <v>-0.4</v>
      </c>
      <c r="K704" s="6" t="s">
        <v>742</v>
      </c>
      <c r="L704" s="6" t="s">
        <v>13</v>
      </c>
      <c r="M704" s="6" t="s">
        <v>119</v>
      </c>
      <c r="N704" s="6" t="s">
        <v>2390</v>
      </c>
      <c r="O704" s="6"/>
      <c r="P704" s="6" t="s">
        <v>386</v>
      </c>
    </row>
    <row r="705" customFormat="false" ht="15" hidden="false" customHeight="false" outlineLevel="0" collapsed="false">
      <c r="A705" s="6" t="s">
        <v>2391</v>
      </c>
      <c r="B705" s="6" t="s">
        <v>103</v>
      </c>
      <c r="C705" s="7" t="n">
        <v>44377</v>
      </c>
      <c r="D705" s="6" t="s">
        <v>380</v>
      </c>
      <c r="E705" s="6" t="s">
        <v>1734</v>
      </c>
      <c r="F705" s="6" t="s">
        <v>2388</v>
      </c>
      <c r="G705" s="6" t="s">
        <v>1447</v>
      </c>
      <c r="H705" s="10" t="n">
        <v>-0.14</v>
      </c>
      <c r="K705" s="6" t="s">
        <v>742</v>
      </c>
      <c r="L705" s="6" t="s">
        <v>13</v>
      </c>
      <c r="M705" s="6" t="s">
        <v>100</v>
      </c>
      <c r="N705" s="6" t="s">
        <v>2392</v>
      </c>
      <c r="O705" s="6"/>
      <c r="P705" s="6"/>
    </row>
    <row r="706" customFormat="false" ht="15" hidden="false" customHeight="false" outlineLevel="0" collapsed="false">
      <c r="A706" s="6" t="s">
        <v>2393</v>
      </c>
      <c r="B706" s="6" t="s">
        <v>391</v>
      </c>
      <c r="C706" s="7" t="n">
        <v>44377</v>
      </c>
      <c r="D706" s="6" t="s">
        <v>392</v>
      </c>
      <c r="E706" s="6" t="s">
        <v>1734</v>
      </c>
      <c r="F706" s="6" t="s">
        <v>2388</v>
      </c>
      <c r="G706" s="6" t="s">
        <v>2394</v>
      </c>
      <c r="H706" s="10" t="n">
        <v>-0.26</v>
      </c>
      <c r="K706" s="6" t="s">
        <v>742</v>
      </c>
      <c r="L706" s="6" t="s">
        <v>13</v>
      </c>
      <c r="M706" s="6" t="s">
        <v>100</v>
      </c>
      <c r="N706" s="6" t="s">
        <v>2395</v>
      </c>
      <c r="O706" s="6"/>
      <c r="P706" s="6"/>
    </row>
    <row r="707" customFormat="false" ht="15" hidden="false" customHeight="false" outlineLevel="0" collapsed="false">
      <c r="A707" s="6" t="s">
        <v>2396</v>
      </c>
      <c r="B707" s="6" t="s">
        <v>111</v>
      </c>
      <c r="C707" s="7" t="n">
        <v>44469</v>
      </c>
      <c r="D707" s="6" t="s">
        <v>380</v>
      </c>
      <c r="E707" s="6" t="s">
        <v>1734</v>
      </c>
      <c r="F707" s="6" t="s">
        <v>2388</v>
      </c>
      <c r="G707" s="6" t="s">
        <v>1473</v>
      </c>
      <c r="H707" s="10" t="n">
        <v>-0.11</v>
      </c>
      <c r="K707" s="6" t="s">
        <v>742</v>
      </c>
      <c r="L707" s="6" t="s">
        <v>13</v>
      </c>
      <c r="M707" s="6" t="s">
        <v>109</v>
      </c>
      <c r="N707" s="6" t="s">
        <v>2397</v>
      </c>
      <c r="O707" s="6"/>
      <c r="P707" s="6"/>
    </row>
    <row r="708" customFormat="false" ht="15" hidden="false" customHeight="false" outlineLevel="0" collapsed="false">
      <c r="A708" s="6" t="s">
        <v>2398</v>
      </c>
      <c r="B708" s="6" t="s">
        <v>399</v>
      </c>
      <c r="C708" s="7" t="n">
        <v>44469</v>
      </c>
      <c r="D708" s="6" t="s">
        <v>400</v>
      </c>
      <c r="E708" s="6" t="s">
        <v>1734</v>
      </c>
      <c r="F708" s="6" t="s">
        <v>2388</v>
      </c>
      <c r="G708" s="6" t="s">
        <v>2399</v>
      </c>
      <c r="H708" s="10" t="n">
        <v>-0.2</v>
      </c>
      <c r="K708" s="6" t="s">
        <v>742</v>
      </c>
      <c r="L708" s="6" t="s">
        <v>13</v>
      </c>
      <c r="M708" s="6" t="s">
        <v>109</v>
      </c>
      <c r="N708" s="6" t="s">
        <v>2400</v>
      </c>
      <c r="O708" s="6"/>
      <c r="P708" s="6"/>
    </row>
    <row r="709" customFormat="false" ht="15" hidden="false" customHeight="false" outlineLevel="0" collapsed="false">
      <c r="A709" s="6" t="s">
        <v>2401</v>
      </c>
      <c r="B709" s="6" t="s">
        <v>116</v>
      </c>
      <c r="C709" s="7" t="n">
        <v>44561</v>
      </c>
      <c r="D709" s="6" t="s">
        <v>380</v>
      </c>
      <c r="E709" s="6" t="s">
        <v>1734</v>
      </c>
      <c r="F709" s="6" t="s">
        <v>2388</v>
      </c>
      <c r="G709" s="6" t="s">
        <v>1452</v>
      </c>
      <c r="H709" s="10" t="n">
        <v>-0.1</v>
      </c>
      <c r="K709" s="6" t="s">
        <v>742</v>
      </c>
      <c r="L709" s="6" t="s">
        <v>13</v>
      </c>
      <c r="M709" s="6" t="s">
        <v>114</v>
      </c>
      <c r="N709" s="6" t="s">
        <v>2402</v>
      </c>
      <c r="O709" s="6"/>
      <c r="P709" s="6"/>
    </row>
    <row r="710" customFormat="false" ht="15" hidden="false" customHeight="false" outlineLevel="0" collapsed="false">
      <c r="A710" s="6" t="s">
        <v>2403</v>
      </c>
      <c r="B710" s="6" t="s">
        <v>212</v>
      </c>
      <c r="C710" s="7" t="n">
        <v>44561</v>
      </c>
      <c r="D710" s="6" t="s">
        <v>407</v>
      </c>
      <c r="E710" s="6" t="s">
        <v>1734</v>
      </c>
      <c r="F710" s="6" t="s">
        <v>2388</v>
      </c>
      <c r="G710" s="6" t="s">
        <v>2404</v>
      </c>
      <c r="H710" s="10" t="n">
        <v>-0.17</v>
      </c>
      <c r="K710" s="6" t="s">
        <v>742</v>
      </c>
      <c r="L710" s="6" t="s">
        <v>13</v>
      </c>
      <c r="M710" s="6" t="s">
        <v>114</v>
      </c>
      <c r="N710" s="6" t="s">
        <v>2405</v>
      </c>
      <c r="O710" s="6"/>
      <c r="P710" s="6"/>
    </row>
    <row r="711" customFormat="false" ht="15" hidden="false" customHeight="false" outlineLevel="0" collapsed="false">
      <c r="A711" s="6" t="s">
        <v>2406</v>
      </c>
      <c r="B711" s="6" t="s">
        <v>121</v>
      </c>
      <c r="C711" s="7" t="n">
        <v>44651</v>
      </c>
      <c r="D711" s="6" t="s">
        <v>380</v>
      </c>
      <c r="E711" s="6" t="s">
        <v>1734</v>
      </c>
      <c r="F711" s="6" t="s">
        <v>2388</v>
      </c>
      <c r="G711" s="6" t="s">
        <v>2389</v>
      </c>
      <c r="H711" s="10" t="n">
        <v>-0.4</v>
      </c>
      <c r="K711" s="6" t="s">
        <v>742</v>
      </c>
      <c r="L711" s="6" t="s">
        <v>13</v>
      </c>
      <c r="M711" s="6" t="s">
        <v>119</v>
      </c>
      <c r="N711" s="6" t="s">
        <v>2407</v>
      </c>
      <c r="O711" s="6"/>
      <c r="P711" s="6"/>
    </row>
    <row r="712" customFormat="false" ht="15" hidden="false" customHeight="false" outlineLevel="0" collapsed="false">
      <c r="A712" s="6" t="s">
        <v>2408</v>
      </c>
      <c r="B712" s="6" t="s">
        <v>126</v>
      </c>
      <c r="C712" s="7" t="n">
        <v>44742</v>
      </c>
      <c r="D712" s="6" t="s">
        <v>380</v>
      </c>
      <c r="E712" s="6" t="s">
        <v>1734</v>
      </c>
      <c r="F712" s="6" t="s">
        <v>2388</v>
      </c>
      <c r="G712" s="6" t="s">
        <v>2409</v>
      </c>
      <c r="H712" s="10" t="n">
        <v>-0.12</v>
      </c>
      <c r="K712" s="6" t="s">
        <v>742</v>
      </c>
      <c r="L712" s="6" t="s">
        <v>13</v>
      </c>
      <c r="M712" s="6" t="s">
        <v>124</v>
      </c>
      <c r="N712" s="6" t="s">
        <v>2410</v>
      </c>
      <c r="O712" s="6"/>
      <c r="P712" s="6"/>
    </row>
    <row r="713" customFormat="false" ht="15" hidden="false" customHeight="false" outlineLevel="0" collapsed="false">
      <c r="A713" s="6" t="s">
        <v>2411</v>
      </c>
      <c r="B713" s="6" t="s">
        <v>417</v>
      </c>
      <c r="C713" s="7" t="n">
        <v>44742</v>
      </c>
      <c r="D713" s="6" t="s">
        <v>392</v>
      </c>
      <c r="E713" s="6" t="s">
        <v>1734</v>
      </c>
      <c r="F713" s="6" t="s">
        <v>2388</v>
      </c>
      <c r="G713" s="6" t="s">
        <v>2412</v>
      </c>
      <c r="H713" s="10" t="n">
        <v>-0.25</v>
      </c>
      <c r="K713" s="6" t="s">
        <v>742</v>
      </c>
      <c r="L713" s="6" t="s">
        <v>13</v>
      </c>
      <c r="M713" s="6" t="s">
        <v>124</v>
      </c>
      <c r="N713" s="6" t="s">
        <v>2413</v>
      </c>
      <c r="O713" s="6"/>
      <c r="P713" s="6"/>
    </row>
    <row r="714" customFormat="false" ht="15" hidden="false" customHeight="false" outlineLevel="0" collapsed="false">
      <c r="A714" s="6" t="s">
        <v>2414</v>
      </c>
      <c r="B714" s="6" t="s">
        <v>131</v>
      </c>
      <c r="C714" s="7" t="n">
        <v>44834</v>
      </c>
      <c r="D714" s="6" t="s">
        <v>380</v>
      </c>
      <c r="E714" s="6" t="s">
        <v>1734</v>
      </c>
      <c r="F714" s="6" t="s">
        <v>2388</v>
      </c>
      <c r="G714" s="6" t="s">
        <v>1465</v>
      </c>
      <c r="H714" s="10" t="n">
        <v>-0.02</v>
      </c>
      <c r="K714" s="6" t="s">
        <v>742</v>
      </c>
      <c r="L714" s="6" t="s">
        <v>13</v>
      </c>
      <c r="M714" s="6" t="s">
        <v>129</v>
      </c>
      <c r="N714" s="6" t="s">
        <v>2415</v>
      </c>
      <c r="O714" s="6"/>
      <c r="P714" s="6"/>
    </row>
    <row r="715" customFormat="false" ht="15" hidden="false" customHeight="false" outlineLevel="0" collapsed="false">
      <c r="A715" s="6" t="s">
        <v>2416</v>
      </c>
      <c r="B715" s="6" t="s">
        <v>424</v>
      </c>
      <c r="C715" s="7" t="n">
        <v>44834</v>
      </c>
      <c r="D715" s="6" t="s">
        <v>400</v>
      </c>
      <c r="E715" s="6" t="s">
        <v>1734</v>
      </c>
      <c r="F715" s="6" t="s">
        <v>2388</v>
      </c>
      <c r="G715" s="6" t="s">
        <v>2404</v>
      </c>
      <c r="H715" s="10" t="n">
        <v>-0.17</v>
      </c>
      <c r="K715" s="6" t="s">
        <v>742</v>
      </c>
      <c r="L715" s="6" t="s">
        <v>13</v>
      </c>
      <c r="M715" s="6" t="s">
        <v>129</v>
      </c>
      <c r="N715" s="6" t="s">
        <v>2417</v>
      </c>
      <c r="O715" s="6"/>
      <c r="P715" s="6"/>
    </row>
    <row r="716" customFormat="false" ht="15" hidden="false" customHeight="false" outlineLevel="0" collapsed="false">
      <c r="A716" s="6" t="s">
        <v>2418</v>
      </c>
      <c r="B716" s="6" t="s">
        <v>136</v>
      </c>
      <c r="C716" s="7" t="n">
        <v>44926</v>
      </c>
      <c r="D716" s="6" t="s">
        <v>380</v>
      </c>
      <c r="E716" s="6" t="s">
        <v>1734</v>
      </c>
      <c r="F716" s="6" t="s">
        <v>2388</v>
      </c>
      <c r="G716" s="6" t="s">
        <v>2419</v>
      </c>
      <c r="H716" s="10" t="n">
        <v>0.1</v>
      </c>
      <c r="K716" s="6" t="s">
        <v>742</v>
      </c>
      <c r="L716" s="6" t="s">
        <v>13</v>
      </c>
      <c r="M716" s="6" t="s">
        <v>134</v>
      </c>
      <c r="N716" s="6" t="s">
        <v>2420</v>
      </c>
      <c r="O716" s="6"/>
      <c r="P716" s="6"/>
    </row>
    <row r="717" customFormat="false" ht="15" hidden="false" customHeight="false" outlineLevel="0" collapsed="false">
      <c r="A717" s="6" t="s">
        <v>2421</v>
      </c>
      <c r="B717" s="6" t="s">
        <v>220</v>
      </c>
      <c r="C717" s="7" t="n">
        <v>44926</v>
      </c>
      <c r="D717" s="6" t="s">
        <v>407</v>
      </c>
      <c r="E717" s="6" t="s">
        <v>1734</v>
      </c>
      <c r="F717" s="6" t="s">
        <v>2388</v>
      </c>
      <c r="G717" s="6" t="s">
        <v>2422</v>
      </c>
      <c r="H717" s="10" t="n">
        <v>-0.09</v>
      </c>
      <c r="K717" s="6" t="s">
        <v>742</v>
      </c>
      <c r="L717" s="6" t="s">
        <v>13</v>
      </c>
      <c r="M717" s="6" t="s">
        <v>134</v>
      </c>
      <c r="N717" s="6" t="s">
        <v>2423</v>
      </c>
      <c r="O717" s="6"/>
      <c r="P717" s="6"/>
    </row>
    <row r="718" customFormat="false" ht="15" hidden="false" customHeight="false" outlineLevel="0" collapsed="false">
      <c r="A718" s="6" t="s">
        <v>2424</v>
      </c>
      <c r="B718" s="6" t="s">
        <v>141</v>
      </c>
      <c r="C718" s="7" t="n">
        <v>45016</v>
      </c>
      <c r="D718" s="6" t="s">
        <v>380</v>
      </c>
      <c r="E718" s="6" t="s">
        <v>1734</v>
      </c>
      <c r="F718" s="6" t="s">
        <v>2388</v>
      </c>
      <c r="G718" s="6" t="s">
        <v>1489</v>
      </c>
      <c r="H718" s="10" t="n">
        <v>0</v>
      </c>
      <c r="K718" s="6" t="s">
        <v>742</v>
      </c>
      <c r="L718" s="6" t="s">
        <v>13</v>
      </c>
      <c r="M718" s="6" t="s">
        <v>139</v>
      </c>
      <c r="N718" s="6" t="s">
        <v>2425</v>
      </c>
      <c r="O718" s="6"/>
      <c r="P718" s="6"/>
    </row>
    <row r="719" customFormat="false" ht="15" hidden="false" customHeight="false" outlineLevel="0" collapsed="false">
      <c r="A719" s="6" t="s">
        <v>2426</v>
      </c>
      <c r="B719" s="6" t="s">
        <v>146</v>
      </c>
      <c r="C719" s="7" t="n">
        <v>45107</v>
      </c>
      <c r="D719" s="6" t="s">
        <v>380</v>
      </c>
      <c r="E719" s="6" t="s">
        <v>1734</v>
      </c>
      <c r="F719" s="6" t="s">
        <v>2388</v>
      </c>
      <c r="G719" s="6" t="s">
        <v>2427</v>
      </c>
      <c r="H719" s="10" t="n">
        <v>0.09</v>
      </c>
      <c r="K719" s="6" t="s">
        <v>742</v>
      </c>
      <c r="L719" s="6" t="s">
        <v>13</v>
      </c>
      <c r="M719" s="6" t="s">
        <v>144</v>
      </c>
      <c r="N719" s="6" t="s">
        <v>2428</v>
      </c>
      <c r="O719" s="6"/>
      <c r="P719" s="6"/>
    </row>
    <row r="720" customFormat="false" ht="15" hidden="false" customHeight="false" outlineLevel="0" collapsed="false">
      <c r="A720" s="6" t="s">
        <v>2429</v>
      </c>
      <c r="B720" s="6" t="s">
        <v>440</v>
      </c>
      <c r="C720" s="7" t="n">
        <v>45107</v>
      </c>
      <c r="D720" s="6" t="s">
        <v>392</v>
      </c>
      <c r="E720" s="6" t="s">
        <v>1734</v>
      </c>
      <c r="F720" s="6" t="s">
        <v>2388</v>
      </c>
      <c r="G720" s="6" t="s">
        <v>2430</v>
      </c>
      <c r="H720" s="10" t="n">
        <v>0.05</v>
      </c>
      <c r="K720" s="6" t="s">
        <v>742</v>
      </c>
      <c r="L720" s="6" t="s">
        <v>13</v>
      </c>
      <c r="M720" s="6" t="s">
        <v>144</v>
      </c>
      <c r="N720" s="6" t="s">
        <v>2431</v>
      </c>
      <c r="O720" s="6"/>
      <c r="P720" s="6"/>
    </row>
    <row r="721" customFormat="false" ht="15" hidden="false" customHeight="false" outlineLevel="0" collapsed="false">
      <c r="A721" s="6" t="s">
        <v>2432</v>
      </c>
      <c r="B721" s="6" t="s">
        <v>151</v>
      </c>
      <c r="C721" s="7" t="n">
        <v>45199</v>
      </c>
      <c r="D721" s="6" t="s">
        <v>380</v>
      </c>
      <c r="E721" s="6" t="s">
        <v>1734</v>
      </c>
      <c r="F721" s="6" t="s">
        <v>2388</v>
      </c>
      <c r="G721" s="6" t="s">
        <v>2433</v>
      </c>
      <c r="H721" s="10" t="n">
        <v>0.13</v>
      </c>
      <c r="K721" s="6" t="s">
        <v>742</v>
      </c>
      <c r="L721" s="6" t="s">
        <v>13</v>
      </c>
      <c r="M721" s="6" t="s">
        <v>149</v>
      </c>
      <c r="N721" s="6" t="s">
        <v>2434</v>
      </c>
      <c r="O721" s="6"/>
      <c r="P721" s="6"/>
    </row>
    <row r="722" customFormat="false" ht="15" hidden="false" customHeight="false" outlineLevel="0" collapsed="false">
      <c r="A722" s="6" t="s">
        <v>2435</v>
      </c>
      <c r="B722" s="6" t="s">
        <v>447</v>
      </c>
      <c r="C722" s="7" t="n">
        <v>45199</v>
      </c>
      <c r="D722" s="6" t="s">
        <v>400</v>
      </c>
      <c r="E722" s="6" t="s">
        <v>1734</v>
      </c>
      <c r="F722" s="6" t="s">
        <v>2388</v>
      </c>
      <c r="G722" s="6" t="s">
        <v>2436</v>
      </c>
      <c r="H722" s="10" t="n">
        <v>0.08</v>
      </c>
      <c r="K722" s="6" t="s">
        <v>742</v>
      </c>
      <c r="L722" s="6" t="s">
        <v>13</v>
      </c>
      <c r="M722" s="6" t="s">
        <v>149</v>
      </c>
      <c r="N722" s="6" t="s">
        <v>2437</v>
      </c>
      <c r="O722" s="6"/>
      <c r="P722" s="6"/>
    </row>
    <row r="723" customFormat="false" ht="15" hidden="false" customHeight="false" outlineLevel="0" collapsed="false">
      <c r="A723" s="6" t="s">
        <v>2438</v>
      </c>
      <c r="B723" s="6" t="s">
        <v>156</v>
      </c>
      <c r="C723" s="7" t="n">
        <v>45291</v>
      </c>
      <c r="D723" s="6" t="s">
        <v>380</v>
      </c>
      <c r="E723" s="6" t="s">
        <v>1734</v>
      </c>
      <c r="F723" s="6" t="s">
        <v>2388</v>
      </c>
      <c r="G723" s="6" t="s">
        <v>2419</v>
      </c>
      <c r="H723" s="10" t="n">
        <v>0.1</v>
      </c>
      <c r="K723" s="6" t="s">
        <v>742</v>
      </c>
      <c r="L723" s="6" t="s">
        <v>13</v>
      </c>
      <c r="M723" s="6" t="s">
        <v>154</v>
      </c>
      <c r="N723" s="6" t="s">
        <v>2439</v>
      </c>
      <c r="O723" s="6"/>
      <c r="P723" s="6"/>
    </row>
    <row r="724" customFormat="false" ht="15" hidden="false" customHeight="false" outlineLevel="0" collapsed="false">
      <c r="A724" s="6" t="s">
        <v>2440</v>
      </c>
      <c r="B724" s="6" t="s">
        <v>225</v>
      </c>
      <c r="C724" s="7" t="n">
        <v>45291</v>
      </c>
      <c r="D724" s="6" t="s">
        <v>407</v>
      </c>
      <c r="E724" s="6" t="s">
        <v>1734</v>
      </c>
      <c r="F724" s="6" t="s">
        <v>2388</v>
      </c>
      <c r="G724" s="6" t="s">
        <v>2436</v>
      </c>
      <c r="H724" s="10" t="n">
        <v>0.08</v>
      </c>
      <c r="K724" s="6" t="s">
        <v>742</v>
      </c>
      <c r="L724" s="6" t="s">
        <v>13</v>
      </c>
      <c r="M724" s="6" t="s">
        <v>154</v>
      </c>
      <c r="N724" s="6" t="s">
        <v>2441</v>
      </c>
      <c r="O724" s="6"/>
      <c r="P724" s="6"/>
    </row>
    <row r="725" customFormat="false" ht="15" hidden="false" customHeight="false" outlineLevel="0" collapsed="false">
      <c r="A725" s="6" t="s">
        <v>2442</v>
      </c>
      <c r="B725" s="6" t="s">
        <v>161</v>
      </c>
      <c r="C725" s="7" t="n">
        <v>45382</v>
      </c>
      <c r="D725" s="6" t="s">
        <v>380</v>
      </c>
      <c r="E725" s="6" t="s">
        <v>1734</v>
      </c>
      <c r="F725" s="6" t="s">
        <v>2388</v>
      </c>
      <c r="G725" s="6" t="s">
        <v>2419</v>
      </c>
      <c r="H725" s="10" t="n">
        <v>0.1</v>
      </c>
      <c r="K725" s="6" t="s">
        <v>742</v>
      </c>
      <c r="L725" s="6" t="s">
        <v>13</v>
      </c>
      <c r="M725" s="6" t="s">
        <v>159</v>
      </c>
      <c r="N725" s="6" t="s">
        <v>2443</v>
      </c>
      <c r="O725" s="6"/>
      <c r="P725" s="6"/>
    </row>
    <row r="726" customFormat="false" ht="15" hidden="false" customHeight="false" outlineLevel="0" collapsed="false">
      <c r="A726" s="6" t="s">
        <v>2444</v>
      </c>
      <c r="B726" s="6" t="s">
        <v>166</v>
      </c>
      <c r="C726" s="7" t="n">
        <v>45473</v>
      </c>
      <c r="D726" s="6" t="s">
        <v>380</v>
      </c>
      <c r="E726" s="6" t="s">
        <v>1734</v>
      </c>
      <c r="F726" s="6" t="s">
        <v>2388</v>
      </c>
      <c r="G726" s="6" t="s">
        <v>2445</v>
      </c>
      <c r="H726" s="10" t="n">
        <v>0.16</v>
      </c>
      <c r="K726" s="6" t="s">
        <v>742</v>
      </c>
      <c r="L726" s="6" t="s">
        <v>13</v>
      </c>
      <c r="M726" s="6" t="s">
        <v>164</v>
      </c>
      <c r="N726" s="6" t="s">
        <v>2446</v>
      </c>
      <c r="O726" s="6"/>
      <c r="P726" s="6"/>
    </row>
    <row r="727" customFormat="false" ht="15" hidden="false" customHeight="false" outlineLevel="0" collapsed="false">
      <c r="A727" s="6" t="s">
        <v>2447</v>
      </c>
      <c r="B727" s="6" t="s">
        <v>241</v>
      </c>
      <c r="C727" s="7" t="n">
        <v>45473</v>
      </c>
      <c r="D727" s="6" t="s">
        <v>392</v>
      </c>
      <c r="E727" s="6" t="s">
        <v>1734</v>
      </c>
      <c r="F727" s="6" t="s">
        <v>2388</v>
      </c>
      <c r="G727" s="6" t="s">
        <v>2433</v>
      </c>
      <c r="H727" s="10" t="n">
        <v>0.13</v>
      </c>
      <c r="K727" s="6" t="s">
        <v>742</v>
      </c>
      <c r="L727" s="6" t="s">
        <v>13</v>
      </c>
      <c r="M727" s="6" t="s">
        <v>164</v>
      </c>
      <c r="N727" s="6" t="s">
        <v>2448</v>
      </c>
      <c r="O727" s="6"/>
      <c r="P727" s="6"/>
    </row>
    <row r="728" customFormat="false" ht="15" hidden="false" customHeight="false" outlineLevel="0" collapsed="false">
      <c r="A728" s="6" t="s">
        <v>2449</v>
      </c>
      <c r="B728" s="6" t="s">
        <v>171</v>
      </c>
      <c r="C728" s="7" t="n">
        <v>45565</v>
      </c>
      <c r="D728" s="6" t="s">
        <v>380</v>
      </c>
      <c r="E728" s="6" t="s">
        <v>1734</v>
      </c>
      <c r="F728" s="6" t="s">
        <v>2388</v>
      </c>
      <c r="G728" s="6" t="s">
        <v>2433</v>
      </c>
      <c r="H728" s="10" t="n">
        <v>0.13</v>
      </c>
      <c r="K728" s="6" t="s">
        <v>742</v>
      </c>
      <c r="L728" s="6" t="s">
        <v>13</v>
      </c>
      <c r="M728" s="6" t="s">
        <v>169</v>
      </c>
      <c r="N728" s="6" t="s">
        <v>2450</v>
      </c>
      <c r="O728" s="6"/>
      <c r="P728" s="6"/>
    </row>
    <row r="729" customFormat="false" ht="15" hidden="false" customHeight="false" outlineLevel="0" collapsed="false">
      <c r="A729" s="6" t="s">
        <v>2451</v>
      </c>
      <c r="B729" s="6" t="s">
        <v>469</v>
      </c>
      <c r="C729" s="7" t="n">
        <v>45565</v>
      </c>
      <c r="D729" s="6" t="s">
        <v>400</v>
      </c>
      <c r="E729" s="6" t="s">
        <v>1734</v>
      </c>
      <c r="F729" s="6" t="s">
        <v>2388</v>
      </c>
      <c r="G729" s="6" t="s">
        <v>2433</v>
      </c>
      <c r="H729" s="10" t="n">
        <v>0.13</v>
      </c>
      <c r="K729" s="6" t="s">
        <v>742</v>
      </c>
      <c r="L729" s="6" t="s">
        <v>13</v>
      </c>
      <c r="M729" s="6" t="s">
        <v>169</v>
      </c>
      <c r="N729" s="6" t="s">
        <v>2452</v>
      </c>
      <c r="O729" s="6"/>
      <c r="P729" s="6"/>
    </row>
    <row r="730" customFormat="false" ht="15" hidden="false" customHeight="false" outlineLevel="0" collapsed="false">
      <c r="A730" s="6" t="s">
        <v>2453</v>
      </c>
      <c r="B730" s="6" t="s">
        <v>176</v>
      </c>
      <c r="C730" s="7" t="n">
        <v>45657</v>
      </c>
      <c r="D730" s="6" t="s">
        <v>380</v>
      </c>
      <c r="E730" s="6" t="s">
        <v>1734</v>
      </c>
      <c r="F730" s="6" t="s">
        <v>2388</v>
      </c>
      <c r="G730" s="6" t="s">
        <v>2454</v>
      </c>
      <c r="H730" s="10" t="n">
        <v>0.15</v>
      </c>
      <c r="K730" s="6" t="s">
        <v>742</v>
      </c>
      <c r="L730" s="6" t="s">
        <v>13</v>
      </c>
      <c r="M730" s="6" t="s">
        <v>174</v>
      </c>
      <c r="N730" s="6" t="s">
        <v>2455</v>
      </c>
      <c r="O730" s="6"/>
      <c r="P730" s="6"/>
    </row>
    <row r="731" customFormat="false" ht="15" hidden="false" customHeight="false" outlineLevel="0" collapsed="false">
      <c r="A731" s="6" t="s">
        <v>2456</v>
      </c>
      <c r="B731" s="6" t="s">
        <v>230</v>
      </c>
      <c r="C731" s="7" t="n">
        <v>45657</v>
      </c>
      <c r="D731" s="6" t="s">
        <v>407</v>
      </c>
      <c r="E731" s="6" t="s">
        <v>1734</v>
      </c>
      <c r="F731" s="6" t="s">
        <v>2388</v>
      </c>
      <c r="G731" s="6" t="s">
        <v>2457</v>
      </c>
      <c r="H731" s="10" t="n">
        <v>0.14</v>
      </c>
      <c r="K731" s="6" t="s">
        <v>742</v>
      </c>
      <c r="L731" s="6" t="s">
        <v>13</v>
      </c>
      <c r="M731" s="6" t="s">
        <v>174</v>
      </c>
      <c r="N731" s="6" t="s">
        <v>2458</v>
      </c>
      <c r="O731" s="6"/>
      <c r="P731" s="6"/>
    </row>
    <row r="732" customFormat="false" ht="15" hidden="false" customHeight="false" outlineLevel="0" collapsed="false">
      <c r="A732" s="6" t="s">
        <v>2459</v>
      </c>
      <c r="B732" s="6" t="s">
        <v>181</v>
      </c>
      <c r="C732" s="7" t="n">
        <v>45747</v>
      </c>
      <c r="D732" s="6" t="s">
        <v>380</v>
      </c>
      <c r="E732" s="6" t="s">
        <v>1734</v>
      </c>
      <c r="F732" s="6" t="s">
        <v>2388</v>
      </c>
      <c r="G732" s="6" t="s">
        <v>2457</v>
      </c>
      <c r="H732" s="10" t="n">
        <v>0.14</v>
      </c>
      <c r="K732" s="6" t="s">
        <v>742</v>
      </c>
      <c r="L732" s="6" t="s">
        <v>13</v>
      </c>
      <c r="M732" s="6" t="s">
        <v>179</v>
      </c>
      <c r="N732" s="6" t="s">
        <v>2460</v>
      </c>
      <c r="O732" s="6"/>
      <c r="P732" s="6"/>
    </row>
    <row r="733" customFormat="false" ht="15" hidden="false" customHeight="false" outlineLevel="0" collapsed="false">
      <c r="A733" s="6" t="s">
        <v>2461</v>
      </c>
      <c r="B733" s="6" t="s">
        <v>186</v>
      </c>
      <c r="C733" s="7" t="n">
        <v>45838</v>
      </c>
      <c r="D733" s="6" t="s">
        <v>380</v>
      </c>
      <c r="E733" s="6" t="s">
        <v>1734</v>
      </c>
      <c r="F733" s="6" t="s">
        <v>2388</v>
      </c>
      <c r="G733" s="6" t="s">
        <v>2454</v>
      </c>
      <c r="H733" s="10" t="n">
        <v>0.15</v>
      </c>
      <c r="K733" s="6" t="s">
        <v>742</v>
      </c>
      <c r="L733" s="6" t="s">
        <v>13</v>
      </c>
      <c r="M733" s="6" t="s">
        <v>184</v>
      </c>
      <c r="N733" s="6" t="s">
        <v>2462</v>
      </c>
      <c r="O733" s="6"/>
      <c r="P733" s="6"/>
    </row>
    <row r="734" customFormat="false" ht="15" hidden="false" customHeight="false" outlineLevel="0" collapsed="false">
      <c r="A734" s="6" t="s">
        <v>2463</v>
      </c>
      <c r="B734" s="6" t="s">
        <v>255</v>
      </c>
      <c r="C734" s="7" t="n">
        <v>45838</v>
      </c>
      <c r="D734" s="6" t="s">
        <v>392</v>
      </c>
      <c r="E734" s="6" t="s">
        <v>1734</v>
      </c>
      <c r="F734" s="6" t="s">
        <v>2388</v>
      </c>
      <c r="G734" s="6" t="s">
        <v>2454</v>
      </c>
      <c r="H734" s="10" t="n">
        <v>0.15</v>
      </c>
      <c r="K734" s="6" t="s">
        <v>742</v>
      </c>
      <c r="L734" s="6" t="s">
        <v>13</v>
      </c>
      <c r="M734" s="6" t="s">
        <v>184</v>
      </c>
      <c r="N734" s="6" t="s">
        <v>2464</v>
      </c>
      <c r="O734" s="6"/>
      <c r="P734" s="6"/>
    </row>
    <row r="735" customFormat="false" ht="15" hidden="false" customHeight="false" outlineLevel="0" collapsed="false">
      <c r="A735" s="6" t="s">
        <v>2465</v>
      </c>
      <c r="B735" s="6" t="s">
        <v>191</v>
      </c>
      <c r="C735" s="7" t="n">
        <v>45930</v>
      </c>
      <c r="D735" s="6" t="s">
        <v>380</v>
      </c>
      <c r="E735" s="6" t="s">
        <v>1734</v>
      </c>
      <c r="F735" s="6" t="s">
        <v>2388</v>
      </c>
      <c r="G735" s="6" t="s">
        <v>2454</v>
      </c>
      <c r="H735" s="10" t="n">
        <v>0.15</v>
      </c>
      <c r="K735" s="6" t="s">
        <v>742</v>
      </c>
      <c r="L735" s="6" t="s">
        <v>13</v>
      </c>
      <c r="M735" s="6" t="s">
        <v>189</v>
      </c>
      <c r="N735" s="6" t="s">
        <v>2466</v>
      </c>
      <c r="O735" s="6"/>
      <c r="P735" s="6"/>
    </row>
    <row r="736" customFormat="false" ht="15" hidden="false" customHeight="false" outlineLevel="0" collapsed="false">
      <c r="A736" s="6" t="s">
        <v>2467</v>
      </c>
      <c r="B736" s="6" t="s">
        <v>491</v>
      </c>
      <c r="C736" s="7" t="n">
        <v>45930</v>
      </c>
      <c r="D736" s="6" t="s">
        <v>400</v>
      </c>
      <c r="E736" s="6" t="s">
        <v>1734</v>
      </c>
      <c r="F736" s="6" t="s">
        <v>2388</v>
      </c>
      <c r="G736" s="6" t="s">
        <v>2454</v>
      </c>
      <c r="H736" s="10" t="n">
        <v>0.15</v>
      </c>
      <c r="K736" s="6" t="s">
        <v>742</v>
      </c>
      <c r="L736" s="6" t="s">
        <v>13</v>
      </c>
      <c r="M736" s="6" t="s">
        <v>189</v>
      </c>
      <c r="N736" s="6" t="s">
        <v>2468</v>
      </c>
      <c r="O736" s="6"/>
      <c r="P736" s="6"/>
    </row>
    <row r="737" customFormat="false" ht="15" hidden="false" customHeight="false" outlineLevel="0" collapsed="false">
      <c r="A737" s="6" t="s">
        <v>2469</v>
      </c>
      <c r="B737" s="6" t="s">
        <v>196</v>
      </c>
      <c r="C737" s="7" t="n">
        <v>46022</v>
      </c>
      <c r="D737" s="6" t="s">
        <v>380</v>
      </c>
      <c r="E737" s="6" t="s">
        <v>1734</v>
      </c>
      <c r="F737" s="6" t="s">
        <v>2388</v>
      </c>
      <c r="G737" s="6" t="s">
        <v>2433</v>
      </c>
      <c r="H737" s="10" t="n">
        <v>0.13</v>
      </c>
      <c r="K737" s="6" t="s">
        <v>742</v>
      </c>
      <c r="L737" s="6" t="s">
        <v>13</v>
      </c>
      <c r="M737" s="6" t="s">
        <v>194</v>
      </c>
      <c r="N737" s="6" t="s">
        <v>2470</v>
      </c>
      <c r="O737" s="6"/>
      <c r="P737" s="6"/>
    </row>
    <row r="738" customFormat="false" ht="15" hidden="false" customHeight="false" outlineLevel="0" collapsed="false">
      <c r="A738" s="6" t="s">
        <v>2471</v>
      </c>
      <c r="B738" s="6" t="s">
        <v>235</v>
      </c>
      <c r="C738" s="7" t="n">
        <v>46022</v>
      </c>
      <c r="D738" s="6" t="s">
        <v>407</v>
      </c>
      <c r="E738" s="6" t="s">
        <v>1734</v>
      </c>
      <c r="F738" s="6" t="s">
        <v>2388</v>
      </c>
      <c r="G738" s="6" t="s">
        <v>2457</v>
      </c>
      <c r="H738" s="10" t="n">
        <v>0.14</v>
      </c>
      <c r="K738" s="6" t="s">
        <v>742</v>
      </c>
      <c r="L738" s="6" t="s">
        <v>13</v>
      </c>
      <c r="M738" s="6" t="s">
        <v>194</v>
      </c>
      <c r="N738" s="6" t="s">
        <v>2472</v>
      </c>
      <c r="O738" s="6"/>
      <c r="P738" s="6"/>
    </row>
    <row r="739" customFormat="false" ht="15" hidden="false" customHeight="false" outlineLevel="0" collapsed="false">
      <c r="A739" s="6" t="s">
        <v>2473</v>
      </c>
      <c r="B739" s="6" t="s">
        <v>201</v>
      </c>
      <c r="C739" s="7" t="n">
        <v>46112</v>
      </c>
      <c r="D739" s="6" t="s">
        <v>380</v>
      </c>
      <c r="E739" s="6" t="s">
        <v>1734</v>
      </c>
      <c r="F739" s="6" t="s">
        <v>2388</v>
      </c>
      <c r="G739" s="6" t="s">
        <v>2457</v>
      </c>
      <c r="H739" s="10" t="n">
        <v>0.14</v>
      </c>
      <c r="K739" s="6" t="s">
        <v>742</v>
      </c>
      <c r="L739" s="6" t="s">
        <v>13</v>
      </c>
      <c r="M739" s="6" t="s">
        <v>199</v>
      </c>
      <c r="N739" s="6" t="s">
        <v>2474</v>
      </c>
      <c r="O739" s="6"/>
      <c r="P739" s="6"/>
    </row>
    <row r="740" customFormat="false" ht="15" hidden="false" customHeight="false" outlineLevel="0" collapsed="false">
      <c r="A740" s="6" t="s">
        <v>2475</v>
      </c>
      <c r="B740" s="6" t="s">
        <v>206</v>
      </c>
      <c r="C740" s="7" t="n">
        <v>46203</v>
      </c>
      <c r="D740" s="6" t="s">
        <v>380</v>
      </c>
      <c r="E740" s="6" t="s">
        <v>1734</v>
      </c>
      <c r="F740" s="6" t="s">
        <v>2388</v>
      </c>
      <c r="G740" s="6" t="s">
        <v>2476</v>
      </c>
      <c r="H740" s="10" t="n">
        <v>0.17</v>
      </c>
      <c r="K740" s="6" t="s">
        <v>742</v>
      </c>
      <c r="L740" s="6" t="s">
        <v>13</v>
      </c>
      <c r="M740" s="6" t="s">
        <v>204</v>
      </c>
      <c r="N740" s="6" t="s">
        <v>2477</v>
      </c>
      <c r="O740" s="6"/>
      <c r="P740" s="6"/>
    </row>
    <row r="741" customFormat="false" ht="15" hidden="false" customHeight="false" outlineLevel="0" collapsed="false">
      <c r="A741" s="6" t="s">
        <v>2478</v>
      </c>
      <c r="B741" s="6" t="s">
        <v>263</v>
      </c>
      <c r="C741" s="7" t="n">
        <v>46203</v>
      </c>
      <c r="D741" s="6" t="s">
        <v>392</v>
      </c>
      <c r="E741" s="6" t="s">
        <v>1734</v>
      </c>
      <c r="F741" s="6" t="s">
        <v>2388</v>
      </c>
      <c r="G741" s="6" t="s">
        <v>2454</v>
      </c>
      <c r="H741" s="10" t="n">
        <v>0.15</v>
      </c>
      <c r="K741" s="6" t="s">
        <v>742</v>
      </c>
      <c r="L741" s="6" t="s">
        <v>13</v>
      </c>
      <c r="M741" s="6" t="s">
        <v>204</v>
      </c>
      <c r="N741" s="6" t="s">
        <v>2479</v>
      </c>
      <c r="O741" s="6"/>
      <c r="P741" s="6"/>
    </row>
    <row r="742" customFormat="false" ht="15" hidden="false" customHeight="false" outlineLevel="0" collapsed="false">
      <c r="A742" s="6" t="s">
        <v>2480</v>
      </c>
      <c r="B742" s="6" t="s">
        <v>379</v>
      </c>
      <c r="C742" s="7" t="n">
        <v>44286</v>
      </c>
      <c r="D742" s="6" t="s">
        <v>380</v>
      </c>
      <c r="E742" s="6" t="s">
        <v>1734</v>
      </c>
      <c r="F742" s="6" t="s">
        <v>2481</v>
      </c>
      <c r="G742" s="6" t="s">
        <v>2482</v>
      </c>
      <c r="H742" s="9" t="n">
        <v>-24412</v>
      </c>
      <c r="K742" s="6" t="s">
        <v>384</v>
      </c>
      <c r="L742" s="6" t="s">
        <v>13</v>
      </c>
      <c r="M742" s="6" t="s">
        <v>119</v>
      </c>
      <c r="N742" s="6" t="s">
        <v>2483</v>
      </c>
      <c r="O742" s="6"/>
      <c r="P742" s="6" t="s">
        <v>386</v>
      </c>
    </row>
    <row r="743" customFormat="false" ht="15" hidden="false" customHeight="false" outlineLevel="0" collapsed="false">
      <c r="A743" s="6" t="s">
        <v>2484</v>
      </c>
      <c r="B743" s="6" t="s">
        <v>103</v>
      </c>
      <c r="C743" s="7" t="n">
        <v>44377</v>
      </c>
      <c r="D743" s="6" t="s">
        <v>380</v>
      </c>
      <c r="E743" s="6" t="s">
        <v>1734</v>
      </c>
      <c r="F743" s="6" t="s">
        <v>2481</v>
      </c>
      <c r="G743" s="6" t="s">
        <v>2485</v>
      </c>
      <c r="H743" s="9" t="n">
        <v>-11333</v>
      </c>
      <c r="K743" s="6" t="s">
        <v>384</v>
      </c>
      <c r="L743" s="6" t="s">
        <v>13</v>
      </c>
      <c r="M743" s="6" t="s">
        <v>100</v>
      </c>
      <c r="N743" s="6" t="s">
        <v>2486</v>
      </c>
      <c r="O743" s="6"/>
      <c r="P743" s="6"/>
    </row>
    <row r="744" customFormat="false" ht="15" hidden="false" customHeight="false" outlineLevel="0" collapsed="false">
      <c r="A744" s="6" t="s">
        <v>2487</v>
      </c>
      <c r="B744" s="6" t="s">
        <v>391</v>
      </c>
      <c r="C744" s="7" t="n">
        <v>44377</v>
      </c>
      <c r="D744" s="6" t="s">
        <v>392</v>
      </c>
      <c r="E744" s="6" t="s">
        <v>1734</v>
      </c>
      <c r="F744" s="6" t="s">
        <v>2481</v>
      </c>
      <c r="G744" s="6" t="s">
        <v>2488</v>
      </c>
      <c r="H744" s="9" t="n">
        <v>-35745</v>
      </c>
      <c r="K744" s="6" t="s">
        <v>384</v>
      </c>
      <c r="L744" s="6" t="s">
        <v>13</v>
      </c>
      <c r="M744" s="6" t="s">
        <v>100</v>
      </c>
      <c r="N744" s="6" t="s">
        <v>2489</v>
      </c>
      <c r="O744" s="6"/>
      <c r="P744" s="6"/>
    </row>
    <row r="745" customFormat="false" ht="15" hidden="false" customHeight="false" outlineLevel="0" collapsed="false">
      <c r="A745" s="6" t="s">
        <v>2490</v>
      </c>
      <c r="B745" s="6" t="s">
        <v>111</v>
      </c>
      <c r="C745" s="7" t="n">
        <v>44469</v>
      </c>
      <c r="D745" s="6" t="s">
        <v>380</v>
      </c>
      <c r="E745" s="6" t="s">
        <v>1734</v>
      </c>
      <c r="F745" s="6" t="s">
        <v>2481</v>
      </c>
      <c r="G745" s="6" t="s">
        <v>2491</v>
      </c>
      <c r="H745" s="9" t="n">
        <v>-11373</v>
      </c>
      <c r="K745" s="6" t="s">
        <v>384</v>
      </c>
      <c r="L745" s="6" t="s">
        <v>13</v>
      </c>
      <c r="M745" s="6" t="s">
        <v>109</v>
      </c>
      <c r="N745" s="6" t="s">
        <v>2492</v>
      </c>
      <c r="O745" s="6"/>
      <c r="P745" s="6"/>
    </row>
    <row r="746" customFormat="false" ht="15" hidden="false" customHeight="false" outlineLevel="0" collapsed="false">
      <c r="A746" s="6" t="s">
        <v>2493</v>
      </c>
      <c r="B746" s="6" t="s">
        <v>399</v>
      </c>
      <c r="C746" s="7" t="n">
        <v>44469</v>
      </c>
      <c r="D746" s="6" t="s">
        <v>400</v>
      </c>
      <c r="E746" s="6" t="s">
        <v>1734</v>
      </c>
      <c r="F746" s="6" t="s">
        <v>2481</v>
      </c>
      <c r="G746" s="6" t="s">
        <v>2494</v>
      </c>
      <c r="H746" s="9" t="n">
        <v>-47118</v>
      </c>
      <c r="K746" s="6" t="s">
        <v>384</v>
      </c>
      <c r="L746" s="6" t="s">
        <v>13</v>
      </c>
      <c r="M746" s="6" t="s">
        <v>109</v>
      </c>
      <c r="N746" s="6" t="s">
        <v>2495</v>
      </c>
      <c r="O746" s="6"/>
      <c r="P746" s="6"/>
    </row>
    <row r="747" customFormat="false" ht="15" hidden="false" customHeight="false" outlineLevel="0" collapsed="false">
      <c r="A747" s="6" t="s">
        <v>2496</v>
      </c>
      <c r="B747" s="6" t="s">
        <v>116</v>
      </c>
      <c r="C747" s="7" t="n">
        <v>44561</v>
      </c>
      <c r="D747" s="6" t="s">
        <v>380</v>
      </c>
      <c r="E747" s="6" t="s">
        <v>1734</v>
      </c>
      <c r="F747" s="6" t="s">
        <v>2481</v>
      </c>
      <c r="G747" s="6" t="s">
        <v>2497</v>
      </c>
      <c r="H747" s="9" t="n">
        <v>-11716</v>
      </c>
      <c r="K747" s="6" t="s">
        <v>384</v>
      </c>
      <c r="L747" s="6" t="s">
        <v>13</v>
      </c>
      <c r="M747" s="6" t="s">
        <v>114</v>
      </c>
      <c r="N747" s="6" t="s">
        <v>2498</v>
      </c>
      <c r="O747" s="6"/>
      <c r="P747" s="6"/>
    </row>
    <row r="748" customFormat="false" ht="15" hidden="false" customHeight="false" outlineLevel="0" collapsed="false">
      <c r="A748" s="6" t="s">
        <v>2499</v>
      </c>
      <c r="B748" s="6" t="s">
        <v>212</v>
      </c>
      <c r="C748" s="7" t="n">
        <v>44561</v>
      </c>
      <c r="D748" s="6" t="s">
        <v>407</v>
      </c>
      <c r="E748" s="6" t="s">
        <v>1734</v>
      </c>
      <c r="F748" s="6" t="s">
        <v>2481</v>
      </c>
      <c r="G748" s="6" t="s">
        <v>2500</v>
      </c>
      <c r="H748" s="9" t="n">
        <v>-58834</v>
      </c>
      <c r="K748" s="6" t="s">
        <v>384</v>
      </c>
      <c r="L748" s="6" t="s">
        <v>13</v>
      </c>
      <c r="M748" s="6" t="s">
        <v>114</v>
      </c>
      <c r="N748" s="6" t="s">
        <v>2501</v>
      </c>
      <c r="O748" s="6"/>
      <c r="P748" s="6"/>
    </row>
    <row r="749" customFormat="false" ht="15" hidden="false" customHeight="false" outlineLevel="0" collapsed="false">
      <c r="A749" s="6" t="s">
        <v>2502</v>
      </c>
      <c r="B749" s="6" t="s">
        <v>121</v>
      </c>
      <c r="C749" s="7" t="n">
        <v>44651</v>
      </c>
      <c r="D749" s="6" t="s">
        <v>380</v>
      </c>
      <c r="E749" s="6" t="s">
        <v>1734</v>
      </c>
      <c r="F749" s="6" t="s">
        <v>2481</v>
      </c>
      <c r="G749" s="6" t="s">
        <v>2503</v>
      </c>
      <c r="H749" s="9" t="n">
        <v>-43239</v>
      </c>
      <c r="K749" s="6" t="s">
        <v>384</v>
      </c>
      <c r="L749" s="6" t="s">
        <v>13</v>
      </c>
      <c r="M749" s="6" t="s">
        <v>119</v>
      </c>
      <c r="N749" s="6" t="s">
        <v>2504</v>
      </c>
      <c r="O749" s="6"/>
      <c r="P749" s="6"/>
    </row>
    <row r="750" customFormat="false" ht="15" hidden="false" customHeight="false" outlineLevel="0" collapsed="false">
      <c r="A750" s="6" t="s">
        <v>2505</v>
      </c>
      <c r="B750" s="6" t="s">
        <v>126</v>
      </c>
      <c r="C750" s="7" t="n">
        <v>44742</v>
      </c>
      <c r="D750" s="6" t="s">
        <v>380</v>
      </c>
      <c r="E750" s="6" t="s">
        <v>1734</v>
      </c>
      <c r="F750" s="6" t="s">
        <v>2481</v>
      </c>
      <c r="G750" s="6" t="s">
        <v>2506</v>
      </c>
      <c r="H750" s="9" t="n">
        <v>-14917</v>
      </c>
      <c r="K750" s="6" t="s">
        <v>384</v>
      </c>
      <c r="L750" s="6" t="s">
        <v>13</v>
      </c>
      <c r="M750" s="6" t="s">
        <v>124</v>
      </c>
      <c r="N750" s="6" t="s">
        <v>2507</v>
      </c>
      <c r="O750" s="6"/>
      <c r="P750" s="6"/>
    </row>
    <row r="751" customFormat="false" ht="15" hidden="false" customHeight="false" outlineLevel="0" collapsed="false">
      <c r="A751" s="6" t="s">
        <v>2508</v>
      </c>
      <c r="B751" s="6" t="s">
        <v>417</v>
      </c>
      <c r="C751" s="7" t="n">
        <v>44742</v>
      </c>
      <c r="D751" s="6" t="s">
        <v>392</v>
      </c>
      <c r="E751" s="6" t="s">
        <v>1734</v>
      </c>
      <c r="F751" s="6" t="s">
        <v>2481</v>
      </c>
      <c r="G751" s="6" t="s">
        <v>2509</v>
      </c>
      <c r="H751" s="9" t="n">
        <v>-58156</v>
      </c>
      <c r="K751" s="6" t="s">
        <v>384</v>
      </c>
      <c r="L751" s="6" t="s">
        <v>13</v>
      </c>
      <c r="M751" s="6" t="s">
        <v>124</v>
      </c>
      <c r="N751" s="6" t="s">
        <v>2510</v>
      </c>
      <c r="O751" s="6"/>
      <c r="P751" s="6"/>
    </row>
    <row r="752" customFormat="false" ht="15" hidden="false" customHeight="false" outlineLevel="0" collapsed="false">
      <c r="A752" s="6" t="s">
        <v>2511</v>
      </c>
      <c r="B752" s="6" t="s">
        <v>131</v>
      </c>
      <c r="C752" s="7" t="n">
        <v>44834</v>
      </c>
      <c r="D752" s="6" t="s">
        <v>380</v>
      </c>
      <c r="E752" s="6" t="s">
        <v>1734</v>
      </c>
      <c r="F752" s="6" t="s">
        <v>2481</v>
      </c>
      <c r="G752" s="6" t="s">
        <v>2512</v>
      </c>
      <c r="H752" s="9" t="n">
        <v>2576</v>
      </c>
      <c r="K752" s="6" t="s">
        <v>384</v>
      </c>
      <c r="L752" s="6" t="s">
        <v>13</v>
      </c>
      <c r="M752" s="6" t="s">
        <v>129</v>
      </c>
      <c r="N752" s="6" t="s">
        <v>2513</v>
      </c>
      <c r="O752" s="6"/>
      <c r="P752" s="6"/>
    </row>
    <row r="753" customFormat="false" ht="15" hidden="false" customHeight="false" outlineLevel="0" collapsed="false">
      <c r="A753" s="6" t="s">
        <v>2514</v>
      </c>
      <c r="B753" s="6" t="s">
        <v>424</v>
      </c>
      <c r="C753" s="7" t="n">
        <v>44834</v>
      </c>
      <c r="D753" s="6" t="s">
        <v>400</v>
      </c>
      <c r="E753" s="6" t="s">
        <v>1734</v>
      </c>
      <c r="F753" s="6" t="s">
        <v>2481</v>
      </c>
      <c r="G753" s="6" t="s">
        <v>2515</v>
      </c>
      <c r="H753" s="9" t="n">
        <v>-55580</v>
      </c>
      <c r="K753" s="6" t="s">
        <v>384</v>
      </c>
      <c r="L753" s="6" t="s">
        <v>13</v>
      </c>
      <c r="M753" s="6" t="s">
        <v>129</v>
      </c>
      <c r="N753" s="6" t="s">
        <v>2516</v>
      </c>
      <c r="O753" s="6"/>
      <c r="P753" s="6"/>
    </row>
    <row r="754" customFormat="false" ht="15" hidden="false" customHeight="false" outlineLevel="0" collapsed="false">
      <c r="A754" s="6" t="s">
        <v>2517</v>
      </c>
      <c r="B754" s="6" t="s">
        <v>136</v>
      </c>
      <c r="C754" s="7" t="n">
        <v>44926</v>
      </c>
      <c r="D754" s="6" t="s">
        <v>380</v>
      </c>
      <c r="E754" s="6" t="s">
        <v>1734</v>
      </c>
      <c r="F754" s="6" t="s">
        <v>2481</v>
      </c>
      <c r="G754" s="6" t="s">
        <v>2518</v>
      </c>
      <c r="H754" s="9" t="n">
        <v>22202</v>
      </c>
      <c r="K754" s="6" t="s">
        <v>384</v>
      </c>
      <c r="L754" s="6" t="s">
        <v>13</v>
      </c>
      <c r="M754" s="6" t="s">
        <v>134</v>
      </c>
      <c r="N754" s="6" t="s">
        <v>2519</v>
      </c>
      <c r="O754" s="6"/>
      <c r="P754" s="6"/>
    </row>
    <row r="755" customFormat="false" ht="15" hidden="false" customHeight="false" outlineLevel="0" collapsed="false">
      <c r="A755" s="6" t="s">
        <v>2520</v>
      </c>
      <c r="B755" s="6" t="s">
        <v>220</v>
      </c>
      <c r="C755" s="7" t="n">
        <v>44926</v>
      </c>
      <c r="D755" s="6" t="s">
        <v>407</v>
      </c>
      <c r="E755" s="6" t="s">
        <v>1734</v>
      </c>
      <c r="F755" s="6" t="s">
        <v>2481</v>
      </c>
      <c r="G755" s="6" t="s">
        <v>2521</v>
      </c>
      <c r="H755" s="9" t="n">
        <v>-33378</v>
      </c>
      <c r="K755" s="6" t="s">
        <v>384</v>
      </c>
      <c r="L755" s="6" t="s">
        <v>13</v>
      </c>
      <c r="M755" s="6" t="s">
        <v>134</v>
      </c>
      <c r="N755" s="6" t="s">
        <v>2522</v>
      </c>
      <c r="O755" s="6"/>
      <c r="P755" s="6"/>
    </row>
    <row r="756" customFormat="false" ht="15" hidden="false" customHeight="false" outlineLevel="0" collapsed="false">
      <c r="A756" s="6" t="s">
        <v>2523</v>
      </c>
      <c r="B756" s="6" t="s">
        <v>141</v>
      </c>
      <c r="C756" s="7" t="n">
        <v>45016</v>
      </c>
      <c r="D756" s="6" t="s">
        <v>380</v>
      </c>
      <c r="E756" s="6" t="s">
        <v>1734</v>
      </c>
      <c r="F756" s="6" t="s">
        <v>2481</v>
      </c>
      <c r="G756" s="6" t="s">
        <v>2524</v>
      </c>
      <c r="H756" s="9" t="n">
        <v>7233</v>
      </c>
      <c r="K756" s="6" t="s">
        <v>384</v>
      </c>
      <c r="L756" s="6" t="s">
        <v>13</v>
      </c>
      <c r="M756" s="6" t="s">
        <v>139</v>
      </c>
      <c r="N756" s="6" t="s">
        <v>2525</v>
      </c>
      <c r="O756" s="6"/>
      <c r="P756" s="6"/>
    </row>
    <row r="757" customFormat="false" ht="15" hidden="false" customHeight="false" outlineLevel="0" collapsed="false">
      <c r="A757" s="6" t="s">
        <v>2526</v>
      </c>
      <c r="B757" s="6" t="s">
        <v>146</v>
      </c>
      <c r="C757" s="7" t="n">
        <v>45107</v>
      </c>
      <c r="D757" s="6" t="s">
        <v>380</v>
      </c>
      <c r="E757" s="6" t="s">
        <v>1734</v>
      </c>
      <c r="F757" s="6" t="s">
        <v>2481</v>
      </c>
      <c r="G757" s="6" t="s">
        <v>2527</v>
      </c>
      <c r="H757" s="9" t="n">
        <v>20963</v>
      </c>
      <c r="K757" s="6" t="s">
        <v>384</v>
      </c>
      <c r="L757" s="6" t="s">
        <v>13</v>
      </c>
      <c r="M757" s="6" t="s">
        <v>144</v>
      </c>
      <c r="N757" s="6" t="s">
        <v>2528</v>
      </c>
      <c r="O757" s="6"/>
      <c r="P757" s="6"/>
    </row>
    <row r="758" customFormat="false" ht="15" hidden="false" customHeight="false" outlineLevel="0" collapsed="false">
      <c r="A758" s="6" t="s">
        <v>2529</v>
      </c>
      <c r="B758" s="6" t="s">
        <v>440</v>
      </c>
      <c r="C758" s="7" t="n">
        <v>45107</v>
      </c>
      <c r="D758" s="6" t="s">
        <v>392</v>
      </c>
      <c r="E758" s="6" t="s">
        <v>1734</v>
      </c>
      <c r="F758" s="6" t="s">
        <v>2481</v>
      </c>
      <c r="G758" s="6" t="s">
        <v>2530</v>
      </c>
      <c r="H758" s="9" t="n">
        <v>28196</v>
      </c>
      <c r="K758" s="6" t="s">
        <v>384</v>
      </c>
      <c r="L758" s="6" t="s">
        <v>13</v>
      </c>
      <c r="M758" s="6" t="s">
        <v>144</v>
      </c>
      <c r="N758" s="6" t="s">
        <v>2531</v>
      </c>
      <c r="O758" s="6"/>
      <c r="P758" s="6"/>
    </row>
    <row r="759" customFormat="false" ht="15" hidden="false" customHeight="false" outlineLevel="0" collapsed="false">
      <c r="A759" s="6" t="s">
        <v>2532</v>
      </c>
      <c r="B759" s="6" t="s">
        <v>151</v>
      </c>
      <c r="C759" s="7" t="n">
        <v>45199</v>
      </c>
      <c r="D759" s="6" t="s">
        <v>380</v>
      </c>
      <c r="E759" s="6" t="s">
        <v>1734</v>
      </c>
      <c r="F759" s="6" t="s">
        <v>2481</v>
      </c>
      <c r="G759" s="6" t="s">
        <v>2533</v>
      </c>
      <c r="H759" s="9" t="n">
        <v>33011</v>
      </c>
      <c r="K759" s="6" t="s">
        <v>384</v>
      </c>
      <c r="L759" s="6" t="s">
        <v>13</v>
      </c>
      <c r="M759" s="6" t="s">
        <v>149</v>
      </c>
      <c r="N759" s="6" t="s">
        <v>2534</v>
      </c>
      <c r="O759" s="6"/>
      <c r="P759" s="6"/>
    </row>
    <row r="760" customFormat="false" ht="15" hidden="false" customHeight="false" outlineLevel="0" collapsed="false">
      <c r="A760" s="6" t="s">
        <v>2535</v>
      </c>
      <c r="B760" s="6" t="s">
        <v>447</v>
      </c>
      <c r="C760" s="7" t="n">
        <v>45199</v>
      </c>
      <c r="D760" s="6" t="s">
        <v>400</v>
      </c>
      <c r="E760" s="6" t="s">
        <v>1734</v>
      </c>
      <c r="F760" s="6" t="s">
        <v>2481</v>
      </c>
      <c r="G760" s="6" t="s">
        <v>2536</v>
      </c>
      <c r="H760" s="9" t="n">
        <v>61207</v>
      </c>
      <c r="K760" s="6" t="s">
        <v>384</v>
      </c>
      <c r="L760" s="6" t="s">
        <v>13</v>
      </c>
      <c r="M760" s="6" t="s">
        <v>149</v>
      </c>
      <c r="N760" s="6" t="s">
        <v>2537</v>
      </c>
      <c r="O760" s="6"/>
      <c r="P760" s="6"/>
    </row>
    <row r="761" customFormat="false" ht="15" hidden="false" customHeight="false" outlineLevel="0" collapsed="false">
      <c r="A761" s="6" t="s">
        <v>2538</v>
      </c>
      <c r="B761" s="6" t="s">
        <v>156</v>
      </c>
      <c r="C761" s="7" t="n">
        <v>45291</v>
      </c>
      <c r="D761" s="6" t="s">
        <v>380</v>
      </c>
      <c r="E761" s="6" t="s">
        <v>1734</v>
      </c>
      <c r="F761" s="6" t="s">
        <v>2481</v>
      </c>
      <c r="G761" s="6" t="s">
        <v>2539</v>
      </c>
      <c r="H761" s="9" t="n">
        <v>33710</v>
      </c>
      <c r="K761" s="6" t="s">
        <v>384</v>
      </c>
      <c r="L761" s="6" t="s">
        <v>13</v>
      </c>
      <c r="M761" s="6" t="s">
        <v>154</v>
      </c>
      <c r="N761" s="6" t="s">
        <v>2540</v>
      </c>
      <c r="O761" s="6"/>
      <c r="P761" s="6"/>
    </row>
    <row r="762" customFormat="false" ht="15" hidden="false" customHeight="false" outlineLevel="0" collapsed="false">
      <c r="A762" s="6" t="s">
        <v>2541</v>
      </c>
      <c r="B762" s="6" t="s">
        <v>225</v>
      </c>
      <c r="C762" s="7" t="n">
        <v>45291</v>
      </c>
      <c r="D762" s="6" t="s">
        <v>407</v>
      </c>
      <c r="E762" s="6" t="s">
        <v>1734</v>
      </c>
      <c r="F762" s="6" t="s">
        <v>2481</v>
      </c>
      <c r="G762" s="6" t="s">
        <v>2542</v>
      </c>
      <c r="H762" s="9" t="n">
        <v>94917</v>
      </c>
      <c r="K762" s="6" t="s">
        <v>384</v>
      </c>
      <c r="L762" s="6" t="s">
        <v>13</v>
      </c>
      <c r="M762" s="6" t="s">
        <v>154</v>
      </c>
      <c r="N762" s="6" t="s">
        <v>2543</v>
      </c>
      <c r="O762" s="6"/>
      <c r="P762" s="6"/>
    </row>
    <row r="763" customFormat="false" ht="15" hidden="false" customHeight="false" outlineLevel="0" collapsed="false">
      <c r="A763" s="6" t="s">
        <v>2544</v>
      </c>
      <c r="B763" s="6" t="s">
        <v>161</v>
      </c>
      <c r="C763" s="7" t="n">
        <v>45382</v>
      </c>
      <c r="D763" s="6" t="s">
        <v>380</v>
      </c>
      <c r="E763" s="6" t="s">
        <v>1734</v>
      </c>
      <c r="F763" s="6" t="s">
        <v>2481</v>
      </c>
      <c r="G763" s="6" t="s">
        <v>2545</v>
      </c>
      <c r="H763" s="9" t="n">
        <v>31716</v>
      </c>
      <c r="K763" s="6" t="s">
        <v>384</v>
      </c>
      <c r="L763" s="6" t="s">
        <v>13</v>
      </c>
      <c r="M763" s="6" t="s">
        <v>159</v>
      </c>
      <c r="N763" s="6" t="s">
        <v>2546</v>
      </c>
      <c r="O763" s="6"/>
      <c r="P763" s="6"/>
    </row>
    <row r="764" customFormat="false" ht="15" hidden="false" customHeight="false" outlineLevel="0" collapsed="false">
      <c r="A764" s="6" t="s">
        <v>2547</v>
      </c>
      <c r="B764" s="6" t="s">
        <v>166</v>
      </c>
      <c r="C764" s="7" t="n">
        <v>45473</v>
      </c>
      <c r="D764" s="6" t="s">
        <v>380</v>
      </c>
      <c r="E764" s="6" t="s">
        <v>1734</v>
      </c>
      <c r="F764" s="6" t="s">
        <v>2481</v>
      </c>
      <c r="G764" s="6" t="s">
        <v>2548</v>
      </c>
      <c r="H764" s="9" t="n">
        <v>49318</v>
      </c>
      <c r="K764" s="6" t="s">
        <v>384</v>
      </c>
      <c r="L764" s="6" t="s">
        <v>13</v>
      </c>
      <c r="M764" s="6" t="s">
        <v>164</v>
      </c>
      <c r="N764" s="6" t="s">
        <v>2549</v>
      </c>
      <c r="O764" s="6"/>
      <c r="P764" s="6"/>
    </row>
    <row r="765" customFormat="false" ht="15" hidden="false" customHeight="false" outlineLevel="0" collapsed="false">
      <c r="A765" s="6" t="s">
        <v>2550</v>
      </c>
      <c r="B765" s="6" t="s">
        <v>241</v>
      </c>
      <c r="C765" s="7" t="n">
        <v>45473</v>
      </c>
      <c r="D765" s="6" t="s">
        <v>392</v>
      </c>
      <c r="E765" s="6" t="s">
        <v>1734</v>
      </c>
      <c r="F765" s="6" t="s">
        <v>2481</v>
      </c>
      <c r="G765" s="6" t="s">
        <v>2551</v>
      </c>
      <c r="H765" s="9" t="n">
        <v>81034</v>
      </c>
      <c r="K765" s="6" t="s">
        <v>384</v>
      </c>
      <c r="L765" s="6" t="s">
        <v>13</v>
      </c>
      <c r="M765" s="6" t="s">
        <v>164</v>
      </c>
      <c r="N765" s="6" t="s">
        <v>2552</v>
      </c>
      <c r="O765" s="6"/>
      <c r="P765" s="6"/>
    </row>
    <row r="766" customFormat="false" ht="15" hidden="false" customHeight="false" outlineLevel="0" collapsed="false">
      <c r="A766" s="6" t="s">
        <v>2553</v>
      </c>
      <c r="B766" s="6" t="s">
        <v>171</v>
      </c>
      <c r="C766" s="7" t="n">
        <v>45565</v>
      </c>
      <c r="D766" s="6" t="s">
        <v>380</v>
      </c>
      <c r="E766" s="6" t="s">
        <v>1734</v>
      </c>
      <c r="F766" s="6" t="s">
        <v>2481</v>
      </c>
      <c r="G766" s="6" t="s">
        <v>2554</v>
      </c>
      <c r="H766" s="9" t="n">
        <v>44969</v>
      </c>
      <c r="K766" s="6" t="s">
        <v>384</v>
      </c>
      <c r="L766" s="6" t="s">
        <v>13</v>
      </c>
      <c r="M766" s="6" t="s">
        <v>169</v>
      </c>
      <c r="N766" s="6" t="s">
        <v>2555</v>
      </c>
      <c r="O766" s="6"/>
      <c r="P766" s="6"/>
    </row>
    <row r="767" customFormat="false" ht="15" hidden="false" customHeight="false" outlineLevel="0" collapsed="false">
      <c r="A767" s="6" t="s">
        <v>2556</v>
      </c>
      <c r="B767" s="6" t="s">
        <v>469</v>
      </c>
      <c r="C767" s="7" t="n">
        <v>45565</v>
      </c>
      <c r="D767" s="6" t="s">
        <v>400</v>
      </c>
      <c r="E767" s="6" t="s">
        <v>1734</v>
      </c>
      <c r="F767" s="6" t="s">
        <v>2481</v>
      </c>
      <c r="G767" s="6" t="s">
        <v>2557</v>
      </c>
      <c r="H767" s="9" t="n">
        <v>126003</v>
      </c>
      <c r="K767" s="6" t="s">
        <v>384</v>
      </c>
      <c r="L767" s="6" t="s">
        <v>13</v>
      </c>
      <c r="M767" s="6" t="s">
        <v>169</v>
      </c>
      <c r="N767" s="6" t="s">
        <v>2558</v>
      </c>
      <c r="O767" s="6"/>
      <c r="P767" s="6"/>
    </row>
    <row r="768" customFormat="false" ht="15" hidden="false" customHeight="false" outlineLevel="0" collapsed="false">
      <c r="A768" s="6" t="s">
        <v>2559</v>
      </c>
      <c r="B768" s="6" t="s">
        <v>176</v>
      </c>
      <c r="C768" s="7" t="n">
        <v>45657</v>
      </c>
      <c r="D768" s="6" t="s">
        <v>380</v>
      </c>
      <c r="E768" s="6" t="s">
        <v>1734</v>
      </c>
      <c r="F768" s="6" t="s">
        <v>2481</v>
      </c>
      <c r="G768" s="6" t="s">
        <v>2560</v>
      </c>
      <c r="H768" s="9" t="n">
        <v>57300</v>
      </c>
      <c r="K768" s="6" t="s">
        <v>384</v>
      </c>
      <c r="L768" s="6" t="s">
        <v>13</v>
      </c>
      <c r="M768" s="6" t="s">
        <v>174</v>
      </c>
      <c r="N768" s="6" t="s">
        <v>2561</v>
      </c>
      <c r="O768" s="6"/>
      <c r="P768" s="6"/>
    </row>
    <row r="769" customFormat="false" ht="15" hidden="false" customHeight="false" outlineLevel="0" collapsed="false">
      <c r="A769" s="6" t="s">
        <v>2562</v>
      </c>
      <c r="B769" s="6" t="s">
        <v>230</v>
      </c>
      <c r="C769" s="7" t="n">
        <v>45657</v>
      </c>
      <c r="D769" s="6" t="s">
        <v>407</v>
      </c>
      <c r="E769" s="6" t="s">
        <v>1734</v>
      </c>
      <c r="F769" s="6" t="s">
        <v>2481</v>
      </c>
      <c r="G769" s="6" t="s">
        <v>2563</v>
      </c>
      <c r="H769" s="9" t="n">
        <v>183303</v>
      </c>
      <c r="K769" s="6" t="s">
        <v>384</v>
      </c>
      <c r="L769" s="6" t="s">
        <v>13</v>
      </c>
      <c r="M769" s="6" t="s">
        <v>174</v>
      </c>
      <c r="N769" s="6" t="s">
        <v>2564</v>
      </c>
      <c r="O769" s="6"/>
      <c r="P769" s="6"/>
    </row>
    <row r="770" customFormat="false" ht="15" hidden="false" customHeight="false" outlineLevel="0" collapsed="false">
      <c r="A770" s="6" t="s">
        <v>2565</v>
      </c>
      <c r="B770" s="6" t="s">
        <v>181</v>
      </c>
      <c r="C770" s="7" t="n">
        <v>45747</v>
      </c>
      <c r="D770" s="6" t="s">
        <v>380</v>
      </c>
      <c r="E770" s="6" t="s">
        <v>1734</v>
      </c>
      <c r="F770" s="6" t="s">
        <v>2481</v>
      </c>
      <c r="G770" s="6" t="s">
        <v>2566</v>
      </c>
      <c r="H770" s="9" t="n">
        <v>58383</v>
      </c>
      <c r="K770" s="6" t="s">
        <v>384</v>
      </c>
      <c r="L770" s="6" t="s">
        <v>13</v>
      </c>
      <c r="M770" s="6" t="s">
        <v>179</v>
      </c>
      <c r="N770" s="6" t="s">
        <v>2567</v>
      </c>
      <c r="O770" s="6"/>
      <c r="P770" s="6"/>
    </row>
    <row r="771" customFormat="false" ht="15" hidden="false" customHeight="false" outlineLevel="0" collapsed="false">
      <c r="A771" s="6" t="s">
        <v>2568</v>
      </c>
      <c r="B771" s="6" t="s">
        <v>186</v>
      </c>
      <c r="C771" s="7" t="n">
        <v>45838</v>
      </c>
      <c r="D771" s="6" t="s">
        <v>380</v>
      </c>
      <c r="E771" s="6" t="s">
        <v>1734</v>
      </c>
      <c r="F771" s="6" t="s">
        <v>2481</v>
      </c>
      <c r="G771" s="6" t="s">
        <v>2569</v>
      </c>
      <c r="H771" s="9" t="n">
        <v>58296</v>
      </c>
      <c r="K771" s="6" t="s">
        <v>384</v>
      </c>
      <c r="L771" s="6" t="s">
        <v>13</v>
      </c>
      <c r="M771" s="6" t="s">
        <v>184</v>
      </c>
      <c r="N771" s="6" t="s">
        <v>2570</v>
      </c>
      <c r="O771" s="6"/>
      <c r="P771" s="6"/>
    </row>
    <row r="772" customFormat="false" ht="15" hidden="false" customHeight="false" outlineLevel="0" collapsed="false">
      <c r="A772" s="6" t="s">
        <v>2571</v>
      </c>
      <c r="B772" s="6" t="s">
        <v>255</v>
      </c>
      <c r="C772" s="7" t="n">
        <v>45838</v>
      </c>
      <c r="D772" s="6" t="s">
        <v>392</v>
      </c>
      <c r="E772" s="6" t="s">
        <v>1734</v>
      </c>
      <c r="F772" s="6" t="s">
        <v>2481</v>
      </c>
      <c r="G772" s="6" t="s">
        <v>2572</v>
      </c>
      <c r="H772" s="9" t="n">
        <v>116679</v>
      </c>
      <c r="K772" s="6" t="s">
        <v>384</v>
      </c>
      <c r="L772" s="6" t="s">
        <v>13</v>
      </c>
      <c r="M772" s="6" t="s">
        <v>184</v>
      </c>
      <c r="N772" s="6" t="s">
        <v>2573</v>
      </c>
      <c r="O772" s="6"/>
      <c r="P772" s="6"/>
    </row>
    <row r="773" customFormat="false" ht="15" hidden="false" customHeight="false" outlineLevel="0" collapsed="false">
      <c r="A773" s="6" t="s">
        <v>2574</v>
      </c>
      <c r="B773" s="6" t="s">
        <v>191</v>
      </c>
      <c r="C773" s="7" t="n">
        <v>45930</v>
      </c>
      <c r="D773" s="6" t="s">
        <v>380</v>
      </c>
      <c r="E773" s="6" t="s">
        <v>1734</v>
      </c>
      <c r="F773" s="6" t="s">
        <v>2481</v>
      </c>
      <c r="G773" s="6" t="s">
        <v>2575</v>
      </c>
      <c r="H773" s="9" t="n">
        <v>61899</v>
      </c>
      <c r="K773" s="6" t="s">
        <v>384</v>
      </c>
      <c r="L773" s="6" t="s">
        <v>13</v>
      </c>
      <c r="M773" s="6" t="s">
        <v>189</v>
      </c>
      <c r="N773" s="6" t="s">
        <v>2576</v>
      </c>
      <c r="O773" s="6"/>
      <c r="P773" s="6"/>
    </row>
    <row r="774" customFormat="false" ht="15" hidden="false" customHeight="false" outlineLevel="0" collapsed="false">
      <c r="A774" s="6" t="s">
        <v>2577</v>
      </c>
      <c r="B774" s="6" t="s">
        <v>491</v>
      </c>
      <c r="C774" s="7" t="n">
        <v>45930</v>
      </c>
      <c r="D774" s="6" t="s">
        <v>400</v>
      </c>
      <c r="E774" s="6" t="s">
        <v>1734</v>
      </c>
      <c r="F774" s="6" t="s">
        <v>2481</v>
      </c>
      <c r="G774" s="6" t="s">
        <v>2578</v>
      </c>
      <c r="H774" s="9" t="n">
        <v>178578</v>
      </c>
      <c r="K774" s="6" t="s">
        <v>384</v>
      </c>
      <c r="L774" s="6" t="s">
        <v>13</v>
      </c>
      <c r="M774" s="6" t="s">
        <v>189</v>
      </c>
      <c r="N774" s="6" t="s">
        <v>2579</v>
      </c>
      <c r="O774" s="6"/>
      <c r="P774" s="6"/>
    </row>
    <row r="775" customFormat="false" ht="15" hidden="false" customHeight="false" outlineLevel="0" collapsed="false">
      <c r="A775" s="6" t="s">
        <v>2580</v>
      </c>
      <c r="B775" s="6" t="s">
        <v>196</v>
      </c>
      <c r="C775" s="7" t="n">
        <v>46022</v>
      </c>
      <c r="D775" s="6" t="s">
        <v>380</v>
      </c>
      <c r="E775" s="6" t="s">
        <v>1734</v>
      </c>
      <c r="F775" s="6" t="s">
        <v>2481</v>
      </c>
      <c r="G775" s="6" t="s">
        <v>2581</v>
      </c>
      <c r="H775" s="9" t="n">
        <v>55008</v>
      </c>
      <c r="K775" s="6" t="s">
        <v>384</v>
      </c>
      <c r="L775" s="6" t="s">
        <v>13</v>
      </c>
      <c r="M775" s="6" t="s">
        <v>194</v>
      </c>
      <c r="N775" s="6" t="s">
        <v>2582</v>
      </c>
      <c r="O775" s="6"/>
      <c r="P775" s="6"/>
    </row>
    <row r="776" customFormat="false" ht="15" hidden="false" customHeight="false" outlineLevel="0" collapsed="false">
      <c r="A776" s="6" t="s">
        <v>2583</v>
      </c>
      <c r="B776" s="6" t="s">
        <v>235</v>
      </c>
      <c r="C776" s="7" t="n">
        <v>46022</v>
      </c>
      <c r="D776" s="6" t="s">
        <v>407</v>
      </c>
      <c r="E776" s="6" t="s">
        <v>1734</v>
      </c>
      <c r="F776" s="6" t="s">
        <v>2481</v>
      </c>
      <c r="G776" s="6" t="s">
        <v>2584</v>
      </c>
      <c r="H776" s="9" t="n">
        <v>233586</v>
      </c>
      <c r="K776" s="6" t="s">
        <v>384</v>
      </c>
      <c r="L776" s="6" t="s">
        <v>13</v>
      </c>
      <c r="M776" s="6" t="s">
        <v>194</v>
      </c>
      <c r="N776" s="6" t="s">
        <v>2585</v>
      </c>
      <c r="O776" s="6"/>
      <c r="P776" s="6"/>
    </row>
    <row r="777" customFormat="false" ht="15" hidden="false" customHeight="false" outlineLevel="0" collapsed="false">
      <c r="A777" s="6" t="s">
        <v>2586</v>
      </c>
      <c r="B777" s="6" t="s">
        <v>201</v>
      </c>
      <c r="C777" s="7" t="n">
        <v>46112</v>
      </c>
      <c r="D777" s="6" t="s">
        <v>380</v>
      </c>
      <c r="E777" s="6" t="s">
        <v>1734</v>
      </c>
      <c r="F777" s="6" t="s">
        <v>2481</v>
      </c>
      <c r="G777" s="6" t="s">
        <v>2587</v>
      </c>
      <c r="H777" s="9" t="n">
        <v>56004</v>
      </c>
      <c r="K777" s="6" t="s">
        <v>384</v>
      </c>
      <c r="L777" s="6" t="s">
        <v>13</v>
      </c>
      <c r="M777" s="6" t="s">
        <v>199</v>
      </c>
      <c r="N777" s="6" t="s">
        <v>2588</v>
      </c>
      <c r="O777" s="6"/>
      <c r="P777" s="6"/>
    </row>
    <row r="778" customFormat="false" ht="15" hidden="false" customHeight="false" outlineLevel="0" collapsed="false">
      <c r="A778" s="6" t="s">
        <v>2589</v>
      </c>
      <c r="B778" s="6" t="s">
        <v>206</v>
      </c>
      <c r="C778" s="7" t="n">
        <v>46203</v>
      </c>
      <c r="D778" s="6" t="s">
        <v>380</v>
      </c>
      <c r="E778" s="6" t="s">
        <v>1734</v>
      </c>
      <c r="F778" s="6" t="s">
        <v>2481</v>
      </c>
      <c r="G778" s="6" t="s">
        <v>2590</v>
      </c>
      <c r="H778" s="9" t="n">
        <v>65635</v>
      </c>
      <c r="K778" s="6" t="s">
        <v>384</v>
      </c>
      <c r="L778" s="6" t="s">
        <v>13</v>
      </c>
      <c r="M778" s="6" t="s">
        <v>204</v>
      </c>
      <c r="N778" s="6" t="s">
        <v>2591</v>
      </c>
      <c r="O778" s="6"/>
      <c r="P778" s="6"/>
    </row>
    <row r="779" customFormat="false" ht="15" hidden="false" customHeight="false" outlineLevel="0" collapsed="false">
      <c r="A779" s="6" t="s">
        <v>2592</v>
      </c>
      <c r="B779" s="6" t="s">
        <v>263</v>
      </c>
      <c r="C779" s="7" t="n">
        <v>46203</v>
      </c>
      <c r="D779" s="6" t="s">
        <v>392</v>
      </c>
      <c r="E779" s="6" t="s">
        <v>1734</v>
      </c>
      <c r="F779" s="6" t="s">
        <v>2481</v>
      </c>
      <c r="G779" s="6" t="s">
        <v>2593</v>
      </c>
      <c r="H779" s="9" t="n">
        <v>121639</v>
      </c>
      <c r="K779" s="6" t="s">
        <v>384</v>
      </c>
      <c r="L779" s="6" t="s">
        <v>13</v>
      </c>
      <c r="M779" s="6" t="s">
        <v>204</v>
      </c>
      <c r="N779" s="6" t="s">
        <v>2594</v>
      </c>
      <c r="O779" s="6"/>
      <c r="P779" s="6"/>
    </row>
    <row r="780" customFormat="false" ht="15" hidden="false" customHeight="false" outlineLevel="0" collapsed="false">
      <c r="A780" s="6" t="s">
        <v>2595</v>
      </c>
      <c r="B780" s="6" t="s">
        <v>379</v>
      </c>
      <c r="C780" s="7" t="n">
        <v>44286</v>
      </c>
      <c r="D780" s="6" t="s">
        <v>380</v>
      </c>
      <c r="E780" s="6" t="s">
        <v>1734</v>
      </c>
      <c r="F780" s="6" t="s">
        <v>2596</v>
      </c>
      <c r="G780" s="6"/>
      <c r="H780" s="11" t="n">
        <f aca="false">H476/H2</f>
        <v>0.891592620226548</v>
      </c>
      <c r="K780" s="6" t="s">
        <v>742</v>
      </c>
      <c r="L780" s="6" t="s">
        <v>15</v>
      </c>
      <c r="M780" s="6" t="s">
        <v>119</v>
      </c>
      <c r="N780" s="6" t="s">
        <v>1623</v>
      </c>
      <c r="O780" s="6" t="s">
        <v>2597</v>
      </c>
      <c r="P780" s="6" t="s">
        <v>1625</v>
      </c>
    </row>
    <row r="781" customFormat="false" ht="15" hidden="false" customHeight="false" outlineLevel="0" collapsed="false">
      <c r="A781" s="6" t="s">
        <v>2598</v>
      </c>
      <c r="B781" s="6" t="s">
        <v>103</v>
      </c>
      <c r="C781" s="7" t="n">
        <v>44377</v>
      </c>
      <c r="D781" s="6" t="s">
        <v>380</v>
      </c>
      <c r="E781" s="6" t="s">
        <v>1734</v>
      </c>
      <c r="F781" s="6" t="s">
        <v>2596</v>
      </c>
      <c r="G781" s="6"/>
      <c r="H781" s="11" t="n">
        <f aca="false">H477/H3</f>
        <v>0.896976563053176</v>
      </c>
      <c r="K781" s="6" t="s">
        <v>742</v>
      </c>
      <c r="L781" s="6" t="s">
        <v>15</v>
      </c>
      <c r="M781" s="6" t="s">
        <v>100</v>
      </c>
      <c r="N781" s="6" t="s">
        <v>1623</v>
      </c>
      <c r="O781" s="6" t="s">
        <v>2599</v>
      </c>
      <c r="P781" s="6" t="s">
        <v>1625</v>
      </c>
    </row>
    <row r="782" customFormat="false" ht="15" hidden="false" customHeight="false" outlineLevel="0" collapsed="false">
      <c r="A782" s="6" t="s">
        <v>2600</v>
      </c>
      <c r="B782" s="6" t="s">
        <v>111</v>
      </c>
      <c r="C782" s="7" t="n">
        <v>44469</v>
      </c>
      <c r="D782" s="6" t="s">
        <v>380</v>
      </c>
      <c r="E782" s="6" t="s">
        <v>1734</v>
      </c>
      <c r="F782" s="6" t="s">
        <v>2596</v>
      </c>
      <c r="G782" s="6"/>
      <c r="H782" s="11" t="n">
        <f aca="false">H479/H5</f>
        <v>0.902358524657303</v>
      </c>
      <c r="K782" s="6" t="s">
        <v>742</v>
      </c>
      <c r="L782" s="6" t="s">
        <v>15</v>
      </c>
      <c r="M782" s="6" t="s">
        <v>109</v>
      </c>
      <c r="N782" s="6" t="s">
        <v>1623</v>
      </c>
      <c r="O782" s="6" t="s">
        <v>2601</v>
      </c>
      <c r="P782" s="6" t="s">
        <v>1625</v>
      </c>
    </row>
    <row r="783" customFormat="false" ht="15" hidden="false" customHeight="false" outlineLevel="0" collapsed="false">
      <c r="A783" s="6" t="s">
        <v>2602</v>
      </c>
      <c r="B783" s="6" t="s">
        <v>116</v>
      </c>
      <c r="C783" s="7" t="n">
        <v>44561</v>
      </c>
      <c r="D783" s="6" t="s">
        <v>380</v>
      </c>
      <c r="E783" s="6" t="s">
        <v>1734</v>
      </c>
      <c r="F783" s="6" t="s">
        <v>2596</v>
      </c>
      <c r="G783" s="6"/>
      <c r="H783" s="11" t="n">
        <f aca="false">H481/H7</f>
        <v>0.89996336804647</v>
      </c>
      <c r="K783" s="6" t="s">
        <v>742</v>
      </c>
      <c r="L783" s="6" t="s">
        <v>15</v>
      </c>
      <c r="M783" s="6" t="s">
        <v>114</v>
      </c>
      <c r="N783" s="6" t="s">
        <v>1623</v>
      </c>
      <c r="O783" s="6" t="s">
        <v>2603</v>
      </c>
      <c r="P783" s="6" t="s">
        <v>1625</v>
      </c>
    </row>
    <row r="784" customFormat="false" ht="15" hidden="false" customHeight="false" outlineLevel="0" collapsed="false">
      <c r="A784" s="6" t="s">
        <v>2604</v>
      </c>
      <c r="B784" s="6" t="s">
        <v>212</v>
      </c>
      <c r="C784" s="7" t="n">
        <v>44561</v>
      </c>
      <c r="D784" s="6" t="s">
        <v>407</v>
      </c>
      <c r="E784" s="6" t="s">
        <v>1734</v>
      </c>
      <c r="F784" s="6" t="s">
        <v>2596</v>
      </c>
      <c r="G784" s="6"/>
      <c r="H784" s="11" t="n">
        <f aca="false">H482/H8</f>
        <v>0.898322245659581</v>
      </c>
      <c r="K784" s="6" t="s">
        <v>742</v>
      </c>
      <c r="L784" s="6" t="s">
        <v>15</v>
      </c>
      <c r="M784" s="6" t="s">
        <v>114</v>
      </c>
      <c r="N784" s="6" t="s">
        <v>1623</v>
      </c>
      <c r="O784" s="6" t="s">
        <v>2605</v>
      </c>
      <c r="P784" s="6" t="s">
        <v>1625</v>
      </c>
    </row>
    <row r="785" customFormat="false" ht="15" hidden="false" customHeight="false" outlineLevel="0" collapsed="false">
      <c r="A785" s="6" t="s">
        <v>2606</v>
      </c>
      <c r="B785" s="6" t="s">
        <v>121</v>
      </c>
      <c r="C785" s="7" t="n">
        <v>44651</v>
      </c>
      <c r="D785" s="6" t="s">
        <v>380</v>
      </c>
      <c r="E785" s="6" t="s">
        <v>1734</v>
      </c>
      <c r="F785" s="6" t="s">
        <v>2596</v>
      </c>
      <c r="G785" s="6"/>
      <c r="H785" s="11" t="n">
        <f aca="false">H483/H9</f>
        <v>0.887849433624893</v>
      </c>
      <c r="K785" s="6" t="s">
        <v>742</v>
      </c>
      <c r="L785" s="6" t="s">
        <v>15</v>
      </c>
      <c r="M785" s="6" t="s">
        <v>119</v>
      </c>
      <c r="N785" s="6" t="s">
        <v>1623</v>
      </c>
      <c r="O785" s="6" t="s">
        <v>2607</v>
      </c>
      <c r="P785" s="6" t="s">
        <v>1625</v>
      </c>
    </row>
    <row r="786" customFormat="false" ht="15" hidden="false" customHeight="false" outlineLevel="0" collapsed="false">
      <c r="A786" s="6" t="s">
        <v>2608</v>
      </c>
      <c r="B786" s="6" t="s">
        <v>126</v>
      </c>
      <c r="C786" s="7" t="n">
        <v>44742</v>
      </c>
      <c r="D786" s="6" t="s">
        <v>380</v>
      </c>
      <c r="E786" s="6" t="s">
        <v>1734</v>
      </c>
      <c r="F786" s="6" t="s">
        <v>2596</v>
      </c>
      <c r="G786" s="6"/>
      <c r="H786" s="11" t="n">
        <f aca="false">H484/H10</f>
        <v>0.888334761312016</v>
      </c>
      <c r="K786" s="6" t="s">
        <v>742</v>
      </c>
      <c r="L786" s="6" t="s">
        <v>15</v>
      </c>
      <c r="M786" s="6" t="s">
        <v>124</v>
      </c>
      <c r="N786" s="6" t="s">
        <v>1623</v>
      </c>
      <c r="O786" s="6" t="s">
        <v>2609</v>
      </c>
      <c r="P786" s="6" t="s">
        <v>1625</v>
      </c>
    </row>
    <row r="787" customFormat="false" ht="15" hidden="false" customHeight="false" outlineLevel="0" collapsed="false">
      <c r="A787" s="6" t="s">
        <v>2610</v>
      </c>
      <c r="B787" s="6" t="s">
        <v>131</v>
      </c>
      <c r="C787" s="7" t="n">
        <v>44834</v>
      </c>
      <c r="D787" s="6" t="s">
        <v>380</v>
      </c>
      <c r="E787" s="6" t="s">
        <v>1734</v>
      </c>
      <c r="F787" s="6" t="s">
        <v>2596</v>
      </c>
      <c r="G787" s="6"/>
      <c r="H787" s="11" t="n">
        <f aca="false">H486/H12</f>
        <v>0.889351537332077</v>
      </c>
      <c r="K787" s="6" t="s">
        <v>742</v>
      </c>
      <c r="L787" s="6" t="s">
        <v>15</v>
      </c>
      <c r="M787" s="6" t="s">
        <v>129</v>
      </c>
      <c r="N787" s="6" t="s">
        <v>1623</v>
      </c>
      <c r="O787" s="6" t="s">
        <v>2611</v>
      </c>
      <c r="P787" s="6" t="s">
        <v>1625</v>
      </c>
    </row>
    <row r="788" customFormat="false" ht="15" hidden="false" customHeight="false" outlineLevel="0" collapsed="false">
      <c r="A788" s="6" t="s">
        <v>2612</v>
      </c>
      <c r="B788" s="6" t="s">
        <v>136</v>
      </c>
      <c r="C788" s="7" t="n">
        <v>44926</v>
      </c>
      <c r="D788" s="6" t="s">
        <v>380</v>
      </c>
      <c r="E788" s="6" t="s">
        <v>1734</v>
      </c>
      <c r="F788" s="6" t="s">
        <v>2596</v>
      </c>
      <c r="G788" s="6"/>
      <c r="H788" s="11" t="n">
        <f aca="false">H488/H14</f>
        <v>0.900000667017963</v>
      </c>
      <c r="K788" s="6" t="s">
        <v>742</v>
      </c>
      <c r="L788" s="6" t="s">
        <v>15</v>
      </c>
      <c r="M788" s="6" t="s">
        <v>134</v>
      </c>
      <c r="N788" s="6" t="s">
        <v>1623</v>
      </c>
      <c r="O788" s="6" t="s">
        <v>2613</v>
      </c>
      <c r="P788" s="6" t="s">
        <v>1625</v>
      </c>
    </row>
    <row r="789" customFormat="false" ht="15" hidden="false" customHeight="false" outlineLevel="0" collapsed="false">
      <c r="A789" s="6" t="s">
        <v>2614</v>
      </c>
      <c r="B789" s="6" t="s">
        <v>220</v>
      </c>
      <c r="C789" s="7" t="n">
        <v>44926</v>
      </c>
      <c r="D789" s="6" t="s">
        <v>407</v>
      </c>
      <c r="E789" s="6" t="s">
        <v>1734</v>
      </c>
      <c r="F789" s="6" t="s">
        <v>2596</v>
      </c>
      <c r="G789" s="6"/>
      <c r="H789" s="11" t="n">
        <f aca="false">H489/H15</f>
        <v>0.891871167121683</v>
      </c>
      <c r="K789" s="6" t="s">
        <v>742</v>
      </c>
      <c r="L789" s="6" t="s">
        <v>15</v>
      </c>
      <c r="M789" s="6" t="s">
        <v>134</v>
      </c>
      <c r="N789" s="6" t="s">
        <v>1623</v>
      </c>
      <c r="O789" s="6" t="s">
        <v>2615</v>
      </c>
      <c r="P789" s="6" t="s">
        <v>1625</v>
      </c>
    </row>
    <row r="790" customFormat="false" ht="15" hidden="false" customHeight="false" outlineLevel="0" collapsed="false">
      <c r="A790" s="6" t="s">
        <v>2616</v>
      </c>
      <c r="B790" s="6" t="s">
        <v>141</v>
      </c>
      <c r="C790" s="7" t="n">
        <v>45016</v>
      </c>
      <c r="D790" s="6" t="s">
        <v>380</v>
      </c>
      <c r="E790" s="6" t="s">
        <v>1734</v>
      </c>
      <c r="F790" s="6" t="s">
        <v>2596</v>
      </c>
      <c r="G790" s="6"/>
      <c r="H790" s="11" t="n">
        <f aca="false">H490/H16</f>
        <v>0.904243910856918</v>
      </c>
      <c r="K790" s="6" t="s">
        <v>742</v>
      </c>
      <c r="L790" s="6" t="s">
        <v>15</v>
      </c>
      <c r="M790" s="6" t="s">
        <v>139</v>
      </c>
      <c r="N790" s="6" t="s">
        <v>1623</v>
      </c>
      <c r="O790" s="6" t="s">
        <v>2617</v>
      </c>
      <c r="P790" s="6" t="s">
        <v>1625</v>
      </c>
    </row>
    <row r="791" customFormat="false" ht="15" hidden="false" customHeight="false" outlineLevel="0" collapsed="false">
      <c r="A791" s="6" t="s">
        <v>2618</v>
      </c>
      <c r="B791" s="6" t="s">
        <v>146</v>
      </c>
      <c r="C791" s="7" t="n">
        <v>45107</v>
      </c>
      <c r="D791" s="6" t="s">
        <v>380</v>
      </c>
      <c r="E791" s="6" t="s">
        <v>1734</v>
      </c>
      <c r="F791" s="6" t="s">
        <v>2596</v>
      </c>
      <c r="G791" s="6"/>
      <c r="H791" s="11" t="n">
        <f aca="false">H491/H17</f>
        <v>0.89941313418223</v>
      </c>
      <c r="K791" s="6" t="s">
        <v>742</v>
      </c>
      <c r="L791" s="6" t="s">
        <v>15</v>
      </c>
      <c r="M791" s="6" t="s">
        <v>144</v>
      </c>
      <c r="N791" s="6" t="s">
        <v>1623</v>
      </c>
      <c r="O791" s="6" t="s">
        <v>2619</v>
      </c>
      <c r="P791" s="6" t="s">
        <v>1625</v>
      </c>
    </row>
    <row r="792" customFormat="false" ht="15" hidden="false" customHeight="false" outlineLevel="0" collapsed="false">
      <c r="A792" s="6" t="s">
        <v>2620</v>
      </c>
      <c r="B792" s="6" t="s">
        <v>151</v>
      </c>
      <c r="C792" s="7" t="n">
        <v>45199</v>
      </c>
      <c r="D792" s="6" t="s">
        <v>380</v>
      </c>
      <c r="E792" s="6" t="s">
        <v>1734</v>
      </c>
      <c r="F792" s="6" t="s">
        <v>2596</v>
      </c>
      <c r="G792" s="6"/>
      <c r="H792" s="11" t="n">
        <f aca="false">H493/H19</f>
        <v>0.892573603255986</v>
      </c>
      <c r="K792" s="6" t="s">
        <v>742</v>
      </c>
      <c r="L792" s="6" t="s">
        <v>15</v>
      </c>
      <c r="M792" s="6" t="s">
        <v>149</v>
      </c>
      <c r="N792" s="6" t="s">
        <v>1623</v>
      </c>
      <c r="O792" s="6" t="s">
        <v>2621</v>
      </c>
      <c r="P792" s="6" t="s">
        <v>1625</v>
      </c>
    </row>
    <row r="793" customFormat="false" ht="15" hidden="false" customHeight="false" outlineLevel="0" collapsed="false">
      <c r="A793" s="6" t="s">
        <v>2622</v>
      </c>
      <c r="B793" s="6" t="s">
        <v>156</v>
      </c>
      <c r="C793" s="7" t="n">
        <v>45291</v>
      </c>
      <c r="D793" s="6" t="s">
        <v>380</v>
      </c>
      <c r="E793" s="6" t="s">
        <v>1734</v>
      </c>
      <c r="F793" s="6" t="s">
        <v>2596</v>
      </c>
      <c r="G793" s="6"/>
      <c r="H793" s="11" t="n">
        <f aca="false">H495/H21</f>
        <v>0.897289825739251</v>
      </c>
      <c r="K793" s="6" t="s">
        <v>742</v>
      </c>
      <c r="L793" s="6" t="s">
        <v>15</v>
      </c>
      <c r="M793" s="6" t="s">
        <v>154</v>
      </c>
      <c r="N793" s="6" t="s">
        <v>1623</v>
      </c>
      <c r="O793" s="6" t="s">
        <v>2623</v>
      </c>
      <c r="P793" s="6" t="s">
        <v>1625</v>
      </c>
    </row>
    <row r="794" customFormat="false" ht="15" hidden="false" customHeight="false" outlineLevel="0" collapsed="false">
      <c r="A794" s="6" t="s">
        <v>2624</v>
      </c>
      <c r="B794" s="6" t="s">
        <v>225</v>
      </c>
      <c r="C794" s="7" t="n">
        <v>45291</v>
      </c>
      <c r="D794" s="6" t="s">
        <v>407</v>
      </c>
      <c r="E794" s="6" t="s">
        <v>1734</v>
      </c>
      <c r="F794" s="6" t="s">
        <v>2596</v>
      </c>
      <c r="G794" s="6"/>
      <c r="H794" s="11" t="n">
        <f aca="false">H496/H22</f>
        <v>0.898124558891044</v>
      </c>
      <c r="K794" s="6" t="s">
        <v>742</v>
      </c>
      <c r="L794" s="6" t="s">
        <v>15</v>
      </c>
      <c r="M794" s="6" t="s">
        <v>154</v>
      </c>
      <c r="N794" s="6" t="s">
        <v>1623</v>
      </c>
      <c r="O794" s="6" t="s">
        <v>2625</v>
      </c>
      <c r="P794" s="6" t="s">
        <v>1625</v>
      </c>
    </row>
    <row r="795" customFormat="false" ht="15" hidden="false" customHeight="false" outlineLevel="0" collapsed="false">
      <c r="A795" s="6" t="s">
        <v>2626</v>
      </c>
      <c r="B795" s="6" t="s">
        <v>161</v>
      </c>
      <c r="C795" s="7" t="n">
        <v>45382</v>
      </c>
      <c r="D795" s="6" t="s">
        <v>380</v>
      </c>
      <c r="E795" s="6" t="s">
        <v>1734</v>
      </c>
      <c r="F795" s="6" t="s">
        <v>2596</v>
      </c>
      <c r="G795" s="6"/>
      <c r="H795" s="11" t="n">
        <f aca="false">H497/H23</f>
        <v>0.89760871870289</v>
      </c>
      <c r="K795" s="6" t="s">
        <v>742</v>
      </c>
      <c r="L795" s="6" t="s">
        <v>15</v>
      </c>
      <c r="M795" s="6" t="s">
        <v>159</v>
      </c>
      <c r="N795" s="6" t="s">
        <v>1623</v>
      </c>
      <c r="O795" s="6" t="s">
        <v>2627</v>
      </c>
      <c r="P795" s="6" t="s">
        <v>1625</v>
      </c>
    </row>
    <row r="796" customFormat="false" ht="15" hidden="false" customHeight="false" outlineLevel="0" collapsed="false">
      <c r="A796" s="6" t="s">
        <v>2628</v>
      </c>
      <c r="B796" s="6" t="s">
        <v>166</v>
      </c>
      <c r="C796" s="7" t="n">
        <v>45473</v>
      </c>
      <c r="D796" s="6" t="s">
        <v>380</v>
      </c>
      <c r="E796" s="6" t="s">
        <v>1734</v>
      </c>
      <c r="F796" s="6" t="s">
        <v>2596</v>
      </c>
      <c r="G796" s="6"/>
      <c r="H796" s="11" t="n">
        <f aca="false">H498/H24</f>
        <v>0.907283169423903</v>
      </c>
      <c r="K796" s="6" t="s">
        <v>742</v>
      </c>
      <c r="L796" s="6" t="s">
        <v>15</v>
      </c>
      <c r="M796" s="6" t="s">
        <v>164</v>
      </c>
      <c r="N796" s="6" t="s">
        <v>1623</v>
      </c>
      <c r="O796" s="6" t="s">
        <v>2629</v>
      </c>
      <c r="P796" s="6" t="s">
        <v>1625</v>
      </c>
    </row>
    <row r="797" customFormat="false" ht="15" hidden="false" customHeight="false" outlineLevel="0" collapsed="false">
      <c r="A797" s="6" t="s">
        <v>2630</v>
      </c>
      <c r="B797" s="6" t="s">
        <v>171</v>
      </c>
      <c r="C797" s="7" t="n">
        <v>45565</v>
      </c>
      <c r="D797" s="6" t="s">
        <v>380</v>
      </c>
      <c r="E797" s="6" t="s">
        <v>1734</v>
      </c>
      <c r="F797" s="6" t="s">
        <v>2596</v>
      </c>
      <c r="G797" s="6"/>
      <c r="H797" s="11" t="n">
        <f aca="false">H500/H26</f>
        <v>0.904019920318725</v>
      </c>
      <c r="K797" s="6" t="s">
        <v>742</v>
      </c>
      <c r="L797" s="6" t="s">
        <v>15</v>
      </c>
      <c r="M797" s="6" t="s">
        <v>169</v>
      </c>
      <c r="N797" s="6" t="s">
        <v>1623</v>
      </c>
      <c r="O797" s="6" t="s">
        <v>2631</v>
      </c>
      <c r="P797" s="6" t="s">
        <v>1625</v>
      </c>
    </row>
    <row r="798" customFormat="false" ht="15" hidden="false" customHeight="false" outlineLevel="0" collapsed="false">
      <c r="A798" s="6" t="s">
        <v>2632</v>
      </c>
      <c r="B798" s="6" t="s">
        <v>176</v>
      </c>
      <c r="C798" s="7" t="n">
        <v>45657</v>
      </c>
      <c r="D798" s="6" t="s">
        <v>380</v>
      </c>
      <c r="E798" s="6" t="s">
        <v>1734</v>
      </c>
      <c r="F798" s="6" t="s">
        <v>2596</v>
      </c>
      <c r="G798" s="6"/>
      <c r="H798" s="11" t="n">
        <f aca="false">H502/H28</f>
        <v>0.89216944801027</v>
      </c>
      <c r="K798" s="6" t="s">
        <v>742</v>
      </c>
      <c r="L798" s="6" t="s">
        <v>15</v>
      </c>
      <c r="M798" s="6" t="s">
        <v>174</v>
      </c>
      <c r="N798" s="6" t="s">
        <v>1623</v>
      </c>
      <c r="O798" s="6" t="s">
        <v>2633</v>
      </c>
      <c r="P798" s="6" t="s">
        <v>1625</v>
      </c>
    </row>
    <row r="799" customFormat="false" ht="15" hidden="false" customHeight="false" outlineLevel="0" collapsed="false">
      <c r="A799" s="6" t="s">
        <v>2634</v>
      </c>
      <c r="B799" s="6" t="s">
        <v>230</v>
      </c>
      <c r="C799" s="7" t="n">
        <v>45657</v>
      </c>
      <c r="D799" s="6" t="s">
        <v>407</v>
      </c>
      <c r="E799" s="6" t="s">
        <v>1734</v>
      </c>
      <c r="F799" s="6" t="s">
        <v>2596</v>
      </c>
      <c r="G799" s="6"/>
      <c r="H799" s="11" t="n">
        <f aca="false">H503/H29</f>
        <v>0.900114712524241</v>
      </c>
      <c r="K799" s="6" t="s">
        <v>742</v>
      </c>
      <c r="L799" s="6" t="s">
        <v>15</v>
      </c>
      <c r="M799" s="6" t="s">
        <v>174</v>
      </c>
      <c r="N799" s="6" t="s">
        <v>1623</v>
      </c>
      <c r="O799" s="6" t="s">
        <v>2635</v>
      </c>
      <c r="P799" s="6" t="s">
        <v>1625</v>
      </c>
    </row>
    <row r="800" customFormat="false" ht="15" hidden="false" customHeight="false" outlineLevel="0" collapsed="false">
      <c r="A800" s="6" t="s">
        <v>2636</v>
      </c>
      <c r="B800" s="6" t="s">
        <v>181</v>
      </c>
      <c r="C800" s="7" t="n">
        <v>45747</v>
      </c>
      <c r="D800" s="6" t="s">
        <v>380</v>
      </c>
      <c r="E800" s="6" t="s">
        <v>1734</v>
      </c>
      <c r="F800" s="6" t="s">
        <v>2596</v>
      </c>
      <c r="G800" s="6"/>
      <c r="H800" s="11" t="n">
        <f aca="false">H504/H30</f>
        <v>0.901962798937113</v>
      </c>
      <c r="K800" s="6" t="s">
        <v>742</v>
      </c>
      <c r="L800" s="6" t="s">
        <v>15</v>
      </c>
      <c r="M800" s="6" t="s">
        <v>179</v>
      </c>
      <c r="N800" s="6" t="s">
        <v>1623</v>
      </c>
      <c r="O800" s="6" t="s">
        <v>2637</v>
      </c>
      <c r="P800" s="6" t="s">
        <v>1625</v>
      </c>
    </row>
    <row r="801" customFormat="false" ht="15" hidden="false" customHeight="false" outlineLevel="0" collapsed="false">
      <c r="A801" s="6" t="s">
        <v>2638</v>
      </c>
      <c r="B801" s="6" t="s">
        <v>186</v>
      </c>
      <c r="C801" s="7" t="n">
        <v>45838</v>
      </c>
      <c r="D801" s="6" t="s">
        <v>380</v>
      </c>
      <c r="E801" s="6" t="s">
        <v>1734</v>
      </c>
      <c r="F801" s="6" t="s">
        <v>2596</v>
      </c>
      <c r="G801" s="6"/>
      <c r="H801" s="11" t="n">
        <f aca="false">H505/H31</f>
        <v>0.903345662744888</v>
      </c>
      <c r="K801" s="6" t="s">
        <v>742</v>
      </c>
      <c r="L801" s="6" t="s">
        <v>15</v>
      </c>
      <c r="M801" s="6" t="s">
        <v>184</v>
      </c>
      <c r="N801" s="6" t="s">
        <v>1623</v>
      </c>
      <c r="O801" s="6" t="s">
        <v>2639</v>
      </c>
      <c r="P801" s="6" t="s">
        <v>1625</v>
      </c>
    </row>
    <row r="802" customFormat="false" ht="15" hidden="false" customHeight="false" outlineLevel="0" collapsed="false">
      <c r="A802" s="6" t="s">
        <v>2640</v>
      </c>
      <c r="B802" s="6" t="s">
        <v>191</v>
      </c>
      <c r="C802" s="7" t="n">
        <v>45930</v>
      </c>
      <c r="D802" s="6" t="s">
        <v>380</v>
      </c>
      <c r="E802" s="6" t="s">
        <v>1734</v>
      </c>
      <c r="F802" s="6" t="s">
        <v>2596</v>
      </c>
      <c r="G802" s="6"/>
      <c r="H802" s="11" t="n">
        <f aca="false">H507/H33</f>
        <v>0.896406873806631</v>
      </c>
      <c r="K802" s="6" t="s">
        <v>742</v>
      </c>
      <c r="L802" s="6" t="s">
        <v>15</v>
      </c>
      <c r="M802" s="6" t="s">
        <v>189</v>
      </c>
      <c r="N802" s="6" t="s">
        <v>1623</v>
      </c>
      <c r="O802" s="6" t="s">
        <v>2641</v>
      </c>
      <c r="P802" s="6" t="s">
        <v>1625</v>
      </c>
    </row>
    <row r="803" customFormat="false" ht="15" hidden="false" customHeight="false" outlineLevel="0" collapsed="false">
      <c r="A803" s="6" t="s">
        <v>2642</v>
      </c>
      <c r="B803" s="6" t="s">
        <v>196</v>
      </c>
      <c r="C803" s="7" t="n">
        <v>46022</v>
      </c>
      <c r="D803" s="6" t="s">
        <v>380</v>
      </c>
      <c r="E803" s="6" t="s">
        <v>1734</v>
      </c>
      <c r="F803" s="6" t="s">
        <v>2596</v>
      </c>
      <c r="G803" s="6"/>
      <c r="H803" s="11" t="n">
        <f aca="false">H509/H35</f>
        <v>0.894745985060411</v>
      </c>
      <c r="K803" s="6" t="s">
        <v>742</v>
      </c>
      <c r="L803" s="6" t="s">
        <v>15</v>
      </c>
      <c r="M803" s="6" t="s">
        <v>194</v>
      </c>
      <c r="N803" s="6" t="s">
        <v>1623</v>
      </c>
      <c r="O803" s="6" t="s">
        <v>2643</v>
      </c>
      <c r="P803" s="6" t="s">
        <v>1625</v>
      </c>
    </row>
    <row r="804" customFormat="false" ht="15" hidden="false" customHeight="false" outlineLevel="0" collapsed="false">
      <c r="A804" s="6" t="s">
        <v>2644</v>
      </c>
      <c r="B804" s="6" t="s">
        <v>235</v>
      </c>
      <c r="C804" s="7" t="n">
        <v>46022</v>
      </c>
      <c r="D804" s="6" t="s">
        <v>407</v>
      </c>
      <c r="E804" s="6" t="s">
        <v>1734</v>
      </c>
      <c r="F804" s="6" t="s">
        <v>2596</v>
      </c>
      <c r="G804" s="6"/>
      <c r="H804" s="11" t="n">
        <f aca="false">H510/H36</f>
        <v>0.898913714887293</v>
      </c>
      <c r="K804" s="6" t="s">
        <v>742</v>
      </c>
      <c r="L804" s="6" t="s">
        <v>15</v>
      </c>
      <c r="M804" s="6" t="s">
        <v>194</v>
      </c>
      <c r="N804" s="6" t="s">
        <v>1623</v>
      </c>
      <c r="O804" s="6" t="s">
        <v>2645</v>
      </c>
      <c r="P804" s="6" t="s">
        <v>1625</v>
      </c>
    </row>
    <row r="805" customFormat="false" ht="15" hidden="false" customHeight="false" outlineLevel="0" collapsed="false">
      <c r="A805" s="6" t="s">
        <v>2646</v>
      </c>
      <c r="B805" s="6" t="s">
        <v>201</v>
      </c>
      <c r="C805" s="7" t="n">
        <v>46112</v>
      </c>
      <c r="D805" s="6" t="s">
        <v>380</v>
      </c>
      <c r="E805" s="6" t="s">
        <v>1734</v>
      </c>
      <c r="F805" s="6" t="s">
        <v>2596</v>
      </c>
      <c r="G805" s="6"/>
      <c r="H805" s="11" t="n">
        <f aca="false">H511/H37</f>
        <v>0.894452905925726</v>
      </c>
      <c r="K805" s="6" t="s">
        <v>742</v>
      </c>
      <c r="L805" s="6" t="s">
        <v>15</v>
      </c>
      <c r="M805" s="6" t="s">
        <v>199</v>
      </c>
      <c r="N805" s="6" t="s">
        <v>1623</v>
      </c>
      <c r="O805" s="6" t="s">
        <v>2647</v>
      </c>
      <c r="P805" s="6" t="s">
        <v>1625</v>
      </c>
    </row>
    <row r="806" customFormat="false" ht="15" hidden="false" customHeight="false" outlineLevel="0" collapsed="false">
      <c r="A806" s="6" t="s">
        <v>2648</v>
      </c>
      <c r="B806" s="6" t="s">
        <v>206</v>
      </c>
      <c r="C806" s="7" t="n">
        <v>46203</v>
      </c>
      <c r="D806" s="6" t="s">
        <v>380</v>
      </c>
      <c r="E806" s="6" t="s">
        <v>1734</v>
      </c>
      <c r="F806" s="6" t="s">
        <v>2596</v>
      </c>
      <c r="G806" s="6"/>
      <c r="H806" s="11" t="n">
        <f aca="false">H512/H38</f>
        <v>0.889202761223298</v>
      </c>
      <c r="K806" s="6" t="s">
        <v>742</v>
      </c>
      <c r="L806" s="6" t="s">
        <v>15</v>
      </c>
      <c r="M806" s="6" t="s">
        <v>204</v>
      </c>
      <c r="N806" s="6" t="s">
        <v>1623</v>
      </c>
      <c r="O806" s="6" t="s">
        <v>2649</v>
      </c>
      <c r="P806" s="6" t="s">
        <v>1625</v>
      </c>
    </row>
    <row r="807" customFormat="false" ht="15" hidden="false" customHeight="false" outlineLevel="0" collapsed="false">
      <c r="A807" s="6" t="s">
        <v>2650</v>
      </c>
      <c r="B807" s="6" t="s">
        <v>379</v>
      </c>
      <c r="C807" s="7" t="n">
        <v>44286</v>
      </c>
      <c r="D807" s="6" t="s">
        <v>380</v>
      </c>
      <c r="E807" s="6" t="s">
        <v>1734</v>
      </c>
      <c r="F807" s="6" t="s">
        <v>2651</v>
      </c>
      <c r="G807" s="6"/>
      <c r="H807" s="11" t="n">
        <f aca="false">H666/H2</f>
        <v>-0.395221461032354</v>
      </c>
      <c r="K807" s="6" t="s">
        <v>742</v>
      </c>
      <c r="L807" s="6" t="s">
        <v>15</v>
      </c>
      <c r="M807" s="6" t="s">
        <v>119</v>
      </c>
      <c r="N807" s="6" t="s">
        <v>1623</v>
      </c>
      <c r="O807" s="6" t="s">
        <v>2652</v>
      </c>
      <c r="P807" s="6" t="s">
        <v>1625</v>
      </c>
    </row>
    <row r="808" customFormat="false" ht="15" hidden="false" customHeight="false" outlineLevel="0" collapsed="false">
      <c r="A808" s="6" t="s">
        <v>2653</v>
      </c>
      <c r="B808" s="6" t="s">
        <v>103</v>
      </c>
      <c r="C808" s="7" t="n">
        <v>44377</v>
      </c>
      <c r="D808" s="6" t="s">
        <v>380</v>
      </c>
      <c r="E808" s="6" t="s">
        <v>1734</v>
      </c>
      <c r="F808" s="6" t="s">
        <v>2651</v>
      </c>
      <c r="G808" s="6"/>
      <c r="H808" s="11" t="n">
        <f aca="false">H667/H3</f>
        <v>-0.140352616299653</v>
      </c>
      <c r="K808" s="6" t="s">
        <v>742</v>
      </c>
      <c r="L808" s="6" t="s">
        <v>15</v>
      </c>
      <c r="M808" s="6" t="s">
        <v>100</v>
      </c>
      <c r="N808" s="6" t="s">
        <v>1623</v>
      </c>
      <c r="O808" s="6" t="s">
        <v>2654</v>
      </c>
      <c r="P808" s="6" t="s">
        <v>1625</v>
      </c>
    </row>
    <row r="809" customFormat="false" ht="15" hidden="false" customHeight="false" outlineLevel="0" collapsed="false">
      <c r="A809" s="6" t="s">
        <v>2655</v>
      </c>
      <c r="B809" s="6" t="s">
        <v>111</v>
      </c>
      <c r="C809" s="7" t="n">
        <v>44469</v>
      </c>
      <c r="D809" s="6" t="s">
        <v>380</v>
      </c>
      <c r="E809" s="6" t="s">
        <v>1734</v>
      </c>
      <c r="F809" s="6" t="s">
        <v>2651</v>
      </c>
      <c r="G809" s="6"/>
      <c r="H809" s="11" t="n">
        <f aca="false">H669/H5</f>
        <v>-0.113818689922667</v>
      </c>
      <c r="K809" s="6" t="s">
        <v>742</v>
      </c>
      <c r="L809" s="6" t="s">
        <v>15</v>
      </c>
      <c r="M809" s="6" t="s">
        <v>109</v>
      </c>
      <c r="N809" s="6" t="s">
        <v>1623</v>
      </c>
      <c r="O809" s="6" t="s">
        <v>2656</v>
      </c>
      <c r="P809" s="6" t="s">
        <v>1625</v>
      </c>
    </row>
    <row r="810" customFormat="false" ht="15" hidden="false" customHeight="false" outlineLevel="0" collapsed="false">
      <c r="A810" s="6" t="s">
        <v>2657</v>
      </c>
      <c r="B810" s="6" t="s">
        <v>116</v>
      </c>
      <c r="C810" s="7" t="n">
        <v>44561</v>
      </c>
      <c r="D810" s="6" t="s">
        <v>380</v>
      </c>
      <c r="E810" s="6" t="s">
        <v>1734</v>
      </c>
      <c r="F810" s="6" t="s">
        <v>2651</v>
      </c>
      <c r="G810" s="6"/>
      <c r="H810" s="11" t="n">
        <f aca="false">H671/H7</f>
        <v>-0.103919619027683</v>
      </c>
      <c r="K810" s="6" t="s">
        <v>742</v>
      </c>
      <c r="L810" s="6" t="s">
        <v>15</v>
      </c>
      <c r="M810" s="6" t="s">
        <v>114</v>
      </c>
      <c r="N810" s="6" t="s">
        <v>1623</v>
      </c>
      <c r="O810" s="6" t="s">
        <v>2658</v>
      </c>
      <c r="P810" s="6" t="s">
        <v>1625</v>
      </c>
    </row>
    <row r="811" customFormat="false" ht="15" hidden="false" customHeight="false" outlineLevel="0" collapsed="false">
      <c r="A811" s="6" t="s">
        <v>2659</v>
      </c>
      <c r="B811" s="6" t="s">
        <v>212</v>
      </c>
      <c r="C811" s="7" t="n">
        <v>44561</v>
      </c>
      <c r="D811" s="6" t="s">
        <v>407</v>
      </c>
      <c r="E811" s="6" t="s">
        <v>1734</v>
      </c>
      <c r="F811" s="6" t="s">
        <v>2651</v>
      </c>
      <c r="G811" s="6"/>
      <c r="H811" s="11" t="n">
        <f aca="false">H672/H8</f>
        <v>-0.170683108875548</v>
      </c>
      <c r="K811" s="6" t="s">
        <v>742</v>
      </c>
      <c r="L811" s="6" t="s">
        <v>15</v>
      </c>
      <c r="M811" s="6" t="s">
        <v>114</v>
      </c>
      <c r="N811" s="6" t="s">
        <v>1623</v>
      </c>
      <c r="O811" s="6" t="s">
        <v>2660</v>
      </c>
      <c r="P811" s="6" t="s">
        <v>1625</v>
      </c>
    </row>
    <row r="812" customFormat="false" ht="15" hidden="false" customHeight="false" outlineLevel="0" collapsed="false">
      <c r="A812" s="6" t="s">
        <v>2661</v>
      </c>
      <c r="B812" s="6" t="s">
        <v>121</v>
      </c>
      <c r="C812" s="7" t="n">
        <v>44651</v>
      </c>
      <c r="D812" s="6" t="s">
        <v>380</v>
      </c>
      <c r="E812" s="6" t="s">
        <v>1734</v>
      </c>
      <c r="F812" s="6" t="s">
        <v>2651</v>
      </c>
      <c r="G812" s="6"/>
      <c r="H812" s="11" t="n">
        <f aca="false">H673/H9</f>
        <v>-0.403974303436961</v>
      </c>
      <c r="K812" s="6" t="s">
        <v>742</v>
      </c>
      <c r="L812" s="6" t="s">
        <v>15</v>
      </c>
      <c r="M812" s="6" t="s">
        <v>119</v>
      </c>
      <c r="N812" s="6" t="s">
        <v>1623</v>
      </c>
      <c r="O812" s="6" t="s">
        <v>2662</v>
      </c>
      <c r="P812" s="6" t="s">
        <v>1625</v>
      </c>
    </row>
    <row r="813" customFormat="false" ht="15" hidden="false" customHeight="false" outlineLevel="0" collapsed="false">
      <c r="A813" s="6" t="s">
        <v>2663</v>
      </c>
      <c r="B813" s="6" t="s">
        <v>126</v>
      </c>
      <c r="C813" s="7" t="n">
        <v>44742</v>
      </c>
      <c r="D813" s="6" t="s">
        <v>380</v>
      </c>
      <c r="E813" s="6" t="s">
        <v>1734</v>
      </c>
      <c r="F813" s="6" t="s">
        <v>2651</v>
      </c>
      <c r="G813" s="6"/>
      <c r="H813" s="11" t="n">
        <f aca="false">H674/H10</f>
        <v>-0.124137150616725</v>
      </c>
      <c r="K813" s="6" t="s">
        <v>742</v>
      </c>
      <c r="L813" s="6" t="s">
        <v>15</v>
      </c>
      <c r="M813" s="6" t="s">
        <v>124</v>
      </c>
      <c r="N813" s="6" t="s">
        <v>1623</v>
      </c>
      <c r="O813" s="6" t="s">
        <v>2664</v>
      </c>
      <c r="P813" s="6" t="s">
        <v>1625</v>
      </c>
    </row>
    <row r="814" customFormat="false" ht="15" hidden="false" customHeight="false" outlineLevel="0" collapsed="false">
      <c r="A814" s="6" t="s">
        <v>2665</v>
      </c>
      <c r="B814" s="6" t="s">
        <v>131</v>
      </c>
      <c r="C814" s="7" t="n">
        <v>44834</v>
      </c>
      <c r="D814" s="6" t="s">
        <v>380</v>
      </c>
      <c r="E814" s="6" t="s">
        <v>1734</v>
      </c>
      <c r="F814" s="6" t="s">
        <v>2651</v>
      </c>
      <c r="G814" s="6"/>
      <c r="H814" s="11" t="n">
        <f aca="false">H676/H12</f>
        <v>-0.0159613712899856</v>
      </c>
      <c r="K814" s="6" t="s">
        <v>742</v>
      </c>
      <c r="L814" s="6" t="s">
        <v>15</v>
      </c>
      <c r="M814" s="6" t="s">
        <v>129</v>
      </c>
      <c r="N814" s="6" t="s">
        <v>1623</v>
      </c>
      <c r="O814" s="6" t="s">
        <v>2666</v>
      </c>
      <c r="P814" s="6" t="s">
        <v>1625</v>
      </c>
    </row>
    <row r="815" customFormat="false" ht="15" hidden="false" customHeight="false" outlineLevel="0" collapsed="false">
      <c r="A815" s="6" t="s">
        <v>2667</v>
      </c>
      <c r="B815" s="6" t="s">
        <v>136</v>
      </c>
      <c r="C815" s="7" t="n">
        <v>44926</v>
      </c>
      <c r="D815" s="6" t="s">
        <v>380</v>
      </c>
      <c r="E815" s="6" t="s">
        <v>1734</v>
      </c>
      <c r="F815" s="6" t="s">
        <v>2651</v>
      </c>
      <c r="G815" s="6"/>
      <c r="H815" s="11" t="n">
        <f aca="false">H678/H14</f>
        <v>0.0952368247276899</v>
      </c>
      <c r="K815" s="6" t="s">
        <v>742</v>
      </c>
      <c r="L815" s="6" t="s">
        <v>15</v>
      </c>
      <c r="M815" s="6" t="s">
        <v>134</v>
      </c>
      <c r="N815" s="6" t="s">
        <v>1623</v>
      </c>
      <c r="O815" s="6" t="s">
        <v>2668</v>
      </c>
      <c r="P815" s="6" t="s">
        <v>1625</v>
      </c>
    </row>
    <row r="816" customFormat="false" ht="15" hidden="false" customHeight="false" outlineLevel="0" collapsed="false">
      <c r="A816" s="6" t="s">
        <v>2669</v>
      </c>
      <c r="B816" s="6" t="s">
        <v>220</v>
      </c>
      <c r="C816" s="7" t="n">
        <v>44926</v>
      </c>
      <c r="D816" s="6" t="s">
        <v>407</v>
      </c>
      <c r="E816" s="6" t="s">
        <v>1734</v>
      </c>
      <c r="F816" s="6" t="s">
        <v>2651</v>
      </c>
      <c r="G816" s="6"/>
      <c r="H816" s="11" t="n">
        <f aca="false">H679/H15</f>
        <v>-0.0907367411069516</v>
      </c>
      <c r="K816" s="6" t="s">
        <v>742</v>
      </c>
      <c r="L816" s="6" t="s">
        <v>15</v>
      </c>
      <c r="M816" s="6" t="s">
        <v>134</v>
      </c>
      <c r="N816" s="6" t="s">
        <v>1623</v>
      </c>
      <c r="O816" s="6" t="s">
        <v>2670</v>
      </c>
      <c r="P816" s="6" t="s">
        <v>1625</v>
      </c>
    </row>
    <row r="817" customFormat="false" ht="15" hidden="false" customHeight="false" outlineLevel="0" collapsed="false">
      <c r="A817" s="6" t="s">
        <v>2671</v>
      </c>
      <c r="B817" s="6" t="s">
        <v>141</v>
      </c>
      <c r="C817" s="7" t="n">
        <v>45016</v>
      </c>
      <c r="D817" s="6" t="s">
        <v>380</v>
      </c>
      <c r="E817" s="6" t="s">
        <v>1734</v>
      </c>
      <c r="F817" s="6" t="s">
        <v>2651</v>
      </c>
      <c r="G817" s="6"/>
      <c r="H817" s="11" t="n">
        <f aca="false">H680/H16</f>
        <v>-0.00180578838378858</v>
      </c>
      <c r="K817" s="6" t="s">
        <v>742</v>
      </c>
      <c r="L817" s="6" t="s">
        <v>15</v>
      </c>
      <c r="M817" s="6" t="s">
        <v>139</v>
      </c>
      <c r="N817" s="6" t="s">
        <v>1623</v>
      </c>
      <c r="O817" s="6" t="s">
        <v>2672</v>
      </c>
      <c r="P817" s="6" t="s">
        <v>1625</v>
      </c>
    </row>
    <row r="818" customFormat="false" ht="15" hidden="false" customHeight="false" outlineLevel="0" collapsed="false">
      <c r="A818" s="6" t="s">
        <v>2673</v>
      </c>
      <c r="B818" s="6" t="s">
        <v>146</v>
      </c>
      <c r="C818" s="7" t="n">
        <v>45107</v>
      </c>
      <c r="D818" s="6" t="s">
        <v>380</v>
      </c>
      <c r="E818" s="6" t="s">
        <v>1734</v>
      </c>
      <c r="F818" s="6" t="s">
        <v>2651</v>
      </c>
      <c r="G818" s="6"/>
      <c r="H818" s="11" t="n">
        <f aca="false">H681/H17</f>
        <v>0.0945872870405683</v>
      </c>
      <c r="K818" s="6" t="s">
        <v>742</v>
      </c>
      <c r="L818" s="6" t="s">
        <v>15</v>
      </c>
      <c r="M818" s="6" t="s">
        <v>144</v>
      </c>
      <c r="N818" s="6" t="s">
        <v>1623</v>
      </c>
      <c r="O818" s="6" t="s">
        <v>2674</v>
      </c>
      <c r="P818" s="6" t="s">
        <v>1625</v>
      </c>
    </row>
    <row r="819" customFormat="false" ht="15" hidden="false" customHeight="false" outlineLevel="0" collapsed="false">
      <c r="A819" s="6" t="s">
        <v>2675</v>
      </c>
      <c r="B819" s="6" t="s">
        <v>151</v>
      </c>
      <c r="C819" s="7" t="n">
        <v>45199</v>
      </c>
      <c r="D819" s="6" t="s">
        <v>380</v>
      </c>
      <c r="E819" s="6" t="s">
        <v>1734</v>
      </c>
      <c r="F819" s="6" t="s">
        <v>2651</v>
      </c>
      <c r="G819" s="6"/>
      <c r="H819" s="11" t="n">
        <f aca="false">H683/H19</f>
        <v>0.127263597441725</v>
      </c>
      <c r="K819" s="6" t="s">
        <v>742</v>
      </c>
      <c r="L819" s="6" t="s">
        <v>15</v>
      </c>
      <c r="M819" s="6" t="s">
        <v>149</v>
      </c>
      <c r="N819" s="6" t="s">
        <v>1623</v>
      </c>
      <c r="O819" s="6" t="s">
        <v>2676</v>
      </c>
      <c r="P819" s="6" t="s">
        <v>1625</v>
      </c>
    </row>
    <row r="820" customFormat="false" ht="15" hidden="false" customHeight="false" outlineLevel="0" collapsed="false">
      <c r="A820" s="6" t="s">
        <v>2677</v>
      </c>
      <c r="B820" s="6" t="s">
        <v>156</v>
      </c>
      <c r="C820" s="7" t="n">
        <v>45291</v>
      </c>
      <c r="D820" s="6" t="s">
        <v>380</v>
      </c>
      <c r="E820" s="6" t="s">
        <v>1734</v>
      </c>
      <c r="F820" s="6" t="s">
        <v>2651</v>
      </c>
      <c r="G820" s="6"/>
      <c r="H820" s="11" t="n">
        <f aca="false">H685/H21</f>
        <v>0.104655180925112</v>
      </c>
      <c r="K820" s="6" t="s">
        <v>742</v>
      </c>
      <c r="L820" s="6" t="s">
        <v>15</v>
      </c>
      <c r="M820" s="6" t="s">
        <v>154</v>
      </c>
      <c r="N820" s="6" t="s">
        <v>1623</v>
      </c>
      <c r="O820" s="6" t="s">
        <v>2678</v>
      </c>
      <c r="P820" s="6" t="s">
        <v>1625</v>
      </c>
    </row>
    <row r="821" customFormat="false" ht="15" hidden="false" customHeight="false" outlineLevel="0" collapsed="false">
      <c r="A821" s="6" t="s">
        <v>2679</v>
      </c>
      <c r="B821" s="6" t="s">
        <v>225</v>
      </c>
      <c r="C821" s="7" t="n">
        <v>45291</v>
      </c>
      <c r="D821" s="6" t="s">
        <v>407</v>
      </c>
      <c r="E821" s="6" t="s">
        <v>1734</v>
      </c>
      <c r="F821" s="6" t="s">
        <v>2651</v>
      </c>
      <c r="G821" s="6"/>
      <c r="H821" s="11" t="n">
        <f aca="false">H686/H22</f>
        <v>0.0844202029615113</v>
      </c>
      <c r="K821" s="6" t="s">
        <v>742</v>
      </c>
      <c r="L821" s="6" t="s">
        <v>15</v>
      </c>
      <c r="M821" s="6" t="s">
        <v>154</v>
      </c>
      <c r="N821" s="6" t="s">
        <v>1623</v>
      </c>
      <c r="O821" s="6" t="s">
        <v>2680</v>
      </c>
      <c r="P821" s="6" t="s">
        <v>1625</v>
      </c>
    </row>
    <row r="822" customFormat="false" ht="15" hidden="false" customHeight="false" outlineLevel="0" collapsed="false">
      <c r="A822" s="6" t="s">
        <v>2681</v>
      </c>
      <c r="B822" s="6" t="s">
        <v>161</v>
      </c>
      <c r="C822" s="7" t="n">
        <v>45382</v>
      </c>
      <c r="D822" s="6" t="s">
        <v>380</v>
      </c>
      <c r="E822" s="6" t="s">
        <v>1734</v>
      </c>
      <c r="F822" s="6" t="s">
        <v>2651</v>
      </c>
      <c r="G822" s="6"/>
      <c r="H822" s="11" t="n">
        <f aca="false">H687/H23</f>
        <v>0.0992148926067133</v>
      </c>
      <c r="K822" s="6" t="s">
        <v>742</v>
      </c>
      <c r="L822" s="6" t="s">
        <v>15</v>
      </c>
      <c r="M822" s="6" t="s">
        <v>159</v>
      </c>
      <c r="N822" s="6" t="s">
        <v>1623</v>
      </c>
      <c r="O822" s="6" t="s">
        <v>2682</v>
      </c>
      <c r="P822" s="6" t="s">
        <v>1625</v>
      </c>
    </row>
    <row r="823" customFormat="false" ht="15" hidden="false" customHeight="false" outlineLevel="0" collapsed="false">
      <c r="A823" s="6" t="s">
        <v>2683</v>
      </c>
      <c r="B823" s="6" t="s">
        <v>166</v>
      </c>
      <c r="C823" s="7" t="n">
        <v>45473</v>
      </c>
      <c r="D823" s="6" t="s">
        <v>380</v>
      </c>
      <c r="E823" s="6" t="s">
        <v>1734</v>
      </c>
      <c r="F823" s="6" t="s">
        <v>2651</v>
      </c>
      <c r="G823" s="6"/>
      <c r="H823" s="11" t="n">
        <f aca="false">H688/H24</f>
        <v>0.162710816328259</v>
      </c>
      <c r="K823" s="6" t="s">
        <v>742</v>
      </c>
      <c r="L823" s="6" t="s">
        <v>15</v>
      </c>
      <c r="M823" s="6" t="s">
        <v>164</v>
      </c>
      <c r="N823" s="6" t="s">
        <v>1623</v>
      </c>
      <c r="O823" s="6" t="s">
        <v>2684</v>
      </c>
      <c r="P823" s="6" t="s">
        <v>1625</v>
      </c>
    </row>
    <row r="824" customFormat="false" ht="15" hidden="false" customHeight="false" outlineLevel="0" collapsed="false">
      <c r="A824" s="6" t="s">
        <v>2685</v>
      </c>
      <c r="B824" s="6" t="s">
        <v>171</v>
      </c>
      <c r="C824" s="7" t="n">
        <v>45565</v>
      </c>
      <c r="D824" s="6" t="s">
        <v>380</v>
      </c>
      <c r="E824" s="6" t="s">
        <v>1734</v>
      </c>
      <c r="F824" s="6" t="s">
        <v>2651</v>
      </c>
      <c r="G824" s="6"/>
      <c r="H824" s="11" t="n">
        <f aca="false">H690/H26</f>
        <v>0.128207171314741</v>
      </c>
      <c r="K824" s="6" t="s">
        <v>742</v>
      </c>
      <c r="L824" s="6" t="s">
        <v>15</v>
      </c>
      <c r="M824" s="6" t="s">
        <v>169</v>
      </c>
      <c r="N824" s="6" t="s">
        <v>1623</v>
      </c>
      <c r="O824" s="6" t="s">
        <v>2686</v>
      </c>
      <c r="P824" s="6" t="s">
        <v>1625</v>
      </c>
    </row>
    <row r="825" customFormat="false" ht="15" hidden="false" customHeight="false" outlineLevel="0" collapsed="false">
      <c r="A825" s="6" t="s">
        <v>2687</v>
      </c>
      <c r="B825" s="6" t="s">
        <v>176</v>
      </c>
      <c r="C825" s="7" t="n">
        <v>45657</v>
      </c>
      <c r="D825" s="6" t="s">
        <v>380</v>
      </c>
      <c r="E825" s="6" t="s">
        <v>1734</v>
      </c>
      <c r="F825" s="6" t="s">
        <v>2651</v>
      </c>
      <c r="G825" s="6"/>
      <c r="H825" s="11" t="n">
        <f aca="false">H692/H28</f>
        <v>0.150255993074007</v>
      </c>
      <c r="K825" s="6" t="s">
        <v>742</v>
      </c>
      <c r="L825" s="6" t="s">
        <v>15</v>
      </c>
      <c r="M825" s="6" t="s">
        <v>174</v>
      </c>
      <c r="N825" s="6" t="s">
        <v>1623</v>
      </c>
      <c r="O825" s="6" t="s">
        <v>2688</v>
      </c>
      <c r="P825" s="6" t="s">
        <v>1625</v>
      </c>
    </row>
    <row r="826" customFormat="false" ht="15" hidden="false" customHeight="false" outlineLevel="0" collapsed="false">
      <c r="A826" s="6" t="s">
        <v>2689</v>
      </c>
      <c r="B826" s="6" t="s">
        <v>230</v>
      </c>
      <c r="C826" s="7" t="n">
        <v>45657</v>
      </c>
      <c r="D826" s="6" t="s">
        <v>407</v>
      </c>
      <c r="E826" s="6" t="s">
        <v>1734</v>
      </c>
      <c r="F826" s="6" t="s">
        <v>2651</v>
      </c>
      <c r="G826" s="6"/>
      <c r="H826" s="11" t="n">
        <f aca="false">H693/H29</f>
        <v>0.136197202660508</v>
      </c>
      <c r="K826" s="6" t="s">
        <v>742</v>
      </c>
      <c r="L826" s="6" t="s">
        <v>15</v>
      </c>
      <c r="M826" s="6" t="s">
        <v>174</v>
      </c>
      <c r="N826" s="6" t="s">
        <v>1623</v>
      </c>
      <c r="O826" s="6" t="s">
        <v>2690</v>
      </c>
      <c r="P826" s="6" t="s">
        <v>1625</v>
      </c>
    </row>
    <row r="827" customFormat="false" ht="15" hidden="false" customHeight="false" outlineLevel="0" collapsed="false">
      <c r="A827" s="6" t="s">
        <v>2691</v>
      </c>
      <c r="B827" s="6" t="s">
        <v>181</v>
      </c>
      <c r="C827" s="7" t="n">
        <v>45747</v>
      </c>
      <c r="D827" s="6" t="s">
        <v>380</v>
      </c>
      <c r="E827" s="6" t="s">
        <v>1734</v>
      </c>
      <c r="F827" s="6" t="s">
        <v>2651</v>
      </c>
      <c r="G827" s="6"/>
      <c r="H827" s="11" t="n">
        <f aca="false">H694/H30</f>
        <v>0.144389725420726</v>
      </c>
      <c r="K827" s="6" t="s">
        <v>742</v>
      </c>
      <c r="L827" s="6" t="s">
        <v>15</v>
      </c>
      <c r="M827" s="6" t="s">
        <v>179</v>
      </c>
      <c r="N827" s="6" t="s">
        <v>1623</v>
      </c>
      <c r="O827" s="6" t="s">
        <v>2692</v>
      </c>
      <c r="P827" s="6" t="s">
        <v>1625</v>
      </c>
    </row>
    <row r="828" customFormat="false" ht="15" hidden="false" customHeight="false" outlineLevel="0" collapsed="false">
      <c r="A828" s="6" t="s">
        <v>2693</v>
      </c>
      <c r="B828" s="6" t="s">
        <v>186</v>
      </c>
      <c r="C828" s="7" t="n">
        <v>45838</v>
      </c>
      <c r="D828" s="6" t="s">
        <v>380</v>
      </c>
      <c r="E828" s="6" t="s">
        <v>1734</v>
      </c>
      <c r="F828" s="6" t="s">
        <v>2651</v>
      </c>
      <c r="G828" s="6"/>
      <c r="H828" s="11" t="n">
        <f aca="false">H695/H31</f>
        <v>0.1508089922211</v>
      </c>
      <c r="K828" s="6" t="s">
        <v>742</v>
      </c>
      <c r="L828" s="6" t="s">
        <v>15</v>
      </c>
      <c r="M828" s="6" t="s">
        <v>184</v>
      </c>
      <c r="N828" s="6" t="s">
        <v>1623</v>
      </c>
      <c r="O828" s="6" t="s">
        <v>2694</v>
      </c>
      <c r="P828" s="6" t="s">
        <v>1625</v>
      </c>
    </row>
    <row r="829" customFormat="false" ht="15" hidden="false" customHeight="false" outlineLevel="0" collapsed="false">
      <c r="A829" s="6" t="s">
        <v>2695</v>
      </c>
      <c r="B829" s="6" t="s">
        <v>191</v>
      </c>
      <c r="C829" s="7" t="n">
        <v>45930</v>
      </c>
      <c r="D829" s="6" t="s">
        <v>380</v>
      </c>
      <c r="E829" s="6" t="s">
        <v>1734</v>
      </c>
      <c r="F829" s="6" t="s">
        <v>2651</v>
      </c>
      <c r="G829" s="6"/>
      <c r="H829" s="11" t="n">
        <f aca="false">H697/H33</f>
        <v>0.149860346215146</v>
      </c>
      <c r="K829" s="6" t="s">
        <v>742</v>
      </c>
      <c r="L829" s="6" t="s">
        <v>15</v>
      </c>
      <c r="M829" s="6" t="s">
        <v>189</v>
      </c>
      <c r="N829" s="6" t="s">
        <v>1623</v>
      </c>
      <c r="O829" s="6" t="s">
        <v>2696</v>
      </c>
      <c r="P829" s="6" t="s">
        <v>1625</v>
      </c>
    </row>
    <row r="830" customFormat="false" ht="15" hidden="false" customHeight="false" outlineLevel="0" collapsed="false">
      <c r="A830" s="6" t="s">
        <v>2697</v>
      </c>
      <c r="B830" s="6" t="s">
        <v>196</v>
      </c>
      <c r="C830" s="7" t="n">
        <v>46022</v>
      </c>
      <c r="D830" s="6" t="s">
        <v>380</v>
      </c>
      <c r="E830" s="6" t="s">
        <v>1734</v>
      </c>
      <c r="F830" s="6" t="s">
        <v>2651</v>
      </c>
      <c r="G830" s="6"/>
      <c r="H830" s="11" t="n">
        <f aca="false">H699/H35</f>
        <v>0.125587789551872</v>
      </c>
      <c r="K830" s="6" t="s">
        <v>742</v>
      </c>
      <c r="L830" s="6" t="s">
        <v>15</v>
      </c>
      <c r="M830" s="6" t="s">
        <v>194</v>
      </c>
      <c r="N830" s="6" t="s">
        <v>1623</v>
      </c>
      <c r="O830" s="6" t="s">
        <v>2698</v>
      </c>
      <c r="P830" s="6" t="s">
        <v>1625</v>
      </c>
    </row>
    <row r="831" customFormat="false" ht="15" hidden="false" customHeight="false" outlineLevel="0" collapsed="false">
      <c r="A831" s="6" t="s">
        <v>2699</v>
      </c>
      <c r="B831" s="6" t="s">
        <v>235</v>
      </c>
      <c r="C831" s="7" t="n">
        <v>46022</v>
      </c>
      <c r="D831" s="6" t="s">
        <v>407</v>
      </c>
      <c r="E831" s="6" t="s">
        <v>1734</v>
      </c>
      <c r="F831" s="6" t="s">
        <v>2651</v>
      </c>
      <c r="G831" s="6"/>
      <c r="H831" s="11" t="n">
        <f aca="false">H700/H36</f>
        <v>0.142259274982001</v>
      </c>
      <c r="K831" s="6" t="s">
        <v>742</v>
      </c>
      <c r="L831" s="6" t="s">
        <v>15</v>
      </c>
      <c r="M831" s="6" t="s">
        <v>194</v>
      </c>
      <c r="N831" s="6" t="s">
        <v>1623</v>
      </c>
      <c r="O831" s="6" t="s">
        <v>2700</v>
      </c>
      <c r="P831" s="6" t="s">
        <v>1625</v>
      </c>
    </row>
    <row r="832" customFormat="false" ht="15" hidden="false" customHeight="false" outlineLevel="0" collapsed="false">
      <c r="A832" s="6" t="s">
        <v>2701</v>
      </c>
      <c r="B832" s="6" t="s">
        <v>201</v>
      </c>
      <c r="C832" s="7" t="n">
        <v>46112</v>
      </c>
      <c r="D832" s="6" t="s">
        <v>380</v>
      </c>
      <c r="E832" s="6" t="s">
        <v>1734</v>
      </c>
      <c r="F832" s="6" t="s">
        <v>2651</v>
      </c>
      <c r="G832" s="6"/>
      <c r="H832" s="11" t="n">
        <f aca="false">H701/H37</f>
        <v>0.139601155822527</v>
      </c>
      <c r="K832" s="6" t="s">
        <v>742</v>
      </c>
      <c r="L832" s="6" t="s">
        <v>15</v>
      </c>
      <c r="M832" s="6" t="s">
        <v>199</v>
      </c>
      <c r="N832" s="6" t="s">
        <v>1623</v>
      </c>
      <c r="O832" s="6" t="s">
        <v>2702</v>
      </c>
      <c r="P832" s="6" t="s">
        <v>1625</v>
      </c>
    </row>
    <row r="833" customFormat="false" ht="15" hidden="false" customHeight="false" outlineLevel="0" collapsed="false">
      <c r="A833" s="6" t="s">
        <v>2703</v>
      </c>
      <c r="B833" s="6" t="s">
        <v>206</v>
      </c>
      <c r="C833" s="7" t="n">
        <v>46203</v>
      </c>
      <c r="D833" s="6" t="s">
        <v>380</v>
      </c>
      <c r="E833" s="6" t="s">
        <v>1734</v>
      </c>
      <c r="F833" s="6" t="s">
        <v>2651</v>
      </c>
      <c r="G833" s="6"/>
      <c r="H833" s="11" t="n">
        <f aca="false">H702/H38</f>
        <v>0.167598684661608</v>
      </c>
      <c r="K833" s="6" t="s">
        <v>742</v>
      </c>
      <c r="L833" s="6" t="s">
        <v>15</v>
      </c>
      <c r="M833" s="6" t="s">
        <v>204</v>
      </c>
      <c r="N833" s="6" t="s">
        <v>1623</v>
      </c>
      <c r="O833" s="6" t="s">
        <v>2704</v>
      </c>
      <c r="P833" s="6" t="s">
        <v>1625</v>
      </c>
    </row>
    <row r="834" customFormat="false" ht="15" hidden="false" customHeight="false" outlineLevel="0" collapsed="false">
      <c r="A834" s="6" t="s">
        <v>2705</v>
      </c>
      <c r="B834" s="6" t="s">
        <v>379</v>
      </c>
      <c r="C834" s="7" t="n">
        <v>44286</v>
      </c>
      <c r="D834" s="6" t="s">
        <v>380</v>
      </c>
      <c r="E834" s="6" t="s">
        <v>2706</v>
      </c>
      <c r="F834" s="6" t="s">
        <v>2707</v>
      </c>
      <c r="G834" s="6" t="s">
        <v>2708</v>
      </c>
      <c r="H834" s="9" t="n">
        <v>14540</v>
      </c>
      <c r="K834" s="6" t="s">
        <v>384</v>
      </c>
      <c r="L834" s="6" t="s">
        <v>13</v>
      </c>
      <c r="M834" s="6" t="s">
        <v>119</v>
      </c>
      <c r="N834" s="6" t="s">
        <v>2709</v>
      </c>
      <c r="O834" s="6"/>
      <c r="P834" s="6" t="s">
        <v>386</v>
      </c>
    </row>
    <row r="835" customFormat="false" ht="15" hidden="false" customHeight="false" outlineLevel="0" collapsed="false">
      <c r="A835" s="6" t="s">
        <v>2710</v>
      </c>
      <c r="B835" s="6" t="s">
        <v>103</v>
      </c>
      <c r="C835" s="7" t="n">
        <v>44377</v>
      </c>
      <c r="D835" s="6" t="s">
        <v>380</v>
      </c>
      <c r="E835" s="6" t="s">
        <v>2706</v>
      </c>
      <c r="F835" s="6" t="s">
        <v>2707</v>
      </c>
      <c r="G835" s="6" t="s">
        <v>2711</v>
      </c>
      <c r="H835" s="9" t="n">
        <v>17558</v>
      </c>
      <c r="K835" s="6" t="s">
        <v>384</v>
      </c>
      <c r="L835" s="6" t="s">
        <v>13</v>
      </c>
      <c r="M835" s="6" t="s">
        <v>100</v>
      </c>
      <c r="N835" s="6" t="s">
        <v>2712</v>
      </c>
      <c r="O835" s="6"/>
      <c r="P835" s="6"/>
    </row>
    <row r="836" customFormat="false" ht="15" hidden="false" customHeight="false" outlineLevel="0" collapsed="false">
      <c r="A836" s="6" t="s">
        <v>2713</v>
      </c>
      <c r="B836" s="6" t="s">
        <v>391</v>
      </c>
      <c r="C836" s="7" t="n">
        <v>44377</v>
      </c>
      <c r="D836" s="6" t="s">
        <v>392</v>
      </c>
      <c r="E836" s="6" t="s">
        <v>2706</v>
      </c>
      <c r="F836" s="6" t="s">
        <v>2707</v>
      </c>
      <c r="G836" s="6" t="s">
        <v>2714</v>
      </c>
      <c r="H836" s="9" t="n">
        <v>32098</v>
      </c>
      <c r="K836" s="6" t="s">
        <v>384</v>
      </c>
      <c r="L836" s="6" t="s">
        <v>13</v>
      </c>
      <c r="M836" s="6" t="s">
        <v>100</v>
      </c>
      <c r="N836" s="6" t="s">
        <v>2715</v>
      </c>
      <c r="O836" s="6"/>
      <c r="P836" s="6"/>
    </row>
    <row r="837" customFormat="false" ht="15" hidden="false" customHeight="false" outlineLevel="0" collapsed="false">
      <c r="A837" s="6" t="s">
        <v>2716</v>
      </c>
      <c r="B837" s="6" t="s">
        <v>111</v>
      </c>
      <c r="C837" s="7" t="n">
        <v>44469</v>
      </c>
      <c r="D837" s="6" t="s">
        <v>380</v>
      </c>
      <c r="E837" s="6" t="s">
        <v>2706</v>
      </c>
      <c r="F837" s="6" t="s">
        <v>2707</v>
      </c>
      <c r="G837" s="6" t="s">
        <v>2717</v>
      </c>
      <c r="H837" s="9" t="n">
        <v>19762</v>
      </c>
      <c r="K837" s="6" t="s">
        <v>384</v>
      </c>
      <c r="L837" s="6" t="s">
        <v>13</v>
      </c>
      <c r="M837" s="6" t="s">
        <v>109</v>
      </c>
      <c r="N837" s="6" t="s">
        <v>2718</v>
      </c>
      <c r="O837" s="6"/>
      <c r="P837" s="6"/>
    </row>
    <row r="838" customFormat="false" ht="15" hidden="false" customHeight="false" outlineLevel="0" collapsed="false">
      <c r="A838" s="6" t="s">
        <v>2719</v>
      </c>
      <c r="B838" s="6" t="s">
        <v>399</v>
      </c>
      <c r="C838" s="7" t="n">
        <v>44469</v>
      </c>
      <c r="D838" s="6" t="s">
        <v>400</v>
      </c>
      <c r="E838" s="6" t="s">
        <v>2706</v>
      </c>
      <c r="F838" s="6" t="s">
        <v>2707</v>
      </c>
      <c r="G838" s="6" t="s">
        <v>2720</v>
      </c>
      <c r="H838" s="9" t="n">
        <v>51860</v>
      </c>
      <c r="K838" s="6" t="s">
        <v>384</v>
      </c>
      <c r="L838" s="6" t="s">
        <v>13</v>
      </c>
      <c r="M838" s="6" t="s">
        <v>109</v>
      </c>
      <c r="N838" s="6" t="s">
        <v>2721</v>
      </c>
      <c r="O838" s="6"/>
      <c r="P838" s="6"/>
    </row>
    <row r="839" customFormat="false" ht="15" hidden="false" customHeight="false" outlineLevel="0" collapsed="false">
      <c r="A839" s="6" t="s">
        <v>2722</v>
      </c>
      <c r="B839" s="6" t="s">
        <v>116</v>
      </c>
      <c r="C839" s="7" t="n">
        <v>44561</v>
      </c>
      <c r="D839" s="6" t="s">
        <v>380</v>
      </c>
      <c r="E839" s="6" t="s">
        <v>2706</v>
      </c>
      <c r="F839" s="6" t="s">
        <v>2707</v>
      </c>
      <c r="G839" s="6" t="s">
        <v>2723</v>
      </c>
      <c r="H839" s="9" t="n">
        <v>21669</v>
      </c>
      <c r="K839" s="6" t="s">
        <v>384</v>
      </c>
      <c r="L839" s="6" t="s">
        <v>13</v>
      </c>
      <c r="M839" s="6" t="s">
        <v>114</v>
      </c>
      <c r="N839" s="6" t="s">
        <v>2724</v>
      </c>
      <c r="O839" s="6"/>
      <c r="P839" s="6"/>
    </row>
    <row r="840" customFormat="false" ht="15" hidden="false" customHeight="false" outlineLevel="0" collapsed="false">
      <c r="A840" s="6" t="s">
        <v>2725</v>
      </c>
      <c r="B840" s="6" t="s">
        <v>212</v>
      </c>
      <c r="C840" s="7" t="n">
        <v>44561</v>
      </c>
      <c r="D840" s="6" t="s">
        <v>407</v>
      </c>
      <c r="E840" s="6" t="s">
        <v>2706</v>
      </c>
      <c r="F840" s="6" t="s">
        <v>2707</v>
      </c>
      <c r="G840" s="6" t="s">
        <v>2726</v>
      </c>
      <c r="H840" s="9" t="n">
        <v>73529</v>
      </c>
      <c r="K840" s="6" t="s">
        <v>384</v>
      </c>
      <c r="L840" s="6" t="s">
        <v>13</v>
      </c>
      <c r="M840" s="6" t="s">
        <v>114</v>
      </c>
      <c r="N840" s="6" t="s">
        <v>2727</v>
      </c>
      <c r="O840" s="6"/>
      <c r="P840" s="6"/>
    </row>
    <row r="841" customFormat="false" ht="15" hidden="false" customHeight="false" outlineLevel="0" collapsed="false">
      <c r="A841" s="6" t="s">
        <v>2728</v>
      </c>
      <c r="B841" s="6" t="s">
        <v>121</v>
      </c>
      <c r="C841" s="7" t="n">
        <v>44651</v>
      </c>
      <c r="D841" s="6" t="s">
        <v>380</v>
      </c>
      <c r="E841" s="6" t="s">
        <v>2706</v>
      </c>
      <c r="F841" s="6" t="s">
        <v>2707</v>
      </c>
      <c r="G841" s="6" t="s">
        <v>2729</v>
      </c>
      <c r="H841" s="9" t="n">
        <v>23666</v>
      </c>
      <c r="K841" s="6" t="s">
        <v>384</v>
      </c>
      <c r="L841" s="6" t="s">
        <v>13</v>
      </c>
      <c r="M841" s="6" t="s">
        <v>119</v>
      </c>
      <c r="N841" s="6" t="s">
        <v>2730</v>
      </c>
      <c r="O841" s="6"/>
      <c r="P841" s="6"/>
    </row>
    <row r="842" customFormat="false" ht="15" hidden="false" customHeight="false" outlineLevel="0" collapsed="false">
      <c r="A842" s="6" t="s">
        <v>2731</v>
      </c>
      <c r="B842" s="6" t="s">
        <v>126</v>
      </c>
      <c r="C842" s="7" t="n">
        <v>44742</v>
      </c>
      <c r="D842" s="6" t="s">
        <v>380</v>
      </c>
      <c r="E842" s="6" t="s">
        <v>2706</v>
      </c>
      <c r="F842" s="6" t="s">
        <v>2707</v>
      </c>
      <c r="G842" s="6" t="s">
        <v>2732</v>
      </c>
      <c r="H842" s="9" t="n">
        <v>30822</v>
      </c>
      <c r="K842" s="6" t="s">
        <v>384</v>
      </c>
      <c r="L842" s="6" t="s">
        <v>13</v>
      </c>
      <c r="M842" s="6" t="s">
        <v>124</v>
      </c>
      <c r="N842" s="6" t="s">
        <v>2733</v>
      </c>
      <c r="O842" s="6"/>
      <c r="P842" s="6"/>
    </row>
    <row r="843" customFormat="false" ht="15" hidden="false" customHeight="false" outlineLevel="0" collapsed="false">
      <c r="A843" s="6" t="s">
        <v>2734</v>
      </c>
      <c r="B843" s="6" t="s">
        <v>417</v>
      </c>
      <c r="C843" s="7" t="n">
        <v>44742</v>
      </c>
      <c r="D843" s="6" t="s">
        <v>392</v>
      </c>
      <c r="E843" s="6" t="s">
        <v>2706</v>
      </c>
      <c r="F843" s="6" t="s">
        <v>2707</v>
      </c>
      <c r="G843" s="6" t="s">
        <v>2735</v>
      </c>
      <c r="H843" s="9" t="n">
        <v>54488</v>
      </c>
      <c r="K843" s="6" t="s">
        <v>384</v>
      </c>
      <c r="L843" s="6" t="s">
        <v>13</v>
      </c>
      <c r="M843" s="6" t="s">
        <v>124</v>
      </c>
      <c r="N843" s="6" t="s">
        <v>2736</v>
      </c>
      <c r="O843" s="6"/>
      <c r="P843" s="6"/>
    </row>
    <row r="844" customFormat="false" ht="15" hidden="false" customHeight="false" outlineLevel="0" collapsed="false">
      <c r="A844" s="6" t="s">
        <v>2737</v>
      </c>
      <c r="B844" s="6" t="s">
        <v>131</v>
      </c>
      <c r="C844" s="7" t="n">
        <v>44834</v>
      </c>
      <c r="D844" s="6" t="s">
        <v>380</v>
      </c>
      <c r="E844" s="6" t="s">
        <v>2706</v>
      </c>
      <c r="F844" s="6" t="s">
        <v>2707</v>
      </c>
      <c r="G844" s="6" t="s">
        <v>2738</v>
      </c>
      <c r="H844" s="9" t="n">
        <v>26054</v>
      </c>
      <c r="K844" s="6" t="s">
        <v>384</v>
      </c>
      <c r="L844" s="6" t="s">
        <v>13</v>
      </c>
      <c r="M844" s="6" t="s">
        <v>129</v>
      </c>
      <c r="N844" s="6" t="s">
        <v>2739</v>
      </c>
      <c r="O844" s="6"/>
      <c r="P844" s="6"/>
    </row>
    <row r="845" customFormat="false" ht="15" hidden="false" customHeight="false" outlineLevel="0" collapsed="false">
      <c r="A845" s="6" t="s">
        <v>2740</v>
      </c>
      <c r="B845" s="6" t="s">
        <v>424</v>
      </c>
      <c r="C845" s="7" t="n">
        <v>44834</v>
      </c>
      <c r="D845" s="6" t="s">
        <v>400</v>
      </c>
      <c r="E845" s="6" t="s">
        <v>2706</v>
      </c>
      <c r="F845" s="6" t="s">
        <v>2707</v>
      </c>
      <c r="G845" s="6" t="s">
        <v>2741</v>
      </c>
      <c r="H845" s="9" t="n">
        <v>80542</v>
      </c>
      <c r="K845" s="6" t="s">
        <v>384</v>
      </c>
      <c r="L845" s="6" t="s">
        <v>13</v>
      </c>
      <c r="M845" s="6" t="s">
        <v>129</v>
      </c>
      <c r="N845" s="6" t="s">
        <v>2742</v>
      </c>
      <c r="O845" s="6"/>
      <c r="P845" s="6"/>
    </row>
    <row r="846" customFormat="false" ht="15" hidden="false" customHeight="false" outlineLevel="0" collapsed="false">
      <c r="A846" s="6" t="s">
        <v>2743</v>
      </c>
      <c r="B846" s="6" t="s">
        <v>136</v>
      </c>
      <c r="C846" s="7" t="n">
        <v>44926</v>
      </c>
      <c r="D846" s="6" t="s">
        <v>380</v>
      </c>
      <c r="E846" s="6" t="s">
        <v>2706</v>
      </c>
      <c r="F846" s="6" t="s">
        <v>2707</v>
      </c>
      <c r="G846" s="6" t="s">
        <v>2744</v>
      </c>
      <c r="H846" s="9" t="n">
        <v>24378</v>
      </c>
      <c r="K846" s="6" t="s">
        <v>384</v>
      </c>
      <c r="L846" s="6" t="s">
        <v>13</v>
      </c>
      <c r="M846" s="6" t="s">
        <v>134</v>
      </c>
      <c r="N846" s="6" t="s">
        <v>2745</v>
      </c>
      <c r="O846" s="6"/>
      <c r="P846" s="6"/>
    </row>
    <row r="847" customFormat="false" ht="15" hidden="false" customHeight="false" outlineLevel="0" collapsed="false">
      <c r="A847" s="6" t="s">
        <v>2746</v>
      </c>
      <c r="B847" s="6" t="s">
        <v>220</v>
      </c>
      <c r="C847" s="7" t="n">
        <v>44926</v>
      </c>
      <c r="D847" s="6" t="s">
        <v>407</v>
      </c>
      <c r="E847" s="6" t="s">
        <v>2706</v>
      </c>
      <c r="F847" s="6" t="s">
        <v>2707</v>
      </c>
      <c r="G847" s="6" t="s">
        <v>2747</v>
      </c>
      <c r="H847" s="9" t="n">
        <v>104920</v>
      </c>
      <c r="K847" s="6" t="s">
        <v>384</v>
      </c>
      <c r="L847" s="6" t="s">
        <v>13</v>
      </c>
      <c r="M847" s="6" t="s">
        <v>134</v>
      </c>
      <c r="N847" s="6" t="s">
        <v>2748</v>
      </c>
      <c r="O847" s="6"/>
      <c r="P847" s="6"/>
    </row>
    <row r="848" customFormat="false" ht="15" hidden="false" customHeight="false" outlineLevel="0" collapsed="false">
      <c r="A848" s="6" t="s">
        <v>2749</v>
      </c>
      <c r="B848" s="6" t="s">
        <v>141</v>
      </c>
      <c r="C848" s="7" t="n">
        <v>45016</v>
      </c>
      <c r="D848" s="6" t="s">
        <v>380</v>
      </c>
      <c r="E848" s="6" t="s">
        <v>2706</v>
      </c>
      <c r="F848" s="6" t="s">
        <v>2707</v>
      </c>
      <c r="G848" s="6" t="s">
        <v>2750</v>
      </c>
      <c r="H848" s="9" t="n">
        <v>22459</v>
      </c>
      <c r="K848" s="6" t="s">
        <v>384</v>
      </c>
      <c r="L848" s="6" t="s">
        <v>13</v>
      </c>
      <c r="M848" s="6" t="s">
        <v>139</v>
      </c>
      <c r="N848" s="6" t="s">
        <v>2751</v>
      </c>
      <c r="O848" s="6"/>
      <c r="P848" s="6"/>
    </row>
    <row r="849" customFormat="false" ht="15" hidden="false" customHeight="false" outlineLevel="0" collapsed="false">
      <c r="A849" s="6" t="s">
        <v>2752</v>
      </c>
      <c r="B849" s="6" t="s">
        <v>146</v>
      </c>
      <c r="C849" s="7" t="n">
        <v>45107</v>
      </c>
      <c r="D849" s="6" t="s">
        <v>380</v>
      </c>
      <c r="E849" s="6" t="s">
        <v>2706</v>
      </c>
      <c r="F849" s="6" t="s">
        <v>2707</v>
      </c>
      <c r="G849" s="6" t="s">
        <v>2753</v>
      </c>
      <c r="H849" s="9" t="n">
        <v>28784</v>
      </c>
      <c r="K849" s="6" t="s">
        <v>384</v>
      </c>
      <c r="L849" s="6" t="s">
        <v>13</v>
      </c>
      <c r="M849" s="6" t="s">
        <v>144</v>
      </c>
      <c r="N849" s="6" t="s">
        <v>2754</v>
      </c>
      <c r="O849" s="6"/>
      <c r="P849" s="6"/>
    </row>
    <row r="850" customFormat="false" ht="15" hidden="false" customHeight="false" outlineLevel="0" collapsed="false">
      <c r="A850" s="6" t="s">
        <v>2755</v>
      </c>
      <c r="B850" s="6" t="s">
        <v>440</v>
      </c>
      <c r="C850" s="7" t="n">
        <v>45107</v>
      </c>
      <c r="D850" s="6" t="s">
        <v>392</v>
      </c>
      <c r="E850" s="6" t="s">
        <v>2706</v>
      </c>
      <c r="F850" s="6" t="s">
        <v>2707</v>
      </c>
      <c r="G850" s="6" t="s">
        <v>2756</v>
      </c>
      <c r="H850" s="9" t="n">
        <v>51243</v>
      </c>
      <c r="K850" s="6" t="s">
        <v>384</v>
      </c>
      <c r="L850" s="6" t="s">
        <v>13</v>
      </c>
      <c r="M850" s="6" t="s">
        <v>144</v>
      </c>
      <c r="N850" s="6" t="s">
        <v>2757</v>
      </c>
      <c r="O850" s="6"/>
      <c r="P850" s="6"/>
    </row>
    <row r="851" customFormat="false" ht="15" hidden="false" customHeight="false" outlineLevel="0" collapsed="false">
      <c r="A851" s="6" t="s">
        <v>2758</v>
      </c>
      <c r="B851" s="6" t="s">
        <v>151</v>
      </c>
      <c r="C851" s="7" t="n">
        <v>45199</v>
      </c>
      <c r="D851" s="6" t="s">
        <v>380</v>
      </c>
      <c r="E851" s="6" t="s">
        <v>2706</v>
      </c>
      <c r="F851" s="6" t="s">
        <v>2707</v>
      </c>
      <c r="G851" s="6" t="s">
        <v>2759</v>
      </c>
      <c r="H851" s="9" t="n">
        <v>26598</v>
      </c>
      <c r="K851" s="6" t="s">
        <v>384</v>
      </c>
      <c r="L851" s="6" t="s">
        <v>13</v>
      </c>
      <c r="M851" s="6" t="s">
        <v>149</v>
      </c>
      <c r="N851" s="6" t="s">
        <v>2760</v>
      </c>
      <c r="O851" s="6"/>
      <c r="P851" s="6"/>
    </row>
    <row r="852" customFormat="false" ht="15" hidden="false" customHeight="false" outlineLevel="0" collapsed="false">
      <c r="A852" s="6" t="s">
        <v>2761</v>
      </c>
      <c r="B852" s="6" t="s">
        <v>447</v>
      </c>
      <c r="C852" s="7" t="n">
        <v>45199</v>
      </c>
      <c r="D852" s="6" t="s">
        <v>400</v>
      </c>
      <c r="E852" s="6" t="s">
        <v>2706</v>
      </c>
      <c r="F852" s="6" t="s">
        <v>2707</v>
      </c>
      <c r="G852" s="6" t="s">
        <v>2762</v>
      </c>
      <c r="H852" s="9" t="n">
        <v>77841</v>
      </c>
      <c r="K852" s="6" t="s">
        <v>384</v>
      </c>
      <c r="L852" s="6" t="s">
        <v>13</v>
      </c>
      <c r="M852" s="6" t="s">
        <v>149</v>
      </c>
      <c r="N852" s="6" t="s">
        <v>2763</v>
      </c>
      <c r="O852" s="6"/>
      <c r="P852" s="6"/>
    </row>
    <row r="853" customFormat="false" ht="15" hidden="false" customHeight="false" outlineLevel="0" collapsed="false">
      <c r="A853" s="6" t="s">
        <v>2764</v>
      </c>
      <c r="B853" s="6" t="s">
        <v>156</v>
      </c>
      <c r="C853" s="7" t="n">
        <v>45291</v>
      </c>
      <c r="D853" s="6" t="s">
        <v>380</v>
      </c>
      <c r="E853" s="6" t="s">
        <v>2706</v>
      </c>
      <c r="F853" s="6" t="s">
        <v>2707</v>
      </c>
      <c r="G853" s="6" t="s">
        <v>2765</v>
      </c>
      <c r="H853" s="9" t="n">
        <v>22345</v>
      </c>
      <c r="K853" s="6" t="s">
        <v>384</v>
      </c>
      <c r="L853" s="6" t="s">
        <v>13</v>
      </c>
      <c r="M853" s="6" t="s">
        <v>154</v>
      </c>
      <c r="N853" s="6" t="s">
        <v>2766</v>
      </c>
      <c r="O853" s="6"/>
      <c r="P853" s="6"/>
    </row>
    <row r="854" customFormat="false" ht="15" hidden="false" customHeight="false" outlineLevel="0" collapsed="false">
      <c r="A854" s="6" t="s">
        <v>2767</v>
      </c>
      <c r="B854" s="6" t="s">
        <v>225</v>
      </c>
      <c r="C854" s="7" t="n">
        <v>45291</v>
      </c>
      <c r="D854" s="6" t="s">
        <v>407</v>
      </c>
      <c r="E854" s="6" t="s">
        <v>2706</v>
      </c>
      <c r="F854" s="6" t="s">
        <v>2707</v>
      </c>
      <c r="G854" s="6" t="s">
        <v>2768</v>
      </c>
      <c r="H854" s="9" t="n">
        <v>100186</v>
      </c>
      <c r="K854" s="6" t="s">
        <v>384</v>
      </c>
      <c r="L854" s="6" t="s">
        <v>13</v>
      </c>
      <c r="M854" s="6" t="s">
        <v>154</v>
      </c>
      <c r="N854" s="6" t="s">
        <v>2769</v>
      </c>
      <c r="O854" s="6"/>
      <c r="P854" s="6"/>
    </row>
    <row r="855" customFormat="false" ht="15" hidden="false" customHeight="false" outlineLevel="0" collapsed="false">
      <c r="A855" s="6" t="s">
        <v>2770</v>
      </c>
      <c r="B855" s="6" t="s">
        <v>161</v>
      </c>
      <c r="C855" s="7" t="n">
        <v>45382</v>
      </c>
      <c r="D855" s="6" t="s">
        <v>380</v>
      </c>
      <c r="E855" s="6" t="s">
        <v>2706</v>
      </c>
      <c r="F855" s="6" t="s">
        <v>2707</v>
      </c>
      <c r="G855" s="6" t="s">
        <v>2771</v>
      </c>
      <c r="H855" s="9" t="n">
        <v>26543</v>
      </c>
      <c r="K855" s="6" t="s">
        <v>384</v>
      </c>
      <c r="L855" s="6" t="s">
        <v>13</v>
      </c>
      <c r="M855" s="6" t="s">
        <v>159</v>
      </c>
      <c r="N855" s="6" t="s">
        <v>2772</v>
      </c>
      <c r="O855" s="6"/>
      <c r="P855" s="6"/>
    </row>
    <row r="856" customFormat="false" ht="15" hidden="false" customHeight="false" outlineLevel="0" collapsed="false">
      <c r="A856" s="6" t="s">
        <v>2773</v>
      </c>
      <c r="B856" s="6" t="s">
        <v>166</v>
      </c>
      <c r="C856" s="7" t="n">
        <v>45473</v>
      </c>
      <c r="D856" s="6" t="s">
        <v>380</v>
      </c>
      <c r="E856" s="6" t="s">
        <v>2706</v>
      </c>
      <c r="F856" s="6" t="s">
        <v>2707</v>
      </c>
      <c r="G856" s="6" t="s">
        <v>2774</v>
      </c>
      <c r="H856" s="9" t="n">
        <v>36623</v>
      </c>
      <c r="K856" s="6" t="s">
        <v>384</v>
      </c>
      <c r="L856" s="6" t="s">
        <v>13</v>
      </c>
      <c r="M856" s="6" t="s">
        <v>164</v>
      </c>
      <c r="N856" s="6" t="s">
        <v>2775</v>
      </c>
      <c r="O856" s="6"/>
      <c r="P856" s="6"/>
    </row>
    <row r="857" customFormat="false" ht="15" hidden="false" customHeight="false" outlineLevel="0" collapsed="false">
      <c r="A857" s="6" t="s">
        <v>2776</v>
      </c>
      <c r="B857" s="6" t="s">
        <v>241</v>
      </c>
      <c r="C857" s="7" t="n">
        <v>45473</v>
      </c>
      <c r="D857" s="6" t="s">
        <v>392</v>
      </c>
      <c r="E857" s="6" t="s">
        <v>2706</v>
      </c>
      <c r="F857" s="6" t="s">
        <v>2707</v>
      </c>
      <c r="G857" s="6" t="s">
        <v>2777</v>
      </c>
      <c r="H857" s="9" t="n">
        <v>63166</v>
      </c>
      <c r="K857" s="6" t="s">
        <v>384</v>
      </c>
      <c r="L857" s="6" t="s">
        <v>13</v>
      </c>
      <c r="M857" s="6" t="s">
        <v>164</v>
      </c>
      <c r="N857" s="6" t="s">
        <v>2778</v>
      </c>
      <c r="O857" s="6"/>
      <c r="P857" s="6"/>
    </row>
    <row r="858" customFormat="false" ht="15" hidden="false" customHeight="false" outlineLevel="0" collapsed="false">
      <c r="A858" s="6" t="s">
        <v>2779</v>
      </c>
      <c r="B858" s="6" t="s">
        <v>171</v>
      </c>
      <c r="C858" s="7" t="n">
        <v>45565</v>
      </c>
      <c r="D858" s="6" t="s">
        <v>380</v>
      </c>
      <c r="E858" s="6" t="s">
        <v>2706</v>
      </c>
      <c r="F858" s="6" t="s">
        <v>2707</v>
      </c>
      <c r="G858" s="6" t="s">
        <v>2780</v>
      </c>
      <c r="H858" s="9" t="n">
        <v>35374</v>
      </c>
      <c r="K858" s="6" t="s">
        <v>384</v>
      </c>
      <c r="L858" s="6" t="s">
        <v>13</v>
      </c>
      <c r="M858" s="6" t="s">
        <v>169</v>
      </c>
      <c r="N858" s="6" t="s">
        <v>2781</v>
      </c>
      <c r="O858" s="6"/>
      <c r="P858" s="6"/>
    </row>
    <row r="859" customFormat="false" ht="15" hidden="false" customHeight="false" outlineLevel="0" collapsed="false">
      <c r="A859" s="6" t="s">
        <v>2782</v>
      </c>
      <c r="B859" s="6" t="s">
        <v>469</v>
      </c>
      <c r="C859" s="7" t="n">
        <v>45565</v>
      </c>
      <c r="D859" s="6" t="s">
        <v>400</v>
      </c>
      <c r="E859" s="6" t="s">
        <v>2706</v>
      </c>
      <c r="F859" s="6" t="s">
        <v>2707</v>
      </c>
      <c r="G859" s="6" t="s">
        <v>2783</v>
      </c>
      <c r="H859" s="9" t="n">
        <v>98540</v>
      </c>
      <c r="K859" s="6" t="s">
        <v>384</v>
      </c>
      <c r="L859" s="6" t="s">
        <v>13</v>
      </c>
      <c r="M859" s="6" t="s">
        <v>169</v>
      </c>
      <c r="N859" s="6" t="s">
        <v>2784</v>
      </c>
      <c r="O859" s="6"/>
      <c r="P859" s="6"/>
    </row>
    <row r="860" customFormat="false" ht="15" hidden="false" customHeight="false" outlineLevel="0" collapsed="false">
      <c r="A860" s="6" t="s">
        <v>2785</v>
      </c>
      <c r="B860" s="6" t="s">
        <v>176</v>
      </c>
      <c r="C860" s="7" t="n">
        <v>45657</v>
      </c>
      <c r="D860" s="6" t="s">
        <v>380</v>
      </c>
      <c r="E860" s="6" t="s">
        <v>2706</v>
      </c>
      <c r="F860" s="6" t="s">
        <v>2707</v>
      </c>
      <c r="G860" s="6" t="s">
        <v>2786</v>
      </c>
      <c r="H860" s="9" t="n">
        <v>30669</v>
      </c>
      <c r="K860" s="6" t="s">
        <v>384</v>
      </c>
      <c r="L860" s="6" t="s">
        <v>13</v>
      </c>
      <c r="M860" s="6" t="s">
        <v>174</v>
      </c>
      <c r="N860" s="6" t="s">
        <v>2787</v>
      </c>
      <c r="O860" s="6"/>
      <c r="P860" s="6"/>
    </row>
    <row r="861" customFormat="false" ht="15" hidden="false" customHeight="false" outlineLevel="0" collapsed="false">
      <c r="A861" s="6" t="s">
        <v>2788</v>
      </c>
      <c r="B861" s="6" t="s">
        <v>230</v>
      </c>
      <c r="C861" s="7" t="n">
        <v>45657</v>
      </c>
      <c r="D861" s="6" t="s">
        <v>407</v>
      </c>
      <c r="E861" s="6" t="s">
        <v>2706</v>
      </c>
      <c r="F861" s="6" t="s">
        <v>2707</v>
      </c>
      <c r="G861" s="6" t="s">
        <v>2789</v>
      </c>
      <c r="H861" s="9" t="n">
        <v>129209</v>
      </c>
      <c r="K861" s="6" t="s">
        <v>384</v>
      </c>
      <c r="L861" s="6" t="s">
        <v>13</v>
      </c>
      <c r="M861" s="6" t="s">
        <v>174</v>
      </c>
      <c r="N861" s="6" t="s">
        <v>2790</v>
      </c>
      <c r="O861" s="6"/>
      <c r="P861" s="6"/>
    </row>
    <row r="862" customFormat="false" ht="15" hidden="false" customHeight="false" outlineLevel="0" collapsed="false">
      <c r="A862" s="6" t="s">
        <v>2791</v>
      </c>
      <c r="B862" s="6" t="s">
        <v>181</v>
      </c>
      <c r="C862" s="7" t="n">
        <v>45747</v>
      </c>
      <c r="D862" s="6" t="s">
        <v>380</v>
      </c>
      <c r="E862" s="6" t="s">
        <v>2706</v>
      </c>
      <c r="F862" s="6" t="s">
        <v>2707</v>
      </c>
      <c r="G862" s="6" t="s">
        <v>2792</v>
      </c>
      <c r="H862" s="9" t="n">
        <v>30958</v>
      </c>
      <c r="K862" s="6" t="s">
        <v>384</v>
      </c>
      <c r="L862" s="6" t="s">
        <v>13</v>
      </c>
      <c r="M862" s="6" t="s">
        <v>179</v>
      </c>
      <c r="N862" s="6" t="s">
        <v>2793</v>
      </c>
      <c r="O862" s="6"/>
      <c r="P862" s="6"/>
    </row>
    <row r="863" customFormat="false" ht="15" hidden="false" customHeight="false" outlineLevel="0" collapsed="false">
      <c r="A863" s="6" t="s">
        <v>2794</v>
      </c>
      <c r="B863" s="6" t="s">
        <v>186</v>
      </c>
      <c r="C863" s="7" t="n">
        <v>45838</v>
      </c>
      <c r="D863" s="6" t="s">
        <v>380</v>
      </c>
      <c r="E863" s="6" t="s">
        <v>2706</v>
      </c>
      <c r="F863" s="6" t="s">
        <v>2707</v>
      </c>
      <c r="G863" s="6" t="s">
        <v>2795</v>
      </c>
      <c r="H863" s="9" t="n">
        <v>56645</v>
      </c>
      <c r="K863" s="6" t="s">
        <v>384</v>
      </c>
      <c r="L863" s="6" t="s">
        <v>13</v>
      </c>
      <c r="M863" s="6" t="s">
        <v>184</v>
      </c>
      <c r="N863" s="6" t="s">
        <v>2796</v>
      </c>
      <c r="O863" s="6"/>
      <c r="P863" s="6"/>
    </row>
    <row r="864" customFormat="false" ht="15" hidden="false" customHeight="false" outlineLevel="0" collapsed="false">
      <c r="A864" s="6" t="s">
        <v>2797</v>
      </c>
      <c r="B864" s="6" t="s">
        <v>255</v>
      </c>
      <c r="C864" s="7" t="n">
        <v>45838</v>
      </c>
      <c r="D864" s="6" t="s">
        <v>392</v>
      </c>
      <c r="E864" s="6" t="s">
        <v>2706</v>
      </c>
      <c r="F864" s="6" t="s">
        <v>2707</v>
      </c>
      <c r="G864" s="6" t="s">
        <v>2798</v>
      </c>
      <c r="H864" s="9" t="n">
        <v>87603</v>
      </c>
      <c r="K864" s="6" t="s">
        <v>384</v>
      </c>
      <c r="L864" s="6" t="s">
        <v>13</v>
      </c>
      <c r="M864" s="6" t="s">
        <v>184</v>
      </c>
      <c r="N864" s="6" t="s">
        <v>2799</v>
      </c>
      <c r="O864" s="6"/>
      <c r="P864" s="6"/>
    </row>
    <row r="865" customFormat="false" ht="15" hidden="false" customHeight="false" outlineLevel="0" collapsed="false">
      <c r="A865" s="6" t="s">
        <v>2800</v>
      </c>
      <c r="B865" s="6" t="s">
        <v>191</v>
      </c>
      <c r="C865" s="7" t="n">
        <v>45930</v>
      </c>
      <c r="D865" s="6" t="s">
        <v>380</v>
      </c>
      <c r="E865" s="6" t="s">
        <v>2706</v>
      </c>
      <c r="F865" s="6" t="s">
        <v>2707</v>
      </c>
      <c r="G865" s="6" t="s">
        <v>2801</v>
      </c>
      <c r="H865" s="9" t="n">
        <v>49862</v>
      </c>
      <c r="K865" s="6" t="s">
        <v>384</v>
      </c>
      <c r="L865" s="6" t="s">
        <v>13</v>
      </c>
      <c r="M865" s="6" t="s">
        <v>189</v>
      </c>
      <c r="N865" s="6" t="s">
        <v>2802</v>
      </c>
      <c r="O865" s="6"/>
      <c r="P865" s="6"/>
    </row>
    <row r="866" customFormat="false" ht="15" hidden="false" customHeight="false" outlineLevel="0" collapsed="false">
      <c r="A866" s="6" t="s">
        <v>2803</v>
      </c>
      <c r="B866" s="6" t="s">
        <v>491</v>
      </c>
      <c r="C866" s="7" t="n">
        <v>45930</v>
      </c>
      <c r="D866" s="6" t="s">
        <v>400</v>
      </c>
      <c r="E866" s="6" t="s">
        <v>2706</v>
      </c>
      <c r="F866" s="6" t="s">
        <v>2707</v>
      </c>
      <c r="G866" s="6" t="s">
        <v>2804</v>
      </c>
      <c r="H866" s="9" t="n">
        <v>137465</v>
      </c>
      <c r="K866" s="6" t="s">
        <v>384</v>
      </c>
      <c r="L866" s="6" t="s">
        <v>13</v>
      </c>
      <c r="M866" s="6" t="s">
        <v>189</v>
      </c>
      <c r="N866" s="6" t="s">
        <v>2805</v>
      </c>
      <c r="O866" s="6"/>
      <c r="P866" s="6"/>
    </row>
    <row r="867" customFormat="false" ht="15" hidden="false" customHeight="false" outlineLevel="0" collapsed="false">
      <c r="A867" s="6" t="s">
        <v>2806</v>
      </c>
      <c r="B867" s="6" t="s">
        <v>196</v>
      </c>
      <c r="C867" s="7" t="n">
        <v>46022</v>
      </c>
      <c r="D867" s="6" t="s">
        <v>380</v>
      </c>
      <c r="E867" s="6" t="s">
        <v>2706</v>
      </c>
      <c r="F867" s="6" t="s">
        <v>2707</v>
      </c>
      <c r="G867" s="6" t="s">
        <v>2807</v>
      </c>
      <c r="H867" s="9" t="n">
        <v>39546</v>
      </c>
      <c r="K867" s="6" t="s">
        <v>384</v>
      </c>
      <c r="L867" s="6" t="s">
        <v>13</v>
      </c>
      <c r="M867" s="6" t="s">
        <v>194</v>
      </c>
      <c r="N867" s="6" t="s">
        <v>2808</v>
      </c>
      <c r="O867" s="6"/>
      <c r="P867" s="6"/>
    </row>
    <row r="868" customFormat="false" ht="15" hidden="false" customHeight="false" outlineLevel="0" collapsed="false">
      <c r="A868" s="6" t="s">
        <v>2809</v>
      </c>
      <c r="B868" s="6" t="s">
        <v>235</v>
      </c>
      <c r="C868" s="7" t="n">
        <v>46022</v>
      </c>
      <c r="D868" s="6" t="s">
        <v>407</v>
      </c>
      <c r="E868" s="6" t="s">
        <v>2706</v>
      </c>
      <c r="F868" s="6" t="s">
        <v>2707</v>
      </c>
      <c r="G868" s="6" t="s">
        <v>2810</v>
      </c>
      <c r="H868" s="9" t="n">
        <v>177011</v>
      </c>
      <c r="K868" s="6" t="s">
        <v>384</v>
      </c>
      <c r="L868" s="6" t="s">
        <v>13</v>
      </c>
      <c r="M868" s="6" t="s">
        <v>194</v>
      </c>
      <c r="N868" s="6" t="s">
        <v>2811</v>
      </c>
      <c r="O868" s="6"/>
      <c r="P868" s="6"/>
    </row>
    <row r="869" customFormat="false" ht="15" hidden="false" customHeight="false" outlineLevel="0" collapsed="false">
      <c r="A869" s="6" t="s">
        <v>2812</v>
      </c>
      <c r="B869" s="6" t="s">
        <v>201</v>
      </c>
      <c r="C869" s="7" t="n">
        <v>46112</v>
      </c>
      <c r="D869" s="6" t="s">
        <v>380</v>
      </c>
      <c r="E869" s="6" t="s">
        <v>2706</v>
      </c>
      <c r="F869" s="6" t="s">
        <v>2707</v>
      </c>
      <c r="G869" s="6" t="s">
        <v>2813</v>
      </c>
      <c r="H869" s="9" t="n">
        <v>29283</v>
      </c>
      <c r="K869" s="6" t="s">
        <v>384</v>
      </c>
      <c r="L869" s="6" t="s">
        <v>13</v>
      </c>
      <c r="M869" s="6" t="s">
        <v>199</v>
      </c>
      <c r="N869" s="6" t="s">
        <v>2814</v>
      </c>
      <c r="O869" s="6"/>
      <c r="P869" s="6"/>
    </row>
    <row r="870" customFormat="false" ht="15" hidden="false" customHeight="false" outlineLevel="0" collapsed="false">
      <c r="A870" s="6" t="s">
        <v>2815</v>
      </c>
      <c r="B870" s="6" t="s">
        <v>206</v>
      </c>
      <c r="C870" s="7" t="n">
        <v>46203</v>
      </c>
      <c r="D870" s="6" t="s">
        <v>380</v>
      </c>
      <c r="E870" s="6" t="s">
        <v>2706</v>
      </c>
      <c r="F870" s="6" t="s">
        <v>2707</v>
      </c>
      <c r="G870" s="6" t="s">
        <v>2816</v>
      </c>
      <c r="H870" s="9" t="n">
        <v>41218</v>
      </c>
      <c r="K870" s="6" t="s">
        <v>384</v>
      </c>
      <c r="L870" s="6" t="s">
        <v>13</v>
      </c>
      <c r="M870" s="6" t="s">
        <v>204</v>
      </c>
      <c r="N870" s="6" t="s">
        <v>2817</v>
      </c>
      <c r="O870" s="6"/>
      <c r="P870" s="6"/>
    </row>
    <row r="871" customFormat="false" ht="15" hidden="false" customHeight="false" outlineLevel="0" collapsed="false">
      <c r="A871" s="6" t="s">
        <v>2818</v>
      </c>
      <c r="B871" s="6" t="s">
        <v>263</v>
      </c>
      <c r="C871" s="7" t="n">
        <v>46203</v>
      </c>
      <c r="D871" s="6" t="s">
        <v>392</v>
      </c>
      <c r="E871" s="6" t="s">
        <v>2706</v>
      </c>
      <c r="F871" s="6" t="s">
        <v>2707</v>
      </c>
      <c r="G871" s="6" t="s">
        <v>2819</v>
      </c>
      <c r="H871" s="9" t="n">
        <v>70501</v>
      </c>
      <c r="K871" s="6" t="s">
        <v>384</v>
      </c>
      <c r="L871" s="6" t="s">
        <v>13</v>
      </c>
      <c r="M871" s="6" t="s">
        <v>204</v>
      </c>
      <c r="N871" s="6" t="s">
        <v>2820</v>
      </c>
      <c r="O871" s="6"/>
      <c r="P871" s="6"/>
    </row>
    <row r="872" customFormat="false" ht="15" hidden="false" customHeight="false" outlineLevel="0" collapsed="false">
      <c r="A872" s="6" t="s">
        <v>2821</v>
      </c>
      <c r="B872" s="6" t="s">
        <v>379</v>
      </c>
      <c r="C872" s="7" t="n">
        <v>44286</v>
      </c>
      <c r="D872" s="6" t="s">
        <v>380</v>
      </c>
      <c r="E872" s="6" t="s">
        <v>2706</v>
      </c>
      <c r="F872" s="6" t="s">
        <v>2822</v>
      </c>
      <c r="G872" s="6" t="s">
        <v>2708</v>
      </c>
      <c r="H872" s="9" t="n">
        <v>14540</v>
      </c>
      <c r="K872" s="6" t="s">
        <v>384</v>
      </c>
      <c r="L872" s="6" t="s">
        <v>13</v>
      </c>
      <c r="M872" s="6" t="s">
        <v>119</v>
      </c>
      <c r="N872" s="6" t="s">
        <v>2823</v>
      </c>
      <c r="O872" s="6"/>
      <c r="P872" s="6" t="s">
        <v>386</v>
      </c>
    </row>
    <row r="873" customFormat="false" ht="15" hidden="false" customHeight="false" outlineLevel="0" collapsed="false">
      <c r="A873" s="6" t="s">
        <v>2824</v>
      </c>
      <c r="B873" s="6" t="s">
        <v>103</v>
      </c>
      <c r="C873" s="7" t="n">
        <v>44377</v>
      </c>
      <c r="D873" s="6" t="s">
        <v>380</v>
      </c>
      <c r="E873" s="6" t="s">
        <v>2706</v>
      </c>
      <c r="F873" s="6" t="s">
        <v>2822</v>
      </c>
      <c r="G873" s="6" t="s">
        <v>2711</v>
      </c>
      <c r="H873" s="9" t="n">
        <v>17558</v>
      </c>
      <c r="K873" s="6" t="s">
        <v>384</v>
      </c>
      <c r="L873" s="6" t="s">
        <v>13</v>
      </c>
      <c r="M873" s="6" t="s">
        <v>100</v>
      </c>
      <c r="N873" s="6" t="s">
        <v>2825</v>
      </c>
      <c r="O873" s="6"/>
      <c r="P873" s="6"/>
    </row>
    <row r="874" customFormat="false" ht="15" hidden="false" customHeight="false" outlineLevel="0" collapsed="false">
      <c r="A874" s="6" t="s">
        <v>2826</v>
      </c>
      <c r="B874" s="6" t="s">
        <v>391</v>
      </c>
      <c r="C874" s="7" t="n">
        <v>44377</v>
      </c>
      <c r="D874" s="6" t="s">
        <v>392</v>
      </c>
      <c r="E874" s="6" t="s">
        <v>2706</v>
      </c>
      <c r="F874" s="6" t="s">
        <v>2822</v>
      </c>
      <c r="G874" s="6" t="s">
        <v>2714</v>
      </c>
      <c r="H874" s="9" t="n">
        <v>32098</v>
      </c>
      <c r="K874" s="6" t="s">
        <v>384</v>
      </c>
      <c r="L874" s="6" t="s">
        <v>13</v>
      </c>
      <c r="M874" s="6" t="s">
        <v>100</v>
      </c>
      <c r="N874" s="6" t="s">
        <v>2827</v>
      </c>
      <c r="O874" s="6"/>
      <c r="P874" s="6"/>
    </row>
    <row r="875" customFormat="false" ht="15" hidden="false" customHeight="false" outlineLevel="0" collapsed="false">
      <c r="A875" s="6" t="s">
        <v>2828</v>
      </c>
      <c r="B875" s="6" t="s">
        <v>111</v>
      </c>
      <c r="C875" s="7" t="n">
        <v>44469</v>
      </c>
      <c r="D875" s="6" t="s">
        <v>380</v>
      </c>
      <c r="E875" s="6" t="s">
        <v>2706</v>
      </c>
      <c r="F875" s="6" t="s">
        <v>2822</v>
      </c>
      <c r="G875" s="6" t="s">
        <v>2717</v>
      </c>
      <c r="H875" s="9" t="n">
        <v>19762</v>
      </c>
      <c r="K875" s="6" t="s">
        <v>384</v>
      </c>
      <c r="L875" s="6" t="s">
        <v>13</v>
      </c>
      <c r="M875" s="6" t="s">
        <v>109</v>
      </c>
      <c r="N875" s="6" t="s">
        <v>2829</v>
      </c>
      <c r="O875" s="6"/>
      <c r="P875" s="6"/>
    </row>
    <row r="876" customFormat="false" ht="15" hidden="false" customHeight="false" outlineLevel="0" collapsed="false">
      <c r="A876" s="6" t="s">
        <v>2830</v>
      </c>
      <c r="B876" s="6" t="s">
        <v>399</v>
      </c>
      <c r="C876" s="7" t="n">
        <v>44469</v>
      </c>
      <c r="D876" s="6" t="s">
        <v>400</v>
      </c>
      <c r="E876" s="6" t="s">
        <v>2706</v>
      </c>
      <c r="F876" s="6" t="s">
        <v>2822</v>
      </c>
      <c r="G876" s="6" t="s">
        <v>2720</v>
      </c>
      <c r="H876" s="9" t="n">
        <v>51860</v>
      </c>
      <c r="K876" s="6" t="s">
        <v>384</v>
      </c>
      <c r="L876" s="6" t="s">
        <v>13</v>
      </c>
      <c r="M876" s="6" t="s">
        <v>109</v>
      </c>
      <c r="N876" s="6" t="s">
        <v>2831</v>
      </c>
      <c r="O876" s="6"/>
      <c r="P876" s="6"/>
    </row>
    <row r="877" customFormat="false" ht="15" hidden="false" customHeight="false" outlineLevel="0" collapsed="false">
      <c r="A877" s="6" t="s">
        <v>2832</v>
      </c>
      <c r="B877" s="6" t="s">
        <v>116</v>
      </c>
      <c r="C877" s="7" t="n">
        <v>44561</v>
      </c>
      <c r="D877" s="6" t="s">
        <v>380</v>
      </c>
      <c r="E877" s="6" t="s">
        <v>2706</v>
      </c>
      <c r="F877" s="6" t="s">
        <v>2822</v>
      </c>
      <c r="G877" s="6" t="s">
        <v>2723</v>
      </c>
      <c r="H877" s="9" t="n">
        <v>21669</v>
      </c>
      <c r="K877" s="6" t="s">
        <v>384</v>
      </c>
      <c r="L877" s="6" t="s">
        <v>13</v>
      </c>
      <c r="M877" s="6" t="s">
        <v>114</v>
      </c>
      <c r="N877" s="6" t="s">
        <v>2833</v>
      </c>
      <c r="O877" s="6"/>
      <c r="P877" s="6"/>
    </row>
    <row r="878" customFormat="false" ht="15" hidden="false" customHeight="false" outlineLevel="0" collapsed="false">
      <c r="A878" s="6" t="s">
        <v>2834</v>
      </c>
      <c r="B878" s="6" t="s">
        <v>212</v>
      </c>
      <c r="C878" s="7" t="n">
        <v>44561</v>
      </c>
      <c r="D878" s="6" t="s">
        <v>407</v>
      </c>
      <c r="E878" s="6" t="s">
        <v>2706</v>
      </c>
      <c r="F878" s="6" t="s">
        <v>2822</v>
      </c>
      <c r="G878" s="6" t="s">
        <v>2726</v>
      </c>
      <c r="H878" s="9" t="n">
        <v>73529</v>
      </c>
      <c r="K878" s="6" t="s">
        <v>384</v>
      </c>
      <c r="L878" s="6" t="s">
        <v>13</v>
      </c>
      <c r="M878" s="6" t="s">
        <v>114</v>
      </c>
      <c r="N878" s="6" t="s">
        <v>2835</v>
      </c>
      <c r="O878" s="6"/>
      <c r="P878" s="6"/>
    </row>
    <row r="879" customFormat="false" ht="15" hidden="false" customHeight="false" outlineLevel="0" collapsed="false">
      <c r="A879" s="6" t="s">
        <v>2836</v>
      </c>
      <c r="B879" s="6" t="s">
        <v>121</v>
      </c>
      <c r="C879" s="7" t="n">
        <v>44651</v>
      </c>
      <c r="D879" s="6" t="s">
        <v>380</v>
      </c>
      <c r="E879" s="6" t="s">
        <v>2706</v>
      </c>
      <c r="F879" s="6" t="s">
        <v>2822</v>
      </c>
      <c r="G879" s="6" t="s">
        <v>2729</v>
      </c>
      <c r="H879" s="9" t="n">
        <v>23666</v>
      </c>
      <c r="K879" s="6" t="s">
        <v>384</v>
      </c>
      <c r="L879" s="6" t="s">
        <v>13</v>
      </c>
      <c r="M879" s="6" t="s">
        <v>119</v>
      </c>
      <c r="N879" s="6" t="s">
        <v>2837</v>
      </c>
      <c r="O879" s="6"/>
      <c r="P879" s="6"/>
    </row>
    <row r="880" customFormat="false" ht="15" hidden="false" customHeight="false" outlineLevel="0" collapsed="false">
      <c r="A880" s="6" t="s">
        <v>2838</v>
      </c>
      <c r="B880" s="6" t="s">
        <v>126</v>
      </c>
      <c r="C880" s="7" t="n">
        <v>44742</v>
      </c>
      <c r="D880" s="6" t="s">
        <v>380</v>
      </c>
      <c r="E880" s="6" t="s">
        <v>2706</v>
      </c>
      <c r="F880" s="6" t="s">
        <v>2822</v>
      </c>
      <c r="G880" s="6" t="s">
        <v>2732</v>
      </c>
      <c r="H880" s="9" t="n">
        <v>30822</v>
      </c>
      <c r="K880" s="6" t="s">
        <v>384</v>
      </c>
      <c r="L880" s="6" t="s">
        <v>13</v>
      </c>
      <c r="M880" s="6" t="s">
        <v>124</v>
      </c>
      <c r="N880" s="6" t="s">
        <v>2839</v>
      </c>
      <c r="O880" s="6"/>
      <c r="P880" s="6"/>
    </row>
    <row r="881" customFormat="false" ht="15" hidden="false" customHeight="false" outlineLevel="0" collapsed="false">
      <c r="A881" s="6" t="s">
        <v>2840</v>
      </c>
      <c r="B881" s="6" t="s">
        <v>417</v>
      </c>
      <c r="C881" s="7" t="n">
        <v>44742</v>
      </c>
      <c r="D881" s="6" t="s">
        <v>392</v>
      </c>
      <c r="E881" s="6" t="s">
        <v>2706</v>
      </c>
      <c r="F881" s="6" t="s">
        <v>2822</v>
      </c>
      <c r="G881" s="6" t="s">
        <v>2735</v>
      </c>
      <c r="H881" s="9" t="n">
        <v>54488</v>
      </c>
      <c r="K881" s="6" t="s">
        <v>384</v>
      </c>
      <c r="L881" s="6" t="s">
        <v>13</v>
      </c>
      <c r="M881" s="6" t="s">
        <v>124</v>
      </c>
      <c r="N881" s="6" t="s">
        <v>2841</v>
      </c>
      <c r="O881" s="6"/>
      <c r="P881" s="6"/>
    </row>
    <row r="882" customFormat="false" ht="15" hidden="false" customHeight="false" outlineLevel="0" collapsed="false">
      <c r="A882" s="6" t="s">
        <v>2842</v>
      </c>
      <c r="B882" s="6" t="s">
        <v>131</v>
      </c>
      <c r="C882" s="7" t="n">
        <v>44834</v>
      </c>
      <c r="D882" s="6" t="s">
        <v>380</v>
      </c>
      <c r="E882" s="6" t="s">
        <v>2706</v>
      </c>
      <c r="F882" s="6" t="s">
        <v>2822</v>
      </c>
      <c r="G882" s="6" t="s">
        <v>2738</v>
      </c>
      <c r="H882" s="9" t="n">
        <v>26054</v>
      </c>
      <c r="K882" s="6" t="s">
        <v>384</v>
      </c>
      <c r="L882" s="6" t="s">
        <v>13</v>
      </c>
      <c r="M882" s="6" t="s">
        <v>129</v>
      </c>
      <c r="N882" s="6" t="s">
        <v>2843</v>
      </c>
      <c r="O882" s="6"/>
      <c r="P882" s="6"/>
    </row>
    <row r="883" customFormat="false" ht="15" hidden="false" customHeight="false" outlineLevel="0" collapsed="false">
      <c r="A883" s="6" t="s">
        <v>2844</v>
      </c>
      <c r="B883" s="6" t="s">
        <v>424</v>
      </c>
      <c r="C883" s="7" t="n">
        <v>44834</v>
      </c>
      <c r="D883" s="6" t="s">
        <v>400</v>
      </c>
      <c r="E883" s="6" t="s">
        <v>2706</v>
      </c>
      <c r="F883" s="6" t="s">
        <v>2822</v>
      </c>
      <c r="G883" s="6" t="s">
        <v>2741</v>
      </c>
      <c r="H883" s="9" t="n">
        <v>80542</v>
      </c>
      <c r="K883" s="6" t="s">
        <v>384</v>
      </c>
      <c r="L883" s="6" t="s">
        <v>13</v>
      </c>
      <c r="M883" s="6" t="s">
        <v>129</v>
      </c>
      <c r="N883" s="6" t="s">
        <v>2845</v>
      </c>
      <c r="O883" s="6"/>
      <c r="P883" s="6"/>
    </row>
    <row r="884" customFormat="false" ht="15" hidden="false" customHeight="false" outlineLevel="0" collapsed="false">
      <c r="A884" s="6" t="s">
        <v>2846</v>
      </c>
      <c r="B884" s="6" t="s">
        <v>136</v>
      </c>
      <c r="C884" s="7" t="n">
        <v>44926</v>
      </c>
      <c r="D884" s="6" t="s">
        <v>380</v>
      </c>
      <c r="E884" s="6" t="s">
        <v>2706</v>
      </c>
      <c r="F884" s="6" t="s">
        <v>2822</v>
      </c>
      <c r="G884" s="6" t="s">
        <v>2744</v>
      </c>
      <c r="H884" s="9" t="n">
        <v>24378</v>
      </c>
      <c r="K884" s="6" t="s">
        <v>384</v>
      </c>
      <c r="L884" s="6" t="s">
        <v>13</v>
      </c>
      <c r="M884" s="6" t="s">
        <v>134</v>
      </c>
      <c r="N884" s="6" t="s">
        <v>2847</v>
      </c>
      <c r="O884" s="6"/>
      <c r="P884" s="6"/>
    </row>
    <row r="885" customFormat="false" ht="15" hidden="false" customHeight="false" outlineLevel="0" collapsed="false">
      <c r="A885" s="6" t="s">
        <v>2848</v>
      </c>
      <c r="B885" s="6" t="s">
        <v>220</v>
      </c>
      <c r="C885" s="7" t="n">
        <v>44926</v>
      </c>
      <c r="D885" s="6" t="s">
        <v>407</v>
      </c>
      <c r="E885" s="6" t="s">
        <v>2706</v>
      </c>
      <c r="F885" s="6" t="s">
        <v>2822</v>
      </c>
      <c r="G885" s="6" t="s">
        <v>2747</v>
      </c>
      <c r="H885" s="9" t="n">
        <v>104920</v>
      </c>
      <c r="K885" s="6" t="s">
        <v>384</v>
      </c>
      <c r="L885" s="6" t="s">
        <v>13</v>
      </c>
      <c r="M885" s="6" t="s">
        <v>134</v>
      </c>
      <c r="N885" s="6" t="s">
        <v>2849</v>
      </c>
      <c r="O885" s="6"/>
      <c r="P885" s="6"/>
    </row>
    <row r="886" customFormat="false" ht="15" hidden="false" customHeight="false" outlineLevel="0" collapsed="false">
      <c r="A886" s="6" t="s">
        <v>2850</v>
      </c>
      <c r="B886" s="6" t="s">
        <v>141</v>
      </c>
      <c r="C886" s="7" t="n">
        <v>45016</v>
      </c>
      <c r="D886" s="6" t="s">
        <v>380</v>
      </c>
      <c r="E886" s="6" t="s">
        <v>2706</v>
      </c>
      <c r="F886" s="6" t="s">
        <v>2822</v>
      </c>
      <c r="G886" s="6" t="s">
        <v>2750</v>
      </c>
      <c r="H886" s="9" t="n">
        <v>22459</v>
      </c>
      <c r="K886" s="6" t="s">
        <v>384</v>
      </c>
      <c r="L886" s="6" t="s">
        <v>13</v>
      </c>
      <c r="M886" s="6" t="s">
        <v>139</v>
      </c>
      <c r="N886" s="6" t="s">
        <v>2851</v>
      </c>
      <c r="O886" s="6"/>
      <c r="P886" s="6"/>
    </row>
    <row r="887" customFormat="false" ht="15" hidden="false" customHeight="false" outlineLevel="0" collapsed="false">
      <c r="A887" s="6" t="s">
        <v>2852</v>
      </c>
      <c r="B887" s="6" t="s">
        <v>146</v>
      </c>
      <c r="C887" s="7" t="n">
        <v>45107</v>
      </c>
      <c r="D887" s="6" t="s">
        <v>380</v>
      </c>
      <c r="E887" s="6" t="s">
        <v>2706</v>
      </c>
      <c r="F887" s="6" t="s">
        <v>2822</v>
      </c>
      <c r="G887" s="6" t="s">
        <v>2753</v>
      </c>
      <c r="H887" s="9" t="n">
        <v>28784</v>
      </c>
      <c r="K887" s="6" t="s">
        <v>384</v>
      </c>
      <c r="L887" s="6" t="s">
        <v>13</v>
      </c>
      <c r="M887" s="6" t="s">
        <v>144</v>
      </c>
      <c r="N887" s="6" t="s">
        <v>2853</v>
      </c>
      <c r="O887" s="6"/>
      <c r="P887" s="6"/>
    </row>
    <row r="888" customFormat="false" ht="15" hidden="false" customHeight="false" outlineLevel="0" collapsed="false">
      <c r="A888" s="6" t="s">
        <v>2854</v>
      </c>
      <c r="B888" s="6" t="s">
        <v>440</v>
      </c>
      <c r="C888" s="7" t="n">
        <v>45107</v>
      </c>
      <c r="D888" s="6" t="s">
        <v>392</v>
      </c>
      <c r="E888" s="6" t="s">
        <v>2706</v>
      </c>
      <c r="F888" s="6" t="s">
        <v>2822</v>
      </c>
      <c r="G888" s="6" t="s">
        <v>2756</v>
      </c>
      <c r="H888" s="9" t="n">
        <v>51243</v>
      </c>
      <c r="K888" s="6" t="s">
        <v>384</v>
      </c>
      <c r="L888" s="6" t="s">
        <v>13</v>
      </c>
      <c r="M888" s="6" t="s">
        <v>144</v>
      </c>
      <c r="N888" s="6" t="s">
        <v>2855</v>
      </c>
      <c r="O888" s="6"/>
      <c r="P888" s="6"/>
    </row>
    <row r="889" customFormat="false" ht="15" hidden="false" customHeight="false" outlineLevel="0" collapsed="false">
      <c r="A889" s="6" t="s">
        <v>2856</v>
      </c>
      <c r="B889" s="6" t="s">
        <v>151</v>
      </c>
      <c r="C889" s="7" t="n">
        <v>45199</v>
      </c>
      <c r="D889" s="6" t="s">
        <v>380</v>
      </c>
      <c r="E889" s="6" t="s">
        <v>2706</v>
      </c>
      <c r="F889" s="6" t="s">
        <v>2822</v>
      </c>
      <c r="G889" s="6" t="s">
        <v>2759</v>
      </c>
      <c r="H889" s="9" t="n">
        <v>26598</v>
      </c>
      <c r="K889" s="6" t="s">
        <v>384</v>
      </c>
      <c r="L889" s="6" t="s">
        <v>13</v>
      </c>
      <c r="M889" s="6" t="s">
        <v>149</v>
      </c>
      <c r="N889" s="6" t="s">
        <v>2857</v>
      </c>
      <c r="O889" s="6"/>
      <c r="P889" s="6"/>
    </row>
    <row r="890" customFormat="false" ht="15" hidden="false" customHeight="false" outlineLevel="0" collapsed="false">
      <c r="A890" s="6" t="s">
        <v>2858</v>
      </c>
      <c r="B890" s="6" t="s">
        <v>447</v>
      </c>
      <c r="C890" s="7" t="n">
        <v>45199</v>
      </c>
      <c r="D890" s="6" t="s">
        <v>400</v>
      </c>
      <c r="E890" s="6" t="s">
        <v>2706</v>
      </c>
      <c r="F890" s="6" t="s">
        <v>2822</v>
      </c>
      <c r="G890" s="6" t="s">
        <v>2762</v>
      </c>
      <c r="H890" s="9" t="n">
        <v>77841</v>
      </c>
      <c r="K890" s="6" t="s">
        <v>384</v>
      </c>
      <c r="L890" s="6" t="s">
        <v>13</v>
      </c>
      <c r="M890" s="6" t="s">
        <v>149</v>
      </c>
      <c r="N890" s="6" t="s">
        <v>2859</v>
      </c>
      <c r="O890" s="6"/>
      <c r="P890" s="6"/>
    </row>
    <row r="891" customFormat="false" ht="15" hidden="false" customHeight="false" outlineLevel="0" collapsed="false">
      <c r="A891" s="6" t="s">
        <v>2860</v>
      </c>
      <c r="B891" s="6" t="s">
        <v>156</v>
      </c>
      <c r="C891" s="7" t="n">
        <v>45291</v>
      </c>
      <c r="D891" s="6" t="s">
        <v>380</v>
      </c>
      <c r="E891" s="6" t="s">
        <v>2706</v>
      </c>
      <c r="F891" s="6" t="s">
        <v>2822</v>
      </c>
      <c r="G891" s="6" t="s">
        <v>2765</v>
      </c>
      <c r="H891" s="9" t="n">
        <v>22345</v>
      </c>
      <c r="K891" s="6" t="s">
        <v>384</v>
      </c>
      <c r="L891" s="6" t="s">
        <v>13</v>
      </c>
      <c r="M891" s="6" t="s">
        <v>154</v>
      </c>
      <c r="N891" s="6" t="s">
        <v>2861</v>
      </c>
      <c r="O891" s="6"/>
      <c r="P891" s="6"/>
    </row>
    <row r="892" customFormat="false" ht="15" hidden="false" customHeight="false" outlineLevel="0" collapsed="false">
      <c r="A892" s="6" t="s">
        <v>2862</v>
      </c>
      <c r="B892" s="6" t="s">
        <v>225</v>
      </c>
      <c r="C892" s="7" t="n">
        <v>45291</v>
      </c>
      <c r="D892" s="6" t="s">
        <v>407</v>
      </c>
      <c r="E892" s="6" t="s">
        <v>2706</v>
      </c>
      <c r="F892" s="6" t="s">
        <v>2822</v>
      </c>
      <c r="G892" s="6" t="s">
        <v>2768</v>
      </c>
      <c r="H892" s="9" t="n">
        <v>100186</v>
      </c>
      <c r="K892" s="6" t="s">
        <v>384</v>
      </c>
      <c r="L892" s="6" t="s">
        <v>13</v>
      </c>
      <c r="M892" s="6" t="s">
        <v>154</v>
      </c>
      <c r="N892" s="6" t="s">
        <v>2863</v>
      </c>
      <c r="O892" s="6"/>
      <c r="P892" s="6"/>
    </row>
    <row r="893" customFormat="false" ht="15" hidden="false" customHeight="false" outlineLevel="0" collapsed="false">
      <c r="A893" s="6" t="s">
        <v>2864</v>
      </c>
      <c r="B893" s="6" t="s">
        <v>161</v>
      </c>
      <c r="C893" s="7" t="n">
        <v>45382</v>
      </c>
      <c r="D893" s="6" t="s">
        <v>380</v>
      </c>
      <c r="E893" s="6" t="s">
        <v>2706</v>
      </c>
      <c r="F893" s="6" t="s">
        <v>2822</v>
      </c>
      <c r="G893" s="6" t="s">
        <v>2771</v>
      </c>
      <c r="H893" s="9" t="n">
        <v>26543</v>
      </c>
      <c r="K893" s="6" t="s">
        <v>384</v>
      </c>
      <c r="L893" s="6" t="s">
        <v>13</v>
      </c>
      <c r="M893" s="6" t="s">
        <v>159</v>
      </c>
      <c r="N893" s="6" t="s">
        <v>2865</v>
      </c>
      <c r="O893" s="6"/>
      <c r="P893" s="6"/>
    </row>
    <row r="894" customFormat="false" ht="15" hidden="false" customHeight="false" outlineLevel="0" collapsed="false">
      <c r="A894" s="6" t="s">
        <v>2866</v>
      </c>
      <c r="B894" s="6" t="s">
        <v>166</v>
      </c>
      <c r="C894" s="7" t="n">
        <v>45473</v>
      </c>
      <c r="D894" s="6" t="s">
        <v>380</v>
      </c>
      <c r="E894" s="6" t="s">
        <v>2706</v>
      </c>
      <c r="F894" s="6" t="s">
        <v>2822</v>
      </c>
      <c r="G894" s="6" t="s">
        <v>2774</v>
      </c>
      <c r="H894" s="9" t="n">
        <v>36623</v>
      </c>
      <c r="K894" s="6" t="s">
        <v>384</v>
      </c>
      <c r="L894" s="6" t="s">
        <v>13</v>
      </c>
      <c r="M894" s="6" t="s">
        <v>164</v>
      </c>
      <c r="N894" s="6" t="s">
        <v>2867</v>
      </c>
      <c r="O894" s="6"/>
      <c r="P894" s="6"/>
    </row>
    <row r="895" customFormat="false" ht="15" hidden="false" customHeight="false" outlineLevel="0" collapsed="false">
      <c r="A895" s="6" t="s">
        <v>2868</v>
      </c>
      <c r="B895" s="6" t="s">
        <v>241</v>
      </c>
      <c r="C895" s="7" t="n">
        <v>45473</v>
      </c>
      <c r="D895" s="6" t="s">
        <v>392</v>
      </c>
      <c r="E895" s="6" t="s">
        <v>2706</v>
      </c>
      <c r="F895" s="6" t="s">
        <v>2822</v>
      </c>
      <c r="G895" s="6" t="s">
        <v>2777</v>
      </c>
      <c r="H895" s="9" t="n">
        <v>63166</v>
      </c>
      <c r="K895" s="6" t="s">
        <v>384</v>
      </c>
      <c r="L895" s="6" t="s">
        <v>13</v>
      </c>
      <c r="M895" s="6" t="s">
        <v>164</v>
      </c>
      <c r="N895" s="6" t="s">
        <v>2869</v>
      </c>
      <c r="O895" s="6"/>
      <c r="P895" s="6"/>
    </row>
    <row r="896" customFormat="false" ht="15" hidden="false" customHeight="false" outlineLevel="0" collapsed="false">
      <c r="A896" s="6" t="s">
        <v>2870</v>
      </c>
      <c r="B896" s="6" t="s">
        <v>171</v>
      </c>
      <c r="C896" s="7" t="n">
        <v>45565</v>
      </c>
      <c r="D896" s="6" t="s">
        <v>380</v>
      </c>
      <c r="E896" s="6" t="s">
        <v>2706</v>
      </c>
      <c r="F896" s="6" t="s">
        <v>2822</v>
      </c>
      <c r="G896" s="6" t="s">
        <v>2780</v>
      </c>
      <c r="H896" s="9" t="n">
        <v>35374</v>
      </c>
      <c r="K896" s="6" t="s">
        <v>384</v>
      </c>
      <c r="L896" s="6" t="s">
        <v>13</v>
      </c>
      <c r="M896" s="6" t="s">
        <v>169</v>
      </c>
      <c r="N896" s="6" t="s">
        <v>2871</v>
      </c>
      <c r="O896" s="6"/>
      <c r="P896" s="6"/>
    </row>
    <row r="897" customFormat="false" ht="15" hidden="false" customHeight="false" outlineLevel="0" collapsed="false">
      <c r="A897" s="6" t="s">
        <v>2872</v>
      </c>
      <c r="B897" s="6" t="s">
        <v>469</v>
      </c>
      <c r="C897" s="7" t="n">
        <v>45565</v>
      </c>
      <c r="D897" s="6" t="s">
        <v>400</v>
      </c>
      <c r="E897" s="6" t="s">
        <v>2706</v>
      </c>
      <c r="F897" s="6" t="s">
        <v>2822</v>
      </c>
      <c r="G897" s="6" t="s">
        <v>2783</v>
      </c>
      <c r="H897" s="9" t="n">
        <v>98540</v>
      </c>
      <c r="K897" s="6" t="s">
        <v>384</v>
      </c>
      <c r="L897" s="6" t="s">
        <v>13</v>
      </c>
      <c r="M897" s="6" t="s">
        <v>169</v>
      </c>
      <c r="N897" s="6" t="s">
        <v>2873</v>
      </c>
      <c r="O897" s="6"/>
      <c r="P897" s="6"/>
    </row>
    <row r="898" customFormat="false" ht="15" hidden="false" customHeight="false" outlineLevel="0" collapsed="false">
      <c r="A898" s="6" t="s">
        <v>2874</v>
      </c>
      <c r="B898" s="6" t="s">
        <v>176</v>
      </c>
      <c r="C898" s="7" t="n">
        <v>45657</v>
      </c>
      <c r="D898" s="6" t="s">
        <v>380</v>
      </c>
      <c r="E898" s="6" t="s">
        <v>2706</v>
      </c>
      <c r="F898" s="6" t="s">
        <v>2822</v>
      </c>
      <c r="G898" s="6" t="s">
        <v>2786</v>
      </c>
      <c r="H898" s="9" t="n">
        <v>30669</v>
      </c>
      <c r="K898" s="6" t="s">
        <v>384</v>
      </c>
      <c r="L898" s="6" t="s">
        <v>13</v>
      </c>
      <c r="M898" s="6" t="s">
        <v>174</v>
      </c>
      <c r="N898" s="6" t="s">
        <v>2875</v>
      </c>
      <c r="O898" s="6"/>
      <c r="P898" s="6"/>
    </row>
    <row r="899" customFormat="false" ht="15" hidden="false" customHeight="false" outlineLevel="0" collapsed="false">
      <c r="A899" s="6" t="s">
        <v>2876</v>
      </c>
      <c r="B899" s="6" t="s">
        <v>230</v>
      </c>
      <c r="C899" s="7" t="n">
        <v>45657</v>
      </c>
      <c r="D899" s="6" t="s">
        <v>407</v>
      </c>
      <c r="E899" s="6" t="s">
        <v>2706</v>
      </c>
      <c r="F899" s="6" t="s">
        <v>2822</v>
      </c>
      <c r="G899" s="6" t="s">
        <v>2789</v>
      </c>
      <c r="H899" s="9" t="n">
        <v>129209</v>
      </c>
      <c r="K899" s="6" t="s">
        <v>384</v>
      </c>
      <c r="L899" s="6" t="s">
        <v>13</v>
      </c>
      <c r="M899" s="6" t="s">
        <v>174</v>
      </c>
      <c r="N899" s="6" t="s">
        <v>2877</v>
      </c>
      <c r="O899" s="6"/>
      <c r="P899" s="6"/>
    </row>
    <row r="900" customFormat="false" ht="15" hidden="false" customHeight="false" outlineLevel="0" collapsed="false">
      <c r="A900" s="6" t="s">
        <v>2878</v>
      </c>
      <c r="B900" s="6" t="s">
        <v>181</v>
      </c>
      <c r="C900" s="7" t="n">
        <v>45747</v>
      </c>
      <c r="D900" s="6" t="s">
        <v>380</v>
      </c>
      <c r="E900" s="6" t="s">
        <v>2706</v>
      </c>
      <c r="F900" s="6" t="s">
        <v>2822</v>
      </c>
      <c r="G900" s="6" t="s">
        <v>2792</v>
      </c>
      <c r="H900" s="9" t="n">
        <v>30958</v>
      </c>
      <c r="K900" s="6" t="s">
        <v>384</v>
      </c>
      <c r="L900" s="6" t="s">
        <v>13</v>
      </c>
      <c r="M900" s="6" t="s">
        <v>179</v>
      </c>
      <c r="N900" s="6" t="s">
        <v>2879</v>
      </c>
      <c r="O900" s="6"/>
      <c r="P900" s="6"/>
    </row>
    <row r="901" customFormat="false" ht="15" hidden="false" customHeight="false" outlineLevel="0" collapsed="false">
      <c r="A901" s="6" t="s">
        <v>2880</v>
      </c>
      <c r="B901" s="6" t="s">
        <v>186</v>
      </c>
      <c r="C901" s="7" t="n">
        <v>45838</v>
      </c>
      <c r="D901" s="6" t="s">
        <v>380</v>
      </c>
      <c r="E901" s="6" t="s">
        <v>2706</v>
      </c>
      <c r="F901" s="6" t="s">
        <v>2822</v>
      </c>
      <c r="G901" s="6" t="s">
        <v>2795</v>
      </c>
      <c r="H901" s="9" t="n">
        <v>56645</v>
      </c>
      <c r="K901" s="6" t="s">
        <v>384</v>
      </c>
      <c r="L901" s="6" t="s">
        <v>13</v>
      </c>
      <c r="M901" s="6" t="s">
        <v>184</v>
      </c>
      <c r="N901" s="6" t="s">
        <v>2881</v>
      </c>
      <c r="O901" s="6"/>
      <c r="P901" s="6"/>
    </row>
    <row r="902" customFormat="false" ht="15" hidden="false" customHeight="false" outlineLevel="0" collapsed="false">
      <c r="A902" s="6" t="s">
        <v>2882</v>
      </c>
      <c r="B902" s="6" t="s">
        <v>255</v>
      </c>
      <c r="C902" s="7" t="n">
        <v>45838</v>
      </c>
      <c r="D902" s="6" t="s">
        <v>392</v>
      </c>
      <c r="E902" s="6" t="s">
        <v>2706</v>
      </c>
      <c r="F902" s="6" t="s">
        <v>2822</v>
      </c>
      <c r="G902" s="6" t="s">
        <v>2798</v>
      </c>
      <c r="H902" s="9" t="n">
        <v>87603</v>
      </c>
      <c r="K902" s="6" t="s">
        <v>384</v>
      </c>
      <c r="L902" s="6" t="s">
        <v>13</v>
      </c>
      <c r="M902" s="6" t="s">
        <v>184</v>
      </c>
      <c r="N902" s="6" t="s">
        <v>2883</v>
      </c>
      <c r="O902" s="6"/>
      <c r="P902" s="6"/>
    </row>
    <row r="903" customFormat="false" ht="15" hidden="false" customHeight="false" outlineLevel="0" collapsed="false">
      <c r="A903" s="6" t="s">
        <v>2884</v>
      </c>
      <c r="B903" s="6" t="s">
        <v>191</v>
      </c>
      <c r="C903" s="7" t="n">
        <v>45930</v>
      </c>
      <c r="D903" s="6" t="s">
        <v>380</v>
      </c>
      <c r="E903" s="6" t="s">
        <v>2706</v>
      </c>
      <c r="F903" s="6" t="s">
        <v>2822</v>
      </c>
      <c r="G903" s="6" t="s">
        <v>2801</v>
      </c>
      <c r="H903" s="9" t="n">
        <v>49862</v>
      </c>
      <c r="K903" s="6" t="s">
        <v>384</v>
      </c>
      <c r="L903" s="6" t="s">
        <v>13</v>
      </c>
      <c r="M903" s="6" t="s">
        <v>189</v>
      </c>
      <c r="N903" s="6" t="s">
        <v>2885</v>
      </c>
      <c r="O903" s="6"/>
      <c r="P903" s="6"/>
    </row>
    <row r="904" customFormat="false" ht="15" hidden="false" customHeight="false" outlineLevel="0" collapsed="false">
      <c r="A904" s="6" t="s">
        <v>2886</v>
      </c>
      <c r="B904" s="6" t="s">
        <v>491</v>
      </c>
      <c r="C904" s="7" t="n">
        <v>45930</v>
      </c>
      <c r="D904" s="6" t="s">
        <v>400</v>
      </c>
      <c r="E904" s="6" t="s">
        <v>2706</v>
      </c>
      <c r="F904" s="6" t="s">
        <v>2822</v>
      </c>
      <c r="G904" s="6" t="s">
        <v>2804</v>
      </c>
      <c r="H904" s="9" t="n">
        <v>137465</v>
      </c>
      <c r="K904" s="6" t="s">
        <v>384</v>
      </c>
      <c r="L904" s="6" t="s">
        <v>13</v>
      </c>
      <c r="M904" s="6" t="s">
        <v>189</v>
      </c>
      <c r="N904" s="6" t="s">
        <v>2887</v>
      </c>
      <c r="O904" s="6"/>
      <c r="P904" s="6"/>
    </row>
    <row r="905" customFormat="false" ht="15" hidden="false" customHeight="false" outlineLevel="0" collapsed="false">
      <c r="A905" s="6" t="s">
        <v>2888</v>
      </c>
      <c r="B905" s="6" t="s">
        <v>196</v>
      </c>
      <c r="C905" s="7" t="n">
        <v>46022</v>
      </c>
      <c r="D905" s="6" t="s">
        <v>380</v>
      </c>
      <c r="E905" s="6" t="s">
        <v>2706</v>
      </c>
      <c r="F905" s="6" t="s">
        <v>2822</v>
      </c>
      <c r="G905" s="6" t="s">
        <v>2807</v>
      </c>
      <c r="H905" s="9" t="n">
        <v>39546</v>
      </c>
      <c r="K905" s="6" t="s">
        <v>384</v>
      </c>
      <c r="L905" s="6" t="s">
        <v>13</v>
      </c>
      <c r="M905" s="6" t="s">
        <v>194</v>
      </c>
      <c r="N905" s="6" t="s">
        <v>2889</v>
      </c>
      <c r="O905" s="6"/>
      <c r="P905" s="6"/>
    </row>
    <row r="906" customFormat="false" ht="15" hidden="false" customHeight="false" outlineLevel="0" collapsed="false">
      <c r="A906" s="6" t="s">
        <v>2890</v>
      </c>
      <c r="B906" s="6" t="s">
        <v>235</v>
      </c>
      <c r="C906" s="7" t="n">
        <v>46022</v>
      </c>
      <c r="D906" s="6" t="s">
        <v>407</v>
      </c>
      <c r="E906" s="6" t="s">
        <v>2706</v>
      </c>
      <c r="F906" s="6" t="s">
        <v>2822</v>
      </c>
      <c r="G906" s="6" t="s">
        <v>2810</v>
      </c>
      <c r="H906" s="9" t="n">
        <v>177011</v>
      </c>
      <c r="K906" s="6" t="s">
        <v>384</v>
      </c>
      <c r="L906" s="6" t="s">
        <v>13</v>
      </c>
      <c r="M906" s="6" t="s">
        <v>194</v>
      </c>
      <c r="N906" s="6" t="s">
        <v>2891</v>
      </c>
      <c r="O906" s="6"/>
      <c r="P906" s="6"/>
    </row>
    <row r="907" customFormat="false" ht="15" hidden="false" customHeight="false" outlineLevel="0" collapsed="false">
      <c r="A907" s="6" t="s">
        <v>2892</v>
      </c>
      <c r="B907" s="6" t="s">
        <v>201</v>
      </c>
      <c r="C907" s="7" t="n">
        <v>46112</v>
      </c>
      <c r="D907" s="6" t="s">
        <v>380</v>
      </c>
      <c r="E907" s="6" t="s">
        <v>2706</v>
      </c>
      <c r="F907" s="6" t="s">
        <v>2822</v>
      </c>
      <c r="G907" s="6" t="s">
        <v>2813</v>
      </c>
      <c r="H907" s="9" t="n">
        <v>29283</v>
      </c>
      <c r="K907" s="6" t="s">
        <v>384</v>
      </c>
      <c r="L907" s="6" t="s">
        <v>13</v>
      </c>
      <c r="M907" s="6" t="s">
        <v>199</v>
      </c>
      <c r="N907" s="6" t="s">
        <v>2893</v>
      </c>
      <c r="O907" s="6"/>
      <c r="P907" s="6"/>
    </row>
    <row r="908" customFormat="false" ht="15" hidden="false" customHeight="false" outlineLevel="0" collapsed="false">
      <c r="A908" s="6" t="s">
        <v>2894</v>
      </c>
      <c r="B908" s="6" t="s">
        <v>206</v>
      </c>
      <c r="C908" s="7" t="n">
        <v>46203</v>
      </c>
      <c r="D908" s="6" t="s">
        <v>380</v>
      </c>
      <c r="E908" s="6" t="s">
        <v>2706</v>
      </c>
      <c r="F908" s="6" t="s">
        <v>2822</v>
      </c>
      <c r="G908" s="6" t="s">
        <v>2816</v>
      </c>
      <c r="H908" s="9" t="n">
        <v>41218</v>
      </c>
      <c r="K908" s="6" t="s">
        <v>384</v>
      </c>
      <c r="L908" s="6" t="s">
        <v>13</v>
      </c>
      <c r="M908" s="6" t="s">
        <v>204</v>
      </c>
      <c r="N908" s="6" t="s">
        <v>2895</v>
      </c>
      <c r="O908" s="6"/>
      <c r="P908" s="6"/>
    </row>
    <row r="909" customFormat="false" ht="15" hidden="false" customHeight="false" outlineLevel="0" collapsed="false">
      <c r="A909" s="6" t="s">
        <v>2896</v>
      </c>
      <c r="B909" s="6" t="s">
        <v>263</v>
      </c>
      <c r="C909" s="7" t="n">
        <v>46203</v>
      </c>
      <c r="D909" s="6" t="s">
        <v>392</v>
      </c>
      <c r="E909" s="6" t="s">
        <v>2706</v>
      </c>
      <c r="F909" s="6" t="s">
        <v>2822</v>
      </c>
      <c r="G909" s="6" t="s">
        <v>2819</v>
      </c>
      <c r="H909" s="9" t="n">
        <v>70501</v>
      </c>
      <c r="K909" s="6" t="s">
        <v>384</v>
      </c>
      <c r="L909" s="6" t="s">
        <v>13</v>
      </c>
      <c r="M909" s="6" t="s">
        <v>204</v>
      </c>
      <c r="N909" s="6" t="s">
        <v>2897</v>
      </c>
      <c r="O909" s="6"/>
      <c r="P909" s="6"/>
    </row>
    <row r="910" customFormat="false" ht="15" hidden="false" customHeight="false" outlineLevel="0" collapsed="false">
      <c r="A910" s="6" t="s">
        <v>2898</v>
      </c>
      <c r="B910" s="6" t="s">
        <v>171</v>
      </c>
      <c r="C910" s="7" t="n">
        <v>45565</v>
      </c>
      <c r="D910" s="6" t="s">
        <v>380</v>
      </c>
      <c r="E910" s="6" t="s">
        <v>2706</v>
      </c>
      <c r="F910" s="6" t="s">
        <v>2899</v>
      </c>
      <c r="G910" s="6" t="s">
        <v>2900</v>
      </c>
      <c r="H910" s="9" t="n">
        <v>17908</v>
      </c>
      <c r="K910" s="6" t="s">
        <v>384</v>
      </c>
      <c r="L910" s="6" t="s">
        <v>13</v>
      </c>
      <c r="M910" s="6" t="s">
        <v>169</v>
      </c>
      <c r="N910" s="6" t="s">
        <v>2901</v>
      </c>
      <c r="O910" s="6"/>
      <c r="P910" s="6"/>
    </row>
    <row r="911" customFormat="false" ht="15" hidden="false" customHeight="false" outlineLevel="0" collapsed="false">
      <c r="A911" s="6" t="s">
        <v>2902</v>
      </c>
      <c r="B911" s="6" t="s">
        <v>469</v>
      </c>
      <c r="C911" s="7" t="n">
        <v>45565</v>
      </c>
      <c r="D911" s="6" t="s">
        <v>400</v>
      </c>
      <c r="E911" s="6" t="s">
        <v>2706</v>
      </c>
      <c r="F911" s="6" t="s">
        <v>2899</v>
      </c>
      <c r="G911" s="6" t="s">
        <v>2900</v>
      </c>
      <c r="H911" s="9" t="n">
        <v>17908</v>
      </c>
      <c r="K911" s="6" t="s">
        <v>384</v>
      </c>
      <c r="L911" s="6" t="s">
        <v>13</v>
      </c>
      <c r="M911" s="6" t="s">
        <v>169</v>
      </c>
      <c r="N911" s="6" t="s">
        <v>2903</v>
      </c>
      <c r="O911" s="6"/>
      <c r="P911" s="6"/>
    </row>
    <row r="912" customFormat="false" ht="15" hidden="false" customHeight="false" outlineLevel="0" collapsed="false">
      <c r="A912" s="6" t="s">
        <v>2904</v>
      </c>
      <c r="B912" s="6" t="s">
        <v>176</v>
      </c>
      <c r="C912" s="7" t="n">
        <v>45657</v>
      </c>
      <c r="D912" s="6" t="s">
        <v>380</v>
      </c>
      <c r="E912" s="6" t="s">
        <v>2706</v>
      </c>
      <c r="F912" s="6" t="s">
        <v>2899</v>
      </c>
      <c r="G912" s="6" t="s">
        <v>2905</v>
      </c>
      <c r="H912" s="9" t="n">
        <v>0</v>
      </c>
      <c r="K912" s="6" t="s">
        <v>384</v>
      </c>
      <c r="L912" s="6" t="s">
        <v>13</v>
      </c>
      <c r="M912" s="6" t="s">
        <v>174</v>
      </c>
      <c r="N912" s="6" t="s">
        <v>2906</v>
      </c>
      <c r="O912" s="6"/>
      <c r="P912" s="6"/>
    </row>
    <row r="913" customFormat="false" ht="15" hidden="false" customHeight="false" outlineLevel="0" collapsed="false">
      <c r="A913" s="6" t="s">
        <v>2907</v>
      </c>
      <c r="B913" s="6" t="s">
        <v>230</v>
      </c>
      <c r="C913" s="7" t="n">
        <v>45657</v>
      </c>
      <c r="D913" s="6" t="s">
        <v>407</v>
      </c>
      <c r="E913" s="6" t="s">
        <v>2706</v>
      </c>
      <c r="F913" s="6" t="s">
        <v>2899</v>
      </c>
      <c r="G913" s="6" t="s">
        <v>2900</v>
      </c>
      <c r="H913" s="9" t="n">
        <v>17908</v>
      </c>
      <c r="K913" s="6" t="s">
        <v>384</v>
      </c>
      <c r="L913" s="6" t="s">
        <v>13</v>
      </c>
      <c r="M913" s="6" t="s">
        <v>174</v>
      </c>
      <c r="N913" s="6" t="s">
        <v>2908</v>
      </c>
      <c r="O913" s="6"/>
      <c r="P913" s="6"/>
    </row>
    <row r="914" customFormat="false" ht="15" hidden="false" customHeight="false" outlineLevel="0" collapsed="false">
      <c r="A914" s="6" t="s">
        <v>2909</v>
      </c>
      <c r="B914" s="6" t="s">
        <v>191</v>
      </c>
      <c r="C914" s="7" t="n">
        <v>45930</v>
      </c>
      <c r="D914" s="6" t="s">
        <v>380</v>
      </c>
      <c r="E914" s="6" t="s">
        <v>2706</v>
      </c>
      <c r="F914" s="6" t="s">
        <v>2899</v>
      </c>
      <c r="G914" s="6" t="s">
        <v>2905</v>
      </c>
      <c r="H914" s="9" t="n">
        <v>0</v>
      </c>
      <c r="K914" s="6" t="s">
        <v>384</v>
      </c>
      <c r="L914" s="6" t="s">
        <v>13</v>
      </c>
      <c r="M914" s="6" t="s">
        <v>189</v>
      </c>
      <c r="N914" s="6" t="s">
        <v>2910</v>
      </c>
      <c r="O914" s="6"/>
      <c r="P914" s="6"/>
    </row>
    <row r="915" customFormat="false" ht="15" hidden="false" customHeight="false" outlineLevel="0" collapsed="false">
      <c r="A915" s="6" t="s">
        <v>2911</v>
      </c>
      <c r="B915" s="6" t="s">
        <v>491</v>
      </c>
      <c r="C915" s="7" t="n">
        <v>45930</v>
      </c>
      <c r="D915" s="6" t="s">
        <v>400</v>
      </c>
      <c r="E915" s="6" t="s">
        <v>2706</v>
      </c>
      <c r="F915" s="6" t="s">
        <v>2899</v>
      </c>
      <c r="G915" s="6" t="s">
        <v>2905</v>
      </c>
      <c r="H915" s="9" t="n">
        <v>0</v>
      </c>
      <c r="K915" s="6" t="s">
        <v>384</v>
      </c>
      <c r="L915" s="6" t="s">
        <v>13</v>
      </c>
      <c r="M915" s="6" t="s">
        <v>189</v>
      </c>
      <c r="N915" s="6" t="s">
        <v>2912</v>
      </c>
      <c r="O915" s="6"/>
      <c r="P915" s="6"/>
    </row>
    <row r="916" customFormat="false" ht="15" hidden="false" customHeight="false" outlineLevel="0" collapsed="false">
      <c r="A916" s="6" t="s">
        <v>2913</v>
      </c>
      <c r="B916" s="6" t="s">
        <v>196</v>
      </c>
      <c r="C916" s="7" t="n">
        <v>46022</v>
      </c>
      <c r="D916" s="6" t="s">
        <v>380</v>
      </c>
      <c r="E916" s="6" t="s">
        <v>2706</v>
      </c>
      <c r="F916" s="6" t="s">
        <v>2899</v>
      </c>
      <c r="G916" s="6" t="s">
        <v>2905</v>
      </c>
      <c r="H916" s="9" t="n">
        <v>0</v>
      </c>
      <c r="K916" s="6" t="s">
        <v>384</v>
      </c>
      <c r="L916" s="6" t="s">
        <v>13</v>
      </c>
      <c r="M916" s="6" t="s">
        <v>194</v>
      </c>
      <c r="N916" s="6" t="s">
        <v>2914</v>
      </c>
      <c r="O916" s="6"/>
      <c r="P916" s="6"/>
    </row>
    <row r="917" customFormat="false" ht="15" hidden="false" customHeight="false" outlineLevel="0" collapsed="false">
      <c r="A917" s="6" t="s">
        <v>2915</v>
      </c>
      <c r="B917" s="6" t="s">
        <v>235</v>
      </c>
      <c r="C917" s="7" t="n">
        <v>46022</v>
      </c>
      <c r="D917" s="6" t="s">
        <v>407</v>
      </c>
      <c r="E917" s="6" t="s">
        <v>2706</v>
      </c>
      <c r="F917" s="6" t="s">
        <v>2899</v>
      </c>
      <c r="G917" s="6" t="s">
        <v>2905</v>
      </c>
      <c r="H917" s="9" t="n">
        <v>0</v>
      </c>
      <c r="K917" s="6" t="s">
        <v>384</v>
      </c>
      <c r="L917" s="6" t="s">
        <v>13</v>
      </c>
      <c r="M917" s="6" t="s">
        <v>194</v>
      </c>
      <c r="N917" s="6" t="s">
        <v>2916</v>
      </c>
      <c r="O917" s="6"/>
      <c r="P917" s="6"/>
    </row>
    <row r="918" customFormat="false" ht="15" hidden="false" customHeight="false" outlineLevel="0" collapsed="false">
      <c r="A918" s="6" t="s">
        <v>2917</v>
      </c>
      <c r="B918" s="6" t="s">
        <v>206</v>
      </c>
      <c r="C918" s="7" t="n">
        <v>46203</v>
      </c>
      <c r="D918" s="6" t="s">
        <v>380</v>
      </c>
      <c r="E918" s="6" t="s">
        <v>2918</v>
      </c>
      <c r="F918" s="6" t="s">
        <v>2919</v>
      </c>
      <c r="G918" s="6" t="s">
        <v>1169</v>
      </c>
      <c r="H918" s="9" t="n">
        <v>21436</v>
      </c>
      <c r="K918" s="6" t="s">
        <v>384</v>
      </c>
      <c r="L918" s="6" t="s">
        <v>13</v>
      </c>
      <c r="M918" s="6" t="s">
        <v>204</v>
      </c>
      <c r="N918" s="6" t="s">
        <v>2920</v>
      </c>
      <c r="O918" s="6"/>
      <c r="P918" s="6"/>
    </row>
    <row r="919" customFormat="false" ht="15" hidden="false" customHeight="false" outlineLevel="0" collapsed="false">
      <c r="A919" s="6" t="s">
        <v>2921</v>
      </c>
      <c r="B919" s="6" t="s">
        <v>263</v>
      </c>
      <c r="C919" s="7" t="n">
        <v>46203</v>
      </c>
      <c r="D919" s="6" t="s">
        <v>392</v>
      </c>
      <c r="E919" s="6" t="s">
        <v>2918</v>
      </c>
      <c r="F919" s="6" t="s">
        <v>2919</v>
      </c>
      <c r="G919" s="6" t="s">
        <v>1169</v>
      </c>
      <c r="H919" s="9" t="n">
        <v>21436</v>
      </c>
      <c r="K919" s="6" t="s">
        <v>384</v>
      </c>
      <c r="L919" s="6" t="s">
        <v>13</v>
      </c>
      <c r="M919" s="6" t="s">
        <v>204</v>
      </c>
      <c r="N919" s="6" t="s">
        <v>2922</v>
      </c>
      <c r="O919" s="6"/>
      <c r="P919" s="6"/>
    </row>
    <row r="920" customFormat="false" ht="15" hidden="false" customHeight="false" outlineLevel="0" collapsed="false">
      <c r="A920" s="6" t="s">
        <v>2923</v>
      </c>
      <c r="B920" s="6" t="s">
        <v>206</v>
      </c>
      <c r="C920" s="7" t="n">
        <v>46203</v>
      </c>
      <c r="D920" s="6" t="s">
        <v>380</v>
      </c>
      <c r="E920" s="6" t="s">
        <v>2918</v>
      </c>
      <c r="F920" s="6" t="s">
        <v>2924</v>
      </c>
      <c r="G920" s="6" t="s">
        <v>1169</v>
      </c>
      <c r="H920" s="9" t="n">
        <v>21436</v>
      </c>
      <c r="K920" s="6" t="s">
        <v>384</v>
      </c>
      <c r="L920" s="6" t="s">
        <v>13</v>
      </c>
      <c r="M920" s="6" t="s">
        <v>204</v>
      </c>
      <c r="N920" s="6" t="s">
        <v>2925</v>
      </c>
      <c r="O920" s="6"/>
      <c r="P920" s="6"/>
    </row>
    <row r="921" customFormat="false" ht="15" hidden="false" customHeight="false" outlineLevel="0" collapsed="false">
      <c r="A921" s="6" t="s">
        <v>2926</v>
      </c>
      <c r="B921" s="6" t="s">
        <v>263</v>
      </c>
      <c r="C921" s="7" t="n">
        <v>46203</v>
      </c>
      <c r="D921" s="6" t="s">
        <v>392</v>
      </c>
      <c r="E921" s="6" t="s">
        <v>2918</v>
      </c>
      <c r="F921" s="6" t="s">
        <v>2924</v>
      </c>
      <c r="G921" s="6" t="s">
        <v>1169</v>
      </c>
      <c r="H921" s="9" t="n">
        <v>21436</v>
      </c>
      <c r="K921" s="6" t="s">
        <v>384</v>
      </c>
      <c r="L921" s="6" t="s">
        <v>13</v>
      </c>
      <c r="M921" s="6" t="s">
        <v>204</v>
      </c>
      <c r="N921" s="6" t="s">
        <v>2927</v>
      </c>
      <c r="O921" s="6"/>
      <c r="P921" s="6"/>
    </row>
    <row r="922" customFormat="false" ht="15" hidden="false" customHeight="false" outlineLevel="0" collapsed="false">
      <c r="A922" s="6" t="s">
        <v>2928</v>
      </c>
      <c r="B922" s="6" t="s">
        <v>171</v>
      </c>
      <c r="C922" s="7" t="n">
        <v>45565</v>
      </c>
      <c r="D922" s="6" t="s">
        <v>380</v>
      </c>
      <c r="E922" s="6" t="s">
        <v>2929</v>
      </c>
      <c r="F922" s="6" t="s">
        <v>2930</v>
      </c>
      <c r="G922" s="6" t="s">
        <v>2931</v>
      </c>
      <c r="H922" s="9" t="n">
        <v>24208</v>
      </c>
      <c r="K922" s="6" t="s">
        <v>384</v>
      </c>
      <c r="L922" s="6" t="s">
        <v>13</v>
      </c>
      <c r="M922" s="6" t="s">
        <v>169</v>
      </c>
      <c r="N922" s="6" t="s">
        <v>2932</v>
      </c>
      <c r="O922" s="6"/>
      <c r="P922" s="6"/>
    </row>
    <row r="923" customFormat="false" ht="15" hidden="false" customHeight="false" outlineLevel="0" collapsed="false">
      <c r="A923" s="6" t="s">
        <v>2933</v>
      </c>
      <c r="B923" s="6" t="s">
        <v>469</v>
      </c>
      <c r="C923" s="7" t="n">
        <v>45565</v>
      </c>
      <c r="D923" s="6" t="s">
        <v>400</v>
      </c>
      <c r="E923" s="6" t="s">
        <v>2929</v>
      </c>
      <c r="F923" s="6" t="s">
        <v>2930</v>
      </c>
      <c r="G923" s="6" t="s">
        <v>2931</v>
      </c>
      <c r="H923" s="9" t="n">
        <v>24208</v>
      </c>
      <c r="K923" s="6" t="s">
        <v>384</v>
      </c>
      <c r="L923" s="6" t="s">
        <v>13</v>
      </c>
      <c r="M923" s="6" t="s">
        <v>169</v>
      </c>
      <c r="N923" s="6" t="s">
        <v>2934</v>
      </c>
      <c r="O923" s="6"/>
      <c r="P923" s="6"/>
    </row>
    <row r="924" customFormat="false" ht="15" hidden="false" customHeight="false" outlineLevel="0" collapsed="false">
      <c r="A924" s="6" t="s">
        <v>2935</v>
      </c>
      <c r="B924" s="6" t="s">
        <v>176</v>
      </c>
      <c r="C924" s="7" t="n">
        <v>45657</v>
      </c>
      <c r="D924" s="6" t="s">
        <v>380</v>
      </c>
      <c r="E924" s="6" t="s">
        <v>2929</v>
      </c>
      <c r="F924" s="6" t="s">
        <v>2930</v>
      </c>
      <c r="G924" s="6" t="s">
        <v>2905</v>
      </c>
      <c r="H924" s="9" t="n">
        <v>0</v>
      </c>
      <c r="K924" s="6" t="s">
        <v>384</v>
      </c>
      <c r="L924" s="6" t="s">
        <v>13</v>
      </c>
      <c r="M924" s="6" t="s">
        <v>174</v>
      </c>
      <c r="N924" s="6" t="s">
        <v>2936</v>
      </c>
      <c r="O924" s="6"/>
      <c r="P924" s="6"/>
    </row>
    <row r="925" customFormat="false" ht="15" hidden="false" customHeight="false" outlineLevel="0" collapsed="false">
      <c r="A925" s="6" t="s">
        <v>2937</v>
      </c>
      <c r="B925" s="6" t="s">
        <v>230</v>
      </c>
      <c r="C925" s="7" t="n">
        <v>45657</v>
      </c>
      <c r="D925" s="6" t="s">
        <v>407</v>
      </c>
      <c r="E925" s="6" t="s">
        <v>2929</v>
      </c>
      <c r="F925" s="6" t="s">
        <v>2930</v>
      </c>
      <c r="G925" s="6" t="s">
        <v>2931</v>
      </c>
      <c r="H925" s="9" t="n">
        <v>24208</v>
      </c>
      <c r="K925" s="6" t="s">
        <v>384</v>
      </c>
      <c r="L925" s="6" t="s">
        <v>13</v>
      </c>
      <c r="M925" s="6" t="s">
        <v>174</v>
      </c>
      <c r="N925" s="6" t="s">
        <v>2938</v>
      </c>
      <c r="O925" s="6"/>
      <c r="P925" s="6"/>
    </row>
    <row r="926" customFormat="false" ht="15" hidden="false" customHeight="false" outlineLevel="0" collapsed="false">
      <c r="A926" s="6" t="s">
        <v>2939</v>
      </c>
      <c r="B926" s="6" t="s">
        <v>191</v>
      </c>
      <c r="C926" s="7" t="n">
        <v>45930</v>
      </c>
      <c r="D926" s="6" t="s">
        <v>380</v>
      </c>
      <c r="E926" s="6" t="s">
        <v>2929</v>
      </c>
      <c r="F926" s="6" t="s">
        <v>2930</v>
      </c>
      <c r="G926" s="6" t="s">
        <v>2905</v>
      </c>
      <c r="H926" s="9" t="n">
        <v>0</v>
      </c>
      <c r="K926" s="6" t="s">
        <v>384</v>
      </c>
      <c r="L926" s="6" t="s">
        <v>13</v>
      </c>
      <c r="M926" s="6" t="s">
        <v>189</v>
      </c>
      <c r="N926" s="6" t="s">
        <v>2940</v>
      </c>
      <c r="O926" s="6"/>
      <c r="P926" s="6"/>
    </row>
    <row r="927" customFormat="false" ht="15" hidden="false" customHeight="false" outlineLevel="0" collapsed="false">
      <c r="A927" s="6" t="s">
        <v>2941</v>
      </c>
      <c r="B927" s="6" t="s">
        <v>491</v>
      </c>
      <c r="C927" s="7" t="n">
        <v>45930</v>
      </c>
      <c r="D927" s="6" t="s">
        <v>400</v>
      </c>
      <c r="E927" s="6" t="s">
        <v>2929</v>
      </c>
      <c r="F927" s="6" t="s">
        <v>2930</v>
      </c>
      <c r="G927" s="6" t="s">
        <v>2905</v>
      </c>
      <c r="H927" s="9" t="n">
        <v>0</v>
      </c>
      <c r="K927" s="6" t="s">
        <v>384</v>
      </c>
      <c r="L927" s="6" t="s">
        <v>13</v>
      </c>
      <c r="M927" s="6" t="s">
        <v>189</v>
      </c>
      <c r="N927" s="6" t="s">
        <v>2942</v>
      </c>
      <c r="O927" s="6"/>
      <c r="P927" s="6"/>
    </row>
    <row r="928" customFormat="false" ht="15" hidden="false" customHeight="false" outlineLevel="0" collapsed="false">
      <c r="A928" s="6" t="s">
        <v>2943</v>
      </c>
      <c r="B928" s="6" t="s">
        <v>196</v>
      </c>
      <c r="C928" s="7" t="n">
        <v>46022</v>
      </c>
      <c r="D928" s="6" t="s">
        <v>380</v>
      </c>
      <c r="E928" s="6" t="s">
        <v>2929</v>
      </c>
      <c r="F928" s="6" t="s">
        <v>2930</v>
      </c>
      <c r="G928" s="6" t="s">
        <v>2905</v>
      </c>
      <c r="H928" s="9" t="n">
        <v>0</v>
      </c>
      <c r="K928" s="6" t="s">
        <v>384</v>
      </c>
      <c r="L928" s="6" t="s">
        <v>13</v>
      </c>
      <c r="M928" s="6" t="s">
        <v>194</v>
      </c>
      <c r="N928" s="6" t="s">
        <v>2944</v>
      </c>
      <c r="O928" s="6"/>
      <c r="P928" s="6"/>
    </row>
    <row r="929" customFormat="false" ht="15" hidden="false" customHeight="false" outlineLevel="0" collapsed="false">
      <c r="A929" s="6" t="s">
        <v>2945</v>
      </c>
      <c r="B929" s="6" t="s">
        <v>235</v>
      </c>
      <c r="C929" s="7" t="n">
        <v>46022</v>
      </c>
      <c r="D929" s="6" t="s">
        <v>407</v>
      </c>
      <c r="E929" s="6" t="s">
        <v>2929</v>
      </c>
      <c r="F929" s="6" t="s">
        <v>2930</v>
      </c>
      <c r="G929" s="6" t="s">
        <v>2905</v>
      </c>
      <c r="H929" s="9" t="n">
        <v>0</v>
      </c>
      <c r="K929" s="6" t="s">
        <v>384</v>
      </c>
      <c r="L929" s="6" t="s">
        <v>13</v>
      </c>
      <c r="M929" s="6" t="s">
        <v>194</v>
      </c>
      <c r="N929" s="6" t="s">
        <v>2946</v>
      </c>
      <c r="O929" s="6"/>
      <c r="P929" s="6"/>
    </row>
    <row r="930" customFormat="false" ht="15" hidden="false" customHeight="false" outlineLevel="0" collapsed="false">
      <c r="A930" s="6" t="s">
        <v>2947</v>
      </c>
      <c r="B930" s="6" t="s">
        <v>379</v>
      </c>
      <c r="C930" s="7" t="n">
        <v>44286</v>
      </c>
      <c r="D930" s="6" t="s">
        <v>380</v>
      </c>
      <c r="E930" s="6" t="s">
        <v>2948</v>
      </c>
      <c r="F930" s="6" t="s">
        <v>2949</v>
      </c>
      <c r="G930" s="6" t="s">
        <v>2950</v>
      </c>
      <c r="H930" s="9" t="n">
        <v>-599</v>
      </c>
      <c r="K930" s="6" t="s">
        <v>384</v>
      </c>
      <c r="L930" s="6" t="s">
        <v>13</v>
      </c>
      <c r="M930" s="6" t="s">
        <v>119</v>
      </c>
      <c r="N930" s="6" t="s">
        <v>2951</v>
      </c>
      <c r="O930" s="6"/>
      <c r="P930" s="6" t="s">
        <v>386</v>
      </c>
    </row>
    <row r="931" customFormat="false" ht="15" hidden="false" customHeight="false" outlineLevel="0" collapsed="false">
      <c r="A931" s="6" t="s">
        <v>2952</v>
      </c>
      <c r="B931" s="6" t="s">
        <v>103</v>
      </c>
      <c r="C931" s="7" t="n">
        <v>44377</v>
      </c>
      <c r="D931" s="6" t="s">
        <v>380</v>
      </c>
      <c r="E931" s="6" t="s">
        <v>2948</v>
      </c>
      <c r="F931" s="6" t="s">
        <v>2949</v>
      </c>
      <c r="G931" s="6" t="s">
        <v>2953</v>
      </c>
      <c r="H931" s="9" t="n">
        <v>-355</v>
      </c>
      <c r="K931" s="6" t="s">
        <v>384</v>
      </c>
      <c r="L931" s="6" t="s">
        <v>13</v>
      </c>
      <c r="M931" s="6" t="s">
        <v>100</v>
      </c>
      <c r="N931" s="6" t="s">
        <v>2954</v>
      </c>
      <c r="O931" s="6"/>
      <c r="P931" s="6"/>
    </row>
    <row r="932" customFormat="false" ht="15" hidden="false" customHeight="false" outlineLevel="0" collapsed="false">
      <c r="A932" s="6" t="s">
        <v>2955</v>
      </c>
      <c r="B932" s="6" t="s">
        <v>391</v>
      </c>
      <c r="C932" s="7" t="n">
        <v>44377</v>
      </c>
      <c r="D932" s="6" t="s">
        <v>392</v>
      </c>
      <c r="E932" s="6" t="s">
        <v>2948</v>
      </c>
      <c r="F932" s="6" t="s">
        <v>2949</v>
      </c>
      <c r="G932" s="6" t="s">
        <v>2956</v>
      </c>
      <c r="H932" s="9" t="n">
        <v>-954</v>
      </c>
      <c r="K932" s="6" t="s">
        <v>384</v>
      </c>
      <c r="L932" s="6" t="s">
        <v>13</v>
      </c>
      <c r="M932" s="6" t="s">
        <v>100</v>
      </c>
      <c r="N932" s="6" t="s">
        <v>2957</v>
      </c>
      <c r="O932" s="6"/>
      <c r="P932" s="6"/>
    </row>
    <row r="933" customFormat="false" ht="15" hidden="false" customHeight="false" outlineLevel="0" collapsed="false">
      <c r="A933" s="6" t="s">
        <v>2958</v>
      </c>
      <c r="B933" s="6" t="s">
        <v>111</v>
      </c>
      <c r="C933" s="7" t="n">
        <v>44469</v>
      </c>
      <c r="D933" s="6" t="s">
        <v>380</v>
      </c>
      <c r="E933" s="6" t="s">
        <v>2948</v>
      </c>
      <c r="F933" s="6" t="s">
        <v>2949</v>
      </c>
      <c r="G933" s="6" t="s">
        <v>2959</v>
      </c>
      <c r="H933" s="9" t="n">
        <v>3793</v>
      </c>
      <c r="K933" s="6" t="s">
        <v>384</v>
      </c>
      <c r="L933" s="6" t="s">
        <v>13</v>
      </c>
      <c r="M933" s="6" t="s">
        <v>109</v>
      </c>
      <c r="N933" s="6" t="s">
        <v>2960</v>
      </c>
      <c r="O933" s="6"/>
      <c r="P933" s="6"/>
    </row>
    <row r="934" customFormat="false" ht="15" hidden="false" customHeight="false" outlineLevel="0" collapsed="false">
      <c r="A934" s="6" t="s">
        <v>2961</v>
      </c>
      <c r="B934" s="6" t="s">
        <v>399</v>
      </c>
      <c r="C934" s="7" t="n">
        <v>44469</v>
      </c>
      <c r="D934" s="6" t="s">
        <v>400</v>
      </c>
      <c r="E934" s="6" t="s">
        <v>2948</v>
      </c>
      <c r="F934" s="6" t="s">
        <v>2949</v>
      </c>
      <c r="G934" s="6" t="s">
        <v>2962</v>
      </c>
      <c r="H934" s="9" t="n">
        <v>2839</v>
      </c>
      <c r="K934" s="6" t="s">
        <v>384</v>
      </c>
      <c r="L934" s="6" t="s">
        <v>13</v>
      </c>
      <c r="M934" s="6" t="s">
        <v>109</v>
      </c>
      <c r="N934" s="6" t="s">
        <v>2963</v>
      </c>
      <c r="O934" s="6"/>
      <c r="P934" s="6"/>
    </row>
    <row r="935" customFormat="false" ht="15" hidden="false" customHeight="false" outlineLevel="0" collapsed="false">
      <c r="A935" s="6" t="s">
        <v>2964</v>
      </c>
      <c r="B935" s="6" t="s">
        <v>116</v>
      </c>
      <c r="C935" s="7" t="n">
        <v>44561</v>
      </c>
      <c r="D935" s="6" t="s">
        <v>380</v>
      </c>
      <c r="E935" s="6" t="s">
        <v>2948</v>
      </c>
      <c r="F935" s="6" t="s">
        <v>2949</v>
      </c>
      <c r="G935" s="6" t="s">
        <v>2965</v>
      </c>
      <c r="H935" s="9" t="n">
        <v>13516</v>
      </c>
      <c r="K935" s="6" t="s">
        <v>384</v>
      </c>
      <c r="L935" s="6" t="s">
        <v>13</v>
      </c>
      <c r="M935" s="6" t="s">
        <v>114</v>
      </c>
      <c r="N935" s="6" t="s">
        <v>2966</v>
      </c>
      <c r="O935" s="6"/>
      <c r="P935" s="6"/>
    </row>
    <row r="936" customFormat="false" ht="15" hidden="false" customHeight="false" outlineLevel="0" collapsed="false">
      <c r="A936" s="6" t="s">
        <v>2967</v>
      </c>
      <c r="B936" s="6" t="s">
        <v>212</v>
      </c>
      <c r="C936" s="7" t="n">
        <v>44561</v>
      </c>
      <c r="D936" s="6" t="s">
        <v>407</v>
      </c>
      <c r="E936" s="6" t="s">
        <v>2948</v>
      </c>
      <c r="F936" s="6" t="s">
        <v>2949</v>
      </c>
      <c r="G936" s="6" t="s">
        <v>2968</v>
      </c>
      <c r="H936" s="9" t="n">
        <v>16355</v>
      </c>
      <c r="K936" s="6" t="s">
        <v>384</v>
      </c>
      <c r="L936" s="6" t="s">
        <v>13</v>
      </c>
      <c r="M936" s="6" t="s">
        <v>114</v>
      </c>
      <c r="N936" s="6" t="s">
        <v>2969</v>
      </c>
      <c r="O936" s="6"/>
      <c r="P936" s="6"/>
    </row>
    <row r="937" customFormat="false" ht="15" hidden="false" customHeight="false" outlineLevel="0" collapsed="false">
      <c r="A937" s="6" t="s">
        <v>2970</v>
      </c>
      <c r="B937" s="6" t="s">
        <v>121</v>
      </c>
      <c r="C937" s="7" t="n">
        <v>44651</v>
      </c>
      <c r="D937" s="6" t="s">
        <v>380</v>
      </c>
      <c r="E937" s="6" t="s">
        <v>2948</v>
      </c>
      <c r="F937" s="6" t="s">
        <v>2949</v>
      </c>
      <c r="G937" s="6" t="s">
        <v>2971</v>
      </c>
      <c r="H937" s="9" t="n">
        <v>-12912</v>
      </c>
      <c r="K937" s="6" t="s">
        <v>384</v>
      </c>
      <c r="L937" s="6" t="s">
        <v>13</v>
      </c>
      <c r="M937" s="6" t="s">
        <v>119</v>
      </c>
      <c r="N937" s="6" t="s">
        <v>2972</v>
      </c>
      <c r="O937" s="6"/>
      <c r="P937" s="6"/>
    </row>
    <row r="938" customFormat="false" ht="15" hidden="false" customHeight="false" outlineLevel="0" collapsed="false">
      <c r="A938" s="6" t="s">
        <v>2973</v>
      </c>
      <c r="B938" s="6" t="s">
        <v>126</v>
      </c>
      <c r="C938" s="7" t="n">
        <v>44742</v>
      </c>
      <c r="D938" s="6" t="s">
        <v>380</v>
      </c>
      <c r="E938" s="6" t="s">
        <v>2948</v>
      </c>
      <c r="F938" s="6" t="s">
        <v>2949</v>
      </c>
      <c r="G938" s="6" t="s">
        <v>2974</v>
      </c>
      <c r="H938" s="9" t="n">
        <v>-14061</v>
      </c>
      <c r="K938" s="6" t="s">
        <v>384</v>
      </c>
      <c r="L938" s="6" t="s">
        <v>13</v>
      </c>
      <c r="M938" s="6" t="s">
        <v>124</v>
      </c>
      <c r="N938" s="6" t="s">
        <v>2975</v>
      </c>
      <c r="O938" s="6"/>
      <c r="P938" s="6"/>
    </row>
    <row r="939" customFormat="false" ht="15" hidden="false" customHeight="false" outlineLevel="0" collapsed="false">
      <c r="A939" s="6" t="s">
        <v>2976</v>
      </c>
      <c r="B939" s="6" t="s">
        <v>417</v>
      </c>
      <c r="C939" s="7" t="n">
        <v>44742</v>
      </c>
      <c r="D939" s="6" t="s">
        <v>392</v>
      </c>
      <c r="E939" s="6" t="s">
        <v>2948</v>
      </c>
      <c r="F939" s="6" t="s">
        <v>2949</v>
      </c>
      <c r="G939" s="6" t="s">
        <v>2977</v>
      </c>
      <c r="H939" s="9" t="n">
        <v>-26973</v>
      </c>
      <c r="K939" s="6" t="s">
        <v>384</v>
      </c>
      <c r="L939" s="6" t="s">
        <v>13</v>
      </c>
      <c r="M939" s="6" t="s">
        <v>124</v>
      </c>
      <c r="N939" s="6" t="s">
        <v>2978</v>
      </c>
      <c r="O939" s="6"/>
      <c r="P939" s="6"/>
    </row>
    <row r="940" customFormat="false" ht="15" hidden="false" customHeight="false" outlineLevel="0" collapsed="false">
      <c r="A940" s="6" t="s">
        <v>2979</v>
      </c>
      <c r="B940" s="6" t="s">
        <v>131</v>
      </c>
      <c r="C940" s="7" t="n">
        <v>44834</v>
      </c>
      <c r="D940" s="6" t="s">
        <v>380</v>
      </c>
      <c r="E940" s="6" t="s">
        <v>2948</v>
      </c>
      <c r="F940" s="6" t="s">
        <v>2949</v>
      </c>
      <c r="G940" s="6" t="s">
        <v>2980</v>
      </c>
      <c r="H940" s="9" t="n">
        <v>20030</v>
      </c>
      <c r="K940" s="6" t="s">
        <v>384</v>
      </c>
      <c r="L940" s="6" t="s">
        <v>13</v>
      </c>
      <c r="M940" s="6" t="s">
        <v>129</v>
      </c>
      <c r="N940" s="6" t="s">
        <v>2981</v>
      </c>
      <c r="O940" s="6"/>
      <c r="P940" s="6"/>
    </row>
    <row r="941" customFormat="false" ht="15" hidden="false" customHeight="false" outlineLevel="0" collapsed="false">
      <c r="A941" s="6" t="s">
        <v>2982</v>
      </c>
      <c r="B941" s="6" t="s">
        <v>424</v>
      </c>
      <c r="C941" s="7" t="n">
        <v>44834</v>
      </c>
      <c r="D941" s="6" t="s">
        <v>400</v>
      </c>
      <c r="E941" s="6" t="s">
        <v>2948</v>
      </c>
      <c r="F941" s="6" t="s">
        <v>2949</v>
      </c>
      <c r="G941" s="6" t="s">
        <v>2983</v>
      </c>
      <c r="H941" s="9" t="n">
        <v>-6943</v>
      </c>
      <c r="K941" s="6" t="s">
        <v>384</v>
      </c>
      <c r="L941" s="6" t="s">
        <v>13</v>
      </c>
      <c r="M941" s="6" t="s">
        <v>129</v>
      </c>
      <c r="N941" s="6" t="s">
        <v>2984</v>
      </c>
      <c r="O941" s="6"/>
      <c r="P941" s="6"/>
    </row>
    <row r="942" customFormat="false" ht="15" hidden="false" customHeight="false" outlineLevel="0" collapsed="false">
      <c r="A942" s="6" t="s">
        <v>2985</v>
      </c>
      <c r="B942" s="6" t="s">
        <v>136</v>
      </c>
      <c r="C942" s="7" t="n">
        <v>44926</v>
      </c>
      <c r="D942" s="6" t="s">
        <v>380</v>
      </c>
      <c r="E942" s="6" t="s">
        <v>2948</v>
      </c>
      <c r="F942" s="6" t="s">
        <v>2949</v>
      </c>
      <c r="G942" s="6" t="s">
        <v>2986</v>
      </c>
      <c r="H942" s="9" t="n">
        <v>34081</v>
      </c>
      <c r="K942" s="6" t="s">
        <v>384</v>
      </c>
      <c r="L942" s="6" t="s">
        <v>13</v>
      </c>
      <c r="M942" s="6" t="s">
        <v>134</v>
      </c>
      <c r="N942" s="6" t="s">
        <v>2987</v>
      </c>
      <c r="O942" s="6"/>
      <c r="P942" s="6"/>
    </row>
    <row r="943" customFormat="false" ht="15" hidden="false" customHeight="false" outlineLevel="0" collapsed="false">
      <c r="A943" s="6" t="s">
        <v>2988</v>
      </c>
      <c r="B943" s="6" t="s">
        <v>220</v>
      </c>
      <c r="C943" s="7" t="n">
        <v>44926</v>
      </c>
      <c r="D943" s="6" t="s">
        <v>407</v>
      </c>
      <c r="E943" s="6" t="s">
        <v>2948</v>
      </c>
      <c r="F943" s="6" t="s">
        <v>2949</v>
      </c>
      <c r="G943" s="6" t="s">
        <v>2989</v>
      </c>
      <c r="H943" s="9" t="n">
        <v>27138</v>
      </c>
      <c r="K943" s="6" t="s">
        <v>384</v>
      </c>
      <c r="L943" s="6" t="s">
        <v>13</v>
      </c>
      <c r="M943" s="6" t="s">
        <v>134</v>
      </c>
      <c r="N943" s="6" t="s">
        <v>2990</v>
      </c>
      <c r="O943" s="6"/>
      <c r="P943" s="6"/>
    </row>
    <row r="944" customFormat="false" ht="15" hidden="false" customHeight="false" outlineLevel="0" collapsed="false">
      <c r="A944" s="6" t="s">
        <v>2991</v>
      </c>
      <c r="B944" s="6" t="s">
        <v>141</v>
      </c>
      <c r="C944" s="7" t="n">
        <v>45016</v>
      </c>
      <c r="D944" s="6" t="s">
        <v>380</v>
      </c>
      <c r="E944" s="6" t="s">
        <v>2948</v>
      </c>
      <c r="F944" s="6" t="s">
        <v>2949</v>
      </c>
      <c r="G944" s="6" t="s">
        <v>2992</v>
      </c>
      <c r="H944" s="9" t="n">
        <v>42728</v>
      </c>
      <c r="K944" s="6" t="s">
        <v>384</v>
      </c>
      <c r="L944" s="6" t="s">
        <v>13</v>
      </c>
      <c r="M944" s="6" t="s">
        <v>139</v>
      </c>
      <c r="N944" s="6" t="s">
        <v>2993</v>
      </c>
      <c r="O944" s="6"/>
      <c r="P944" s="6"/>
    </row>
    <row r="945" customFormat="false" ht="15" hidden="false" customHeight="false" outlineLevel="0" collapsed="false">
      <c r="A945" s="6" t="s">
        <v>2994</v>
      </c>
      <c r="B945" s="6" t="s">
        <v>146</v>
      </c>
      <c r="C945" s="7" t="n">
        <v>45107</v>
      </c>
      <c r="D945" s="6" t="s">
        <v>380</v>
      </c>
      <c r="E945" s="6" t="s">
        <v>2948</v>
      </c>
      <c r="F945" s="6" t="s">
        <v>2949</v>
      </c>
      <c r="G945" s="6" t="s">
        <v>2995</v>
      </c>
      <c r="H945" s="9" t="n">
        <v>47589</v>
      </c>
      <c r="K945" s="6" t="s">
        <v>384</v>
      </c>
      <c r="L945" s="6" t="s">
        <v>13</v>
      </c>
      <c r="M945" s="6" t="s">
        <v>144</v>
      </c>
      <c r="N945" s="6" t="s">
        <v>2996</v>
      </c>
      <c r="O945" s="6"/>
      <c r="P945" s="6"/>
    </row>
    <row r="946" customFormat="false" ht="15" hidden="false" customHeight="false" outlineLevel="0" collapsed="false">
      <c r="A946" s="6" t="s">
        <v>2997</v>
      </c>
      <c r="B946" s="6" t="s">
        <v>440</v>
      </c>
      <c r="C946" s="7" t="n">
        <v>45107</v>
      </c>
      <c r="D946" s="6" t="s">
        <v>392</v>
      </c>
      <c r="E946" s="6" t="s">
        <v>2948</v>
      </c>
      <c r="F946" s="6" t="s">
        <v>2949</v>
      </c>
      <c r="G946" s="6" t="s">
        <v>2998</v>
      </c>
      <c r="H946" s="9" t="n">
        <v>90317</v>
      </c>
      <c r="K946" s="6" t="s">
        <v>384</v>
      </c>
      <c r="L946" s="6" t="s">
        <v>13</v>
      </c>
      <c r="M946" s="6" t="s">
        <v>144</v>
      </c>
      <c r="N946" s="6" t="s">
        <v>2999</v>
      </c>
      <c r="O946" s="6"/>
      <c r="P946" s="6"/>
    </row>
    <row r="947" customFormat="false" ht="15" hidden="false" customHeight="false" outlineLevel="0" collapsed="false">
      <c r="A947" s="6" t="s">
        <v>3000</v>
      </c>
      <c r="B947" s="6" t="s">
        <v>151</v>
      </c>
      <c r="C947" s="7" t="n">
        <v>45199</v>
      </c>
      <c r="D947" s="6" t="s">
        <v>380</v>
      </c>
      <c r="E947" s="6" t="s">
        <v>2948</v>
      </c>
      <c r="F947" s="6" t="s">
        <v>2949</v>
      </c>
      <c r="G947" s="6" t="s">
        <v>3001</v>
      </c>
      <c r="H947" s="9" t="n">
        <v>66579</v>
      </c>
      <c r="K947" s="6" t="s">
        <v>384</v>
      </c>
      <c r="L947" s="6" t="s">
        <v>13</v>
      </c>
      <c r="M947" s="6" t="s">
        <v>149</v>
      </c>
      <c r="N947" s="6" t="s">
        <v>3002</v>
      </c>
      <c r="O947" s="6"/>
      <c r="P947" s="6"/>
    </row>
    <row r="948" customFormat="false" ht="15" hidden="false" customHeight="false" outlineLevel="0" collapsed="false">
      <c r="A948" s="6" t="s">
        <v>3003</v>
      </c>
      <c r="B948" s="6" t="s">
        <v>447</v>
      </c>
      <c r="C948" s="7" t="n">
        <v>45199</v>
      </c>
      <c r="D948" s="6" t="s">
        <v>400</v>
      </c>
      <c r="E948" s="6" t="s">
        <v>2948</v>
      </c>
      <c r="F948" s="6" t="s">
        <v>2949</v>
      </c>
      <c r="G948" s="6" t="s">
        <v>3004</v>
      </c>
      <c r="H948" s="9" t="n">
        <v>156896</v>
      </c>
      <c r="K948" s="6" t="s">
        <v>384</v>
      </c>
      <c r="L948" s="6" t="s">
        <v>13</v>
      </c>
      <c r="M948" s="6" t="s">
        <v>149</v>
      </c>
      <c r="N948" s="6" t="s">
        <v>3005</v>
      </c>
      <c r="O948" s="6"/>
      <c r="P948" s="6"/>
    </row>
    <row r="949" customFormat="false" ht="15" hidden="false" customHeight="false" outlineLevel="0" collapsed="false">
      <c r="A949" s="6" t="s">
        <v>3006</v>
      </c>
      <c r="B949" s="6" t="s">
        <v>156</v>
      </c>
      <c r="C949" s="7" t="n">
        <v>45291</v>
      </c>
      <c r="D949" s="6" t="s">
        <v>380</v>
      </c>
      <c r="E949" s="6" t="s">
        <v>2948</v>
      </c>
      <c r="F949" s="6" t="s">
        <v>2949</v>
      </c>
      <c r="G949" s="6" t="s">
        <v>3007</v>
      </c>
      <c r="H949" s="9" t="n">
        <v>58508</v>
      </c>
      <c r="K949" s="6" t="s">
        <v>384</v>
      </c>
      <c r="L949" s="6" t="s">
        <v>13</v>
      </c>
      <c r="M949" s="6" t="s">
        <v>154</v>
      </c>
      <c r="N949" s="6" t="s">
        <v>3008</v>
      </c>
      <c r="O949" s="6"/>
      <c r="P949" s="6"/>
    </row>
    <row r="950" customFormat="false" ht="15" hidden="false" customHeight="false" outlineLevel="0" collapsed="false">
      <c r="A950" s="6" t="s">
        <v>3009</v>
      </c>
      <c r="B950" s="6" t="s">
        <v>225</v>
      </c>
      <c r="C950" s="7" t="n">
        <v>45291</v>
      </c>
      <c r="D950" s="6" t="s">
        <v>407</v>
      </c>
      <c r="E950" s="6" t="s">
        <v>2948</v>
      </c>
      <c r="F950" s="6" t="s">
        <v>2949</v>
      </c>
      <c r="G950" s="6" t="s">
        <v>3010</v>
      </c>
      <c r="H950" s="9" t="n">
        <v>215404</v>
      </c>
      <c r="K950" s="6" t="s">
        <v>384</v>
      </c>
      <c r="L950" s="6" t="s">
        <v>13</v>
      </c>
      <c r="M950" s="6" t="s">
        <v>154</v>
      </c>
      <c r="N950" s="6" t="s">
        <v>3011</v>
      </c>
      <c r="O950" s="6"/>
      <c r="P950" s="6"/>
    </row>
    <row r="951" customFormat="false" ht="15" hidden="false" customHeight="false" outlineLevel="0" collapsed="false">
      <c r="A951" s="6" t="s">
        <v>3012</v>
      </c>
      <c r="B951" s="6" t="s">
        <v>161</v>
      </c>
      <c r="C951" s="7" t="n">
        <v>45382</v>
      </c>
      <c r="D951" s="6" t="s">
        <v>380</v>
      </c>
      <c r="E951" s="6" t="s">
        <v>2948</v>
      </c>
      <c r="F951" s="6" t="s">
        <v>2949</v>
      </c>
      <c r="G951" s="6" t="s">
        <v>3013</v>
      </c>
      <c r="H951" s="9" t="n">
        <v>91955</v>
      </c>
      <c r="K951" s="6" t="s">
        <v>384</v>
      </c>
      <c r="L951" s="6" t="s">
        <v>13</v>
      </c>
      <c r="M951" s="6" t="s">
        <v>159</v>
      </c>
      <c r="N951" s="6" t="s">
        <v>3014</v>
      </c>
      <c r="O951" s="6"/>
      <c r="P951" s="6"/>
    </row>
    <row r="952" customFormat="false" ht="15" hidden="false" customHeight="false" outlineLevel="0" collapsed="false">
      <c r="A952" s="6" t="s">
        <v>3015</v>
      </c>
      <c r="B952" s="6" t="s">
        <v>166</v>
      </c>
      <c r="C952" s="7" t="n">
        <v>45473</v>
      </c>
      <c r="D952" s="6" t="s">
        <v>380</v>
      </c>
      <c r="E952" s="6" t="s">
        <v>2948</v>
      </c>
      <c r="F952" s="6" t="s">
        <v>2949</v>
      </c>
      <c r="G952" s="6" t="s">
        <v>3016</v>
      </c>
      <c r="H952" s="9" t="n">
        <v>55794</v>
      </c>
      <c r="K952" s="6" t="s">
        <v>384</v>
      </c>
      <c r="L952" s="6" t="s">
        <v>13</v>
      </c>
      <c r="M952" s="6" t="s">
        <v>164</v>
      </c>
      <c r="N952" s="6" t="s">
        <v>3017</v>
      </c>
      <c r="O952" s="6"/>
      <c r="P952" s="6"/>
    </row>
    <row r="953" customFormat="false" ht="15" hidden="false" customHeight="false" outlineLevel="0" collapsed="false">
      <c r="A953" s="6" t="s">
        <v>3018</v>
      </c>
      <c r="B953" s="6" t="s">
        <v>241</v>
      </c>
      <c r="C953" s="7" t="n">
        <v>45473</v>
      </c>
      <c r="D953" s="6" t="s">
        <v>392</v>
      </c>
      <c r="E953" s="6" t="s">
        <v>2948</v>
      </c>
      <c r="F953" s="6" t="s">
        <v>2949</v>
      </c>
      <c r="G953" s="6" t="s">
        <v>3019</v>
      </c>
      <c r="H953" s="9" t="n">
        <v>147749</v>
      </c>
      <c r="K953" s="6" t="s">
        <v>384</v>
      </c>
      <c r="L953" s="6" t="s">
        <v>13</v>
      </c>
      <c r="M953" s="6" t="s">
        <v>164</v>
      </c>
      <c r="N953" s="6" t="s">
        <v>3020</v>
      </c>
      <c r="O953" s="6"/>
      <c r="P953" s="6"/>
    </row>
    <row r="954" customFormat="false" ht="15" hidden="false" customHeight="false" outlineLevel="0" collapsed="false">
      <c r="A954" s="6" t="s">
        <v>3021</v>
      </c>
      <c r="B954" s="6" t="s">
        <v>171</v>
      </c>
      <c r="C954" s="7" t="n">
        <v>45565</v>
      </c>
      <c r="D954" s="6" t="s">
        <v>380</v>
      </c>
      <c r="E954" s="6" t="s">
        <v>2948</v>
      </c>
      <c r="F954" s="6" t="s">
        <v>2949</v>
      </c>
      <c r="G954" s="6" t="s">
        <v>3022</v>
      </c>
      <c r="H954" s="9" t="n">
        <v>86605</v>
      </c>
      <c r="K954" s="6" t="s">
        <v>384</v>
      </c>
      <c r="L954" s="6" t="s">
        <v>13</v>
      </c>
      <c r="M954" s="6" t="s">
        <v>169</v>
      </c>
      <c r="N954" s="6" t="s">
        <v>3023</v>
      </c>
      <c r="O954" s="6"/>
      <c r="P954" s="6"/>
    </row>
    <row r="955" customFormat="false" ht="15" hidden="false" customHeight="false" outlineLevel="0" collapsed="false">
      <c r="A955" s="6" t="s">
        <v>3024</v>
      </c>
      <c r="B955" s="6" t="s">
        <v>469</v>
      </c>
      <c r="C955" s="7" t="n">
        <v>45565</v>
      </c>
      <c r="D955" s="6" t="s">
        <v>400</v>
      </c>
      <c r="E955" s="6" t="s">
        <v>2948</v>
      </c>
      <c r="F955" s="6" t="s">
        <v>2949</v>
      </c>
      <c r="G955" s="6" t="s">
        <v>3025</v>
      </c>
      <c r="H955" s="9" t="n">
        <v>234354</v>
      </c>
      <c r="K955" s="6" t="s">
        <v>384</v>
      </c>
      <c r="L955" s="6" t="s">
        <v>13</v>
      </c>
      <c r="M955" s="6" t="s">
        <v>169</v>
      </c>
      <c r="N955" s="6" t="s">
        <v>3026</v>
      </c>
      <c r="O955" s="6"/>
      <c r="P955" s="6"/>
    </row>
    <row r="956" customFormat="false" ht="15" hidden="false" customHeight="false" outlineLevel="0" collapsed="false">
      <c r="A956" s="6" t="s">
        <v>3027</v>
      </c>
      <c r="B956" s="6" t="s">
        <v>176</v>
      </c>
      <c r="C956" s="7" t="n">
        <v>45657</v>
      </c>
      <c r="D956" s="6" t="s">
        <v>380</v>
      </c>
      <c r="E956" s="6" t="s">
        <v>2948</v>
      </c>
      <c r="F956" s="6" t="s">
        <v>2949</v>
      </c>
      <c r="G956" s="6" t="s">
        <v>3028</v>
      </c>
      <c r="H956" s="9" t="n">
        <v>76711</v>
      </c>
      <c r="K956" s="6" t="s">
        <v>384</v>
      </c>
      <c r="L956" s="6" t="s">
        <v>13</v>
      </c>
      <c r="M956" s="6" t="s">
        <v>174</v>
      </c>
      <c r="N956" s="6" t="s">
        <v>3029</v>
      </c>
      <c r="O956" s="6"/>
      <c r="P956" s="6"/>
    </row>
    <row r="957" customFormat="false" ht="15" hidden="false" customHeight="false" outlineLevel="0" collapsed="false">
      <c r="A957" s="6" t="s">
        <v>3030</v>
      </c>
      <c r="B957" s="6" t="s">
        <v>230</v>
      </c>
      <c r="C957" s="7" t="n">
        <v>45657</v>
      </c>
      <c r="D957" s="6" t="s">
        <v>407</v>
      </c>
      <c r="E957" s="6" t="s">
        <v>2948</v>
      </c>
      <c r="F957" s="6" t="s">
        <v>2949</v>
      </c>
      <c r="G957" s="6" t="s">
        <v>3031</v>
      </c>
      <c r="H957" s="9" t="n">
        <v>311065</v>
      </c>
      <c r="K957" s="6" t="s">
        <v>384</v>
      </c>
      <c r="L957" s="6" t="s">
        <v>13</v>
      </c>
      <c r="M957" s="6" t="s">
        <v>174</v>
      </c>
      <c r="N957" s="6" t="s">
        <v>3032</v>
      </c>
      <c r="O957" s="6"/>
      <c r="P957" s="6"/>
    </row>
    <row r="958" customFormat="false" ht="15" hidden="false" customHeight="false" outlineLevel="0" collapsed="false">
      <c r="A958" s="6" t="s">
        <v>3033</v>
      </c>
      <c r="B958" s="6" t="s">
        <v>181</v>
      </c>
      <c r="C958" s="7" t="n">
        <v>45747</v>
      </c>
      <c r="D958" s="6" t="s">
        <v>380</v>
      </c>
      <c r="E958" s="6" t="s">
        <v>2948</v>
      </c>
      <c r="F958" s="6" t="s">
        <v>2949</v>
      </c>
      <c r="G958" s="6" t="s">
        <v>3034</v>
      </c>
      <c r="H958" s="9" t="n">
        <v>111970</v>
      </c>
      <c r="K958" s="6" t="s">
        <v>384</v>
      </c>
      <c r="L958" s="6" t="s">
        <v>13</v>
      </c>
      <c r="M958" s="6" t="s">
        <v>179</v>
      </c>
      <c r="N958" s="6" t="s">
        <v>3035</v>
      </c>
      <c r="O958" s="6"/>
      <c r="P958" s="6"/>
    </row>
    <row r="959" customFormat="false" ht="15" hidden="false" customHeight="false" outlineLevel="0" collapsed="false">
      <c r="A959" s="6" t="s">
        <v>3036</v>
      </c>
      <c r="B959" s="6" t="s">
        <v>186</v>
      </c>
      <c r="C959" s="7" t="n">
        <v>45838</v>
      </c>
      <c r="D959" s="6" t="s">
        <v>380</v>
      </c>
      <c r="E959" s="6" t="s">
        <v>2948</v>
      </c>
      <c r="F959" s="6" t="s">
        <v>2949</v>
      </c>
      <c r="G959" s="6" t="s">
        <v>3037</v>
      </c>
      <c r="H959" s="9" t="n">
        <v>66837</v>
      </c>
      <c r="K959" s="6" t="s">
        <v>384</v>
      </c>
      <c r="L959" s="6" t="s">
        <v>13</v>
      </c>
      <c r="M959" s="6" t="s">
        <v>184</v>
      </c>
      <c r="N959" s="6" t="s">
        <v>3038</v>
      </c>
      <c r="O959" s="6"/>
      <c r="P959" s="6"/>
    </row>
    <row r="960" customFormat="false" ht="15" hidden="false" customHeight="false" outlineLevel="0" collapsed="false">
      <c r="A960" s="6" t="s">
        <v>3039</v>
      </c>
      <c r="B960" s="6" t="s">
        <v>255</v>
      </c>
      <c r="C960" s="7" t="n">
        <v>45838</v>
      </c>
      <c r="D960" s="6" t="s">
        <v>392</v>
      </c>
      <c r="E960" s="6" t="s">
        <v>2948</v>
      </c>
      <c r="F960" s="6" t="s">
        <v>2949</v>
      </c>
      <c r="G960" s="6" t="s">
        <v>3040</v>
      </c>
      <c r="H960" s="9" t="n">
        <v>178807</v>
      </c>
      <c r="K960" s="6" t="s">
        <v>384</v>
      </c>
      <c r="L960" s="6" t="s">
        <v>13</v>
      </c>
      <c r="M960" s="6" t="s">
        <v>184</v>
      </c>
      <c r="N960" s="6" t="s">
        <v>3041</v>
      </c>
      <c r="O960" s="6"/>
      <c r="P960" s="6"/>
    </row>
    <row r="961" customFormat="false" ht="15" hidden="false" customHeight="false" outlineLevel="0" collapsed="false">
      <c r="A961" s="6" t="s">
        <v>3042</v>
      </c>
      <c r="B961" s="6" t="s">
        <v>191</v>
      </c>
      <c r="C961" s="7" t="n">
        <v>45930</v>
      </c>
      <c r="D961" s="6" t="s">
        <v>380</v>
      </c>
      <c r="E961" s="6" t="s">
        <v>2948</v>
      </c>
      <c r="F961" s="6" t="s">
        <v>2949</v>
      </c>
      <c r="G961" s="6" t="s">
        <v>3043</v>
      </c>
      <c r="H961" s="9" t="n">
        <v>95144</v>
      </c>
      <c r="K961" s="6" t="s">
        <v>384</v>
      </c>
      <c r="L961" s="6" t="s">
        <v>13</v>
      </c>
      <c r="M961" s="6" t="s">
        <v>189</v>
      </c>
      <c r="N961" s="6" t="s">
        <v>3044</v>
      </c>
      <c r="O961" s="6"/>
      <c r="P961" s="6"/>
    </row>
    <row r="962" customFormat="false" ht="15" hidden="false" customHeight="false" outlineLevel="0" collapsed="false">
      <c r="A962" s="6" t="s">
        <v>3045</v>
      </c>
      <c r="B962" s="6" t="s">
        <v>491</v>
      </c>
      <c r="C962" s="7" t="n">
        <v>45930</v>
      </c>
      <c r="D962" s="6" t="s">
        <v>400</v>
      </c>
      <c r="E962" s="6" t="s">
        <v>2948</v>
      </c>
      <c r="F962" s="6" t="s">
        <v>2949</v>
      </c>
      <c r="G962" s="6" t="s">
        <v>3046</v>
      </c>
      <c r="H962" s="9" t="n">
        <v>273951</v>
      </c>
      <c r="K962" s="6" t="s">
        <v>384</v>
      </c>
      <c r="L962" s="6" t="s">
        <v>13</v>
      </c>
      <c r="M962" s="6" t="s">
        <v>189</v>
      </c>
      <c r="N962" s="6" t="s">
        <v>3047</v>
      </c>
      <c r="O962" s="6"/>
      <c r="P962" s="6"/>
    </row>
    <row r="963" customFormat="false" ht="15" hidden="false" customHeight="false" outlineLevel="0" collapsed="false">
      <c r="A963" s="6" t="s">
        <v>3048</v>
      </c>
      <c r="B963" s="6" t="s">
        <v>196</v>
      </c>
      <c r="C963" s="7" t="n">
        <v>46022</v>
      </c>
      <c r="D963" s="6" t="s">
        <v>380</v>
      </c>
      <c r="E963" s="6" t="s">
        <v>2948</v>
      </c>
      <c r="F963" s="6" t="s">
        <v>2949</v>
      </c>
      <c r="G963" s="6" t="s">
        <v>3049</v>
      </c>
      <c r="H963" s="9" t="n">
        <v>59693</v>
      </c>
      <c r="K963" s="6" t="s">
        <v>384</v>
      </c>
      <c r="L963" s="6" t="s">
        <v>13</v>
      </c>
      <c r="M963" s="6" t="s">
        <v>194</v>
      </c>
      <c r="N963" s="6" t="s">
        <v>3050</v>
      </c>
      <c r="O963" s="6"/>
      <c r="P963" s="6"/>
    </row>
    <row r="964" customFormat="false" ht="15" hidden="false" customHeight="false" outlineLevel="0" collapsed="false">
      <c r="A964" s="6" t="s">
        <v>3051</v>
      </c>
      <c r="B964" s="6" t="s">
        <v>235</v>
      </c>
      <c r="C964" s="7" t="n">
        <v>46022</v>
      </c>
      <c r="D964" s="6" t="s">
        <v>407</v>
      </c>
      <c r="E964" s="6" t="s">
        <v>2948</v>
      </c>
      <c r="F964" s="6" t="s">
        <v>2949</v>
      </c>
      <c r="G964" s="6" t="s">
        <v>3052</v>
      </c>
      <c r="H964" s="9" t="n">
        <v>333644</v>
      </c>
      <c r="K964" s="6" t="s">
        <v>384</v>
      </c>
      <c r="L964" s="6" t="s">
        <v>13</v>
      </c>
      <c r="M964" s="6" t="s">
        <v>194</v>
      </c>
      <c r="N964" s="6" t="s">
        <v>3053</v>
      </c>
      <c r="O964" s="6"/>
      <c r="P964" s="6"/>
    </row>
    <row r="965" customFormat="false" ht="15" hidden="false" customHeight="false" outlineLevel="0" collapsed="false">
      <c r="A965" s="6" t="s">
        <v>3054</v>
      </c>
      <c r="B965" s="6" t="s">
        <v>201</v>
      </c>
      <c r="C965" s="7" t="n">
        <v>46112</v>
      </c>
      <c r="D965" s="6" t="s">
        <v>380</v>
      </c>
      <c r="E965" s="6" t="s">
        <v>2948</v>
      </c>
      <c r="F965" s="6" t="s">
        <v>2949</v>
      </c>
      <c r="G965" s="6" t="s">
        <v>3055</v>
      </c>
      <c r="H965" s="9" t="n">
        <v>104687</v>
      </c>
      <c r="K965" s="6" t="s">
        <v>384</v>
      </c>
      <c r="L965" s="6" t="s">
        <v>13</v>
      </c>
      <c r="M965" s="6" t="s">
        <v>199</v>
      </c>
      <c r="N965" s="6" t="s">
        <v>3056</v>
      </c>
      <c r="O965" s="6"/>
      <c r="P965" s="6"/>
    </row>
    <row r="966" customFormat="false" ht="15" hidden="false" customHeight="false" outlineLevel="0" collapsed="false">
      <c r="A966" s="6" t="s">
        <v>3057</v>
      </c>
      <c r="B966" s="6" t="s">
        <v>206</v>
      </c>
      <c r="C966" s="7" t="n">
        <v>46203</v>
      </c>
      <c r="D966" s="6" t="s">
        <v>380</v>
      </c>
      <c r="E966" s="6" t="s">
        <v>2948</v>
      </c>
      <c r="F966" s="6" t="s">
        <v>2949</v>
      </c>
      <c r="G966" s="6" t="s">
        <v>3058</v>
      </c>
      <c r="H966" s="9" t="n">
        <v>55354</v>
      </c>
      <c r="K966" s="6" t="s">
        <v>384</v>
      </c>
      <c r="L966" s="6" t="s">
        <v>13</v>
      </c>
      <c r="M966" s="6" t="s">
        <v>204</v>
      </c>
      <c r="N966" s="6" t="s">
        <v>3059</v>
      </c>
      <c r="O966" s="6"/>
      <c r="P966" s="6"/>
    </row>
    <row r="967" customFormat="false" ht="15" hidden="false" customHeight="false" outlineLevel="0" collapsed="false">
      <c r="A967" s="6" t="s">
        <v>3060</v>
      </c>
      <c r="B967" s="6" t="s">
        <v>263</v>
      </c>
      <c r="C967" s="7" t="n">
        <v>46203</v>
      </c>
      <c r="D967" s="6" t="s">
        <v>392</v>
      </c>
      <c r="E967" s="6" t="s">
        <v>2948</v>
      </c>
      <c r="F967" s="6" t="s">
        <v>2949</v>
      </c>
      <c r="G967" s="6" t="s">
        <v>3061</v>
      </c>
      <c r="H967" s="9" t="n">
        <v>160041</v>
      </c>
      <c r="K967" s="6" t="s">
        <v>384</v>
      </c>
      <c r="L967" s="6" t="s">
        <v>13</v>
      </c>
      <c r="M967" s="6" t="s">
        <v>204</v>
      </c>
      <c r="N967" s="6" t="s">
        <v>3062</v>
      </c>
      <c r="O967" s="6"/>
      <c r="P967" s="6"/>
    </row>
    <row r="968" customFormat="false" ht="15" hidden="false" customHeight="false" outlineLevel="0" collapsed="false">
      <c r="A968" s="6" t="s">
        <v>3063</v>
      </c>
      <c r="B968" s="6" t="s">
        <v>379</v>
      </c>
      <c r="C968" s="7" t="n">
        <v>44286</v>
      </c>
      <c r="D968" s="6" t="s">
        <v>380</v>
      </c>
      <c r="E968" s="6" t="s">
        <v>2948</v>
      </c>
      <c r="F968" s="6" t="s">
        <v>3064</v>
      </c>
      <c r="G968" s="6" t="s">
        <v>3065</v>
      </c>
      <c r="H968" s="9" t="n">
        <v>-4223</v>
      </c>
      <c r="K968" s="6" t="s">
        <v>384</v>
      </c>
      <c r="L968" s="6" t="s">
        <v>13</v>
      </c>
      <c r="M968" s="6" t="s">
        <v>119</v>
      </c>
      <c r="N968" s="6" t="s">
        <v>3066</v>
      </c>
      <c r="O968" s="6"/>
      <c r="P968" s="6" t="s">
        <v>386</v>
      </c>
    </row>
    <row r="969" customFormat="false" ht="15" hidden="false" customHeight="false" outlineLevel="0" collapsed="false">
      <c r="A969" s="6" t="s">
        <v>3067</v>
      </c>
      <c r="B969" s="6" t="s">
        <v>103</v>
      </c>
      <c r="C969" s="7" t="n">
        <v>44377</v>
      </c>
      <c r="D969" s="6" t="s">
        <v>380</v>
      </c>
      <c r="E969" s="6" t="s">
        <v>2948</v>
      </c>
      <c r="F969" s="6" t="s">
        <v>3064</v>
      </c>
      <c r="G969" s="6" t="s">
        <v>3068</v>
      </c>
      <c r="H969" s="9" t="n">
        <v>-1358</v>
      </c>
      <c r="K969" s="6" t="s">
        <v>384</v>
      </c>
      <c r="L969" s="6" t="s">
        <v>13</v>
      </c>
      <c r="M969" s="6" t="s">
        <v>100</v>
      </c>
      <c r="N969" s="6" t="s">
        <v>3069</v>
      </c>
      <c r="O969" s="6"/>
      <c r="P969" s="6"/>
    </row>
    <row r="970" customFormat="false" ht="15" hidden="false" customHeight="false" outlineLevel="0" collapsed="false">
      <c r="A970" s="6" t="s">
        <v>3070</v>
      </c>
      <c r="B970" s="6" t="s">
        <v>391</v>
      </c>
      <c r="C970" s="7" t="n">
        <v>44377</v>
      </c>
      <c r="D970" s="6" t="s">
        <v>392</v>
      </c>
      <c r="E970" s="6" t="s">
        <v>2948</v>
      </c>
      <c r="F970" s="6" t="s">
        <v>3064</v>
      </c>
      <c r="G970" s="6" t="s">
        <v>3071</v>
      </c>
      <c r="H970" s="9" t="n">
        <v>-5581</v>
      </c>
      <c r="K970" s="6" t="s">
        <v>384</v>
      </c>
      <c r="L970" s="6" t="s">
        <v>13</v>
      </c>
      <c r="M970" s="6" t="s">
        <v>100</v>
      </c>
      <c r="N970" s="6" t="s">
        <v>3072</v>
      </c>
      <c r="O970" s="6"/>
      <c r="P970" s="6"/>
    </row>
    <row r="971" customFormat="false" ht="15" hidden="false" customHeight="false" outlineLevel="0" collapsed="false">
      <c r="A971" s="6" t="s">
        <v>3073</v>
      </c>
      <c r="B971" s="6" t="s">
        <v>111</v>
      </c>
      <c r="C971" s="7" t="n">
        <v>44469</v>
      </c>
      <c r="D971" s="6" t="s">
        <v>380</v>
      </c>
      <c r="E971" s="6" t="s">
        <v>2948</v>
      </c>
      <c r="F971" s="6" t="s">
        <v>3064</v>
      </c>
      <c r="G971" s="6" t="s">
        <v>3074</v>
      </c>
      <c r="H971" s="9" t="n">
        <v>-3023</v>
      </c>
      <c r="K971" s="6" t="s">
        <v>384</v>
      </c>
      <c r="L971" s="6" t="s">
        <v>13</v>
      </c>
      <c r="M971" s="6" t="s">
        <v>109</v>
      </c>
      <c r="N971" s="6" t="s">
        <v>3075</v>
      </c>
      <c r="O971" s="6"/>
      <c r="P971" s="6"/>
    </row>
    <row r="972" customFormat="false" ht="15" hidden="false" customHeight="false" outlineLevel="0" collapsed="false">
      <c r="A972" s="6" t="s">
        <v>3076</v>
      </c>
      <c r="B972" s="6" t="s">
        <v>399</v>
      </c>
      <c r="C972" s="7" t="n">
        <v>44469</v>
      </c>
      <c r="D972" s="6" t="s">
        <v>400</v>
      </c>
      <c r="E972" s="6" t="s">
        <v>2948</v>
      </c>
      <c r="F972" s="6" t="s">
        <v>3064</v>
      </c>
      <c r="G972" s="6" t="s">
        <v>3077</v>
      </c>
      <c r="H972" s="9" t="n">
        <v>-8604</v>
      </c>
      <c r="K972" s="6" t="s">
        <v>384</v>
      </c>
      <c r="L972" s="6" t="s">
        <v>13</v>
      </c>
      <c r="M972" s="6" t="s">
        <v>109</v>
      </c>
      <c r="N972" s="6" t="s">
        <v>3078</v>
      </c>
      <c r="O972" s="6"/>
      <c r="P972" s="6"/>
    </row>
    <row r="973" customFormat="false" ht="15" hidden="false" customHeight="false" outlineLevel="0" collapsed="false">
      <c r="A973" s="6" t="s">
        <v>3079</v>
      </c>
      <c r="B973" s="6" t="s">
        <v>116</v>
      </c>
      <c r="C973" s="7" t="n">
        <v>44561</v>
      </c>
      <c r="D973" s="6" t="s">
        <v>380</v>
      </c>
      <c r="E973" s="6" t="s">
        <v>2948</v>
      </c>
      <c r="F973" s="6" t="s">
        <v>3064</v>
      </c>
      <c r="G973" s="6" t="s">
        <v>3080</v>
      </c>
      <c r="H973" s="9" t="n">
        <v>-2974</v>
      </c>
      <c r="K973" s="6" t="s">
        <v>384</v>
      </c>
      <c r="L973" s="6" t="s">
        <v>13</v>
      </c>
      <c r="M973" s="6" t="s">
        <v>114</v>
      </c>
      <c r="N973" s="6" t="s">
        <v>3081</v>
      </c>
      <c r="O973" s="6"/>
      <c r="P973" s="6"/>
    </row>
    <row r="974" customFormat="false" ht="15" hidden="false" customHeight="false" outlineLevel="0" collapsed="false">
      <c r="A974" s="6" t="s">
        <v>3082</v>
      </c>
      <c r="B974" s="6" t="s">
        <v>212</v>
      </c>
      <c r="C974" s="7" t="n">
        <v>44561</v>
      </c>
      <c r="D974" s="6" t="s">
        <v>407</v>
      </c>
      <c r="E974" s="6" t="s">
        <v>2948</v>
      </c>
      <c r="F974" s="6" t="s">
        <v>3064</v>
      </c>
      <c r="G974" s="6" t="s">
        <v>3083</v>
      </c>
      <c r="H974" s="9" t="n">
        <v>-11578</v>
      </c>
      <c r="K974" s="6" t="s">
        <v>384</v>
      </c>
      <c r="L974" s="6" t="s">
        <v>13</v>
      </c>
      <c r="M974" s="6" t="s">
        <v>114</v>
      </c>
      <c r="N974" s="6" t="s">
        <v>3084</v>
      </c>
      <c r="O974" s="6"/>
      <c r="P974" s="6"/>
    </row>
    <row r="975" customFormat="false" ht="15" hidden="false" customHeight="false" outlineLevel="0" collapsed="false">
      <c r="A975" s="6" t="s">
        <v>3085</v>
      </c>
      <c r="B975" s="6" t="s">
        <v>121</v>
      </c>
      <c r="C975" s="7" t="n">
        <v>44651</v>
      </c>
      <c r="D975" s="6" t="s">
        <v>380</v>
      </c>
      <c r="E975" s="6" t="s">
        <v>2948</v>
      </c>
      <c r="F975" s="6" t="s">
        <v>3064</v>
      </c>
      <c r="G975" s="6" t="s">
        <v>3086</v>
      </c>
      <c r="H975" s="9" t="n">
        <v>-2354</v>
      </c>
      <c r="K975" s="6" t="s">
        <v>384</v>
      </c>
      <c r="L975" s="6" t="s">
        <v>13</v>
      </c>
      <c r="M975" s="6" t="s">
        <v>119</v>
      </c>
      <c r="N975" s="6" t="s">
        <v>3087</v>
      </c>
      <c r="O975" s="6"/>
      <c r="P975" s="6"/>
    </row>
    <row r="976" customFormat="false" ht="15" hidden="false" customHeight="false" outlineLevel="0" collapsed="false">
      <c r="A976" s="6" t="s">
        <v>3088</v>
      </c>
      <c r="B976" s="6" t="s">
        <v>126</v>
      </c>
      <c r="C976" s="7" t="n">
        <v>44742</v>
      </c>
      <c r="D976" s="6" t="s">
        <v>380</v>
      </c>
      <c r="E976" s="6" t="s">
        <v>2948</v>
      </c>
      <c r="F976" s="6" t="s">
        <v>3064</v>
      </c>
      <c r="G976" s="6" t="s">
        <v>3089</v>
      </c>
      <c r="H976" s="9" t="n">
        <v>-4550</v>
      </c>
      <c r="K976" s="6" t="s">
        <v>384</v>
      </c>
      <c r="L976" s="6" t="s">
        <v>13</v>
      </c>
      <c r="M976" s="6" t="s">
        <v>124</v>
      </c>
      <c r="N976" s="6" t="s">
        <v>3090</v>
      </c>
      <c r="O976" s="6"/>
      <c r="P976" s="6"/>
    </row>
    <row r="977" customFormat="false" ht="15" hidden="false" customHeight="false" outlineLevel="0" collapsed="false">
      <c r="A977" s="6" t="s">
        <v>3091</v>
      </c>
      <c r="B977" s="6" t="s">
        <v>417</v>
      </c>
      <c r="C977" s="7" t="n">
        <v>44742</v>
      </c>
      <c r="D977" s="6" t="s">
        <v>392</v>
      </c>
      <c r="E977" s="6" t="s">
        <v>2948</v>
      </c>
      <c r="F977" s="6" t="s">
        <v>3064</v>
      </c>
      <c r="G977" s="6" t="s">
        <v>3092</v>
      </c>
      <c r="H977" s="9" t="n">
        <v>-6904</v>
      </c>
      <c r="K977" s="6" t="s">
        <v>384</v>
      </c>
      <c r="L977" s="6" t="s">
        <v>13</v>
      </c>
      <c r="M977" s="6" t="s">
        <v>124</v>
      </c>
      <c r="N977" s="6" t="s">
        <v>3093</v>
      </c>
      <c r="O977" s="6"/>
      <c r="P977" s="6"/>
    </row>
    <row r="978" customFormat="false" ht="15" hidden="false" customHeight="false" outlineLevel="0" collapsed="false">
      <c r="A978" s="6" t="s">
        <v>3094</v>
      </c>
      <c r="B978" s="6" t="s">
        <v>131</v>
      </c>
      <c r="C978" s="7" t="n">
        <v>44834</v>
      </c>
      <c r="D978" s="6" t="s">
        <v>380</v>
      </c>
      <c r="E978" s="6" t="s">
        <v>2948</v>
      </c>
      <c r="F978" s="6" t="s">
        <v>3064</v>
      </c>
      <c r="G978" s="6" t="s">
        <v>3095</v>
      </c>
      <c r="H978" s="9" t="n">
        <v>-5339</v>
      </c>
      <c r="K978" s="6" t="s">
        <v>384</v>
      </c>
      <c r="L978" s="6" t="s">
        <v>13</v>
      </c>
      <c r="M978" s="6" t="s">
        <v>129</v>
      </c>
      <c r="N978" s="6" t="s">
        <v>3096</v>
      </c>
      <c r="O978" s="6"/>
      <c r="P978" s="6"/>
    </row>
    <row r="979" customFormat="false" ht="15" hidden="false" customHeight="false" outlineLevel="0" collapsed="false">
      <c r="A979" s="6" t="s">
        <v>3097</v>
      </c>
      <c r="B979" s="6" t="s">
        <v>424</v>
      </c>
      <c r="C979" s="7" t="n">
        <v>44834</v>
      </c>
      <c r="D979" s="6" t="s">
        <v>400</v>
      </c>
      <c r="E979" s="6" t="s">
        <v>2948</v>
      </c>
      <c r="F979" s="6" t="s">
        <v>3064</v>
      </c>
      <c r="G979" s="6" t="s">
        <v>3098</v>
      </c>
      <c r="H979" s="9" t="n">
        <v>-12243</v>
      </c>
      <c r="K979" s="6" t="s">
        <v>384</v>
      </c>
      <c r="L979" s="6" t="s">
        <v>13</v>
      </c>
      <c r="M979" s="6" t="s">
        <v>129</v>
      </c>
      <c r="N979" s="6" t="s">
        <v>3099</v>
      </c>
      <c r="O979" s="6"/>
      <c r="P979" s="6"/>
    </row>
    <row r="980" customFormat="false" ht="15" hidden="false" customHeight="false" outlineLevel="0" collapsed="false">
      <c r="A980" s="6" t="s">
        <v>3100</v>
      </c>
      <c r="B980" s="6" t="s">
        <v>136</v>
      </c>
      <c r="C980" s="7" t="n">
        <v>44926</v>
      </c>
      <c r="D980" s="6" t="s">
        <v>380</v>
      </c>
      <c r="E980" s="6" t="s">
        <v>2948</v>
      </c>
      <c r="F980" s="6" t="s">
        <v>3064</v>
      </c>
      <c r="G980" s="6" t="s">
        <v>3101</v>
      </c>
      <c r="H980" s="9" t="n">
        <v>-3760</v>
      </c>
      <c r="K980" s="6" t="s">
        <v>384</v>
      </c>
      <c r="L980" s="6" t="s">
        <v>13</v>
      </c>
      <c r="M980" s="6" t="s">
        <v>134</v>
      </c>
      <c r="N980" s="6" t="s">
        <v>3102</v>
      </c>
      <c r="O980" s="6"/>
      <c r="P980" s="6"/>
    </row>
    <row r="981" customFormat="false" ht="15" hidden="false" customHeight="false" outlineLevel="0" collapsed="false">
      <c r="A981" s="6" t="s">
        <v>3103</v>
      </c>
      <c r="B981" s="6" t="s">
        <v>220</v>
      </c>
      <c r="C981" s="7" t="n">
        <v>44926</v>
      </c>
      <c r="D981" s="6" t="s">
        <v>407</v>
      </c>
      <c r="E981" s="6" t="s">
        <v>2948</v>
      </c>
      <c r="F981" s="6" t="s">
        <v>3064</v>
      </c>
      <c r="G981" s="6" t="s">
        <v>3104</v>
      </c>
      <c r="H981" s="9" t="n">
        <v>-16003</v>
      </c>
      <c r="K981" s="6" t="s">
        <v>384</v>
      </c>
      <c r="L981" s="6" t="s">
        <v>13</v>
      </c>
      <c r="M981" s="6" t="s">
        <v>134</v>
      </c>
      <c r="N981" s="6" t="s">
        <v>3105</v>
      </c>
      <c r="O981" s="6"/>
      <c r="P981" s="6"/>
    </row>
    <row r="982" customFormat="false" ht="15" hidden="false" customHeight="false" outlineLevel="0" collapsed="false">
      <c r="A982" s="6" t="s">
        <v>3106</v>
      </c>
      <c r="B982" s="6" t="s">
        <v>141</v>
      </c>
      <c r="C982" s="7" t="n">
        <v>45016</v>
      </c>
      <c r="D982" s="6" t="s">
        <v>380</v>
      </c>
      <c r="E982" s="6" t="s">
        <v>2948</v>
      </c>
      <c r="F982" s="6" t="s">
        <v>3064</v>
      </c>
      <c r="G982" s="6" t="s">
        <v>3107</v>
      </c>
      <c r="H982" s="9" t="n">
        <v>-3561</v>
      </c>
      <c r="K982" s="6" t="s">
        <v>384</v>
      </c>
      <c r="L982" s="6" t="s">
        <v>13</v>
      </c>
      <c r="M982" s="6" t="s">
        <v>139</v>
      </c>
      <c r="N982" s="6" t="s">
        <v>3108</v>
      </c>
      <c r="O982" s="6"/>
      <c r="P982" s="6"/>
    </row>
    <row r="983" customFormat="false" ht="15" hidden="false" customHeight="false" outlineLevel="0" collapsed="false">
      <c r="A983" s="6" t="s">
        <v>3109</v>
      </c>
      <c r="B983" s="6" t="s">
        <v>146</v>
      </c>
      <c r="C983" s="7" t="n">
        <v>45107</v>
      </c>
      <c r="D983" s="6" t="s">
        <v>380</v>
      </c>
      <c r="E983" s="6" t="s">
        <v>2948</v>
      </c>
      <c r="F983" s="6" t="s">
        <v>3064</v>
      </c>
      <c r="G983" s="6" t="s">
        <v>3110</v>
      </c>
      <c r="H983" s="9" t="n">
        <v>-1123</v>
      </c>
      <c r="K983" s="6" t="s">
        <v>384</v>
      </c>
      <c r="L983" s="6" t="s">
        <v>13</v>
      </c>
      <c r="M983" s="6" t="s">
        <v>144</v>
      </c>
      <c r="N983" s="6" t="s">
        <v>3111</v>
      </c>
      <c r="O983" s="6"/>
      <c r="P983" s="6"/>
    </row>
    <row r="984" customFormat="false" ht="15" hidden="false" customHeight="false" outlineLevel="0" collapsed="false">
      <c r="A984" s="6" t="s">
        <v>3112</v>
      </c>
      <c r="B984" s="6" t="s">
        <v>440</v>
      </c>
      <c r="C984" s="7" t="n">
        <v>45107</v>
      </c>
      <c r="D984" s="6" t="s">
        <v>392</v>
      </c>
      <c r="E984" s="6" t="s">
        <v>2948</v>
      </c>
      <c r="F984" s="6" t="s">
        <v>3064</v>
      </c>
      <c r="G984" s="6" t="s">
        <v>3113</v>
      </c>
      <c r="H984" s="9" t="n">
        <v>-4684</v>
      </c>
      <c r="K984" s="6" t="s">
        <v>384</v>
      </c>
      <c r="L984" s="6" t="s">
        <v>13</v>
      </c>
      <c r="M984" s="6" t="s">
        <v>144</v>
      </c>
      <c r="N984" s="6" t="s">
        <v>3114</v>
      </c>
      <c r="O984" s="6"/>
      <c r="P984" s="6"/>
    </row>
    <row r="985" customFormat="false" ht="15" hidden="false" customHeight="false" outlineLevel="0" collapsed="false">
      <c r="A985" s="6" t="s">
        <v>3115</v>
      </c>
      <c r="B985" s="6" t="s">
        <v>151</v>
      </c>
      <c r="C985" s="7" t="n">
        <v>45199</v>
      </c>
      <c r="D985" s="6" t="s">
        <v>380</v>
      </c>
      <c r="E985" s="6" t="s">
        <v>2948</v>
      </c>
      <c r="F985" s="6" t="s">
        <v>3064</v>
      </c>
      <c r="G985" s="6" t="s">
        <v>3116</v>
      </c>
      <c r="H985" s="9" t="n">
        <v>-779</v>
      </c>
      <c r="K985" s="6" t="s">
        <v>384</v>
      </c>
      <c r="L985" s="6" t="s">
        <v>13</v>
      </c>
      <c r="M985" s="6" t="s">
        <v>149</v>
      </c>
      <c r="N985" s="6" t="s">
        <v>3117</v>
      </c>
      <c r="O985" s="6"/>
      <c r="P985" s="6"/>
    </row>
    <row r="986" customFormat="false" ht="15" hidden="false" customHeight="false" outlineLevel="0" collapsed="false">
      <c r="A986" s="6" t="s">
        <v>3118</v>
      </c>
      <c r="B986" s="6" t="s">
        <v>447</v>
      </c>
      <c r="C986" s="7" t="n">
        <v>45199</v>
      </c>
      <c r="D986" s="6" t="s">
        <v>400</v>
      </c>
      <c r="E986" s="6" t="s">
        <v>2948</v>
      </c>
      <c r="F986" s="6" t="s">
        <v>3064</v>
      </c>
      <c r="G986" s="6" t="s">
        <v>3119</v>
      </c>
      <c r="H986" s="9" t="n">
        <v>-5463</v>
      </c>
      <c r="K986" s="6" t="s">
        <v>384</v>
      </c>
      <c r="L986" s="6" t="s">
        <v>13</v>
      </c>
      <c r="M986" s="6" t="s">
        <v>149</v>
      </c>
      <c r="N986" s="6" t="s">
        <v>3120</v>
      </c>
      <c r="O986" s="6"/>
      <c r="P986" s="6"/>
    </row>
    <row r="987" customFormat="false" ht="15" hidden="false" customHeight="false" outlineLevel="0" collapsed="false">
      <c r="A987" s="6" t="s">
        <v>3121</v>
      </c>
      <c r="B987" s="6" t="s">
        <v>156</v>
      </c>
      <c r="C987" s="7" t="n">
        <v>45291</v>
      </c>
      <c r="D987" s="6" t="s">
        <v>380</v>
      </c>
      <c r="E987" s="6" t="s">
        <v>2948</v>
      </c>
      <c r="F987" s="6" t="s">
        <v>3064</v>
      </c>
      <c r="G987" s="6" t="s">
        <v>3122</v>
      </c>
      <c r="H987" s="9" t="n">
        <v>-2438</v>
      </c>
      <c r="K987" s="6" t="s">
        <v>384</v>
      </c>
      <c r="L987" s="6" t="s">
        <v>13</v>
      </c>
      <c r="M987" s="6" t="s">
        <v>154</v>
      </c>
      <c r="N987" s="6" t="s">
        <v>3123</v>
      </c>
      <c r="O987" s="6"/>
      <c r="P987" s="6"/>
    </row>
    <row r="988" customFormat="false" ht="15" hidden="false" customHeight="false" outlineLevel="0" collapsed="false">
      <c r="A988" s="6" t="s">
        <v>3124</v>
      </c>
      <c r="B988" s="6" t="s">
        <v>225</v>
      </c>
      <c r="C988" s="7" t="n">
        <v>45291</v>
      </c>
      <c r="D988" s="6" t="s">
        <v>407</v>
      </c>
      <c r="E988" s="6" t="s">
        <v>2948</v>
      </c>
      <c r="F988" s="6" t="s">
        <v>3064</v>
      </c>
      <c r="G988" s="6" t="s">
        <v>3125</v>
      </c>
      <c r="H988" s="9" t="n">
        <v>-7901</v>
      </c>
      <c r="K988" s="6" t="s">
        <v>384</v>
      </c>
      <c r="L988" s="6" t="s">
        <v>13</v>
      </c>
      <c r="M988" s="6" t="s">
        <v>154</v>
      </c>
      <c r="N988" s="6" t="s">
        <v>3126</v>
      </c>
      <c r="O988" s="6"/>
      <c r="P988" s="6"/>
    </row>
    <row r="989" customFormat="false" ht="15" hidden="false" customHeight="false" outlineLevel="0" collapsed="false">
      <c r="A989" s="6" t="s">
        <v>3127</v>
      </c>
      <c r="B989" s="6" t="s">
        <v>161</v>
      </c>
      <c r="C989" s="7" t="n">
        <v>45382</v>
      </c>
      <c r="D989" s="6" t="s">
        <v>380</v>
      </c>
      <c r="E989" s="6" t="s">
        <v>2948</v>
      </c>
      <c r="F989" s="6" t="s">
        <v>3064</v>
      </c>
      <c r="G989" s="6" t="s">
        <v>3128</v>
      </c>
      <c r="H989" s="9" t="n">
        <v>-1460</v>
      </c>
      <c r="K989" s="6" t="s">
        <v>384</v>
      </c>
      <c r="L989" s="6" t="s">
        <v>13</v>
      </c>
      <c r="M989" s="6" t="s">
        <v>159</v>
      </c>
      <c r="N989" s="6" t="s">
        <v>3129</v>
      </c>
      <c r="O989" s="6"/>
      <c r="P989" s="6"/>
    </row>
    <row r="990" customFormat="false" ht="15" hidden="false" customHeight="false" outlineLevel="0" collapsed="false">
      <c r="A990" s="6" t="s">
        <v>3130</v>
      </c>
      <c r="B990" s="6" t="s">
        <v>166</v>
      </c>
      <c r="C990" s="7" t="n">
        <v>45473</v>
      </c>
      <c r="D990" s="6" t="s">
        <v>380</v>
      </c>
      <c r="E990" s="6" t="s">
        <v>2948</v>
      </c>
      <c r="F990" s="6" t="s">
        <v>3064</v>
      </c>
      <c r="G990" s="6" t="s">
        <v>3131</v>
      </c>
      <c r="H990" s="9" t="n">
        <v>-4504</v>
      </c>
      <c r="K990" s="6" t="s">
        <v>384</v>
      </c>
      <c r="L990" s="6" t="s">
        <v>13</v>
      </c>
      <c r="M990" s="6" t="s">
        <v>164</v>
      </c>
      <c r="N990" s="6" t="s">
        <v>3132</v>
      </c>
      <c r="O990" s="6"/>
      <c r="P990" s="6"/>
    </row>
    <row r="991" customFormat="false" ht="15" hidden="false" customHeight="false" outlineLevel="0" collapsed="false">
      <c r="A991" s="6" t="s">
        <v>3133</v>
      </c>
      <c r="B991" s="6" t="s">
        <v>241</v>
      </c>
      <c r="C991" s="7" t="n">
        <v>45473</v>
      </c>
      <c r="D991" s="6" t="s">
        <v>392</v>
      </c>
      <c r="E991" s="6" t="s">
        <v>2948</v>
      </c>
      <c r="F991" s="6" t="s">
        <v>3064</v>
      </c>
      <c r="G991" s="6" t="s">
        <v>3134</v>
      </c>
      <c r="H991" s="9" t="n">
        <v>-5964</v>
      </c>
      <c r="K991" s="6" t="s">
        <v>384</v>
      </c>
      <c r="L991" s="6" t="s">
        <v>13</v>
      </c>
      <c r="M991" s="6" t="s">
        <v>164</v>
      </c>
      <c r="N991" s="6" t="s">
        <v>3135</v>
      </c>
      <c r="O991" s="6"/>
      <c r="P991" s="6"/>
    </row>
    <row r="992" customFormat="false" ht="15" hidden="false" customHeight="false" outlineLevel="0" collapsed="false">
      <c r="A992" s="6" t="s">
        <v>3136</v>
      </c>
      <c r="B992" s="6" t="s">
        <v>171</v>
      </c>
      <c r="C992" s="7" t="n">
        <v>45565</v>
      </c>
      <c r="D992" s="6" t="s">
        <v>380</v>
      </c>
      <c r="E992" s="6" t="s">
        <v>2948</v>
      </c>
      <c r="F992" s="6" t="s">
        <v>3064</v>
      </c>
      <c r="G992" s="6" t="s">
        <v>3137</v>
      </c>
      <c r="H992" s="9" t="n">
        <v>-3800</v>
      </c>
      <c r="K992" s="6" t="s">
        <v>384</v>
      </c>
      <c r="L992" s="6" t="s">
        <v>13</v>
      </c>
      <c r="M992" s="6" t="s">
        <v>169</v>
      </c>
      <c r="N992" s="6" t="s">
        <v>3138</v>
      </c>
      <c r="O992" s="6"/>
      <c r="P992" s="6"/>
    </row>
    <row r="993" customFormat="false" ht="15" hidden="false" customHeight="false" outlineLevel="0" collapsed="false">
      <c r="A993" s="6" t="s">
        <v>3139</v>
      </c>
      <c r="B993" s="6" t="s">
        <v>469</v>
      </c>
      <c r="C993" s="7" t="n">
        <v>45565</v>
      </c>
      <c r="D993" s="6" t="s">
        <v>400</v>
      </c>
      <c r="E993" s="6" t="s">
        <v>2948</v>
      </c>
      <c r="F993" s="6" t="s">
        <v>3064</v>
      </c>
      <c r="G993" s="6" t="s">
        <v>3140</v>
      </c>
      <c r="H993" s="9" t="n">
        <v>-9764</v>
      </c>
      <c r="K993" s="6" t="s">
        <v>384</v>
      </c>
      <c r="L993" s="6" t="s">
        <v>13</v>
      </c>
      <c r="M993" s="6" t="s">
        <v>169</v>
      </c>
      <c r="N993" s="6" t="s">
        <v>3141</v>
      </c>
      <c r="O993" s="6"/>
      <c r="P993" s="6"/>
    </row>
    <row r="994" customFormat="false" ht="15" hidden="false" customHeight="false" outlineLevel="0" collapsed="false">
      <c r="A994" s="6" t="s">
        <v>3142</v>
      </c>
      <c r="B994" s="6" t="s">
        <v>176</v>
      </c>
      <c r="C994" s="7" t="n">
        <v>45657</v>
      </c>
      <c r="D994" s="6" t="s">
        <v>380</v>
      </c>
      <c r="E994" s="6" t="s">
        <v>2948</v>
      </c>
      <c r="F994" s="6" t="s">
        <v>3064</v>
      </c>
      <c r="G994" s="6" t="s">
        <v>3143</v>
      </c>
      <c r="H994" s="9" t="n">
        <v>-3447</v>
      </c>
      <c r="K994" s="6" t="s">
        <v>384</v>
      </c>
      <c r="L994" s="6" t="s">
        <v>13</v>
      </c>
      <c r="M994" s="6" t="s">
        <v>174</v>
      </c>
      <c r="N994" s="6" t="s">
        <v>3144</v>
      </c>
      <c r="O994" s="6"/>
      <c r="P994" s="6"/>
    </row>
    <row r="995" customFormat="false" ht="15" hidden="false" customHeight="false" outlineLevel="0" collapsed="false">
      <c r="A995" s="6" t="s">
        <v>3145</v>
      </c>
      <c r="B995" s="6" t="s">
        <v>230</v>
      </c>
      <c r="C995" s="7" t="n">
        <v>45657</v>
      </c>
      <c r="D995" s="6" t="s">
        <v>407</v>
      </c>
      <c r="E995" s="6" t="s">
        <v>2948</v>
      </c>
      <c r="F995" s="6" t="s">
        <v>3064</v>
      </c>
      <c r="G995" s="6" t="s">
        <v>3146</v>
      </c>
      <c r="H995" s="9" t="n">
        <v>-13211</v>
      </c>
      <c r="K995" s="6" t="s">
        <v>384</v>
      </c>
      <c r="L995" s="6" t="s">
        <v>13</v>
      </c>
      <c r="M995" s="6" t="s">
        <v>174</v>
      </c>
      <c r="N995" s="6" t="s">
        <v>3147</v>
      </c>
      <c r="O995" s="6"/>
      <c r="P995" s="6"/>
    </row>
    <row r="996" customFormat="false" ht="15" hidden="false" customHeight="false" outlineLevel="0" collapsed="false">
      <c r="A996" s="6" t="s">
        <v>3148</v>
      </c>
      <c r="B996" s="6" t="s">
        <v>181</v>
      </c>
      <c r="C996" s="7" t="n">
        <v>45747</v>
      </c>
      <c r="D996" s="6" t="s">
        <v>380</v>
      </c>
      <c r="E996" s="6" t="s">
        <v>2948</v>
      </c>
      <c r="F996" s="6" t="s">
        <v>3064</v>
      </c>
      <c r="G996" s="6" t="s">
        <v>3149</v>
      </c>
      <c r="H996" s="9" t="n">
        <v>-3687</v>
      </c>
      <c r="K996" s="6" t="s">
        <v>384</v>
      </c>
      <c r="L996" s="6" t="s">
        <v>13</v>
      </c>
      <c r="M996" s="6" t="s">
        <v>179</v>
      </c>
      <c r="N996" s="6" t="s">
        <v>3150</v>
      </c>
      <c r="O996" s="6"/>
      <c r="P996" s="6"/>
    </row>
    <row r="997" customFormat="false" ht="15" hidden="false" customHeight="false" outlineLevel="0" collapsed="false">
      <c r="A997" s="6" t="s">
        <v>3151</v>
      </c>
      <c r="B997" s="6" t="s">
        <v>186</v>
      </c>
      <c r="C997" s="7" t="n">
        <v>45838</v>
      </c>
      <c r="D997" s="6" t="s">
        <v>380</v>
      </c>
      <c r="E997" s="6" t="s">
        <v>2948</v>
      </c>
      <c r="F997" s="6" t="s">
        <v>3064</v>
      </c>
      <c r="G997" s="6" t="s">
        <v>3152</v>
      </c>
      <c r="H997" s="9" t="n">
        <v>-5884</v>
      </c>
      <c r="K997" s="6" t="s">
        <v>384</v>
      </c>
      <c r="L997" s="6" t="s">
        <v>13</v>
      </c>
      <c r="M997" s="6" t="s">
        <v>184</v>
      </c>
      <c r="N997" s="6" t="s">
        <v>3153</v>
      </c>
      <c r="O997" s="6"/>
      <c r="P997" s="6"/>
    </row>
    <row r="998" customFormat="false" ht="15" hidden="false" customHeight="false" outlineLevel="0" collapsed="false">
      <c r="A998" s="6" t="s">
        <v>3154</v>
      </c>
      <c r="B998" s="6" t="s">
        <v>255</v>
      </c>
      <c r="C998" s="7" t="n">
        <v>45838</v>
      </c>
      <c r="D998" s="6" t="s">
        <v>392</v>
      </c>
      <c r="E998" s="6" t="s">
        <v>2948</v>
      </c>
      <c r="F998" s="6" t="s">
        <v>3064</v>
      </c>
      <c r="G998" s="6" t="s">
        <v>3155</v>
      </c>
      <c r="H998" s="9" t="n">
        <v>-9571</v>
      </c>
      <c r="K998" s="6" t="s">
        <v>384</v>
      </c>
      <c r="L998" s="6" t="s">
        <v>13</v>
      </c>
      <c r="M998" s="6" t="s">
        <v>184</v>
      </c>
      <c r="N998" s="6" t="s">
        <v>3156</v>
      </c>
      <c r="O998" s="6"/>
      <c r="P998" s="6"/>
    </row>
    <row r="999" customFormat="false" ht="15" hidden="false" customHeight="false" outlineLevel="0" collapsed="false">
      <c r="A999" s="6" t="s">
        <v>3157</v>
      </c>
      <c r="B999" s="6" t="s">
        <v>191</v>
      </c>
      <c r="C999" s="7" t="n">
        <v>45930</v>
      </c>
      <c r="D999" s="6" t="s">
        <v>380</v>
      </c>
      <c r="E999" s="6" t="s">
        <v>2948</v>
      </c>
      <c r="F999" s="6" t="s">
        <v>3064</v>
      </c>
      <c r="G999" s="6" t="s">
        <v>3158</v>
      </c>
      <c r="H999" s="9" t="n">
        <v>-3984</v>
      </c>
      <c r="K999" s="6" t="s">
        <v>384</v>
      </c>
      <c r="L999" s="6" t="s">
        <v>13</v>
      </c>
      <c r="M999" s="6" t="s">
        <v>189</v>
      </c>
      <c r="N999" s="6" t="s">
        <v>3159</v>
      </c>
      <c r="O999" s="6"/>
      <c r="P999" s="6"/>
    </row>
    <row r="1000" customFormat="false" ht="15" hidden="false" customHeight="false" outlineLevel="0" collapsed="false">
      <c r="A1000" s="6" t="s">
        <v>3160</v>
      </c>
      <c r="B1000" s="6" t="s">
        <v>491</v>
      </c>
      <c r="C1000" s="7" t="n">
        <v>45930</v>
      </c>
      <c r="D1000" s="6" t="s">
        <v>400</v>
      </c>
      <c r="E1000" s="6" t="s">
        <v>2948</v>
      </c>
      <c r="F1000" s="6" t="s">
        <v>3064</v>
      </c>
      <c r="G1000" s="6" t="s">
        <v>3161</v>
      </c>
      <c r="H1000" s="9" t="n">
        <v>-13555</v>
      </c>
      <c r="K1000" s="6" t="s">
        <v>384</v>
      </c>
      <c r="L1000" s="6" t="s">
        <v>13</v>
      </c>
      <c r="M1000" s="6" t="s">
        <v>189</v>
      </c>
      <c r="N1000" s="6" t="s">
        <v>3162</v>
      </c>
      <c r="O1000" s="6"/>
      <c r="P1000" s="6"/>
    </row>
    <row r="1001" customFormat="false" ht="15" hidden="false" customHeight="false" outlineLevel="0" collapsed="false">
      <c r="A1001" s="6" t="s">
        <v>3163</v>
      </c>
      <c r="B1001" s="6" t="s">
        <v>196</v>
      </c>
      <c r="C1001" s="7" t="n">
        <v>46022</v>
      </c>
      <c r="D1001" s="6" t="s">
        <v>380</v>
      </c>
      <c r="E1001" s="6" t="s">
        <v>2948</v>
      </c>
      <c r="F1001" s="6" t="s">
        <v>3064</v>
      </c>
      <c r="G1001" s="6" t="s">
        <v>3164</v>
      </c>
      <c r="H1001" s="9" t="n">
        <v>-6807</v>
      </c>
      <c r="K1001" s="6" t="s">
        <v>384</v>
      </c>
      <c r="L1001" s="6" t="s">
        <v>13</v>
      </c>
      <c r="M1001" s="6" t="s">
        <v>194</v>
      </c>
      <c r="N1001" s="6" t="s">
        <v>3165</v>
      </c>
      <c r="O1001" s="6"/>
      <c r="P1001" s="6"/>
    </row>
    <row r="1002" customFormat="false" ht="15" hidden="false" customHeight="false" outlineLevel="0" collapsed="false">
      <c r="A1002" s="6" t="s">
        <v>3166</v>
      </c>
      <c r="B1002" s="6" t="s">
        <v>235</v>
      </c>
      <c r="C1002" s="7" t="n">
        <v>46022</v>
      </c>
      <c r="D1002" s="6" t="s">
        <v>407</v>
      </c>
      <c r="E1002" s="6" t="s">
        <v>2948</v>
      </c>
      <c r="F1002" s="6" t="s">
        <v>3064</v>
      </c>
      <c r="G1002" s="6" t="s">
        <v>3167</v>
      </c>
      <c r="H1002" s="9" t="n">
        <v>-20362</v>
      </c>
      <c r="K1002" s="6" t="s">
        <v>384</v>
      </c>
      <c r="L1002" s="6" t="s">
        <v>13</v>
      </c>
      <c r="M1002" s="6" t="s">
        <v>194</v>
      </c>
      <c r="N1002" s="6" t="s">
        <v>3168</v>
      </c>
      <c r="O1002" s="6"/>
      <c r="P1002" s="6"/>
    </row>
    <row r="1003" customFormat="false" ht="15" hidden="false" customHeight="false" outlineLevel="0" collapsed="false">
      <c r="A1003" s="6" t="s">
        <v>3169</v>
      </c>
      <c r="B1003" s="6" t="s">
        <v>201</v>
      </c>
      <c r="C1003" s="7" t="n">
        <v>46112</v>
      </c>
      <c r="D1003" s="6" t="s">
        <v>380</v>
      </c>
      <c r="E1003" s="6" t="s">
        <v>2948</v>
      </c>
      <c r="F1003" s="6" t="s">
        <v>3064</v>
      </c>
      <c r="G1003" s="6" t="s">
        <v>3170</v>
      </c>
      <c r="H1003" s="9" t="n">
        <v>-2447</v>
      </c>
      <c r="K1003" s="6" t="s">
        <v>384</v>
      </c>
      <c r="L1003" s="6" t="s">
        <v>13</v>
      </c>
      <c r="M1003" s="6" t="s">
        <v>199</v>
      </c>
      <c r="N1003" s="6" t="s">
        <v>3171</v>
      </c>
      <c r="O1003" s="6"/>
      <c r="P1003" s="6"/>
    </row>
    <row r="1004" customFormat="false" ht="15" hidden="false" customHeight="false" outlineLevel="0" collapsed="false">
      <c r="A1004" s="6" t="s">
        <v>3172</v>
      </c>
      <c r="B1004" s="6" t="s">
        <v>206</v>
      </c>
      <c r="C1004" s="7" t="n">
        <v>46203</v>
      </c>
      <c r="D1004" s="6" t="s">
        <v>380</v>
      </c>
      <c r="E1004" s="6" t="s">
        <v>2948</v>
      </c>
      <c r="F1004" s="6" t="s">
        <v>3064</v>
      </c>
      <c r="G1004" s="6" t="s">
        <v>3173</v>
      </c>
      <c r="H1004" s="9" t="n">
        <v>-3790</v>
      </c>
      <c r="K1004" s="6" t="s">
        <v>384</v>
      </c>
      <c r="L1004" s="6" t="s">
        <v>13</v>
      </c>
      <c r="M1004" s="6" t="s">
        <v>204</v>
      </c>
      <c r="N1004" s="6" t="s">
        <v>3174</v>
      </c>
      <c r="O1004" s="6"/>
      <c r="P1004" s="6"/>
    </row>
    <row r="1005" customFormat="false" ht="15" hidden="false" customHeight="false" outlineLevel="0" collapsed="false">
      <c r="A1005" s="6" t="s">
        <v>3175</v>
      </c>
      <c r="B1005" s="6" t="s">
        <v>263</v>
      </c>
      <c r="C1005" s="7" t="n">
        <v>46203</v>
      </c>
      <c r="D1005" s="6" t="s">
        <v>392</v>
      </c>
      <c r="E1005" s="6" t="s">
        <v>2948</v>
      </c>
      <c r="F1005" s="6" t="s">
        <v>3064</v>
      </c>
      <c r="G1005" s="6" t="s">
        <v>3176</v>
      </c>
      <c r="H1005" s="9" t="n">
        <v>-6237</v>
      </c>
      <c r="K1005" s="6" t="s">
        <v>384</v>
      </c>
      <c r="L1005" s="6" t="s">
        <v>13</v>
      </c>
      <c r="M1005" s="6" t="s">
        <v>204</v>
      </c>
      <c r="N1005" s="6" t="s">
        <v>3177</v>
      </c>
      <c r="O1005" s="6"/>
      <c r="P1005" s="6"/>
    </row>
    <row r="1006" customFormat="false" ht="15" hidden="false" customHeight="false" outlineLevel="0" collapsed="false">
      <c r="A1006" s="6" t="s">
        <v>3178</v>
      </c>
      <c r="B1006" s="6" t="s">
        <v>379</v>
      </c>
      <c r="C1006" s="7" t="n">
        <v>44286</v>
      </c>
      <c r="D1006" s="6" t="s">
        <v>380</v>
      </c>
      <c r="E1006" s="6" t="s">
        <v>2948</v>
      </c>
      <c r="F1006" s="6" t="s">
        <v>3179</v>
      </c>
      <c r="G1006" s="6" t="s">
        <v>3180</v>
      </c>
      <c r="H1006" s="9" t="n">
        <v>-440</v>
      </c>
      <c r="K1006" s="6" t="s">
        <v>384</v>
      </c>
      <c r="L1006" s="6" t="s">
        <v>13</v>
      </c>
      <c r="M1006" s="6" t="s">
        <v>119</v>
      </c>
      <c r="N1006" s="6" t="s">
        <v>3181</v>
      </c>
      <c r="O1006" s="6"/>
      <c r="P1006" s="6" t="s">
        <v>386</v>
      </c>
    </row>
    <row r="1007" customFormat="false" ht="15" hidden="false" customHeight="false" outlineLevel="0" collapsed="false">
      <c r="A1007" s="6" t="s">
        <v>3182</v>
      </c>
      <c r="B1007" s="6" t="s">
        <v>103</v>
      </c>
      <c r="C1007" s="7" t="n">
        <v>44377</v>
      </c>
      <c r="D1007" s="6" t="s">
        <v>380</v>
      </c>
      <c r="E1007" s="6" t="s">
        <v>2948</v>
      </c>
      <c r="F1007" s="6" t="s">
        <v>3179</v>
      </c>
      <c r="G1007" s="6" t="s">
        <v>3183</v>
      </c>
      <c r="H1007" s="9" t="n">
        <v>-718</v>
      </c>
      <c r="K1007" s="6" t="s">
        <v>384</v>
      </c>
      <c r="L1007" s="6" t="s">
        <v>13</v>
      </c>
      <c r="M1007" s="6" t="s">
        <v>100</v>
      </c>
      <c r="N1007" s="6" t="s">
        <v>3184</v>
      </c>
      <c r="O1007" s="6"/>
      <c r="P1007" s="6"/>
    </row>
    <row r="1008" customFormat="false" ht="15" hidden="false" customHeight="false" outlineLevel="0" collapsed="false">
      <c r="A1008" s="6" t="s">
        <v>3185</v>
      </c>
      <c r="B1008" s="6" t="s">
        <v>391</v>
      </c>
      <c r="C1008" s="7" t="n">
        <v>44377</v>
      </c>
      <c r="D1008" s="6" t="s">
        <v>392</v>
      </c>
      <c r="E1008" s="6" t="s">
        <v>2948</v>
      </c>
      <c r="F1008" s="6" t="s">
        <v>3179</v>
      </c>
      <c r="G1008" s="6" t="s">
        <v>3186</v>
      </c>
      <c r="H1008" s="9" t="n">
        <v>-1158</v>
      </c>
      <c r="K1008" s="6" t="s">
        <v>384</v>
      </c>
      <c r="L1008" s="6" t="s">
        <v>13</v>
      </c>
      <c r="M1008" s="6" t="s">
        <v>100</v>
      </c>
      <c r="N1008" s="6" t="s">
        <v>3187</v>
      </c>
      <c r="O1008" s="6"/>
      <c r="P1008" s="6"/>
    </row>
    <row r="1009" customFormat="false" ht="15" hidden="false" customHeight="false" outlineLevel="0" collapsed="false">
      <c r="A1009" s="6" t="s">
        <v>3188</v>
      </c>
      <c r="B1009" s="6" t="s">
        <v>111</v>
      </c>
      <c r="C1009" s="7" t="n">
        <v>44469</v>
      </c>
      <c r="D1009" s="6" t="s">
        <v>380</v>
      </c>
      <c r="E1009" s="6" t="s">
        <v>2948</v>
      </c>
      <c r="F1009" s="6" t="s">
        <v>3179</v>
      </c>
      <c r="G1009" s="6" t="s">
        <v>3189</v>
      </c>
      <c r="H1009" s="9" t="n">
        <v>-590</v>
      </c>
      <c r="K1009" s="6" t="s">
        <v>384</v>
      </c>
      <c r="L1009" s="6" t="s">
        <v>13</v>
      </c>
      <c r="M1009" s="6" t="s">
        <v>109</v>
      </c>
      <c r="N1009" s="6" t="s">
        <v>3190</v>
      </c>
      <c r="O1009" s="6"/>
      <c r="P1009" s="6"/>
    </row>
    <row r="1010" customFormat="false" ht="15" hidden="false" customHeight="false" outlineLevel="0" collapsed="false">
      <c r="A1010" s="6" t="s">
        <v>3191</v>
      </c>
      <c r="B1010" s="6" t="s">
        <v>399</v>
      </c>
      <c r="C1010" s="7" t="n">
        <v>44469</v>
      </c>
      <c r="D1010" s="6" t="s">
        <v>400</v>
      </c>
      <c r="E1010" s="6" t="s">
        <v>2948</v>
      </c>
      <c r="F1010" s="6" t="s">
        <v>3179</v>
      </c>
      <c r="G1010" s="6" t="s">
        <v>1392</v>
      </c>
      <c r="H1010" s="9" t="n">
        <v>-1748</v>
      </c>
      <c r="K1010" s="6" t="s">
        <v>384</v>
      </c>
      <c r="L1010" s="6" t="s">
        <v>13</v>
      </c>
      <c r="M1010" s="6" t="s">
        <v>109</v>
      </c>
      <c r="N1010" s="6" t="s">
        <v>3192</v>
      </c>
      <c r="O1010" s="6"/>
      <c r="P1010" s="6"/>
    </row>
    <row r="1011" customFormat="false" ht="15" hidden="false" customHeight="false" outlineLevel="0" collapsed="false">
      <c r="A1011" s="6" t="s">
        <v>3193</v>
      </c>
      <c r="B1011" s="6" t="s">
        <v>116</v>
      </c>
      <c r="C1011" s="7" t="n">
        <v>44561</v>
      </c>
      <c r="D1011" s="6" t="s">
        <v>380</v>
      </c>
      <c r="E1011" s="6" t="s">
        <v>2948</v>
      </c>
      <c r="F1011" s="6" t="s">
        <v>3179</v>
      </c>
      <c r="G1011" s="6" t="s">
        <v>3194</v>
      </c>
      <c r="H1011" s="9" t="n">
        <v>-432</v>
      </c>
      <c r="K1011" s="6" t="s">
        <v>384</v>
      </c>
      <c r="L1011" s="6" t="s">
        <v>13</v>
      </c>
      <c r="M1011" s="6" t="s">
        <v>114</v>
      </c>
      <c r="N1011" s="6" t="s">
        <v>3195</v>
      </c>
      <c r="O1011" s="6"/>
      <c r="P1011" s="6"/>
    </row>
    <row r="1012" customFormat="false" ht="15" hidden="false" customHeight="false" outlineLevel="0" collapsed="false">
      <c r="A1012" s="6" t="s">
        <v>3196</v>
      </c>
      <c r="B1012" s="6" t="s">
        <v>212</v>
      </c>
      <c r="C1012" s="7" t="n">
        <v>44561</v>
      </c>
      <c r="D1012" s="6" t="s">
        <v>407</v>
      </c>
      <c r="E1012" s="6" t="s">
        <v>2948</v>
      </c>
      <c r="F1012" s="6" t="s">
        <v>3179</v>
      </c>
      <c r="G1012" s="6" t="s">
        <v>3197</v>
      </c>
      <c r="H1012" s="9" t="n">
        <v>-2180</v>
      </c>
      <c r="K1012" s="6" t="s">
        <v>384</v>
      </c>
      <c r="L1012" s="6" t="s">
        <v>13</v>
      </c>
      <c r="M1012" s="6" t="s">
        <v>114</v>
      </c>
      <c r="N1012" s="6" t="s">
        <v>3198</v>
      </c>
      <c r="O1012" s="6"/>
      <c r="P1012" s="6"/>
    </row>
    <row r="1013" customFormat="false" ht="15" hidden="false" customHeight="false" outlineLevel="0" collapsed="false">
      <c r="A1013" s="6" t="s">
        <v>3199</v>
      </c>
      <c r="B1013" s="6" t="s">
        <v>121</v>
      </c>
      <c r="C1013" s="7" t="n">
        <v>44651</v>
      </c>
      <c r="D1013" s="6" t="s">
        <v>380</v>
      </c>
      <c r="E1013" s="6" t="s">
        <v>2948</v>
      </c>
      <c r="F1013" s="6" t="s">
        <v>3179</v>
      </c>
      <c r="G1013" s="6" t="s">
        <v>3200</v>
      </c>
      <c r="H1013" s="9" t="n">
        <v>-926</v>
      </c>
      <c r="K1013" s="6" t="s">
        <v>384</v>
      </c>
      <c r="L1013" s="6" t="s">
        <v>13</v>
      </c>
      <c r="M1013" s="6" t="s">
        <v>119</v>
      </c>
      <c r="N1013" s="6" t="s">
        <v>3201</v>
      </c>
      <c r="O1013" s="6"/>
      <c r="P1013" s="6"/>
    </row>
    <row r="1014" customFormat="false" ht="15" hidden="false" customHeight="false" outlineLevel="0" collapsed="false">
      <c r="A1014" s="6" t="s">
        <v>3202</v>
      </c>
      <c r="B1014" s="6" t="s">
        <v>126</v>
      </c>
      <c r="C1014" s="7" t="n">
        <v>44742</v>
      </c>
      <c r="D1014" s="6" t="s">
        <v>380</v>
      </c>
      <c r="E1014" s="6" t="s">
        <v>2948</v>
      </c>
      <c r="F1014" s="6" t="s">
        <v>3179</v>
      </c>
      <c r="G1014" s="6" t="s">
        <v>3203</v>
      </c>
      <c r="H1014" s="9" t="n">
        <v>-684</v>
      </c>
      <c r="K1014" s="6" t="s">
        <v>384</v>
      </c>
      <c r="L1014" s="6" t="s">
        <v>13</v>
      </c>
      <c r="M1014" s="6" t="s">
        <v>124</v>
      </c>
      <c r="N1014" s="6" t="s">
        <v>3204</v>
      </c>
      <c r="O1014" s="6"/>
      <c r="P1014" s="6"/>
    </row>
    <row r="1015" customFormat="false" ht="15" hidden="false" customHeight="false" outlineLevel="0" collapsed="false">
      <c r="A1015" s="6" t="s">
        <v>3205</v>
      </c>
      <c r="B1015" s="6" t="s">
        <v>417</v>
      </c>
      <c r="C1015" s="7" t="n">
        <v>44742</v>
      </c>
      <c r="D1015" s="6" t="s">
        <v>392</v>
      </c>
      <c r="E1015" s="6" t="s">
        <v>2948</v>
      </c>
      <c r="F1015" s="6" t="s">
        <v>3179</v>
      </c>
      <c r="G1015" s="6" t="s">
        <v>3206</v>
      </c>
      <c r="H1015" s="9" t="n">
        <v>-1610</v>
      </c>
      <c r="K1015" s="6" t="s">
        <v>384</v>
      </c>
      <c r="L1015" s="6" t="s">
        <v>13</v>
      </c>
      <c r="M1015" s="6" t="s">
        <v>124</v>
      </c>
      <c r="N1015" s="6" t="s">
        <v>3207</v>
      </c>
      <c r="O1015" s="6"/>
      <c r="P1015" s="6"/>
    </row>
    <row r="1016" customFormat="false" ht="15" hidden="false" customHeight="false" outlineLevel="0" collapsed="false">
      <c r="A1016" s="6" t="s">
        <v>3208</v>
      </c>
      <c r="B1016" s="6" t="s">
        <v>131</v>
      </c>
      <c r="C1016" s="7" t="n">
        <v>44834</v>
      </c>
      <c r="D1016" s="6" t="s">
        <v>380</v>
      </c>
      <c r="E1016" s="6" t="s">
        <v>2948</v>
      </c>
      <c r="F1016" s="6" t="s">
        <v>3179</v>
      </c>
      <c r="G1016" s="6" t="s">
        <v>3209</v>
      </c>
      <c r="H1016" s="9" t="n">
        <v>-732</v>
      </c>
      <c r="K1016" s="6" t="s">
        <v>384</v>
      </c>
      <c r="L1016" s="6" t="s">
        <v>13</v>
      </c>
      <c r="M1016" s="6" t="s">
        <v>129</v>
      </c>
      <c r="N1016" s="6" t="s">
        <v>3210</v>
      </c>
      <c r="O1016" s="6"/>
      <c r="P1016" s="6"/>
    </row>
    <row r="1017" customFormat="false" ht="15" hidden="false" customHeight="false" outlineLevel="0" collapsed="false">
      <c r="A1017" s="6" t="s">
        <v>3211</v>
      </c>
      <c r="B1017" s="6" t="s">
        <v>424</v>
      </c>
      <c r="C1017" s="7" t="n">
        <v>44834</v>
      </c>
      <c r="D1017" s="6" t="s">
        <v>400</v>
      </c>
      <c r="E1017" s="6" t="s">
        <v>2948</v>
      </c>
      <c r="F1017" s="6" t="s">
        <v>3179</v>
      </c>
      <c r="G1017" s="6" t="s">
        <v>3212</v>
      </c>
      <c r="H1017" s="9" t="n">
        <v>-2342</v>
      </c>
      <c r="K1017" s="6" t="s">
        <v>384</v>
      </c>
      <c r="L1017" s="6" t="s">
        <v>13</v>
      </c>
      <c r="M1017" s="6" t="s">
        <v>129</v>
      </c>
      <c r="N1017" s="6" t="s">
        <v>3213</v>
      </c>
      <c r="O1017" s="6"/>
      <c r="P1017" s="6"/>
    </row>
    <row r="1018" customFormat="false" ht="15" hidden="false" customHeight="false" outlineLevel="0" collapsed="false">
      <c r="A1018" s="6" t="s">
        <v>3214</v>
      </c>
      <c r="B1018" s="6" t="s">
        <v>136</v>
      </c>
      <c r="C1018" s="7" t="n">
        <v>44926</v>
      </c>
      <c r="D1018" s="6" t="s">
        <v>380</v>
      </c>
      <c r="E1018" s="6" t="s">
        <v>2948</v>
      </c>
      <c r="F1018" s="6" t="s">
        <v>3179</v>
      </c>
      <c r="G1018" s="6" t="s">
        <v>3215</v>
      </c>
      <c r="H1018" s="9" t="n">
        <v>-656</v>
      </c>
      <c r="K1018" s="6" t="s">
        <v>384</v>
      </c>
      <c r="L1018" s="6" t="s">
        <v>13</v>
      </c>
      <c r="M1018" s="6" t="s">
        <v>134</v>
      </c>
      <c r="N1018" s="6" t="s">
        <v>3216</v>
      </c>
      <c r="O1018" s="6"/>
      <c r="P1018" s="6"/>
    </row>
    <row r="1019" customFormat="false" ht="15" hidden="false" customHeight="false" outlineLevel="0" collapsed="false">
      <c r="A1019" s="6" t="s">
        <v>3217</v>
      </c>
      <c r="B1019" s="6" t="s">
        <v>220</v>
      </c>
      <c r="C1019" s="7" t="n">
        <v>44926</v>
      </c>
      <c r="D1019" s="6" t="s">
        <v>407</v>
      </c>
      <c r="E1019" s="6" t="s">
        <v>2948</v>
      </c>
      <c r="F1019" s="6" t="s">
        <v>3179</v>
      </c>
      <c r="G1019" s="6" t="s">
        <v>3218</v>
      </c>
      <c r="H1019" s="9" t="n">
        <v>-2998</v>
      </c>
      <c r="K1019" s="6" t="s">
        <v>384</v>
      </c>
      <c r="L1019" s="6" t="s">
        <v>13</v>
      </c>
      <c r="M1019" s="6" t="s">
        <v>134</v>
      </c>
      <c r="N1019" s="6" t="s">
        <v>3219</v>
      </c>
      <c r="O1019" s="6"/>
      <c r="P1019" s="6"/>
    </row>
    <row r="1020" customFormat="false" ht="15" hidden="false" customHeight="false" outlineLevel="0" collapsed="false">
      <c r="A1020" s="6" t="s">
        <v>3220</v>
      </c>
      <c r="B1020" s="6" t="s">
        <v>141</v>
      </c>
      <c r="C1020" s="7" t="n">
        <v>45016</v>
      </c>
      <c r="D1020" s="6" t="s">
        <v>380</v>
      </c>
      <c r="E1020" s="6" t="s">
        <v>2948</v>
      </c>
      <c r="F1020" s="6" t="s">
        <v>3179</v>
      </c>
      <c r="G1020" s="6" t="s">
        <v>3221</v>
      </c>
      <c r="H1020" s="9" t="n">
        <v>-485</v>
      </c>
      <c r="K1020" s="6" t="s">
        <v>384</v>
      </c>
      <c r="L1020" s="6" t="s">
        <v>13</v>
      </c>
      <c r="M1020" s="6" t="s">
        <v>139</v>
      </c>
      <c r="N1020" s="6" t="s">
        <v>3222</v>
      </c>
      <c r="O1020" s="6"/>
      <c r="P1020" s="6"/>
    </row>
    <row r="1021" customFormat="false" ht="15" hidden="false" customHeight="false" outlineLevel="0" collapsed="false">
      <c r="A1021" s="6" t="s">
        <v>3223</v>
      </c>
      <c r="B1021" s="6" t="s">
        <v>146</v>
      </c>
      <c r="C1021" s="7" t="n">
        <v>45107</v>
      </c>
      <c r="D1021" s="6" t="s">
        <v>380</v>
      </c>
      <c r="E1021" s="6" t="s">
        <v>2948</v>
      </c>
      <c r="F1021" s="6" t="s">
        <v>3179</v>
      </c>
      <c r="G1021" s="6" t="s">
        <v>3224</v>
      </c>
      <c r="H1021" s="9" t="n">
        <v>-534</v>
      </c>
      <c r="K1021" s="6" t="s">
        <v>384</v>
      </c>
      <c r="L1021" s="6" t="s">
        <v>13</v>
      </c>
      <c r="M1021" s="6" t="s">
        <v>144</v>
      </c>
      <c r="N1021" s="6" t="s">
        <v>3225</v>
      </c>
      <c r="O1021" s="6"/>
      <c r="P1021" s="6"/>
    </row>
    <row r="1022" customFormat="false" ht="15" hidden="false" customHeight="false" outlineLevel="0" collapsed="false">
      <c r="A1022" s="6" t="s">
        <v>3226</v>
      </c>
      <c r="B1022" s="6" t="s">
        <v>440</v>
      </c>
      <c r="C1022" s="7" t="n">
        <v>45107</v>
      </c>
      <c r="D1022" s="6" t="s">
        <v>392</v>
      </c>
      <c r="E1022" s="6" t="s">
        <v>2948</v>
      </c>
      <c r="F1022" s="6" t="s">
        <v>3179</v>
      </c>
      <c r="G1022" s="6" t="s">
        <v>3227</v>
      </c>
      <c r="H1022" s="9" t="n">
        <v>-1019</v>
      </c>
      <c r="K1022" s="6" t="s">
        <v>384</v>
      </c>
      <c r="L1022" s="6" t="s">
        <v>13</v>
      </c>
      <c r="M1022" s="6" t="s">
        <v>144</v>
      </c>
      <c r="N1022" s="6" t="s">
        <v>3228</v>
      </c>
      <c r="O1022" s="6"/>
      <c r="P1022" s="6"/>
    </row>
    <row r="1023" customFormat="false" ht="15" hidden="false" customHeight="false" outlineLevel="0" collapsed="false">
      <c r="A1023" s="6" t="s">
        <v>3229</v>
      </c>
      <c r="B1023" s="6" t="s">
        <v>151</v>
      </c>
      <c r="C1023" s="7" t="n">
        <v>45199</v>
      </c>
      <c r="D1023" s="6" t="s">
        <v>380</v>
      </c>
      <c r="E1023" s="6" t="s">
        <v>2948</v>
      </c>
      <c r="F1023" s="6" t="s">
        <v>3179</v>
      </c>
      <c r="G1023" s="6" t="s">
        <v>3230</v>
      </c>
      <c r="H1023" s="9" t="n">
        <v>-910</v>
      </c>
      <c r="K1023" s="6" t="s">
        <v>384</v>
      </c>
      <c r="L1023" s="6" t="s">
        <v>13</v>
      </c>
      <c r="M1023" s="6" t="s">
        <v>149</v>
      </c>
      <c r="N1023" s="6" t="s">
        <v>3231</v>
      </c>
      <c r="O1023" s="6"/>
      <c r="P1023" s="6"/>
    </row>
    <row r="1024" customFormat="false" ht="15" hidden="false" customHeight="false" outlineLevel="0" collapsed="false">
      <c r="A1024" s="6" t="s">
        <v>3232</v>
      </c>
      <c r="B1024" s="6" t="s">
        <v>447</v>
      </c>
      <c r="C1024" s="7" t="n">
        <v>45199</v>
      </c>
      <c r="D1024" s="6" t="s">
        <v>400</v>
      </c>
      <c r="E1024" s="6" t="s">
        <v>2948</v>
      </c>
      <c r="F1024" s="6" t="s">
        <v>3179</v>
      </c>
      <c r="G1024" s="6" t="s">
        <v>3233</v>
      </c>
      <c r="H1024" s="9" t="n">
        <v>-1929</v>
      </c>
      <c r="K1024" s="6" t="s">
        <v>384</v>
      </c>
      <c r="L1024" s="6" t="s">
        <v>13</v>
      </c>
      <c r="M1024" s="6" t="s">
        <v>149</v>
      </c>
      <c r="N1024" s="6" t="s">
        <v>3234</v>
      </c>
      <c r="O1024" s="6"/>
      <c r="P1024" s="6"/>
    </row>
    <row r="1025" customFormat="false" ht="15" hidden="false" customHeight="false" outlineLevel="0" collapsed="false">
      <c r="A1025" s="6" t="s">
        <v>3235</v>
      </c>
      <c r="B1025" s="6" t="s">
        <v>156</v>
      </c>
      <c r="C1025" s="7" t="n">
        <v>45291</v>
      </c>
      <c r="D1025" s="6" t="s">
        <v>380</v>
      </c>
      <c r="E1025" s="6" t="s">
        <v>2948</v>
      </c>
      <c r="F1025" s="6" t="s">
        <v>3179</v>
      </c>
      <c r="G1025" s="6" t="s">
        <v>3236</v>
      </c>
      <c r="H1025" s="9" t="n">
        <v>-629</v>
      </c>
      <c r="K1025" s="6" t="s">
        <v>384</v>
      </c>
      <c r="L1025" s="6" t="s">
        <v>13</v>
      </c>
      <c r="M1025" s="6" t="s">
        <v>154</v>
      </c>
      <c r="N1025" s="6" t="s">
        <v>3237</v>
      </c>
      <c r="O1025" s="6"/>
      <c r="P1025" s="6"/>
    </row>
    <row r="1026" customFormat="false" ht="15" hidden="false" customHeight="false" outlineLevel="0" collapsed="false">
      <c r="A1026" s="6" t="s">
        <v>3238</v>
      </c>
      <c r="B1026" s="6" t="s">
        <v>225</v>
      </c>
      <c r="C1026" s="7" t="n">
        <v>45291</v>
      </c>
      <c r="D1026" s="6" t="s">
        <v>407</v>
      </c>
      <c r="E1026" s="6" t="s">
        <v>2948</v>
      </c>
      <c r="F1026" s="6" t="s">
        <v>3179</v>
      </c>
      <c r="G1026" s="6" t="s">
        <v>3239</v>
      </c>
      <c r="H1026" s="9" t="n">
        <v>-2558</v>
      </c>
      <c r="K1026" s="6" t="s">
        <v>384</v>
      </c>
      <c r="L1026" s="6" t="s">
        <v>13</v>
      </c>
      <c r="M1026" s="6" t="s">
        <v>154</v>
      </c>
      <c r="N1026" s="6" t="s">
        <v>3240</v>
      </c>
      <c r="O1026" s="6"/>
      <c r="P1026" s="6"/>
    </row>
    <row r="1027" customFormat="false" ht="15" hidden="false" customHeight="false" outlineLevel="0" collapsed="false">
      <c r="A1027" s="6" t="s">
        <v>3241</v>
      </c>
      <c r="B1027" s="6" t="s">
        <v>161</v>
      </c>
      <c r="C1027" s="7" t="n">
        <v>45382</v>
      </c>
      <c r="D1027" s="6" t="s">
        <v>380</v>
      </c>
      <c r="E1027" s="6" t="s">
        <v>2948</v>
      </c>
      <c r="F1027" s="6" t="s">
        <v>3179</v>
      </c>
      <c r="G1027" s="6" t="s">
        <v>3242</v>
      </c>
      <c r="H1027" s="9" t="n">
        <v>-601</v>
      </c>
      <c r="K1027" s="6" t="s">
        <v>384</v>
      </c>
      <c r="L1027" s="6" t="s">
        <v>13</v>
      </c>
      <c r="M1027" s="6" t="s">
        <v>159</v>
      </c>
      <c r="N1027" s="6" t="s">
        <v>3243</v>
      </c>
      <c r="O1027" s="6"/>
      <c r="P1027" s="6"/>
    </row>
    <row r="1028" customFormat="false" ht="15" hidden="false" customHeight="false" outlineLevel="0" collapsed="false">
      <c r="A1028" s="6" t="s">
        <v>3244</v>
      </c>
      <c r="B1028" s="6" t="s">
        <v>166</v>
      </c>
      <c r="C1028" s="7" t="n">
        <v>45473</v>
      </c>
      <c r="D1028" s="6" t="s">
        <v>380</v>
      </c>
      <c r="E1028" s="6" t="s">
        <v>2948</v>
      </c>
      <c r="F1028" s="6" t="s">
        <v>3179</v>
      </c>
      <c r="G1028" s="6" t="s">
        <v>3245</v>
      </c>
      <c r="H1028" s="9" t="n">
        <v>-469</v>
      </c>
      <c r="K1028" s="6" t="s">
        <v>384</v>
      </c>
      <c r="L1028" s="6" t="s">
        <v>13</v>
      </c>
      <c r="M1028" s="6" t="s">
        <v>164</v>
      </c>
      <c r="N1028" s="6" t="s">
        <v>3246</v>
      </c>
      <c r="O1028" s="6"/>
      <c r="P1028" s="6"/>
    </row>
    <row r="1029" customFormat="false" ht="15" hidden="false" customHeight="false" outlineLevel="0" collapsed="false">
      <c r="A1029" s="6" t="s">
        <v>3247</v>
      </c>
      <c r="B1029" s="6" t="s">
        <v>241</v>
      </c>
      <c r="C1029" s="7" t="n">
        <v>45473</v>
      </c>
      <c r="D1029" s="6" t="s">
        <v>392</v>
      </c>
      <c r="E1029" s="6" t="s">
        <v>2948</v>
      </c>
      <c r="F1029" s="6" t="s">
        <v>3179</v>
      </c>
      <c r="G1029" s="6" t="s">
        <v>3248</v>
      </c>
      <c r="H1029" s="9" t="n">
        <v>-1070</v>
      </c>
      <c r="K1029" s="6" t="s">
        <v>384</v>
      </c>
      <c r="L1029" s="6" t="s">
        <v>13</v>
      </c>
      <c r="M1029" s="6" t="s">
        <v>164</v>
      </c>
      <c r="N1029" s="6" t="s">
        <v>3249</v>
      </c>
      <c r="O1029" s="6"/>
      <c r="P1029" s="6"/>
    </row>
    <row r="1030" customFormat="false" ht="15" hidden="false" customHeight="false" outlineLevel="0" collapsed="false">
      <c r="A1030" s="6" t="s">
        <v>3250</v>
      </c>
      <c r="B1030" s="6" t="s">
        <v>171</v>
      </c>
      <c r="C1030" s="7" t="n">
        <v>45565</v>
      </c>
      <c r="D1030" s="6" t="s">
        <v>380</v>
      </c>
      <c r="E1030" s="6" t="s">
        <v>2948</v>
      </c>
      <c r="F1030" s="6" t="s">
        <v>3179</v>
      </c>
      <c r="G1030" s="6" t="s">
        <v>3251</v>
      </c>
      <c r="H1030" s="9" t="n">
        <v>-393</v>
      </c>
      <c r="K1030" s="6" t="s">
        <v>384</v>
      </c>
      <c r="L1030" s="6" t="s">
        <v>13</v>
      </c>
      <c r="M1030" s="6" t="s">
        <v>169</v>
      </c>
      <c r="N1030" s="6" t="s">
        <v>3252</v>
      </c>
      <c r="O1030" s="6"/>
      <c r="P1030" s="6"/>
    </row>
    <row r="1031" customFormat="false" ht="15" hidden="false" customHeight="false" outlineLevel="0" collapsed="false">
      <c r="A1031" s="6" t="s">
        <v>3253</v>
      </c>
      <c r="B1031" s="6" t="s">
        <v>469</v>
      </c>
      <c r="C1031" s="7" t="n">
        <v>45565</v>
      </c>
      <c r="D1031" s="6" t="s">
        <v>400</v>
      </c>
      <c r="E1031" s="6" t="s">
        <v>2948</v>
      </c>
      <c r="F1031" s="6" t="s">
        <v>3179</v>
      </c>
      <c r="G1031" s="6" t="s">
        <v>3254</v>
      </c>
      <c r="H1031" s="9" t="n">
        <v>-1463</v>
      </c>
      <c r="K1031" s="6" t="s">
        <v>384</v>
      </c>
      <c r="L1031" s="6" t="s">
        <v>13</v>
      </c>
      <c r="M1031" s="6" t="s">
        <v>169</v>
      </c>
      <c r="N1031" s="6" t="s">
        <v>3255</v>
      </c>
      <c r="O1031" s="6"/>
      <c r="P1031" s="6"/>
    </row>
    <row r="1032" customFormat="false" ht="15" hidden="false" customHeight="false" outlineLevel="0" collapsed="false">
      <c r="A1032" s="6" t="s">
        <v>3256</v>
      </c>
      <c r="B1032" s="6" t="s">
        <v>176</v>
      </c>
      <c r="C1032" s="7" t="n">
        <v>45657</v>
      </c>
      <c r="D1032" s="6" t="s">
        <v>380</v>
      </c>
      <c r="E1032" s="6" t="s">
        <v>2948</v>
      </c>
      <c r="F1032" s="6" t="s">
        <v>3179</v>
      </c>
      <c r="G1032" s="6" t="s">
        <v>3257</v>
      </c>
      <c r="H1032" s="9" t="n">
        <v>-561</v>
      </c>
      <c r="K1032" s="6" t="s">
        <v>384</v>
      </c>
      <c r="L1032" s="6" t="s">
        <v>13</v>
      </c>
      <c r="M1032" s="6" t="s">
        <v>174</v>
      </c>
      <c r="N1032" s="6" t="s">
        <v>3258</v>
      </c>
      <c r="O1032" s="6"/>
      <c r="P1032" s="6"/>
    </row>
    <row r="1033" customFormat="false" ht="15" hidden="false" customHeight="false" outlineLevel="0" collapsed="false">
      <c r="A1033" s="6" t="s">
        <v>3259</v>
      </c>
      <c r="B1033" s="6" t="s">
        <v>230</v>
      </c>
      <c r="C1033" s="7" t="n">
        <v>45657</v>
      </c>
      <c r="D1033" s="6" t="s">
        <v>407</v>
      </c>
      <c r="E1033" s="6" t="s">
        <v>2948</v>
      </c>
      <c r="F1033" s="6" t="s">
        <v>3179</v>
      </c>
      <c r="G1033" s="6" t="s">
        <v>3260</v>
      </c>
      <c r="H1033" s="9" t="n">
        <v>-2024</v>
      </c>
      <c r="K1033" s="6" t="s">
        <v>384</v>
      </c>
      <c r="L1033" s="6" t="s">
        <v>13</v>
      </c>
      <c r="M1033" s="6" t="s">
        <v>174</v>
      </c>
      <c r="N1033" s="6" t="s">
        <v>3261</v>
      </c>
      <c r="O1033" s="6"/>
      <c r="P1033" s="6"/>
    </row>
    <row r="1034" customFormat="false" ht="15" hidden="false" customHeight="false" outlineLevel="0" collapsed="false">
      <c r="A1034" s="6" t="s">
        <v>3262</v>
      </c>
      <c r="B1034" s="6" t="s">
        <v>181</v>
      </c>
      <c r="C1034" s="7" t="n">
        <v>45747</v>
      </c>
      <c r="D1034" s="6" t="s">
        <v>380</v>
      </c>
      <c r="E1034" s="6" t="s">
        <v>2948</v>
      </c>
      <c r="F1034" s="6" t="s">
        <v>3179</v>
      </c>
      <c r="G1034" s="6" t="s">
        <v>3116</v>
      </c>
      <c r="H1034" s="9" t="n">
        <v>-779</v>
      </c>
      <c r="K1034" s="6" t="s">
        <v>384</v>
      </c>
      <c r="L1034" s="6" t="s">
        <v>13</v>
      </c>
      <c r="M1034" s="6" t="s">
        <v>179</v>
      </c>
      <c r="N1034" s="6" t="s">
        <v>3263</v>
      </c>
      <c r="O1034" s="6"/>
      <c r="P1034" s="6"/>
    </row>
    <row r="1035" customFormat="false" ht="15" hidden="false" customHeight="false" outlineLevel="0" collapsed="false">
      <c r="A1035" s="6" t="s">
        <v>3264</v>
      </c>
      <c r="B1035" s="6" t="s">
        <v>186</v>
      </c>
      <c r="C1035" s="7" t="n">
        <v>45838</v>
      </c>
      <c r="D1035" s="6" t="s">
        <v>380</v>
      </c>
      <c r="E1035" s="6" t="s">
        <v>2948</v>
      </c>
      <c r="F1035" s="6" t="s">
        <v>3179</v>
      </c>
      <c r="G1035" s="6" t="s">
        <v>3265</v>
      </c>
      <c r="H1035" s="9" t="n">
        <v>-924</v>
      </c>
      <c r="K1035" s="6" t="s">
        <v>384</v>
      </c>
      <c r="L1035" s="6" t="s">
        <v>13</v>
      </c>
      <c r="M1035" s="6" t="s">
        <v>184</v>
      </c>
      <c r="N1035" s="6" t="s">
        <v>3266</v>
      </c>
      <c r="O1035" s="6"/>
      <c r="P1035" s="6"/>
    </row>
    <row r="1036" customFormat="false" ht="15" hidden="false" customHeight="false" outlineLevel="0" collapsed="false">
      <c r="A1036" s="6" t="s">
        <v>3267</v>
      </c>
      <c r="B1036" s="6" t="s">
        <v>255</v>
      </c>
      <c r="C1036" s="7" t="n">
        <v>45838</v>
      </c>
      <c r="D1036" s="6" t="s">
        <v>392</v>
      </c>
      <c r="E1036" s="6" t="s">
        <v>2948</v>
      </c>
      <c r="F1036" s="6" t="s">
        <v>3179</v>
      </c>
      <c r="G1036" s="6" t="s">
        <v>3268</v>
      </c>
      <c r="H1036" s="9" t="n">
        <v>-1703</v>
      </c>
      <c r="K1036" s="6" t="s">
        <v>384</v>
      </c>
      <c r="L1036" s="6" t="s">
        <v>13</v>
      </c>
      <c r="M1036" s="6" t="s">
        <v>184</v>
      </c>
      <c r="N1036" s="6" t="s">
        <v>3269</v>
      </c>
      <c r="O1036" s="6"/>
      <c r="P1036" s="6"/>
    </row>
    <row r="1037" customFormat="false" ht="15" hidden="false" customHeight="false" outlineLevel="0" collapsed="false">
      <c r="A1037" s="6" t="s">
        <v>3270</v>
      </c>
      <c r="B1037" s="6" t="s">
        <v>191</v>
      </c>
      <c r="C1037" s="7" t="n">
        <v>45930</v>
      </c>
      <c r="D1037" s="6" t="s">
        <v>380</v>
      </c>
      <c r="E1037" s="6" t="s">
        <v>2948</v>
      </c>
      <c r="F1037" s="6" t="s">
        <v>3179</v>
      </c>
      <c r="G1037" s="6" t="s">
        <v>3271</v>
      </c>
      <c r="H1037" s="9" t="n">
        <v>-941</v>
      </c>
      <c r="K1037" s="6" t="s">
        <v>384</v>
      </c>
      <c r="L1037" s="6" t="s">
        <v>13</v>
      </c>
      <c r="M1037" s="6" t="s">
        <v>189</v>
      </c>
      <c r="N1037" s="6" t="s">
        <v>3272</v>
      </c>
      <c r="O1037" s="6"/>
      <c r="P1037" s="6"/>
    </row>
    <row r="1038" customFormat="false" ht="15" hidden="false" customHeight="false" outlineLevel="0" collapsed="false">
      <c r="A1038" s="6" t="s">
        <v>3273</v>
      </c>
      <c r="B1038" s="6" t="s">
        <v>491</v>
      </c>
      <c r="C1038" s="7" t="n">
        <v>45930</v>
      </c>
      <c r="D1038" s="6" t="s">
        <v>400</v>
      </c>
      <c r="E1038" s="6" t="s">
        <v>2948</v>
      </c>
      <c r="F1038" s="6" t="s">
        <v>3179</v>
      </c>
      <c r="G1038" s="6" t="s">
        <v>3274</v>
      </c>
      <c r="H1038" s="9" t="n">
        <v>-2644</v>
      </c>
      <c r="K1038" s="6" t="s">
        <v>384</v>
      </c>
      <c r="L1038" s="6" t="s">
        <v>13</v>
      </c>
      <c r="M1038" s="6" t="s">
        <v>189</v>
      </c>
      <c r="N1038" s="6" t="s">
        <v>3275</v>
      </c>
      <c r="O1038" s="6"/>
      <c r="P1038" s="6"/>
    </row>
    <row r="1039" customFormat="false" ht="15" hidden="false" customHeight="false" outlineLevel="0" collapsed="false">
      <c r="A1039" s="6" t="s">
        <v>3276</v>
      </c>
      <c r="B1039" s="6" t="s">
        <v>196</v>
      </c>
      <c r="C1039" s="7" t="n">
        <v>46022</v>
      </c>
      <c r="D1039" s="6" t="s">
        <v>380</v>
      </c>
      <c r="E1039" s="6" t="s">
        <v>2948</v>
      </c>
      <c r="F1039" s="6" t="s">
        <v>3179</v>
      </c>
      <c r="G1039" s="6" t="s">
        <v>3277</v>
      </c>
      <c r="H1039" s="9" t="n">
        <v>-736</v>
      </c>
      <c r="K1039" s="6" t="s">
        <v>384</v>
      </c>
      <c r="L1039" s="6" t="s">
        <v>13</v>
      </c>
      <c r="M1039" s="6" t="s">
        <v>194</v>
      </c>
      <c r="N1039" s="6" t="s">
        <v>3278</v>
      </c>
      <c r="O1039" s="6"/>
      <c r="P1039" s="6"/>
    </row>
    <row r="1040" customFormat="false" ht="15" hidden="false" customHeight="false" outlineLevel="0" collapsed="false">
      <c r="A1040" s="6" t="s">
        <v>3279</v>
      </c>
      <c r="B1040" s="6" t="s">
        <v>235</v>
      </c>
      <c r="C1040" s="7" t="n">
        <v>46022</v>
      </c>
      <c r="D1040" s="6" t="s">
        <v>407</v>
      </c>
      <c r="E1040" s="6" t="s">
        <v>2948</v>
      </c>
      <c r="F1040" s="6" t="s">
        <v>3179</v>
      </c>
      <c r="G1040" s="6" t="s">
        <v>3280</v>
      </c>
      <c r="H1040" s="9" t="n">
        <v>-3380</v>
      </c>
      <c r="K1040" s="6" t="s">
        <v>384</v>
      </c>
      <c r="L1040" s="6" t="s">
        <v>13</v>
      </c>
      <c r="M1040" s="6" t="s">
        <v>194</v>
      </c>
      <c r="N1040" s="6" t="s">
        <v>3281</v>
      </c>
      <c r="O1040" s="6"/>
      <c r="P1040" s="6"/>
    </row>
    <row r="1041" customFormat="false" ht="15" hidden="false" customHeight="false" outlineLevel="0" collapsed="false">
      <c r="A1041" s="6" t="s">
        <v>3282</v>
      </c>
      <c r="B1041" s="6" t="s">
        <v>201</v>
      </c>
      <c r="C1041" s="7" t="n">
        <v>46112</v>
      </c>
      <c r="D1041" s="6" t="s">
        <v>380</v>
      </c>
      <c r="E1041" s="6" t="s">
        <v>2948</v>
      </c>
      <c r="F1041" s="6" t="s">
        <v>3179</v>
      </c>
      <c r="G1041" s="6" t="s">
        <v>3283</v>
      </c>
      <c r="H1041" s="9" t="n">
        <v>-484</v>
      </c>
      <c r="K1041" s="6" t="s">
        <v>384</v>
      </c>
      <c r="L1041" s="6" t="s">
        <v>13</v>
      </c>
      <c r="M1041" s="6" t="s">
        <v>199</v>
      </c>
      <c r="N1041" s="6" t="s">
        <v>3284</v>
      </c>
      <c r="O1041" s="6"/>
      <c r="P1041" s="6"/>
    </row>
    <row r="1042" customFormat="false" ht="15" hidden="false" customHeight="false" outlineLevel="0" collapsed="false">
      <c r="A1042" s="6" t="s">
        <v>3285</v>
      </c>
      <c r="B1042" s="6" t="s">
        <v>206</v>
      </c>
      <c r="C1042" s="7" t="n">
        <v>46203</v>
      </c>
      <c r="D1042" s="6" t="s">
        <v>380</v>
      </c>
      <c r="E1042" s="6" t="s">
        <v>2948</v>
      </c>
      <c r="F1042" s="6" t="s">
        <v>3179</v>
      </c>
      <c r="G1042" s="6" t="s">
        <v>3286</v>
      </c>
      <c r="H1042" s="9" t="n">
        <v>-1106</v>
      </c>
      <c r="K1042" s="6" t="s">
        <v>384</v>
      </c>
      <c r="L1042" s="6" t="s">
        <v>13</v>
      </c>
      <c r="M1042" s="6" t="s">
        <v>204</v>
      </c>
      <c r="N1042" s="6" t="s">
        <v>3287</v>
      </c>
      <c r="O1042" s="6"/>
      <c r="P1042" s="6"/>
    </row>
    <row r="1043" customFormat="false" ht="15" hidden="false" customHeight="false" outlineLevel="0" collapsed="false">
      <c r="A1043" s="6" t="s">
        <v>3288</v>
      </c>
      <c r="B1043" s="6" t="s">
        <v>263</v>
      </c>
      <c r="C1043" s="7" t="n">
        <v>46203</v>
      </c>
      <c r="D1043" s="6" t="s">
        <v>392</v>
      </c>
      <c r="E1043" s="6" t="s">
        <v>2948</v>
      </c>
      <c r="F1043" s="6" t="s">
        <v>3179</v>
      </c>
      <c r="G1043" s="6" t="s">
        <v>3289</v>
      </c>
      <c r="H1043" s="9" t="n">
        <v>-1590</v>
      </c>
      <c r="K1043" s="6" t="s">
        <v>384</v>
      </c>
      <c r="L1043" s="6" t="s">
        <v>13</v>
      </c>
      <c r="M1043" s="6" t="s">
        <v>204</v>
      </c>
      <c r="N1043" s="6" t="s">
        <v>3290</v>
      </c>
      <c r="O1043" s="6"/>
      <c r="P1043" s="6"/>
    </row>
    <row r="1044" customFormat="false" ht="15" hidden="false" customHeight="false" outlineLevel="0" collapsed="false">
      <c r="A1044" s="6" t="s">
        <v>3291</v>
      </c>
      <c r="B1044" s="6" t="s">
        <v>379</v>
      </c>
      <c r="C1044" s="7" t="n">
        <v>44286</v>
      </c>
      <c r="D1044" s="6" t="s">
        <v>380</v>
      </c>
      <c r="E1044" s="6" t="s">
        <v>2948</v>
      </c>
      <c r="F1044" s="6" t="s">
        <v>3292</v>
      </c>
      <c r="G1044" s="6" t="s">
        <v>3293</v>
      </c>
      <c r="H1044" s="9" t="n">
        <v>3667</v>
      </c>
      <c r="K1044" s="6" t="s">
        <v>384</v>
      </c>
      <c r="L1044" s="6" t="s">
        <v>13</v>
      </c>
      <c r="M1044" s="6" t="s">
        <v>119</v>
      </c>
      <c r="N1044" s="6" t="s">
        <v>3294</v>
      </c>
      <c r="O1044" s="6"/>
      <c r="P1044" s="6" t="s">
        <v>386</v>
      </c>
    </row>
    <row r="1045" customFormat="false" ht="15" hidden="false" customHeight="false" outlineLevel="0" collapsed="false">
      <c r="A1045" s="6" t="s">
        <v>3295</v>
      </c>
      <c r="B1045" s="6" t="s">
        <v>103</v>
      </c>
      <c r="C1045" s="7" t="n">
        <v>44377</v>
      </c>
      <c r="D1045" s="6" t="s">
        <v>380</v>
      </c>
      <c r="E1045" s="6" t="s">
        <v>2948</v>
      </c>
      <c r="F1045" s="6" t="s">
        <v>3292</v>
      </c>
      <c r="G1045" s="6" t="s">
        <v>3296</v>
      </c>
      <c r="H1045" s="9" t="n">
        <v>951</v>
      </c>
      <c r="K1045" s="6" t="s">
        <v>384</v>
      </c>
      <c r="L1045" s="6" t="s">
        <v>13</v>
      </c>
      <c r="M1045" s="6" t="s">
        <v>100</v>
      </c>
      <c r="N1045" s="6" t="s">
        <v>3297</v>
      </c>
      <c r="O1045" s="6"/>
      <c r="P1045" s="6"/>
    </row>
    <row r="1046" customFormat="false" ht="15" hidden="false" customHeight="false" outlineLevel="0" collapsed="false">
      <c r="A1046" s="6" t="s">
        <v>3298</v>
      </c>
      <c r="B1046" s="6" t="s">
        <v>391</v>
      </c>
      <c r="C1046" s="7" t="n">
        <v>44377</v>
      </c>
      <c r="D1046" s="6" t="s">
        <v>392</v>
      </c>
      <c r="E1046" s="6" t="s">
        <v>2948</v>
      </c>
      <c r="F1046" s="6" t="s">
        <v>3292</v>
      </c>
      <c r="G1046" s="6" t="s">
        <v>3299</v>
      </c>
      <c r="H1046" s="9" t="n">
        <v>4618</v>
      </c>
      <c r="K1046" s="6" t="s">
        <v>384</v>
      </c>
      <c r="L1046" s="6" t="s">
        <v>13</v>
      </c>
      <c r="M1046" s="6" t="s">
        <v>100</v>
      </c>
      <c r="N1046" s="6" t="s">
        <v>3300</v>
      </c>
      <c r="O1046" s="6"/>
      <c r="P1046" s="6"/>
    </row>
    <row r="1047" customFormat="false" ht="15" hidden="false" customHeight="false" outlineLevel="0" collapsed="false">
      <c r="A1047" s="6" t="s">
        <v>3301</v>
      </c>
      <c r="B1047" s="6" t="s">
        <v>111</v>
      </c>
      <c r="C1047" s="7" t="n">
        <v>44469</v>
      </c>
      <c r="D1047" s="6" t="s">
        <v>380</v>
      </c>
      <c r="E1047" s="6" t="s">
        <v>2948</v>
      </c>
      <c r="F1047" s="6" t="s">
        <v>3292</v>
      </c>
      <c r="G1047" s="6" t="s">
        <v>3302</v>
      </c>
      <c r="H1047" s="9" t="n">
        <v>2685</v>
      </c>
      <c r="K1047" s="6" t="s">
        <v>384</v>
      </c>
      <c r="L1047" s="6" t="s">
        <v>13</v>
      </c>
      <c r="M1047" s="6" t="s">
        <v>109</v>
      </c>
      <c r="N1047" s="6" t="s">
        <v>3303</v>
      </c>
      <c r="O1047" s="6"/>
      <c r="P1047" s="6"/>
    </row>
    <row r="1048" customFormat="false" ht="15" hidden="false" customHeight="false" outlineLevel="0" collapsed="false">
      <c r="A1048" s="6" t="s">
        <v>3304</v>
      </c>
      <c r="B1048" s="6" t="s">
        <v>399</v>
      </c>
      <c r="C1048" s="7" t="n">
        <v>44469</v>
      </c>
      <c r="D1048" s="6" t="s">
        <v>400</v>
      </c>
      <c r="E1048" s="6" t="s">
        <v>2948</v>
      </c>
      <c r="F1048" s="6" t="s">
        <v>3292</v>
      </c>
      <c r="G1048" s="6" t="s">
        <v>3305</v>
      </c>
      <c r="H1048" s="9" t="n">
        <v>7303</v>
      </c>
      <c r="K1048" s="6" t="s">
        <v>384</v>
      </c>
      <c r="L1048" s="6" t="s">
        <v>13</v>
      </c>
      <c r="M1048" s="6" t="s">
        <v>109</v>
      </c>
      <c r="N1048" s="6" t="s">
        <v>3306</v>
      </c>
      <c r="O1048" s="6"/>
      <c r="P1048" s="6"/>
    </row>
    <row r="1049" customFormat="false" ht="15" hidden="false" customHeight="false" outlineLevel="0" collapsed="false">
      <c r="A1049" s="6" t="s">
        <v>3307</v>
      </c>
      <c r="B1049" s="6" t="s">
        <v>116</v>
      </c>
      <c r="C1049" s="7" t="n">
        <v>44561</v>
      </c>
      <c r="D1049" s="6" t="s">
        <v>380</v>
      </c>
      <c r="E1049" s="6" t="s">
        <v>2948</v>
      </c>
      <c r="F1049" s="6" t="s">
        <v>3292</v>
      </c>
      <c r="G1049" s="6" t="s">
        <v>2905</v>
      </c>
      <c r="H1049" s="9" t="n">
        <v>0</v>
      </c>
      <c r="K1049" s="6" t="s">
        <v>384</v>
      </c>
      <c r="L1049" s="6" t="s">
        <v>13</v>
      </c>
      <c r="M1049" s="6" t="s">
        <v>114</v>
      </c>
      <c r="N1049" s="6" t="s">
        <v>3308</v>
      </c>
      <c r="O1049" s="6"/>
      <c r="P1049" s="6"/>
    </row>
    <row r="1050" customFormat="false" ht="15" hidden="false" customHeight="false" outlineLevel="0" collapsed="false">
      <c r="A1050" s="6" t="s">
        <v>3309</v>
      </c>
      <c r="B1050" s="6" t="s">
        <v>212</v>
      </c>
      <c r="C1050" s="7" t="n">
        <v>44561</v>
      </c>
      <c r="D1050" s="6" t="s">
        <v>407</v>
      </c>
      <c r="E1050" s="6" t="s">
        <v>2948</v>
      </c>
      <c r="F1050" s="6" t="s">
        <v>3292</v>
      </c>
      <c r="G1050" s="6" t="s">
        <v>3305</v>
      </c>
      <c r="H1050" s="9" t="n">
        <v>7303</v>
      </c>
      <c r="K1050" s="6" t="s">
        <v>384</v>
      </c>
      <c r="L1050" s="6" t="s">
        <v>13</v>
      </c>
      <c r="M1050" s="6" t="s">
        <v>114</v>
      </c>
      <c r="N1050" s="6" t="s">
        <v>3310</v>
      </c>
      <c r="O1050" s="6"/>
      <c r="P1050" s="6"/>
    </row>
    <row r="1051" customFormat="false" ht="15" hidden="false" customHeight="false" outlineLevel="0" collapsed="false">
      <c r="A1051" s="6" t="s">
        <v>3311</v>
      </c>
      <c r="B1051" s="6" t="s">
        <v>121</v>
      </c>
      <c r="C1051" s="7" t="n">
        <v>44651</v>
      </c>
      <c r="D1051" s="6" t="s">
        <v>380</v>
      </c>
      <c r="E1051" s="6" t="s">
        <v>2948</v>
      </c>
      <c r="F1051" s="6" t="s">
        <v>3292</v>
      </c>
      <c r="G1051" s="6" t="s">
        <v>2905</v>
      </c>
      <c r="H1051" s="9" t="n">
        <v>0</v>
      </c>
      <c r="K1051" s="6" t="s">
        <v>384</v>
      </c>
      <c r="L1051" s="6" t="s">
        <v>13</v>
      </c>
      <c r="M1051" s="6" t="s">
        <v>119</v>
      </c>
      <c r="N1051" s="6" t="s">
        <v>3312</v>
      </c>
      <c r="O1051" s="6"/>
      <c r="P1051" s="6"/>
    </row>
    <row r="1052" customFormat="false" ht="15" hidden="false" customHeight="false" outlineLevel="0" collapsed="false">
      <c r="A1052" s="6" t="s">
        <v>3313</v>
      </c>
      <c r="B1052" s="6" t="s">
        <v>126</v>
      </c>
      <c r="C1052" s="7" t="n">
        <v>44742</v>
      </c>
      <c r="D1052" s="6" t="s">
        <v>380</v>
      </c>
      <c r="E1052" s="6" t="s">
        <v>2948</v>
      </c>
      <c r="F1052" s="6" t="s">
        <v>3292</v>
      </c>
      <c r="G1052" s="6" t="s">
        <v>2905</v>
      </c>
      <c r="H1052" s="9" t="n">
        <v>0</v>
      </c>
      <c r="K1052" s="6" t="s">
        <v>384</v>
      </c>
      <c r="L1052" s="6" t="s">
        <v>13</v>
      </c>
      <c r="M1052" s="6" t="s">
        <v>124</v>
      </c>
      <c r="N1052" s="6" t="s">
        <v>3314</v>
      </c>
      <c r="O1052" s="6"/>
      <c r="P1052" s="6"/>
    </row>
    <row r="1053" customFormat="false" ht="15" hidden="false" customHeight="false" outlineLevel="0" collapsed="false">
      <c r="A1053" s="6" t="s">
        <v>3315</v>
      </c>
      <c r="B1053" s="6" t="s">
        <v>417</v>
      </c>
      <c r="C1053" s="7" t="n">
        <v>44742</v>
      </c>
      <c r="D1053" s="6" t="s">
        <v>392</v>
      </c>
      <c r="E1053" s="6" t="s">
        <v>2948</v>
      </c>
      <c r="F1053" s="6" t="s">
        <v>3292</v>
      </c>
      <c r="G1053" s="6" t="s">
        <v>2905</v>
      </c>
      <c r="H1053" s="9" t="n">
        <v>0</v>
      </c>
      <c r="K1053" s="6" t="s">
        <v>384</v>
      </c>
      <c r="L1053" s="6" t="s">
        <v>13</v>
      </c>
      <c r="M1053" s="6" t="s">
        <v>124</v>
      </c>
      <c r="N1053" s="6" t="s">
        <v>3316</v>
      </c>
      <c r="O1053" s="6"/>
      <c r="P1053" s="6"/>
    </row>
    <row r="1054" customFormat="false" ht="15" hidden="false" customHeight="false" outlineLevel="0" collapsed="false">
      <c r="A1054" s="6" t="s">
        <v>3317</v>
      </c>
      <c r="B1054" s="6" t="s">
        <v>131</v>
      </c>
      <c r="C1054" s="7" t="n">
        <v>44834</v>
      </c>
      <c r="D1054" s="6" t="s">
        <v>380</v>
      </c>
      <c r="E1054" s="6" t="s">
        <v>2948</v>
      </c>
      <c r="F1054" s="6" t="s">
        <v>3292</v>
      </c>
      <c r="G1054" s="6" t="s">
        <v>2905</v>
      </c>
      <c r="H1054" s="9" t="n">
        <v>0</v>
      </c>
      <c r="K1054" s="6" t="s">
        <v>384</v>
      </c>
      <c r="L1054" s="6" t="s">
        <v>13</v>
      </c>
      <c r="M1054" s="6" t="s">
        <v>129</v>
      </c>
      <c r="N1054" s="6" t="s">
        <v>3318</v>
      </c>
      <c r="O1054" s="6"/>
      <c r="P1054" s="6"/>
    </row>
    <row r="1055" customFormat="false" ht="15" hidden="false" customHeight="false" outlineLevel="0" collapsed="false">
      <c r="A1055" s="6" t="s">
        <v>3319</v>
      </c>
      <c r="B1055" s="6" t="s">
        <v>424</v>
      </c>
      <c r="C1055" s="7" t="n">
        <v>44834</v>
      </c>
      <c r="D1055" s="6" t="s">
        <v>400</v>
      </c>
      <c r="E1055" s="6" t="s">
        <v>2948</v>
      </c>
      <c r="F1055" s="6" t="s">
        <v>3292</v>
      </c>
      <c r="G1055" s="6" t="s">
        <v>2905</v>
      </c>
      <c r="H1055" s="9" t="n">
        <v>0</v>
      </c>
      <c r="K1055" s="6" t="s">
        <v>384</v>
      </c>
      <c r="L1055" s="6" t="s">
        <v>13</v>
      </c>
      <c r="M1055" s="6" t="s">
        <v>129</v>
      </c>
      <c r="N1055" s="6" t="s">
        <v>3320</v>
      </c>
      <c r="O1055" s="6"/>
      <c r="P1055" s="6"/>
    </row>
    <row r="1056" customFormat="false" ht="15" hidden="false" customHeight="false" outlineLevel="0" collapsed="false">
      <c r="A1056" s="6" t="s">
        <v>3321</v>
      </c>
      <c r="B1056" s="6" t="s">
        <v>136</v>
      </c>
      <c r="C1056" s="7" t="n">
        <v>44926</v>
      </c>
      <c r="D1056" s="6" t="s">
        <v>380</v>
      </c>
      <c r="E1056" s="6" t="s">
        <v>2948</v>
      </c>
      <c r="F1056" s="6" t="s">
        <v>3292</v>
      </c>
      <c r="G1056" s="6" t="s">
        <v>2905</v>
      </c>
      <c r="H1056" s="9" t="n">
        <v>0</v>
      </c>
      <c r="K1056" s="6" t="s">
        <v>384</v>
      </c>
      <c r="L1056" s="6" t="s">
        <v>13</v>
      </c>
      <c r="M1056" s="6" t="s">
        <v>134</v>
      </c>
      <c r="N1056" s="6" t="s">
        <v>3322</v>
      </c>
      <c r="O1056" s="6"/>
      <c r="P1056" s="6"/>
    </row>
    <row r="1057" customFormat="false" ht="15" hidden="false" customHeight="false" outlineLevel="0" collapsed="false">
      <c r="A1057" s="6" t="s">
        <v>3323</v>
      </c>
      <c r="B1057" s="6" t="s">
        <v>220</v>
      </c>
      <c r="C1057" s="7" t="n">
        <v>44926</v>
      </c>
      <c r="D1057" s="6" t="s">
        <v>407</v>
      </c>
      <c r="E1057" s="6" t="s">
        <v>2948</v>
      </c>
      <c r="F1057" s="6" t="s">
        <v>3292</v>
      </c>
      <c r="G1057" s="6" t="s">
        <v>2905</v>
      </c>
      <c r="H1057" s="9" t="n">
        <v>0</v>
      </c>
      <c r="K1057" s="6" t="s">
        <v>384</v>
      </c>
      <c r="L1057" s="6" t="s">
        <v>13</v>
      </c>
      <c r="M1057" s="6" t="s">
        <v>134</v>
      </c>
      <c r="N1057" s="6" t="s">
        <v>3324</v>
      </c>
      <c r="O1057" s="6"/>
      <c r="P1057" s="6"/>
    </row>
    <row r="1058" customFormat="false" ht="15" hidden="false" customHeight="false" outlineLevel="0" collapsed="false">
      <c r="A1058" s="6" t="s">
        <v>3325</v>
      </c>
      <c r="B1058" s="6" t="s">
        <v>181</v>
      </c>
      <c r="C1058" s="7" t="n">
        <v>45747</v>
      </c>
      <c r="D1058" s="6" t="s">
        <v>380</v>
      </c>
      <c r="E1058" s="6" t="s">
        <v>2948</v>
      </c>
      <c r="F1058" s="6" t="s">
        <v>3292</v>
      </c>
      <c r="G1058" s="6" t="s">
        <v>3326</v>
      </c>
      <c r="H1058" s="9" t="n">
        <v>2028</v>
      </c>
      <c r="K1058" s="6" t="s">
        <v>384</v>
      </c>
      <c r="L1058" s="6" t="s">
        <v>13</v>
      </c>
      <c r="M1058" s="6" t="s">
        <v>179</v>
      </c>
      <c r="N1058" s="6" t="s">
        <v>3327</v>
      </c>
      <c r="O1058" s="6"/>
      <c r="P1058" s="6"/>
    </row>
    <row r="1059" customFormat="false" ht="15" hidden="false" customHeight="false" outlineLevel="0" collapsed="false">
      <c r="A1059" s="6" t="s">
        <v>3328</v>
      </c>
      <c r="B1059" s="6" t="s">
        <v>186</v>
      </c>
      <c r="C1059" s="7" t="n">
        <v>45838</v>
      </c>
      <c r="D1059" s="6" t="s">
        <v>380</v>
      </c>
      <c r="E1059" s="6" t="s">
        <v>2948</v>
      </c>
      <c r="F1059" s="6" t="s">
        <v>3292</v>
      </c>
      <c r="G1059" s="6" t="s">
        <v>3329</v>
      </c>
      <c r="H1059" s="9" t="n">
        <v>4064</v>
      </c>
      <c r="K1059" s="6" t="s">
        <v>384</v>
      </c>
      <c r="L1059" s="6" t="s">
        <v>13</v>
      </c>
      <c r="M1059" s="6" t="s">
        <v>184</v>
      </c>
      <c r="N1059" s="6" t="s">
        <v>3330</v>
      </c>
      <c r="O1059" s="6"/>
      <c r="P1059" s="6"/>
    </row>
    <row r="1060" customFormat="false" ht="15" hidden="false" customHeight="false" outlineLevel="0" collapsed="false">
      <c r="A1060" s="6" t="s">
        <v>3331</v>
      </c>
      <c r="B1060" s="6" t="s">
        <v>255</v>
      </c>
      <c r="C1060" s="7" t="n">
        <v>45838</v>
      </c>
      <c r="D1060" s="6" t="s">
        <v>392</v>
      </c>
      <c r="E1060" s="6" t="s">
        <v>2948</v>
      </c>
      <c r="F1060" s="6" t="s">
        <v>3292</v>
      </c>
      <c r="G1060" s="6" t="s">
        <v>3332</v>
      </c>
      <c r="H1060" s="9" t="n">
        <v>6092</v>
      </c>
      <c r="K1060" s="6" t="s">
        <v>384</v>
      </c>
      <c r="L1060" s="6" t="s">
        <v>13</v>
      </c>
      <c r="M1060" s="6" t="s">
        <v>184</v>
      </c>
      <c r="N1060" s="6" t="s">
        <v>3333</v>
      </c>
      <c r="O1060" s="6"/>
      <c r="P1060" s="6"/>
    </row>
    <row r="1061" customFormat="false" ht="15" hidden="false" customHeight="false" outlineLevel="0" collapsed="false">
      <c r="A1061" s="6" t="s">
        <v>3334</v>
      </c>
      <c r="B1061" s="6" t="s">
        <v>191</v>
      </c>
      <c r="C1061" s="7" t="n">
        <v>45930</v>
      </c>
      <c r="D1061" s="6" t="s">
        <v>380</v>
      </c>
      <c r="E1061" s="6" t="s">
        <v>2948</v>
      </c>
      <c r="F1061" s="6" t="s">
        <v>3292</v>
      </c>
      <c r="G1061" s="6" t="s">
        <v>3335</v>
      </c>
      <c r="H1061" s="9" t="n">
        <v>2082</v>
      </c>
      <c r="K1061" s="6" t="s">
        <v>384</v>
      </c>
      <c r="L1061" s="6" t="s">
        <v>13</v>
      </c>
      <c r="M1061" s="6" t="s">
        <v>189</v>
      </c>
      <c r="N1061" s="6" t="s">
        <v>3336</v>
      </c>
      <c r="O1061" s="6"/>
      <c r="P1061" s="6"/>
    </row>
    <row r="1062" customFormat="false" ht="15" hidden="false" customHeight="false" outlineLevel="0" collapsed="false">
      <c r="A1062" s="6" t="s">
        <v>3337</v>
      </c>
      <c r="B1062" s="6" t="s">
        <v>491</v>
      </c>
      <c r="C1062" s="7" t="n">
        <v>45930</v>
      </c>
      <c r="D1062" s="6" t="s">
        <v>400</v>
      </c>
      <c r="E1062" s="6" t="s">
        <v>2948</v>
      </c>
      <c r="F1062" s="6" t="s">
        <v>3292</v>
      </c>
      <c r="G1062" s="6" t="s">
        <v>3338</v>
      </c>
      <c r="H1062" s="9" t="n">
        <v>8174</v>
      </c>
      <c r="K1062" s="6" t="s">
        <v>384</v>
      </c>
      <c r="L1062" s="6" t="s">
        <v>13</v>
      </c>
      <c r="M1062" s="6" t="s">
        <v>189</v>
      </c>
      <c r="N1062" s="6" t="s">
        <v>3339</v>
      </c>
      <c r="O1062" s="6"/>
      <c r="P1062" s="6"/>
    </row>
    <row r="1063" customFormat="false" ht="15" hidden="false" customHeight="false" outlineLevel="0" collapsed="false">
      <c r="A1063" s="6" t="s">
        <v>3340</v>
      </c>
      <c r="B1063" s="6" t="s">
        <v>196</v>
      </c>
      <c r="C1063" s="7" t="n">
        <v>46022</v>
      </c>
      <c r="D1063" s="6" t="s">
        <v>380</v>
      </c>
      <c r="E1063" s="6" t="s">
        <v>2948</v>
      </c>
      <c r="F1063" s="6" t="s">
        <v>3292</v>
      </c>
      <c r="G1063" s="6" t="s">
        <v>3341</v>
      </c>
      <c r="H1063" s="9" t="n">
        <v>4584</v>
      </c>
      <c r="K1063" s="6" t="s">
        <v>384</v>
      </c>
      <c r="L1063" s="6" t="s">
        <v>13</v>
      </c>
      <c r="M1063" s="6" t="s">
        <v>194</v>
      </c>
      <c r="N1063" s="6" t="s">
        <v>3342</v>
      </c>
      <c r="O1063" s="6"/>
      <c r="P1063" s="6"/>
    </row>
    <row r="1064" customFormat="false" ht="15" hidden="false" customHeight="false" outlineLevel="0" collapsed="false">
      <c r="A1064" s="6" t="s">
        <v>3343</v>
      </c>
      <c r="B1064" s="6" t="s">
        <v>235</v>
      </c>
      <c r="C1064" s="7" t="n">
        <v>46022</v>
      </c>
      <c r="D1064" s="6" t="s">
        <v>407</v>
      </c>
      <c r="E1064" s="6" t="s">
        <v>2948</v>
      </c>
      <c r="F1064" s="6" t="s">
        <v>3292</v>
      </c>
      <c r="G1064" s="6" t="s">
        <v>3344</v>
      </c>
      <c r="H1064" s="9" t="n">
        <v>12758</v>
      </c>
      <c r="K1064" s="6" t="s">
        <v>384</v>
      </c>
      <c r="L1064" s="6" t="s">
        <v>13</v>
      </c>
      <c r="M1064" s="6" t="s">
        <v>194</v>
      </c>
      <c r="N1064" s="6" t="s">
        <v>3345</v>
      </c>
      <c r="O1064" s="6"/>
      <c r="P1064" s="6"/>
    </row>
    <row r="1065" customFormat="false" ht="15" hidden="false" customHeight="false" outlineLevel="0" collapsed="false">
      <c r="A1065" s="6" t="s">
        <v>3346</v>
      </c>
      <c r="B1065" s="6" t="s">
        <v>201</v>
      </c>
      <c r="C1065" s="7" t="n">
        <v>46112</v>
      </c>
      <c r="D1065" s="6" t="s">
        <v>380</v>
      </c>
      <c r="E1065" s="6" t="s">
        <v>2948</v>
      </c>
      <c r="F1065" s="6" t="s">
        <v>3292</v>
      </c>
      <c r="G1065" s="6" t="s">
        <v>3347</v>
      </c>
      <c r="H1065" s="9" t="n">
        <v>1022</v>
      </c>
      <c r="K1065" s="6" t="s">
        <v>384</v>
      </c>
      <c r="L1065" s="6" t="s">
        <v>13</v>
      </c>
      <c r="M1065" s="6" t="s">
        <v>199</v>
      </c>
      <c r="N1065" s="6" t="s">
        <v>3348</v>
      </c>
      <c r="O1065" s="6"/>
      <c r="P1065" s="6"/>
    </row>
    <row r="1066" customFormat="false" ht="15" hidden="false" customHeight="false" outlineLevel="0" collapsed="false">
      <c r="A1066" s="6" t="s">
        <v>3349</v>
      </c>
      <c r="B1066" s="6" t="s">
        <v>206</v>
      </c>
      <c r="C1066" s="7" t="n">
        <v>46203</v>
      </c>
      <c r="D1066" s="6" t="s">
        <v>380</v>
      </c>
      <c r="E1066" s="6" t="s">
        <v>2948</v>
      </c>
      <c r="F1066" s="6" t="s">
        <v>3292</v>
      </c>
      <c r="G1066" s="6" t="s">
        <v>3350</v>
      </c>
      <c r="H1066" s="9" t="n">
        <v>1886</v>
      </c>
      <c r="K1066" s="6" t="s">
        <v>384</v>
      </c>
      <c r="L1066" s="6" t="s">
        <v>13</v>
      </c>
      <c r="M1066" s="6" t="s">
        <v>204</v>
      </c>
      <c r="N1066" s="6" t="s">
        <v>3351</v>
      </c>
      <c r="O1066" s="6"/>
      <c r="P1066" s="6" t="s">
        <v>3352</v>
      </c>
    </row>
    <row r="1067" customFormat="false" ht="15" hidden="false" customHeight="false" outlineLevel="0" collapsed="false">
      <c r="A1067" s="6" t="s">
        <v>3353</v>
      </c>
      <c r="B1067" s="6" t="s">
        <v>263</v>
      </c>
      <c r="C1067" s="7" t="n">
        <v>46203</v>
      </c>
      <c r="D1067" s="6" t="s">
        <v>392</v>
      </c>
      <c r="E1067" s="6" t="s">
        <v>2948</v>
      </c>
      <c r="F1067" s="6" t="s">
        <v>3292</v>
      </c>
      <c r="G1067" s="6" t="s">
        <v>3354</v>
      </c>
      <c r="H1067" s="9" t="n">
        <v>2908</v>
      </c>
      <c r="K1067" s="6" t="s">
        <v>384</v>
      </c>
      <c r="L1067" s="6" t="s">
        <v>13</v>
      </c>
      <c r="M1067" s="6" t="s">
        <v>204</v>
      </c>
      <c r="N1067" s="6" t="s">
        <v>3355</v>
      </c>
      <c r="O1067" s="6"/>
      <c r="P1067" s="6" t="s">
        <v>3352</v>
      </c>
    </row>
    <row r="1068" customFormat="false" ht="15" hidden="false" customHeight="false" outlineLevel="0" collapsed="false">
      <c r="A1068" s="6" t="s">
        <v>3356</v>
      </c>
      <c r="B1068" s="6" t="s">
        <v>379</v>
      </c>
      <c r="C1068" s="7" t="n">
        <v>44286</v>
      </c>
      <c r="D1068" s="6" t="s">
        <v>380</v>
      </c>
      <c r="E1068" s="6" t="s">
        <v>2948</v>
      </c>
      <c r="F1068" s="6" t="s">
        <v>3357</v>
      </c>
      <c r="G1068" s="6" t="s">
        <v>3358</v>
      </c>
      <c r="H1068" s="9" t="n">
        <v>-1595</v>
      </c>
      <c r="K1068" s="6" t="s">
        <v>384</v>
      </c>
      <c r="L1068" s="6" t="s">
        <v>13</v>
      </c>
      <c r="M1068" s="6" t="s">
        <v>119</v>
      </c>
      <c r="N1068" s="6" t="s">
        <v>3359</v>
      </c>
      <c r="O1068" s="6"/>
      <c r="P1068" s="6" t="s">
        <v>3360</v>
      </c>
    </row>
    <row r="1069" customFormat="false" ht="15" hidden="false" customHeight="false" outlineLevel="0" collapsed="false">
      <c r="A1069" s="6" t="s">
        <v>3361</v>
      </c>
      <c r="B1069" s="6" t="s">
        <v>103</v>
      </c>
      <c r="C1069" s="7" t="n">
        <v>44377</v>
      </c>
      <c r="D1069" s="6" t="s">
        <v>380</v>
      </c>
      <c r="E1069" s="6" t="s">
        <v>2948</v>
      </c>
      <c r="F1069" s="6" t="s">
        <v>3357</v>
      </c>
      <c r="G1069" s="6" t="s">
        <v>3362</v>
      </c>
      <c r="H1069" s="9" t="n">
        <v>-1480</v>
      </c>
      <c r="K1069" s="6" t="s">
        <v>384</v>
      </c>
      <c r="L1069" s="6" t="s">
        <v>13</v>
      </c>
      <c r="M1069" s="6" t="s">
        <v>100</v>
      </c>
      <c r="N1069" s="6" t="s">
        <v>3363</v>
      </c>
      <c r="O1069" s="6"/>
      <c r="P1069" s="6" t="s">
        <v>3364</v>
      </c>
    </row>
    <row r="1070" customFormat="false" ht="15" hidden="false" customHeight="false" outlineLevel="0" collapsed="false">
      <c r="A1070" s="6" t="s">
        <v>3365</v>
      </c>
      <c r="B1070" s="6" t="s">
        <v>391</v>
      </c>
      <c r="C1070" s="7" t="n">
        <v>44377</v>
      </c>
      <c r="D1070" s="6" t="s">
        <v>392</v>
      </c>
      <c r="E1070" s="6" t="s">
        <v>2948</v>
      </c>
      <c r="F1070" s="6" t="s">
        <v>3357</v>
      </c>
      <c r="G1070" s="6" t="s">
        <v>3366</v>
      </c>
      <c r="H1070" s="9" t="n">
        <v>-3075</v>
      </c>
      <c r="K1070" s="6" t="s">
        <v>384</v>
      </c>
      <c r="L1070" s="6" t="s">
        <v>13</v>
      </c>
      <c r="M1070" s="6" t="s">
        <v>100</v>
      </c>
      <c r="N1070" s="6" t="s">
        <v>3367</v>
      </c>
      <c r="O1070" s="6"/>
      <c r="P1070" s="6" t="s">
        <v>3364</v>
      </c>
    </row>
    <row r="1071" customFormat="false" ht="15" hidden="false" customHeight="false" outlineLevel="0" collapsed="false">
      <c r="A1071" s="6" t="s">
        <v>3368</v>
      </c>
      <c r="B1071" s="6" t="s">
        <v>111</v>
      </c>
      <c r="C1071" s="7" t="n">
        <v>44469</v>
      </c>
      <c r="D1071" s="6" t="s">
        <v>380</v>
      </c>
      <c r="E1071" s="6" t="s">
        <v>2948</v>
      </c>
      <c r="F1071" s="6" t="s">
        <v>3357</v>
      </c>
      <c r="G1071" s="6" t="s">
        <v>3369</v>
      </c>
      <c r="H1071" s="9" t="n">
        <v>2865</v>
      </c>
      <c r="K1071" s="6" t="s">
        <v>384</v>
      </c>
      <c r="L1071" s="6" t="s">
        <v>13</v>
      </c>
      <c r="M1071" s="6" t="s">
        <v>109</v>
      </c>
      <c r="N1071" s="6" t="s">
        <v>3370</v>
      </c>
      <c r="O1071" s="6"/>
      <c r="P1071" s="6" t="s">
        <v>3364</v>
      </c>
    </row>
    <row r="1072" customFormat="false" ht="15" hidden="false" customHeight="false" outlineLevel="0" collapsed="false">
      <c r="A1072" s="6" t="s">
        <v>3371</v>
      </c>
      <c r="B1072" s="6" t="s">
        <v>399</v>
      </c>
      <c r="C1072" s="7" t="n">
        <v>44469</v>
      </c>
      <c r="D1072" s="6" t="s">
        <v>400</v>
      </c>
      <c r="E1072" s="6" t="s">
        <v>2948</v>
      </c>
      <c r="F1072" s="6" t="s">
        <v>3357</v>
      </c>
      <c r="G1072" s="6" t="s">
        <v>3372</v>
      </c>
      <c r="H1072" s="9" t="n">
        <v>-210</v>
      </c>
      <c r="K1072" s="6" t="s">
        <v>384</v>
      </c>
      <c r="L1072" s="6" t="s">
        <v>13</v>
      </c>
      <c r="M1072" s="6" t="s">
        <v>109</v>
      </c>
      <c r="N1072" s="6" t="s">
        <v>3373</v>
      </c>
      <c r="O1072" s="6"/>
      <c r="P1072" s="6" t="s">
        <v>3364</v>
      </c>
    </row>
    <row r="1073" customFormat="false" ht="15" hidden="false" customHeight="false" outlineLevel="0" collapsed="false">
      <c r="A1073" s="6" t="s">
        <v>3374</v>
      </c>
      <c r="B1073" s="6" t="s">
        <v>116</v>
      </c>
      <c r="C1073" s="7" t="n">
        <v>44561</v>
      </c>
      <c r="D1073" s="6" t="s">
        <v>380</v>
      </c>
      <c r="E1073" s="6" t="s">
        <v>2948</v>
      </c>
      <c r="F1073" s="6" t="s">
        <v>3357</v>
      </c>
      <c r="G1073" s="6" t="s">
        <v>3375</v>
      </c>
      <c r="H1073" s="9" t="n">
        <v>10110</v>
      </c>
      <c r="K1073" s="6" t="s">
        <v>384</v>
      </c>
      <c r="L1073" s="6" t="s">
        <v>13</v>
      </c>
      <c r="M1073" s="6" t="s">
        <v>114</v>
      </c>
      <c r="N1073" s="6" t="s">
        <v>3376</v>
      </c>
      <c r="O1073" s="6"/>
      <c r="P1073" s="6" t="s">
        <v>3364</v>
      </c>
    </row>
    <row r="1074" customFormat="false" ht="15" hidden="false" customHeight="false" outlineLevel="0" collapsed="false">
      <c r="A1074" s="6" t="s">
        <v>3377</v>
      </c>
      <c r="B1074" s="6" t="s">
        <v>212</v>
      </c>
      <c r="C1074" s="7" t="n">
        <v>44561</v>
      </c>
      <c r="D1074" s="6" t="s">
        <v>407</v>
      </c>
      <c r="E1074" s="6" t="s">
        <v>2948</v>
      </c>
      <c r="F1074" s="6" t="s">
        <v>3357</v>
      </c>
      <c r="G1074" s="6" t="s">
        <v>3378</v>
      </c>
      <c r="H1074" s="9" t="n">
        <v>9900</v>
      </c>
      <c r="K1074" s="6" t="s">
        <v>384</v>
      </c>
      <c r="L1074" s="6" t="s">
        <v>13</v>
      </c>
      <c r="M1074" s="6" t="s">
        <v>114</v>
      </c>
      <c r="N1074" s="6" t="s">
        <v>3379</v>
      </c>
      <c r="O1074" s="6"/>
      <c r="P1074" s="8" t="s">
        <v>3380</v>
      </c>
    </row>
    <row r="1075" customFormat="false" ht="15" hidden="false" customHeight="false" outlineLevel="0" collapsed="false">
      <c r="A1075" s="6" t="s">
        <v>3381</v>
      </c>
      <c r="B1075" s="6" t="s">
        <v>121</v>
      </c>
      <c r="C1075" s="7" t="n">
        <v>44651</v>
      </c>
      <c r="D1075" s="6" t="s">
        <v>380</v>
      </c>
      <c r="E1075" s="6" t="s">
        <v>2948</v>
      </c>
      <c r="F1075" s="6" t="s">
        <v>3357</v>
      </c>
      <c r="G1075" s="6" t="s">
        <v>3382</v>
      </c>
      <c r="H1075" s="9" t="n">
        <v>-16192</v>
      </c>
      <c r="K1075" s="6" t="s">
        <v>384</v>
      </c>
      <c r="L1075" s="6" t="s">
        <v>13</v>
      </c>
      <c r="M1075" s="6" t="s">
        <v>119</v>
      </c>
      <c r="N1075" s="6" t="s">
        <v>3383</v>
      </c>
      <c r="O1075" s="6"/>
      <c r="P1075" s="6" t="s">
        <v>3364</v>
      </c>
    </row>
    <row r="1076" customFormat="false" ht="15" hidden="false" customHeight="false" outlineLevel="0" collapsed="false">
      <c r="A1076" s="6" t="s">
        <v>3384</v>
      </c>
      <c r="B1076" s="6" t="s">
        <v>126</v>
      </c>
      <c r="C1076" s="7" t="n">
        <v>44742</v>
      </c>
      <c r="D1076" s="6" t="s">
        <v>380</v>
      </c>
      <c r="E1076" s="6" t="s">
        <v>2948</v>
      </c>
      <c r="F1076" s="6" t="s">
        <v>3357</v>
      </c>
      <c r="G1076" s="6" t="s">
        <v>3385</v>
      </c>
      <c r="H1076" s="9" t="n">
        <v>-19295</v>
      </c>
      <c r="K1076" s="6" t="s">
        <v>384</v>
      </c>
      <c r="L1076" s="6" t="s">
        <v>13</v>
      </c>
      <c r="M1076" s="6" t="s">
        <v>124</v>
      </c>
      <c r="N1076" s="6" t="s">
        <v>3386</v>
      </c>
      <c r="O1076" s="6"/>
      <c r="P1076" s="6" t="s">
        <v>3364</v>
      </c>
    </row>
    <row r="1077" customFormat="false" ht="15" hidden="false" customHeight="false" outlineLevel="0" collapsed="false">
      <c r="A1077" s="6" t="s">
        <v>3387</v>
      </c>
      <c r="B1077" s="6" t="s">
        <v>417</v>
      </c>
      <c r="C1077" s="7" t="n">
        <v>44742</v>
      </c>
      <c r="D1077" s="6" t="s">
        <v>392</v>
      </c>
      <c r="E1077" s="6" t="s">
        <v>2948</v>
      </c>
      <c r="F1077" s="6" t="s">
        <v>3357</v>
      </c>
      <c r="G1077" s="6" t="s">
        <v>3388</v>
      </c>
      <c r="H1077" s="9" t="n">
        <v>-35487</v>
      </c>
      <c r="K1077" s="6" t="s">
        <v>384</v>
      </c>
      <c r="L1077" s="6" t="s">
        <v>13</v>
      </c>
      <c r="M1077" s="6" t="s">
        <v>124</v>
      </c>
      <c r="N1077" s="6" t="s">
        <v>3389</v>
      </c>
      <c r="O1077" s="6"/>
      <c r="P1077" s="6" t="s">
        <v>3364</v>
      </c>
    </row>
    <row r="1078" customFormat="false" ht="15" hidden="false" customHeight="false" outlineLevel="0" collapsed="false">
      <c r="A1078" s="6" t="s">
        <v>3390</v>
      </c>
      <c r="B1078" s="6" t="s">
        <v>131</v>
      </c>
      <c r="C1078" s="7" t="n">
        <v>44834</v>
      </c>
      <c r="D1078" s="6" t="s">
        <v>380</v>
      </c>
      <c r="E1078" s="6" t="s">
        <v>2948</v>
      </c>
      <c r="F1078" s="6" t="s">
        <v>3357</v>
      </c>
      <c r="G1078" s="6" t="s">
        <v>3391</v>
      </c>
      <c r="H1078" s="9" t="n">
        <v>13959</v>
      </c>
      <c r="K1078" s="6" t="s">
        <v>384</v>
      </c>
      <c r="L1078" s="6" t="s">
        <v>13</v>
      </c>
      <c r="M1078" s="6" t="s">
        <v>129</v>
      </c>
      <c r="N1078" s="6" t="s">
        <v>3392</v>
      </c>
      <c r="O1078" s="6"/>
      <c r="P1078" s="6" t="s">
        <v>3364</v>
      </c>
    </row>
    <row r="1079" customFormat="false" ht="15" hidden="false" customHeight="false" outlineLevel="0" collapsed="false">
      <c r="A1079" s="6" t="s">
        <v>3393</v>
      </c>
      <c r="B1079" s="6" t="s">
        <v>424</v>
      </c>
      <c r="C1079" s="7" t="n">
        <v>44834</v>
      </c>
      <c r="D1079" s="6" t="s">
        <v>400</v>
      </c>
      <c r="E1079" s="6" t="s">
        <v>2948</v>
      </c>
      <c r="F1079" s="6" t="s">
        <v>3357</v>
      </c>
      <c r="G1079" s="6" t="s">
        <v>3394</v>
      </c>
      <c r="H1079" s="9" t="n">
        <v>-21528</v>
      </c>
      <c r="K1079" s="6" t="s">
        <v>384</v>
      </c>
      <c r="L1079" s="6" t="s">
        <v>13</v>
      </c>
      <c r="M1079" s="6" t="s">
        <v>129</v>
      </c>
      <c r="N1079" s="6" t="s">
        <v>3395</v>
      </c>
      <c r="O1079" s="6"/>
      <c r="P1079" s="6" t="s">
        <v>3364</v>
      </c>
    </row>
    <row r="1080" customFormat="false" ht="15" hidden="false" customHeight="false" outlineLevel="0" collapsed="false">
      <c r="A1080" s="6" t="s">
        <v>3396</v>
      </c>
      <c r="B1080" s="6" t="s">
        <v>136</v>
      </c>
      <c r="C1080" s="7" t="n">
        <v>44926</v>
      </c>
      <c r="D1080" s="6" t="s">
        <v>380</v>
      </c>
      <c r="E1080" s="6" t="s">
        <v>2948</v>
      </c>
      <c r="F1080" s="6" t="s">
        <v>3357</v>
      </c>
      <c r="G1080" s="6" t="s">
        <v>3397</v>
      </c>
      <c r="H1080" s="9" t="n">
        <v>29665</v>
      </c>
      <c r="K1080" s="6" t="s">
        <v>384</v>
      </c>
      <c r="L1080" s="6" t="s">
        <v>13</v>
      </c>
      <c r="M1080" s="6" t="s">
        <v>134</v>
      </c>
      <c r="N1080" s="6" t="s">
        <v>3398</v>
      </c>
      <c r="O1080" s="6"/>
      <c r="P1080" s="6" t="s">
        <v>3364</v>
      </c>
    </row>
    <row r="1081" customFormat="false" ht="15" hidden="false" customHeight="false" outlineLevel="0" collapsed="false">
      <c r="A1081" s="6" t="s">
        <v>3399</v>
      </c>
      <c r="B1081" s="6" t="s">
        <v>220</v>
      </c>
      <c r="C1081" s="7" t="n">
        <v>44926</v>
      </c>
      <c r="D1081" s="6" t="s">
        <v>407</v>
      </c>
      <c r="E1081" s="6" t="s">
        <v>2948</v>
      </c>
      <c r="F1081" s="6" t="s">
        <v>3357</v>
      </c>
      <c r="G1081" s="6" t="s">
        <v>3400</v>
      </c>
      <c r="H1081" s="9" t="n">
        <v>8137</v>
      </c>
      <c r="K1081" s="6" t="s">
        <v>384</v>
      </c>
      <c r="L1081" s="6" t="s">
        <v>13</v>
      </c>
      <c r="M1081" s="6" t="s">
        <v>134</v>
      </c>
      <c r="N1081" s="6" t="s">
        <v>3401</v>
      </c>
      <c r="O1081" s="6"/>
      <c r="P1081" s="6" t="s">
        <v>3364</v>
      </c>
    </row>
    <row r="1082" customFormat="false" ht="15" hidden="false" customHeight="false" outlineLevel="0" collapsed="false">
      <c r="A1082" s="6" t="s">
        <v>3402</v>
      </c>
      <c r="B1082" s="6" t="s">
        <v>141</v>
      </c>
      <c r="C1082" s="7" t="n">
        <v>45016</v>
      </c>
      <c r="D1082" s="6" t="s">
        <v>380</v>
      </c>
      <c r="E1082" s="6" t="s">
        <v>2948</v>
      </c>
      <c r="F1082" s="6" t="s">
        <v>3357</v>
      </c>
      <c r="G1082" s="6" t="s">
        <v>3403</v>
      </c>
      <c r="H1082" s="9" t="n">
        <v>38682</v>
      </c>
      <c r="K1082" s="6" t="s">
        <v>384</v>
      </c>
      <c r="L1082" s="6" t="s">
        <v>13</v>
      </c>
      <c r="M1082" s="6" t="s">
        <v>139</v>
      </c>
      <c r="N1082" s="6" t="s">
        <v>3404</v>
      </c>
      <c r="O1082" s="6"/>
      <c r="P1082" s="6" t="s">
        <v>3405</v>
      </c>
    </row>
    <row r="1083" customFormat="false" ht="15" hidden="false" customHeight="false" outlineLevel="0" collapsed="false">
      <c r="A1083" s="6" t="s">
        <v>3406</v>
      </c>
      <c r="B1083" s="6" t="s">
        <v>146</v>
      </c>
      <c r="C1083" s="7" t="n">
        <v>45107</v>
      </c>
      <c r="D1083" s="6" t="s">
        <v>380</v>
      </c>
      <c r="E1083" s="6" t="s">
        <v>2948</v>
      </c>
      <c r="F1083" s="6" t="s">
        <v>3357</v>
      </c>
      <c r="G1083" s="6" t="s">
        <v>3407</v>
      </c>
      <c r="H1083" s="9" t="n">
        <v>45932</v>
      </c>
      <c r="K1083" s="6" t="s">
        <v>384</v>
      </c>
      <c r="L1083" s="6" t="s">
        <v>13</v>
      </c>
      <c r="M1083" s="6" t="s">
        <v>144</v>
      </c>
      <c r="N1083" s="6" t="s">
        <v>3408</v>
      </c>
      <c r="O1083" s="6"/>
      <c r="P1083" s="6" t="s">
        <v>3405</v>
      </c>
    </row>
    <row r="1084" customFormat="false" ht="15" hidden="false" customHeight="false" outlineLevel="0" collapsed="false">
      <c r="A1084" s="6" t="s">
        <v>3409</v>
      </c>
      <c r="B1084" s="6" t="s">
        <v>440</v>
      </c>
      <c r="C1084" s="7" t="n">
        <v>45107</v>
      </c>
      <c r="D1084" s="6" t="s">
        <v>392</v>
      </c>
      <c r="E1084" s="6" t="s">
        <v>2948</v>
      </c>
      <c r="F1084" s="6" t="s">
        <v>3357</v>
      </c>
      <c r="G1084" s="6" t="s">
        <v>3410</v>
      </c>
      <c r="H1084" s="9" t="n">
        <v>84614</v>
      </c>
      <c r="K1084" s="6" t="s">
        <v>384</v>
      </c>
      <c r="L1084" s="6" t="s">
        <v>13</v>
      </c>
      <c r="M1084" s="6" t="s">
        <v>144</v>
      </c>
      <c r="N1084" s="6" t="s">
        <v>3411</v>
      </c>
      <c r="O1084" s="6"/>
      <c r="P1084" s="6" t="s">
        <v>3405</v>
      </c>
    </row>
    <row r="1085" customFormat="false" ht="15" hidden="false" customHeight="false" outlineLevel="0" collapsed="false">
      <c r="A1085" s="6" t="s">
        <v>3412</v>
      </c>
      <c r="B1085" s="6" t="s">
        <v>151</v>
      </c>
      <c r="C1085" s="7" t="n">
        <v>45199</v>
      </c>
      <c r="D1085" s="6" t="s">
        <v>380</v>
      </c>
      <c r="E1085" s="6" t="s">
        <v>2948</v>
      </c>
      <c r="F1085" s="6" t="s">
        <v>3357</v>
      </c>
      <c r="G1085" s="6" t="s">
        <v>3413</v>
      </c>
      <c r="H1085" s="9" t="n">
        <v>64890</v>
      </c>
      <c r="K1085" s="6" t="s">
        <v>384</v>
      </c>
      <c r="L1085" s="6" t="s">
        <v>13</v>
      </c>
      <c r="M1085" s="6" t="s">
        <v>149</v>
      </c>
      <c r="N1085" s="6" t="s">
        <v>3414</v>
      </c>
      <c r="O1085" s="6"/>
      <c r="P1085" s="6" t="s">
        <v>3405</v>
      </c>
    </row>
    <row r="1086" customFormat="false" ht="15" hidden="false" customHeight="false" outlineLevel="0" collapsed="false">
      <c r="A1086" s="6" t="s">
        <v>3415</v>
      </c>
      <c r="B1086" s="6" t="s">
        <v>447</v>
      </c>
      <c r="C1086" s="7" t="n">
        <v>45199</v>
      </c>
      <c r="D1086" s="6" t="s">
        <v>400</v>
      </c>
      <c r="E1086" s="6" t="s">
        <v>2948</v>
      </c>
      <c r="F1086" s="6" t="s">
        <v>3357</v>
      </c>
      <c r="G1086" s="6" t="s">
        <v>3416</v>
      </c>
      <c r="H1086" s="9" t="n">
        <v>149504</v>
      </c>
      <c r="K1086" s="6" t="s">
        <v>384</v>
      </c>
      <c r="L1086" s="6" t="s">
        <v>13</v>
      </c>
      <c r="M1086" s="6" t="s">
        <v>149</v>
      </c>
      <c r="N1086" s="6" t="s">
        <v>3417</v>
      </c>
      <c r="O1086" s="6"/>
      <c r="P1086" s="6" t="s">
        <v>3405</v>
      </c>
    </row>
    <row r="1087" customFormat="false" ht="15" hidden="false" customHeight="false" outlineLevel="0" collapsed="false">
      <c r="A1087" s="6" t="s">
        <v>3418</v>
      </c>
      <c r="B1087" s="6" t="s">
        <v>156</v>
      </c>
      <c r="C1087" s="7" t="n">
        <v>45291</v>
      </c>
      <c r="D1087" s="6" t="s">
        <v>380</v>
      </c>
      <c r="E1087" s="6" t="s">
        <v>2948</v>
      </c>
      <c r="F1087" s="6" t="s">
        <v>3357</v>
      </c>
      <c r="G1087" s="6" t="s">
        <v>3419</v>
      </c>
      <c r="H1087" s="9" t="n">
        <v>55441</v>
      </c>
      <c r="K1087" s="6" t="s">
        <v>384</v>
      </c>
      <c r="L1087" s="6" t="s">
        <v>13</v>
      </c>
      <c r="M1087" s="6" t="s">
        <v>154</v>
      </c>
      <c r="N1087" s="6" t="s">
        <v>3420</v>
      </c>
      <c r="O1087" s="6"/>
      <c r="P1087" s="6" t="s">
        <v>3405</v>
      </c>
    </row>
    <row r="1088" customFormat="false" ht="15" hidden="false" customHeight="false" outlineLevel="0" collapsed="false">
      <c r="A1088" s="6" t="s">
        <v>3421</v>
      </c>
      <c r="B1088" s="6" t="s">
        <v>225</v>
      </c>
      <c r="C1088" s="7" t="n">
        <v>45291</v>
      </c>
      <c r="D1088" s="6" t="s">
        <v>407</v>
      </c>
      <c r="E1088" s="6" t="s">
        <v>2948</v>
      </c>
      <c r="F1088" s="6" t="s">
        <v>3357</v>
      </c>
      <c r="G1088" s="6" t="s">
        <v>3422</v>
      </c>
      <c r="H1088" s="9" t="n">
        <v>204945</v>
      </c>
      <c r="K1088" s="6" t="s">
        <v>384</v>
      </c>
      <c r="L1088" s="6" t="s">
        <v>13</v>
      </c>
      <c r="M1088" s="6" t="s">
        <v>154</v>
      </c>
      <c r="N1088" s="6" t="s">
        <v>3423</v>
      </c>
      <c r="O1088" s="6"/>
      <c r="P1088" s="6" t="s">
        <v>3405</v>
      </c>
    </row>
    <row r="1089" customFormat="false" ht="15" hidden="false" customHeight="false" outlineLevel="0" collapsed="false">
      <c r="A1089" s="6" t="s">
        <v>3424</v>
      </c>
      <c r="B1089" s="6" t="s">
        <v>161</v>
      </c>
      <c r="C1089" s="7" t="n">
        <v>45382</v>
      </c>
      <c r="D1089" s="6" t="s">
        <v>380</v>
      </c>
      <c r="E1089" s="6" t="s">
        <v>2948</v>
      </c>
      <c r="F1089" s="6" t="s">
        <v>3357</v>
      </c>
      <c r="G1089" s="6" t="s">
        <v>3425</v>
      </c>
      <c r="H1089" s="9" t="n">
        <v>89894</v>
      </c>
      <c r="K1089" s="6" t="s">
        <v>384</v>
      </c>
      <c r="L1089" s="6" t="s">
        <v>13</v>
      </c>
      <c r="M1089" s="6" t="s">
        <v>159</v>
      </c>
      <c r="N1089" s="6" t="s">
        <v>3426</v>
      </c>
      <c r="O1089" s="6"/>
      <c r="P1089" s="6" t="s">
        <v>3405</v>
      </c>
    </row>
    <row r="1090" customFormat="false" ht="15" hidden="false" customHeight="false" outlineLevel="0" collapsed="false">
      <c r="A1090" s="6" t="s">
        <v>3427</v>
      </c>
      <c r="B1090" s="6" t="s">
        <v>166</v>
      </c>
      <c r="C1090" s="7" t="n">
        <v>45473</v>
      </c>
      <c r="D1090" s="6" t="s">
        <v>380</v>
      </c>
      <c r="E1090" s="6" t="s">
        <v>2948</v>
      </c>
      <c r="F1090" s="6" t="s">
        <v>3357</v>
      </c>
      <c r="G1090" s="6" t="s">
        <v>3428</v>
      </c>
      <c r="H1090" s="9" t="n">
        <v>50821</v>
      </c>
      <c r="K1090" s="6" t="s">
        <v>384</v>
      </c>
      <c r="L1090" s="6" t="s">
        <v>13</v>
      </c>
      <c r="M1090" s="6" t="s">
        <v>164</v>
      </c>
      <c r="N1090" s="6" t="s">
        <v>3429</v>
      </c>
      <c r="O1090" s="6"/>
      <c r="P1090" s="6" t="s">
        <v>3405</v>
      </c>
    </row>
    <row r="1091" customFormat="false" ht="15" hidden="false" customHeight="false" outlineLevel="0" collapsed="false">
      <c r="A1091" s="6" t="s">
        <v>3430</v>
      </c>
      <c r="B1091" s="6" t="s">
        <v>241</v>
      </c>
      <c r="C1091" s="7" t="n">
        <v>45473</v>
      </c>
      <c r="D1091" s="6" t="s">
        <v>392</v>
      </c>
      <c r="E1091" s="6" t="s">
        <v>2948</v>
      </c>
      <c r="F1091" s="6" t="s">
        <v>3357</v>
      </c>
      <c r="G1091" s="6" t="s">
        <v>3431</v>
      </c>
      <c r="H1091" s="9" t="n">
        <v>140715</v>
      </c>
      <c r="K1091" s="6" t="s">
        <v>384</v>
      </c>
      <c r="L1091" s="6" t="s">
        <v>13</v>
      </c>
      <c r="M1091" s="6" t="s">
        <v>164</v>
      </c>
      <c r="N1091" s="6" t="s">
        <v>3432</v>
      </c>
      <c r="O1091" s="6"/>
      <c r="P1091" s="6" t="s">
        <v>3405</v>
      </c>
    </row>
    <row r="1092" customFormat="false" ht="15" hidden="false" customHeight="false" outlineLevel="0" collapsed="false">
      <c r="A1092" s="6" t="s">
        <v>3433</v>
      </c>
      <c r="B1092" s="6" t="s">
        <v>171</v>
      </c>
      <c r="C1092" s="7" t="n">
        <v>45565</v>
      </c>
      <c r="D1092" s="6" t="s">
        <v>380</v>
      </c>
      <c r="E1092" s="6" t="s">
        <v>2948</v>
      </c>
      <c r="F1092" s="6" t="s">
        <v>3357</v>
      </c>
      <c r="G1092" s="6" t="s">
        <v>3434</v>
      </c>
      <c r="H1092" s="9" t="n">
        <v>82412</v>
      </c>
      <c r="K1092" s="6" t="s">
        <v>384</v>
      </c>
      <c r="L1092" s="6" t="s">
        <v>13</v>
      </c>
      <c r="M1092" s="6" t="s">
        <v>169</v>
      </c>
      <c r="N1092" s="6" t="s">
        <v>3435</v>
      </c>
      <c r="O1092" s="6"/>
      <c r="P1092" s="6" t="s">
        <v>3405</v>
      </c>
    </row>
    <row r="1093" customFormat="false" ht="15" hidden="false" customHeight="false" outlineLevel="0" collapsed="false">
      <c r="A1093" s="6" t="s">
        <v>3436</v>
      </c>
      <c r="B1093" s="6" t="s">
        <v>469</v>
      </c>
      <c r="C1093" s="7" t="n">
        <v>45565</v>
      </c>
      <c r="D1093" s="6" t="s">
        <v>400</v>
      </c>
      <c r="E1093" s="6" t="s">
        <v>2948</v>
      </c>
      <c r="F1093" s="6" t="s">
        <v>3357</v>
      </c>
      <c r="G1093" s="6" t="s">
        <v>3437</v>
      </c>
      <c r="H1093" s="9" t="n">
        <v>223127</v>
      </c>
      <c r="K1093" s="6" t="s">
        <v>384</v>
      </c>
      <c r="L1093" s="6" t="s">
        <v>13</v>
      </c>
      <c r="M1093" s="6" t="s">
        <v>169</v>
      </c>
      <c r="N1093" s="6" t="s">
        <v>3438</v>
      </c>
      <c r="O1093" s="6"/>
      <c r="P1093" s="6" t="s">
        <v>3405</v>
      </c>
    </row>
    <row r="1094" customFormat="false" ht="15" hidden="false" customHeight="false" outlineLevel="0" collapsed="false">
      <c r="A1094" s="6" t="s">
        <v>3439</v>
      </c>
      <c r="B1094" s="6" t="s">
        <v>176</v>
      </c>
      <c r="C1094" s="7" t="n">
        <v>45657</v>
      </c>
      <c r="D1094" s="6" t="s">
        <v>380</v>
      </c>
      <c r="E1094" s="6" t="s">
        <v>2948</v>
      </c>
      <c r="F1094" s="6" t="s">
        <v>3357</v>
      </c>
      <c r="G1094" s="6" t="s">
        <v>3440</v>
      </c>
      <c r="H1094" s="9" t="n">
        <v>72703</v>
      </c>
      <c r="K1094" s="6" t="s">
        <v>384</v>
      </c>
      <c r="L1094" s="6" t="s">
        <v>13</v>
      </c>
      <c r="M1094" s="6" t="s">
        <v>174</v>
      </c>
      <c r="N1094" s="6" t="s">
        <v>3441</v>
      </c>
      <c r="O1094" s="6"/>
      <c r="P1094" s="6" t="s">
        <v>3405</v>
      </c>
    </row>
    <row r="1095" customFormat="false" ht="15" hidden="false" customHeight="false" outlineLevel="0" collapsed="false">
      <c r="A1095" s="6" t="s">
        <v>3442</v>
      </c>
      <c r="B1095" s="6" t="s">
        <v>230</v>
      </c>
      <c r="C1095" s="7" t="n">
        <v>45657</v>
      </c>
      <c r="D1095" s="6" t="s">
        <v>407</v>
      </c>
      <c r="E1095" s="6" t="s">
        <v>2948</v>
      </c>
      <c r="F1095" s="6" t="s">
        <v>3357</v>
      </c>
      <c r="G1095" s="6" t="s">
        <v>3443</v>
      </c>
      <c r="H1095" s="9" t="n">
        <v>295830</v>
      </c>
      <c r="K1095" s="6" t="s">
        <v>384</v>
      </c>
      <c r="L1095" s="6" t="s">
        <v>13</v>
      </c>
      <c r="M1095" s="6" t="s">
        <v>174</v>
      </c>
      <c r="N1095" s="6" t="s">
        <v>3444</v>
      </c>
      <c r="O1095" s="6"/>
      <c r="P1095" s="6" t="s">
        <v>3405</v>
      </c>
    </row>
    <row r="1096" customFormat="false" ht="15" hidden="false" customHeight="false" outlineLevel="0" collapsed="false">
      <c r="A1096" s="6" t="s">
        <v>3445</v>
      </c>
      <c r="B1096" s="6" t="s">
        <v>181</v>
      </c>
      <c r="C1096" s="7" t="n">
        <v>45747</v>
      </c>
      <c r="D1096" s="6" t="s">
        <v>380</v>
      </c>
      <c r="E1096" s="6" t="s">
        <v>2948</v>
      </c>
      <c r="F1096" s="6" t="s">
        <v>3357</v>
      </c>
      <c r="G1096" s="6" t="s">
        <v>3446</v>
      </c>
      <c r="H1096" s="9" t="n">
        <v>109532</v>
      </c>
      <c r="K1096" s="6" t="s">
        <v>384</v>
      </c>
      <c r="L1096" s="6" t="s">
        <v>13</v>
      </c>
      <c r="M1096" s="6" t="s">
        <v>179</v>
      </c>
      <c r="N1096" s="6" t="s">
        <v>3447</v>
      </c>
      <c r="O1096" s="6"/>
      <c r="P1096" s="6" t="s">
        <v>3364</v>
      </c>
    </row>
    <row r="1097" customFormat="false" ht="15" hidden="false" customHeight="false" outlineLevel="0" collapsed="false">
      <c r="A1097" s="6" t="s">
        <v>3448</v>
      </c>
      <c r="B1097" s="6" t="s">
        <v>186</v>
      </c>
      <c r="C1097" s="7" t="n">
        <v>45838</v>
      </c>
      <c r="D1097" s="6" t="s">
        <v>380</v>
      </c>
      <c r="E1097" s="6" t="s">
        <v>2948</v>
      </c>
      <c r="F1097" s="6" t="s">
        <v>3357</v>
      </c>
      <c r="G1097" s="6" t="s">
        <v>3449</v>
      </c>
      <c r="H1097" s="9" t="n">
        <v>64093</v>
      </c>
      <c r="K1097" s="6" t="s">
        <v>384</v>
      </c>
      <c r="L1097" s="6" t="s">
        <v>13</v>
      </c>
      <c r="M1097" s="6" t="s">
        <v>184</v>
      </c>
      <c r="N1097" s="6" t="s">
        <v>3450</v>
      </c>
      <c r="O1097" s="6"/>
      <c r="P1097" s="6" t="s">
        <v>3364</v>
      </c>
    </row>
    <row r="1098" customFormat="false" ht="15" hidden="false" customHeight="false" outlineLevel="0" collapsed="false">
      <c r="A1098" s="6" t="s">
        <v>3451</v>
      </c>
      <c r="B1098" s="6" t="s">
        <v>255</v>
      </c>
      <c r="C1098" s="7" t="n">
        <v>45838</v>
      </c>
      <c r="D1098" s="6" t="s">
        <v>392</v>
      </c>
      <c r="E1098" s="6" t="s">
        <v>2948</v>
      </c>
      <c r="F1098" s="6" t="s">
        <v>3357</v>
      </c>
      <c r="G1098" s="6" t="s">
        <v>3452</v>
      </c>
      <c r="H1098" s="9" t="n">
        <v>173625</v>
      </c>
      <c r="K1098" s="6" t="s">
        <v>384</v>
      </c>
      <c r="L1098" s="6" t="s">
        <v>13</v>
      </c>
      <c r="M1098" s="6" t="s">
        <v>184</v>
      </c>
      <c r="N1098" s="6" t="s">
        <v>3453</v>
      </c>
      <c r="O1098" s="6"/>
      <c r="P1098" s="6" t="s">
        <v>3364</v>
      </c>
    </row>
    <row r="1099" customFormat="false" ht="15" hidden="false" customHeight="false" outlineLevel="0" collapsed="false">
      <c r="A1099" s="6" t="s">
        <v>3454</v>
      </c>
      <c r="B1099" s="6" t="s">
        <v>191</v>
      </c>
      <c r="C1099" s="7" t="n">
        <v>45930</v>
      </c>
      <c r="D1099" s="6" t="s">
        <v>380</v>
      </c>
      <c r="E1099" s="6" t="s">
        <v>2948</v>
      </c>
      <c r="F1099" s="6" t="s">
        <v>3357</v>
      </c>
      <c r="G1099" s="6" t="s">
        <v>3455</v>
      </c>
      <c r="H1099" s="9" t="n">
        <v>92301</v>
      </c>
      <c r="K1099" s="6" t="s">
        <v>384</v>
      </c>
      <c r="L1099" s="6" t="s">
        <v>13</v>
      </c>
      <c r="M1099" s="6" t="s">
        <v>189</v>
      </c>
      <c r="N1099" s="6" t="s">
        <v>3456</v>
      </c>
      <c r="O1099" s="6"/>
      <c r="P1099" s="6" t="s">
        <v>3364</v>
      </c>
    </row>
    <row r="1100" customFormat="false" ht="15" hidden="false" customHeight="false" outlineLevel="0" collapsed="false">
      <c r="A1100" s="6" t="s">
        <v>3457</v>
      </c>
      <c r="B1100" s="6" t="s">
        <v>491</v>
      </c>
      <c r="C1100" s="7" t="n">
        <v>45930</v>
      </c>
      <c r="D1100" s="6" t="s">
        <v>400</v>
      </c>
      <c r="E1100" s="6" t="s">
        <v>2948</v>
      </c>
      <c r="F1100" s="6" t="s">
        <v>3357</v>
      </c>
      <c r="G1100" s="6" t="s">
        <v>3458</v>
      </c>
      <c r="H1100" s="9" t="n">
        <v>265926</v>
      </c>
      <c r="K1100" s="6" t="s">
        <v>384</v>
      </c>
      <c r="L1100" s="6" t="s">
        <v>13</v>
      </c>
      <c r="M1100" s="6" t="s">
        <v>189</v>
      </c>
      <c r="N1100" s="6" t="s">
        <v>3459</v>
      </c>
      <c r="O1100" s="6"/>
      <c r="P1100" s="6" t="s">
        <v>3364</v>
      </c>
    </row>
    <row r="1101" customFormat="false" ht="15" hidden="false" customHeight="false" outlineLevel="0" collapsed="false">
      <c r="A1101" s="6" t="s">
        <v>3460</v>
      </c>
      <c r="B1101" s="6" t="s">
        <v>196</v>
      </c>
      <c r="C1101" s="7" t="n">
        <v>46022</v>
      </c>
      <c r="D1101" s="6" t="s">
        <v>380</v>
      </c>
      <c r="E1101" s="6" t="s">
        <v>2948</v>
      </c>
      <c r="F1101" s="6" t="s">
        <v>3357</v>
      </c>
      <c r="G1101" s="6" t="s">
        <v>3461</v>
      </c>
      <c r="H1101" s="9" t="n">
        <v>56734</v>
      </c>
      <c r="K1101" s="6" t="s">
        <v>384</v>
      </c>
      <c r="L1101" s="6" t="s">
        <v>13</v>
      </c>
      <c r="M1101" s="6" t="s">
        <v>194</v>
      </c>
      <c r="N1101" s="6" t="s">
        <v>3462</v>
      </c>
      <c r="O1101" s="6"/>
      <c r="P1101" s="6" t="s">
        <v>3364</v>
      </c>
    </row>
    <row r="1102" customFormat="false" ht="15" hidden="false" customHeight="false" outlineLevel="0" collapsed="false">
      <c r="A1102" s="6" t="s">
        <v>3463</v>
      </c>
      <c r="B1102" s="6" t="s">
        <v>235</v>
      </c>
      <c r="C1102" s="7" t="n">
        <v>46022</v>
      </c>
      <c r="D1102" s="6" t="s">
        <v>407</v>
      </c>
      <c r="E1102" s="6" t="s">
        <v>2948</v>
      </c>
      <c r="F1102" s="6" t="s">
        <v>3357</v>
      </c>
      <c r="G1102" s="6" t="s">
        <v>3464</v>
      </c>
      <c r="H1102" s="9" t="n">
        <v>322660</v>
      </c>
      <c r="K1102" s="6" t="s">
        <v>384</v>
      </c>
      <c r="L1102" s="6" t="s">
        <v>13</v>
      </c>
      <c r="M1102" s="6" t="s">
        <v>194</v>
      </c>
      <c r="N1102" s="6" t="s">
        <v>3465</v>
      </c>
      <c r="O1102" s="6"/>
      <c r="P1102" s="6" t="s">
        <v>3364</v>
      </c>
    </row>
    <row r="1103" customFormat="false" ht="15" hidden="false" customHeight="false" outlineLevel="0" collapsed="false">
      <c r="A1103" s="6" t="s">
        <v>3466</v>
      </c>
      <c r="B1103" s="6" t="s">
        <v>201</v>
      </c>
      <c r="C1103" s="7" t="n">
        <v>46112</v>
      </c>
      <c r="D1103" s="6" t="s">
        <v>380</v>
      </c>
      <c r="E1103" s="6" t="s">
        <v>2948</v>
      </c>
      <c r="F1103" s="6" t="s">
        <v>3357</v>
      </c>
      <c r="G1103" s="6" t="s">
        <v>3467</v>
      </c>
      <c r="H1103" s="9" t="n">
        <v>102778</v>
      </c>
      <c r="K1103" s="6" t="s">
        <v>384</v>
      </c>
      <c r="L1103" s="6" t="s">
        <v>13</v>
      </c>
      <c r="M1103" s="6" t="s">
        <v>199</v>
      </c>
      <c r="N1103" s="6" t="s">
        <v>3468</v>
      </c>
      <c r="O1103" s="6"/>
      <c r="P1103" s="6" t="s">
        <v>3364</v>
      </c>
    </row>
    <row r="1104" customFormat="false" ht="15" hidden="false" customHeight="false" outlineLevel="0" collapsed="false">
      <c r="A1104" s="6" t="s">
        <v>3469</v>
      </c>
      <c r="B1104" s="6" t="s">
        <v>206</v>
      </c>
      <c r="C1104" s="7" t="n">
        <v>46203</v>
      </c>
      <c r="D1104" s="6" t="s">
        <v>380</v>
      </c>
      <c r="E1104" s="6" t="s">
        <v>2948</v>
      </c>
      <c r="F1104" s="6" t="s">
        <v>3357</v>
      </c>
      <c r="G1104" s="6" t="s">
        <v>3470</v>
      </c>
      <c r="H1104" s="9" t="n">
        <v>52344</v>
      </c>
      <c r="K1104" s="6" t="s">
        <v>384</v>
      </c>
      <c r="L1104" s="6" t="s">
        <v>13</v>
      </c>
      <c r="M1104" s="6" t="s">
        <v>204</v>
      </c>
      <c r="N1104" s="6" t="s">
        <v>3471</v>
      </c>
      <c r="O1104" s="6"/>
      <c r="P1104" s="6" t="s">
        <v>3364</v>
      </c>
    </row>
    <row r="1105" customFormat="false" ht="15" hidden="false" customHeight="false" outlineLevel="0" collapsed="false">
      <c r="A1105" s="6" t="s">
        <v>3472</v>
      </c>
      <c r="B1105" s="6" t="s">
        <v>263</v>
      </c>
      <c r="C1105" s="7" t="n">
        <v>46203</v>
      </c>
      <c r="D1105" s="6" t="s">
        <v>392</v>
      </c>
      <c r="E1105" s="6" t="s">
        <v>2948</v>
      </c>
      <c r="F1105" s="6" t="s">
        <v>3357</v>
      </c>
      <c r="G1105" s="6" t="s">
        <v>3473</v>
      </c>
      <c r="H1105" s="9" t="n">
        <v>155122</v>
      </c>
      <c r="K1105" s="6" t="s">
        <v>384</v>
      </c>
      <c r="L1105" s="6" t="s">
        <v>13</v>
      </c>
      <c r="M1105" s="6" t="s">
        <v>204</v>
      </c>
      <c r="N1105" s="6" t="s">
        <v>3474</v>
      </c>
      <c r="O1105" s="6"/>
      <c r="P1105" s="6" t="s">
        <v>3364</v>
      </c>
    </row>
    <row r="1106" customFormat="false" ht="15" hidden="false" customHeight="false" outlineLevel="0" collapsed="false">
      <c r="A1106" s="6" t="s">
        <v>3475</v>
      </c>
      <c r="B1106" s="6" t="s">
        <v>131</v>
      </c>
      <c r="C1106" s="7" t="n">
        <v>44834</v>
      </c>
      <c r="D1106" s="6" t="s">
        <v>380</v>
      </c>
      <c r="E1106" s="6" t="s">
        <v>2948</v>
      </c>
      <c r="F1106" s="6" t="s">
        <v>3476</v>
      </c>
      <c r="G1106" s="6" t="s">
        <v>2419</v>
      </c>
      <c r="H1106" s="10" t="n">
        <v>0.1</v>
      </c>
      <c r="K1106" s="6" t="s">
        <v>742</v>
      </c>
      <c r="L1106" s="6" t="s">
        <v>13</v>
      </c>
      <c r="M1106" s="6" t="s">
        <v>129</v>
      </c>
      <c r="N1106" s="6" t="s">
        <v>3477</v>
      </c>
      <c r="O1106" s="6"/>
      <c r="P1106" s="6"/>
    </row>
    <row r="1107" customFormat="false" ht="15" hidden="false" customHeight="false" outlineLevel="0" collapsed="false">
      <c r="A1107" s="6" t="s">
        <v>3478</v>
      </c>
      <c r="B1107" s="6" t="s">
        <v>424</v>
      </c>
      <c r="C1107" s="7" t="n">
        <v>44834</v>
      </c>
      <c r="D1107" s="6" t="s">
        <v>400</v>
      </c>
      <c r="E1107" s="6" t="s">
        <v>2948</v>
      </c>
      <c r="F1107" s="6" t="s">
        <v>3476</v>
      </c>
      <c r="G1107" s="6" t="s">
        <v>3479</v>
      </c>
      <c r="H1107" s="10" t="n">
        <v>-0.06</v>
      </c>
      <c r="K1107" s="6" t="s">
        <v>742</v>
      </c>
      <c r="L1107" s="6" t="s">
        <v>13</v>
      </c>
      <c r="M1107" s="6" t="s">
        <v>129</v>
      </c>
      <c r="N1107" s="6" t="s">
        <v>3480</v>
      </c>
      <c r="O1107" s="6"/>
      <c r="P1107" s="6"/>
    </row>
    <row r="1108" customFormat="false" ht="15" hidden="false" customHeight="false" outlineLevel="0" collapsed="false">
      <c r="A1108" s="6" t="s">
        <v>3481</v>
      </c>
      <c r="B1108" s="6" t="s">
        <v>136</v>
      </c>
      <c r="C1108" s="7" t="n">
        <v>44926</v>
      </c>
      <c r="D1108" s="6" t="s">
        <v>380</v>
      </c>
      <c r="E1108" s="6" t="s">
        <v>2948</v>
      </c>
      <c r="F1108" s="6" t="s">
        <v>3476</v>
      </c>
      <c r="G1108" s="6" t="s">
        <v>3482</v>
      </c>
      <c r="H1108" s="10" t="n">
        <v>0.2</v>
      </c>
      <c r="K1108" s="6" t="s">
        <v>742</v>
      </c>
      <c r="L1108" s="6" t="s">
        <v>13</v>
      </c>
      <c r="M1108" s="6" t="s">
        <v>134</v>
      </c>
      <c r="N1108" s="6" t="s">
        <v>3483</v>
      </c>
      <c r="O1108" s="6"/>
      <c r="P1108" s="6"/>
    </row>
    <row r="1109" customFormat="false" ht="15" hidden="false" customHeight="false" outlineLevel="0" collapsed="false">
      <c r="A1109" s="6" t="s">
        <v>3484</v>
      </c>
      <c r="B1109" s="6" t="s">
        <v>220</v>
      </c>
      <c r="C1109" s="7" t="n">
        <v>44926</v>
      </c>
      <c r="D1109" s="6" t="s">
        <v>407</v>
      </c>
      <c r="E1109" s="6" t="s">
        <v>2948</v>
      </c>
      <c r="F1109" s="6" t="s">
        <v>3476</v>
      </c>
      <c r="G1109" s="6" t="s">
        <v>3485</v>
      </c>
      <c r="H1109" s="10" t="n">
        <v>0.02</v>
      </c>
      <c r="K1109" s="6" t="s">
        <v>742</v>
      </c>
      <c r="L1109" s="6" t="s">
        <v>13</v>
      </c>
      <c r="M1109" s="6" t="s">
        <v>134</v>
      </c>
      <c r="N1109" s="6" t="s">
        <v>3486</v>
      </c>
      <c r="O1109" s="6"/>
      <c r="P1109" s="6"/>
    </row>
    <row r="1110" customFormat="false" ht="15" hidden="false" customHeight="false" outlineLevel="0" collapsed="false">
      <c r="A1110" s="6" t="s">
        <v>3487</v>
      </c>
      <c r="B1110" s="6" t="s">
        <v>141</v>
      </c>
      <c r="C1110" s="7" t="n">
        <v>45016</v>
      </c>
      <c r="D1110" s="6" t="s">
        <v>380</v>
      </c>
      <c r="E1110" s="6" t="s">
        <v>2948</v>
      </c>
      <c r="F1110" s="6" t="s">
        <v>3476</v>
      </c>
      <c r="G1110" s="6" t="s">
        <v>3488</v>
      </c>
      <c r="H1110" s="10" t="n">
        <v>0.24</v>
      </c>
      <c r="K1110" s="6" t="s">
        <v>742</v>
      </c>
      <c r="L1110" s="6" t="s">
        <v>13</v>
      </c>
      <c r="M1110" s="6" t="s">
        <v>139</v>
      </c>
      <c r="N1110" s="6" t="s">
        <v>3489</v>
      </c>
      <c r="O1110" s="6"/>
      <c r="P1110" s="6"/>
    </row>
    <row r="1111" customFormat="false" ht="15" hidden="false" customHeight="false" outlineLevel="0" collapsed="false">
      <c r="A1111" s="6" t="s">
        <v>3490</v>
      </c>
      <c r="B1111" s="6" t="s">
        <v>146</v>
      </c>
      <c r="C1111" s="7" t="n">
        <v>45107</v>
      </c>
      <c r="D1111" s="6" t="s">
        <v>380</v>
      </c>
      <c r="E1111" s="6" t="s">
        <v>2948</v>
      </c>
      <c r="F1111" s="6" t="s">
        <v>3476</v>
      </c>
      <c r="G1111" s="6" t="s">
        <v>3491</v>
      </c>
      <c r="H1111" s="10" t="n">
        <v>0.26</v>
      </c>
      <c r="K1111" s="6" t="s">
        <v>742</v>
      </c>
      <c r="L1111" s="6" t="s">
        <v>13</v>
      </c>
      <c r="M1111" s="6" t="s">
        <v>144</v>
      </c>
      <c r="N1111" s="6" t="s">
        <v>3492</v>
      </c>
      <c r="O1111" s="6"/>
      <c r="P1111" s="6"/>
    </row>
    <row r="1112" customFormat="false" ht="15" hidden="false" customHeight="false" outlineLevel="0" collapsed="false">
      <c r="A1112" s="6" t="s">
        <v>3493</v>
      </c>
      <c r="B1112" s="6" t="s">
        <v>440</v>
      </c>
      <c r="C1112" s="7" t="n">
        <v>45107</v>
      </c>
      <c r="D1112" s="6" t="s">
        <v>392</v>
      </c>
      <c r="E1112" s="6" t="s">
        <v>2948</v>
      </c>
      <c r="F1112" s="6" t="s">
        <v>3476</v>
      </c>
      <c r="G1112" s="6" t="s">
        <v>3494</v>
      </c>
      <c r="H1112" s="10" t="n">
        <v>0.25</v>
      </c>
      <c r="K1112" s="6" t="s">
        <v>742</v>
      </c>
      <c r="L1112" s="6" t="s">
        <v>13</v>
      </c>
      <c r="M1112" s="6" t="s">
        <v>144</v>
      </c>
      <c r="N1112" s="6" t="s">
        <v>3495</v>
      </c>
      <c r="O1112" s="6"/>
      <c r="P1112" s="6"/>
    </row>
    <row r="1113" customFormat="false" ht="15" hidden="false" customHeight="false" outlineLevel="0" collapsed="false">
      <c r="A1113" s="6" t="s">
        <v>3496</v>
      </c>
      <c r="B1113" s="6" t="s">
        <v>151</v>
      </c>
      <c r="C1113" s="7" t="n">
        <v>45199</v>
      </c>
      <c r="D1113" s="6" t="s">
        <v>380</v>
      </c>
      <c r="E1113" s="6" t="s">
        <v>2948</v>
      </c>
      <c r="F1113" s="6" t="s">
        <v>3476</v>
      </c>
      <c r="G1113" s="6" t="s">
        <v>3497</v>
      </c>
      <c r="H1113" s="10" t="n">
        <v>0.34</v>
      </c>
      <c r="K1113" s="6" t="s">
        <v>742</v>
      </c>
      <c r="L1113" s="6" t="s">
        <v>13</v>
      </c>
      <c r="M1113" s="6" t="s">
        <v>149</v>
      </c>
      <c r="N1113" s="6" t="s">
        <v>3498</v>
      </c>
      <c r="O1113" s="6"/>
      <c r="P1113" s="6"/>
    </row>
    <row r="1114" customFormat="false" ht="15" hidden="false" customHeight="false" outlineLevel="0" collapsed="false">
      <c r="A1114" s="6" t="s">
        <v>3499</v>
      </c>
      <c r="B1114" s="6" t="s">
        <v>447</v>
      </c>
      <c r="C1114" s="7" t="n">
        <v>45199</v>
      </c>
      <c r="D1114" s="6" t="s">
        <v>400</v>
      </c>
      <c r="E1114" s="6" t="s">
        <v>2948</v>
      </c>
      <c r="F1114" s="6" t="s">
        <v>3476</v>
      </c>
      <c r="G1114" s="6" t="s">
        <v>3500</v>
      </c>
      <c r="H1114" s="10" t="n">
        <v>0.28</v>
      </c>
      <c r="K1114" s="6" t="s">
        <v>742</v>
      </c>
      <c r="L1114" s="6" t="s">
        <v>13</v>
      </c>
      <c r="M1114" s="6" t="s">
        <v>149</v>
      </c>
      <c r="N1114" s="6" t="s">
        <v>3501</v>
      </c>
      <c r="O1114" s="6"/>
      <c r="P1114" s="6"/>
    </row>
    <row r="1115" customFormat="false" ht="15" hidden="false" customHeight="false" outlineLevel="0" collapsed="false">
      <c r="A1115" s="6" t="s">
        <v>3502</v>
      </c>
      <c r="B1115" s="6" t="s">
        <v>156</v>
      </c>
      <c r="C1115" s="7" t="n">
        <v>45291</v>
      </c>
      <c r="D1115" s="6" t="s">
        <v>380</v>
      </c>
      <c r="E1115" s="6" t="s">
        <v>2948</v>
      </c>
      <c r="F1115" s="6" t="s">
        <v>3476</v>
      </c>
      <c r="G1115" s="6" t="s">
        <v>3503</v>
      </c>
      <c r="H1115" s="10" t="n">
        <v>0.27</v>
      </c>
      <c r="K1115" s="6" t="s">
        <v>742</v>
      </c>
      <c r="L1115" s="6" t="s">
        <v>13</v>
      </c>
      <c r="M1115" s="6" t="s">
        <v>154</v>
      </c>
      <c r="N1115" s="6" t="s">
        <v>3504</v>
      </c>
      <c r="O1115" s="6"/>
      <c r="P1115" s="6"/>
    </row>
    <row r="1116" customFormat="false" ht="15" hidden="false" customHeight="false" outlineLevel="0" collapsed="false">
      <c r="A1116" s="6" t="s">
        <v>3505</v>
      </c>
      <c r="B1116" s="6" t="s">
        <v>225</v>
      </c>
      <c r="C1116" s="7" t="n">
        <v>45291</v>
      </c>
      <c r="D1116" s="6" t="s">
        <v>407</v>
      </c>
      <c r="E1116" s="6" t="s">
        <v>2948</v>
      </c>
      <c r="F1116" s="6" t="s">
        <v>3476</v>
      </c>
      <c r="G1116" s="6" t="s">
        <v>3500</v>
      </c>
      <c r="H1116" s="10" t="n">
        <v>0.28</v>
      </c>
      <c r="K1116" s="6" t="s">
        <v>742</v>
      </c>
      <c r="L1116" s="6" t="s">
        <v>13</v>
      </c>
      <c r="M1116" s="6" t="s">
        <v>154</v>
      </c>
      <c r="N1116" s="6" t="s">
        <v>3506</v>
      </c>
      <c r="O1116" s="6"/>
      <c r="P1116" s="6"/>
    </row>
    <row r="1117" customFormat="false" ht="15" hidden="false" customHeight="false" outlineLevel="0" collapsed="false">
      <c r="A1117" s="6" t="s">
        <v>3507</v>
      </c>
      <c r="B1117" s="6" t="s">
        <v>161</v>
      </c>
      <c r="C1117" s="7" t="n">
        <v>45382</v>
      </c>
      <c r="D1117" s="6" t="s">
        <v>380</v>
      </c>
      <c r="E1117" s="6" t="s">
        <v>2948</v>
      </c>
      <c r="F1117" s="6" t="s">
        <v>3476</v>
      </c>
      <c r="G1117" s="6" t="s">
        <v>3508</v>
      </c>
      <c r="H1117" s="10" t="n">
        <v>0.41</v>
      </c>
      <c r="K1117" s="6" t="s">
        <v>742</v>
      </c>
      <c r="L1117" s="6" t="s">
        <v>13</v>
      </c>
      <c r="M1117" s="6" t="s">
        <v>159</v>
      </c>
      <c r="N1117" s="6" t="s">
        <v>3509</v>
      </c>
      <c r="O1117" s="6"/>
      <c r="P1117" s="6"/>
    </row>
    <row r="1118" customFormat="false" ht="15" hidden="false" customHeight="false" outlineLevel="0" collapsed="false">
      <c r="A1118" s="6" t="s">
        <v>3510</v>
      </c>
      <c r="B1118" s="6" t="s">
        <v>166</v>
      </c>
      <c r="C1118" s="7" t="n">
        <v>45473</v>
      </c>
      <c r="D1118" s="6" t="s">
        <v>380</v>
      </c>
      <c r="E1118" s="6" t="s">
        <v>2948</v>
      </c>
      <c r="F1118" s="6" t="s">
        <v>3476</v>
      </c>
      <c r="G1118" s="6" t="s">
        <v>3511</v>
      </c>
      <c r="H1118" s="10" t="n">
        <v>0.22</v>
      </c>
      <c r="K1118" s="6" t="s">
        <v>742</v>
      </c>
      <c r="L1118" s="6" t="s">
        <v>13</v>
      </c>
      <c r="M1118" s="6" t="s">
        <v>164</v>
      </c>
      <c r="N1118" s="6" t="s">
        <v>3512</v>
      </c>
      <c r="O1118" s="6"/>
      <c r="P1118" s="6"/>
    </row>
    <row r="1119" customFormat="false" ht="15" hidden="false" customHeight="false" outlineLevel="0" collapsed="false">
      <c r="A1119" s="6" t="s">
        <v>3513</v>
      </c>
      <c r="B1119" s="6" t="s">
        <v>241</v>
      </c>
      <c r="C1119" s="7" t="n">
        <v>45473</v>
      </c>
      <c r="D1119" s="6" t="s">
        <v>392</v>
      </c>
      <c r="E1119" s="6" t="s">
        <v>2948</v>
      </c>
      <c r="F1119" s="6" t="s">
        <v>3476</v>
      </c>
      <c r="G1119" s="6" t="s">
        <v>3514</v>
      </c>
      <c r="H1119" s="10" t="n">
        <v>0.31</v>
      </c>
      <c r="K1119" s="6" t="s">
        <v>742</v>
      </c>
      <c r="L1119" s="6" t="s">
        <v>13</v>
      </c>
      <c r="M1119" s="6" t="s">
        <v>164</v>
      </c>
      <c r="N1119" s="6" t="s">
        <v>3515</v>
      </c>
      <c r="O1119" s="6"/>
      <c r="P1119" s="6"/>
    </row>
    <row r="1120" customFormat="false" ht="15" hidden="false" customHeight="false" outlineLevel="0" collapsed="false">
      <c r="A1120" s="6" t="s">
        <v>3516</v>
      </c>
      <c r="B1120" s="6" t="s">
        <v>171</v>
      </c>
      <c r="C1120" s="7" t="n">
        <v>45565</v>
      </c>
      <c r="D1120" s="6" t="s">
        <v>380</v>
      </c>
      <c r="E1120" s="6" t="s">
        <v>2948</v>
      </c>
      <c r="F1120" s="6" t="s">
        <v>3476</v>
      </c>
      <c r="G1120" s="6" t="s">
        <v>3517</v>
      </c>
      <c r="H1120" s="10" t="n">
        <v>0.33</v>
      </c>
      <c r="K1120" s="6" t="s">
        <v>742</v>
      </c>
      <c r="L1120" s="6" t="s">
        <v>13</v>
      </c>
      <c r="M1120" s="6" t="s">
        <v>169</v>
      </c>
      <c r="N1120" s="6" t="s">
        <v>3518</v>
      </c>
      <c r="O1120" s="6"/>
      <c r="P1120" s="6"/>
    </row>
    <row r="1121" customFormat="false" ht="15" hidden="false" customHeight="false" outlineLevel="0" collapsed="false">
      <c r="A1121" s="6" t="s">
        <v>3519</v>
      </c>
      <c r="B1121" s="6" t="s">
        <v>469</v>
      </c>
      <c r="C1121" s="7" t="n">
        <v>45565</v>
      </c>
      <c r="D1121" s="6" t="s">
        <v>400</v>
      </c>
      <c r="E1121" s="6" t="s">
        <v>2948</v>
      </c>
      <c r="F1121" s="6" t="s">
        <v>3476</v>
      </c>
      <c r="G1121" s="6" t="s">
        <v>3520</v>
      </c>
      <c r="H1121" s="10" t="n">
        <v>0.32</v>
      </c>
      <c r="K1121" s="6" t="s">
        <v>742</v>
      </c>
      <c r="L1121" s="6" t="s">
        <v>13</v>
      </c>
      <c r="M1121" s="6" t="s">
        <v>169</v>
      </c>
      <c r="N1121" s="6" t="s">
        <v>3521</v>
      </c>
      <c r="O1121" s="6"/>
      <c r="P1121" s="6"/>
    </row>
    <row r="1122" customFormat="false" ht="15" hidden="false" customHeight="false" outlineLevel="0" collapsed="false">
      <c r="A1122" s="6" t="s">
        <v>3522</v>
      </c>
      <c r="B1122" s="6" t="s">
        <v>176</v>
      </c>
      <c r="C1122" s="7" t="n">
        <v>45657</v>
      </c>
      <c r="D1122" s="6" t="s">
        <v>380</v>
      </c>
      <c r="E1122" s="6" t="s">
        <v>2948</v>
      </c>
      <c r="F1122" s="6" t="s">
        <v>3476</v>
      </c>
      <c r="G1122" s="6" t="s">
        <v>3503</v>
      </c>
      <c r="H1122" s="10" t="n">
        <v>0.27</v>
      </c>
      <c r="K1122" s="6" t="s">
        <v>742</v>
      </c>
      <c r="L1122" s="6" t="s">
        <v>13</v>
      </c>
      <c r="M1122" s="6" t="s">
        <v>174</v>
      </c>
      <c r="N1122" s="6" t="s">
        <v>3523</v>
      </c>
      <c r="O1122" s="6"/>
      <c r="P1122" s="6"/>
    </row>
    <row r="1123" customFormat="false" ht="15" hidden="false" customHeight="false" outlineLevel="0" collapsed="false">
      <c r="A1123" s="6" t="s">
        <v>3524</v>
      </c>
      <c r="B1123" s="6" t="s">
        <v>230</v>
      </c>
      <c r="C1123" s="7" t="n">
        <v>45657</v>
      </c>
      <c r="D1123" s="6" t="s">
        <v>407</v>
      </c>
      <c r="E1123" s="6" t="s">
        <v>2948</v>
      </c>
      <c r="F1123" s="6" t="s">
        <v>3476</v>
      </c>
      <c r="G1123" s="6" t="s">
        <v>3525</v>
      </c>
      <c r="H1123" s="10" t="n">
        <v>0.3</v>
      </c>
      <c r="K1123" s="6" t="s">
        <v>742</v>
      </c>
      <c r="L1123" s="6" t="s">
        <v>13</v>
      </c>
      <c r="M1123" s="6" t="s">
        <v>174</v>
      </c>
      <c r="N1123" s="6" t="s">
        <v>3526</v>
      </c>
      <c r="O1123" s="6"/>
      <c r="P1123" s="6"/>
    </row>
    <row r="1124" customFormat="false" ht="15" hidden="false" customHeight="false" outlineLevel="0" collapsed="false">
      <c r="A1124" s="6" t="s">
        <v>3527</v>
      </c>
      <c r="B1124" s="6" t="s">
        <v>181</v>
      </c>
      <c r="C1124" s="7" t="n">
        <v>45747</v>
      </c>
      <c r="D1124" s="6" t="s">
        <v>380</v>
      </c>
      <c r="E1124" s="6" t="s">
        <v>2948</v>
      </c>
      <c r="F1124" s="6" t="s">
        <v>3476</v>
      </c>
      <c r="G1124" s="6" t="s">
        <v>3528</v>
      </c>
      <c r="H1124" s="10" t="n">
        <v>0.39</v>
      </c>
      <c r="K1124" s="6" t="s">
        <v>742</v>
      </c>
      <c r="L1124" s="6" t="s">
        <v>13</v>
      </c>
      <c r="M1124" s="6" t="s">
        <v>179</v>
      </c>
      <c r="N1124" s="6" t="s">
        <v>3529</v>
      </c>
      <c r="O1124" s="6"/>
      <c r="P1124" s="6"/>
    </row>
    <row r="1125" customFormat="false" ht="15" hidden="false" customHeight="false" outlineLevel="0" collapsed="false">
      <c r="A1125" s="6" t="s">
        <v>3530</v>
      </c>
      <c r="B1125" s="6" t="s">
        <v>186</v>
      </c>
      <c r="C1125" s="7" t="n">
        <v>45838</v>
      </c>
      <c r="D1125" s="6" t="s">
        <v>380</v>
      </c>
      <c r="E1125" s="6" t="s">
        <v>2948</v>
      </c>
      <c r="F1125" s="6" t="s">
        <v>3476</v>
      </c>
      <c r="G1125" s="6" t="s">
        <v>3531</v>
      </c>
      <c r="H1125" s="10" t="n">
        <v>0.21</v>
      </c>
      <c r="K1125" s="6" t="s">
        <v>742</v>
      </c>
      <c r="L1125" s="6" t="s">
        <v>13</v>
      </c>
      <c r="M1125" s="6" t="s">
        <v>184</v>
      </c>
      <c r="N1125" s="6" t="s">
        <v>3532</v>
      </c>
      <c r="O1125" s="6"/>
      <c r="P1125" s="6"/>
    </row>
    <row r="1126" customFormat="false" ht="15" hidden="false" customHeight="false" outlineLevel="0" collapsed="false">
      <c r="A1126" s="6" t="s">
        <v>3533</v>
      </c>
      <c r="B1126" s="6" t="s">
        <v>255</v>
      </c>
      <c r="C1126" s="7" t="n">
        <v>45838</v>
      </c>
      <c r="D1126" s="6" t="s">
        <v>392</v>
      </c>
      <c r="E1126" s="6" t="s">
        <v>2948</v>
      </c>
      <c r="F1126" s="6" t="s">
        <v>3476</v>
      </c>
      <c r="G1126" s="6" t="s">
        <v>3525</v>
      </c>
      <c r="H1126" s="10" t="n">
        <v>0.3</v>
      </c>
      <c r="K1126" s="6" t="s">
        <v>742</v>
      </c>
      <c r="L1126" s="6" t="s">
        <v>13</v>
      </c>
      <c r="M1126" s="6" t="s">
        <v>184</v>
      </c>
      <c r="N1126" s="6" t="s">
        <v>3534</v>
      </c>
      <c r="O1126" s="6"/>
      <c r="P1126" s="6"/>
    </row>
    <row r="1127" customFormat="false" ht="15" hidden="false" customHeight="false" outlineLevel="0" collapsed="false">
      <c r="A1127" s="6" t="s">
        <v>3535</v>
      </c>
      <c r="B1127" s="6" t="s">
        <v>191</v>
      </c>
      <c r="C1127" s="7" t="n">
        <v>45930</v>
      </c>
      <c r="D1127" s="6" t="s">
        <v>380</v>
      </c>
      <c r="E1127" s="6" t="s">
        <v>2948</v>
      </c>
      <c r="F1127" s="6" t="s">
        <v>3476</v>
      </c>
      <c r="G1127" s="6" t="s">
        <v>3536</v>
      </c>
      <c r="H1127" s="10" t="n">
        <v>0.29</v>
      </c>
      <c r="K1127" s="6" t="s">
        <v>742</v>
      </c>
      <c r="L1127" s="6" t="s">
        <v>13</v>
      </c>
      <c r="M1127" s="6" t="s">
        <v>189</v>
      </c>
      <c r="N1127" s="6" t="s">
        <v>3537</v>
      </c>
      <c r="O1127" s="6"/>
      <c r="P1127" s="6"/>
    </row>
    <row r="1128" customFormat="false" ht="15" hidden="false" customHeight="false" outlineLevel="0" collapsed="false">
      <c r="A1128" s="6" t="s">
        <v>3538</v>
      </c>
      <c r="B1128" s="6" t="s">
        <v>491</v>
      </c>
      <c r="C1128" s="7" t="n">
        <v>45930</v>
      </c>
      <c r="D1128" s="6" t="s">
        <v>400</v>
      </c>
      <c r="E1128" s="6" t="s">
        <v>2948</v>
      </c>
      <c r="F1128" s="6" t="s">
        <v>3476</v>
      </c>
      <c r="G1128" s="6" t="s">
        <v>3525</v>
      </c>
      <c r="H1128" s="10" t="n">
        <v>0.3</v>
      </c>
      <c r="K1128" s="6" t="s">
        <v>742</v>
      </c>
      <c r="L1128" s="6" t="s">
        <v>13</v>
      </c>
      <c r="M1128" s="6" t="s">
        <v>189</v>
      </c>
      <c r="N1128" s="6" t="s">
        <v>3539</v>
      </c>
      <c r="O1128" s="6"/>
      <c r="P1128" s="6"/>
    </row>
    <row r="1129" customFormat="false" ht="15" hidden="false" customHeight="false" outlineLevel="0" collapsed="false">
      <c r="A1129" s="6" t="s">
        <v>3540</v>
      </c>
      <c r="B1129" s="6" t="s">
        <v>196</v>
      </c>
      <c r="C1129" s="7" t="n">
        <v>46022</v>
      </c>
      <c r="D1129" s="6" t="s">
        <v>380</v>
      </c>
      <c r="E1129" s="6" t="s">
        <v>2948</v>
      </c>
      <c r="F1129" s="6" t="s">
        <v>3476</v>
      </c>
      <c r="G1129" s="6" t="s">
        <v>2476</v>
      </c>
      <c r="H1129" s="10" t="n">
        <v>0.17</v>
      </c>
      <c r="K1129" s="6" t="s">
        <v>742</v>
      </c>
      <c r="L1129" s="6" t="s">
        <v>13</v>
      </c>
      <c r="M1129" s="6" t="s">
        <v>194</v>
      </c>
      <c r="N1129" s="6" t="s">
        <v>3541</v>
      </c>
      <c r="O1129" s="6"/>
      <c r="P1129" s="6"/>
    </row>
    <row r="1130" customFormat="false" ht="15" hidden="false" customHeight="false" outlineLevel="0" collapsed="false">
      <c r="A1130" s="6" t="s">
        <v>3542</v>
      </c>
      <c r="B1130" s="6" t="s">
        <v>235</v>
      </c>
      <c r="C1130" s="7" t="n">
        <v>46022</v>
      </c>
      <c r="D1130" s="6" t="s">
        <v>407</v>
      </c>
      <c r="E1130" s="6" t="s">
        <v>2948</v>
      </c>
      <c r="F1130" s="6" t="s">
        <v>3476</v>
      </c>
      <c r="G1130" s="6" t="s">
        <v>3491</v>
      </c>
      <c r="H1130" s="10" t="n">
        <v>0.26</v>
      </c>
      <c r="K1130" s="6" t="s">
        <v>742</v>
      </c>
      <c r="L1130" s="6" t="s">
        <v>13</v>
      </c>
      <c r="M1130" s="6" t="s">
        <v>194</v>
      </c>
      <c r="N1130" s="6" t="s">
        <v>3543</v>
      </c>
      <c r="O1130" s="6"/>
      <c r="P1130" s="6"/>
    </row>
    <row r="1131" customFormat="false" ht="15" hidden="false" customHeight="false" outlineLevel="0" collapsed="false">
      <c r="A1131" s="6" t="s">
        <v>3544</v>
      </c>
      <c r="B1131" s="6" t="s">
        <v>201</v>
      </c>
      <c r="C1131" s="7" t="n">
        <v>46112</v>
      </c>
      <c r="D1131" s="6" t="s">
        <v>380</v>
      </c>
      <c r="E1131" s="6" t="s">
        <v>2948</v>
      </c>
      <c r="F1131" s="6" t="s">
        <v>3476</v>
      </c>
      <c r="G1131" s="6" t="s">
        <v>3536</v>
      </c>
      <c r="H1131" s="10" t="n">
        <v>0.29</v>
      </c>
      <c r="K1131" s="6" t="s">
        <v>742</v>
      </c>
      <c r="L1131" s="6" t="s">
        <v>13</v>
      </c>
      <c r="M1131" s="6" t="s">
        <v>199</v>
      </c>
      <c r="N1131" s="6" t="s">
        <v>3545</v>
      </c>
      <c r="O1131" s="6"/>
      <c r="P1131" s="6"/>
    </row>
    <row r="1132" customFormat="false" ht="15" hidden="false" customHeight="false" outlineLevel="0" collapsed="false">
      <c r="A1132" s="6" t="s">
        <v>3546</v>
      </c>
      <c r="B1132" s="6" t="s">
        <v>206</v>
      </c>
      <c r="C1132" s="7" t="n">
        <v>46203</v>
      </c>
      <c r="D1132" s="6" t="s">
        <v>380</v>
      </c>
      <c r="E1132" s="6" t="s">
        <v>2948</v>
      </c>
      <c r="F1132" s="6" t="s">
        <v>3476</v>
      </c>
      <c r="G1132" s="6" t="s">
        <v>2457</v>
      </c>
      <c r="H1132" s="10" t="n">
        <v>0.14</v>
      </c>
      <c r="K1132" s="6" t="s">
        <v>742</v>
      </c>
      <c r="L1132" s="6" t="s">
        <v>13</v>
      </c>
      <c r="M1132" s="6" t="s">
        <v>204</v>
      </c>
      <c r="N1132" s="6" t="s">
        <v>3547</v>
      </c>
      <c r="O1132" s="6"/>
      <c r="P1132" s="6"/>
    </row>
    <row r="1133" customFormat="false" ht="15" hidden="false" customHeight="false" outlineLevel="0" collapsed="false">
      <c r="A1133" s="6" t="s">
        <v>3548</v>
      </c>
      <c r="B1133" s="6" t="s">
        <v>263</v>
      </c>
      <c r="C1133" s="7" t="n">
        <v>46203</v>
      </c>
      <c r="D1133" s="6" t="s">
        <v>392</v>
      </c>
      <c r="E1133" s="6" t="s">
        <v>2948</v>
      </c>
      <c r="F1133" s="6" t="s">
        <v>3476</v>
      </c>
      <c r="G1133" s="6" t="s">
        <v>3511</v>
      </c>
      <c r="H1133" s="10" t="n">
        <v>0.22</v>
      </c>
      <c r="K1133" s="6" t="s">
        <v>742</v>
      </c>
      <c r="L1133" s="6" t="s">
        <v>13</v>
      </c>
      <c r="M1133" s="6" t="s">
        <v>204</v>
      </c>
      <c r="N1133" s="6" t="s">
        <v>3549</v>
      </c>
      <c r="O1133" s="6"/>
      <c r="P1133" s="6"/>
    </row>
    <row r="1134" customFormat="false" ht="15" hidden="false" customHeight="false" outlineLevel="0" collapsed="false">
      <c r="A1134" s="6" t="s">
        <v>3550</v>
      </c>
      <c r="B1134" s="6" t="s">
        <v>379</v>
      </c>
      <c r="C1134" s="7" t="n">
        <v>44286</v>
      </c>
      <c r="D1134" s="6" t="s">
        <v>380</v>
      </c>
      <c r="E1134" s="6" t="s">
        <v>2948</v>
      </c>
      <c r="F1134" s="6" t="s">
        <v>3551</v>
      </c>
      <c r="G1134" s="6" t="s">
        <v>3552</v>
      </c>
      <c r="H1134" s="9" t="n">
        <v>547</v>
      </c>
      <c r="K1134" s="6" t="s">
        <v>384</v>
      </c>
      <c r="L1134" s="6" t="s">
        <v>13</v>
      </c>
      <c r="M1134" s="6" t="s">
        <v>119</v>
      </c>
      <c r="N1134" s="6" t="s">
        <v>3553</v>
      </c>
      <c r="O1134" s="6"/>
      <c r="P1134" s="6" t="s">
        <v>386</v>
      </c>
    </row>
    <row r="1135" customFormat="false" ht="15" hidden="false" customHeight="false" outlineLevel="0" collapsed="false">
      <c r="A1135" s="6" t="s">
        <v>3554</v>
      </c>
      <c r="B1135" s="6" t="s">
        <v>103</v>
      </c>
      <c r="C1135" s="7" t="n">
        <v>44377</v>
      </c>
      <c r="D1135" s="6" t="s">
        <v>380</v>
      </c>
      <c r="E1135" s="6" t="s">
        <v>2948</v>
      </c>
      <c r="F1135" s="6" t="s">
        <v>3551</v>
      </c>
      <c r="G1135" s="6" t="s">
        <v>3555</v>
      </c>
      <c r="H1135" s="9" t="n">
        <v>527</v>
      </c>
      <c r="K1135" s="6" t="s">
        <v>384</v>
      </c>
      <c r="L1135" s="6" t="s">
        <v>13</v>
      </c>
      <c r="M1135" s="6" t="s">
        <v>100</v>
      </c>
      <c r="N1135" s="6" t="s">
        <v>3556</v>
      </c>
      <c r="O1135" s="6"/>
      <c r="P1135" s="6"/>
    </row>
    <row r="1136" customFormat="false" ht="15" hidden="false" customHeight="false" outlineLevel="0" collapsed="false">
      <c r="A1136" s="6" t="s">
        <v>3557</v>
      </c>
      <c r="B1136" s="6" t="s">
        <v>391</v>
      </c>
      <c r="C1136" s="7" t="n">
        <v>44377</v>
      </c>
      <c r="D1136" s="6" t="s">
        <v>392</v>
      </c>
      <c r="E1136" s="6" t="s">
        <v>2948</v>
      </c>
      <c r="F1136" s="6" t="s">
        <v>3551</v>
      </c>
      <c r="G1136" s="6" t="s">
        <v>3558</v>
      </c>
      <c r="H1136" s="9" t="n">
        <v>1074</v>
      </c>
      <c r="K1136" s="6" t="s">
        <v>384</v>
      </c>
      <c r="L1136" s="6" t="s">
        <v>13</v>
      </c>
      <c r="M1136" s="6" t="s">
        <v>100</v>
      </c>
      <c r="N1136" s="6" t="s">
        <v>3559</v>
      </c>
      <c r="O1136" s="6"/>
      <c r="P1136" s="6"/>
    </row>
    <row r="1137" customFormat="false" ht="15" hidden="false" customHeight="false" outlineLevel="0" collapsed="false">
      <c r="A1137" s="6" t="s">
        <v>3560</v>
      </c>
      <c r="B1137" s="6" t="s">
        <v>111</v>
      </c>
      <c r="C1137" s="7" t="n">
        <v>44469</v>
      </c>
      <c r="D1137" s="6" t="s">
        <v>380</v>
      </c>
      <c r="E1137" s="6" t="s">
        <v>2948</v>
      </c>
      <c r="F1137" s="6" t="s">
        <v>3551</v>
      </c>
      <c r="G1137" s="6" t="s">
        <v>3561</v>
      </c>
      <c r="H1137" s="9" t="n">
        <v>709</v>
      </c>
      <c r="K1137" s="6" t="s">
        <v>384</v>
      </c>
      <c r="L1137" s="6" t="s">
        <v>13</v>
      </c>
      <c r="M1137" s="6" t="s">
        <v>109</v>
      </c>
      <c r="N1137" s="6" t="s">
        <v>3562</v>
      </c>
      <c r="O1137" s="6"/>
      <c r="P1137" s="6"/>
    </row>
    <row r="1138" customFormat="false" ht="15" hidden="false" customHeight="false" outlineLevel="0" collapsed="false">
      <c r="A1138" s="6" t="s">
        <v>3563</v>
      </c>
      <c r="B1138" s="6" t="s">
        <v>399</v>
      </c>
      <c r="C1138" s="7" t="n">
        <v>44469</v>
      </c>
      <c r="D1138" s="6" t="s">
        <v>400</v>
      </c>
      <c r="E1138" s="6" t="s">
        <v>2948</v>
      </c>
      <c r="F1138" s="6" t="s">
        <v>3551</v>
      </c>
      <c r="G1138" s="6" t="s">
        <v>3564</v>
      </c>
      <c r="H1138" s="9" t="n">
        <v>1783</v>
      </c>
      <c r="K1138" s="6" t="s">
        <v>384</v>
      </c>
      <c r="L1138" s="6" t="s">
        <v>13</v>
      </c>
      <c r="M1138" s="6" t="s">
        <v>109</v>
      </c>
      <c r="N1138" s="6" t="s">
        <v>3565</v>
      </c>
      <c r="O1138" s="6"/>
      <c r="P1138" s="6"/>
    </row>
    <row r="1139" customFormat="false" ht="15" hidden="false" customHeight="false" outlineLevel="0" collapsed="false">
      <c r="A1139" s="6" t="s">
        <v>3566</v>
      </c>
      <c r="B1139" s="6" t="s">
        <v>116</v>
      </c>
      <c r="C1139" s="7" t="n">
        <v>44561</v>
      </c>
      <c r="D1139" s="6" t="s">
        <v>380</v>
      </c>
      <c r="E1139" s="6" t="s">
        <v>2948</v>
      </c>
      <c r="F1139" s="6" t="s">
        <v>3551</v>
      </c>
      <c r="G1139" s="6" t="s">
        <v>3567</v>
      </c>
      <c r="H1139" s="9" t="n">
        <v>963</v>
      </c>
      <c r="K1139" s="6" t="s">
        <v>384</v>
      </c>
      <c r="L1139" s="6" t="s">
        <v>13</v>
      </c>
      <c r="M1139" s="6" t="s">
        <v>114</v>
      </c>
      <c r="N1139" s="6" t="s">
        <v>3568</v>
      </c>
      <c r="O1139" s="6"/>
      <c r="P1139" s="6"/>
    </row>
    <row r="1140" customFormat="false" ht="15" hidden="false" customHeight="false" outlineLevel="0" collapsed="false">
      <c r="A1140" s="6" t="s">
        <v>3569</v>
      </c>
      <c r="B1140" s="6" t="s">
        <v>212</v>
      </c>
      <c r="C1140" s="7" t="n">
        <v>44561</v>
      </c>
      <c r="D1140" s="6" t="s">
        <v>407</v>
      </c>
      <c r="E1140" s="6" t="s">
        <v>2948</v>
      </c>
      <c r="F1140" s="6" t="s">
        <v>3551</v>
      </c>
      <c r="G1140" s="6" t="s">
        <v>3570</v>
      </c>
      <c r="H1140" s="9" t="n">
        <v>2746</v>
      </c>
      <c r="K1140" s="6" t="s">
        <v>384</v>
      </c>
      <c r="L1140" s="6" t="s">
        <v>13</v>
      </c>
      <c r="M1140" s="6" t="s">
        <v>114</v>
      </c>
      <c r="N1140" s="6" t="s">
        <v>3571</v>
      </c>
      <c r="O1140" s="6"/>
      <c r="P1140" s="6"/>
    </row>
    <row r="1141" customFormat="false" ht="15" hidden="false" customHeight="false" outlineLevel="0" collapsed="false">
      <c r="A1141" s="6" t="s">
        <v>3572</v>
      </c>
      <c r="B1141" s="6" t="s">
        <v>121</v>
      </c>
      <c r="C1141" s="7" t="n">
        <v>44651</v>
      </c>
      <c r="D1141" s="6" t="s">
        <v>380</v>
      </c>
      <c r="E1141" s="6" t="s">
        <v>2948</v>
      </c>
      <c r="F1141" s="6" t="s">
        <v>3551</v>
      </c>
      <c r="G1141" s="6" t="s">
        <v>3573</v>
      </c>
      <c r="H1141" s="9" t="n">
        <v>1127</v>
      </c>
      <c r="K1141" s="6" t="s">
        <v>384</v>
      </c>
      <c r="L1141" s="6" t="s">
        <v>13</v>
      </c>
      <c r="M1141" s="6" t="s">
        <v>119</v>
      </c>
      <c r="N1141" s="6" t="s">
        <v>3574</v>
      </c>
      <c r="O1141" s="6"/>
      <c r="P1141" s="6"/>
    </row>
    <row r="1142" customFormat="false" ht="15" hidden="false" customHeight="false" outlineLevel="0" collapsed="false">
      <c r="A1142" s="6" t="s">
        <v>3575</v>
      </c>
      <c r="B1142" s="6" t="s">
        <v>126</v>
      </c>
      <c r="C1142" s="7" t="n">
        <v>44742</v>
      </c>
      <c r="D1142" s="6" t="s">
        <v>380</v>
      </c>
      <c r="E1142" s="6" t="s">
        <v>2948</v>
      </c>
      <c r="F1142" s="6" t="s">
        <v>3551</v>
      </c>
      <c r="G1142" s="6" t="s">
        <v>3576</v>
      </c>
      <c r="H1142" s="9" t="n">
        <v>1397</v>
      </c>
      <c r="K1142" s="6" t="s">
        <v>384</v>
      </c>
      <c r="L1142" s="6" t="s">
        <v>13</v>
      </c>
      <c r="M1142" s="6" t="s">
        <v>124</v>
      </c>
      <c r="N1142" s="6" t="s">
        <v>3577</v>
      </c>
      <c r="O1142" s="6"/>
      <c r="P1142" s="6"/>
    </row>
    <row r="1143" customFormat="false" ht="15" hidden="false" customHeight="false" outlineLevel="0" collapsed="false">
      <c r="A1143" s="6" t="s">
        <v>3578</v>
      </c>
      <c r="B1143" s="6" t="s">
        <v>417</v>
      </c>
      <c r="C1143" s="7" t="n">
        <v>44742</v>
      </c>
      <c r="D1143" s="6" t="s">
        <v>392</v>
      </c>
      <c r="E1143" s="6" t="s">
        <v>2948</v>
      </c>
      <c r="F1143" s="6" t="s">
        <v>3551</v>
      </c>
      <c r="G1143" s="6" t="s">
        <v>3579</v>
      </c>
      <c r="H1143" s="9" t="n">
        <v>2524</v>
      </c>
      <c r="K1143" s="6" t="s">
        <v>384</v>
      </c>
      <c r="L1143" s="6" t="s">
        <v>13</v>
      </c>
      <c r="M1143" s="6" t="s">
        <v>124</v>
      </c>
      <c r="N1143" s="6" t="s">
        <v>3580</v>
      </c>
      <c r="O1143" s="6"/>
      <c r="P1143" s="6"/>
    </row>
    <row r="1144" customFormat="false" ht="15" hidden="false" customHeight="false" outlineLevel="0" collapsed="false">
      <c r="A1144" s="6" t="s">
        <v>3581</v>
      </c>
      <c r="B1144" s="6" t="s">
        <v>131</v>
      </c>
      <c r="C1144" s="7" t="n">
        <v>44834</v>
      </c>
      <c r="D1144" s="6" t="s">
        <v>380</v>
      </c>
      <c r="E1144" s="6" t="s">
        <v>2948</v>
      </c>
      <c r="F1144" s="6" t="s">
        <v>3551</v>
      </c>
      <c r="G1144" s="6" t="s">
        <v>3582</v>
      </c>
      <c r="H1144" s="9" t="n">
        <v>2860</v>
      </c>
      <c r="K1144" s="6" t="s">
        <v>384</v>
      </c>
      <c r="L1144" s="6" t="s">
        <v>13</v>
      </c>
      <c r="M1144" s="6" t="s">
        <v>129</v>
      </c>
      <c r="N1144" s="6" t="s">
        <v>3583</v>
      </c>
      <c r="O1144" s="6"/>
      <c r="P1144" s="6"/>
    </row>
    <row r="1145" customFormat="false" ht="15" hidden="false" customHeight="false" outlineLevel="0" collapsed="false">
      <c r="A1145" s="6" t="s">
        <v>3584</v>
      </c>
      <c r="B1145" s="6" t="s">
        <v>424</v>
      </c>
      <c r="C1145" s="7" t="n">
        <v>44834</v>
      </c>
      <c r="D1145" s="6" t="s">
        <v>400</v>
      </c>
      <c r="E1145" s="6" t="s">
        <v>2948</v>
      </c>
      <c r="F1145" s="6" t="s">
        <v>3551</v>
      </c>
      <c r="G1145" s="6" t="s">
        <v>3585</v>
      </c>
      <c r="H1145" s="9" t="n">
        <v>5384</v>
      </c>
      <c r="K1145" s="6" t="s">
        <v>384</v>
      </c>
      <c r="L1145" s="6" t="s">
        <v>13</v>
      </c>
      <c r="M1145" s="6" t="s">
        <v>129</v>
      </c>
      <c r="N1145" s="6" t="s">
        <v>3586</v>
      </c>
      <c r="O1145" s="6"/>
      <c r="P1145" s="6"/>
    </row>
    <row r="1146" customFormat="false" ht="15" hidden="false" customHeight="false" outlineLevel="0" collapsed="false">
      <c r="A1146" s="6" t="s">
        <v>3587</v>
      </c>
      <c r="B1146" s="6" t="s">
        <v>136</v>
      </c>
      <c r="C1146" s="7" t="n">
        <v>44926</v>
      </c>
      <c r="D1146" s="6" t="s">
        <v>380</v>
      </c>
      <c r="E1146" s="6" t="s">
        <v>2948</v>
      </c>
      <c r="F1146" s="6" t="s">
        <v>3551</v>
      </c>
      <c r="G1146" s="6" t="s">
        <v>3588</v>
      </c>
      <c r="H1146" s="9" t="n">
        <v>3183</v>
      </c>
      <c r="K1146" s="6" t="s">
        <v>384</v>
      </c>
      <c r="L1146" s="6" t="s">
        <v>13</v>
      </c>
      <c r="M1146" s="6" t="s">
        <v>134</v>
      </c>
      <c r="N1146" s="6" t="s">
        <v>3589</v>
      </c>
      <c r="O1146" s="6"/>
      <c r="P1146" s="6"/>
    </row>
    <row r="1147" customFormat="false" ht="15" hidden="false" customHeight="false" outlineLevel="0" collapsed="false">
      <c r="A1147" s="6" t="s">
        <v>3590</v>
      </c>
      <c r="B1147" s="6" t="s">
        <v>220</v>
      </c>
      <c r="C1147" s="7" t="n">
        <v>44926</v>
      </c>
      <c r="D1147" s="6" t="s">
        <v>407</v>
      </c>
      <c r="E1147" s="6" t="s">
        <v>2948</v>
      </c>
      <c r="F1147" s="6" t="s">
        <v>3551</v>
      </c>
      <c r="G1147" s="6" t="s">
        <v>3591</v>
      </c>
      <c r="H1147" s="9" t="n">
        <v>8567</v>
      </c>
      <c r="K1147" s="6" t="s">
        <v>384</v>
      </c>
      <c r="L1147" s="6" t="s">
        <v>13</v>
      </c>
      <c r="M1147" s="6" t="s">
        <v>134</v>
      </c>
      <c r="N1147" s="6" t="s">
        <v>3592</v>
      </c>
      <c r="O1147" s="6"/>
      <c r="P1147" s="6"/>
    </row>
    <row r="1148" customFormat="false" ht="15" hidden="false" customHeight="false" outlineLevel="0" collapsed="false">
      <c r="A1148" s="6" t="s">
        <v>3593</v>
      </c>
      <c r="B1148" s="6" t="s">
        <v>141</v>
      </c>
      <c r="C1148" s="7" t="n">
        <v>45016</v>
      </c>
      <c r="D1148" s="6" t="s">
        <v>380</v>
      </c>
      <c r="E1148" s="6" t="s">
        <v>2948</v>
      </c>
      <c r="F1148" s="6" t="s">
        <v>3551</v>
      </c>
      <c r="G1148" s="6" t="s">
        <v>3594</v>
      </c>
      <c r="H1148" s="9" t="n">
        <v>1972</v>
      </c>
      <c r="K1148" s="6" t="s">
        <v>384</v>
      </c>
      <c r="L1148" s="6" t="s">
        <v>13</v>
      </c>
      <c r="M1148" s="6" t="s">
        <v>139</v>
      </c>
      <c r="N1148" s="6" t="s">
        <v>3595</v>
      </c>
      <c r="O1148" s="6"/>
      <c r="P1148" s="6"/>
    </row>
    <row r="1149" customFormat="false" ht="15" hidden="false" customHeight="false" outlineLevel="0" collapsed="false">
      <c r="A1149" s="6" t="s">
        <v>3596</v>
      </c>
      <c r="B1149" s="6" t="s">
        <v>146</v>
      </c>
      <c r="C1149" s="7" t="n">
        <v>45107</v>
      </c>
      <c r="D1149" s="6" t="s">
        <v>380</v>
      </c>
      <c r="E1149" s="6" t="s">
        <v>2948</v>
      </c>
      <c r="F1149" s="6" t="s">
        <v>3551</v>
      </c>
      <c r="G1149" s="6" t="s">
        <v>3597</v>
      </c>
      <c r="H1149" s="9" t="n">
        <v>2164</v>
      </c>
      <c r="K1149" s="6" t="s">
        <v>384</v>
      </c>
      <c r="L1149" s="6" t="s">
        <v>13</v>
      </c>
      <c r="M1149" s="6" t="s">
        <v>144</v>
      </c>
      <c r="N1149" s="6" t="s">
        <v>3598</v>
      </c>
      <c r="O1149" s="6"/>
      <c r="P1149" s="6"/>
    </row>
    <row r="1150" customFormat="false" ht="15" hidden="false" customHeight="false" outlineLevel="0" collapsed="false">
      <c r="A1150" s="6" t="s">
        <v>3599</v>
      </c>
      <c r="B1150" s="6" t="s">
        <v>440</v>
      </c>
      <c r="C1150" s="7" t="n">
        <v>45107</v>
      </c>
      <c r="D1150" s="6" t="s">
        <v>392</v>
      </c>
      <c r="E1150" s="6" t="s">
        <v>2948</v>
      </c>
      <c r="F1150" s="6" t="s">
        <v>3551</v>
      </c>
      <c r="G1150" s="6" t="s">
        <v>3600</v>
      </c>
      <c r="H1150" s="9" t="n">
        <v>4136</v>
      </c>
      <c r="K1150" s="6" t="s">
        <v>384</v>
      </c>
      <c r="L1150" s="6" t="s">
        <v>13</v>
      </c>
      <c r="M1150" s="6" t="s">
        <v>144</v>
      </c>
      <c r="N1150" s="6" t="s">
        <v>3601</v>
      </c>
      <c r="O1150" s="6"/>
      <c r="P1150" s="6"/>
    </row>
    <row r="1151" customFormat="false" ht="15" hidden="false" customHeight="false" outlineLevel="0" collapsed="false">
      <c r="A1151" s="6" t="s">
        <v>3602</v>
      </c>
      <c r="B1151" s="6" t="s">
        <v>151</v>
      </c>
      <c r="C1151" s="7" t="n">
        <v>45199</v>
      </c>
      <c r="D1151" s="6" t="s">
        <v>380</v>
      </c>
      <c r="E1151" s="6" t="s">
        <v>2948</v>
      </c>
      <c r="F1151" s="6" t="s">
        <v>3551</v>
      </c>
      <c r="G1151" s="6" t="s">
        <v>3603</v>
      </c>
      <c r="H1151" s="9" t="n">
        <v>2331</v>
      </c>
      <c r="K1151" s="6" t="s">
        <v>384</v>
      </c>
      <c r="L1151" s="6" t="s">
        <v>13</v>
      </c>
      <c r="M1151" s="6" t="s">
        <v>149</v>
      </c>
      <c r="N1151" s="6" t="s">
        <v>3604</v>
      </c>
      <c r="O1151" s="6"/>
      <c r="P1151" s="6"/>
    </row>
    <row r="1152" customFormat="false" ht="15" hidden="false" customHeight="false" outlineLevel="0" collapsed="false">
      <c r="A1152" s="6" t="s">
        <v>3605</v>
      </c>
      <c r="B1152" s="6" t="s">
        <v>447</v>
      </c>
      <c r="C1152" s="7" t="n">
        <v>45199</v>
      </c>
      <c r="D1152" s="6" t="s">
        <v>400</v>
      </c>
      <c r="E1152" s="6" t="s">
        <v>2948</v>
      </c>
      <c r="F1152" s="6" t="s">
        <v>3551</v>
      </c>
      <c r="G1152" s="6" t="s">
        <v>3606</v>
      </c>
      <c r="H1152" s="9" t="n">
        <v>6467</v>
      </c>
      <c r="K1152" s="6" t="s">
        <v>384</v>
      </c>
      <c r="L1152" s="6" t="s">
        <v>13</v>
      </c>
      <c r="M1152" s="6" t="s">
        <v>149</v>
      </c>
      <c r="N1152" s="6" t="s">
        <v>3607</v>
      </c>
      <c r="O1152" s="6"/>
      <c r="P1152" s="6"/>
    </row>
    <row r="1153" customFormat="false" ht="15" hidden="false" customHeight="false" outlineLevel="0" collapsed="false">
      <c r="A1153" s="6" t="s">
        <v>3608</v>
      </c>
      <c r="B1153" s="6" t="s">
        <v>156</v>
      </c>
      <c r="C1153" s="7" t="n">
        <v>45291</v>
      </c>
      <c r="D1153" s="6" t="s">
        <v>380</v>
      </c>
      <c r="E1153" s="6" t="s">
        <v>2948</v>
      </c>
      <c r="F1153" s="6" t="s">
        <v>3551</v>
      </c>
      <c r="G1153" s="6" t="s">
        <v>3609</v>
      </c>
      <c r="H1153" s="9" t="n">
        <v>2556</v>
      </c>
      <c r="K1153" s="6" t="s">
        <v>384</v>
      </c>
      <c r="L1153" s="6" t="s">
        <v>13</v>
      </c>
      <c r="M1153" s="6" t="s">
        <v>154</v>
      </c>
      <c r="N1153" s="6" t="s">
        <v>3610</v>
      </c>
      <c r="O1153" s="6"/>
      <c r="P1153" s="6"/>
    </row>
    <row r="1154" customFormat="false" ht="15" hidden="false" customHeight="false" outlineLevel="0" collapsed="false">
      <c r="A1154" s="6" t="s">
        <v>3611</v>
      </c>
      <c r="B1154" s="6" t="s">
        <v>225</v>
      </c>
      <c r="C1154" s="7" t="n">
        <v>45291</v>
      </c>
      <c r="D1154" s="6" t="s">
        <v>407</v>
      </c>
      <c r="E1154" s="6" t="s">
        <v>2948</v>
      </c>
      <c r="F1154" s="6" t="s">
        <v>3551</v>
      </c>
      <c r="G1154" s="6" t="s">
        <v>3612</v>
      </c>
      <c r="H1154" s="9" t="n">
        <v>9023</v>
      </c>
      <c r="K1154" s="6" t="s">
        <v>384</v>
      </c>
      <c r="L1154" s="6" t="s">
        <v>13</v>
      </c>
      <c r="M1154" s="6" t="s">
        <v>154</v>
      </c>
      <c r="N1154" s="6" t="s">
        <v>3613</v>
      </c>
      <c r="O1154" s="6"/>
      <c r="P1154" s="6"/>
    </row>
    <row r="1155" customFormat="false" ht="15" hidden="false" customHeight="false" outlineLevel="0" collapsed="false">
      <c r="A1155" s="6" t="s">
        <v>3614</v>
      </c>
      <c r="B1155" s="6" t="s">
        <v>161</v>
      </c>
      <c r="C1155" s="7" t="n">
        <v>45382</v>
      </c>
      <c r="D1155" s="6" t="s">
        <v>380</v>
      </c>
      <c r="E1155" s="6" t="s">
        <v>2948</v>
      </c>
      <c r="F1155" s="6" t="s">
        <v>3551</v>
      </c>
      <c r="G1155" s="6" t="s">
        <v>3615</v>
      </c>
      <c r="H1155" s="9" t="n">
        <v>2533</v>
      </c>
      <c r="K1155" s="6" t="s">
        <v>384</v>
      </c>
      <c r="L1155" s="6" t="s">
        <v>13</v>
      </c>
      <c r="M1155" s="6" t="s">
        <v>159</v>
      </c>
      <c r="N1155" s="6" t="s">
        <v>3616</v>
      </c>
      <c r="O1155" s="6"/>
      <c r="P1155" s="6"/>
    </row>
    <row r="1156" customFormat="false" ht="15" hidden="false" customHeight="false" outlineLevel="0" collapsed="false">
      <c r="A1156" s="6" t="s">
        <v>3617</v>
      </c>
      <c r="B1156" s="6" t="s">
        <v>166</v>
      </c>
      <c r="C1156" s="7" t="n">
        <v>45473</v>
      </c>
      <c r="D1156" s="6" t="s">
        <v>380</v>
      </c>
      <c r="E1156" s="6" t="s">
        <v>2948</v>
      </c>
      <c r="F1156" s="6" t="s">
        <v>3551</v>
      </c>
      <c r="G1156" s="6" t="s">
        <v>3618</v>
      </c>
      <c r="H1156" s="9" t="n">
        <v>2920</v>
      </c>
      <c r="K1156" s="6" t="s">
        <v>384</v>
      </c>
      <c r="L1156" s="6" t="s">
        <v>13</v>
      </c>
      <c r="M1156" s="6" t="s">
        <v>164</v>
      </c>
      <c r="N1156" s="6" t="s">
        <v>3619</v>
      </c>
      <c r="O1156" s="6"/>
      <c r="P1156" s="6"/>
    </row>
    <row r="1157" customFormat="false" ht="15" hidden="false" customHeight="false" outlineLevel="0" collapsed="false">
      <c r="A1157" s="6" t="s">
        <v>3620</v>
      </c>
      <c r="B1157" s="6" t="s">
        <v>241</v>
      </c>
      <c r="C1157" s="7" t="n">
        <v>45473</v>
      </c>
      <c r="D1157" s="6" t="s">
        <v>392</v>
      </c>
      <c r="E1157" s="6" t="s">
        <v>2948</v>
      </c>
      <c r="F1157" s="6" t="s">
        <v>3551</v>
      </c>
      <c r="G1157" s="6" t="s">
        <v>3621</v>
      </c>
      <c r="H1157" s="9" t="n">
        <v>5453</v>
      </c>
      <c r="K1157" s="6" t="s">
        <v>384</v>
      </c>
      <c r="L1157" s="6" t="s">
        <v>13</v>
      </c>
      <c r="M1157" s="6" t="s">
        <v>164</v>
      </c>
      <c r="N1157" s="6" t="s">
        <v>3622</v>
      </c>
      <c r="O1157" s="6"/>
      <c r="P1157" s="6"/>
    </row>
    <row r="1158" customFormat="false" ht="15" hidden="false" customHeight="false" outlineLevel="0" collapsed="false">
      <c r="A1158" s="6" t="s">
        <v>3623</v>
      </c>
      <c r="B1158" s="6" t="s">
        <v>171</v>
      </c>
      <c r="C1158" s="7" t="n">
        <v>45565</v>
      </c>
      <c r="D1158" s="6" t="s">
        <v>380</v>
      </c>
      <c r="E1158" s="6" t="s">
        <v>2948</v>
      </c>
      <c r="F1158" s="6" t="s">
        <v>3551</v>
      </c>
      <c r="G1158" s="6" t="s">
        <v>3624</v>
      </c>
      <c r="H1158" s="9" t="n">
        <v>3205</v>
      </c>
      <c r="K1158" s="6" t="s">
        <v>384</v>
      </c>
      <c r="L1158" s="6" t="s">
        <v>13</v>
      </c>
      <c r="M1158" s="6" t="s">
        <v>169</v>
      </c>
      <c r="N1158" s="6" t="s">
        <v>3625</v>
      </c>
      <c r="O1158" s="6"/>
      <c r="P1158" s="6"/>
    </row>
    <row r="1159" customFormat="false" ht="15" hidden="false" customHeight="false" outlineLevel="0" collapsed="false">
      <c r="A1159" s="6" t="s">
        <v>3626</v>
      </c>
      <c r="B1159" s="6" t="s">
        <v>469</v>
      </c>
      <c r="C1159" s="7" t="n">
        <v>45565</v>
      </c>
      <c r="D1159" s="6" t="s">
        <v>400</v>
      </c>
      <c r="E1159" s="6" t="s">
        <v>2948</v>
      </c>
      <c r="F1159" s="6" t="s">
        <v>3551</v>
      </c>
      <c r="G1159" s="6" t="s">
        <v>3627</v>
      </c>
      <c r="H1159" s="9" t="n">
        <v>8658</v>
      </c>
      <c r="K1159" s="6" t="s">
        <v>384</v>
      </c>
      <c r="L1159" s="6" t="s">
        <v>13</v>
      </c>
      <c r="M1159" s="6" t="s">
        <v>169</v>
      </c>
      <c r="N1159" s="6" t="s">
        <v>3628</v>
      </c>
      <c r="O1159" s="6"/>
      <c r="P1159" s="6"/>
    </row>
    <row r="1160" customFormat="false" ht="15" hidden="false" customHeight="false" outlineLevel="0" collapsed="false">
      <c r="A1160" s="6" t="s">
        <v>3629</v>
      </c>
      <c r="B1160" s="6" t="s">
        <v>176</v>
      </c>
      <c r="C1160" s="7" t="n">
        <v>45657</v>
      </c>
      <c r="D1160" s="6" t="s">
        <v>380</v>
      </c>
      <c r="E1160" s="6" t="s">
        <v>2948</v>
      </c>
      <c r="F1160" s="6" t="s">
        <v>3551</v>
      </c>
      <c r="G1160" s="6" t="s">
        <v>3630</v>
      </c>
      <c r="H1160" s="9" t="n">
        <v>3216</v>
      </c>
      <c r="K1160" s="6" t="s">
        <v>384</v>
      </c>
      <c r="L1160" s="6" t="s">
        <v>13</v>
      </c>
      <c r="M1160" s="6" t="s">
        <v>174</v>
      </c>
      <c r="N1160" s="6" t="s">
        <v>3631</v>
      </c>
      <c r="O1160" s="6"/>
      <c r="P1160" s="6"/>
    </row>
    <row r="1161" customFormat="false" ht="15" hidden="false" customHeight="false" outlineLevel="0" collapsed="false">
      <c r="A1161" s="6" t="s">
        <v>3632</v>
      </c>
      <c r="B1161" s="6" t="s">
        <v>230</v>
      </c>
      <c r="C1161" s="7" t="n">
        <v>45657</v>
      </c>
      <c r="D1161" s="6" t="s">
        <v>407</v>
      </c>
      <c r="E1161" s="6" t="s">
        <v>2948</v>
      </c>
      <c r="F1161" s="6" t="s">
        <v>3551</v>
      </c>
      <c r="G1161" s="6" t="s">
        <v>3633</v>
      </c>
      <c r="H1161" s="9" t="n">
        <v>11858</v>
      </c>
      <c r="K1161" s="6" t="s">
        <v>384</v>
      </c>
      <c r="L1161" s="6" t="s">
        <v>13</v>
      </c>
      <c r="M1161" s="6" t="s">
        <v>174</v>
      </c>
      <c r="N1161" s="6" t="s">
        <v>3634</v>
      </c>
      <c r="O1161" s="6"/>
      <c r="P1161" s="6"/>
    </row>
    <row r="1162" customFormat="false" ht="15" hidden="false" customHeight="false" outlineLevel="0" collapsed="false">
      <c r="A1162" s="6" t="s">
        <v>3635</v>
      </c>
      <c r="B1162" s="6" t="s">
        <v>181</v>
      </c>
      <c r="C1162" s="7" t="n">
        <v>45747</v>
      </c>
      <c r="D1162" s="6" t="s">
        <v>380</v>
      </c>
      <c r="E1162" s="6" t="s">
        <v>2948</v>
      </c>
      <c r="F1162" s="6" t="s">
        <v>3551</v>
      </c>
      <c r="G1162" s="6" t="s">
        <v>3636</v>
      </c>
      <c r="H1162" s="9" t="n">
        <v>3250</v>
      </c>
      <c r="K1162" s="6" t="s">
        <v>384</v>
      </c>
      <c r="L1162" s="6" t="s">
        <v>13</v>
      </c>
      <c r="M1162" s="6" t="s">
        <v>179</v>
      </c>
      <c r="N1162" s="6" t="s">
        <v>3637</v>
      </c>
      <c r="O1162" s="6"/>
      <c r="P1162" s="6"/>
    </row>
    <row r="1163" customFormat="false" ht="15" hidden="false" customHeight="false" outlineLevel="0" collapsed="false">
      <c r="A1163" s="6" t="s">
        <v>3638</v>
      </c>
      <c r="B1163" s="6" t="s">
        <v>186</v>
      </c>
      <c r="C1163" s="7" t="n">
        <v>45838</v>
      </c>
      <c r="D1163" s="6" t="s">
        <v>380</v>
      </c>
      <c r="E1163" s="6" t="s">
        <v>2948</v>
      </c>
      <c r="F1163" s="6" t="s">
        <v>3551</v>
      </c>
      <c r="G1163" s="6" t="s">
        <v>3639</v>
      </c>
      <c r="H1163" s="9" t="n">
        <v>3375</v>
      </c>
      <c r="K1163" s="6" t="s">
        <v>384</v>
      </c>
      <c r="L1163" s="6" t="s">
        <v>13</v>
      </c>
      <c r="M1163" s="6" t="s">
        <v>184</v>
      </c>
      <c r="N1163" s="6" t="s">
        <v>3640</v>
      </c>
      <c r="O1163" s="6"/>
      <c r="P1163" s="6"/>
    </row>
    <row r="1164" customFormat="false" ht="15" hidden="false" customHeight="false" outlineLevel="0" collapsed="false">
      <c r="A1164" s="6" t="s">
        <v>3641</v>
      </c>
      <c r="B1164" s="6" t="s">
        <v>255</v>
      </c>
      <c r="C1164" s="7" t="n">
        <v>45838</v>
      </c>
      <c r="D1164" s="6" t="s">
        <v>392</v>
      </c>
      <c r="E1164" s="6" t="s">
        <v>2948</v>
      </c>
      <c r="F1164" s="6" t="s">
        <v>3551</v>
      </c>
      <c r="G1164" s="6" t="s">
        <v>3642</v>
      </c>
      <c r="H1164" s="9" t="n">
        <v>6625</v>
      </c>
      <c r="K1164" s="6" t="s">
        <v>384</v>
      </c>
      <c r="L1164" s="6" t="s">
        <v>13</v>
      </c>
      <c r="M1164" s="6" t="s">
        <v>184</v>
      </c>
      <c r="N1164" s="6" t="s">
        <v>3643</v>
      </c>
      <c r="O1164" s="6"/>
      <c r="P1164" s="6"/>
    </row>
    <row r="1165" customFormat="false" ht="15" hidden="false" customHeight="false" outlineLevel="0" collapsed="false">
      <c r="A1165" s="6" t="s">
        <v>3644</v>
      </c>
      <c r="B1165" s="6" t="s">
        <v>191</v>
      </c>
      <c r="C1165" s="7" t="n">
        <v>45930</v>
      </c>
      <c r="D1165" s="6" t="s">
        <v>380</v>
      </c>
      <c r="E1165" s="6" t="s">
        <v>2948</v>
      </c>
      <c r="F1165" s="6" t="s">
        <v>3551</v>
      </c>
      <c r="G1165" s="6" t="s">
        <v>3645</v>
      </c>
      <c r="H1165" s="9" t="n">
        <v>3500</v>
      </c>
      <c r="K1165" s="6" t="s">
        <v>384</v>
      </c>
      <c r="L1165" s="6" t="s">
        <v>13</v>
      </c>
      <c r="M1165" s="6" t="s">
        <v>189</v>
      </c>
      <c r="N1165" s="6" t="s">
        <v>3646</v>
      </c>
      <c r="O1165" s="6"/>
      <c r="P1165" s="6"/>
    </row>
    <row r="1166" customFormat="false" ht="15" hidden="false" customHeight="false" outlineLevel="0" collapsed="false">
      <c r="A1166" s="6" t="s">
        <v>3647</v>
      </c>
      <c r="B1166" s="6" t="s">
        <v>491</v>
      </c>
      <c r="C1166" s="7" t="n">
        <v>45930</v>
      </c>
      <c r="D1166" s="6" t="s">
        <v>400</v>
      </c>
      <c r="E1166" s="6" t="s">
        <v>2948</v>
      </c>
      <c r="F1166" s="6" t="s">
        <v>3551</v>
      </c>
      <c r="G1166" s="6" t="s">
        <v>3648</v>
      </c>
      <c r="H1166" s="9" t="n">
        <v>10125</v>
      </c>
      <c r="K1166" s="6" t="s">
        <v>384</v>
      </c>
      <c r="L1166" s="6" t="s">
        <v>13</v>
      </c>
      <c r="M1166" s="6" t="s">
        <v>189</v>
      </c>
      <c r="N1166" s="6" t="s">
        <v>3649</v>
      </c>
      <c r="O1166" s="6"/>
      <c r="P1166" s="6"/>
    </row>
    <row r="1167" customFormat="false" ht="15" hidden="false" customHeight="false" outlineLevel="0" collapsed="false">
      <c r="A1167" s="6" t="s">
        <v>3650</v>
      </c>
      <c r="B1167" s="6" t="s">
        <v>196</v>
      </c>
      <c r="C1167" s="7" t="n">
        <v>46022</v>
      </c>
      <c r="D1167" s="6" t="s">
        <v>380</v>
      </c>
      <c r="E1167" s="6" t="s">
        <v>2948</v>
      </c>
      <c r="F1167" s="6" t="s">
        <v>3551</v>
      </c>
      <c r="G1167" s="6" t="s">
        <v>3651</v>
      </c>
      <c r="H1167" s="9" t="n">
        <v>3738</v>
      </c>
      <c r="K1167" s="6" t="s">
        <v>384</v>
      </c>
      <c r="L1167" s="6" t="s">
        <v>13</v>
      </c>
      <c r="M1167" s="6" t="s">
        <v>194</v>
      </c>
      <c r="N1167" s="6" t="s">
        <v>3652</v>
      </c>
      <c r="O1167" s="6"/>
      <c r="P1167" s="6"/>
    </row>
    <row r="1168" customFormat="false" ht="15" hidden="false" customHeight="false" outlineLevel="0" collapsed="false">
      <c r="A1168" s="6" t="s">
        <v>3653</v>
      </c>
      <c r="B1168" s="6" t="s">
        <v>235</v>
      </c>
      <c r="C1168" s="7" t="n">
        <v>46022</v>
      </c>
      <c r="D1168" s="6" t="s">
        <v>407</v>
      </c>
      <c r="E1168" s="6" t="s">
        <v>2948</v>
      </c>
      <c r="F1168" s="6" t="s">
        <v>3551</v>
      </c>
      <c r="G1168" s="6" t="s">
        <v>3654</v>
      </c>
      <c r="H1168" s="9" t="n">
        <v>13805</v>
      </c>
      <c r="K1168" s="6" t="s">
        <v>384</v>
      </c>
      <c r="L1168" s="6" t="s">
        <v>13</v>
      </c>
      <c r="M1168" s="6" t="s">
        <v>194</v>
      </c>
      <c r="N1168" s="6" t="s">
        <v>3655</v>
      </c>
      <c r="O1168" s="6"/>
      <c r="P1168" s="6"/>
    </row>
    <row r="1169" customFormat="false" ht="15" hidden="false" customHeight="false" outlineLevel="0" collapsed="false">
      <c r="A1169" s="6" t="s">
        <v>3656</v>
      </c>
      <c r="B1169" s="6" t="s">
        <v>201</v>
      </c>
      <c r="C1169" s="7" t="n">
        <v>46112</v>
      </c>
      <c r="D1169" s="6" t="s">
        <v>380</v>
      </c>
      <c r="E1169" s="6" t="s">
        <v>2948</v>
      </c>
      <c r="F1169" s="6" t="s">
        <v>3551</v>
      </c>
      <c r="G1169" s="6" t="s">
        <v>3657</v>
      </c>
      <c r="H1169" s="9" t="n">
        <v>3848</v>
      </c>
      <c r="K1169" s="6" t="s">
        <v>384</v>
      </c>
      <c r="L1169" s="6" t="s">
        <v>13</v>
      </c>
      <c r="M1169" s="6" t="s">
        <v>199</v>
      </c>
      <c r="N1169" s="6" t="s">
        <v>3658</v>
      </c>
      <c r="O1169" s="6"/>
      <c r="P1169" s="6"/>
    </row>
    <row r="1170" customFormat="false" ht="15" hidden="false" customHeight="false" outlineLevel="0" collapsed="false">
      <c r="A1170" s="6" t="s">
        <v>3659</v>
      </c>
      <c r="B1170" s="6" t="s">
        <v>206</v>
      </c>
      <c r="C1170" s="7" t="n">
        <v>46203</v>
      </c>
      <c r="D1170" s="6" t="s">
        <v>380</v>
      </c>
      <c r="E1170" s="6" t="s">
        <v>2948</v>
      </c>
      <c r="F1170" s="6" t="s">
        <v>3551</v>
      </c>
      <c r="G1170" s="6" t="s">
        <v>3660</v>
      </c>
      <c r="H1170" s="9" t="n">
        <v>3967</v>
      </c>
      <c r="K1170" s="6" t="s">
        <v>384</v>
      </c>
      <c r="L1170" s="6" t="s">
        <v>13</v>
      </c>
      <c r="M1170" s="6" t="s">
        <v>204</v>
      </c>
      <c r="N1170" s="6" t="s">
        <v>3661</v>
      </c>
      <c r="O1170" s="6"/>
      <c r="P1170" s="6"/>
    </row>
    <row r="1171" customFormat="false" ht="15" hidden="false" customHeight="false" outlineLevel="0" collapsed="false">
      <c r="A1171" s="6" t="s">
        <v>3662</v>
      </c>
      <c r="B1171" s="6" t="s">
        <v>263</v>
      </c>
      <c r="C1171" s="7" t="n">
        <v>46203</v>
      </c>
      <c r="D1171" s="6" t="s">
        <v>392</v>
      </c>
      <c r="E1171" s="6" t="s">
        <v>2948</v>
      </c>
      <c r="F1171" s="6" t="s">
        <v>3551</v>
      </c>
      <c r="G1171" s="6" t="s">
        <v>3663</v>
      </c>
      <c r="H1171" s="9" t="n">
        <v>7815</v>
      </c>
      <c r="K1171" s="6" t="s">
        <v>384</v>
      </c>
      <c r="L1171" s="6" t="s">
        <v>13</v>
      </c>
      <c r="M1171" s="6" t="s">
        <v>204</v>
      </c>
      <c r="N1171" s="6" t="s">
        <v>3664</v>
      </c>
      <c r="O1171" s="6"/>
      <c r="P1171" s="6"/>
    </row>
    <row r="1172" customFormat="false" ht="15" hidden="false" customHeight="false" outlineLevel="0" collapsed="false">
      <c r="A1172" s="6" t="s">
        <v>3665</v>
      </c>
      <c r="B1172" s="6" t="s">
        <v>379</v>
      </c>
      <c r="C1172" s="7" t="n">
        <v>44286</v>
      </c>
      <c r="D1172" s="6" t="s">
        <v>380</v>
      </c>
      <c r="E1172" s="6" t="s">
        <v>2948</v>
      </c>
      <c r="F1172" s="6" t="s">
        <v>3666</v>
      </c>
      <c r="G1172" s="6"/>
      <c r="H1172" s="11" t="n">
        <f aca="false">H1068/H2</f>
        <v>-0.0270467340432748</v>
      </c>
      <c r="K1172" s="6" t="s">
        <v>742</v>
      </c>
      <c r="L1172" s="6" t="s">
        <v>15</v>
      </c>
      <c r="M1172" s="6" t="s">
        <v>119</v>
      </c>
      <c r="N1172" s="6" t="s">
        <v>1623</v>
      </c>
      <c r="O1172" s="6" t="s">
        <v>3667</v>
      </c>
      <c r="P1172" s="6" t="s">
        <v>1625</v>
      </c>
    </row>
    <row r="1173" customFormat="false" ht="15" hidden="false" customHeight="false" outlineLevel="0" collapsed="false">
      <c r="A1173" s="6" t="s">
        <v>3668</v>
      </c>
      <c r="B1173" s="6" t="s">
        <v>103</v>
      </c>
      <c r="C1173" s="7" t="n">
        <v>44377</v>
      </c>
      <c r="D1173" s="6" t="s">
        <v>380</v>
      </c>
      <c r="E1173" s="6" t="s">
        <v>2948</v>
      </c>
      <c r="F1173" s="6" t="s">
        <v>3666</v>
      </c>
      <c r="G1173" s="6"/>
      <c r="H1173" s="11" t="n">
        <f aca="false">H1069/H3</f>
        <v>-0.0209587198187354</v>
      </c>
      <c r="K1173" s="6" t="s">
        <v>742</v>
      </c>
      <c r="L1173" s="6" t="s">
        <v>15</v>
      </c>
      <c r="M1173" s="6" t="s">
        <v>100</v>
      </c>
      <c r="N1173" s="6" t="s">
        <v>1623</v>
      </c>
      <c r="O1173" s="6" t="s">
        <v>3669</v>
      </c>
      <c r="P1173" s="6" t="s">
        <v>1625</v>
      </c>
    </row>
    <row r="1174" customFormat="false" ht="15" hidden="false" customHeight="false" outlineLevel="0" collapsed="false">
      <c r="A1174" s="6" t="s">
        <v>3670</v>
      </c>
      <c r="B1174" s="6" t="s">
        <v>111</v>
      </c>
      <c r="C1174" s="7" t="n">
        <v>44469</v>
      </c>
      <c r="D1174" s="6" t="s">
        <v>380</v>
      </c>
      <c r="E1174" s="6" t="s">
        <v>2948</v>
      </c>
      <c r="F1174" s="6" t="s">
        <v>3666</v>
      </c>
      <c r="G1174" s="6"/>
      <c r="H1174" s="11" t="n">
        <f aca="false">H1071/H5</f>
        <v>0.0345105880652389</v>
      </c>
      <c r="K1174" s="6" t="s">
        <v>742</v>
      </c>
      <c r="L1174" s="6" t="s">
        <v>15</v>
      </c>
      <c r="M1174" s="6" t="s">
        <v>109</v>
      </c>
      <c r="N1174" s="6" t="s">
        <v>1623</v>
      </c>
      <c r="O1174" s="6" t="s">
        <v>3671</v>
      </c>
      <c r="P1174" s="6" t="s">
        <v>1625</v>
      </c>
    </row>
    <row r="1175" customFormat="false" ht="15" hidden="false" customHeight="false" outlineLevel="0" collapsed="false">
      <c r="A1175" s="6" t="s">
        <v>3672</v>
      </c>
      <c r="B1175" s="6" t="s">
        <v>116</v>
      </c>
      <c r="C1175" s="7" t="n">
        <v>44561</v>
      </c>
      <c r="D1175" s="6" t="s">
        <v>380</v>
      </c>
      <c r="E1175" s="6" t="s">
        <v>2948</v>
      </c>
      <c r="F1175" s="6" t="s">
        <v>3666</v>
      </c>
      <c r="G1175" s="6"/>
      <c r="H1175" s="11" t="n">
        <f aca="false">H1073/H7</f>
        <v>0.105814014338793</v>
      </c>
      <c r="K1175" s="6" t="s">
        <v>742</v>
      </c>
      <c r="L1175" s="6" t="s">
        <v>15</v>
      </c>
      <c r="M1175" s="6" t="s">
        <v>114</v>
      </c>
      <c r="N1175" s="6" t="s">
        <v>1623</v>
      </c>
      <c r="O1175" s="6" t="s">
        <v>3673</v>
      </c>
      <c r="P1175" s="6" t="s">
        <v>1625</v>
      </c>
    </row>
    <row r="1176" customFormat="false" ht="15" hidden="false" customHeight="false" outlineLevel="0" collapsed="false">
      <c r="A1176" s="6" t="s">
        <v>3674</v>
      </c>
      <c r="B1176" s="6" t="s">
        <v>212</v>
      </c>
      <c r="C1176" s="7" t="n">
        <v>44561</v>
      </c>
      <c r="D1176" s="6" t="s">
        <v>407</v>
      </c>
      <c r="E1176" s="6" t="s">
        <v>2948</v>
      </c>
      <c r="F1176" s="6" t="s">
        <v>3666</v>
      </c>
      <c r="G1176" s="6"/>
      <c r="H1176" s="11" t="n">
        <f aca="false">H1074/H8</f>
        <v>0.0321272107739737</v>
      </c>
      <c r="K1176" s="6" t="s">
        <v>742</v>
      </c>
      <c r="L1176" s="6" t="s">
        <v>15</v>
      </c>
      <c r="M1176" s="6" t="s">
        <v>114</v>
      </c>
      <c r="N1176" s="6" t="s">
        <v>1623</v>
      </c>
      <c r="O1176" s="6" t="s">
        <v>3675</v>
      </c>
      <c r="P1176" s="6" t="s">
        <v>1625</v>
      </c>
    </row>
    <row r="1177" customFormat="false" ht="15" hidden="false" customHeight="false" outlineLevel="0" collapsed="false">
      <c r="A1177" s="6" t="s">
        <v>3676</v>
      </c>
      <c r="B1177" s="6" t="s">
        <v>121</v>
      </c>
      <c r="C1177" s="7" t="n">
        <v>44651</v>
      </c>
      <c r="D1177" s="6" t="s">
        <v>380</v>
      </c>
      <c r="E1177" s="6" t="s">
        <v>2948</v>
      </c>
      <c r="F1177" s="6" t="s">
        <v>3666</v>
      </c>
      <c r="G1177" s="6"/>
      <c r="H1177" s="11" t="n">
        <f aca="false">H1075/H9</f>
        <v>-0.149239149469571</v>
      </c>
      <c r="K1177" s="6" t="s">
        <v>742</v>
      </c>
      <c r="L1177" s="6" t="s">
        <v>15</v>
      </c>
      <c r="M1177" s="6" t="s">
        <v>119</v>
      </c>
      <c r="N1177" s="6" t="s">
        <v>1623</v>
      </c>
      <c r="O1177" s="6" t="s">
        <v>3677</v>
      </c>
      <c r="P1177" s="6" t="s">
        <v>1625</v>
      </c>
    </row>
    <row r="1178" customFormat="false" ht="15" hidden="false" customHeight="false" outlineLevel="0" collapsed="false">
      <c r="A1178" s="6" t="s">
        <v>3678</v>
      </c>
      <c r="B1178" s="6" t="s">
        <v>126</v>
      </c>
      <c r="C1178" s="7" t="n">
        <v>44742</v>
      </c>
      <c r="D1178" s="6" t="s">
        <v>380</v>
      </c>
      <c r="E1178" s="6" t="s">
        <v>2948</v>
      </c>
      <c r="F1178" s="6" t="s">
        <v>3666</v>
      </c>
      <c r="G1178" s="6"/>
      <c r="H1178" s="11" t="n">
        <f aca="false">H1076/H10</f>
        <v>-0.155959520845794</v>
      </c>
      <c r="K1178" s="6" t="s">
        <v>742</v>
      </c>
      <c r="L1178" s="6" t="s">
        <v>15</v>
      </c>
      <c r="M1178" s="6" t="s">
        <v>124</v>
      </c>
      <c r="N1178" s="6" t="s">
        <v>1623</v>
      </c>
      <c r="O1178" s="6" t="s">
        <v>3679</v>
      </c>
      <c r="P1178" s="6" t="s">
        <v>1625</v>
      </c>
    </row>
    <row r="1179" customFormat="false" ht="15" hidden="false" customHeight="false" outlineLevel="0" collapsed="false">
      <c r="A1179" s="6" t="s">
        <v>3680</v>
      </c>
      <c r="B1179" s="6" t="s">
        <v>131</v>
      </c>
      <c r="C1179" s="7" t="n">
        <v>44834</v>
      </c>
      <c r="D1179" s="6" t="s">
        <v>380</v>
      </c>
      <c r="E1179" s="6" t="s">
        <v>2948</v>
      </c>
      <c r="F1179" s="6" t="s">
        <v>3666</v>
      </c>
      <c r="G1179" s="6"/>
      <c r="H1179" s="11" t="n">
        <f aca="false">H1078/H12</f>
        <v>0.101970151870439</v>
      </c>
      <c r="K1179" s="6" t="s">
        <v>742</v>
      </c>
      <c r="L1179" s="6" t="s">
        <v>15</v>
      </c>
      <c r="M1179" s="6" t="s">
        <v>129</v>
      </c>
      <c r="N1179" s="6" t="s">
        <v>1623</v>
      </c>
      <c r="O1179" s="6" t="s">
        <v>3681</v>
      </c>
      <c r="P1179" s="6" t="s">
        <v>1625</v>
      </c>
    </row>
    <row r="1180" customFormat="false" ht="15" hidden="false" customHeight="false" outlineLevel="0" collapsed="false">
      <c r="A1180" s="6" t="s">
        <v>3682</v>
      </c>
      <c r="B1180" s="6" t="s">
        <v>136</v>
      </c>
      <c r="C1180" s="7" t="n">
        <v>44926</v>
      </c>
      <c r="D1180" s="6" t="s">
        <v>380</v>
      </c>
      <c r="E1180" s="6" t="s">
        <v>2948</v>
      </c>
      <c r="F1180" s="6" t="s">
        <v>3666</v>
      </c>
      <c r="G1180" s="6"/>
      <c r="H1180" s="11" t="n">
        <f aca="false">H1080/H14</f>
        <v>0.197870878662762</v>
      </c>
      <c r="K1180" s="6" t="s">
        <v>742</v>
      </c>
      <c r="L1180" s="6" t="s">
        <v>15</v>
      </c>
      <c r="M1180" s="6" t="s">
        <v>134</v>
      </c>
      <c r="N1180" s="6" t="s">
        <v>1623</v>
      </c>
      <c r="O1180" s="6" t="s">
        <v>3683</v>
      </c>
      <c r="P1180" s="6" t="s">
        <v>1625</v>
      </c>
    </row>
    <row r="1181" customFormat="false" ht="15" hidden="false" customHeight="false" outlineLevel="0" collapsed="false">
      <c r="A1181" s="6" t="s">
        <v>3684</v>
      </c>
      <c r="B1181" s="6" t="s">
        <v>220</v>
      </c>
      <c r="C1181" s="7" t="n">
        <v>44926</v>
      </c>
      <c r="D1181" s="6" t="s">
        <v>407</v>
      </c>
      <c r="E1181" s="6" t="s">
        <v>2948</v>
      </c>
      <c r="F1181" s="6" t="s">
        <v>3666</v>
      </c>
      <c r="G1181" s="6"/>
      <c r="H1181" s="11" t="n">
        <f aca="false">H1081/H15</f>
        <v>0.01567735136187</v>
      </c>
      <c r="K1181" s="6" t="s">
        <v>742</v>
      </c>
      <c r="L1181" s="6" t="s">
        <v>15</v>
      </c>
      <c r="M1181" s="6" t="s">
        <v>134</v>
      </c>
      <c r="N1181" s="6" t="s">
        <v>1623</v>
      </c>
      <c r="O1181" s="6" t="s">
        <v>3685</v>
      </c>
      <c r="P1181" s="6" t="s">
        <v>1625</v>
      </c>
    </row>
    <row r="1182" customFormat="false" ht="15" hidden="false" customHeight="false" outlineLevel="0" collapsed="false">
      <c r="A1182" s="6" t="s">
        <v>3686</v>
      </c>
      <c r="B1182" s="6" t="s">
        <v>141</v>
      </c>
      <c r="C1182" s="7" t="n">
        <v>45016</v>
      </c>
      <c r="D1182" s="6" t="s">
        <v>380</v>
      </c>
      <c r="E1182" s="6" t="s">
        <v>2948</v>
      </c>
      <c r="F1182" s="6" t="s">
        <v>3666</v>
      </c>
      <c r="G1182" s="6"/>
      <c r="H1182" s="11" t="n">
        <f aca="false">H1082/H16</f>
        <v>0.238401045261809</v>
      </c>
      <c r="K1182" s="6" t="s">
        <v>742</v>
      </c>
      <c r="L1182" s="6" t="s">
        <v>15</v>
      </c>
      <c r="M1182" s="6" t="s">
        <v>139</v>
      </c>
      <c r="N1182" s="6" t="s">
        <v>1623</v>
      </c>
      <c r="O1182" s="6" t="s">
        <v>3687</v>
      </c>
      <c r="P1182" s="6" t="s">
        <v>1625</v>
      </c>
    </row>
    <row r="1183" customFormat="false" ht="15" hidden="false" customHeight="false" outlineLevel="0" collapsed="false">
      <c r="A1183" s="6" t="s">
        <v>3688</v>
      </c>
      <c r="B1183" s="6" t="s">
        <v>146</v>
      </c>
      <c r="C1183" s="7" t="n">
        <v>45107</v>
      </c>
      <c r="D1183" s="6" t="s">
        <v>380</v>
      </c>
      <c r="E1183" s="6" t="s">
        <v>2948</v>
      </c>
      <c r="F1183" s="6" t="s">
        <v>3666</v>
      </c>
      <c r="G1183" s="6"/>
      <c r="H1183" s="11" t="n">
        <f aca="false">H1083/H17</f>
        <v>0.261454129406474</v>
      </c>
      <c r="K1183" s="6" t="s">
        <v>742</v>
      </c>
      <c r="L1183" s="6" t="s">
        <v>15</v>
      </c>
      <c r="M1183" s="6" t="s">
        <v>144</v>
      </c>
      <c r="N1183" s="6" t="s">
        <v>1623</v>
      </c>
      <c r="O1183" s="6" t="s">
        <v>3689</v>
      </c>
      <c r="P1183" s="6" t="s">
        <v>1625</v>
      </c>
    </row>
    <row r="1184" customFormat="false" ht="15" hidden="false" customHeight="false" outlineLevel="0" collapsed="false">
      <c r="A1184" s="6" t="s">
        <v>3690</v>
      </c>
      <c r="B1184" s="6" t="s">
        <v>151</v>
      </c>
      <c r="C1184" s="7" t="n">
        <v>45199</v>
      </c>
      <c r="D1184" s="6" t="s">
        <v>380</v>
      </c>
      <c r="E1184" s="6" t="s">
        <v>2948</v>
      </c>
      <c r="F1184" s="6" t="s">
        <v>3666</v>
      </c>
      <c r="G1184" s="6"/>
      <c r="H1184" s="11" t="n">
        <f aca="false">H1085/H19</f>
        <v>0.342988530049157</v>
      </c>
      <c r="K1184" s="6" t="s">
        <v>742</v>
      </c>
      <c r="L1184" s="6" t="s">
        <v>15</v>
      </c>
      <c r="M1184" s="6" t="s">
        <v>149</v>
      </c>
      <c r="N1184" s="6" t="s">
        <v>1623</v>
      </c>
      <c r="O1184" s="6" t="s">
        <v>3691</v>
      </c>
      <c r="P1184" s="6" t="s">
        <v>1625</v>
      </c>
    </row>
    <row r="1185" customFormat="false" ht="15" hidden="false" customHeight="false" outlineLevel="0" collapsed="false">
      <c r="A1185" s="6" t="s">
        <v>3692</v>
      </c>
      <c r="B1185" s="6" t="s">
        <v>156</v>
      </c>
      <c r="C1185" s="7" t="n">
        <v>45291</v>
      </c>
      <c r="D1185" s="6" t="s">
        <v>380</v>
      </c>
      <c r="E1185" s="6" t="s">
        <v>2948</v>
      </c>
      <c r="F1185" s="6" t="s">
        <v>3666</v>
      </c>
      <c r="G1185" s="6"/>
      <c r="H1185" s="11" t="n">
        <f aca="false">H1087/H21</f>
        <v>0.273688107814583</v>
      </c>
      <c r="K1185" s="6" t="s">
        <v>742</v>
      </c>
      <c r="L1185" s="6" t="s">
        <v>15</v>
      </c>
      <c r="M1185" s="6" t="s">
        <v>154</v>
      </c>
      <c r="N1185" s="6" t="s">
        <v>1623</v>
      </c>
      <c r="O1185" s="6" t="s">
        <v>3693</v>
      </c>
      <c r="P1185" s="6" t="s">
        <v>1625</v>
      </c>
    </row>
    <row r="1186" customFormat="false" ht="15" hidden="false" customHeight="false" outlineLevel="0" collapsed="false">
      <c r="A1186" s="6" t="s">
        <v>3694</v>
      </c>
      <c r="B1186" s="6" t="s">
        <v>225</v>
      </c>
      <c r="C1186" s="7" t="n">
        <v>45291</v>
      </c>
      <c r="D1186" s="6" t="s">
        <v>407</v>
      </c>
      <c r="E1186" s="6" t="s">
        <v>2948</v>
      </c>
      <c r="F1186" s="6" t="s">
        <v>3666</v>
      </c>
      <c r="G1186" s="6"/>
      <c r="H1186" s="11" t="n">
        <f aca="false">H1088/H22</f>
        <v>0.280863922597798</v>
      </c>
      <c r="K1186" s="6" t="s">
        <v>742</v>
      </c>
      <c r="L1186" s="6" t="s">
        <v>15</v>
      </c>
      <c r="M1186" s="6" t="s">
        <v>154</v>
      </c>
      <c r="N1186" s="6" t="s">
        <v>1623</v>
      </c>
      <c r="O1186" s="6" t="s">
        <v>3695</v>
      </c>
      <c r="P1186" s="6" t="s">
        <v>1625</v>
      </c>
    </row>
    <row r="1187" customFormat="false" ht="15" hidden="false" customHeight="false" outlineLevel="0" collapsed="false">
      <c r="A1187" s="6" t="s">
        <v>3696</v>
      </c>
      <c r="B1187" s="6" t="s">
        <v>161</v>
      </c>
      <c r="C1187" s="7" t="n">
        <v>45382</v>
      </c>
      <c r="D1187" s="6" t="s">
        <v>380</v>
      </c>
      <c r="E1187" s="6" t="s">
        <v>2948</v>
      </c>
      <c r="F1187" s="6" t="s">
        <v>3666</v>
      </c>
      <c r="G1187" s="6"/>
      <c r="H1187" s="11" t="n">
        <f aca="false">H1089/H23</f>
        <v>0.414424216160396</v>
      </c>
      <c r="K1187" s="6" t="s">
        <v>742</v>
      </c>
      <c r="L1187" s="6" t="s">
        <v>15</v>
      </c>
      <c r="M1187" s="6" t="s">
        <v>159</v>
      </c>
      <c r="N1187" s="6" t="s">
        <v>1623</v>
      </c>
      <c r="O1187" s="6" t="s">
        <v>3697</v>
      </c>
      <c r="P1187" s="6" t="s">
        <v>1625</v>
      </c>
    </row>
    <row r="1188" customFormat="false" ht="15" hidden="false" customHeight="false" outlineLevel="0" collapsed="false">
      <c r="A1188" s="6" t="s">
        <v>3698</v>
      </c>
      <c r="B1188" s="6" t="s">
        <v>166</v>
      </c>
      <c r="C1188" s="7" t="n">
        <v>45473</v>
      </c>
      <c r="D1188" s="6" t="s">
        <v>380</v>
      </c>
      <c r="E1188" s="6" t="s">
        <v>2948</v>
      </c>
      <c r="F1188" s="6" t="s">
        <v>3666</v>
      </c>
      <c r="G1188" s="6"/>
      <c r="H1188" s="11" t="n">
        <f aca="false">H1090/H24</f>
        <v>0.215246541807493</v>
      </c>
      <c r="K1188" s="6" t="s">
        <v>742</v>
      </c>
      <c r="L1188" s="6" t="s">
        <v>15</v>
      </c>
      <c r="M1188" s="6" t="s">
        <v>164</v>
      </c>
      <c r="N1188" s="6" t="s">
        <v>1623</v>
      </c>
      <c r="O1188" s="6" t="s">
        <v>3699</v>
      </c>
      <c r="P1188" s="6" t="s">
        <v>1625</v>
      </c>
    </row>
    <row r="1189" customFormat="false" ht="15" hidden="false" customHeight="false" outlineLevel="0" collapsed="false">
      <c r="A1189" s="6" t="s">
        <v>3700</v>
      </c>
      <c r="B1189" s="6" t="s">
        <v>171</v>
      </c>
      <c r="C1189" s="7" t="n">
        <v>45565</v>
      </c>
      <c r="D1189" s="6" t="s">
        <v>380</v>
      </c>
      <c r="E1189" s="6" t="s">
        <v>2948</v>
      </c>
      <c r="F1189" s="6" t="s">
        <v>3666</v>
      </c>
      <c r="G1189" s="6"/>
      <c r="H1189" s="11" t="n">
        <f aca="false">H1092/H26</f>
        <v>0.328334661354582</v>
      </c>
      <c r="K1189" s="6" t="s">
        <v>742</v>
      </c>
      <c r="L1189" s="6" t="s">
        <v>15</v>
      </c>
      <c r="M1189" s="6" t="s">
        <v>169</v>
      </c>
      <c r="N1189" s="6" t="s">
        <v>1623</v>
      </c>
      <c r="O1189" s="6" t="s">
        <v>3701</v>
      </c>
      <c r="P1189" s="6" t="s">
        <v>1625</v>
      </c>
    </row>
    <row r="1190" customFormat="false" ht="15" hidden="false" customHeight="false" outlineLevel="0" collapsed="false">
      <c r="A1190" s="6" t="s">
        <v>3702</v>
      </c>
      <c r="B1190" s="6" t="s">
        <v>176</v>
      </c>
      <c r="C1190" s="7" t="n">
        <v>45657</v>
      </c>
      <c r="D1190" s="6" t="s">
        <v>380</v>
      </c>
      <c r="E1190" s="6" t="s">
        <v>2948</v>
      </c>
      <c r="F1190" s="6" t="s">
        <v>3666</v>
      </c>
      <c r="G1190" s="6"/>
      <c r="H1190" s="11" t="n">
        <f aca="false">H1094/H28</f>
        <v>0.271304146639998</v>
      </c>
      <c r="K1190" s="6" t="s">
        <v>742</v>
      </c>
      <c r="L1190" s="6" t="s">
        <v>15</v>
      </c>
      <c r="M1190" s="6" t="s">
        <v>174</v>
      </c>
      <c r="N1190" s="6" t="s">
        <v>1623</v>
      </c>
      <c r="O1190" s="6" t="s">
        <v>3703</v>
      </c>
      <c r="P1190" s="6" t="s">
        <v>1625</v>
      </c>
    </row>
    <row r="1191" customFormat="false" ht="15" hidden="false" customHeight="false" outlineLevel="0" collapsed="false">
      <c r="A1191" s="6" t="s">
        <v>3704</v>
      </c>
      <c r="B1191" s="6" t="s">
        <v>230</v>
      </c>
      <c r="C1191" s="7" t="n">
        <v>45657</v>
      </c>
      <c r="D1191" s="6" t="s">
        <v>407</v>
      </c>
      <c r="E1191" s="6" t="s">
        <v>2948</v>
      </c>
      <c r="F1191" s="6" t="s">
        <v>3666</v>
      </c>
      <c r="G1191" s="6"/>
      <c r="H1191" s="11" t="n">
        <f aca="false">H1095/H29</f>
        <v>0.304353417455851</v>
      </c>
      <c r="K1191" s="6" t="s">
        <v>742</v>
      </c>
      <c r="L1191" s="6" t="s">
        <v>15</v>
      </c>
      <c r="M1191" s="6" t="s">
        <v>174</v>
      </c>
      <c r="N1191" s="6" t="s">
        <v>1623</v>
      </c>
      <c r="O1191" s="6" t="s">
        <v>3705</v>
      </c>
      <c r="P1191" s="6" t="s">
        <v>1625</v>
      </c>
    </row>
    <row r="1192" customFormat="false" ht="15" hidden="false" customHeight="false" outlineLevel="0" collapsed="false">
      <c r="A1192" s="6" t="s">
        <v>3706</v>
      </c>
      <c r="B1192" s="6" t="s">
        <v>181</v>
      </c>
      <c r="C1192" s="7" t="n">
        <v>45747</v>
      </c>
      <c r="D1192" s="6" t="s">
        <v>380</v>
      </c>
      <c r="E1192" s="6" t="s">
        <v>2948</v>
      </c>
      <c r="F1192" s="6" t="s">
        <v>3666</v>
      </c>
      <c r="G1192" s="6"/>
      <c r="H1192" s="11" t="n">
        <f aca="false">H1096/H30</f>
        <v>0.388067316209035</v>
      </c>
      <c r="K1192" s="6" t="s">
        <v>742</v>
      </c>
      <c r="L1192" s="6" t="s">
        <v>15</v>
      </c>
      <c r="M1192" s="6" t="s">
        <v>179</v>
      </c>
      <c r="N1192" s="6" t="s">
        <v>1623</v>
      </c>
      <c r="O1192" s="6" t="s">
        <v>3707</v>
      </c>
      <c r="P1192" s="6" t="s">
        <v>1625</v>
      </c>
    </row>
    <row r="1193" customFormat="false" ht="15" hidden="false" customHeight="false" outlineLevel="0" collapsed="false">
      <c r="A1193" s="6" t="s">
        <v>3708</v>
      </c>
      <c r="B1193" s="6" t="s">
        <v>186</v>
      </c>
      <c r="C1193" s="7" t="n">
        <v>45838</v>
      </c>
      <c r="D1193" s="6" t="s">
        <v>380</v>
      </c>
      <c r="E1193" s="6" t="s">
        <v>2948</v>
      </c>
      <c r="F1193" s="6" t="s">
        <v>3666</v>
      </c>
      <c r="G1193" s="6"/>
      <c r="H1193" s="11" t="n">
        <f aca="false">H1097/H31</f>
        <v>0.214347823178848</v>
      </c>
      <c r="K1193" s="6" t="s">
        <v>742</v>
      </c>
      <c r="L1193" s="6" t="s">
        <v>15</v>
      </c>
      <c r="M1193" s="6" t="s">
        <v>184</v>
      </c>
      <c r="N1193" s="6" t="s">
        <v>1623</v>
      </c>
      <c r="O1193" s="6" t="s">
        <v>3709</v>
      </c>
      <c r="P1193" s="6" t="s">
        <v>1625</v>
      </c>
    </row>
    <row r="1194" customFormat="false" ht="15" hidden="false" customHeight="false" outlineLevel="0" collapsed="false">
      <c r="A1194" s="6" t="s">
        <v>3710</v>
      </c>
      <c r="B1194" s="6" t="s">
        <v>191</v>
      </c>
      <c r="C1194" s="7" t="n">
        <v>45930</v>
      </c>
      <c r="D1194" s="6" t="s">
        <v>380</v>
      </c>
      <c r="E1194" s="6" t="s">
        <v>2948</v>
      </c>
      <c r="F1194" s="6" t="s">
        <v>3666</v>
      </c>
      <c r="G1194" s="6"/>
      <c r="H1194" s="11" t="n">
        <f aca="false">H1099/H33</f>
        <v>0.291303593126193</v>
      </c>
      <c r="K1194" s="6" t="s">
        <v>742</v>
      </c>
      <c r="L1194" s="6" t="s">
        <v>15</v>
      </c>
      <c r="M1194" s="6" t="s">
        <v>189</v>
      </c>
      <c r="N1194" s="6" t="s">
        <v>1623</v>
      </c>
      <c r="O1194" s="6" t="s">
        <v>3711</v>
      </c>
      <c r="P1194" s="6" t="s">
        <v>1625</v>
      </c>
    </row>
    <row r="1195" customFormat="false" ht="15" hidden="false" customHeight="false" outlineLevel="0" collapsed="false">
      <c r="A1195" s="6" t="s">
        <v>3712</v>
      </c>
      <c r="B1195" s="6" t="s">
        <v>196</v>
      </c>
      <c r="C1195" s="7" t="n">
        <v>46022</v>
      </c>
      <c r="D1195" s="6" t="s">
        <v>380</v>
      </c>
      <c r="E1195" s="6" t="s">
        <v>2948</v>
      </c>
      <c r="F1195" s="6" t="s">
        <v>3666</v>
      </c>
      <c r="G1195" s="6"/>
      <c r="H1195" s="11" t="n">
        <f aca="false">H1101/H35</f>
        <v>0.169924343622521</v>
      </c>
      <c r="K1195" s="6" t="s">
        <v>742</v>
      </c>
      <c r="L1195" s="6" t="s">
        <v>15</v>
      </c>
      <c r="M1195" s="6" t="s">
        <v>194</v>
      </c>
      <c r="N1195" s="6" t="s">
        <v>1623</v>
      </c>
      <c r="O1195" s="6" t="s">
        <v>3713</v>
      </c>
      <c r="P1195" s="6" t="s">
        <v>1625</v>
      </c>
    </row>
    <row r="1196" customFormat="false" ht="15" hidden="false" customHeight="false" outlineLevel="0" collapsed="false">
      <c r="A1196" s="6" t="s">
        <v>3714</v>
      </c>
      <c r="B1196" s="6" t="s">
        <v>235</v>
      </c>
      <c r="C1196" s="7" t="n">
        <v>46022</v>
      </c>
      <c r="D1196" s="6" t="s">
        <v>407</v>
      </c>
      <c r="E1196" s="6" t="s">
        <v>2948</v>
      </c>
      <c r="F1196" s="6" t="s">
        <v>3666</v>
      </c>
      <c r="G1196" s="6"/>
      <c r="H1196" s="11" t="n">
        <f aca="false">H1102/H36</f>
        <v>0.261899988392829</v>
      </c>
      <c r="K1196" s="6" t="s">
        <v>742</v>
      </c>
      <c r="L1196" s="6" t="s">
        <v>15</v>
      </c>
      <c r="M1196" s="6" t="s">
        <v>194</v>
      </c>
      <c r="N1196" s="6" t="s">
        <v>1623</v>
      </c>
      <c r="O1196" s="6" t="s">
        <v>3715</v>
      </c>
      <c r="P1196" s="6" t="s">
        <v>1625</v>
      </c>
    </row>
    <row r="1197" customFormat="false" ht="15" hidden="false" customHeight="false" outlineLevel="0" collapsed="false">
      <c r="A1197" s="6" t="s">
        <v>3716</v>
      </c>
      <c r="B1197" s="6" t="s">
        <v>201</v>
      </c>
      <c r="C1197" s="7" t="n">
        <v>46112</v>
      </c>
      <c r="D1197" s="6" t="s">
        <v>380</v>
      </c>
      <c r="E1197" s="6" t="s">
        <v>2948</v>
      </c>
      <c r="F1197" s="6" t="s">
        <v>3666</v>
      </c>
      <c r="G1197" s="6"/>
      <c r="H1197" s="11" t="n">
        <f aca="false">H1103/H37</f>
        <v>0.292593910580331</v>
      </c>
      <c r="K1197" s="6" t="s">
        <v>742</v>
      </c>
      <c r="L1197" s="6" t="s">
        <v>15</v>
      </c>
      <c r="M1197" s="6" t="s">
        <v>199</v>
      </c>
      <c r="N1197" s="6" t="s">
        <v>1623</v>
      </c>
      <c r="O1197" s="6" t="s">
        <v>3717</v>
      </c>
      <c r="P1197" s="6" t="s">
        <v>1625</v>
      </c>
    </row>
    <row r="1198" customFormat="false" ht="15" hidden="false" customHeight="false" outlineLevel="0" collapsed="false">
      <c r="A1198" s="6" t="s">
        <v>3718</v>
      </c>
      <c r="B1198" s="6" t="s">
        <v>206</v>
      </c>
      <c r="C1198" s="7" t="n">
        <v>46203</v>
      </c>
      <c r="D1198" s="6" t="s">
        <v>380</v>
      </c>
      <c r="E1198" s="6" t="s">
        <v>2948</v>
      </c>
      <c r="F1198" s="6" t="s">
        <v>3666</v>
      </c>
      <c r="G1198" s="6"/>
      <c r="H1198" s="11" t="n">
        <f aca="false">H1104/H38</f>
        <v>0.143557282767586</v>
      </c>
      <c r="K1198" s="6" t="s">
        <v>742</v>
      </c>
      <c r="L1198" s="6" t="s">
        <v>15</v>
      </c>
      <c r="M1198" s="6" t="s">
        <v>204</v>
      </c>
      <c r="N1198" s="6" t="s">
        <v>1623</v>
      </c>
      <c r="O1198" s="6" t="s">
        <v>3719</v>
      </c>
      <c r="P1198" s="6" t="s">
        <v>1625</v>
      </c>
    </row>
    <row r="1199" customFormat="false" ht="15" hidden="false" customHeight="false" outlineLevel="0" collapsed="false">
      <c r="A1199" s="6" t="s">
        <v>3720</v>
      </c>
      <c r="B1199" s="6" t="s">
        <v>196</v>
      </c>
      <c r="C1199" s="7" t="n">
        <v>46022</v>
      </c>
      <c r="D1199" s="6" t="s">
        <v>380</v>
      </c>
      <c r="E1199" s="6" t="s">
        <v>3721</v>
      </c>
      <c r="F1199" s="6" t="s">
        <v>3722</v>
      </c>
      <c r="G1199" s="6" t="s">
        <v>3723</v>
      </c>
      <c r="H1199" s="9" t="n">
        <v>-135028</v>
      </c>
      <c r="K1199" s="6" t="s">
        <v>384</v>
      </c>
      <c r="L1199" s="6" t="s">
        <v>13</v>
      </c>
      <c r="M1199" s="6" t="s">
        <v>194</v>
      </c>
      <c r="N1199" s="6" t="s">
        <v>3724</v>
      </c>
      <c r="O1199" s="6"/>
      <c r="P1199" s="6"/>
    </row>
    <row r="1200" customFormat="false" ht="15" hidden="false" customHeight="false" outlineLevel="0" collapsed="false">
      <c r="A1200" s="6" t="s">
        <v>3725</v>
      </c>
      <c r="B1200" s="6" t="s">
        <v>235</v>
      </c>
      <c r="C1200" s="7" t="n">
        <v>46022</v>
      </c>
      <c r="D1200" s="6" t="s">
        <v>407</v>
      </c>
      <c r="E1200" s="6" t="s">
        <v>3721</v>
      </c>
      <c r="F1200" s="6" t="s">
        <v>3722</v>
      </c>
      <c r="G1200" s="6" t="s">
        <v>3723</v>
      </c>
      <c r="H1200" s="9" t="n">
        <v>-135028</v>
      </c>
      <c r="K1200" s="6" t="s">
        <v>384</v>
      </c>
      <c r="L1200" s="6" t="s">
        <v>13</v>
      </c>
      <c r="M1200" s="6" t="s">
        <v>194</v>
      </c>
      <c r="N1200" s="6" t="s">
        <v>3726</v>
      </c>
      <c r="O1200" s="6"/>
      <c r="P1200" s="6"/>
    </row>
    <row r="1201" customFormat="false" ht="15" hidden="false" customHeight="false" outlineLevel="0" collapsed="false">
      <c r="A1201" s="6" t="s">
        <v>3727</v>
      </c>
      <c r="B1201" s="6" t="s">
        <v>201</v>
      </c>
      <c r="C1201" s="7" t="n">
        <v>46112</v>
      </c>
      <c r="D1201" s="6" t="s">
        <v>380</v>
      </c>
      <c r="E1201" s="6" t="s">
        <v>3721</v>
      </c>
      <c r="F1201" s="6" t="s">
        <v>3722</v>
      </c>
      <c r="G1201" s="6" t="s">
        <v>3728</v>
      </c>
      <c r="H1201" s="9" t="n">
        <v>-552612</v>
      </c>
      <c r="K1201" s="6" t="s">
        <v>384</v>
      </c>
      <c r="L1201" s="6" t="s">
        <v>13</v>
      </c>
      <c r="M1201" s="6" t="s">
        <v>199</v>
      </c>
      <c r="N1201" s="6" t="s">
        <v>3729</v>
      </c>
      <c r="O1201" s="6"/>
      <c r="P1201" s="6"/>
    </row>
    <row r="1202" customFormat="false" ht="15" hidden="false" customHeight="false" outlineLevel="0" collapsed="false">
      <c r="A1202" s="6" t="s">
        <v>3730</v>
      </c>
      <c r="B1202" s="6" t="s">
        <v>206</v>
      </c>
      <c r="C1202" s="7" t="n">
        <v>46203</v>
      </c>
      <c r="D1202" s="6" t="s">
        <v>380</v>
      </c>
      <c r="E1202" s="6" t="s">
        <v>3721</v>
      </c>
      <c r="F1202" s="6" t="s">
        <v>3722</v>
      </c>
      <c r="G1202" s="6" t="s">
        <v>3731</v>
      </c>
      <c r="H1202" s="9" t="n">
        <v>-182359</v>
      </c>
      <c r="K1202" s="6" t="s">
        <v>384</v>
      </c>
      <c r="L1202" s="6" t="s">
        <v>13</v>
      </c>
      <c r="M1202" s="6" t="s">
        <v>204</v>
      </c>
      <c r="N1202" s="6" t="s">
        <v>3732</v>
      </c>
      <c r="O1202" s="6"/>
      <c r="P1202" s="6"/>
    </row>
    <row r="1203" customFormat="false" ht="15" hidden="false" customHeight="false" outlineLevel="0" collapsed="false">
      <c r="A1203" s="6" t="s">
        <v>3733</v>
      </c>
      <c r="B1203" s="6" t="s">
        <v>263</v>
      </c>
      <c r="C1203" s="7" t="n">
        <v>46203</v>
      </c>
      <c r="D1203" s="6" t="s">
        <v>392</v>
      </c>
      <c r="E1203" s="6" t="s">
        <v>3721</v>
      </c>
      <c r="F1203" s="6" t="s">
        <v>3722</v>
      </c>
      <c r="G1203" s="6" t="s">
        <v>3734</v>
      </c>
      <c r="H1203" s="9" t="n">
        <v>-734971</v>
      </c>
      <c r="K1203" s="6" t="s">
        <v>384</v>
      </c>
      <c r="L1203" s="6" t="s">
        <v>13</v>
      </c>
      <c r="M1203" s="6" t="s">
        <v>204</v>
      </c>
      <c r="N1203" s="6" t="s">
        <v>3735</v>
      </c>
      <c r="O1203" s="6"/>
      <c r="P1203" s="6"/>
    </row>
    <row r="1204" customFormat="false" ht="15" hidden="false" customHeight="false" outlineLevel="0" collapsed="false">
      <c r="A1204" s="6" t="s">
        <v>3736</v>
      </c>
      <c r="B1204" s="6" t="s">
        <v>196</v>
      </c>
      <c r="C1204" s="7" t="n">
        <v>46022</v>
      </c>
      <c r="D1204" s="6" t="s">
        <v>380</v>
      </c>
      <c r="E1204" s="6" t="s">
        <v>3721</v>
      </c>
      <c r="F1204" s="6" t="s">
        <v>3737</v>
      </c>
      <c r="G1204" s="6" t="s">
        <v>3738</v>
      </c>
      <c r="H1204" s="12" t="n">
        <v>884000</v>
      </c>
      <c r="K1204" s="6" t="s">
        <v>3739</v>
      </c>
      <c r="L1204" s="6" t="s">
        <v>13</v>
      </c>
      <c r="M1204" s="6" t="s">
        <v>194</v>
      </c>
      <c r="N1204" s="6" t="s">
        <v>3740</v>
      </c>
      <c r="O1204" s="6"/>
      <c r="P1204" s="6" t="s">
        <v>3741</v>
      </c>
    </row>
    <row r="1205" customFormat="false" ht="15" hidden="false" customHeight="false" outlineLevel="0" collapsed="false">
      <c r="A1205" s="6" t="s">
        <v>3742</v>
      </c>
      <c r="B1205" s="6" t="s">
        <v>201</v>
      </c>
      <c r="C1205" s="7" t="n">
        <v>46112</v>
      </c>
      <c r="D1205" s="6" t="s">
        <v>380</v>
      </c>
      <c r="E1205" s="6" t="s">
        <v>3721</v>
      </c>
      <c r="F1205" s="6" t="s">
        <v>3737</v>
      </c>
      <c r="G1205" s="6" t="s">
        <v>3743</v>
      </c>
      <c r="H1205" s="12" t="n">
        <v>7269000</v>
      </c>
      <c r="K1205" s="6" t="s">
        <v>3739</v>
      </c>
      <c r="L1205" s="6" t="s">
        <v>13</v>
      </c>
      <c r="M1205" s="6" t="s">
        <v>199</v>
      </c>
      <c r="N1205" s="6" t="s">
        <v>3744</v>
      </c>
      <c r="O1205" s="6"/>
      <c r="P1205" s="6" t="s">
        <v>3741</v>
      </c>
    </row>
    <row r="1206" customFormat="false" ht="15" hidden="false" customHeight="false" outlineLevel="0" collapsed="false">
      <c r="A1206" s="6" t="s">
        <v>3745</v>
      </c>
      <c r="B1206" s="6" t="s">
        <v>206</v>
      </c>
      <c r="C1206" s="7" t="n">
        <v>46203</v>
      </c>
      <c r="D1206" s="6" t="s">
        <v>380</v>
      </c>
      <c r="E1206" s="6" t="s">
        <v>3721</v>
      </c>
      <c r="F1206" s="6" t="s">
        <v>3737</v>
      </c>
      <c r="G1206" s="6" t="s">
        <v>3746</v>
      </c>
      <c r="H1206" s="12" t="n">
        <v>2333000</v>
      </c>
      <c r="K1206" s="6" t="s">
        <v>3739</v>
      </c>
      <c r="L1206" s="6" t="s">
        <v>13</v>
      </c>
      <c r="M1206" s="6" t="s">
        <v>204</v>
      </c>
      <c r="N1206" s="6" t="s">
        <v>3747</v>
      </c>
      <c r="O1206" s="6"/>
      <c r="P1206" s="6" t="s">
        <v>3741</v>
      </c>
    </row>
    <row r="1207" customFormat="false" ht="15" hidden="false" customHeight="false" outlineLevel="0" collapsed="false">
      <c r="A1207" s="6" t="s">
        <v>3748</v>
      </c>
      <c r="B1207" s="6" t="s">
        <v>196</v>
      </c>
      <c r="C1207" s="7" t="n">
        <v>46022</v>
      </c>
      <c r="D1207" s="6" t="s">
        <v>380</v>
      </c>
      <c r="E1207" s="6" t="s">
        <v>3721</v>
      </c>
      <c r="F1207" s="6" t="s">
        <v>3749</v>
      </c>
      <c r="G1207" s="6" t="s">
        <v>3750</v>
      </c>
      <c r="H1207" s="13" t="n">
        <v>135</v>
      </c>
      <c r="K1207" s="6" t="s">
        <v>3751</v>
      </c>
      <c r="L1207" s="6" t="s">
        <v>13</v>
      </c>
      <c r="M1207" s="6" t="s">
        <v>194</v>
      </c>
      <c r="N1207" s="6" t="s">
        <v>3740</v>
      </c>
      <c r="O1207" s="6"/>
      <c r="P1207" s="6" t="s">
        <v>3752</v>
      </c>
    </row>
    <row r="1208" customFormat="false" ht="15" hidden="false" customHeight="false" outlineLevel="0" collapsed="false">
      <c r="A1208" s="6" t="s">
        <v>3753</v>
      </c>
      <c r="B1208" s="6" t="s">
        <v>201</v>
      </c>
      <c r="C1208" s="7" t="n">
        <v>46112</v>
      </c>
      <c r="D1208" s="6" t="s">
        <v>380</v>
      </c>
      <c r="E1208" s="6" t="s">
        <v>3721</v>
      </c>
      <c r="F1208" s="6" t="s">
        <v>3749</v>
      </c>
      <c r="G1208" s="6" t="s">
        <v>3754</v>
      </c>
      <c r="H1208" s="13" t="n">
        <v>553</v>
      </c>
      <c r="K1208" s="6" t="s">
        <v>3751</v>
      </c>
      <c r="L1208" s="6" t="s">
        <v>13</v>
      </c>
      <c r="M1208" s="6" t="s">
        <v>199</v>
      </c>
      <c r="N1208" s="6" t="s">
        <v>3744</v>
      </c>
      <c r="O1208" s="6"/>
      <c r="P1208" s="6" t="s">
        <v>3752</v>
      </c>
    </row>
    <row r="1209" customFormat="false" ht="15" hidden="false" customHeight="false" outlineLevel="0" collapsed="false">
      <c r="A1209" s="6" t="s">
        <v>3755</v>
      </c>
      <c r="B1209" s="6" t="s">
        <v>206</v>
      </c>
      <c r="C1209" s="7" t="n">
        <v>46203</v>
      </c>
      <c r="D1209" s="6" t="s">
        <v>380</v>
      </c>
      <c r="E1209" s="6" t="s">
        <v>3721</v>
      </c>
      <c r="F1209" s="6" t="s">
        <v>3749</v>
      </c>
      <c r="G1209" s="6" t="s">
        <v>3756</v>
      </c>
      <c r="H1209" s="13" t="n">
        <v>182</v>
      </c>
      <c r="K1209" s="6" t="s">
        <v>3751</v>
      </c>
      <c r="L1209" s="6" t="s">
        <v>13</v>
      </c>
      <c r="M1209" s="6" t="s">
        <v>204</v>
      </c>
      <c r="N1209" s="6" t="s">
        <v>3747</v>
      </c>
      <c r="O1209" s="6"/>
      <c r="P1209" s="6" t="s">
        <v>3752</v>
      </c>
    </row>
    <row r="1210" customFormat="false" ht="15" hidden="false" customHeight="false" outlineLevel="0" collapsed="false">
      <c r="A1210" s="6" t="s">
        <v>3757</v>
      </c>
      <c r="B1210" s="6" t="s">
        <v>196</v>
      </c>
      <c r="C1210" s="7" t="n">
        <v>46022</v>
      </c>
      <c r="D1210" s="6" t="s">
        <v>3758</v>
      </c>
      <c r="E1210" s="6" t="s">
        <v>3721</v>
      </c>
      <c r="F1210" s="6" t="s">
        <v>3759</v>
      </c>
      <c r="G1210" s="6" t="s">
        <v>3760</v>
      </c>
      <c r="H1210" s="13" t="n">
        <v>735</v>
      </c>
      <c r="K1210" s="6" t="s">
        <v>3751</v>
      </c>
      <c r="L1210" s="6" t="s">
        <v>13</v>
      </c>
      <c r="M1210" s="6" t="s">
        <v>194</v>
      </c>
      <c r="N1210" s="6" t="s">
        <v>3740</v>
      </c>
      <c r="O1210" s="6"/>
      <c r="P1210" s="6" t="s">
        <v>3761</v>
      </c>
    </row>
    <row r="1211" customFormat="false" ht="15" hidden="false" customHeight="false" outlineLevel="0" collapsed="false">
      <c r="A1211" s="6" t="s">
        <v>3762</v>
      </c>
      <c r="B1211" s="6" t="s">
        <v>201</v>
      </c>
      <c r="C1211" s="7" t="n">
        <v>46112</v>
      </c>
      <c r="D1211" s="6" t="s">
        <v>3758</v>
      </c>
      <c r="E1211" s="6" t="s">
        <v>3721</v>
      </c>
      <c r="F1211" s="6" t="s">
        <v>3759</v>
      </c>
      <c r="G1211" s="6" t="s">
        <v>3756</v>
      </c>
      <c r="H1211" s="13" t="n">
        <v>182</v>
      </c>
      <c r="K1211" s="6" t="s">
        <v>3751</v>
      </c>
      <c r="L1211" s="6" t="s">
        <v>13</v>
      </c>
      <c r="M1211" s="6" t="s">
        <v>199</v>
      </c>
      <c r="N1211" s="6" t="s">
        <v>3744</v>
      </c>
      <c r="O1211" s="6"/>
      <c r="P1211" s="6" t="s">
        <v>3761</v>
      </c>
    </row>
    <row r="1212" customFormat="false" ht="15" hidden="false" customHeight="false" outlineLevel="0" collapsed="false">
      <c r="A1212" s="6" t="s">
        <v>3763</v>
      </c>
      <c r="B1212" s="6" t="s">
        <v>206</v>
      </c>
      <c r="C1212" s="7" t="n">
        <v>46203</v>
      </c>
      <c r="D1212" s="6" t="s">
        <v>3758</v>
      </c>
      <c r="E1212" s="6" t="s">
        <v>3721</v>
      </c>
      <c r="F1212" s="6" t="s">
        <v>3759</v>
      </c>
      <c r="G1212" s="6" t="s">
        <v>3764</v>
      </c>
      <c r="H1212" s="13" t="n">
        <v>0</v>
      </c>
      <c r="K1212" s="6" t="s">
        <v>3751</v>
      </c>
      <c r="L1212" s="6" t="s">
        <v>13</v>
      </c>
      <c r="M1212" s="6" t="s">
        <v>204</v>
      </c>
      <c r="N1212" s="6" t="s">
        <v>3747</v>
      </c>
      <c r="O1212" s="6"/>
      <c r="P1212" s="6" t="s">
        <v>3761</v>
      </c>
    </row>
    <row r="1213" customFormat="false" ht="15" hidden="false" customHeight="false" outlineLevel="0" collapsed="false">
      <c r="A1213" s="6" t="s">
        <v>3765</v>
      </c>
      <c r="B1213" s="6" t="s">
        <v>379</v>
      </c>
      <c r="C1213" s="7" t="n">
        <v>44286</v>
      </c>
      <c r="D1213" s="6" t="s">
        <v>3758</v>
      </c>
      <c r="E1213" s="6" t="s">
        <v>3766</v>
      </c>
      <c r="F1213" s="6" t="s">
        <v>3767</v>
      </c>
      <c r="G1213" s="6" t="s">
        <v>3768</v>
      </c>
      <c r="H1213" s="9" t="n">
        <v>124281</v>
      </c>
      <c r="K1213" s="6" t="s">
        <v>384</v>
      </c>
      <c r="L1213" s="6" t="s">
        <v>13</v>
      </c>
      <c r="M1213" s="6" t="s">
        <v>119</v>
      </c>
      <c r="N1213" s="6" t="s">
        <v>3769</v>
      </c>
      <c r="O1213" s="6"/>
      <c r="P1213" s="6" t="s">
        <v>3770</v>
      </c>
    </row>
    <row r="1214" customFormat="false" ht="15" hidden="false" customHeight="false" outlineLevel="0" collapsed="false">
      <c r="A1214" s="6" t="s">
        <v>3771</v>
      </c>
      <c r="B1214" s="6" t="s">
        <v>103</v>
      </c>
      <c r="C1214" s="7" t="n">
        <v>44377</v>
      </c>
      <c r="D1214" s="6" t="s">
        <v>3758</v>
      </c>
      <c r="E1214" s="6" t="s">
        <v>3766</v>
      </c>
      <c r="F1214" s="6" t="s">
        <v>3767</v>
      </c>
      <c r="G1214" s="6" t="s">
        <v>3772</v>
      </c>
      <c r="H1214" s="9" t="n">
        <v>865328</v>
      </c>
      <c r="K1214" s="6" t="s">
        <v>384</v>
      </c>
      <c r="L1214" s="6" t="s">
        <v>13</v>
      </c>
      <c r="M1214" s="6" t="s">
        <v>100</v>
      </c>
      <c r="N1214" s="6" t="s">
        <v>3773</v>
      </c>
      <c r="O1214" s="6"/>
      <c r="P1214" s="6"/>
    </row>
    <row r="1215" customFormat="false" ht="15" hidden="false" customHeight="false" outlineLevel="0" collapsed="false">
      <c r="A1215" s="6" t="s">
        <v>3774</v>
      </c>
      <c r="B1215" s="6" t="s">
        <v>111</v>
      </c>
      <c r="C1215" s="7" t="n">
        <v>44469</v>
      </c>
      <c r="D1215" s="6" t="s">
        <v>3758</v>
      </c>
      <c r="E1215" s="6" t="s">
        <v>3766</v>
      </c>
      <c r="F1215" s="6" t="s">
        <v>3767</v>
      </c>
      <c r="G1215" s="6" t="s">
        <v>3775</v>
      </c>
      <c r="H1215" s="9" t="n">
        <v>876220</v>
      </c>
      <c r="K1215" s="6" t="s">
        <v>384</v>
      </c>
      <c r="L1215" s="6" t="s">
        <v>13</v>
      </c>
      <c r="M1215" s="6" t="s">
        <v>109</v>
      </c>
      <c r="N1215" s="6" t="s">
        <v>3776</v>
      </c>
      <c r="O1215" s="6"/>
      <c r="P1215" s="6"/>
    </row>
    <row r="1216" customFormat="false" ht="15" hidden="false" customHeight="false" outlineLevel="0" collapsed="false">
      <c r="A1216" s="6" t="s">
        <v>3777</v>
      </c>
      <c r="B1216" s="6" t="s">
        <v>116</v>
      </c>
      <c r="C1216" s="7" t="n">
        <v>44561</v>
      </c>
      <c r="D1216" s="6" t="s">
        <v>3758</v>
      </c>
      <c r="E1216" s="6" t="s">
        <v>3766</v>
      </c>
      <c r="F1216" s="6" t="s">
        <v>3767</v>
      </c>
      <c r="G1216" s="6" t="s">
        <v>3778</v>
      </c>
      <c r="H1216" s="9" t="n">
        <v>886812</v>
      </c>
      <c r="K1216" s="6" t="s">
        <v>384</v>
      </c>
      <c r="L1216" s="6" t="s">
        <v>13</v>
      </c>
      <c r="M1216" s="6" t="s">
        <v>114</v>
      </c>
      <c r="N1216" s="6" t="s">
        <v>3779</v>
      </c>
      <c r="O1216" s="6"/>
      <c r="P1216" s="6"/>
    </row>
    <row r="1217" customFormat="false" ht="15" hidden="false" customHeight="false" outlineLevel="0" collapsed="false">
      <c r="A1217" s="6" t="s">
        <v>3780</v>
      </c>
      <c r="B1217" s="6" t="s">
        <v>121</v>
      </c>
      <c r="C1217" s="7" t="n">
        <v>44651</v>
      </c>
      <c r="D1217" s="6" t="s">
        <v>3758</v>
      </c>
      <c r="E1217" s="6" t="s">
        <v>3766</v>
      </c>
      <c r="F1217" s="6" t="s">
        <v>3767</v>
      </c>
      <c r="G1217" s="6" t="s">
        <v>3781</v>
      </c>
      <c r="H1217" s="9" t="n">
        <v>849576</v>
      </c>
      <c r="K1217" s="6" t="s">
        <v>384</v>
      </c>
      <c r="L1217" s="6" t="s">
        <v>13</v>
      </c>
      <c r="M1217" s="6" t="s">
        <v>119</v>
      </c>
      <c r="N1217" s="6" t="s">
        <v>3782</v>
      </c>
      <c r="O1217" s="6"/>
      <c r="P1217" s="6"/>
    </row>
    <row r="1218" customFormat="false" ht="15" hidden="false" customHeight="false" outlineLevel="0" collapsed="false">
      <c r="A1218" s="6" t="s">
        <v>3783</v>
      </c>
      <c r="B1218" s="6" t="s">
        <v>126</v>
      </c>
      <c r="C1218" s="7" t="n">
        <v>44742</v>
      </c>
      <c r="D1218" s="6" t="s">
        <v>3758</v>
      </c>
      <c r="E1218" s="6" t="s">
        <v>3766</v>
      </c>
      <c r="F1218" s="6" t="s">
        <v>3767</v>
      </c>
      <c r="G1218" s="6" t="s">
        <v>3784</v>
      </c>
      <c r="H1218" s="9" t="n">
        <v>834620</v>
      </c>
      <c r="K1218" s="6" t="s">
        <v>384</v>
      </c>
      <c r="L1218" s="6" t="s">
        <v>13</v>
      </c>
      <c r="M1218" s="6" t="s">
        <v>124</v>
      </c>
      <c r="N1218" s="6" t="s">
        <v>3785</v>
      </c>
      <c r="O1218" s="6"/>
      <c r="P1218" s="6"/>
    </row>
    <row r="1219" customFormat="false" ht="15" hidden="false" customHeight="false" outlineLevel="0" collapsed="false">
      <c r="A1219" s="6" t="s">
        <v>3786</v>
      </c>
      <c r="B1219" s="6" t="s">
        <v>131</v>
      </c>
      <c r="C1219" s="7" t="n">
        <v>44834</v>
      </c>
      <c r="D1219" s="6" t="s">
        <v>3758</v>
      </c>
      <c r="E1219" s="6" t="s">
        <v>3766</v>
      </c>
      <c r="F1219" s="6" t="s">
        <v>3767</v>
      </c>
      <c r="G1219" s="6" t="s">
        <v>3787</v>
      </c>
      <c r="H1219" s="9" t="n">
        <v>852568</v>
      </c>
      <c r="K1219" s="6" t="s">
        <v>384</v>
      </c>
      <c r="L1219" s="6" t="s">
        <v>13</v>
      </c>
      <c r="M1219" s="6" t="s">
        <v>129</v>
      </c>
      <c r="N1219" s="6" t="s">
        <v>3788</v>
      </c>
      <c r="O1219" s="6"/>
      <c r="P1219" s="6"/>
    </row>
    <row r="1220" customFormat="false" ht="15" hidden="false" customHeight="false" outlineLevel="0" collapsed="false">
      <c r="A1220" s="6" t="s">
        <v>3789</v>
      </c>
      <c r="B1220" s="6" t="s">
        <v>136</v>
      </c>
      <c r="C1220" s="7" t="n">
        <v>44926</v>
      </c>
      <c r="D1220" s="6" t="s">
        <v>3758</v>
      </c>
      <c r="E1220" s="6" t="s">
        <v>3766</v>
      </c>
      <c r="F1220" s="6" t="s">
        <v>3767</v>
      </c>
      <c r="G1220" s="6" t="s">
        <v>3790</v>
      </c>
      <c r="H1220" s="9" t="n">
        <v>885894</v>
      </c>
      <c r="K1220" s="6" t="s">
        <v>384</v>
      </c>
      <c r="L1220" s="6" t="s">
        <v>13</v>
      </c>
      <c r="M1220" s="6" t="s">
        <v>134</v>
      </c>
      <c r="N1220" s="6" t="s">
        <v>3791</v>
      </c>
      <c r="O1220" s="6"/>
      <c r="P1220" s="6"/>
    </row>
    <row r="1221" customFormat="false" ht="15" hidden="false" customHeight="false" outlineLevel="0" collapsed="false">
      <c r="A1221" s="6" t="s">
        <v>3792</v>
      </c>
      <c r="B1221" s="6" t="s">
        <v>141</v>
      </c>
      <c r="C1221" s="7" t="n">
        <v>45016</v>
      </c>
      <c r="D1221" s="6" t="s">
        <v>3758</v>
      </c>
      <c r="E1221" s="6" t="s">
        <v>3766</v>
      </c>
      <c r="F1221" s="6" t="s">
        <v>3767</v>
      </c>
      <c r="G1221" s="6" t="s">
        <v>3793</v>
      </c>
      <c r="H1221" s="9" t="n">
        <v>935565</v>
      </c>
      <c r="K1221" s="6" t="s">
        <v>384</v>
      </c>
      <c r="L1221" s="6" t="s">
        <v>13</v>
      </c>
      <c r="M1221" s="6" t="s">
        <v>139</v>
      </c>
      <c r="N1221" s="6" t="s">
        <v>3794</v>
      </c>
      <c r="O1221" s="6"/>
      <c r="P1221" s="6"/>
    </row>
    <row r="1222" customFormat="false" ht="15" hidden="false" customHeight="false" outlineLevel="0" collapsed="false">
      <c r="A1222" s="6" t="s">
        <v>3795</v>
      </c>
      <c r="B1222" s="6" t="s">
        <v>146</v>
      </c>
      <c r="C1222" s="7" t="n">
        <v>45107</v>
      </c>
      <c r="D1222" s="6" t="s">
        <v>3758</v>
      </c>
      <c r="E1222" s="6" t="s">
        <v>3766</v>
      </c>
      <c r="F1222" s="6" t="s">
        <v>3767</v>
      </c>
      <c r="G1222" s="6" t="s">
        <v>3796</v>
      </c>
      <c r="H1222" s="9" t="n">
        <v>989377</v>
      </c>
      <c r="K1222" s="6" t="s">
        <v>384</v>
      </c>
      <c r="L1222" s="6" t="s">
        <v>13</v>
      </c>
      <c r="M1222" s="6" t="s">
        <v>144</v>
      </c>
      <c r="N1222" s="6" t="s">
        <v>3797</v>
      </c>
      <c r="O1222" s="6"/>
      <c r="P1222" s="6"/>
    </row>
    <row r="1223" customFormat="false" ht="15" hidden="false" customHeight="false" outlineLevel="0" collapsed="false">
      <c r="A1223" s="6" t="s">
        <v>3798</v>
      </c>
      <c r="B1223" s="6" t="s">
        <v>151</v>
      </c>
      <c r="C1223" s="7" t="n">
        <v>45199</v>
      </c>
      <c r="D1223" s="6" t="s">
        <v>3758</v>
      </c>
      <c r="E1223" s="6" t="s">
        <v>3766</v>
      </c>
      <c r="F1223" s="6" t="s">
        <v>3767</v>
      </c>
      <c r="G1223" s="6" t="s">
        <v>3799</v>
      </c>
      <c r="H1223" s="9" t="n">
        <v>1054270</v>
      </c>
      <c r="K1223" s="6" t="s">
        <v>384</v>
      </c>
      <c r="L1223" s="6" t="s">
        <v>13</v>
      </c>
      <c r="M1223" s="6" t="s">
        <v>149</v>
      </c>
      <c r="N1223" s="6" t="s">
        <v>3800</v>
      </c>
      <c r="O1223" s="6"/>
      <c r="P1223" s="6"/>
    </row>
    <row r="1224" customFormat="false" ht="15" hidden="false" customHeight="false" outlineLevel="0" collapsed="false">
      <c r="A1224" s="6" t="s">
        <v>3801</v>
      </c>
      <c r="B1224" s="6" t="s">
        <v>156</v>
      </c>
      <c r="C1224" s="7" t="n">
        <v>45291</v>
      </c>
      <c r="D1224" s="6" t="s">
        <v>3758</v>
      </c>
      <c r="E1224" s="6" t="s">
        <v>3766</v>
      </c>
      <c r="F1224" s="6" t="s">
        <v>3767</v>
      </c>
      <c r="G1224" s="6" t="s">
        <v>3802</v>
      </c>
      <c r="H1224" s="9" t="n">
        <v>1116128</v>
      </c>
      <c r="K1224" s="6" t="s">
        <v>384</v>
      </c>
      <c r="L1224" s="6" t="s">
        <v>13</v>
      </c>
      <c r="M1224" s="6" t="s">
        <v>154</v>
      </c>
      <c r="N1224" s="6" t="s">
        <v>3803</v>
      </c>
      <c r="O1224" s="6"/>
      <c r="P1224" s="6"/>
    </row>
    <row r="1225" customFormat="false" ht="15" hidden="false" customHeight="false" outlineLevel="0" collapsed="false">
      <c r="A1225" s="6" t="s">
        <v>3804</v>
      </c>
      <c r="B1225" s="6" t="s">
        <v>161</v>
      </c>
      <c r="C1225" s="7" t="n">
        <v>45382</v>
      </c>
      <c r="D1225" s="6" t="s">
        <v>3758</v>
      </c>
      <c r="E1225" s="6" t="s">
        <v>3766</v>
      </c>
      <c r="F1225" s="6" t="s">
        <v>3767</v>
      </c>
      <c r="G1225" s="6" t="s">
        <v>3805</v>
      </c>
      <c r="H1225" s="9" t="n">
        <v>1224544</v>
      </c>
      <c r="K1225" s="6" t="s">
        <v>384</v>
      </c>
      <c r="L1225" s="6" t="s">
        <v>13</v>
      </c>
      <c r="M1225" s="6" t="s">
        <v>159</v>
      </c>
      <c r="N1225" s="6" t="s">
        <v>3806</v>
      </c>
      <c r="O1225" s="6"/>
      <c r="P1225" s="6"/>
    </row>
    <row r="1226" customFormat="false" ht="15" hidden="false" customHeight="false" outlineLevel="0" collapsed="false">
      <c r="A1226" s="6" t="s">
        <v>3807</v>
      </c>
      <c r="B1226" s="6" t="s">
        <v>166</v>
      </c>
      <c r="C1226" s="7" t="n">
        <v>45473</v>
      </c>
      <c r="D1226" s="6" t="s">
        <v>3758</v>
      </c>
      <c r="E1226" s="6" t="s">
        <v>3766</v>
      </c>
      <c r="F1226" s="6" t="s">
        <v>3767</v>
      </c>
      <c r="G1226" s="6" t="s">
        <v>3808</v>
      </c>
      <c r="H1226" s="9" t="n">
        <v>1290242</v>
      </c>
      <c r="K1226" s="6" t="s">
        <v>384</v>
      </c>
      <c r="L1226" s="6" t="s">
        <v>13</v>
      </c>
      <c r="M1226" s="6" t="s">
        <v>164</v>
      </c>
      <c r="N1226" s="6" t="s">
        <v>3809</v>
      </c>
      <c r="O1226" s="6"/>
      <c r="P1226" s="6"/>
    </row>
    <row r="1227" customFormat="false" ht="15" hidden="false" customHeight="false" outlineLevel="0" collapsed="false">
      <c r="A1227" s="6" t="s">
        <v>3810</v>
      </c>
      <c r="B1227" s="6" t="s">
        <v>171</v>
      </c>
      <c r="C1227" s="7" t="n">
        <v>45565</v>
      </c>
      <c r="D1227" s="6" t="s">
        <v>3758</v>
      </c>
      <c r="E1227" s="6" t="s">
        <v>3766</v>
      </c>
      <c r="F1227" s="6" t="s">
        <v>3767</v>
      </c>
      <c r="G1227" s="6" t="s">
        <v>3811</v>
      </c>
      <c r="H1227" s="9" t="n">
        <v>1337155</v>
      </c>
      <c r="K1227" s="6" t="s">
        <v>384</v>
      </c>
      <c r="L1227" s="6" t="s">
        <v>13</v>
      </c>
      <c r="M1227" s="6" t="s">
        <v>169</v>
      </c>
      <c r="N1227" s="6" t="s">
        <v>3812</v>
      </c>
      <c r="O1227" s="6"/>
      <c r="P1227" s="6"/>
    </row>
    <row r="1228" customFormat="false" ht="15" hidden="false" customHeight="false" outlineLevel="0" collapsed="false">
      <c r="A1228" s="6" t="s">
        <v>3813</v>
      </c>
      <c r="B1228" s="6" t="s">
        <v>176</v>
      </c>
      <c r="C1228" s="7" t="n">
        <v>45657</v>
      </c>
      <c r="D1228" s="6" t="s">
        <v>3758</v>
      </c>
      <c r="E1228" s="6" t="s">
        <v>3766</v>
      </c>
      <c r="F1228" s="6" t="s">
        <v>3767</v>
      </c>
      <c r="G1228" s="6" t="s">
        <v>3814</v>
      </c>
      <c r="H1228" s="9" t="n">
        <v>1411602</v>
      </c>
      <c r="K1228" s="6" t="s">
        <v>384</v>
      </c>
      <c r="L1228" s="6" t="s">
        <v>13</v>
      </c>
      <c r="M1228" s="6" t="s">
        <v>174</v>
      </c>
      <c r="N1228" s="6" t="s">
        <v>3815</v>
      </c>
      <c r="O1228" s="6"/>
      <c r="P1228" s="6"/>
    </row>
    <row r="1229" customFormat="false" ht="15" hidden="false" customHeight="false" outlineLevel="0" collapsed="false">
      <c r="A1229" s="6" t="s">
        <v>3816</v>
      </c>
      <c r="B1229" s="6" t="s">
        <v>181</v>
      </c>
      <c r="C1229" s="7" t="n">
        <v>45747</v>
      </c>
      <c r="D1229" s="6" t="s">
        <v>3758</v>
      </c>
      <c r="E1229" s="6" t="s">
        <v>3766</v>
      </c>
      <c r="F1229" s="6" t="s">
        <v>3767</v>
      </c>
      <c r="G1229" s="6" t="s">
        <v>3817</v>
      </c>
      <c r="H1229" s="9" t="n">
        <v>1527605</v>
      </c>
      <c r="K1229" s="6" t="s">
        <v>384</v>
      </c>
      <c r="L1229" s="6" t="s">
        <v>13</v>
      </c>
      <c r="M1229" s="6" t="s">
        <v>179</v>
      </c>
      <c r="N1229" s="6" t="s">
        <v>3818</v>
      </c>
      <c r="O1229" s="6"/>
      <c r="P1229" s="6"/>
    </row>
    <row r="1230" customFormat="false" ht="15" hidden="false" customHeight="false" outlineLevel="0" collapsed="false">
      <c r="A1230" s="6" t="s">
        <v>3819</v>
      </c>
      <c r="B1230" s="6" t="s">
        <v>186</v>
      </c>
      <c r="C1230" s="7" t="n">
        <v>45838</v>
      </c>
      <c r="D1230" s="6" t="s">
        <v>3758</v>
      </c>
      <c r="E1230" s="6" t="s">
        <v>3766</v>
      </c>
      <c r="F1230" s="6" t="s">
        <v>3767</v>
      </c>
      <c r="G1230" s="6" t="s">
        <v>3820</v>
      </c>
      <c r="H1230" s="9" t="n">
        <v>1590515</v>
      </c>
      <c r="K1230" s="6" t="s">
        <v>384</v>
      </c>
      <c r="L1230" s="6" t="s">
        <v>13</v>
      </c>
      <c r="M1230" s="6" t="s">
        <v>184</v>
      </c>
      <c r="N1230" s="6" t="s">
        <v>3821</v>
      </c>
      <c r="O1230" s="6"/>
      <c r="P1230" s="6"/>
    </row>
    <row r="1231" customFormat="false" ht="15" hidden="false" customHeight="false" outlineLevel="0" collapsed="false">
      <c r="A1231" s="6" t="s">
        <v>3822</v>
      </c>
      <c r="B1231" s="6" t="s">
        <v>191</v>
      </c>
      <c r="C1231" s="7" t="n">
        <v>45930</v>
      </c>
      <c r="D1231" s="6" t="s">
        <v>3758</v>
      </c>
      <c r="E1231" s="6" t="s">
        <v>3766</v>
      </c>
      <c r="F1231" s="6" t="s">
        <v>3767</v>
      </c>
      <c r="G1231" s="6" t="s">
        <v>3823</v>
      </c>
      <c r="H1231" s="9" t="n">
        <v>1527246</v>
      </c>
      <c r="K1231" s="6" t="s">
        <v>384</v>
      </c>
      <c r="L1231" s="6" t="s">
        <v>13</v>
      </c>
      <c r="M1231" s="6" t="s">
        <v>189</v>
      </c>
      <c r="N1231" s="6" t="s">
        <v>3824</v>
      </c>
      <c r="O1231" s="6"/>
      <c r="P1231" s="6"/>
    </row>
    <row r="1232" customFormat="false" ht="15" hidden="false" customHeight="false" outlineLevel="0" collapsed="false">
      <c r="A1232" s="6" t="s">
        <v>3825</v>
      </c>
      <c r="B1232" s="6" t="s">
        <v>196</v>
      </c>
      <c r="C1232" s="7" t="n">
        <v>46022</v>
      </c>
      <c r="D1232" s="6" t="s">
        <v>3758</v>
      </c>
      <c r="E1232" s="6" t="s">
        <v>3766</v>
      </c>
      <c r="F1232" s="6" t="s">
        <v>3767</v>
      </c>
      <c r="G1232" s="6" t="s">
        <v>3826</v>
      </c>
      <c r="H1232" s="9" t="n">
        <v>1503149</v>
      </c>
      <c r="K1232" s="6" t="s">
        <v>384</v>
      </c>
      <c r="L1232" s="6" t="s">
        <v>13</v>
      </c>
      <c r="M1232" s="6" t="s">
        <v>194</v>
      </c>
      <c r="N1232" s="6" t="s">
        <v>3827</v>
      </c>
      <c r="O1232" s="6"/>
      <c r="P1232" s="6"/>
    </row>
    <row r="1233" customFormat="false" ht="15" hidden="false" customHeight="false" outlineLevel="0" collapsed="false">
      <c r="A1233" s="6" t="s">
        <v>3828</v>
      </c>
      <c r="B1233" s="6" t="s">
        <v>201</v>
      </c>
      <c r="C1233" s="7" t="n">
        <v>46112</v>
      </c>
      <c r="D1233" s="6" t="s">
        <v>3758</v>
      </c>
      <c r="E1233" s="6" t="s">
        <v>3766</v>
      </c>
      <c r="F1233" s="6" t="s">
        <v>3767</v>
      </c>
      <c r="G1233" s="6" t="s">
        <v>3829</v>
      </c>
      <c r="H1233" s="9" t="n">
        <v>997135</v>
      </c>
      <c r="K1233" s="6" t="s">
        <v>384</v>
      </c>
      <c r="L1233" s="6" t="s">
        <v>13</v>
      </c>
      <c r="M1233" s="6" t="s">
        <v>199</v>
      </c>
      <c r="N1233" s="6" t="s">
        <v>3830</v>
      </c>
      <c r="O1233" s="6"/>
      <c r="P1233" s="6"/>
    </row>
    <row r="1234" customFormat="false" ht="15" hidden="false" customHeight="false" outlineLevel="0" collapsed="false">
      <c r="A1234" s="6" t="s">
        <v>3831</v>
      </c>
      <c r="B1234" s="6" t="s">
        <v>206</v>
      </c>
      <c r="C1234" s="7" t="n">
        <v>46203</v>
      </c>
      <c r="D1234" s="6" t="s">
        <v>3758</v>
      </c>
      <c r="E1234" s="6" t="s">
        <v>3766</v>
      </c>
      <c r="F1234" s="6" t="s">
        <v>3767</v>
      </c>
      <c r="G1234" s="6" t="s">
        <v>3832</v>
      </c>
      <c r="H1234" s="9" t="n">
        <v>853402</v>
      </c>
      <c r="K1234" s="6" t="s">
        <v>384</v>
      </c>
      <c r="L1234" s="6" t="s">
        <v>13</v>
      </c>
      <c r="M1234" s="6" t="s">
        <v>204</v>
      </c>
      <c r="N1234" s="6" t="s">
        <v>3833</v>
      </c>
      <c r="O1234" s="6"/>
      <c r="P1234" s="6"/>
    </row>
    <row r="1235" customFormat="false" ht="15" hidden="false" customHeight="false" outlineLevel="0" collapsed="false">
      <c r="A1235" s="6" t="s">
        <v>3834</v>
      </c>
      <c r="B1235" s="6" t="s">
        <v>103</v>
      </c>
      <c r="C1235" s="7" t="n">
        <v>44377</v>
      </c>
      <c r="D1235" s="6" t="s">
        <v>3758</v>
      </c>
      <c r="E1235" s="6" t="s">
        <v>3766</v>
      </c>
      <c r="F1235" s="6" t="s">
        <v>3835</v>
      </c>
      <c r="G1235" s="6" t="s">
        <v>3836</v>
      </c>
      <c r="H1235" s="9" t="n">
        <v>10051</v>
      </c>
      <c r="K1235" s="6" t="s">
        <v>384</v>
      </c>
      <c r="L1235" s="6" t="s">
        <v>13</v>
      </c>
      <c r="M1235" s="6" t="s">
        <v>100</v>
      </c>
      <c r="N1235" s="6" t="s">
        <v>3837</v>
      </c>
      <c r="O1235" s="6"/>
      <c r="P1235" s="6"/>
    </row>
    <row r="1236" customFormat="false" ht="15" hidden="false" customHeight="false" outlineLevel="0" collapsed="false">
      <c r="A1236" s="6" t="s">
        <v>3838</v>
      </c>
      <c r="B1236" s="6" t="s">
        <v>111</v>
      </c>
      <c r="C1236" s="7" t="n">
        <v>44469</v>
      </c>
      <c r="D1236" s="6" t="s">
        <v>3758</v>
      </c>
      <c r="E1236" s="6" t="s">
        <v>3766</v>
      </c>
      <c r="F1236" s="6" t="s">
        <v>3835</v>
      </c>
      <c r="G1236" s="6" t="s">
        <v>2905</v>
      </c>
      <c r="H1236" s="9" t="n">
        <v>0</v>
      </c>
      <c r="K1236" s="6" t="s">
        <v>384</v>
      </c>
      <c r="L1236" s="6" t="s">
        <v>13</v>
      </c>
      <c r="M1236" s="6" t="s">
        <v>109</v>
      </c>
      <c r="N1236" s="6" t="s">
        <v>3839</v>
      </c>
      <c r="O1236" s="6"/>
      <c r="P1236" s="6"/>
    </row>
    <row r="1237" customFormat="false" ht="15" hidden="false" customHeight="false" outlineLevel="0" collapsed="false">
      <c r="A1237" s="6" t="s">
        <v>3840</v>
      </c>
      <c r="B1237" s="6" t="s">
        <v>116</v>
      </c>
      <c r="C1237" s="7" t="n">
        <v>44561</v>
      </c>
      <c r="D1237" s="6" t="s">
        <v>3758</v>
      </c>
      <c r="E1237" s="6" t="s">
        <v>3766</v>
      </c>
      <c r="F1237" s="6" t="s">
        <v>3835</v>
      </c>
      <c r="G1237" s="6" t="s">
        <v>2905</v>
      </c>
      <c r="H1237" s="9" t="n">
        <v>0</v>
      </c>
      <c r="K1237" s="6" t="s">
        <v>384</v>
      </c>
      <c r="L1237" s="6" t="s">
        <v>13</v>
      </c>
      <c r="M1237" s="6" t="s">
        <v>114</v>
      </c>
      <c r="N1237" s="6" t="s">
        <v>3841</v>
      </c>
      <c r="O1237" s="6"/>
      <c r="P1237" s="6"/>
    </row>
    <row r="1238" customFormat="false" ht="15" hidden="false" customHeight="false" outlineLevel="0" collapsed="false">
      <c r="A1238" s="6" t="s">
        <v>3842</v>
      </c>
      <c r="B1238" s="6" t="s">
        <v>171</v>
      </c>
      <c r="C1238" s="7" t="n">
        <v>45565</v>
      </c>
      <c r="D1238" s="6" t="s">
        <v>3758</v>
      </c>
      <c r="E1238" s="6" t="s">
        <v>3766</v>
      </c>
      <c r="F1238" s="6" t="s">
        <v>3843</v>
      </c>
      <c r="G1238" s="6" t="s">
        <v>3844</v>
      </c>
      <c r="H1238" s="9" t="n">
        <v>50667</v>
      </c>
      <c r="K1238" s="6" t="s">
        <v>384</v>
      </c>
      <c r="L1238" s="6" t="s">
        <v>13</v>
      </c>
      <c r="M1238" s="6" t="s">
        <v>169</v>
      </c>
      <c r="N1238" s="6" t="s">
        <v>3845</v>
      </c>
      <c r="O1238" s="6"/>
      <c r="P1238" s="6"/>
    </row>
    <row r="1239" customFormat="false" ht="15" hidden="false" customHeight="false" outlineLevel="0" collapsed="false">
      <c r="A1239" s="6" t="s">
        <v>3846</v>
      </c>
      <c r="B1239" s="6" t="s">
        <v>176</v>
      </c>
      <c r="C1239" s="7" t="n">
        <v>45657</v>
      </c>
      <c r="D1239" s="6" t="s">
        <v>3758</v>
      </c>
      <c r="E1239" s="6" t="s">
        <v>3766</v>
      </c>
      <c r="F1239" s="6" t="s">
        <v>3843</v>
      </c>
      <c r="G1239" s="6" t="s">
        <v>3847</v>
      </c>
      <c r="H1239" s="9" t="n">
        <v>50004</v>
      </c>
      <c r="K1239" s="6" t="s">
        <v>384</v>
      </c>
      <c r="L1239" s="6" t="s">
        <v>13</v>
      </c>
      <c r="M1239" s="6" t="s">
        <v>174</v>
      </c>
      <c r="N1239" s="6" t="s">
        <v>3848</v>
      </c>
      <c r="O1239" s="6"/>
      <c r="P1239" s="6"/>
    </row>
    <row r="1240" customFormat="false" ht="15" hidden="false" customHeight="false" outlineLevel="0" collapsed="false">
      <c r="A1240" s="6" t="s">
        <v>3849</v>
      </c>
      <c r="B1240" s="6" t="s">
        <v>181</v>
      </c>
      <c r="C1240" s="7" t="n">
        <v>45747</v>
      </c>
      <c r="D1240" s="6" t="s">
        <v>3758</v>
      </c>
      <c r="E1240" s="6" t="s">
        <v>3766</v>
      </c>
      <c r="F1240" s="6" t="s">
        <v>3843</v>
      </c>
      <c r="G1240" s="6" t="s">
        <v>3850</v>
      </c>
      <c r="H1240" s="9" t="n">
        <v>60730</v>
      </c>
      <c r="K1240" s="6" t="s">
        <v>384</v>
      </c>
      <c r="L1240" s="6" t="s">
        <v>13</v>
      </c>
      <c r="M1240" s="6" t="s">
        <v>179</v>
      </c>
      <c r="N1240" s="6" t="s">
        <v>3851</v>
      </c>
      <c r="O1240" s="6"/>
      <c r="P1240" s="6"/>
    </row>
    <row r="1241" customFormat="false" ht="15" hidden="false" customHeight="false" outlineLevel="0" collapsed="false">
      <c r="A1241" s="6" t="s">
        <v>3852</v>
      </c>
      <c r="B1241" s="6" t="s">
        <v>186</v>
      </c>
      <c r="C1241" s="7" t="n">
        <v>45838</v>
      </c>
      <c r="D1241" s="6" t="s">
        <v>3758</v>
      </c>
      <c r="E1241" s="6" t="s">
        <v>3766</v>
      </c>
      <c r="F1241" s="6" t="s">
        <v>3843</v>
      </c>
      <c r="G1241" s="6" t="s">
        <v>3853</v>
      </c>
      <c r="H1241" s="9" t="n">
        <v>60102</v>
      </c>
      <c r="K1241" s="6" t="s">
        <v>384</v>
      </c>
      <c r="L1241" s="6" t="s">
        <v>13</v>
      </c>
      <c r="M1241" s="6" t="s">
        <v>184</v>
      </c>
      <c r="N1241" s="6" t="s">
        <v>3854</v>
      </c>
      <c r="O1241" s="6"/>
      <c r="P1241" s="6"/>
    </row>
    <row r="1242" customFormat="false" ht="15" hidden="false" customHeight="false" outlineLevel="0" collapsed="false">
      <c r="A1242" s="6" t="s">
        <v>3855</v>
      </c>
      <c r="B1242" s="6" t="s">
        <v>191</v>
      </c>
      <c r="C1242" s="7" t="n">
        <v>45930</v>
      </c>
      <c r="D1242" s="6" t="s">
        <v>3758</v>
      </c>
      <c r="E1242" s="6" t="s">
        <v>3766</v>
      </c>
      <c r="F1242" s="6" t="s">
        <v>3843</v>
      </c>
      <c r="G1242" s="6" t="s">
        <v>3856</v>
      </c>
      <c r="H1242" s="9" t="n">
        <v>211740</v>
      </c>
      <c r="K1242" s="6" t="s">
        <v>384</v>
      </c>
      <c r="L1242" s="6" t="s">
        <v>13</v>
      </c>
      <c r="M1242" s="6" t="s">
        <v>189</v>
      </c>
      <c r="N1242" s="6" t="s">
        <v>3857</v>
      </c>
      <c r="O1242" s="6"/>
      <c r="P1242" s="6"/>
    </row>
    <row r="1243" customFormat="false" ht="15" hidden="false" customHeight="false" outlineLevel="0" collapsed="false">
      <c r="A1243" s="6" t="s">
        <v>3858</v>
      </c>
      <c r="B1243" s="6" t="s">
        <v>196</v>
      </c>
      <c r="C1243" s="7" t="n">
        <v>46022</v>
      </c>
      <c r="D1243" s="6" t="s">
        <v>3758</v>
      </c>
      <c r="E1243" s="6" t="s">
        <v>3766</v>
      </c>
      <c r="F1243" s="6" t="s">
        <v>3843</v>
      </c>
      <c r="G1243" s="6" t="s">
        <v>3859</v>
      </c>
      <c r="H1243" s="9" t="n">
        <v>162308</v>
      </c>
      <c r="K1243" s="6" t="s">
        <v>384</v>
      </c>
      <c r="L1243" s="6" t="s">
        <v>13</v>
      </c>
      <c r="M1243" s="6" t="s">
        <v>194</v>
      </c>
      <c r="N1243" s="6" t="s">
        <v>3860</v>
      </c>
      <c r="O1243" s="6"/>
      <c r="P1243" s="6"/>
    </row>
    <row r="1244" customFormat="false" ht="15" hidden="false" customHeight="false" outlineLevel="0" collapsed="false">
      <c r="A1244" s="6" t="s">
        <v>3861</v>
      </c>
      <c r="B1244" s="6" t="s">
        <v>201</v>
      </c>
      <c r="C1244" s="7" t="n">
        <v>46112</v>
      </c>
      <c r="D1244" s="6" t="s">
        <v>3758</v>
      </c>
      <c r="E1244" s="6" t="s">
        <v>3766</v>
      </c>
      <c r="F1244" s="6" t="s">
        <v>3843</v>
      </c>
      <c r="G1244" s="6" t="s">
        <v>3862</v>
      </c>
      <c r="H1244" s="9" t="n">
        <v>215141</v>
      </c>
      <c r="K1244" s="6" t="s">
        <v>384</v>
      </c>
      <c r="L1244" s="6" t="s">
        <v>13</v>
      </c>
      <c r="M1244" s="6" t="s">
        <v>199</v>
      </c>
      <c r="N1244" s="6" t="s">
        <v>3863</v>
      </c>
      <c r="O1244" s="6"/>
      <c r="P1244" s="6"/>
    </row>
    <row r="1245" customFormat="false" ht="15" hidden="false" customHeight="false" outlineLevel="0" collapsed="false">
      <c r="A1245" s="6" t="s">
        <v>3864</v>
      </c>
      <c r="B1245" s="6" t="s">
        <v>206</v>
      </c>
      <c r="C1245" s="7" t="n">
        <v>46203</v>
      </c>
      <c r="D1245" s="6" t="s">
        <v>3758</v>
      </c>
      <c r="E1245" s="6" t="s">
        <v>3766</v>
      </c>
      <c r="F1245" s="6" t="s">
        <v>3843</v>
      </c>
      <c r="G1245" s="6" t="s">
        <v>3865</v>
      </c>
      <c r="H1245" s="9" t="n">
        <v>219353</v>
      </c>
      <c r="K1245" s="6" t="s">
        <v>384</v>
      </c>
      <c r="L1245" s="6" t="s">
        <v>13</v>
      </c>
      <c r="M1245" s="6" t="s">
        <v>204</v>
      </c>
      <c r="N1245" s="6" t="s">
        <v>3866</v>
      </c>
      <c r="O1245" s="6"/>
      <c r="P1245" s="6"/>
    </row>
    <row r="1246" customFormat="false" ht="15" hidden="false" customHeight="false" outlineLevel="0" collapsed="false">
      <c r="A1246" s="6" t="s">
        <v>3867</v>
      </c>
      <c r="B1246" s="6" t="s">
        <v>103</v>
      </c>
      <c r="C1246" s="7" t="n">
        <v>44377</v>
      </c>
      <c r="D1246" s="6" t="s">
        <v>3758</v>
      </c>
      <c r="E1246" s="6" t="s">
        <v>3766</v>
      </c>
      <c r="F1246" s="6" t="s">
        <v>3868</v>
      </c>
      <c r="G1246" s="6" t="s">
        <v>3869</v>
      </c>
      <c r="H1246" s="9" t="n">
        <v>101923</v>
      </c>
      <c r="K1246" s="6" t="s">
        <v>384</v>
      </c>
      <c r="L1246" s="6" t="s">
        <v>13</v>
      </c>
      <c r="M1246" s="6" t="s">
        <v>100</v>
      </c>
      <c r="N1246" s="6" t="s">
        <v>3870</v>
      </c>
      <c r="O1246" s="6"/>
      <c r="P1246" s="6"/>
    </row>
    <row r="1247" customFormat="false" ht="15" hidden="false" customHeight="false" outlineLevel="0" collapsed="false">
      <c r="A1247" s="6" t="s">
        <v>3871</v>
      </c>
      <c r="B1247" s="6" t="s">
        <v>111</v>
      </c>
      <c r="C1247" s="7" t="n">
        <v>44469</v>
      </c>
      <c r="D1247" s="6" t="s">
        <v>3758</v>
      </c>
      <c r="E1247" s="6" t="s">
        <v>3766</v>
      </c>
      <c r="F1247" s="6" t="s">
        <v>3868</v>
      </c>
      <c r="G1247" s="6" t="s">
        <v>3872</v>
      </c>
      <c r="H1247" s="9" t="n">
        <v>117174</v>
      </c>
      <c r="K1247" s="6" t="s">
        <v>384</v>
      </c>
      <c r="L1247" s="6" t="s">
        <v>13</v>
      </c>
      <c r="M1247" s="6" t="s">
        <v>109</v>
      </c>
      <c r="N1247" s="6" t="s">
        <v>3873</v>
      </c>
      <c r="O1247" s="6"/>
      <c r="P1247" s="6"/>
    </row>
    <row r="1248" customFormat="false" ht="15" hidden="false" customHeight="false" outlineLevel="0" collapsed="false">
      <c r="A1248" s="6" t="s">
        <v>3874</v>
      </c>
      <c r="B1248" s="6" t="s">
        <v>116</v>
      </c>
      <c r="C1248" s="7" t="n">
        <v>44561</v>
      </c>
      <c r="D1248" s="6" t="s">
        <v>3758</v>
      </c>
      <c r="E1248" s="6" t="s">
        <v>3766</v>
      </c>
      <c r="F1248" s="6" t="s">
        <v>3868</v>
      </c>
      <c r="G1248" s="6" t="s">
        <v>3875</v>
      </c>
      <c r="H1248" s="9" t="n">
        <v>134438</v>
      </c>
      <c r="K1248" s="6" t="s">
        <v>384</v>
      </c>
      <c r="L1248" s="6" t="s">
        <v>13</v>
      </c>
      <c r="M1248" s="6" t="s">
        <v>114</v>
      </c>
      <c r="N1248" s="6" t="s">
        <v>3876</v>
      </c>
      <c r="O1248" s="6"/>
      <c r="P1248" s="6"/>
    </row>
    <row r="1249" customFormat="false" ht="15" hidden="false" customHeight="false" outlineLevel="0" collapsed="false">
      <c r="A1249" s="6" t="s">
        <v>3877</v>
      </c>
      <c r="B1249" s="6" t="s">
        <v>121</v>
      </c>
      <c r="C1249" s="7" t="n">
        <v>44651</v>
      </c>
      <c r="D1249" s="6" t="s">
        <v>3758</v>
      </c>
      <c r="E1249" s="6" t="s">
        <v>3766</v>
      </c>
      <c r="F1249" s="6" t="s">
        <v>3868</v>
      </c>
      <c r="G1249" s="6" t="s">
        <v>3878</v>
      </c>
      <c r="H1249" s="9" t="n">
        <v>160930</v>
      </c>
      <c r="K1249" s="6" t="s">
        <v>384</v>
      </c>
      <c r="L1249" s="6" t="s">
        <v>13</v>
      </c>
      <c r="M1249" s="6" t="s">
        <v>119</v>
      </c>
      <c r="N1249" s="6" t="s">
        <v>3879</v>
      </c>
      <c r="O1249" s="6"/>
      <c r="P1249" s="6"/>
    </row>
    <row r="1250" customFormat="false" ht="15" hidden="false" customHeight="false" outlineLevel="0" collapsed="false">
      <c r="A1250" s="6" t="s">
        <v>3880</v>
      </c>
      <c r="B1250" s="6" t="s">
        <v>126</v>
      </c>
      <c r="C1250" s="7" t="n">
        <v>44742</v>
      </c>
      <c r="D1250" s="6" t="s">
        <v>3758</v>
      </c>
      <c r="E1250" s="6" t="s">
        <v>3766</v>
      </c>
      <c r="F1250" s="6" t="s">
        <v>3868</v>
      </c>
      <c r="G1250" s="6" t="s">
        <v>3881</v>
      </c>
      <c r="H1250" s="9" t="n">
        <v>177882</v>
      </c>
      <c r="K1250" s="6" t="s">
        <v>384</v>
      </c>
      <c r="L1250" s="6" t="s">
        <v>13</v>
      </c>
      <c r="M1250" s="6" t="s">
        <v>124</v>
      </c>
      <c r="N1250" s="6" t="s">
        <v>3882</v>
      </c>
      <c r="O1250" s="6"/>
      <c r="P1250" s="6"/>
    </row>
    <row r="1251" customFormat="false" ht="15" hidden="false" customHeight="false" outlineLevel="0" collapsed="false">
      <c r="A1251" s="6" t="s">
        <v>3883</v>
      </c>
      <c r="B1251" s="6" t="s">
        <v>131</v>
      </c>
      <c r="C1251" s="7" t="n">
        <v>44834</v>
      </c>
      <c r="D1251" s="6" t="s">
        <v>3758</v>
      </c>
      <c r="E1251" s="6" t="s">
        <v>3766</v>
      </c>
      <c r="F1251" s="6" t="s">
        <v>3868</v>
      </c>
      <c r="G1251" s="6" t="s">
        <v>3884</v>
      </c>
      <c r="H1251" s="9" t="n">
        <v>189385</v>
      </c>
      <c r="K1251" s="6" t="s">
        <v>384</v>
      </c>
      <c r="L1251" s="6" t="s">
        <v>13</v>
      </c>
      <c r="M1251" s="6" t="s">
        <v>129</v>
      </c>
      <c r="N1251" s="6" t="s">
        <v>3885</v>
      </c>
      <c r="O1251" s="6"/>
      <c r="P1251" s="6"/>
    </row>
    <row r="1252" customFormat="false" ht="15" hidden="false" customHeight="false" outlineLevel="0" collapsed="false">
      <c r="A1252" s="6" t="s">
        <v>3886</v>
      </c>
      <c r="B1252" s="6" t="s">
        <v>136</v>
      </c>
      <c r="C1252" s="7" t="n">
        <v>44926</v>
      </c>
      <c r="D1252" s="6" t="s">
        <v>3758</v>
      </c>
      <c r="E1252" s="6" t="s">
        <v>3766</v>
      </c>
      <c r="F1252" s="6" t="s">
        <v>3868</v>
      </c>
      <c r="G1252" s="6" t="s">
        <v>3887</v>
      </c>
      <c r="H1252" s="9" t="n">
        <v>198099</v>
      </c>
      <c r="K1252" s="6" t="s">
        <v>384</v>
      </c>
      <c r="L1252" s="6" t="s">
        <v>13</v>
      </c>
      <c r="M1252" s="6" t="s">
        <v>134</v>
      </c>
      <c r="N1252" s="6" t="s">
        <v>3888</v>
      </c>
      <c r="O1252" s="6"/>
      <c r="P1252" s="6"/>
    </row>
    <row r="1253" customFormat="false" ht="15" hidden="false" customHeight="false" outlineLevel="0" collapsed="false">
      <c r="A1253" s="6" t="s">
        <v>3889</v>
      </c>
      <c r="B1253" s="6" t="s">
        <v>141</v>
      </c>
      <c r="C1253" s="7" t="n">
        <v>45016</v>
      </c>
      <c r="D1253" s="6" t="s">
        <v>3758</v>
      </c>
      <c r="E1253" s="6" t="s">
        <v>3766</v>
      </c>
      <c r="F1253" s="6" t="s">
        <v>3868</v>
      </c>
      <c r="G1253" s="6" t="s">
        <v>3890</v>
      </c>
      <c r="H1253" s="9" t="n">
        <v>229064</v>
      </c>
      <c r="K1253" s="6" t="s">
        <v>384</v>
      </c>
      <c r="L1253" s="6" t="s">
        <v>13</v>
      </c>
      <c r="M1253" s="6" t="s">
        <v>139</v>
      </c>
      <c r="N1253" s="6" t="s">
        <v>3891</v>
      </c>
      <c r="O1253" s="6"/>
      <c r="P1253" s="6"/>
    </row>
    <row r="1254" customFormat="false" ht="15" hidden="false" customHeight="false" outlineLevel="0" collapsed="false">
      <c r="A1254" s="6" t="s">
        <v>3892</v>
      </c>
      <c r="B1254" s="6" t="s">
        <v>146</v>
      </c>
      <c r="C1254" s="7" t="n">
        <v>45107</v>
      </c>
      <c r="D1254" s="6" t="s">
        <v>3758</v>
      </c>
      <c r="E1254" s="6" t="s">
        <v>3766</v>
      </c>
      <c r="F1254" s="6" t="s">
        <v>3868</v>
      </c>
      <c r="G1254" s="6" t="s">
        <v>3893</v>
      </c>
      <c r="H1254" s="9" t="n">
        <v>246610</v>
      </c>
      <c r="K1254" s="6" t="s">
        <v>384</v>
      </c>
      <c r="L1254" s="6" t="s">
        <v>13</v>
      </c>
      <c r="M1254" s="6" t="s">
        <v>144</v>
      </c>
      <c r="N1254" s="6" t="s">
        <v>3894</v>
      </c>
      <c r="O1254" s="6"/>
      <c r="P1254" s="6"/>
    </row>
    <row r="1255" customFormat="false" ht="15" hidden="false" customHeight="false" outlineLevel="0" collapsed="false">
      <c r="A1255" s="6" t="s">
        <v>3895</v>
      </c>
      <c r="B1255" s="6" t="s">
        <v>151</v>
      </c>
      <c r="C1255" s="7" t="n">
        <v>45199</v>
      </c>
      <c r="D1255" s="6" t="s">
        <v>3758</v>
      </c>
      <c r="E1255" s="6" t="s">
        <v>3766</v>
      </c>
      <c r="F1255" s="6" t="s">
        <v>3868</v>
      </c>
      <c r="G1255" s="6" t="s">
        <v>3896</v>
      </c>
      <c r="H1255" s="9" t="n">
        <v>257629</v>
      </c>
      <c r="K1255" s="6" t="s">
        <v>384</v>
      </c>
      <c r="L1255" s="6" t="s">
        <v>13</v>
      </c>
      <c r="M1255" s="6" t="s">
        <v>149</v>
      </c>
      <c r="N1255" s="6" t="s">
        <v>3897</v>
      </c>
      <c r="O1255" s="6"/>
      <c r="P1255" s="6"/>
    </row>
    <row r="1256" customFormat="false" ht="15" hidden="false" customHeight="false" outlineLevel="0" collapsed="false">
      <c r="A1256" s="6" t="s">
        <v>3898</v>
      </c>
      <c r="B1256" s="6" t="s">
        <v>156</v>
      </c>
      <c r="C1256" s="7" t="n">
        <v>45291</v>
      </c>
      <c r="D1256" s="6" t="s">
        <v>3758</v>
      </c>
      <c r="E1256" s="6" t="s">
        <v>3766</v>
      </c>
      <c r="F1256" s="6" t="s">
        <v>3868</v>
      </c>
      <c r="G1256" s="6" t="s">
        <v>3899</v>
      </c>
      <c r="H1256" s="9" t="n">
        <v>266284</v>
      </c>
      <c r="K1256" s="6" t="s">
        <v>384</v>
      </c>
      <c r="L1256" s="6" t="s">
        <v>13</v>
      </c>
      <c r="M1256" s="6" t="s">
        <v>154</v>
      </c>
      <c r="N1256" s="6" t="s">
        <v>3900</v>
      </c>
      <c r="O1256" s="6"/>
      <c r="P1256" s="6"/>
    </row>
    <row r="1257" customFormat="false" ht="15" hidden="false" customHeight="false" outlineLevel="0" collapsed="false">
      <c r="A1257" s="6" t="s">
        <v>3901</v>
      </c>
      <c r="B1257" s="6" t="s">
        <v>161</v>
      </c>
      <c r="C1257" s="7" t="n">
        <v>45382</v>
      </c>
      <c r="D1257" s="6" t="s">
        <v>3758</v>
      </c>
      <c r="E1257" s="6" t="s">
        <v>3766</v>
      </c>
      <c r="F1257" s="6" t="s">
        <v>3868</v>
      </c>
      <c r="G1257" s="6" t="s">
        <v>3902</v>
      </c>
      <c r="H1257" s="9" t="n">
        <v>302481</v>
      </c>
      <c r="K1257" s="6" t="s">
        <v>384</v>
      </c>
      <c r="L1257" s="6" t="s">
        <v>13</v>
      </c>
      <c r="M1257" s="6" t="s">
        <v>159</v>
      </c>
      <c r="N1257" s="6" t="s">
        <v>3903</v>
      </c>
      <c r="O1257" s="6"/>
      <c r="P1257" s="6"/>
    </row>
    <row r="1258" customFormat="false" ht="15" hidden="false" customHeight="false" outlineLevel="0" collapsed="false">
      <c r="A1258" s="6" t="s">
        <v>3904</v>
      </c>
      <c r="B1258" s="6" t="s">
        <v>166</v>
      </c>
      <c r="C1258" s="7" t="n">
        <v>45473</v>
      </c>
      <c r="D1258" s="6" t="s">
        <v>3758</v>
      </c>
      <c r="E1258" s="6" t="s">
        <v>3766</v>
      </c>
      <c r="F1258" s="6" t="s">
        <v>3868</v>
      </c>
      <c r="G1258" s="6" t="s">
        <v>3905</v>
      </c>
      <c r="H1258" s="9" t="n">
        <v>317069</v>
      </c>
      <c r="K1258" s="6" t="s">
        <v>384</v>
      </c>
      <c r="L1258" s="6" t="s">
        <v>13</v>
      </c>
      <c r="M1258" s="6" t="s">
        <v>164</v>
      </c>
      <c r="N1258" s="6" t="s">
        <v>3906</v>
      </c>
      <c r="O1258" s="6"/>
      <c r="P1258" s="6"/>
    </row>
    <row r="1259" customFormat="false" ht="15" hidden="false" customHeight="false" outlineLevel="0" collapsed="false">
      <c r="A1259" s="6" t="s">
        <v>3907</v>
      </c>
      <c r="B1259" s="6" t="s">
        <v>171</v>
      </c>
      <c r="C1259" s="7" t="n">
        <v>45565</v>
      </c>
      <c r="D1259" s="6" t="s">
        <v>3758</v>
      </c>
      <c r="E1259" s="6" t="s">
        <v>3766</v>
      </c>
      <c r="F1259" s="6" t="s">
        <v>3868</v>
      </c>
      <c r="G1259" s="6" t="s">
        <v>3908</v>
      </c>
      <c r="H1259" s="9" t="n">
        <v>330053</v>
      </c>
      <c r="K1259" s="6" t="s">
        <v>384</v>
      </c>
      <c r="L1259" s="6" t="s">
        <v>13</v>
      </c>
      <c r="M1259" s="6" t="s">
        <v>169</v>
      </c>
      <c r="N1259" s="6" t="s">
        <v>3909</v>
      </c>
      <c r="O1259" s="6"/>
      <c r="P1259" s="6"/>
    </row>
    <row r="1260" customFormat="false" ht="15" hidden="false" customHeight="false" outlineLevel="0" collapsed="false">
      <c r="A1260" s="6" t="s">
        <v>3910</v>
      </c>
      <c r="B1260" s="6" t="s">
        <v>176</v>
      </c>
      <c r="C1260" s="7" t="n">
        <v>45657</v>
      </c>
      <c r="D1260" s="6" t="s">
        <v>3758</v>
      </c>
      <c r="E1260" s="6" t="s">
        <v>3766</v>
      </c>
      <c r="F1260" s="6" t="s">
        <v>3868</v>
      </c>
      <c r="G1260" s="6" t="s">
        <v>3911</v>
      </c>
      <c r="H1260" s="9" t="n">
        <v>339951</v>
      </c>
      <c r="K1260" s="6" t="s">
        <v>384</v>
      </c>
      <c r="L1260" s="6" t="s">
        <v>13</v>
      </c>
      <c r="M1260" s="6" t="s">
        <v>174</v>
      </c>
      <c r="N1260" s="6" t="s">
        <v>3912</v>
      </c>
      <c r="O1260" s="6"/>
      <c r="P1260" s="6"/>
    </row>
    <row r="1261" customFormat="false" ht="15" hidden="false" customHeight="false" outlineLevel="0" collapsed="false">
      <c r="A1261" s="6" t="s">
        <v>3913</v>
      </c>
      <c r="B1261" s="6" t="s">
        <v>181</v>
      </c>
      <c r="C1261" s="7" t="n">
        <v>45747</v>
      </c>
      <c r="D1261" s="6" t="s">
        <v>3758</v>
      </c>
      <c r="E1261" s="6" t="s">
        <v>3766</v>
      </c>
      <c r="F1261" s="6" t="s">
        <v>3868</v>
      </c>
      <c r="G1261" s="6" t="s">
        <v>3914</v>
      </c>
      <c r="H1261" s="9" t="n">
        <v>384031</v>
      </c>
      <c r="K1261" s="6" t="s">
        <v>384</v>
      </c>
      <c r="L1261" s="6" t="s">
        <v>13</v>
      </c>
      <c r="M1261" s="6" t="s">
        <v>179</v>
      </c>
      <c r="N1261" s="6" t="s">
        <v>3915</v>
      </c>
      <c r="O1261" s="6"/>
      <c r="P1261" s="6"/>
    </row>
    <row r="1262" customFormat="false" ht="15" hidden="false" customHeight="false" outlineLevel="0" collapsed="false">
      <c r="A1262" s="6" t="s">
        <v>3916</v>
      </c>
      <c r="B1262" s="6" t="s">
        <v>186</v>
      </c>
      <c r="C1262" s="7" t="n">
        <v>45838</v>
      </c>
      <c r="D1262" s="6" t="s">
        <v>3758</v>
      </c>
      <c r="E1262" s="6" t="s">
        <v>3766</v>
      </c>
      <c r="F1262" s="6" t="s">
        <v>3868</v>
      </c>
      <c r="G1262" s="6" t="s">
        <v>3917</v>
      </c>
      <c r="H1262" s="9" t="n">
        <v>402794</v>
      </c>
      <c r="K1262" s="6" t="s">
        <v>384</v>
      </c>
      <c r="L1262" s="6" t="s">
        <v>13</v>
      </c>
      <c r="M1262" s="6" t="s">
        <v>184</v>
      </c>
      <c r="N1262" s="6" t="s">
        <v>3918</v>
      </c>
      <c r="O1262" s="6"/>
      <c r="P1262" s="6"/>
    </row>
    <row r="1263" customFormat="false" ht="15" hidden="false" customHeight="false" outlineLevel="0" collapsed="false">
      <c r="A1263" s="6" t="s">
        <v>3919</v>
      </c>
      <c r="B1263" s="6" t="s">
        <v>191</v>
      </c>
      <c r="C1263" s="7" t="n">
        <v>45930</v>
      </c>
      <c r="D1263" s="6" t="s">
        <v>3758</v>
      </c>
      <c r="E1263" s="6" t="s">
        <v>3766</v>
      </c>
      <c r="F1263" s="6" t="s">
        <v>3868</v>
      </c>
      <c r="G1263" s="6" t="s">
        <v>3920</v>
      </c>
      <c r="H1263" s="9" t="n">
        <v>406231</v>
      </c>
      <c r="K1263" s="6" t="s">
        <v>384</v>
      </c>
      <c r="L1263" s="6" t="s">
        <v>13</v>
      </c>
      <c r="M1263" s="6" t="s">
        <v>189</v>
      </c>
      <c r="N1263" s="6" t="s">
        <v>3921</v>
      </c>
      <c r="O1263" s="6"/>
      <c r="P1263" s="6"/>
    </row>
    <row r="1264" customFormat="false" ht="15" hidden="false" customHeight="false" outlineLevel="0" collapsed="false">
      <c r="A1264" s="6" t="s">
        <v>3922</v>
      </c>
      <c r="B1264" s="6" t="s">
        <v>196</v>
      </c>
      <c r="C1264" s="7" t="n">
        <v>46022</v>
      </c>
      <c r="D1264" s="6" t="s">
        <v>3758</v>
      </c>
      <c r="E1264" s="6" t="s">
        <v>3766</v>
      </c>
      <c r="F1264" s="6" t="s">
        <v>3868</v>
      </c>
      <c r="G1264" s="6" t="s">
        <v>3923</v>
      </c>
      <c r="H1264" s="9" t="n">
        <v>409677</v>
      </c>
      <c r="K1264" s="6" t="s">
        <v>384</v>
      </c>
      <c r="L1264" s="6" t="s">
        <v>13</v>
      </c>
      <c r="M1264" s="6" t="s">
        <v>194</v>
      </c>
      <c r="N1264" s="6" t="s">
        <v>3924</v>
      </c>
      <c r="O1264" s="6"/>
      <c r="P1264" s="6"/>
    </row>
    <row r="1265" customFormat="false" ht="15" hidden="false" customHeight="false" outlineLevel="0" collapsed="false">
      <c r="A1265" s="6" t="s">
        <v>3925</v>
      </c>
      <c r="B1265" s="6" t="s">
        <v>201</v>
      </c>
      <c r="C1265" s="7" t="n">
        <v>46112</v>
      </c>
      <c r="D1265" s="6" t="s">
        <v>3758</v>
      </c>
      <c r="E1265" s="6" t="s">
        <v>3766</v>
      </c>
      <c r="F1265" s="6" t="s">
        <v>3868</v>
      </c>
      <c r="G1265" s="6" t="s">
        <v>3926</v>
      </c>
      <c r="H1265" s="9" t="n">
        <v>455131</v>
      </c>
      <c r="K1265" s="6" t="s">
        <v>384</v>
      </c>
      <c r="L1265" s="6" t="s">
        <v>13</v>
      </c>
      <c r="M1265" s="6" t="s">
        <v>199</v>
      </c>
      <c r="N1265" s="6" t="s">
        <v>3927</v>
      </c>
      <c r="O1265" s="6"/>
      <c r="P1265" s="6"/>
    </row>
    <row r="1266" customFormat="false" ht="15" hidden="false" customHeight="false" outlineLevel="0" collapsed="false">
      <c r="A1266" s="6" t="s">
        <v>3928</v>
      </c>
      <c r="B1266" s="6" t="s">
        <v>206</v>
      </c>
      <c r="C1266" s="7" t="n">
        <v>46203</v>
      </c>
      <c r="D1266" s="6" t="s">
        <v>3758</v>
      </c>
      <c r="E1266" s="6" t="s">
        <v>3766</v>
      </c>
      <c r="F1266" s="6" t="s">
        <v>3868</v>
      </c>
      <c r="G1266" s="6" t="s">
        <v>3929</v>
      </c>
      <c r="H1266" s="9" t="n">
        <v>451577</v>
      </c>
      <c r="K1266" s="6" t="s">
        <v>384</v>
      </c>
      <c r="L1266" s="6" t="s">
        <v>13</v>
      </c>
      <c r="M1266" s="6" t="s">
        <v>204</v>
      </c>
      <c r="N1266" s="6" t="s">
        <v>3930</v>
      </c>
      <c r="O1266" s="6"/>
      <c r="P1266" s="6"/>
    </row>
    <row r="1267" customFormat="false" ht="15" hidden="false" customHeight="false" outlineLevel="0" collapsed="false">
      <c r="A1267" s="6" t="s">
        <v>3931</v>
      </c>
      <c r="B1267" s="6" t="s">
        <v>136</v>
      </c>
      <c r="C1267" s="7" t="n">
        <v>44926</v>
      </c>
      <c r="D1267" s="6" t="s">
        <v>3758</v>
      </c>
      <c r="E1267" s="6" t="s">
        <v>3766</v>
      </c>
      <c r="F1267" s="6" t="s">
        <v>3932</v>
      </c>
      <c r="G1267" s="6" t="s">
        <v>3933</v>
      </c>
      <c r="H1267" s="9" t="n">
        <v>2442</v>
      </c>
      <c r="K1267" s="6" t="s">
        <v>384</v>
      </c>
      <c r="L1267" s="6" t="s">
        <v>13</v>
      </c>
      <c r="M1267" s="6" t="s">
        <v>134</v>
      </c>
      <c r="N1267" s="6" t="s">
        <v>3934</v>
      </c>
      <c r="O1267" s="6"/>
      <c r="P1267" s="6"/>
    </row>
    <row r="1268" customFormat="false" ht="15" hidden="false" customHeight="false" outlineLevel="0" collapsed="false">
      <c r="A1268" s="6" t="s">
        <v>3935</v>
      </c>
      <c r="B1268" s="6" t="s">
        <v>141</v>
      </c>
      <c r="C1268" s="7" t="n">
        <v>45016</v>
      </c>
      <c r="D1268" s="6" t="s">
        <v>3758</v>
      </c>
      <c r="E1268" s="6" t="s">
        <v>3766</v>
      </c>
      <c r="F1268" s="6" t="s">
        <v>3932</v>
      </c>
      <c r="G1268" s="6" t="s">
        <v>3936</v>
      </c>
      <c r="H1268" s="9" t="n">
        <v>2443</v>
      </c>
      <c r="K1268" s="6" t="s">
        <v>384</v>
      </c>
      <c r="L1268" s="6" t="s">
        <v>13</v>
      </c>
      <c r="M1268" s="6" t="s">
        <v>139</v>
      </c>
      <c r="N1268" s="6" t="s">
        <v>3937</v>
      </c>
      <c r="O1268" s="6"/>
      <c r="P1268" s="6"/>
    </row>
    <row r="1269" customFormat="false" ht="15" hidden="false" customHeight="false" outlineLevel="0" collapsed="false">
      <c r="A1269" s="6" t="s">
        <v>3938</v>
      </c>
      <c r="B1269" s="6" t="s">
        <v>146</v>
      </c>
      <c r="C1269" s="7" t="n">
        <v>45107</v>
      </c>
      <c r="D1269" s="6" t="s">
        <v>3758</v>
      </c>
      <c r="E1269" s="6" t="s">
        <v>3766</v>
      </c>
      <c r="F1269" s="6" t="s">
        <v>3932</v>
      </c>
      <c r="G1269" s="6" t="s">
        <v>3939</v>
      </c>
      <c r="H1269" s="9" t="n">
        <v>3046</v>
      </c>
      <c r="K1269" s="6" t="s">
        <v>384</v>
      </c>
      <c r="L1269" s="6" t="s">
        <v>13</v>
      </c>
      <c r="M1269" s="6" t="s">
        <v>144</v>
      </c>
      <c r="N1269" s="6" t="s">
        <v>3940</v>
      </c>
      <c r="O1269" s="6"/>
      <c r="P1269" s="6"/>
    </row>
    <row r="1270" customFormat="false" ht="15" hidden="false" customHeight="false" outlineLevel="0" collapsed="false">
      <c r="A1270" s="6" t="s">
        <v>3941</v>
      </c>
      <c r="B1270" s="6" t="s">
        <v>151</v>
      </c>
      <c r="C1270" s="7" t="n">
        <v>45199</v>
      </c>
      <c r="D1270" s="6" t="s">
        <v>3758</v>
      </c>
      <c r="E1270" s="6" t="s">
        <v>3766</v>
      </c>
      <c r="F1270" s="6" t="s">
        <v>3932</v>
      </c>
      <c r="G1270" s="6" t="s">
        <v>3942</v>
      </c>
      <c r="H1270" s="9" t="n">
        <v>3854</v>
      </c>
      <c r="K1270" s="6" t="s">
        <v>384</v>
      </c>
      <c r="L1270" s="6" t="s">
        <v>13</v>
      </c>
      <c r="M1270" s="6" t="s">
        <v>149</v>
      </c>
      <c r="N1270" s="6" t="s">
        <v>3943</v>
      </c>
      <c r="O1270" s="6"/>
      <c r="P1270" s="6"/>
    </row>
    <row r="1271" customFormat="false" ht="15" hidden="false" customHeight="false" outlineLevel="0" collapsed="false">
      <c r="A1271" s="6" t="s">
        <v>3944</v>
      </c>
      <c r="B1271" s="6" t="s">
        <v>156</v>
      </c>
      <c r="C1271" s="7" t="n">
        <v>45291</v>
      </c>
      <c r="D1271" s="6" t="s">
        <v>3758</v>
      </c>
      <c r="E1271" s="6" t="s">
        <v>3766</v>
      </c>
      <c r="F1271" s="6" t="s">
        <v>3932</v>
      </c>
      <c r="G1271" s="6" t="s">
        <v>3945</v>
      </c>
      <c r="H1271" s="9" t="n">
        <v>3189</v>
      </c>
      <c r="K1271" s="6" t="s">
        <v>384</v>
      </c>
      <c r="L1271" s="6" t="s">
        <v>13</v>
      </c>
      <c r="M1271" s="6" t="s">
        <v>154</v>
      </c>
      <c r="N1271" s="6" t="s">
        <v>3946</v>
      </c>
      <c r="O1271" s="6"/>
      <c r="P1271" s="6"/>
    </row>
    <row r="1272" customFormat="false" ht="15" hidden="false" customHeight="false" outlineLevel="0" collapsed="false">
      <c r="A1272" s="6" t="s">
        <v>3947</v>
      </c>
      <c r="B1272" s="6" t="s">
        <v>161</v>
      </c>
      <c r="C1272" s="7" t="n">
        <v>45382</v>
      </c>
      <c r="D1272" s="6" t="s">
        <v>3758</v>
      </c>
      <c r="E1272" s="6" t="s">
        <v>3766</v>
      </c>
      <c r="F1272" s="6" t="s">
        <v>3932</v>
      </c>
      <c r="G1272" s="6" t="s">
        <v>3948</v>
      </c>
      <c r="H1272" s="9" t="n">
        <v>2696</v>
      </c>
      <c r="K1272" s="6" t="s">
        <v>384</v>
      </c>
      <c r="L1272" s="6" t="s">
        <v>13</v>
      </c>
      <c r="M1272" s="6" t="s">
        <v>159</v>
      </c>
      <c r="N1272" s="6" t="s">
        <v>3949</v>
      </c>
      <c r="O1272" s="6"/>
      <c r="P1272" s="6"/>
    </row>
    <row r="1273" customFormat="false" ht="15" hidden="false" customHeight="false" outlineLevel="0" collapsed="false">
      <c r="A1273" s="6" t="s">
        <v>3950</v>
      </c>
      <c r="B1273" s="6" t="s">
        <v>166</v>
      </c>
      <c r="C1273" s="7" t="n">
        <v>45473</v>
      </c>
      <c r="D1273" s="6" t="s">
        <v>3758</v>
      </c>
      <c r="E1273" s="6" t="s">
        <v>3766</v>
      </c>
      <c r="F1273" s="6" t="s">
        <v>3932</v>
      </c>
      <c r="G1273" s="6" t="s">
        <v>3951</v>
      </c>
      <c r="H1273" s="9" t="n">
        <v>2653</v>
      </c>
      <c r="K1273" s="6" t="s">
        <v>384</v>
      </c>
      <c r="L1273" s="6" t="s">
        <v>13</v>
      </c>
      <c r="M1273" s="6" t="s">
        <v>164</v>
      </c>
      <c r="N1273" s="6" t="s">
        <v>3952</v>
      </c>
      <c r="O1273" s="6"/>
      <c r="P1273" s="6"/>
    </row>
    <row r="1274" customFormat="false" ht="15" hidden="false" customHeight="false" outlineLevel="0" collapsed="false">
      <c r="A1274" s="6" t="s">
        <v>3953</v>
      </c>
      <c r="B1274" s="6" t="s">
        <v>171</v>
      </c>
      <c r="C1274" s="7" t="n">
        <v>45565</v>
      </c>
      <c r="D1274" s="6" t="s">
        <v>3758</v>
      </c>
      <c r="E1274" s="6" t="s">
        <v>3766</v>
      </c>
      <c r="F1274" s="6" t="s">
        <v>3932</v>
      </c>
      <c r="G1274" s="6" t="s">
        <v>3954</v>
      </c>
      <c r="H1274" s="9" t="n">
        <v>2487</v>
      </c>
      <c r="K1274" s="6" t="s">
        <v>384</v>
      </c>
      <c r="L1274" s="6" t="s">
        <v>13</v>
      </c>
      <c r="M1274" s="6" t="s">
        <v>169</v>
      </c>
      <c r="N1274" s="6" t="s">
        <v>3955</v>
      </c>
      <c r="O1274" s="6"/>
      <c r="P1274" s="6"/>
    </row>
    <row r="1275" customFormat="false" ht="15" hidden="false" customHeight="false" outlineLevel="0" collapsed="false">
      <c r="A1275" s="6" t="s">
        <v>3956</v>
      </c>
      <c r="B1275" s="6" t="s">
        <v>176</v>
      </c>
      <c r="C1275" s="7" t="n">
        <v>45657</v>
      </c>
      <c r="D1275" s="6" t="s">
        <v>3758</v>
      </c>
      <c r="E1275" s="6" t="s">
        <v>3766</v>
      </c>
      <c r="F1275" s="6" t="s">
        <v>3932</v>
      </c>
      <c r="G1275" s="6" t="s">
        <v>3957</v>
      </c>
      <c r="H1275" s="9" t="n">
        <v>2639</v>
      </c>
      <c r="K1275" s="6" t="s">
        <v>384</v>
      </c>
      <c r="L1275" s="6" t="s">
        <v>13</v>
      </c>
      <c r="M1275" s="6" t="s">
        <v>174</v>
      </c>
      <c r="N1275" s="6" t="s">
        <v>3958</v>
      </c>
      <c r="O1275" s="6"/>
      <c r="P1275" s="6"/>
    </row>
    <row r="1276" customFormat="false" ht="15" hidden="false" customHeight="false" outlineLevel="0" collapsed="false">
      <c r="A1276" s="6" t="s">
        <v>3959</v>
      </c>
      <c r="B1276" s="6" t="s">
        <v>181</v>
      </c>
      <c r="C1276" s="7" t="n">
        <v>45747</v>
      </c>
      <c r="D1276" s="6" t="s">
        <v>3758</v>
      </c>
      <c r="E1276" s="6" t="s">
        <v>3766</v>
      </c>
      <c r="F1276" s="6" t="s">
        <v>3932</v>
      </c>
      <c r="G1276" s="6" t="s">
        <v>3960</v>
      </c>
      <c r="H1276" s="9" t="n">
        <v>2660</v>
      </c>
      <c r="K1276" s="6" t="s">
        <v>384</v>
      </c>
      <c r="L1276" s="6" t="s">
        <v>13</v>
      </c>
      <c r="M1276" s="6" t="s">
        <v>179</v>
      </c>
      <c r="N1276" s="6" t="s">
        <v>3961</v>
      </c>
      <c r="O1276" s="6"/>
      <c r="P1276" s="6"/>
    </row>
    <row r="1277" customFormat="false" ht="15" hidden="false" customHeight="false" outlineLevel="0" collapsed="false">
      <c r="A1277" s="6" t="s">
        <v>3962</v>
      </c>
      <c r="B1277" s="6" t="s">
        <v>186</v>
      </c>
      <c r="C1277" s="7" t="n">
        <v>45838</v>
      </c>
      <c r="D1277" s="6" t="s">
        <v>3758</v>
      </c>
      <c r="E1277" s="6" t="s">
        <v>3766</v>
      </c>
      <c r="F1277" s="6" t="s">
        <v>3932</v>
      </c>
      <c r="G1277" s="6" t="s">
        <v>3963</v>
      </c>
      <c r="H1277" s="9" t="n">
        <v>2299</v>
      </c>
      <c r="K1277" s="6" t="s">
        <v>384</v>
      </c>
      <c r="L1277" s="6" t="s">
        <v>13</v>
      </c>
      <c r="M1277" s="6" t="s">
        <v>184</v>
      </c>
      <c r="N1277" s="6" t="s">
        <v>3964</v>
      </c>
      <c r="O1277" s="6"/>
      <c r="P1277" s="6"/>
    </row>
    <row r="1278" customFormat="false" ht="15" hidden="false" customHeight="false" outlineLevel="0" collapsed="false">
      <c r="A1278" s="6" t="s">
        <v>3965</v>
      </c>
      <c r="B1278" s="6" t="s">
        <v>191</v>
      </c>
      <c r="C1278" s="7" t="n">
        <v>45930</v>
      </c>
      <c r="D1278" s="6" t="s">
        <v>3758</v>
      </c>
      <c r="E1278" s="6" t="s">
        <v>3766</v>
      </c>
      <c r="F1278" s="6" t="s">
        <v>3932</v>
      </c>
      <c r="G1278" s="6" t="s">
        <v>3966</v>
      </c>
      <c r="H1278" s="9" t="n">
        <v>2179</v>
      </c>
      <c r="K1278" s="6" t="s">
        <v>384</v>
      </c>
      <c r="L1278" s="6" t="s">
        <v>13</v>
      </c>
      <c r="M1278" s="6" t="s">
        <v>189</v>
      </c>
      <c r="N1278" s="6" t="s">
        <v>3967</v>
      </c>
      <c r="O1278" s="6"/>
      <c r="P1278" s="6"/>
    </row>
    <row r="1279" customFormat="false" ht="15" hidden="false" customHeight="false" outlineLevel="0" collapsed="false">
      <c r="A1279" s="6" t="s">
        <v>3968</v>
      </c>
      <c r="B1279" s="6" t="s">
        <v>196</v>
      </c>
      <c r="C1279" s="7" t="n">
        <v>46022</v>
      </c>
      <c r="D1279" s="6" t="s">
        <v>3758</v>
      </c>
      <c r="E1279" s="6" t="s">
        <v>3766</v>
      </c>
      <c r="F1279" s="6" t="s">
        <v>3932</v>
      </c>
      <c r="G1279" s="6" t="s">
        <v>3969</v>
      </c>
      <c r="H1279" s="9" t="n">
        <v>1942</v>
      </c>
      <c r="K1279" s="6" t="s">
        <v>384</v>
      </c>
      <c r="L1279" s="6" t="s">
        <v>13</v>
      </c>
      <c r="M1279" s="6" t="s">
        <v>194</v>
      </c>
      <c r="N1279" s="6" t="s">
        <v>3970</v>
      </c>
      <c r="O1279" s="6"/>
      <c r="P1279" s="6"/>
    </row>
    <row r="1280" customFormat="false" ht="15" hidden="false" customHeight="false" outlineLevel="0" collapsed="false">
      <c r="A1280" s="6" t="s">
        <v>3971</v>
      </c>
      <c r="B1280" s="6" t="s">
        <v>201</v>
      </c>
      <c r="C1280" s="7" t="n">
        <v>46112</v>
      </c>
      <c r="D1280" s="6" t="s">
        <v>3758</v>
      </c>
      <c r="E1280" s="6" t="s">
        <v>3766</v>
      </c>
      <c r="F1280" s="6" t="s">
        <v>3932</v>
      </c>
      <c r="G1280" s="6" t="s">
        <v>3972</v>
      </c>
      <c r="H1280" s="9" t="n">
        <v>2086</v>
      </c>
      <c r="K1280" s="6" t="s">
        <v>384</v>
      </c>
      <c r="L1280" s="6" t="s">
        <v>13</v>
      </c>
      <c r="M1280" s="6" t="s">
        <v>199</v>
      </c>
      <c r="N1280" s="6" t="s">
        <v>3973</v>
      </c>
      <c r="O1280" s="6"/>
      <c r="P1280" s="6"/>
    </row>
    <row r="1281" customFormat="false" ht="15" hidden="false" customHeight="false" outlineLevel="0" collapsed="false">
      <c r="A1281" s="6" t="s">
        <v>3974</v>
      </c>
      <c r="B1281" s="6" t="s">
        <v>206</v>
      </c>
      <c r="C1281" s="7" t="n">
        <v>46203</v>
      </c>
      <c r="D1281" s="6" t="s">
        <v>3758</v>
      </c>
      <c r="E1281" s="6" t="s">
        <v>3766</v>
      </c>
      <c r="F1281" s="6" t="s">
        <v>3932</v>
      </c>
      <c r="G1281" s="6" t="s">
        <v>3975</v>
      </c>
      <c r="H1281" s="9" t="n">
        <v>2100</v>
      </c>
      <c r="K1281" s="6" t="s">
        <v>384</v>
      </c>
      <c r="L1281" s="6" t="s">
        <v>13</v>
      </c>
      <c r="M1281" s="6" t="s">
        <v>204</v>
      </c>
      <c r="N1281" s="6" t="s">
        <v>3976</v>
      </c>
      <c r="O1281" s="6"/>
      <c r="P1281" s="6"/>
    </row>
    <row r="1282" customFormat="false" ht="15" hidden="false" customHeight="false" outlineLevel="0" collapsed="false">
      <c r="A1282" s="6" t="s">
        <v>3977</v>
      </c>
      <c r="B1282" s="6" t="s">
        <v>103</v>
      </c>
      <c r="C1282" s="7" t="n">
        <v>44377</v>
      </c>
      <c r="D1282" s="6" t="s">
        <v>3758</v>
      </c>
      <c r="E1282" s="6" t="s">
        <v>3766</v>
      </c>
      <c r="F1282" s="6" t="s">
        <v>3978</v>
      </c>
      <c r="G1282" s="6"/>
      <c r="H1282" s="14" t="n">
        <f aca="false">H1214+H1235</f>
        <v>875379</v>
      </c>
      <c r="K1282" s="6" t="s">
        <v>384</v>
      </c>
      <c r="L1282" s="6" t="s">
        <v>15</v>
      </c>
      <c r="M1282" s="6" t="s">
        <v>100</v>
      </c>
      <c r="N1282" s="6" t="s">
        <v>3979</v>
      </c>
      <c r="O1282" s="6" t="s">
        <v>3980</v>
      </c>
      <c r="P1282" s="6" t="s">
        <v>3981</v>
      </c>
    </row>
    <row r="1283" customFormat="false" ht="15" hidden="false" customHeight="false" outlineLevel="0" collapsed="false">
      <c r="A1283" s="6" t="s">
        <v>3982</v>
      </c>
      <c r="B1283" s="6" t="s">
        <v>111</v>
      </c>
      <c r="C1283" s="7" t="n">
        <v>44469</v>
      </c>
      <c r="D1283" s="6" t="s">
        <v>3758</v>
      </c>
      <c r="E1283" s="6" t="s">
        <v>3766</v>
      </c>
      <c r="F1283" s="6" t="s">
        <v>3978</v>
      </c>
      <c r="G1283" s="6"/>
      <c r="H1283" s="14" t="n">
        <f aca="false">H1215+H1236</f>
        <v>876220</v>
      </c>
      <c r="K1283" s="6" t="s">
        <v>384</v>
      </c>
      <c r="L1283" s="6" t="s">
        <v>15</v>
      </c>
      <c r="M1283" s="6" t="s">
        <v>109</v>
      </c>
      <c r="N1283" s="6" t="s">
        <v>3979</v>
      </c>
      <c r="O1283" s="6" t="s">
        <v>3983</v>
      </c>
      <c r="P1283" s="6" t="s">
        <v>3981</v>
      </c>
    </row>
    <row r="1284" customFormat="false" ht="15" hidden="false" customHeight="false" outlineLevel="0" collapsed="false">
      <c r="A1284" s="6" t="s">
        <v>3984</v>
      </c>
      <c r="B1284" s="6" t="s">
        <v>116</v>
      </c>
      <c r="C1284" s="7" t="n">
        <v>44561</v>
      </c>
      <c r="D1284" s="6" t="s">
        <v>3758</v>
      </c>
      <c r="E1284" s="6" t="s">
        <v>3766</v>
      </c>
      <c r="F1284" s="6" t="s">
        <v>3978</v>
      </c>
      <c r="G1284" s="6"/>
      <c r="H1284" s="14" t="n">
        <f aca="false">H1216+H1237</f>
        <v>886812</v>
      </c>
      <c r="K1284" s="6" t="s">
        <v>384</v>
      </c>
      <c r="L1284" s="6" t="s">
        <v>15</v>
      </c>
      <c r="M1284" s="6" t="s">
        <v>114</v>
      </c>
      <c r="N1284" s="6" t="s">
        <v>3979</v>
      </c>
      <c r="O1284" s="6" t="s">
        <v>3985</v>
      </c>
      <c r="P1284" s="6" t="s">
        <v>3981</v>
      </c>
    </row>
    <row r="1285" customFormat="false" ht="15" hidden="false" customHeight="false" outlineLevel="0" collapsed="false">
      <c r="A1285" s="6" t="s">
        <v>3986</v>
      </c>
      <c r="B1285" s="6" t="s">
        <v>121</v>
      </c>
      <c r="C1285" s="7" t="n">
        <v>44651</v>
      </c>
      <c r="D1285" s="6" t="s">
        <v>3758</v>
      </c>
      <c r="E1285" s="6" t="s">
        <v>3766</v>
      </c>
      <c r="F1285" s="6" t="s">
        <v>3978</v>
      </c>
      <c r="G1285" s="6"/>
      <c r="H1285" s="14" t="n">
        <f aca="false">H1217</f>
        <v>849576</v>
      </c>
      <c r="K1285" s="6" t="s">
        <v>384</v>
      </c>
      <c r="L1285" s="6" t="s">
        <v>15</v>
      </c>
      <c r="M1285" s="6" t="s">
        <v>119</v>
      </c>
      <c r="N1285" s="6" t="s">
        <v>3979</v>
      </c>
      <c r="O1285" s="6" t="s">
        <v>3987</v>
      </c>
      <c r="P1285" s="6" t="s">
        <v>3981</v>
      </c>
    </row>
    <row r="1286" customFormat="false" ht="15" hidden="false" customHeight="false" outlineLevel="0" collapsed="false">
      <c r="A1286" s="6" t="s">
        <v>3988</v>
      </c>
      <c r="B1286" s="6" t="s">
        <v>126</v>
      </c>
      <c r="C1286" s="7" t="n">
        <v>44742</v>
      </c>
      <c r="D1286" s="6" t="s">
        <v>3758</v>
      </c>
      <c r="E1286" s="6" t="s">
        <v>3766</v>
      </c>
      <c r="F1286" s="6" t="s">
        <v>3978</v>
      </c>
      <c r="G1286" s="6"/>
      <c r="H1286" s="14" t="n">
        <f aca="false">H1218</f>
        <v>834620</v>
      </c>
      <c r="K1286" s="6" t="s">
        <v>384</v>
      </c>
      <c r="L1286" s="6" t="s">
        <v>15</v>
      </c>
      <c r="M1286" s="6" t="s">
        <v>124</v>
      </c>
      <c r="N1286" s="6" t="s">
        <v>3979</v>
      </c>
      <c r="O1286" s="6" t="s">
        <v>3989</v>
      </c>
      <c r="P1286" s="6" t="s">
        <v>3981</v>
      </c>
    </row>
    <row r="1287" customFormat="false" ht="15" hidden="false" customHeight="false" outlineLevel="0" collapsed="false">
      <c r="A1287" s="6" t="s">
        <v>3990</v>
      </c>
      <c r="B1287" s="6" t="s">
        <v>131</v>
      </c>
      <c r="C1287" s="7" t="n">
        <v>44834</v>
      </c>
      <c r="D1287" s="6" t="s">
        <v>3758</v>
      </c>
      <c r="E1287" s="6" t="s">
        <v>3766</v>
      </c>
      <c r="F1287" s="6" t="s">
        <v>3978</v>
      </c>
      <c r="G1287" s="6"/>
      <c r="H1287" s="14" t="n">
        <f aca="false">H1219</f>
        <v>852568</v>
      </c>
      <c r="K1287" s="6" t="s">
        <v>384</v>
      </c>
      <c r="L1287" s="6" t="s">
        <v>15</v>
      </c>
      <c r="M1287" s="6" t="s">
        <v>129</v>
      </c>
      <c r="N1287" s="6" t="s">
        <v>3979</v>
      </c>
      <c r="O1287" s="6" t="s">
        <v>3991</v>
      </c>
      <c r="P1287" s="6" t="s">
        <v>3981</v>
      </c>
    </row>
    <row r="1288" customFormat="false" ht="15" hidden="false" customHeight="false" outlineLevel="0" collapsed="false">
      <c r="A1288" s="6" t="s">
        <v>3992</v>
      </c>
      <c r="B1288" s="6" t="s">
        <v>136</v>
      </c>
      <c r="C1288" s="7" t="n">
        <v>44926</v>
      </c>
      <c r="D1288" s="6" t="s">
        <v>3758</v>
      </c>
      <c r="E1288" s="6" t="s">
        <v>3766</v>
      </c>
      <c r="F1288" s="6" t="s">
        <v>3978</v>
      </c>
      <c r="G1288" s="6"/>
      <c r="H1288" s="14" t="n">
        <f aca="false">H1220</f>
        <v>885894</v>
      </c>
      <c r="K1288" s="6" t="s">
        <v>384</v>
      </c>
      <c r="L1288" s="6" t="s">
        <v>15</v>
      </c>
      <c r="M1288" s="6" t="s">
        <v>134</v>
      </c>
      <c r="N1288" s="6" t="s">
        <v>3979</v>
      </c>
      <c r="O1288" s="6" t="s">
        <v>3993</v>
      </c>
      <c r="P1288" s="6" t="s">
        <v>3981</v>
      </c>
    </row>
    <row r="1289" customFormat="false" ht="15" hidden="false" customHeight="false" outlineLevel="0" collapsed="false">
      <c r="A1289" s="6" t="s">
        <v>3994</v>
      </c>
      <c r="B1289" s="6" t="s">
        <v>141</v>
      </c>
      <c r="C1289" s="7" t="n">
        <v>45016</v>
      </c>
      <c r="D1289" s="6" t="s">
        <v>3758</v>
      </c>
      <c r="E1289" s="6" t="s">
        <v>3766</v>
      </c>
      <c r="F1289" s="6" t="s">
        <v>3978</v>
      </c>
      <c r="G1289" s="6"/>
      <c r="H1289" s="14" t="n">
        <f aca="false">H1221</f>
        <v>935565</v>
      </c>
      <c r="K1289" s="6" t="s">
        <v>384</v>
      </c>
      <c r="L1289" s="6" t="s">
        <v>15</v>
      </c>
      <c r="M1289" s="6" t="s">
        <v>139</v>
      </c>
      <c r="N1289" s="6" t="s">
        <v>3979</v>
      </c>
      <c r="O1289" s="6" t="s">
        <v>3995</v>
      </c>
      <c r="P1289" s="6" t="s">
        <v>3981</v>
      </c>
    </row>
    <row r="1290" customFormat="false" ht="15" hidden="false" customHeight="false" outlineLevel="0" collapsed="false">
      <c r="A1290" s="6" t="s">
        <v>3996</v>
      </c>
      <c r="B1290" s="6" t="s">
        <v>146</v>
      </c>
      <c r="C1290" s="7" t="n">
        <v>45107</v>
      </c>
      <c r="D1290" s="6" t="s">
        <v>3758</v>
      </c>
      <c r="E1290" s="6" t="s">
        <v>3766</v>
      </c>
      <c r="F1290" s="6" t="s">
        <v>3978</v>
      </c>
      <c r="G1290" s="6"/>
      <c r="H1290" s="14" t="n">
        <f aca="false">H1222</f>
        <v>989377</v>
      </c>
      <c r="K1290" s="6" t="s">
        <v>384</v>
      </c>
      <c r="L1290" s="6" t="s">
        <v>15</v>
      </c>
      <c r="M1290" s="6" t="s">
        <v>144</v>
      </c>
      <c r="N1290" s="6" t="s">
        <v>3979</v>
      </c>
      <c r="O1290" s="6" t="s">
        <v>3997</v>
      </c>
      <c r="P1290" s="6" t="s">
        <v>3981</v>
      </c>
    </row>
    <row r="1291" customFormat="false" ht="15" hidden="false" customHeight="false" outlineLevel="0" collapsed="false">
      <c r="A1291" s="6" t="s">
        <v>3998</v>
      </c>
      <c r="B1291" s="6" t="s">
        <v>151</v>
      </c>
      <c r="C1291" s="7" t="n">
        <v>45199</v>
      </c>
      <c r="D1291" s="6" t="s">
        <v>3758</v>
      </c>
      <c r="E1291" s="6" t="s">
        <v>3766</v>
      </c>
      <c r="F1291" s="6" t="s">
        <v>3978</v>
      </c>
      <c r="G1291" s="6"/>
      <c r="H1291" s="14" t="n">
        <f aca="false">H1223</f>
        <v>1054270</v>
      </c>
      <c r="K1291" s="6" t="s">
        <v>384</v>
      </c>
      <c r="L1291" s="6" t="s">
        <v>15</v>
      </c>
      <c r="M1291" s="6" t="s">
        <v>149</v>
      </c>
      <c r="N1291" s="6" t="s">
        <v>3979</v>
      </c>
      <c r="O1291" s="6" t="s">
        <v>3999</v>
      </c>
      <c r="P1291" s="6" t="s">
        <v>3981</v>
      </c>
    </row>
    <row r="1292" customFormat="false" ht="15" hidden="false" customHeight="false" outlineLevel="0" collapsed="false">
      <c r="A1292" s="6" t="s">
        <v>4000</v>
      </c>
      <c r="B1292" s="6" t="s">
        <v>156</v>
      </c>
      <c r="C1292" s="7" t="n">
        <v>45291</v>
      </c>
      <c r="D1292" s="6" t="s">
        <v>3758</v>
      </c>
      <c r="E1292" s="6" t="s">
        <v>3766</v>
      </c>
      <c r="F1292" s="6" t="s">
        <v>3978</v>
      </c>
      <c r="G1292" s="6"/>
      <c r="H1292" s="14" t="n">
        <f aca="false">H1224</f>
        <v>1116128</v>
      </c>
      <c r="K1292" s="6" t="s">
        <v>384</v>
      </c>
      <c r="L1292" s="6" t="s">
        <v>15</v>
      </c>
      <c r="M1292" s="6" t="s">
        <v>154</v>
      </c>
      <c r="N1292" s="6" t="s">
        <v>3979</v>
      </c>
      <c r="O1292" s="6" t="s">
        <v>4001</v>
      </c>
      <c r="P1292" s="6" t="s">
        <v>3981</v>
      </c>
    </row>
    <row r="1293" customFormat="false" ht="15" hidden="false" customHeight="false" outlineLevel="0" collapsed="false">
      <c r="A1293" s="6" t="s">
        <v>4002</v>
      </c>
      <c r="B1293" s="6" t="s">
        <v>161</v>
      </c>
      <c r="C1293" s="7" t="n">
        <v>45382</v>
      </c>
      <c r="D1293" s="6" t="s">
        <v>3758</v>
      </c>
      <c r="E1293" s="6" t="s">
        <v>3766</v>
      </c>
      <c r="F1293" s="6" t="s">
        <v>3978</v>
      </c>
      <c r="G1293" s="6"/>
      <c r="H1293" s="14" t="n">
        <f aca="false">H1225</f>
        <v>1224544</v>
      </c>
      <c r="K1293" s="6" t="s">
        <v>384</v>
      </c>
      <c r="L1293" s="6" t="s">
        <v>15</v>
      </c>
      <c r="M1293" s="6" t="s">
        <v>159</v>
      </c>
      <c r="N1293" s="6" t="s">
        <v>3979</v>
      </c>
      <c r="O1293" s="6" t="s">
        <v>4003</v>
      </c>
      <c r="P1293" s="6" t="s">
        <v>3981</v>
      </c>
    </row>
    <row r="1294" customFormat="false" ht="15" hidden="false" customHeight="false" outlineLevel="0" collapsed="false">
      <c r="A1294" s="6" t="s">
        <v>4004</v>
      </c>
      <c r="B1294" s="6" t="s">
        <v>166</v>
      </c>
      <c r="C1294" s="7" t="n">
        <v>45473</v>
      </c>
      <c r="D1294" s="6" t="s">
        <v>3758</v>
      </c>
      <c r="E1294" s="6" t="s">
        <v>3766</v>
      </c>
      <c r="F1294" s="6" t="s">
        <v>3978</v>
      </c>
      <c r="G1294" s="6"/>
      <c r="H1294" s="14" t="n">
        <f aca="false">H1226</f>
        <v>1290242</v>
      </c>
      <c r="K1294" s="6" t="s">
        <v>384</v>
      </c>
      <c r="L1294" s="6" t="s">
        <v>15</v>
      </c>
      <c r="M1294" s="6" t="s">
        <v>164</v>
      </c>
      <c r="N1294" s="6" t="s">
        <v>3979</v>
      </c>
      <c r="O1294" s="6" t="s">
        <v>4005</v>
      </c>
      <c r="P1294" s="6" t="s">
        <v>3981</v>
      </c>
    </row>
    <row r="1295" customFormat="false" ht="15" hidden="false" customHeight="false" outlineLevel="0" collapsed="false">
      <c r="A1295" s="6" t="s">
        <v>4006</v>
      </c>
      <c r="B1295" s="6" t="s">
        <v>171</v>
      </c>
      <c r="C1295" s="7" t="n">
        <v>45565</v>
      </c>
      <c r="D1295" s="6" t="s">
        <v>3758</v>
      </c>
      <c r="E1295" s="6" t="s">
        <v>3766</v>
      </c>
      <c r="F1295" s="6" t="s">
        <v>3978</v>
      </c>
      <c r="G1295" s="6"/>
      <c r="H1295" s="14" t="n">
        <f aca="false">H1227+H1238</f>
        <v>1387822</v>
      </c>
      <c r="K1295" s="6" t="s">
        <v>384</v>
      </c>
      <c r="L1295" s="6" t="s">
        <v>15</v>
      </c>
      <c r="M1295" s="6" t="s">
        <v>169</v>
      </c>
      <c r="N1295" s="6" t="s">
        <v>3979</v>
      </c>
      <c r="O1295" s="6" t="s">
        <v>4007</v>
      </c>
      <c r="P1295" s="6" t="s">
        <v>3981</v>
      </c>
    </row>
    <row r="1296" customFormat="false" ht="15" hidden="false" customHeight="false" outlineLevel="0" collapsed="false">
      <c r="A1296" s="6" t="s">
        <v>4008</v>
      </c>
      <c r="B1296" s="6" t="s">
        <v>176</v>
      </c>
      <c r="C1296" s="7" t="n">
        <v>45657</v>
      </c>
      <c r="D1296" s="6" t="s">
        <v>3758</v>
      </c>
      <c r="E1296" s="6" t="s">
        <v>3766</v>
      </c>
      <c r="F1296" s="6" t="s">
        <v>3978</v>
      </c>
      <c r="G1296" s="6"/>
      <c r="H1296" s="14" t="n">
        <f aca="false">H1228+H1239</f>
        <v>1461606</v>
      </c>
      <c r="K1296" s="6" t="s">
        <v>384</v>
      </c>
      <c r="L1296" s="6" t="s">
        <v>15</v>
      </c>
      <c r="M1296" s="6" t="s">
        <v>174</v>
      </c>
      <c r="N1296" s="6" t="s">
        <v>3979</v>
      </c>
      <c r="O1296" s="6" t="s">
        <v>4009</v>
      </c>
      <c r="P1296" s="6" t="s">
        <v>3981</v>
      </c>
    </row>
    <row r="1297" customFormat="false" ht="15" hidden="false" customHeight="false" outlineLevel="0" collapsed="false">
      <c r="A1297" s="6" t="s">
        <v>4010</v>
      </c>
      <c r="B1297" s="6" t="s">
        <v>181</v>
      </c>
      <c r="C1297" s="7" t="n">
        <v>45747</v>
      </c>
      <c r="D1297" s="6" t="s">
        <v>3758</v>
      </c>
      <c r="E1297" s="6" t="s">
        <v>3766</v>
      </c>
      <c r="F1297" s="6" t="s">
        <v>3978</v>
      </c>
      <c r="G1297" s="6"/>
      <c r="H1297" s="14" t="n">
        <f aca="false">H1229+H1240</f>
        <v>1588335</v>
      </c>
      <c r="K1297" s="6" t="s">
        <v>384</v>
      </c>
      <c r="L1297" s="6" t="s">
        <v>15</v>
      </c>
      <c r="M1297" s="6" t="s">
        <v>179</v>
      </c>
      <c r="N1297" s="6" t="s">
        <v>3979</v>
      </c>
      <c r="O1297" s="6" t="s">
        <v>4011</v>
      </c>
      <c r="P1297" s="6" t="s">
        <v>3981</v>
      </c>
    </row>
    <row r="1298" customFormat="false" ht="15" hidden="false" customHeight="false" outlineLevel="0" collapsed="false">
      <c r="A1298" s="6" t="s">
        <v>4012</v>
      </c>
      <c r="B1298" s="6" t="s">
        <v>186</v>
      </c>
      <c r="C1298" s="7" t="n">
        <v>45838</v>
      </c>
      <c r="D1298" s="6" t="s">
        <v>3758</v>
      </c>
      <c r="E1298" s="6" t="s">
        <v>3766</v>
      </c>
      <c r="F1298" s="6" t="s">
        <v>3978</v>
      </c>
      <c r="G1298" s="6"/>
      <c r="H1298" s="14" t="n">
        <f aca="false">H1230+H1241</f>
        <v>1650617</v>
      </c>
      <c r="K1298" s="6" t="s">
        <v>384</v>
      </c>
      <c r="L1298" s="6" t="s">
        <v>15</v>
      </c>
      <c r="M1298" s="6" t="s">
        <v>184</v>
      </c>
      <c r="N1298" s="6" t="s">
        <v>3979</v>
      </c>
      <c r="O1298" s="6" t="s">
        <v>4013</v>
      </c>
      <c r="P1298" s="6" t="s">
        <v>3981</v>
      </c>
    </row>
    <row r="1299" customFormat="false" ht="15" hidden="false" customHeight="false" outlineLevel="0" collapsed="false">
      <c r="A1299" s="6" t="s">
        <v>4014</v>
      </c>
      <c r="B1299" s="6" t="s">
        <v>191</v>
      </c>
      <c r="C1299" s="7" t="n">
        <v>45930</v>
      </c>
      <c r="D1299" s="6" t="s">
        <v>3758</v>
      </c>
      <c r="E1299" s="6" t="s">
        <v>3766</v>
      </c>
      <c r="F1299" s="6" t="s">
        <v>3978</v>
      </c>
      <c r="G1299" s="6"/>
      <c r="H1299" s="14" t="n">
        <f aca="false">H1231+H1242</f>
        <v>1738986</v>
      </c>
      <c r="K1299" s="6" t="s">
        <v>384</v>
      </c>
      <c r="L1299" s="6" t="s">
        <v>15</v>
      </c>
      <c r="M1299" s="6" t="s">
        <v>189</v>
      </c>
      <c r="N1299" s="6" t="s">
        <v>3979</v>
      </c>
      <c r="O1299" s="6" t="s">
        <v>4015</v>
      </c>
      <c r="P1299" s="6" t="s">
        <v>3981</v>
      </c>
    </row>
    <row r="1300" customFormat="false" ht="15" hidden="false" customHeight="false" outlineLevel="0" collapsed="false">
      <c r="A1300" s="6" t="s">
        <v>4016</v>
      </c>
      <c r="B1300" s="6" t="s">
        <v>196</v>
      </c>
      <c r="C1300" s="7" t="n">
        <v>46022</v>
      </c>
      <c r="D1300" s="6" t="s">
        <v>3758</v>
      </c>
      <c r="E1300" s="6" t="s">
        <v>3766</v>
      </c>
      <c r="F1300" s="6" t="s">
        <v>3978</v>
      </c>
      <c r="G1300" s="6"/>
      <c r="H1300" s="14" t="n">
        <f aca="false">H1232+H1243</f>
        <v>1665457</v>
      </c>
      <c r="K1300" s="6" t="s">
        <v>384</v>
      </c>
      <c r="L1300" s="6" t="s">
        <v>15</v>
      </c>
      <c r="M1300" s="6" t="s">
        <v>194</v>
      </c>
      <c r="N1300" s="6" t="s">
        <v>3979</v>
      </c>
      <c r="O1300" s="6" t="s">
        <v>4017</v>
      </c>
      <c r="P1300" s="6" t="s">
        <v>3981</v>
      </c>
    </row>
    <row r="1301" customFormat="false" ht="15" hidden="false" customHeight="false" outlineLevel="0" collapsed="false">
      <c r="A1301" s="6" t="s">
        <v>4018</v>
      </c>
      <c r="B1301" s="6" t="s">
        <v>201</v>
      </c>
      <c r="C1301" s="7" t="n">
        <v>46112</v>
      </c>
      <c r="D1301" s="6" t="s">
        <v>3758</v>
      </c>
      <c r="E1301" s="6" t="s">
        <v>3766</v>
      </c>
      <c r="F1301" s="6" t="s">
        <v>3978</v>
      </c>
      <c r="G1301" s="6"/>
      <c r="H1301" s="14" t="n">
        <f aca="false">H1233+H1244</f>
        <v>1212276</v>
      </c>
      <c r="K1301" s="6" t="s">
        <v>384</v>
      </c>
      <c r="L1301" s="6" t="s">
        <v>15</v>
      </c>
      <c r="M1301" s="6" t="s">
        <v>199</v>
      </c>
      <c r="N1301" s="6" t="s">
        <v>3979</v>
      </c>
      <c r="O1301" s="6" t="s">
        <v>4019</v>
      </c>
      <c r="P1301" s="6" t="s">
        <v>3981</v>
      </c>
    </row>
    <row r="1302" customFormat="false" ht="15" hidden="false" customHeight="false" outlineLevel="0" collapsed="false">
      <c r="A1302" s="6" t="s">
        <v>4020</v>
      </c>
      <c r="B1302" s="6" t="s">
        <v>206</v>
      </c>
      <c r="C1302" s="7" t="n">
        <v>46203</v>
      </c>
      <c r="D1302" s="6" t="s">
        <v>3758</v>
      </c>
      <c r="E1302" s="6" t="s">
        <v>3766</v>
      </c>
      <c r="F1302" s="6" t="s">
        <v>3978</v>
      </c>
      <c r="G1302" s="6"/>
      <c r="H1302" s="14" t="n">
        <f aca="false">H1234+H1245</f>
        <v>1072755</v>
      </c>
      <c r="K1302" s="6" t="s">
        <v>384</v>
      </c>
      <c r="L1302" s="6" t="s">
        <v>15</v>
      </c>
      <c r="M1302" s="6" t="s">
        <v>204</v>
      </c>
      <c r="N1302" s="6" t="s">
        <v>3979</v>
      </c>
      <c r="O1302" s="6" t="s">
        <v>4021</v>
      </c>
      <c r="P1302" s="6" t="s">
        <v>3981</v>
      </c>
    </row>
    <row r="1303" customFormat="false" ht="15" hidden="false" customHeight="false" outlineLevel="0" collapsed="false">
      <c r="A1303" s="6" t="s">
        <v>4022</v>
      </c>
      <c r="B1303" s="6" t="s">
        <v>116</v>
      </c>
      <c r="C1303" s="7" t="n">
        <v>44561</v>
      </c>
      <c r="D1303" s="6" t="s">
        <v>4023</v>
      </c>
      <c r="E1303" s="6" t="s">
        <v>4024</v>
      </c>
      <c r="F1303" s="6" t="s">
        <v>4025</v>
      </c>
      <c r="G1303" s="6" t="s">
        <v>4026</v>
      </c>
      <c r="I1303" s="10" t="n">
        <v>1.2</v>
      </c>
      <c r="K1303" s="6" t="s">
        <v>742</v>
      </c>
      <c r="L1303" s="6" t="s">
        <v>13</v>
      </c>
      <c r="M1303" s="6" t="s">
        <v>114</v>
      </c>
      <c r="N1303" s="6" t="s">
        <v>4027</v>
      </c>
      <c r="O1303" s="6"/>
      <c r="P1303" s="6" t="s">
        <v>4028</v>
      </c>
    </row>
    <row r="1304" customFormat="false" ht="15" hidden="false" customHeight="false" outlineLevel="0" collapsed="false">
      <c r="A1304" s="6" t="s">
        <v>4029</v>
      </c>
      <c r="B1304" s="6" t="s">
        <v>121</v>
      </c>
      <c r="C1304" s="7" t="n">
        <v>44651</v>
      </c>
      <c r="D1304" s="6" t="s">
        <v>4023</v>
      </c>
      <c r="E1304" s="6" t="s">
        <v>4024</v>
      </c>
      <c r="F1304" s="6" t="s">
        <v>4025</v>
      </c>
      <c r="G1304" s="6" t="s">
        <v>4030</v>
      </c>
      <c r="I1304" s="10" t="n">
        <v>1.25</v>
      </c>
      <c r="K1304" s="6" t="s">
        <v>742</v>
      </c>
      <c r="L1304" s="6" t="s">
        <v>13</v>
      </c>
      <c r="M1304" s="6" t="s">
        <v>119</v>
      </c>
      <c r="N1304" s="6" t="s">
        <v>4031</v>
      </c>
      <c r="O1304" s="6"/>
      <c r="P1304" s="6" t="s">
        <v>4028</v>
      </c>
    </row>
    <row r="1305" customFormat="false" ht="15" hidden="false" customHeight="false" outlineLevel="0" collapsed="false">
      <c r="A1305" s="6" t="s">
        <v>4032</v>
      </c>
      <c r="B1305" s="6" t="s">
        <v>126</v>
      </c>
      <c r="C1305" s="7" t="n">
        <v>44742</v>
      </c>
      <c r="D1305" s="6" t="s">
        <v>4023</v>
      </c>
      <c r="E1305" s="6" t="s">
        <v>4024</v>
      </c>
      <c r="F1305" s="6" t="s">
        <v>4025</v>
      </c>
      <c r="G1305" s="6" t="s">
        <v>4030</v>
      </c>
      <c r="I1305" s="10" t="n">
        <v>1.25</v>
      </c>
      <c r="K1305" s="6" t="s">
        <v>742</v>
      </c>
      <c r="L1305" s="6" t="s">
        <v>13</v>
      </c>
      <c r="M1305" s="6" t="s">
        <v>124</v>
      </c>
      <c r="N1305" s="6" t="s">
        <v>4031</v>
      </c>
      <c r="O1305" s="6"/>
      <c r="P1305" s="6" t="s">
        <v>4028</v>
      </c>
    </row>
    <row r="1306" customFormat="false" ht="15" hidden="false" customHeight="false" outlineLevel="0" collapsed="false">
      <c r="A1306" s="6" t="s">
        <v>4033</v>
      </c>
      <c r="B1306" s="6" t="s">
        <v>131</v>
      </c>
      <c r="C1306" s="7" t="n">
        <v>44834</v>
      </c>
      <c r="D1306" s="6" t="s">
        <v>4023</v>
      </c>
      <c r="E1306" s="6" t="s">
        <v>4024</v>
      </c>
      <c r="F1306" s="6" t="s">
        <v>4025</v>
      </c>
      <c r="G1306" s="6" t="s">
        <v>4026</v>
      </c>
      <c r="I1306" s="10" t="n">
        <v>1.2</v>
      </c>
      <c r="K1306" s="6" t="s">
        <v>742</v>
      </c>
      <c r="L1306" s="6" t="s">
        <v>13</v>
      </c>
      <c r="M1306" s="6" t="s">
        <v>129</v>
      </c>
      <c r="N1306" s="6" t="s">
        <v>4027</v>
      </c>
      <c r="O1306" s="6"/>
      <c r="P1306" s="6" t="s">
        <v>4028</v>
      </c>
    </row>
    <row r="1307" customFormat="false" ht="15" hidden="false" customHeight="false" outlineLevel="0" collapsed="false">
      <c r="A1307" s="6" t="s">
        <v>4034</v>
      </c>
      <c r="B1307" s="6" t="s">
        <v>136</v>
      </c>
      <c r="C1307" s="7" t="n">
        <v>44926</v>
      </c>
      <c r="D1307" s="6" t="s">
        <v>4023</v>
      </c>
      <c r="E1307" s="6" t="s">
        <v>4024</v>
      </c>
      <c r="F1307" s="6" t="s">
        <v>4025</v>
      </c>
      <c r="G1307" s="6" t="s">
        <v>4026</v>
      </c>
      <c r="I1307" s="10" t="n">
        <v>1.2</v>
      </c>
      <c r="K1307" s="6" t="s">
        <v>742</v>
      </c>
      <c r="L1307" s="6" t="s">
        <v>13</v>
      </c>
      <c r="M1307" s="6" t="s">
        <v>134</v>
      </c>
      <c r="N1307" s="6" t="s">
        <v>4027</v>
      </c>
      <c r="O1307" s="6"/>
      <c r="P1307" s="6" t="s">
        <v>4035</v>
      </c>
    </row>
    <row r="1308" customFormat="false" ht="15" hidden="false" customHeight="false" outlineLevel="0" collapsed="false">
      <c r="A1308" s="6" t="s">
        <v>4036</v>
      </c>
      <c r="B1308" s="6" t="s">
        <v>141</v>
      </c>
      <c r="C1308" s="7" t="n">
        <v>45016</v>
      </c>
      <c r="D1308" s="6" t="s">
        <v>4023</v>
      </c>
      <c r="E1308" s="6" t="s">
        <v>4024</v>
      </c>
      <c r="F1308" s="6" t="s">
        <v>4025</v>
      </c>
      <c r="G1308" s="6" t="s">
        <v>4037</v>
      </c>
      <c r="I1308" s="10" t="n">
        <v>1.15</v>
      </c>
      <c r="K1308" s="6" t="s">
        <v>742</v>
      </c>
      <c r="L1308" s="6" t="s">
        <v>13</v>
      </c>
      <c r="M1308" s="6" t="s">
        <v>139</v>
      </c>
      <c r="N1308" s="6" t="s">
        <v>4038</v>
      </c>
      <c r="O1308" s="6"/>
      <c r="P1308" s="6" t="s">
        <v>4028</v>
      </c>
    </row>
    <row r="1309" customFormat="false" ht="15" hidden="false" customHeight="false" outlineLevel="0" collapsed="false">
      <c r="A1309" s="6" t="s">
        <v>4039</v>
      </c>
      <c r="B1309" s="6" t="s">
        <v>146</v>
      </c>
      <c r="C1309" s="7" t="n">
        <v>45107</v>
      </c>
      <c r="D1309" s="6" t="s">
        <v>4023</v>
      </c>
      <c r="E1309" s="6" t="s">
        <v>4024</v>
      </c>
      <c r="F1309" s="6" t="s">
        <v>4025</v>
      </c>
      <c r="G1309" s="6" t="s">
        <v>4040</v>
      </c>
      <c r="I1309" s="10" t="n">
        <v>1.1</v>
      </c>
      <c r="K1309" s="6" t="s">
        <v>742</v>
      </c>
      <c r="L1309" s="6" t="s">
        <v>13</v>
      </c>
      <c r="M1309" s="6" t="s">
        <v>144</v>
      </c>
      <c r="N1309" s="6" t="s">
        <v>4041</v>
      </c>
      <c r="O1309" s="6"/>
      <c r="P1309" s="6" t="s">
        <v>4028</v>
      </c>
    </row>
    <row r="1310" customFormat="false" ht="15" hidden="false" customHeight="false" outlineLevel="0" collapsed="false">
      <c r="A1310" s="6" t="s">
        <v>4042</v>
      </c>
      <c r="B1310" s="6" t="s">
        <v>151</v>
      </c>
      <c r="C1310" s="7" t="n">
        <v>45199</v>
      </c>
      <c r="D1310" s="6" t="s">
        <v>4023</v>
      </c>
      <c r="E1310" s="6" t="s">
        <v>4024</v>
      </c>
      <c r="F1310" s="6" t="s">
        <v>4025</v>
      </c>
      <c r="G1310" s="6" t="s">
        <v>4040</v>
      </c>
      <c r="I1310" s="10" t="n">
        <v>1.1</v>
      </c>
      <c r="K1310" s="6" t="s">
        <v>742</v>
      </c>
      <c r="L1310" s="6" t="s">
        <v>13</v>
      </c>
      <c r="M1310" s="6" t="s">
        <v>149</v>
      </c>
      <c r="N1310" s="6" t="s">
        <v>4041</v>
      </c>
      <c r="O1310" s="6"/>
      <c r="P1310" s="6" t="s">
        <v>4028</v>
      </c>
    </row>
    <row r="1311" customFormat="false" ht="15" hidden="false" customHeight="false" outlineLevel="0" collapsed="false">
      <c r="A1311" s="6" t="s">
        <v>4043</v>
      </c>
      <c r="B1311" s="6" t="s">
        <v>156</v>
      </c>
      <c r="C1311" s="7" t="n">
        <v>45291</v>
      </c>
      <c r="D1311" s="6" t="s">
        <v>4023</v>
      </c>
      <c r="E1311" s="6" t="s">
        <v>4024</v>
      </c>
      <c r="F1311" s="6" t="s">
        <v>4025</v>
      </c>
      <c r="G1311" s="6" t="s">
        <v>4044</v>
      </c>
      <c r="H1311" s="10" t="n">
        <v>1.1</v>
      </c>
      <c r="K1311" s="6" t="s">
        <v>742</v>
      </c>
      <c r="L1311" s="6" t="s">
        <v>13</v>
      </c>
      <c r="M1311" s="6" t="s">
        <v>154</v>
      </c>
      <c r="N1311" s="6" t="s">
        <v>4045</v>
      </c>
      <c r="O1311" s="6"/>
      <c r="P1311" s="6"/>
    </row>
    <row r="1312" customFormat="false" ht="15" hidden="false" customHeight="false" outlineLevel="0" collapsed="false">
      <c r="A1312" s="6" t="s">
        <v>4046</v>
      </c>
      <c r="B1312" s="6" t="s">
        <v>161</v>
      </c>
      <c r="C1312" s="7" t="n">
        <v>45382</v>
      </c>
      <c r="D1312" s="6" t="s">
        <v>4023</v>
      </c>
      <c r="E1312" s="6" t="s">
        <v>4024</v>
      </c>
      <c r="F1312" s="6" t="s">
        <v>4025</v>
      </c>
      <c r="G1312" s="6" t="s">
        <v>4044</v>
      </c>
      <c r="H1312" s="10" t="n">
        <v>1.1</v>
      </c>
      <c r="K1312" s="6" t="s">
        <v>742</v>
      </c>
      <c r="L1312" s="6" t="s">
        <v>13</v>
      </c>
      <c r="M1312" s="6" t="s">
        <v>159</v>
      </c>
      <c r="N1312" s="6" t="s">
        <v>4045</v>
      </c>
      <c r="O1312" s="6"/>
      <c r="P1312" s="6"/>
    </row>
    <row r="1313" customFormat="false" ht="15" hidden="false" customHeight="false" outlineLevel="0" collapsed="false">
      <c r="A1313" s="6" t="s">
        <v>4047</v>
      </c>
      <c r="B1313" s="6" t="s">
        <v>166</v>
      </c>
      <c r="C1313" s="7" t="n">
        <v>45473</v>
      </c>
      <c r="D1313" s="6" t="s">
        <v>4023</v>
      </c>
      <c r="E1313" s="6" t="s">
        <v>4024</v>
      </c>
      <c r="F1313" s="6" t="s">
        <v>4025</v>
      </c>
      <c r="G1313" s="6" t="s">
        <v>4044</v>
      </c>
      <c r="H1313" s="10" t="n">
        <v>1.1</v>
      </c>
      <c r="K1313" s="6" t="s">
        <v>742</v>
      </c>
      <c r="L1313" s="6" t="s">
        <v>13</v>
      </c>
      <c r="M1313" s="6" t="s">
        <v>164</v>
      </c>
      <c r="N1313" s="6" t="s">
        <v>4045</v>
      </c>
      <c r="O1313" s="6"/>
      <c r="P1313" s="6"/>
    </row>
    <row r="1314" customFormat="false" ht="15" hidden="false" customHeight="false" outlineLevel="0" collapsed="false">
      <c r="A1314" s="6" t="s">
        <v>4048</v>
      </c>
      <c r="B1314" s="6" t="s">
        <v>171</v>
      </c>
      <c r="C1314" s="7" t="n">
        <v>45565</v>
      </c>
      <c r="D1314" s="6" t="s">
        <v>4023</v>
      </c>
      <c r="E1314" s="6" t="s">
        <v>4024</v>
      </c>
      <c r="F1314" s="6" t="s">
        <v>4025</v>
      </c>
      <c r="G1314" s="6" t="s">
        <v>4049</v>
      </c>
      <c r="H1314" s="10" t="n">
        <v>1.11</v>
      </c>
      <c r="K1314" s="6" t="s">
        <v>742</v>
      </c>
      <c r="L1314" s="6" t="s">
        <v>13</v>
      </c>
      <c r="M1314" s="6" t="s">
        <v>169</v>
      </c>
      <c r="N1314" s="6" t="s">
        <v>4050</v>
      </c>
      <c r="O1314" s="6"/>
      <c r="P1314" s="6"/>
    </row>
    <row r="1315" customFormat="false" ht="15" hidden="false" customHeight="false" outlineLevel="0" collapsed="false">
      <c r="A1315" s="6" t="s">
        <v>4051</v>
      </c>
      <c r="B1315" s="6" t="s">
        <v>176</v>
      </c>
      <c r="C1315" s="7" t="n">
        <v>45657</v>
      </c>
      <c r="D1315" s="6" t="s">
        <v>4023</v>
      </c>
      <c r="E1315" s="6" t="s">
        <v>4024</v>
      </c>
      <c r="F1315" s="6" t="s">
        <v>4025</v>
      </c>
      <c r="G1315" s="6" t="s">
        <v>4052</v>
      </c>
      <c r="H1315" s="10" t="n">
        <v>1.12</v>
      </c>
      <c r="K1315" s="6" t="s">
        <v>742</v>
      </c>
      <c r="L1315" s="6" t="s">
        <v>13</v>
      </c>
      <c r="M1315" s="6" t="s">
        <v>174</v>
      </c>
      <c r="N1315" s="6" t="s">
        <v>4053</v>
      </c>
      <c r="O1315" s="6"/>
      <c r="P1315" s="6"/>
    </row>
    <row r="1316" customFormat="false" ht="15" hidden="false" customHeight="false" outlineLevel="0" collapsed="false">
      <c r="A1316" s="6" t="s">
        <v>4054</v>
      </c>
      <c r="B1316" s="6" t="s">
        <v>181</v>
      </c>
      <c r="C1316" s="7" t="n">
        <v>45747</v>
      </c>
      <c r="D1316" s="6" t="s">
        <v>4023</v>
      </c>
      <c r="E1316" s="6" t="s">
        <v>4024</v>
      </c>
      <c r="F1316" s="6" t="s">
        <v>4025</v>
      </c>
      <c r="G1316" s="6" t="s">
        <v>4052</v>
      </c>
      <c r="H1316" s="10" t="n">
        <v>1.12</v>
      </c>
      <c r="K1316" s="6" t="s">
        <v>742</v>
      </c>
      <c r="L1316" s="6" t="s">
        <v>13</v>
      </c>
      <c r="M1316" s="6" t="s">
        <v>179</v>
      </c>
      <c r="N1316" s="6" t="s">
        <v>4053</v>
      </c>
      <c r="O1316" s="6"/>
      <c r="P1316" s="6"/>
    </row>
    <row r="1317" customFormat="false" ht="15" hidden="false" customHeight="false" outlineLevel="0" collapsed="false">
      <c r="A1317" s="6" t="s">
        <v>4055</v>
      </c>
      <c r="B1317" s="6" t="s">
        <v>186</v>
      </c>
      <c r="C1317" s="7" t="n">
        <v>45838</v>
      </c>
      <c r="D1317" s="6" t="s">
        <v>4023</v>
      </c>
      <c r="E1317" s="6" t="s">
        <v>4024</v>
      </c>
      <c r="F1317" s="6" t="s">
        <v>4025</v>
      </c>
      <c r="G1317" s="6" t="s">
        <v>4049</v>
      </c>
      <c r="H1317" s="10" t="n">
        <v>1.11</v>
      </c>
      <c r="K1317" s="6" t="s">
        <v>742</v>
      </c>
      <c r="L1317" s="6" t="s">
        <v>13</v>
      </c>
      <c r="M1317" s="6" t="s">
        <v>184</v>
      </c>
      <c r="N1317" s="6" t="s">
        <v>4050</v>
      </c>
      <c r="O1317" s="6"/>
      <c r="P1317" s="6"/>
    </row>
    <row r="1318" customFormat="false" ht="15" hidden="false" customHeight="false" outlineLevel="0" collapsed="false">
      <c r="A1318" s="6" t="s">
        <v>4056</v>
      </c>
      <c r="B1318" s="6" t="s">
        <v>191</v>
      </c>
      <c r="C1318" s="7" t="n">
        <v>45930</v>
      </c>
      <c r="D1318" s="6" t="s">
        <v>4023</v>
      </c>
      <c r="E1318" s="6" t="s">
        <v>4024</v>
      </c>
      <c r="F1318" s="6" t="s">
        <v>4025</v>
      </c>
      <c r="G1318" s="6" t="s">
        <v>4049</v>
      </c>
      <c r="H1318" s="10" t="n">
        <v>1.11</v>
      </c>
      <c r="K1318" s="6" t="s">
        <v>742</v>
      </c>
      <c r="L1318" s="6" t="s">
        <v>13</v>
      </c>
      <c r="M1318" s="6" t="s">
        <v>189</v>
      </c>
      <c r="N1318" s="6" t="s">
        <v>4050</v>
      </c>
      <c r="O1318" s="6"/>
      <c r="P1318" s="6"/>
    </row>
    <row r="1319" customFormat="false" ht="15" hidden="false" customHeight="false" outlineLevel="0" collapsed="false">
      <c r="A1319" s="6" t="s">
        <v>4057</v>
      </c>
      <c r="B1319" s="6" t="s">
        <v>196</v>
      </c>
      <c r="C1319" s="7" t="n">
        <v>46022</v>
      </c>
      <c r="D1319" s="6" t="s">
        <v>4023</v>
      </c>
      <c r="E1319" s="6" t="s">
        <v>4024</v>
      </c>
      <c r="F1319" s="6" t="s">
        <v>4025</v>
      </c>
      <c r="G1319" s="6" t="s">
        <v>4044</v>
      </c>
      <c r="H1319" s="10" t="n">
        <v>1.1</v>
      </c>
      <c r="K1319" s="6" t="s">
        <v>742</v>
      </c>
      <c r="L1319" s="6" t="s">
        <v>13</v>
      </c>
      <c r="M1319" s="6" t="s">
        <v>194</v>
      </c>
      <c r="N1319" s="6" t="s">
        <v>4045</v>
      </c>
      <c r="O1319" s="6"/>
      <c r="P1319" s="6"/>
    </row>
    <row r="1320" customFormat="false" ht="15" hidden="false" customHeight="false" outlineLevel="0" collapsed="false">
      <c r="A1320" s="6" t="s">
        <v>4058</v>
      </c>
      <c r="B1320" s="6" t="s">
        <v>201</v>
      </c>
      <c r="C1320" s="7" t="n">
        <v>46112</v>
      </c>
      <c r="D1320" s="6" t="s">
        <v>4023</v>
      </c>
      <c r="E1320" s="6" t="s">
        <v>4024</v>
      </c>
      <c r="F1320" s="6" t="s">
        <v>4025</v>
      </c>
      <c r="G1320" s="6" t="s">
        <v>4044</v>
      </c>
      <c r="H1320" s="10" t="n">
        <v>1.1</v>
      </c>
      <c r="K1320" s="6" t="s">
        <v>742</v>
      </c>
      <c r="L1320" s="6" t="s">
        <v>13</v>
      </c>
      <c r="M1320" s="6" t="s">
        <v>199</v>
      </c>
      <c r="N1320" s="6" t="s">
        <v>4045</v>
      </c>
      <c r="O1320" s="6"/>
      <c r="P1320" s="6"/>
    </row>
    <row r="1321" customFormat="false" ht="15" hidden="false" customHeight="false" outlineLevel="0" collapsed="false">
      <c r="A1321" s="6" t="s">
        <v>4059</v>
      </c>
      <c r="B1321" s="6" t="s">
        <v>206</v>
      </c>
      <c r="C1321" s="7" t="n">
        <v>46203</v>
      </c>
      <c r="D1321" s="6" t="s">
        <v>4023</v>
      </c>
      <c r="E1321" s="6" t="s">
        <v>4024</v>
      </c>
      <c r="F1321" s="6" t="s">
        <v>4025</v>
      </c>
      <c r="G1321" s="6" t="s">
        <v>4060</v>
      </c>
      <c r="H1321" s="10" t="n">
        <v>1.09</v>
      </c>
      <c r="K1321" s="6" t="s">
        <v>742</v>
      </c>
      <c r="L1321" s="6" t="s">
        <v>13</v>
      </c>
      <c r="M1321" s="6" t="s">
        <v>204</v>
      </c>
      <c r="N1321" s="6" t="s">
        <v>4061</v>
      </c>
      <c r="O1321" s="6"/>
      <c r="P1321" s="6"/>
    </row>
    <row r="1322" customFormat="false" ht="15" hidden="false" customHeight="false" outlineLevel="0" collapsed="false">
      <c r="A1322" s="6" t="s">
        <v>4062</v>
      </c>
      <c r="B1322" s="6" t="s">
        <v>136</v>
      </c>
      <c r="C1322" s="7" t="n">
        <v>44926</v>
      </c>
      <c r="D1322" s="6" t="s">
        <v>4063</v>
      </c>
      <c r="E1322" s="6" t="s">
        <v>4024</v>
      </c>
      <c r="F1322" s="6" t="s">
        <v>4025</v>
      </c>
      <c r="G1322" s="6" t="s">
        <v>4064</v>
      </c>
      <c r="H1322" s="10" t="n">
        <v>1.21</v>
      </c>
      <c r="K1322" s="6" t="s">
        <v>742</v>
      </c>
      <c r="L1322" s="6" t="s">
        <v>13</v>
      </c>
      <c r="M1322" s="6" t="s">
        <v>228</v>
      </c>
      <c r="N1322" s="6" t="s">
        <v>4065</v>
      </c>
      <c r="O1322" s="6"/>
      <c r="P1322" s="6" t="s">
        <v>4066</v>
      </c>
    </row>
    <row r="1323" customFormat="false" ht="15" hidden="false" customHeight="false" outlineLevel="0" collapsed="false">
      <c r="A1323" s="6" t="s">
        <v>4067</v>
      </c>
      <c r="B1323" s="6" t="s">
        <v>156</v>
      </c>
      <c r="C1323" s="7" t="n">
        <v>45291</v>
      </c>
      <c r="D1323" s="6" t="s">
        <v>4023</v>
      </c>
      <c r="E1323" s="6" t="s">
        <v>4024</v>
      </c>
      <c r="F1323" s="6" t="s">
        <v>4068</v>
      </c>
      <c r="G1323" s="6" t="s">
        <v>4069</v>
      </c>
      <c r="H1323" s="10" t="n">
        <v>1.14</v>
      </c>
      <c r="K1323" s="6" t="s">
        <v>742</v>
      </c>
      <c r="L1323" s="6" t="s">
        <v>13</v>
      </c>
      <c r="M1323" s="6" t="s">
        <v>154</v>
      </c>
      <c r="N1323" s="6" t="s">
        <v>4070</v>
      </c>
      <c r="O1323" s="6"/>
      <c r="P1323" s="6"/>
    </row>
    <row r="1324" customFormat="false" ht="15" hidden="false" customHeight="false" outlineLevel="0" collapsed="false">
      <c r="A1324" s="6" t="s">
        <v>4071</v>
      </c>
      <c r="B1324" s="6" t="s">
        <v>161</v>
      </c>
      <c r="C1324" s="7" t="n">
        <v>45382</v>
      </c>
      <c r="D1324" s="6" t="s">
        <v>4023</v>
      </c>
      <c r="E1324" s="6" t="s">
        <v>4024</v>
      </c>
      <c r="F1324" s="6" t="s">
        <v>4068</v>
      </c>
      <c r="G1324" s="6" t="s">
        <v>4072</v>
      </c>
      <c r="H1324" s="10" t="n">
        <v>1.13</v>
      </c>
      <c r="K1324" s="6" t="s">
        <v>742</v>
      </c>
      <c r="L1324" s="6" t="s">
        <v>13</v>
      </c>
      <c r="M1324" s="6" t="s">
        <v>159</v>
      </c>
      <c r="N1324" s="6" t="s">
        <v>4073</v>
      </c>
      <c r="O1324" s="6"/>
      <c r="P1324" s="6"/>
    </row>
    <row r="1325" customFormat="false" ht="15" hidden="false" customHeight="false" outlineLevel="0" collapsed="false">
      <c r="A1325" s="6" t="s">
        <v>4074</v>
      </c>
      <c r="B1325" s="6" t="s">
        <v>166</v>
      </c>
      <c r="C1325" s="7" t="n">
        <v>45473</v>
      </c>
      <c r="D1325" s="6" t="s">
        <v>4023</v>
      </c>
      <c r="E1325" s="6" t="s">
        <v>4024</v>
      </c>
      <c r="F1325" s="6" t="s">
        <v>4068</v>
      </c>
      <c r="G1325" s="6" t="s">
        <v>4069</v>
      </c>
      <c r="H1325" s="10" t="n">
        <v>1.14</v>
      </c>
      <c r="K1325" s="6" t="s">
        <v>742</v>
      </c>
      <c r="L1325" s="6" t="s">
        <v>13</v>
      </c>
      <c r="M1325" s="6" t="s">
        <v>164</v>
      </c>
      <c r="N1325" s="6" t="s">
        <v>4070</v>
      </c>
      <c r="O1325" s="6"/>
      <c r="P1325" s="6"/>
    </row>
    <row r="1326" customFormat="false" ht="15" hidden="false" customHeight="false" outlineLevel="0" collapsed="false">
      <c r="A1326" s="6" t="s">
        <v>4075</v>
      </c>
      <c r="B1326" s="6" t="s">
        <v>171</v>
      </c>
      <c r="C1326" s="7" t="n">
        <v>45565</v>
      </c>
      <c r="D1326" s="6" t="s">
        <v>4023</v>
      </c>
      <c r="E1326" s="6" t="s">
        <v>4024</v>
      </c>
      <c r="F1326" s="6" t="s">
        <v>4068</v>
      </c>
      <c r="G1326" s="6" t="s">
        <v>4076</v>
      </c>
      <c r="H1326" s="10" t="n">
        <v>1.15</v>
      </c>
      <c r="K1326" s="6" t="s">
        <v>742</v>
      </c>
      <c r="L1326" s="6" t="s">
        <v>13</v>
      </c>
      <c r="M1326" s="6" t="s">
        <v>169</v>
      </c>
      <c r="N1326" s="6" t="s">
        <v>4077</v>
      </c>
      <c r="O1326" s="6"/>
      <c r="P1326" s="6"/>
    </row>
    <row r="1327" customFormat="false" ht="15" hidden="false" customHeight="false" outlineLevel="0" collapsed="false">
      <c r="A1327" s="6" t="s">
        <v>4078</v>
      </c>
      <c r="B1327" s="6" t="s">
        <v>176</v>
      </c>
      <c r="C1327" s="7" t="n">
        <v>45657</v>
      </c>
      <c r="D1327" s="6" t="s">
        <v>4023</v>
      </c>
      <c r="E1327" s="6" t="s">
        <v>4024</v>
      </c>
      <c r="F1327" s="6" t="s">
        <v>4068</v>
      </c>
      <c r="G1327" s="6" t="s">
        <v>4079</v>
      </c>
      <c r="H1327" s="10" t="n">
        <v>1.16</v>
      </c>
      <c r="K1327" s="6" t="s">
        <v>742</v>
      </c>
      <c r="L1327" s="6" t="s">
        <v>13</v>
      </c>
      <c r="M1327" s="6" t="s">
        <v>174</v>
      </c>
      <c r="N1327" s="6" t="s">
        <v>4080</v>
      </c>
      <c r="O1327" s="6"/>
      <c r="P1327" s="6"/>
    </row>
    <row r="1328" customFormat="false" ht="15" hidden="false" customHeight="false" outlineLevel="0" collapsed="false">
      <c r="A1328" s="6" t="s">
        <v>4081</v>
      </c>
      <c r="B1328" s="6" t="s">
        <v>181</v>
      </c>
      <c r="C1328" s="7" t="n">
        <v>45747</v>
      </c>
      <c r="D1328" s="6" t="s">
        <v>4023</v>
      </c>
      <c r="E1328" s="6" t="s">
        <v>4024</v>
      </c>
      <c r="F1328" s="6" t="s">
        <v>4068</v>
      </c>
      <c r="G1328" s="6" t="s">
        <v>4082</v>
      </c>
      <c r="H1328" s="10" t="n">
        <v>1.17</v>
      </c>
      <c r="K1328" s="6" t="s">
        <v>742</v>
      </c>
      <c r="L1328" s="6" t="s">
        <v>13</v>
      </c>
      <c r="M1328" s="6" t="s">
        <v>179</v>
      </c>
      <c r="N1328" s="6" t="s">
        <v>4083</v>
      </c>
      <c r="O1328" s="6"/>
      <c r="P1328" s="6"/>
    </row>
    <row r="1329" customFormat="false" ht="15" hidden="false" customHeight="false" outlineLevel="0" collapsed="false">
      <c r="A1329" s="6" t="s">
        <v>4084</v>
      </c>
      <c r="B1329" s="6" t="s">
        <v>186</v>
      </c>
      <c r="C1329" s="7" t="n">
        <v>45838</v>
      </c>
      <c r="D1329" s="6" t="s">
        <v>4023</v>
      </c>
      <c r="E1329" s="6" t="s">
        <v>4024</v>
      </c>
      <c r="F1329" s="6" t="s">
        <v>4068</v>
      </c>
      <c r="G1329" s="6" t="s">
        <v>4082</v>
      </c>
      <c r="H1329" s="10" t="n">
        <v>1.17</v>
      </c>
      <c r="K1329" s="6" t="s">
        <v>742</v>
      </c>
      <c r="L1329" s="6" t="s">
        <v>13</v>
      </c>
      <c r="M1329" s="6" t="s">
        <v>184</v>
      </c>
      <c r="N1329" s="6" t="s">
        <v>4083</v>
      </c>
      <c r="O1329" s="6"/>
      <c r="P1329" s="6"/>
    </row>
    <row r="1330" customFormat="false" ht="15" hidden="false" customHeight="false" outlineLevel="0" collapsed="false">
      <c r="A1330" s="6" t="s">
        <v>4085</v>
      </c>
      <c r="B1330" s="6" t="s">
        <v>191</v>
      </c>
      <c r="C1330" s="7" t="n">
        <v>45930</v>
      </c>
      <c r="D1330" s="6" t="s">
        <v>4023</v>
      </c>
      <c r="E1330" s="6" t="s">
        <v>4024</v>
      </c>
      <c r="F1330" s="6" t="s">
        <v>4068</v>
      </c>
      <c r="G1330" s="6" t="s">
        <v>4082</v>
      </c>
      <c r="H1330" s="10" t="n">
        <v>1.17</v>
      </c>
      <c r="K1330" s="6" t="s">
        <v>742</v>
      </c>
      <c r="L1330" s="6" t="s">
        <v>13</v>
      </c>
      <c r="M1330" s="6" t="s">
        <v>189</v>
      </c>
      <c r="N1330" s="6" t="s">
        <v>4083</v>
      </c>
      <c r="O1330" s="6"/>
      <c r="P1330" s="6"/>
    </row>
    <row r="1331" customFormat="false" ht="15" hidden="false" customHeight="false" outlineLevel="0" collapsed="false">
      <c r="A1331" s="6" t="s">
        <v>4086</v>
      </c>
      <c r="B1331" s="6" t="s">
        <v>196</v>
      </c>
      <c r="C1331" s="7" t="n">
        <v>46022</v>
      </c>
      <c r="D1331" s="6" t="s">
        <v>4023</v>
      </c>
      <c r="E1331" s="6" t="s">
        <v>4024</v>
      </c>
      <c r="F1331" s="6" t="s">
        <v>4068</v>
      </c>
      <c r="G1331" s="6" t="s">
        <v>4079</v>
      </c>
      <c r="H1331" s="10" t="n">
        <v>1.16</v>
      </c>
      <c r="K1331" s="6" t="s">
        <v>742</v>
      </c>
      <c r="L1331" s="6" t="s">
        <v>13</v>
      </c>
      <c r="M1331" s="6" t="s">
        <v>194</v>
      </c>
      <c r="N1331" s="6" t="s">
        <v>4080</v>
      </c>
      <c r="O1331" s="6"/>
      <c r="P1331" s="6"/>
    </row>
    <row r="1332" customFormat="false" ht="15" hidden="false" customHeight="false" outlineLevel="0" collapsed="false">
      <c r="A1332" s="6" t="s">
        <v>4087</v>
      </c>
      <c r="B1332" s="6" t="s">
        <v>201</v>
      </c>
      <c r="C1332" s="7" t="n">
        <v>46112</v>
      </c>
      <c r="D1332" s="6" t="s">
        <v>4023</v>
      </c>
      <c r="E1332" s="6" t="s">
        <v>4024</v>
      </c>
      <c r="F1332" s="6" t="s">
        <v>4068</v>
      </c>
      <c r="G1332" s="6" t="s">
        <v>4076</v>
      </c>
      <c r="H1332" s="10" t="n">
        <v>1.15</v>
      </c>
      <c r="K1332" s="6" t="s">
        <v>742</v>
      </c>
      <c r="L1332" s="6" t="s">
        <v>13</v>
      </c>
      <c r="M1332" s="6" t="s">
        <v>199</v>
      </c>
      <c r="N1332" s="6" t="s">
        <v>4077</v>
      </c>
      <c r="O1332" s="6"/>
      <c r="P1332" s="6"/>
    </row>
    <row r="1333" customFormat="false" ht="15" hidden="false" customHeight="false" outlineLevel="0" collapsed="false">
      <c r="A1333" s="6" t="s">
        <v>4088</v>
      </c>
      <c r="B1333" s="6" t="s">
        <v>206</v>
      </c>
      <c r="C1333" s="7" t="n">
        <v>46203</v>
      </c>
      <c r="D1333" s="6" t="s">
        <v>4023</v>
      </c>
      <c r="E1333" s="6" t="s">
        <v>4024</v>
      </c>
      <c r="F1333" s="6" t="s">
        <v>4068</v>
      </c>
      <c r="G1333" s="6" t="s">
        <v>4076</v>
      </c>
      <c r="H1333" s="10" t="n">
        <v>1.15</v>
      </c>
      <c r="K1333" s="6" t="s">
        <v>742</v>
      </c>
      <c r="L1333" s="6" t="s">
        <v>13</v>
      </c>
      <c r="M1333" s="6" t="s">
        <v>204</v>
      </c>
      <c r="N1333" s="6" t="s">
        <v>4077</v>
      </c>
      <c r="O1333" s="6"/>
      <c r="P1333" s="6"/>
    </row>
    <row r="1334" customFormat="false" ht="15" hidden="false" customHeight="false" outlineLevel="0" collapsed="false">
      <c r="A1334" s="6" t="s">
        <v>4089</v>
      </c>
      <c r="B1334" s="6" t="s">
        <v>136</v>
      </c>
      <c r="C1334" s="7" t="n">
        <v>44926</v>
      </c>
      <c r="D1334" s="6" t="s">
        <v>4063</v>
      </c>
      <c r="E1334" s="6" t="s">
        <v>4024</v>
      </c>
      <c r="F1334" s="6" t="s">
        <v>4068</v>
      </c>
      <c r="G1334" s="6" t="s">
        <v>4090</v>
      </c>
      <c r="H1334" s="10" t="n">
        <v>1.35</v>
      </c>
      <c r="K1334" s="6" t="s">
        <v>742</v>
      </c>
      <c r="L1334" s="6" t="s">
        <v>13</v>
      </c>
      <c r="M1334" s="6" t="s">
        <v>228</v>
      </c>
      <c r="N1334" s="6" t="s">
        <v>4065</v>
      </c>
      <c r="O1334" s="6"/>
      <c r="P1334" s="6" t="s">
        <v>4091</v>
      </c>
    </row>
    <row r="1335" customFormat="false" ht="15" hidden="false" customHeight="false" outlineLevel="0" collapsed="false">
      <c r="A1335" s="6" t="s">
        <v>4092</v>
      </c>
      <c r="B1335" s="6" t="s">
        <v>121</v>
      </c>
      <c r="C1335" s="7" t="n">
        <v>44651</v>
      </c>
      <c r="D1335" s="6" t="s">
        <v>4023</v>
      </c>
      <c r="E1335" s="6" t="s">
        <v>4024</v>
      </c>
      <c r="F1335" s="6" t="s">
        <v>4093</v>
      </c>
      <c r="G1335" s="6" t="s">
        <v>4094</v>
      </c>
      <c r="I1335" s="10" t="n">
        <v>1.5</v>
      </c>
      <c r="K1335" s="6" t="s">
        <v>742</v>
      </c>
      <c r="L1335" s="6" t="s">
        <v>13</v>
      </c>
      <c r="M1335" s="6" t="s">
        <v>119</v>
      </c>
      <c r="N1335" s="6" t="s">
        <v>4095</v>
      </c>
      <c r="O1335" s="6"/>
      <c r="P1335" s="6" t="s">
        <v>4028</v>
      </c>
    </row>
    <row r="1336" customFormat="false" ht="15" hidden="false" customHeight="false" outlineLevel="0" collapsed="false">
      <c r="A1336" s="6" t="s">
        <v>4096</v>
      </c>
      <c r="B1336" s="6" t="s">
        <v>126</v>
      </c>
      <c r="C1336" s="7" t="n">
        <v>44742</v>
      </c>
      <c r="D1336" s="6" t="s">
        <v>4023</v>
      </c>
      <c r="E1336" s="6" t="s">
        <v>4024</v>
      </c>
      <c r="F1336" s="6" t="s">
        <v>4093</v>
      </c>
      <c r="G1336" s="6" t="s">
        <v>4094</v>
      </c>
      <c r="I1336" s="10" t="n">
        <v>1.5</v>
      </c>
      <c r="K1336" s="6" t="s">
        <v>742</v>
      </c>
      <c r="L1336" s="6" t="s">
        <v>13</v>
      </c>
      <c r="M1336" s="6" t="s">
        <v>124</v>
      </c>
      <c r="N1336" s="6" t="s">
        <v>4095</v>
      </c>
      <c r="O1336" s="6"/>
      <c r="P1336" s="6" t="s">
        <v>4028</v>
      </c>
    </row>
    <row r="1337" customFormat="false" ht="15" hidden="false" customHeight="false" outlineLevel="0" collapsed="false">
      <c r="A1337" s="6" t="s">
        <v>4097</v>
      </c>
      <c r="B1337" s="6" t="s">
        <v>131</v>
      </c>
      <c r="C1337" s="7" t="n">
        <v>44834</v>
      </c>
      <c r="D1337" s="6" t="s">
        <v>4023</v>
      </c>
      <c r="E1337" s="6" t="s">
        <v>4024</v>
      </c>
      <c r="F1337" s="6" t="s">
        <v>4093</v>
      </c>
      <c r="G1337" s="6" t="s">
        <v>4098</v>
      </c>
      <c r="I1337" s="10" t="n">
        <v>1.45</v>
      </c>
      <c r="K1337" s="6" t="s">
        <v>742</v>
      </c>
      <c r="L1337" s="6" t="s">
        <v>13</v>
      </c>
      <c r="M1337" s="6" t="s">
        <v>129</v>
      </c>
      <c r="N1337" s="6" t="s">
        <v>4099</v>
      </c>
      <c r="O1337" s="6"/>
      <c r="P1337" s="6" t="s">
        <v>4028</v>
      </c>
    </row>
    <row r="1338" customFormat="false" ht="15" hidden="false" customHeight="false" outlineLevel="0" collapsed="false">
      <c r="A1338" s="6" t="s">
        <v>4100</v>
      </c>
      <c r="B1338" s="6" t="s">
        <v>136</v>
      </c>
      <c r="C1338" s="7" t="n">
        <v>44926</v>
      </c>
      <c r="D1338" s="6" t="s">
        <v>4023</v>
      </c>
      <c r="E1338" s="6" t="s">
        <v>4024</v>
      </c>
      <c r="F1338" s="6" t="s">
        <v>4093</v>
      </c>
      <c r="G1338" s="6" t="s">
        <v>4101</v>
      </c>
      <c r="I1338" s="10" t="n">
        <v>1.35</v>
      </c>
      <c r="K1338" s="6" t="s">
        <v>742</v>
      </c>
      <c r="L1338" s="6" t="s">
        <v>13</v>
      </c>
      <c r="M1338" s="6" t="s">
        <v>134</v>
      </c>
      <c r="N1338" s="6" t="s">
        <v>4102</v>
      </c>
      <c r="O1338" s="6"/>
      <c r="P1338" s="6" t="s">
        <v>4035</v>
      </c>
    </row>
    <row r="1339" customFormat="false" ht="15" hidden="false" customHeight="false" outlineLevel="0" collapsed="false">
      <c r="A1339" s="6" t="s">
        <v>4103</v>
      </c>
      <c r="B1339" s="6" t="s">
        <v>141</v>
      </c>
      <c r="C1339" s="7" t="n">
        <v>45016</v>
      </c>
      <c r="D1339" s="6" t="s">
        <v>4023</v>
      </c>
      <c r="E1339" s="6" t="s">
        <v>4024</v>
      </c>
      <c r="F1339" s="6" t="s">
        <v>4093</v>
      </c>
      <c r="G1339" s="6" t="s">
        <v>4030</v>
      </c>
      <c r="I1339" s="10" t="n">
        <v>1.25</v>
      </c>
      <c r="K1339" s="6" t="s">
        <v>742</v>
      </c>
      <c r="L1339" s="6" t="s">
        <v>13</v>
      </c>
      <c r="M1339" s="6" t="s">
        <v>139</v>
      </c>
      <c r="N1339" s="6" t="s">
        <v>4104</v>
      </c>
      <c r="O1339" s="6"/>
      <c r="P1339" s="6" t="s">
        <v>4028</v>
      </c>
    </row>
    <row r="1340" customFormat="false" ht="15" hidden="false" customHeight="false" outlineLevel="0" collapsed="false">
      <c r="A1340" s="6" t="s">
        <v>4105</v>
      </c>
      <c r="B1340" s="6" t="s">
        <v>146</v>
      </c>
      <c r="C1340" s="7" t="n">
        <v>45107</v>
      </c>
      <c r="D1340" s="6" t="s">
        <v>4023</v>
      </c>
      <c r="E1340" s="6" t="s">
        <v>4024</v>
      </c>
      <c r="F1340" s="6" t="s">
        <v>4093</v>
      </c>
      <c r="G1340" s="6" t="s">
        <v>4026</v>
      </c>
      <c r="I1340" s="10" t="n">
        <v>1.2</v>
      </c>
      <c r="K1340" s="6" t="s">
        <v>742</v>
      </c>
      <c r="L1340" s="6" t="s">
        <v>13</v>
      </c>
      <c r="M1340" s="6" t="s">
        <v>144</v>
      </c>
      <c r="N1340" s="6" t="s">
        <v>4106</v>
      </c>
      <c r="O1340" s="6"/>
      <c r="P1340" s="6" t="s">
        <v>4028</v>
      </c>
    </row>
    <row r="1341" customFormat="false" ht="15" hidden="false" customHeight="false" outlineLevel="0" collapsed="false">
      <c r="A1341" s="6" t="s">
        <v>4107</v>
      </c>
      <c r="B1341" s="6" t="s">
        <v>151</v>
      </c>
      <c r="C1341" s="7" t="n">
        <v>45199</v>
      </c>
      <c r="D1341" s="6" t="s">
        <v>4023</v>
      </c>
      <c r="E1341" s="6" t="s">
        <v>4024</v>
      </c>
      <c r="F1341" s="6" t="s">
        <v>4093</v>
      </c>
      <c r="G1341" s="6" t="s">
        <v>4037</v>
      </c>
      <c r="I1341" s="10" t="n">
        <v>1.15</v>
      </c>
      <c r="K1341" s="6" t="s">
        <v>742</v>
      </c>
      <c r="L1341" s="6" t="s">
        <v>13</v>
      </c>
      <c r="M1341" s="6" t="s">
        <v>149</v>
      </c>
      <c r="N1341" s="6" t="s">
        <v>4108</v>
      </c>
      <c r="O1341" s="6"/>
      <c r="P1341" s="6" t="s">
        <v>4028</v>
      </c>
    </row>
    <row r="1342" customFormat="false" ht="15" hidden="false" customHeight="false" outlineLevel="0" collapsed="false">
      <c r="A1342" s="6" t="s">
        <v>4109</v>
      </c>
      <c r="B1342" s="6" t="s">
        <v>156</v>
      </c>
      <c r="C1342" s="7" t="n">
        <v>45291</v>
      </c>
      <c r="D1342" s="6" t="s">
        <v>4023</v>
      </c>
      <c r="E1342" s="6" t="s">
        <v>4024</v>
      </c>
      <c r="F1342" s="6" t="s">
        <v>4093</v>
      </c>
      <c r="G1342" s="6" t="s">
        <v>4076</v>
      </c>
      <c r="H1342" s="10" t="n">
        <v>1.15</v>
      </c>
      <c r="K1342" s="6" t="s">
        <v>742</v>
      </c>
      <c r="L1342" s="6" t="s">
        <v>13</v>
      </c>
      <c r="M1342" s="6" t="s">
        <v>154</v>
      </c>
      <c r="N1342" s="6" t="s">
        <v>4110</v>
      </c>
      <c r="O1342" s="6"/>
      <c r="P1342" s="6"/>
    </row>
    <row r="1343" customFormat="false" ht="15" hidden="false" customHeight="false" outlineLevel="0" collapsed="false">
      <c r="A1343" s="6" t="s">
        <v>4111</v>
      </c>
      <c r="B1343" s="6" t="s">
        <v>161</v>
      </c>
      <c r="C1343" s="7" t="n">
        <v>45382</v>
      </c>
      <c r="D1343" s="6" t="s">
        <v>4023</v>
      </c>
      <c r="E1343" s="6" t="s">
        <v>4024</v>
      </c>
      <c r="F1343" s="6" t="s">
        <v>4093</v>
      </c>
      <c r="G1343" s="6" t="s">
        <v>4069</v>
      </c>
      <c r="H1343" s="10" t="n">
        <v>1.14</v>
      </c>
      <c r="K1343" s="6" t="s">
        <v>742</v>
      </c>
      <c r="L1343" s="6" t="s">
        <v>13</v>
      </c>
      <c r="M1343" s="6" t="s">
        <v>159</v>
      </c>
      <c r="N1343" s="6" t="s">
        <v>4112</v>
      </c>
      <c r="O1343" s="6"/>
      <c r="P1343" s="6"/>
    </row>
    <row r="1344" customFormat="false" ht="15" hidden="false" customHeight="false" outlineLevel="0" collapsed="false">
      <c r="A1344" s="6" t="s">
        <v>4113</v>
      </c>
      <c r="B1344" s="6" t="s">
        <v>166</v>
      </c>
      <c r="C1344" s="7" t="n">
        <v>45473</v>
      </c>
      <c r="D1344" s="6" t="s">
        <v>4023</v>
      </c>
      <c r="E1344" s="6" t="s">
        <v>4024</v>
      </c>
      <c r="F1344" s="6" t="s">
        <v>4093</v>
      </c>
      <c r="G1344" s="6" t="s">
        <v>4069</v>
      </c>
      <c r="H1344" s="10" t="n">
        <v>1.14</v>
      </c>
      <c r="K1344" s="6" t="s">
        <v>742</v>
      </c>
      <c r="L1344" s="6" t="s">
        <v>13</v>
      </c>
      <c r="M1344" s="6" t="s">
        <v>164</v>
      </c>
      <c r="N1344" s="6" t="s">
        <v>4112</v>
      </c>
      <c r="O1344" s="6"/>
      <c r="P1344" s="6"/>
    </row>
    <row r="1345" customFormat="false" ht="15" hidden="false" customHeight="false" outlineLevel="0" collapsed="false">
      <c r="A1345" s="6" t="s">
        <v>4114</v>
      </c>
      <c r="B1345" s="6" t="s">
        <v>171</v>
      </c>
      <c r="C1345" s="7" t="n">
        <v>45565</v>
      </c>
      <c r="D1345" s="6" t="s">
        <v>4023</v>
      </c>
      <c r="E1345" s="6" t="s">
        <v>4024</v>
      </c>
      <c r="F1345" s="6" t="s">
        <v>4093</v>
      </c>
      <c r="G1345" s="6" t="s">
        <v>4076</v>
      </c>
      <c r="H1345" s="10" t="n">
        <v>1.15</v>
      </c>
      <c r="K1345" s="6" t="s">
        <v>742</v>
      </c>
      <c r="L1345" s="6" t="s">
        <v>13</v>
      </c>
      <c r="M1345" s="6" t="s">
        <v>169</v>
      </c>
      <c r="N1345" s="6" t="s">
        <v>4115</v>
      </c>
      <c r="O1345" s="6"/>
      <c r="P1345" s="6"/>
    </row>
    <row r="1346" customFormat="false" ht="15" hidden="false" customHeight="false" outlineLevel="0" collapsed="false">
      <c r="A1346" s="6" t="s">
        <v>4116</v>
      </c>
      <c r="B1346" s="6" t="s">
        <v>176</v>
      </c>
      <c r="C1346" s="7" t="n">
        <v>45657</v>
      </c>
      <c r="D1346" s="6" t="s">
        <v>4023</v>
      </c>
      <c r="E1346" s="6" t="s">
        <v>4024</v>
      </c>
      <c r="F1346" s="6" t="s">
        <v>4093</v>
      </c>
      <c r="G1346" s="6" t="s">
        <v>4076</v>
      </c>
      <c r="H1346" s="10" t="n">
        <v>1.15</v>
      </c>
      <c r="K1346" s="6" t="s">
        <v>742</v>
      </c>
      <c r="L1346" s="6" t="s">
        <v>13</v>
      </c>
      <c r="M1346" s="6" t="s">
        <v>174</v>
      </c>
      <c r="N1346" s="6" t="s">
        <v>4115</v>
      </c>
      <c r="O1346" s="6"/>
      <c r="P1346" s="6"/>
    </row>
    <row r="1347" customFormat="false" ht="15" hidden="false" customHeight="false" outlineLevel="0" collapsed="false">
      <c r="A1347" s="6" t="s">
        <v>4117</v>
      </c>
      <c r="B1347" s="6" t="s">
        <v>181</v>
      </c>
      <c r="C1347" s="7" t="n">
        <v>45747</v>
      </c>
      <c r="D1347" s="6" t="s">
        <v>4023</v>
      </c>
      <c r="E1347" s="6" t="s">
        <v>4024</v>
      </c>
      <c r="F1347" s="6" t="s">
        <v>4093</v>
      </c>
      <c r="G1347" s="6" t="s">
        <v>4079</v>
      </c>
      <c r="H1347" s="10" t="n">
        <v>1.16</v>
      </c>
      <c r="K1347" s="6" t="s">
        <v>742</v>
      </c>
      <c r="L1347" s="6" t="s">
        <v>13</v>
      </c>
      <c r="M1347" s="6" t="s">
        <v>179</v>
      </c>
      <c r="N1347" s="6" t="s">
        <v>4118</v>
      </c>
      <c r="O1347" s="6"/>
      <c r="P1347" s="6"/>
    </row>
    <row r="1348" customFormat="false" ht="15" hidden="false" customHeight="false" outlineLevel="0" collapsed="false">
      <c r="A1348" s="6" t="s">
        <v>4119</v>
      </c>
      <c r="B1348" s="6" t="s">
        <v>186</v>
      </c>
      <c r="C1348" s="7" t="n">
        <v>45838</v>
      </c>
      <c r="D1348" s="6" t="s">
        <v>4023</v>
      </c>
      <c r="E1348" s="6" t="s">
        <v>4024</v>
      </c>
      <c r="F1348" s="6" t="s">
        <v>4093</v>
      </c>
      <c r="G1348" s="6" t="s">
        <v>4079</v>
      </c>
      <c r="H1348" s="10" t="n">
        <v>1.16</v>
      </c>
      <c r="K1348" s="6" t="s">
        <v>742</v>
      </c>
      <c r="L1348" s="6" t="s">
        <v>13</v>
      </c>
      <c r="M1348" s="6" t="s">
        <v>184</v>
      </c>
      <c r="N1348" s="6" t="s">
        <v>4118</v>
      </c>
      <c r="O1348" s="6"/>
      <c r="P1348" s="6"/>
    </row>
    <row r="1349" customFormat="false" ht="15" hidden="false" customHeight="false" outlineLevel="0" collapsed="false">
      <c r="A1349" s="6" t="s">
        <v>4120</v>
      </c>
      <c r="B1349" s="6" t="s">
        <v>191</v>
      </c>
      <c r="C1349" s="7" t="n">
        <v>45930</v>
      </c>
      <c r="D1349" s="6" t="s">
        <v>4023</v>
      </c>
      <c r="E1349" s="6" t="s">
        <v>4024</v>
      </c>
      <c r="F1349" s="6" t="s">
        <v>4093</v>
      </c>
      <c r="G1349" s="6" t="s">
        <v>4082</v>
      </c>
      <c r="H1349" s="10" t="n">
        <v>1.17</v>
      </c>
      <c r="K1349" s="6" t="s">
        <v>742</v>
      </c>
      <c r="L1349" s="6" t="s">
        <v>13</v>
      </c>
      <c r="M1349" s="6" t="s">
        <v>189</v>
      </c>
      <c r="N1349" s="6" t="s">
        <v>4121</v>
      </c>
      <c r="O1349" s="6"/>
      <c r="P1349" s="6"/>
    </row>
    <row r="1350" customFormat="false" ht="15" hidden="false" customHeight="false" outlineLevel="0" collapsed="false">
      <c r="A1350" s="6" t="s">
        <v>4122</v>
      </c>
      <c r="B1350" s="6" t="s">
        <v>196</v>
      </c>
      <c r="C1350" s="7" t="n">
        <v>46022</v>
      </c>
      <c r="D1350" s="6" t="s">
        <v>4023</v>
      </c>
      <c r="E1350" s="6" t="s">
        <v>4024</v>
      </c>
      <c r="F1350" s="6" t="s">
        <v>4093</v>
      </c>
      <c r="G1350" s="6" t="s">
        <v>4079</v>
      </c>
      <c r="H1350" s="10" t="n">
        <v>1.16</v>
      </c>
      <c r="K1350" s="6" t="s">
        <v>742</v>
      </c>
      <c r="L1350" s="6" t="s">
        <v>13</v>
      </c>
      <c r="M1350" s="6" t="s">
        <v>194</v>
      </c>
      <c r="N1350" s="6" t="s">
        <v>4118</v>
      </c>
      <c r="O1350" s="6"/>
      <c r="P1350" s="6"/>
    </row>
    <row r="1351" customFormat="false" ht="15" hidden="false" customHeight="false" outlineLevel="0" collapsed="false">
      <c r="A1351" s="6" t="s">
        <v>4123</v>
      </c>
      <c r="B1351" s="6" t="s">
        <v>201</v>
      </c>
      <c r="C1351" s="7" t="n">
        <v>46112</v>
      </c>
      <c r="D1351" s="6" t="s">
        <v>4023</v>
      </c>
      <c r="E1351" s="6" t="s">
        <v>4024</v>
      </c>
      <c r="F1351" s="6" t="s">
        <v>4093</v>
      </c>
      <c r="G1351" s="6" t="s">
        <v>4079</v>
      </c>
      <c r="H1351" s="10" t="n">
        <v>1.16</v>
      </c>
      <c r="K1351" s="6" t="s">
        <v>742</v>
      </c>
      <c r="L1351" s="6" t="s">
        <v>13</v>
      </c>
      <c r="M1351" s="6" t="s">
        <v>199</v>
      </c>
      <c r="N1351" s="6" t="s">
        <v>4118</v>
      </c>
      <c r="O1351" s="6"/>
      <c r="P1351" s="6"/>
    </row>
    <row r="1352" customFormat="false" ht="15" hidden="false" customHeight="false" outlineLevel="0" collapsed="false">
      <c r="A1352" s="6" t="s">
        <v>4124</v>
      </c>
      <c r="B1352" s="6" t="s">
        <v>206</v>
      </c>
      <c r="C1352" s="7" t="n">
        <v>46203</v>
      </c>
      <c r="D1352" s="6" t="s">
        <v>4023</v>
      </c>
      <c r="E1352" s="6" t="s">
        <v>4024</v>
      </c>
      <c r="F1352" s="6" t="s">
        <v>4093</v>
      </c>
      <c r="G1352" s="6" t="s">
        <v>4076</v>
      </c>
      <c r="H1352" s="10" t="n">
        <v>1.15</v>
      </c>
      <c r="K1352" s="6" t="s">
        <v>742</v>
      </c>
      <c r="L1352" s="6" t="s">
        <v>13</v>
      </c>
      <c r="M1352" s="6" t="s">
        <v>204</v>
      </c>
      <c r="N1352" s="6" t="s">
        <v>4115</v>
      </c>
      <c r="O1352" s="6"/>
      <c r="P1352" s="6"/>
    </row>
    <row r="1353" customFormat="false" ht="15" hidden="false" customHeight="false" outlineLevel="0" collapsed="false">
      <c r="A1353" s="6" t="s">
        <v>4125</v>
      </c>
      <c r="B1353" s="6" t="s">
        <v>136</v>
      </c>
      <c r="C1353" s="7" t="n">
        <v>44926</v>
      </c>
      <c r="D1353" s="6" t="s">
        <v>4063</v>
      </c>
      <c r="E1353" s="6" t="s">
        <v>4024</v>
      </c>
      <c r="F1353" s="6" t="s">
        <v>4093</v>
      </c>
      <c r="G1353" s="6" t="s">
        <v>4126</v>
      </c>
      <c r="H1353" s="10" t="n">
        <v>1.37</v>
      </c>
      <c r="K1353" s="6" t="s">
        <v>742</v>
      </c>
      <c r="L1353" s="6" t="s">
        <v>13</v>
      </c>
      <c r="M1353" s="6" t="s">
        <v>228</v>
      </c>
      <c r="N1353" s="6" t="s">
        <v>4065</v>
      </c>
      <c r="O1353" s="6"/>
      <c r="P1353" s="6" t="s">
        <v>4127</v>
      </c>
    </row>
    <row r="1354" customFormat="false" ht="15" hidden="false" customHeight="false" outlineLevel="0" collapsed="false">
      <c r="A1354" s="6" t="s">
        <v>4128</v>
      </c>
      <c r="B1354" s="6" t="s">
        <v>103</v>
      </c>
      <c r="C1354" s="7" t="n">
        <v>44377</v>
      </c>
      <c r="D1354" s="6" t="s">
        <v>4023</v>
      </c>
      <c r="E1354" s="6" t="s">
        <v>4024</v>
      </c>
      <c r="F1354" s="6" t="s">
        <v>4129</v>
      </c>
      <c r="G1354" s="6" t="s">
        <v>4030</v>
      </c>
      <c r="I1354" s="10" t="n">
        <v>1.25</v>
      </c>
      <c r="K1354" s="6" t="s">
        <v>742</v>
      </c>
      <c r="L1354" s="6" t="s">
        <v>13</v>
      </c>
      <c r="M1354" s="6" t="s">
        <v>100</v>
      </c>
      <c r="N1354" s="6" t="s">
        <v>4130</v>
      </c>
      <c r="O1354" s="6"/>
      <c r="P1354" s="6" t="s">
        <v>4028</v>
      </c>
    </row>
    <row r="1355" customFormat="false" ht="15" hidden="false" customHeight="false" outlineLevel="0" collapsed="false">
      <c r="A1355" s="6" t="s">
        <v>4131</v>
      </c>
      <c r="B1355" s="6" t="s">
        <v>111</v>
      </c>
      <c r="C1355" s="7" t="n">
        <v>44469</v>
      </c>
      <c r="D1355" s="6" t="s">
        <v>4023</v>
      </c>
      <c r="E1355" s="6" t="s">
        <v>4024</v>
      </c>
      <c r="F1355" s="6" t="s">
        <v>4129</v>
      </c>
      <c r="G1355" s="6" t="s">
        <v>4132</v>
      </c>
      <c r="I1355" s="10" t="n">
        <v>1.3</v>
      </c>
      <c r="K1355" s="6" t="s">
        <v>742</v>
      </c>
      <c r="L1355" s="6" t="s">
        <v>13</v>
      </c>
      <c r="M1355" s="6" t="s">
        <v>109</v>
      </c>
      <c r="N1355" s="6" t="s">
        <v>4133</v>
      </c>
      <c r="O1355" s="6"/>
      <c r="P1355" s="6" t="s">
        <v>4028</v>
      </c>
    </row>
    <row r="1356" customFormat="false" ht="15" hidden="false" customHeight="false" outlineLevel="0" collapsed="false">
      <c r="A1356" s="6" t="s">
        <v>4134</v>
      </c>
      <c r="B1356" s="6" t="s">
        <v>116</v>
      </c>
      <c r="C1356" s="7" t="n">
        <v>44561</v>
      </c>
      <c r="D1356" s="6" t="s">
        <v>4023</v>
      </c>
      <c r="E1356" s="6" t="s">
        <v>4024</v>
      </c>
      <c r="F1356" s="6" t="s">
        <v>4129</v>
      </c>
      <c r="G1356" s="6" t="s">
        <v>4101</v>
      </c>
      <c r="I1356" s="10" t="n">
        <v>1.35</v>
      </c>
      <c r="K1356" s="6" t="s">
        <v>742</v>
      </c>
      <c r="L1356" s="6" t="s">
        <v>13</v>
      </c>
      <c r="M1356" s="6" t="s">
        <v>114</v>
      </c>
      <c r="N1356" s="6" t="s">
        <v>4135</v>
      </c>
      <c r="O1356" s="6"/>
      <c r="P1356" s="6" t="s">
        <v>4028</v>
      </c>
    </row>
    <row r="1357" customFormat="false" ht="15" hidden="false" customHeight="false" outlineLevel="0" collapsed="false">
      <c r="A1357" s="6" t="s">
        <v>4136</v>
      </c>
      <c r="B1357" s="6" t="s">
        <v>121</v>
      </c>
      <c r="C1357" s="7" t="n">
        <v>44651</v>
      </c>
      <c r="D1357" s="6" t="s">
        <v>4023</v>
      </c>
      <c r="E1357" s="6" t="s">
        <v>4024</v>
      </c>
      <c r="F1357" s="6" t="s">
        <v>4129</v>
      </c>
      <c r="G1357" s="6" t="s">
        <v>4101</v>
      </c>
      <c r="I1357" s="10" t="n">
        <v>1.35</v>
      </c>
      <c r="K1357" s="6" t="s">
        <v>742</v>
      </c>
      <c r="L1357" s="6" t="s">
        <v>13</v>
      </c>
      <c r="M1357" s="6" t="s">
        <v>119</v>
      </c>
      <c r="N1357" s="6" t="s">
        <v>4135</v>
      </c>
      <c r="O1357" s="6"/>
      <c r="P1357" s="6" t="s">
        <v>4028</v>
      </c>
    </row>
    <row r="1358" customFormat="false" ht="15" hidden="false" customHeight="false" outlineLevel="0" collapsed="false">
      <c r="A1358" s="6" t="s">
        <v>4137</v>
      </c>
      <c r="B1358" s="6" t="s">
        <v>126</v>
      </c>
      <c r="C1358" s="7" t="n">
        <v>44742</v>
      </c>
      <c r="D1358" s="6" t="s">
        <v>4023</v>
      </c>
      <c r="E1358" s="6" t="s">
        <v>4024</v>
      </c>
      <c r="F1358" s="6" t="s">
        <v>4129</v>
      </c>
      <c r="G1358" s="6" t="s">
        <v>4101</v>
      </c>
      <c r="I1358" s="10" t="n">
        <v>1.35</v>
      </c>
      <c r="K1358" s="6" t="s">
        <v>742</v>
      </c>
      <c r="L1358" s="6" t="s">
        <v>13</v>
      </c>
      <c r="M1358" s="6" t="s">
        <v>124</v>
      </c>
      <c r="N1358" s="6" t="s">
        <v>4135</v>
      </c>
      <c r="O1358" s="6"/>
      <c r="P1358" s="6" t="s">
        <v>4028</v>
      </c>
    </row>
    <row r="1359" customFormat="false" ht="15" hidden="false" customHeight="false" outlineLevel="0" collapsed="false">
      <c r="A1359" s="6" t="s">
        <v>4138</v>
      </c>
      <c r="B1359" s="6" t="s">
        <v>131</v>
      </c>
      <c r="C1359" s="7" t="n">
        <v>44834</v>
      </c>
      <c r="D1359" s="6" t="s">
        <v>4023</v>
      </c>
      <c r="E1359" s="6" t="s">
        <v>4024</v>
      </c>
      <c r="F1359" s="6" t="s">
        <v>4129</v>
      </c>
      <c r="G1359" s="6" t="s">
        <v>4101</v>
      </c>
      <c r="I1359" s="10" t="n">
        <v>1.35</v>
      </c>
      <c r="K1359" s="6" t="s">
        <v>742</v>
      </c>
      <c r="L1359" s="6" t="s">
        <v>13</v>
      </c>
      <c r="M1359" s="6" t="s">
        <v>129</v>
      </c>
      <c r="N1359" s="6" t="s">
        <v>4135</v>
      </c>
      <c r="O1359" s="6"/>
      <c r="P1359" s="6" t="s">
        <v>4028</v>
      </c>
    </row>
    <row r="1360" customFormat="false" ht="15" hidden="false" customHeight="false" outlineLevel="0" collapsed="false">
      <c r="A1360" s="6" t="s">
        <v>4139</v>
      </c>
      <c r="B1360" s="6" t="s">
        <v>136</v>
      </c>
      <c r="C1360" s="7" t="n">
        <v>44926</v>
      </c>
      <c r="D1360" s="6" t="s">
        <v>4023</v>
      </c>
      <c r="E1360" s="6" t="s">
        <v>4024</v>
      </c>
      <c r="F1360" s="6" t="s">
        <v>4129</v>
      </c>
      <c r="G1360" s="6" t="s">
        <v>4132</v>
      </c>
      <c r="I1360" s="10" t="n">
        <v>1.3</v>
      </c>
      <c r="K1360" s="6" t="s">
        <v>742</v>
      </c>
      <c r="L1360" s="6" t="s">
        <v>13</v>
      </c>
      <c r="M1360" s="6" t="s">
        <v>134</v>
      </c>
      <c r="N1360" s="6" t="s">
        <v>4140</v>
      </c>
      <c r="O1360" s="6"/>
      <c r="P1360" s="6" t="s">
        <v>4028</v>
      </c>
    </row>
    <row r="1361" customFormat="false" ht="15" hidden="false" customHeight="false" outlineLevel="0" collapsed="false">
      <c r="A1361" s="6" t="s">
        <v>4141</v>
      </c>
      <c r="B1361" s="6" t="s">
        <v>141</v>
      </c>
      <c r="C1361" s="7" t="n">
        <v>45016</v>
      </c>
      <c r="D1361" s="6" t="s">
        <v>4023</v>
      </c>
      <c r="E1361" s="6" t="s">
        <v>4024</v>
      </c>
      <c r="F1361" s="6" t="s">
        <v>4129</v>
      </c>
      <c r="G1361" s="6" t="s">
        <v>4030</v>
      </c>
      <c r="I1361" s="10" t="n">
        <v>1.25</v>
      </c>
      <c r="K1361" s="6" t="s">
        <v>742</v>
      </c>
      <c r="L1361" s="6" t="s">
        <v>13</v>
      </c>
      <c r="M1361" s="6" t="s">
        <v>139</v>
      </c>
      <c r="N1361" s="6" t="s">
        <v>4142</v>
      </c>
      <c r="O1361" s="6"/>
      <c r="P1361" s="6" t="s">
        <v>4028</v>
      </c>
    </row>
    <row r="1362" customFormat="false" ht="15" hidden="false" customHeight="false" outlineLevel="0" collapsed="false">
      <c r="A1362" s="6" t="s">
        <v>4143</v>
      </c>
      <c r="B1362" s="6" t="s">
        <v>146</v>
      </c>
      <c r="C1362" s="7" t="n">
        <v>45107</v>
      </c>
      <c r="D1362" s="6" t="s">
        <v>4023</v>
      </c>
      <c r="E1362" s="6" t="s">
        <v>4024</v>
      </c>
      <c r="F1362" s="6" t="s">
        <v>4129</v>
      </c>
      <c r="G1362" s="6" t="s">
        <v>4026</v>
      </c>
      <c r="I1362" s="10" t="n">
        <v>1.2</v>
      </c>
      <c r="K1362" s="6" t="s">
        <v>742</v>
      </c>
      <c r="L1362" s="6" t="s">
        <v>13</v>
      </c>
      <c r="M1362" s="6" t="s">
        <v>144</v>
      </c>
      <c r="N1362" s="6" t="s">
        <v>4144</v>
      </c>
      <c r="O1362" s="6"/>
      <c r="P1362" s="6" t="s">
        <v>4028</v>
      </c>
    </row>
    <row r="1363" customFormat="false" ht="15" hidden="false" customHeight="false" outlineLevel="0" collapsed="false">
      <c r="A1363" s="6" t="s">
        <v>4145</v>
      </c>
      <c r="B1363" s="6" t="s">
        <v>151</v>
      </c>
      <c r="C1363" s="7" t="n">
        <v>45199</v>
      </c>
      <c r="D1363" s="6" t="s">
        <v>4023</v>
      </c>
      <c r="E1363" s="6" t="s">
        <v>4024</v>
      </c>
      <c r="F1363" s="6" t="s">
        <v>4129</v>
      </c>
      <c r="G1363" s="6" t="s">
        <v>4037</v>
      </c>
      <c r="I1363" s="10" t="n">
        <v>1.15</v>
      </c>
      <c r="K1363" s="6" t="s">
        <v>742</v>
      </c>
      <c r="L1363" s="6" t="s">
        <v>13</v>
      </c>
      <c r="M1363" s="6" t="s">
        <v>149</v>
      </c>
      <c r="N1363" s="6" t="s">
        <v>4146</v>
      </c>
      <c r="O1363" s="6"/>
      <c r="P1363" s="6" t="s">
        <v>4028</v>
      </c>
    </row>
    <row r="1364" customFormat="false" ht="15" hidden="false" customHeight="false" outlineLevel="0" collapsed="false">
      <c r="A1364" s="6" t="s">
        <v>4147</v>
      </c>
      <c r="B1364" s="6" t="s">
        <v>156</v>
      </c>
      <c r="C1364" s="7" t="n">
        <v>45291</v>
      </c>
      <c r="D1364" s="6" t="s">
        <v>4023</v>
      </c>
      <c r="E1364" s="6" t="s">
        <v>4024</v>
      </c>
      <c r="F1364" s="6" t="s">
        <v>4129</v>
      </c>
      <c r="G1364" s="6" t="s">
        <v>4076</v>
      </c>
      <c r="H1364" s="10" t="n">
        <v>1.15</v>
      </c>
      <c r="K1364" s="6" t="s">
        <v>742</v>
      </c>
      <c r="L1364" s="6" t="s">
        <v>13</v>
      </c>
      <c r="M1364" s="6" t="s">
        <v>154</v>
      </c>
      <c r="N1364" s="6" t="s">
        <v>4148</v>
      </c>
      <c r="O1364" s="6"/>
      <c r="P1364" s="6"/>
    </row>
    <row r="1365" customFormat="false" ht="15" hidden="false" customHeight="false" outlineLevel="0" collapsed="false">
      <c r="A1365" s="6" t="s">
        <v>4149</v>
      </c>
      <c r="B1365" s="6" t="s">
        <v>161</v>
      </c>
      <c r="C1365" s="7" t="n">
        <v>45382</v>
      </c>
      <c r="D1365" s="6" t="s">
        <v>4023</v>
      </c>
      <c r="E1365" s="6" t="s">
        <v>4024</v>
      </c>
      <c r="F1365" s="6" t="s">
        <v>4129</v>
      </c>
      <c r="G1365" s="6" t="s">
        <v>4069</v>
      </c>
      <c r="H1365" s="10" t="n">
        <v>1.14</v>
      </c>
      <c r="K1365" s="6" t="s">
        <v>742</v>
      </c>
      <c r="L1365" s="6" t="s">
        <v>13</v>
      </c>
      <c r="M1365" s="6" t="s">
        <v>159</v>
      </c>
      <c r="N1365" s="6" t="s">
        <v>4150</v>
      </c>
      <c r="O1365" s="6"/>
      <c r="P1365" s="6"/>
    </row>
    <row r="1366" customFormat="false" ht="15" hidden="false" customHeight="false" outlineLevel="0" collapsed="false">
      <c r="A1366" s="6" t="s">
        <v>4151</v>
      </c>
      <c r="B1366" s="6" t="s">
        <v>166</v>
      </c>
      <c r="C1366" s="7" t="n">
        <v>45473</v>
      </c>
      <c r="D1366" s="6" t="s">
        <v>4023</v>
      </c>
      <c r="E1366" s="6" t="s">
        <v>4024</v>
      </c>
      <c r="F1366" s="6" t="s">
        <v>4129</v>
      </c>
      <c r="G1366" s="6" t="s">
        <v>4069</v>
      </c>
      <c r="H1366" s="10" t="n">
        <v>1.14</v>
      </c>
      <c r="K1366" s="6" t="s">
        <v>742</v>
      </c>
      <c r="L1366" s="6" t="s">
        <v>13</v>
      </c>
      <c r="M1366" s="6" t="s">
        <v>164</v>
      </c>
      <c r="N1366" s="6" t="s">
        <v>4150</v>
      </c>
      <c r="O1366" s="6"/>
      <c r="P1366" s="6"/>
    </row>
    <row r="1367" customFormat="false" ht="15" hidden="false" customHeight="false" outlineLevel="0" collapsed="false">
      <c r="A1367" s="6" t="s">
        <v>4152</v>
      </c>
      <c r="B1367" s="6" t="s">
        <v>171</v>
      </c>
      <c r="C1367" s="7" t="n">
        <v>45565</v>
      </c>
      <c r="D1367" s="6" t="s">
        <v>4023</v>
      </c>
      <c r="E1367" s="6" t="s">
        <v>4024</v>
      </c>
      <c r="F1367" s="6" t="s">
        <v>4129</v>
      </c>
      <c r="G1367" s="6" t="s">
        <v>4069</v>
      </c>
      <c r="H1367" s="10" t="n">
        <v>1.14</v>
      </c>
      <c r="K1367" s="6" t="s">
        <v>742</v>
      </c>
      <c r="L1367" s="6" t="s">
        <v>13</v>
      </c>
      <c r="M1367" s="6" t="s">
        <v>169</v>
      </c>
      <c r="N1367" s="6" t="s">
        <v>4150</v>
      </c>
      <c r="O1367" s="6"/>
      <c r="P1367" s="6"/>
    </row>
    <row r="1368" customFormat="false" ht="15" hidden="false" customHeight="false" outlineLevel="0" collapsed="false">
      <c r="A1368" s="6" t="s">
        <v>4153</v>
      </c>
      <c r="B1368" s="6" t="s">
        <v>176</v>
      </c>
      <c r="C1368" s="7" t="n">
        <v>45657</v>
      </c>
      <c r="D1368" s="6" t="s">
        <v>4023</v>
      </c>
      <c r="E1368" s="6" t="s">
        <v>4024</v>
      </c>
      <c r="F1368" s="6" t="s">
        <v>4129</v>
      </c>
      <c r="G1368" s="6" t="s">
        <v>4076</v>
      </c>
      <c r="H1368" s="10" t="n">
        <v>1.15</v>
      </c>
      <c r="K1368" s="6" t="s">
        <v>742</v>
      </c>
      <c r="L1368" s="6" t="s">
        <v>13</v>
      </c>
      <c r="M1368" s="6" t="s">
        <v>174</v>
      </c>
      <c r="N1368" s="6" t="s">
        <v>4148</v>
      </c>
      <c r="O1368" s="6"/>
      <c r="P1368" s="6"/>
    </row>
    <row r="1369" customFormat="false" ht="15" hidden="false" customHeight="false" outlineLevel="0" collapsed="false">
      <c r="A1369" s="6" t="s">
        <v>4154</v>
      </c>
      <c r="B1369" s="6" t="s">
        <v>181</v>
      </c>
      <c r="C1369" s="7" t="n">
        <v>45747</v>
      </c>
      <c r="D1369" s="6" t="s">
        <v>4023</v>
      </c>
      <c r="E1369" s="6" t="s">
        <v>4024</v>
      </c>
      <c r="F1369" s="6" t="s">
        <v>4129</v>
      </c>
      <c r="G1369" s="6" t="s">
        <v>4076</v>
      </c>
      <c r="H1369" s="10" t="n">
        <v>1.15</v>
      </c>
      <c r="K1369" s="6" t="s">
        <v>742</v>
      </c>
      <c r="L1369" s="6" t="s">
        <v>13</v>
      </c>
      <c r="M1369" s="6" t="s">
        <v>179</v>
      </c>
      <c r="N1369" s="6" t="s">
        <v>4148</v>
      </c>
      <c r="O1369" s="6"/>
      <c r="P1369" s="6"/>
    </row>
    <row r="1370" customFormat="false" ht="15" hidden="false" customHeight="false" outlineLevel="0" collapsed="false">
      <c r="A1370" s="6" t="s">
        <v>4155</v>
      </c>
      <c r="B1370" s="6" t="s">
        <v>186</v>
      </c>
      <c r="C1370" s="7" t="n">
        <v>45838</v>
      </c>
      <c r="D1370" s="6" t="s">
        <v>4023</v>
      </c>
      <c r="E1370" s="6" t="s">
        <v>4024</v>
      </c>
      <c r="F1370" s="6" t="s">
        <v>4129</v>
      </c>
      <c r="G1370" s="6" t="s">
        <v>4076</v>
      </c>
      <c r="H1370" s="10" t="n">
        <v>1.15</v>
      </c>
      <c r="K1370" s="6" t="s">
        <v>742</v>
      </c>
      <c r="L1370" s="6" t="s">
        <v>13</v>
      </c>
      <c r="M1370" s="6" t="s">
        <v>184</v>
      </c>
      <c r="N1370" s="6" t="s">
        <v>4148</v>
      </c>
      <c r="O1370" s="6"/>
      <c r="P1370" s="6"/>
    </row>
    <row r="1371" customFormat="false" ht="15" hidden="false" customHeight="false" outlineLevel="0" collapsed="false">
      <c r="A1371" s="6" t="s">
        <v>4156</v>
      </c>
      <c r="B1371" s="6" t="s">
        <v>191</v>
      </c>
      <c r="C1371" s="7" t="n">
        <v>45930</v>
      </c>
      <c r="D1371" s="6" t="s">
        <v>4023</v>
      </c>
      <c r="E1371" s="6" t="s">
        <v>4024</v>
      </c>
      <c r="F1371" s="6" t="s">
        <v>4129</v>
      </c>
      <c r="G1371" s="6" t="s">
        <v>4076</v>
      </c>
      <c r="H1371" s="10" t="n">
        <v>1.15</v>
      </c>
      <c r="K1371" s="6" t="s">
        <v>742</v>
      </c>
      <c r="L1371" s="6" t="s">
        <v>13</v>
      </c>
      <c r="M1371" s="6" t="s">
        <v>189</v>
      </c>
      <c r="N1371" s="6" t="s">
        <v>4148</v>
      </c>
      <c r="O1371" s="6"/>
      <c r="P1371" s="6"/>
    </row>
    <row r="1372" customFormat="false" ht="15" hidden="false" customHeight="false" outlineLevel="0" collapsed="false">
      <c r="A1372" s="6" t="s">
        <v>4157</v>
      </c>
      <c r="B1372" s="6" t="s">
        <v>196</v>
      </c>
      <c r="C1372" s="7" t="n">
        <v>46022</v>
      </c>
      <c r="D1372" s="6" t="s">
        <v>4023</v>
      </c>
      <c r="E1372" s="6" t="s">
        <v>4024</v>
      </c>
      <c r="F1372" s="6" t="s">
        <v>4129</v>
      </c>
      <c r="G1372" s="6" t="s">
        <v>4069</v>
      </c>
      <c r="H1372" s="10" t="n">
        <v>1.14</v>
      </c>
      <c r="K1372" s="6" t="s">
        <v>742</v>
      </c>
      <c r="L1372" s="6" t="s">
        <v>13</v>
      </c>
      <c r="M1372" s="6" t="s">
        <v>194</v>
      </c>
      <c r="N1372" s="6" t="s">
        <v>4150</v>
      </c>
      <c r="O1372" s="6"/>
      <c r="P1372" s="6"/>
    </row>
    <row r="1373" customFormat="false" ht="15" hidden="false" customHeight="false" outlineLevel="0" collapsed="false">
      <c r="A1373" s="6" t="s">
        <v>4158</v>
      </c>
      <c r="B1373" s="6" t="s">
        <v>201</v>
      </c>
      <c r="C1373" s="7" t="n">
        <v>46112</v>
      </c>
      <c r="D1373" s="6" t="s">
        <v>4023</v>
      </c>
      <c r="E1373" s="6" t="s">
        <v>4024</v>
      </c>
      <c r="F1373" s="6" t="s">
        <v>4129</v>
      </c>
      <c r="G1373" s="6" t="s">
        <v>4069</v>
      </c>
      <c r="H1373" s="10" t="n">
        <v>1.14</v>
      </c>
      <c r="K1373" s="6" t="s">
        <v>742</v>
      </c>
      <c r="L1373" s="6" t="s">
        <v>13</v>
      </c>
      <c r="M1373" s="6" t="s">
        <v>199</v>
      </c>
      <c r="N1373" s="6" t="s">
        <v>4150</v>
      </c>
      <c r="O1373" s="6"/>
      <c r="P1373" s="6"/>
    </row>
    <row r="1374" customFormat="false" ht="15" hidden="false" customHeight="false" outlineLevel="0" collapsed="false">
      <c r="A1374" s="6" t="s">
        <v>4159</v>
      </c>
      <c r="B1374" s="6" t="s">
        <v>206</v>
      </c>
      <c r="C1374" s="7" t="n">
        <v>46203</v>
      </c>
      <c r="D1374" s="6" t="s">
        <v>4023</v>
      </c>
      <c r="E1374" s="6" t="s">
        <v>4024</v>
      </c>
      <c r="F1374" s="6" t="s">
        <v>4129</v>
      </c>
      <c r="G1374" s="6" t="s">
        <v>4072</v>
      </c>
      <c r="H1374" s="10" t="n">
        <v>1.13</v>
      </c>
      <c r="K1374" s="6" t="s">
        <v>742</v>
      </c>
      <c r="L1374" s="6" t="s">
        <v>13</v>
      </c>
      <c r="M1374" s="6" t="s">
        <v>204</v>
      </c>
      <c r="N1374" s="6" t="s">
        <v>4160</v>
      </c>
      <c r="O1374" s="6"/>
      <c r="P1374" s="6"/>
    </row>
    <row r="1375" customFormat="false" ht="15" hidden="false" customHeight="false" outlineLevel="0" collapsed="false">
      <c r="A1375" s="6" t="s">
        <v>4161</v>
      </c>
      <c r="B1375" s="6" t="s">
        <v>136</v>
      </c>
      <c r="C1375" s="7" t="n">
        <v>44926</v>
      </c>
      <c r="D1375" s="6" t="s">
        <v>4063</v>
      </c>
      <c r="E1375" s="6" t="s">
        <v>4024</v>
      </c>
      <c r="F1375" s="6" t="s">
        <v>4129</v>
      </c>
      <c r="G1375" s="6" t="s">
        <v>4162</v>
      </c>
      <c r="H1375" s="10" t="n">
        <v>1.3</v>
      </c>
      <c r="K1375" s="6" t="s">
        <v>742</v>
      </c>
      <c r="L1375" s="6" t="s">
        <v>13</v>
      </c>
      <c r="M1375" s="6" t="s">
        <v>228</v>
      </c>
      <c r="N1375" s="6" t="s">
        <v>4065</v>
      </c>
      <c r="O1375" s="6"/>
      <c r="P1375" s="6" t="s">
        <v>4163</v>
      </c>
    </row>
    <row r="1376" customFormat="false" ht="15" hidden="false" customHeight="false" outlineLevel="0" collapsed="false">
      <c r="A1376" s="6" t="s">
        <v>4164</v>
      </c>
      <c r="B1376" s="6" t="s">
        <v>116</v>
      </c>
      <c r="C1376" s="7" t="n">
        <v>44561</v>
      </c>
      <c r="D1376" s="6" t="s">
        <v>4165</v>
      </c>
      <c r="E1376" s="6" t="s">
        <v>4166</v>
      </c>
      <c r="F1376" s="6" t="s">
        <v>4167</v>
      </c>
      <c r="G1376" s="6" t="s">
        <v>4168</v>
      </c>
      <c r="H1376" s="12" t="n">
        <v>152048</v>
      </c>
      <c r="K1376" s="6" t="s">
        <v>4169</v>
      </c>
      <c r="L1376" s="6" t="s">
        <v>13</v>
      </c>
      <c r="M1376" s="6" t="s">
        <v>114</v>
      </c>
      <c r="N1376" s="6" t="s">
        <v>4170</v>
      </c>
      <c r="O1376" s="6"/>
      <c r="P1376" s="6" t="s">
        <v>4171</v>
      </c>
    </row>
    <row r="1377" customFormat="false" ht="15" hidden="false" customHeight="false" outlineLevel="0" collapsed="false">
      <c r="A1377" s="6" t="s">
        <v>4172</v>
      </c>
      <c r="B1377" s="6" t="s">
        <v>136</v>
      </c>
      <c r="C1377" s="7" t="n">
        <v>44926</v>
      </c>
      <c r="D1377" s="6" t="s">
        <v>4165</v>
      </c>
      <c r="E1377" s="6" t="s">
        <v>4166</v>
      </c>
      <c r="F1377" s="6" t="s">
        <v>4167</v>
      </c>
      <c r="G1377" s="6" t="s">
        <v>4173</v>
      </c>
      <c r="H1377" s="12" t="n">
        <v>186477</v>
      </c>
      <c r="K1377" s="6" t="s">
        <v>4169</v>
      </c>
      <c r="L1377" s="6" t="s">
        <v>13</v>
      </c>
      <c r="M1377" s="6" t="s">
        <v>134</v>
      </c>
      <c r="N1377" s="6" t="s">
        <v>4174</v>
      </c>
      <c r="O1377" s="6"/>
      <c r="P1377" s="6"/>
    </row>
    <row r="1378" customFormat="false" ht="15" hidden="false" customHeight="false" outlineLevel="0" collapsed="false">
      <c r="A1378" s="6" t="s">
        <v>4175</v>
      </c>
      <c r="B1378" s="6" t="s">
        <v>116</v>
      </c>
      <c r="C1378" s="7" t="n">
        <v>44561</v>
      </c>
      <c r="D1378" s="6" t="s">
        <v>4176</v>
      </c>
      <c r="E1378" s="6" t="s">
        <v>4166</v>
      </c>
      <c r="F1378" s="6" t="s">
        <v>4177</v>
      </c>
      <c r="G1378" s="6" t="s">
        <v>4178</v>
      </c>
      <c r="H1378" s="10" t="n">
        <v>0.34</v>
      </c>
      <c r="K1378" s="6" t="s">
        <v>742</v>
      </c>
      <c r="L1378" s="6" t="s">
        <v>13</v>
      </c>
      <c r="M1378" s="6" t="s">
        <v>114</v>
      </c>
      <c r="N1378" s="6" t="s">
        <v>4170</v>
      </c>
      <c r="O1378" s="6"/>
      <c r="P1378" s="6" t="s">
        <v>4179</v>
      </c>
    </row>
    <row r="1379" customFormat="false" ht="15" hidden="false" customHeight="false" outlineLevel="0" collapsed="false">
      <c r="A1379" s="6" t="s">
        <v>4180</v>
      </c>
      <c r="B1379" s="6" t="s">
        <v>136</v>
      </c>
      <c r="C1379" s="7" t="n">
        <v>44926</v>
      </c>
      <c r="D1379" s="6" t="s">
        <v>4176</v>
      </c>
      <c r="E1379" s="6" t="s">
        <v>4166</v>
      </c>
      <c r="F1379" s="6" t="s">
        <v>4177</v>
      </c>
      <c r="G1379" s="6" t="s">
        <v>4181</v>
      </c>
      <c r="H1379" s="10" t="n">
        <v>0.23</v>
      </c>
      <c r="K1379" s="6" t="s">
        <v>742</v>
      </c>
      <c r="L1379" s="6" t="s">
        <v>13</v>
      </c>
      <c r="M1379" s="6" t="s">
        <v>134</v>
      </c>
      <c r="N1379" s="6" t="s">
        <v>4174</v>
      </c>
      <c r="O1379" s="6"/>
      <c r="P1379" s="6" t="s">
        <v>4179</v>
      </c>
    </row>
    <row r="1380" customFormat="false" ht="15" hidden="false" customHeight="false" outlineLevel="0" collapsed="false">
      <c r="A1380" s="6" t="s">
        <v>4182</v>
      </c>
      <c r="B1380" s="6" t="s">
        <v>136</v>
      </c>
      <c r="C1380" s="7" t="n">
        <v>44926</v>
      </c>
      <c r="D1380" s="6" t="s">
        <v>4165</v>
      </c>
      <c r="E1380" s="6" t="s">
        <v>4166</v>
      </c>
      <c r="F1380" s="6" t="s">
        <v>4183</v>
      </c>
      <c r="G1380" s="6" t="s">
        <v>3555</v>
      </c>
      <c r="H1380" s="12" t="n">
        <v>527</v>
      </c>
      <c r="K1380" s="6" t="s">
        <v>4169</v>
      </c>
      <c r="L1380" s="6" t="s">
        <v>13</v>
      </c>
      <c r="M1380" s="6" t="s">
        <v>154</v>
      </c>
      <c r="N1380" s="6" t="s">
        <v>4184</v>
      </c>
      <c r="O1380" s="6"/>
      <c r="P1380" s="6" t="s">
        <v>4185</v>
      </c>
    </row>
    <row r="1381" customFormat="false" ht="15" hidden="false" customHeight="false" outlineLevel="0" collapsed="false">
      <c r="A1381" s="6" t="s">
        <v>4186</v>
      </c>
      <c r="B1381" s="6" t="s">
        <v>141</v>
      </c>
      <c r="C1381" s="7" t="n">
        <v>45016</v>
      </c>
      <c r="D1381" s="6" t="s">
        <v>4165</v>
      </c>
      <c r="E1381" s="6" t="s">
        <v>4166</v>
      </c>
      <c r="F1381" s="6" t="s">
        <v>4183</v>
      </c>
      <c r="G1381" s="6" t="s">
        <v>4187</v>
      </c>
      <c r="H1381" s="12" t="n">
        <v>588</v>
      </c>
      <c r="K1381" s="6" t="s">
        <v>4169</v>
      </c>
      <c r="L1381" s="6" t="s">
        <v>13</v>
      </c>
      <c r="M1381" s="6" t="s">
        <v>159</v>
      </c>
      <c r="N1381" s="6" t="s">
        <v>4188</v>
      </c>
      <c r="O1381" s="6"/>
      <c r="P1381" s="6" t="s">
        <v>4189</v>
      </c>
    </row>
    <row r="1382" customFormat="false" ht="15" hidden="false" customHeight="false" outlineLevel="0" collapsed="false">
      <c r="A1382" s="6" t="s">
        <v>4190</v>
      </c>
      <c r="B1382" s="6" t="s">
        <v>146</v>
      </c>
      <c r="C1382" s="7" t="n">
        <v>45107</v>
      </c>
      <c r="D1382" s="6" t="s">
        <v>4165</v>
      </c>
      <c r="E1382" s="6" t="s">
        <v>4166</v>
      </c>
      <c r="F1382" s="6" t="s">
        <v>4183</v>
      </c>
      <c r="G1382" s="6" t="s">
        <v>4191</v>
      </c>
      <c r="H1382" s="12" t="n">
        <v>677</v>
      </c>
      <c r="K1382" s="6" t="s">
        <v>4169</v>
      </c>
      <c r="L1382" s="6" t="s">
        <v>13</v>
      </c>
      <c r="M1382" s="6" t="s">
        <v>164</v>
      </c>
      <c r="N1382" s="6" t="s">
        <v>4192</v>
      </c>
      <c r="O1382" s="6"/>
      <c r="P1382" s="6" t="s">
        <v>4193</v>
      </c>
    </row>
    <row r="1383" customFormat="false" ht="15" hidden="false" customHeight="false" outlineLevel="0" collapsed="false">
      <c r="A1383" s="6" t="s">
        <v>4194</v>
      </c>
      <c r="B1383" s="6" t="s">
        <v>151</v>
      </c>
      <c r="C1383" s="7" t="n">
        <v>45199</v>
      </c>
      <c r="D1383" s="6" t="s">
        <v>4165</v>
      </c>
      <c r="E1383" s="6" t="s">
        <v>4166</v>
      </c>
      <c r="F1383" s="6" t="s">
        <v>4183</v>
      </c>
      <c r="G1383" s="6" t="s">
        <v>4195</v>
      </c>
      <c r="H1383" s="12" t="n">
        <v>749</v>
      </c>
      <c r="K1383" s="6" t="s">
        <v>4169</v>
      </c>
      <c r="L1383" s="6" t="s">
        <v>13</v>
      </c>
      <c r="M1383" s="6" t="s">
        <v>169</v>
      </c>
      <c r="N1383" s="6" t="s">
        <v>4196</v>
      </c>
      <c r="O1383" s="6"/>
      <c r="P1383" s="6" t="s">
        <v>4197</v>
      </c>
    </row>
    <row r="1384" customFormat="false" ht="15" hidden="false" customHeight="false" outlineLevel="0" collapsed="false">
      <c r="A1384" s="6" t="s">
        <v>4198</v>
      </c>
      <c r="B1384" s="6" t="s">
        <v>156</v>
      </c>
      <c r="C1384" s="7" t="n">
        <v>45291</v>
      </c>
      <c r="D1384" s="6" t="s">
        <v>4165</v>
      </c>
      <c r="E1384" s="6" t="s">
        <v>4166</v>
      </c>
      <c r="F1384" s="6" t="s">
        <v>4183</v>
      </c>
      <c r="G1384" s="6" t="s">
        <v>4199</v>
      </c>
      <c r="H1384" s="12" t="n">
        <v>833</v>
      </c>
      <c r="K1384" s="6" t="s">
        <v>4169</v>
      </c>
      <c r="L1384" s="6" t="s">
        <v>13</v>
      </c>
      <c r="M1384" s="6" t="s">
        <v>154</v>
      </c>
      <c r="N1384" s="6" t="s">
        <v>4200</v>
      </c>
      <c r="O1384" s="6"/>
      <c r="P1384" s="6" t="s">
        <v>4201</v>
      </c>
    </row>
    <row r="1385" customFormat="false" ht="15" hidden="false" customHeight="false" outlineLevel="0" collapsed="false">
      <c r="A1385" s="6" t="s">
        <v>4202</v>
      </c>
      <c r="B1385" s="6" t="s">
        <v>161</v>
      </c>
      <c r="C1385" s="7" t="n">
        <v>45382</v>
      </c>
      <c r="D1385" s="6" t="s">
        <v>4165</v>
      </c>
      <c r="E1385" s="6" t="s">
        <v>4166</v>
      </c>
      <c r="F1385" s="6" t="s">
        <v>4183</v>
      </c>
      <c r="G1385" s="6" t="s">
        <v>4203</v>
      </c>
      <c r="H1385" s="12" t="n">
        <v>911</v>
      </c>
      <c r="K1385" s="6" t="s">
        <v>4169</v>
      </c>
      <c r="L1385" s="6" t="s">
        <v>13</v>
      </c>
      <c r="M1385" s="6" t="s">
        <v>159</v>
      </c>
      <c r="N1385" s="6" t="s">
        <v>4204</v>
      </c>
      <c r="O1385" s="6"/>
      <c r="P1385" s="6" t="s">
        <v>4205</v>
      </c>
    </row>
    <row r="1386" customFormat="false" ht="15" hidden="false" customHeight="false" outlineLevel="0" collapsed="false">
      <c r="A1386" s="6" t="s">
        <v>4206</v>
      </c>
      <c r="B1386" s="6" t="s">
        <v>166</v>
      </c>
      <c r="C1386" s="7" t="n">
        <v>45473</v>
      </c>
      <c r="D1386" s="6" t="s">
        <v>4165</v>
      </c>
      <c r="E1386" s="6" t="s">
        <v>4166</v>
      </c>
      <c r="F1386" s="6" t="s">
        <v>4183</v>
      </c>
      <c r="G1386" s="6" t="s">
        <v>4207</v>
      </c>
      <c r="H1386" s="12" t="n">
        <v>1009</v>
      </c>
      <c r="K1386" s="6" t="s">
        <v>4169</v>
      </c>
      <c r="L1386" s="6" t="s">
        <v>13</v>
      </c>
      <c r="M1386" s="6" t="s">
        <v>164</v>
      </c>
      <c r="N1386" s="6" t="s">
        <v>4208</v>
      </c>
      <c r="O1386" s="6"/>
      <c r="P1386" s="6" t="s">
        <v>4209</v>
      </c>
    </row>
    <row r="1387" customFormat="false" ht="15" hidden="false" customHeight="false" outlineLevel="0" collapsed="false">
      <c r="A1387" s="6" t="s">
        <v>4210</v>
      </c>
      <c r="B1387" s="6" t="s">
        <v>171</v>
      </c>
      <c r="C1387" s="7" t="n">
        <v>45565</v>
      </c>
      <c r="D1387" s="6" t="s">
        <v>4165</v>
      </c>
      <c r="E1387" s="6" t="s">
        <v>4166</v>
      </c>
      <c r="F1387" s="6" t="s">
        <v>4183</v>
      </c>
      <c r="G1387" s="6" t="s">
        <v>4211</v>
      </c>
      <c r="H1387" s="12" t="n">
        <v>1080</v>
      </c>
      <c r="K1387" s="6" t="s">
        <v>4169</v>
      </c>
      <c r="L1387" s="6" t="s">
        <v>13</v>
      </c>
      <c r="M1387" s="6" t="s">
        <v>169</v>
      </c>
      <c r="N1387" s="6" t="s">
        <v>4212</v>
      </c>
      <c r="O1387" s="6"/>
      <c r="P1387" s="6" t="s">
        <v>4213</v>
      </c>
    </row>
    <row r="1388" customFormat="false" ht="15" hidden="false" customHeight="false" outlineLevel="0" collapsed="false">
      <c r="A1388" s="6" t="s">
        <v>4214</v>
      </c>
      <c r="B1388" s="6" t="s">
        <v>176</v>
      </c>
      <c r="C1388" s="7" t="n">
        <v>45657</v>
      </c>
      <c r="D1388" s="6" t="s">
        <v>4165</v>
      </c>
      <c r="E1388" s="6" t="s">
        <v>4166</v>
      </c>
      <c r="F1388" s="6" t="s">
        <v>4183</v>
      </c>
      <c r="G1388" s="6" t="s">
        <v>4215</v>
      </c>
      <c r="H1388" s="12" t="n">
        <v>1207</v>
      </c>
      <c r="K1388" s="6" t="s">
        <v>4169</v>
      </c>
      <c r="L1388" s="6" t="s">
        <v>13</v>
      </c>
      <c r="M1388" s="6" t="s">
        <v>174</v>
      </c>
      <c r="N1388" s="6" t="s">
        <v>4216</v>
      </c>
      <c r="O1388" s="6"/>
      <c r="P1388" s="6" t="s">
        <v>4217</v>
      </c>
    </row>
    <row r="1389" customFormat="false" ht="15" hidden="false" customHeight="false" outlineLevel="0" collapsed="false">
      <c r="A1389" s="6" t="s">
        <v>4218</v>
      </c>
      <c r="B1389" s="6" t="s">
        <v>181</v>
      </c>
      <c r="C1389" s="7" t="n">
        <v>45747</v>
      </c>
      <c r="D1389" s="6" t="s">
        <v>4165</v>
      </c>
      <c r="E1389" s="6" t="s">
        <v>4166</v>
      </c>
      <c r="F1389" s="6" t="s">
        <v>4183</v>
      </c>
      <c r="G1389" s="6" t="s">
        <v>4219</v>
      </c>
      <c r="H1389" s="12" t="n">
        <v>1328</v>
      </c>
      <c r="K1389" s="6" t="s">
        <v>4169</v>
      </c>
      <c r="L1389" s="6" t="s">
        <v>13</v>
      </c>
      <c r="M1389" s="6" t="s">
        <v>179</v>
      </c>
      <c r="N1389" s="6" t="s">
        <v>4220</v>
      </c>
      <c r="O1389" s="6"/>
      <c r="P1389" s="6" t="s">
        <v>4221</v>
      </c>
    </row>
    <row r="1390" customFormat="false" ht="15" hidden="false" customHeight="false" outlineLevel="0" collapsed="false">
      <c r="A1390" s="6" t="s">
        <v>4222</v>
      </c>
      <c r="B1390" s="6" t="s">
        <v>186</v>
      </c>
      <c r="C1390" s="7" t="n">
        <v>45838</v>
      </c>
      <c r="D1390" s="6" t="s">
        <v>4165</v>
      </c>
      <c r="E1390" s="6" t="s">
        <v>4166</v>
      </c>
      <c r="F1390" s="6" t="s">
        <v>4183</v>
      </c>
      <c r="G1390" s="6" t="s">
        <v>4223</v>
      </c>
      <c r="H1390" s="12" t="n">
        <v>1472</v>
      </c>
      <c r="K1390" s="6" t="s">
        <v>4169</v>
      </c>
      <c r="L1390" s="6" t="s">
        <v>13</v>
      </c>
      <c r="M1390" s="6" t="s">
        <v>184</v>
      </c>
      <c r="N1390" s="6" t="s">
        <v>4224</v>
      </c>
      <c r="O1390" s="6"/>
      <c r="P1390" s="6" t="s">
        <v>4225</v>
      </c>
    </row>
    <row r="1391" customFormat="false" ht="15" hidden="false" customHeight="false" outlineLevel="0" collapsed="false">
      <c r="A1391" s="6" t="s">
        <v>4226</v>
      </c>
      <c r="B1391" s="6" t="s">
        <v>191</v>
      </c>
      <c r="C1391" s="7" t="n">
        <v>45930</v>
      </c>
      <c r="D1391" s="6" t="s">
        <v>4165</v>
      </c>
      <c r="E1391" s="6" t="s">
        <v>4166</v>
      </c>
      <c r="F1391" s="6" t="s">
        <v>4183</v>
      </c>
      <c r="G1391" s="6" t="s">
        <v>4227</v>
      </c>
      <c r="H1391" s="12" t="n">
        <v>1603</v>
      </c>
      <c r="K1391" s="6" t="s">
        <v>4169</v>
      </c>
      <c r="L1391" s="6" t="s">
        <v>13</v>
      </c>
      <c r="M1391" s="6" t="s">
        <v>189</v>
      </c>
      <c r="N1391" s="6" t="s">
        <v>4228</v>
      </c>
      <c r="O1391" s="6"/>
      <c r="P1391" s="6"/>
    </row>
    <row r="1392" customFormat="false" ht="15" hidden="false" customHeight="false" outlineLevel="0" collapsed="false">
      <c r="A1392" s="6" t="s">
        <v>4229</v>
      </c>
      <c r="B1392" s="6" t="s">
        <v>196</v>
      </c>
      <c r="C1392" s="7" t="n">
        <v>46022</v>
      </c>
      <c r="D1392" s="6" t="s">
        <v>4165</v>
      </c>
      <c r="E1392" s="6" t="s">
        <v>4166</v>
      </c>
      <c r="F1392" s="6" t="s">
        <v>4183</v>
      </c>
      <c r="G1392" s="6" t="s">
        <v>4230</v>
      </c>
      <c r="H1392" s="12" t="n">
        <v>1756</v>
      </c>
      <c r="K1392" s="6" t="s">
        <v>4169</v>
      </c>
      <c r="L1392" s="6" t="s">
        <v>13</v>
      </c>
      <c r="M1392" s="6" t="s">
        <v>194</v>
      </c>
      <c r="N1392" s="6" t="s">
        <v>4231</v>
      </c>
      <c r="O1392" s="6"/>
      <c r="P1392" s="6"/>
    </row>
    <row r="1393" customFormat="false" ht="15" hidden="false" customHeight="false" outlineLevel="0" collapsed="false">
      <c r="A1393" s="6" t="s">
        <v>4232</v>
      </c>
      <c r="B1393" s="6" t="s">
        <v>201</v>
      </c>
      <c r="C1393" s="7" t="n">
        <v>46112</v>
      </c>
      <c r="D1393" s="6" t="s">
        <v>4165</v>
      </c>
      <c r="E1393" s="6" t="s">
        <v>4166</v>
      </c>
      <c r="F1393" s="6" t="s">
        <v>4183</v>
      </c>
      <c r="G1393" s="6" t="s">
        <v>4233</v>
      </c>
      <c r="H1393" s="12" t="n">
        <v>1844</v>
      </c>
      <c r="K1393" s="6" t="s">
        <v>4169</v>
      </c>
      <c r="L1393" s="6" t="s">
        <v>13</v>
      </c>
      <c r="M1393" s="6" t="s">
        <v>199</v>
      </c>
      <c r="N1393" s="6" t="s">
        <v>4234</v>
      </c>
      <c r="O1393" s="6"/>
      <c r="P1393" s="6"/>
    </row>
    <row r="1394" customFormat="false" ht="15" hidden="false" customHeight="false" outlineLevel="0" collapsed="false">
      <c r="A1394" s="6" t="s">
        <v>4235</v>
      </c>
      <c r="B1394" s="6" t="s">
        <v>206</v>
      </c>
      <c r="C1394" s="7" t="n">
        <v>46203</v>
      </c>
      <c r="D1394" s="6" t="s">
        <v>4165</v>
      </c>
      <c r="E1394" s="6" t="s">
        <v>4166</v>
      </c>
      <c r="F1394" s="6" t="s">
        <v>4183</v>
      </c>
      <c r="G1394" s="6" t="s">
        <v>4236</v>
      </c>
      <c r="H1394" s="12" t="n">
        <v>2019</v>
      </c>
      <c r="K1394" s="6" t="s">
        <v>4169</v>
      </c>
      <c r="L1394" s="6" t="s">
        <v>13</v>
      </c>
      <c r="M1394" s="6" t="s">
        <v>204</v>
      </c>
      <c r="N1394" s="6" t="s">
        <v>4237</v>
      </c>
      <c r="O1394" s="6"/>
      <c r="P1394" s="6"/>
    </row>
    <row r="1395" customFormat="false" ht="15" hidden="false" customHeight="false" outlineLevel="0" collapsed="false">
      <c r="A1395" s="6" t="s">
        <v>4238</v>
      </c>
      <c r="B1395" s="6" t="s">
        <v>156</v>
      </c>
      <c r="C1395" s="7" t="n">
        <v>45291</v>
      </c>
      <c r="D1395" s="6" t="s">
        <v>4176</v>
      </c>
      <c r="E1395" s="6" t="s">
        <v>4166</v>
      </c>
      <c r="F1395" s="6" t="s">
        <v>4239</v>
      </c>
      <c r="G1395" s="6" t="s">
        <v>4240</v>
      </c>
      <c r="H1395" s="10" t="n">
        <v>0.58</v>
      </c>
      <c r="K1395" s="6" t="s">
        <v>742</v>
      </c>
      <c r="L1395" s="6" t="s">
        <v>13</v>
      </c>
      <c r="M1395" s="6" t="s">
        <v>154</v>
      </c>
      <c r="N1395" s="6" t="s">
        <v>4200</v>
      </c>
      <c r="O1395" s="6"/>
      <c r="P1395" s="6" t="s">
        <v>4179</v>
      </c>
    </row>
    <row r="1396" customFormat="false" ht="15" hidden="false" customHeight="false" outlineLevel="0" collapsed="false">
      <c r="A1396" s="6" t="s">
        <v>4241</v>
      </c>
      <c r="B1396" s="6" t="s">
        <v>161</v>
      </c>
      <c r="C1396" s="7" t="n">
        <v>45382</v>
      </c>
      <c r="D1396" s="6" t="s">
        <v>4176</v>
      </c>
      <c r="E1396" s="6" t="s">
        <v>4166</v>
      </c>
      <c r="F1396" s="6" t="s">
        <v>4239</v>
      </c>
      <c r="G1396" s="6" t="s">
        <v>4242</v>
      </c>
      <c r="H1396" s="10" t="n">
        <v>0.55</v>
      </c>
      <c r="K1396" s="6" t="s">
        <v>742</v>
      </c>
      <c r="L1396" s="6" t="s">
        <v>13</v>
      </c>
      <c r="M1396" s="6" t="s">
        <v>159</v>
      </c>
      <c r="N1396" s="6" t="s">
        <v>4204</v>
      </c>
      <c r="O1396" s="6"/>
      <c r="P1396" s="6" t="s">
        <v>4179</v>
      </c>
    </row>
    <row r="1397" customFormat="false" ht="15" hidden="false" customHeight="false" outlineLevel="0" collapsed="false">
      <c r="A1397" s="6" t="s">
        <v>4243</v>
      </c>
      <c r="B1397" s="6" t="s">
        <v>166</v>
      </c>
      <c r="C1397" s="7" t="n">
        <v>45473</v>
      </c>
      <c r="D1397" s="6" t="s">
        <v>4176</v>
      </c>
      <c r="E1397" s="6" t="s">
        <v>4166</v>
      </c>
      <c r="F1397" s="6" t="s">
        <v>4239</v>
      </c>
      <c r="G1397" s="6" t="s">
        <v>4244</v>
      </c>
      <c r="H1397" s="10" t="n">
        <v>0.49</v>
      </c>
      <c r="K1397" s="6" t="s">
        <v>742</v>
      </c>
      <c r="L1397" s="6" t="s">
        <v>13</v>
      </c>
      <c r="M1397" s="6" t="s">
        <v>164</v>
      </c>
      <c r="N1397" s="6" t="s">
        <v>4208</v>
      </c>
      <c r="O1397" s="6"/>
      <c r="P1397" s="6" t="s">
        <v>4179</v>
      </c>
    </row>
    <row r="1398" customFormat="false" ht="15" hidden="false" customHeight="false" outlineLevel="0" collapsed="false">
      <c r="A1398" s="6" t="s">
        <v>4245</v>
      </c>
      <c r="B1398" s="6" t="s">
        <v>171</v>
      </c>
      <c r="C1398" s="7" t="n">
        <v>45565</v>
      </c>
      <c r="D1398" s="6" t="s">
        <v>4176</v>
      </c>
      <c r="E1398" s="6" t="s">
        <v>4166</v>
      </c>
      <c r="F1398" s="6" t="s">
        <v>4239</v>
      </c>
      <c r="G1398" s="6" t="s">
        <v>4246</v>
      </c>
      <c r="H1398" s="10" t="n">
        <v>0.44</v>
      </c>
      <c r="K1398" s="6" t="s">
        <v>742</v>
      </c>
      <c r="L1398" s="6" t="s">
        <v>13</v>
      </c>
      <c r="M1398" s="6" t="s">
        <v>169</v>
      </c>
      <c r="N1398" s="6" t="s">
        <v>4212</v>
      </c>
      <c r="O1398" s="6"/>
      <c r="P1398" s="6" t="s">
        <v>4179</v>
      </c>
    </row>
    <row r="1399" customFormat="false" ht="15" hidden="false" customHeight="false" outlineLevel="0" collapsed="false">
      <c r="A1399" s="6" t="s">
        <v>4247</v>
      </c>
      <c r="B1399" s="6" t="s">
        <v>176</v>
      </c>
      <c r="C1399" s="7" t="n">
        <v>45657</v>
      </c>
      <c r="D1399" s="6" t="s">
        <v>4176</v>
      </c>
      <c r="E1399" s="6" t="s">
        <v>4166</v>
      </c>
      <c r="F1399" s="6" t="s">
        <v>4239</v>
      </c>
      <c r="G1399" s="6" t="s">
        <v>4248</v>
      </c>
      <c r="H1399" s="10" t="n">
        <v>0.45</v>
      </c>
      <c r="K1399" s="6" t="s">
        <v>742</v>
      </c>
      <c r="L1399" s="6" t="s">
        <v>13</v>
      </c>
      <c r="M1399" s="6" t="s">
        <v>174</v>
      </c>
      <c r="N1399" s="6" t="s">
        <v>4216</v>
      </c>
      <c r="O1399" s="6"/>
      <c r="P1399" s="6" t="s">
        <v>4179</v>
      </c>
    </row>
    <row r="1400" customFormat="false" ht="15" hidden="false" customHeight="false" outlineLevel="0" collapsed="false">
      <c r="A1400" s="6" t="s">
        <v>4249</v>
      </c>
      <c r="B1400" s="6" t="s">
        <v>181</v>
      </c>
      <c r="C1400" s="7" t="n">
        <v>45747</v>
      </c>
      <c r="D1400" s="6" t="s">
        <v>4176</v>
      </c>
      <c r="E1400" s="6" t="s">
        <v>4166</v>
      </c>
      <c r="F1400" s="6" t="s">
        <v>4239</v>
      </c>
      <c r="G1400" s="6" t="s">
        <v>4250</v>
      </c>
      <c r="H1400" s="10" t="n">
        <v>0.46</v>
      </c>
      <c r="K1400" s="6" t="s">
        <v>742</v>
      </c>
      <c r="L1400" s="6" t="s">
        <v>13</v>
      </c>
      <c r="M1400" s="6" t="s">
        <v>179</v>
      </c>
      <c r="N1400" s="6" t="s">
        <v>4220</v>
      </c>
      <c r="O1400" s="6"/>
      <c r="P1400" s="6" t="s">
        <v>4179</v>
      </c>
    </row>
    <row r="1401" customFormat="false" ht="15" hidden="false" customHeight="false" outlineLevel="0" collapsed="false">
      <c r="A1401" s="6" t="s">
        <v>4251</v>
      </c>
      <c r="B1401" s="6" t="s">
        <v>186</v>
      </c>
      <c r="C1401" s="7" t="n">
        <v>45838</v>
      </c>
      <c r="D1401" s="6" t="s">
        <v>4176</v>
      </c>
      <c r="E1401" s="6" t="s">
        <v>4166</v>
      </c>
      <c r="F1401" s="6" t="s">
        <v>4239</v>
      </c>
      <c r="G1401" s="6" t="s">
        <v>4250</v>
      </c>
      <c r="H1401" s="10" t="n">
        <v>0.46</v>
      </c>
      <c r="K1401" s="6" t="s">
        <v>742</v>
      </c>
      <c r="L1401" s="6" t="s">
        <v>13</v>
      </c>
      <c r="M1401" s="6" t="s">
        <v>184</v>
      </c>
      <c r="N1401" s="6" t="s">
        <v>4224</v>
      </c>
      <c r="O1401" s="6"/>
      <c r="P1401" s="6" t="s">
        <v>4179</v>
      </c>
    </row>
    <row r="1402" customFormat="false" ht="15" hidden="false" customHeight="false" outlineLevel="0" collapsed="false">
      <c r="A1402" s="6" t="s">
        <v>4252</v>
      </c>
      <c r="B1402" s="6" t="s">
        <v>191</v>
      </c>
      <c r="C1402" s="7" t="n">
        <v>45930</v>
      </c>
      <c r="D1402" s="6" t="s">
        <v>4176</v>
      </c>
      <c r="E1402" s="6" t="s">
        <v>4166</v>
      </c>
      <c r="F1402" s="6" t="s">
        <v>4239</v>
      </c>
      <c r="G1402" s="6" t="s">
        <v>4253</v>
      </c>
      <c r="H1402" s="10" t="n">
        <v>0.48</v>
      </c>
      <c r="K1402" s="6" t="s">
        <v>742</v>
      </c>
      <c r="L1402" s="6" t="s">
        <v>13</v>
      </c>
      <c r="M1402" s="6" t="s">
        <v>189</v>
      </c>
      <c r="N1402" s="6" t="s">
        <v>4228</v>
      </c>
      <c r="O1402" s="6"/>
      <c r="P1402" s="6" t="s">
        <v>4179</v>
      </c>
    </row>
    <row r="1403" customFormat="false" ht="15" hidden="false" customHeight="false" outlineLevel="0" collapsed="false">
      <c r="A1403" s="6" t="s">
        <v>4254</v>
      </c>
      <c r="B1403" s="6" t="s">
        <v>196</v>
      </c>
      <c r="C1403" s="7" t="n">
        <v>46022</v>
      </c>
      <c r="D1403" s="6" t="s">
        <v>4176</v>
      </c>
      <c r="E1403" s="6" t="s">
        <v>4166</v>
      </c>
      <c r="F1403" s="6" t="s">
        <v>4239</v>
      </c>
      <c r="G1403" s="6" t="s">
        <v>4248</v>
      </c>
      <c r="H1403" s="10" t="n">
        <v>0.45</v>
      </c>
      <c r="K1403" s="6" t="s">
        <v>742</v>
      </c>
      <c r="L1403" s="6" t="s">
        <v>13</v>
      </c>
      <c r="M1403" s="6" t="s">
        <v>194</v>
      </c>
      <c r="N1403" s="6" t="s">
        <v>4231</v>
      </c>
      <c r="O1403" s="6"/>
      <c r="P1403" s="6" t="s">
        <v>4179</v>
      </c>
    </row>
    <row r="1404" customFormat="false" ht="15" hidden="false" customHeight="false" outlineLevel="0" collapsed="false">
      <c r="A1404" s="6" t="s">
        <v>4255</v>
      </c>
      <c r="B1404" s="6" t="s">
        <v>201</v>
      </c>
      <c r="C1404" s="7" t="n">
        <v>46112</v>
      </c>
      <c r="D1404" s="6" t="s">
        <v>4176</v>
      </c>
      <c r="E1404" s="6" t="s">
        <v>4166</v>
      </c>
      <c r="F1404" s="6" t="s">
        <v>4239</v>
      </c>
      <c r="G1404" s="6" t="s">
        <v>4256</v>
      </c>
      <c r="H1404" s="10" t="n">
        <v>0.39</v>
      </c>
      <c r="K1404" s="6" t="s">
        <v>742</v>
      </c>
      <c r="L1404" s="6" t="s">
        <v>13</v>
      </c>
      <c r="M1404" s="6" t="s">
        <v>199</v>
      </c>
      <c r="N1404" s="6" t="s">
        <v>4234</v>
      </c>
      <c r="O1404" s="6"/>
      <c r="P1404" s="6" t="s">
        <v>4179</v>
      </c>
    </row>
    <row r="1405" customFormat="false" ht="15" hidden="false" customHeight="false" outlineLevel="0" collapsed="false">
      <c r="A1405" s="6" t="s">
        <v>4257</v>
      </c>
      <c r="B1405" s="6" t="s">
        <v>206</v>
      </c>
      <c r="C1405" s="7" t="n">
        <v>46203</v>
      </c>
      <c r="D1405" s="6" t="s">
        <v>4176</v>
      </c>
      <c r="E1405" s="6" t="s">
        <v>4166</v>
      </c>
      <c r="F1405" s="6" t="s">
        <v>4239</v>
      </c>
      <c r="G1405" s="6" t="s">
        <v>4258</v>
      </c>
      <c r="H1405" s="10" t="n">
        <v>0.37</v>
      </c>
      <c r="K1405" s="6" t="s">
        <v>742</v>
      </c>
      <c r="L1405" s="6" t="s">
        <v>13</v>
      </c>
      <c r="M1405" s="6" t="s">
        <v>204</v>
      </c>
      <c r="N1405" s="6" t="s">
        <v>4237</v>
      </c>
      <c r="O1405" s="6"/>
      <c r="P1405" s="6" t="s">
        <v>4179</v>
      </c>
    </row>
    <row r="1406" customFormat="false" ht="15" hidden="false" customHeight="false" outlineLevel="0" collapsed="false">
      <c r="A1406" s="6" t="s">
        <v>4259</v>
      </c>
      <c r="B1406" s="6" t="s">
        <v>379</v>
      </c>
      <c r="C1406" s="7" t="n">
        <v>44286</v>
      </c>
      <c r="D1406" s="6" t="s">
        <v>4165</v>
      </c>
      <c r="E1406" s="6" t="s">
        <v>4166</v>
      </c>
      <c r="F1406" s="6" t="s">
        <v>4260</v>
      </c>
      <c r="G1406" s="6" t="s">
        <v>4261</v>
      </c>
      <c r="H1406" s="12" t="n">
        <v>335</v>
      </c>
      <c r="K1406" s="6" t="s">
        <v>4169</v>
      </c>
      <c r="L1406" s="6" t="s">
        <v>13</v>
      </c>
      <c r="M1406" s="6" t="s">
        <v>119</v>
      </c>
      <c r="N1406" s="6" t="s">
        <v>4262</v>
      </c>
      <c r="O1406" s="6"/>
      <c r="P1406" s="6" t="s">
        <v>4263</v>
      </c>
    </row>
    <row r="1407" customFormat="false" ht="15" hidden="false" customHeight="false" outlineLevel="0" collapsed="false">
      <c r="A1407" s="6" t="s">
        <v>4264</v>
      </c>
      <c r="B1407" s="6" t="s">
        <v>103</v>
      </c>
      <c r="C1407" s="7" t="n">
        <v>44377</v>
      </c>
      <c r="D1407" s="6" t="s">
        <v>4165</v>
      </c>
      <c r="E1407" s="6" t="s">
        <v>4166</v>
      </c>
      <c r="F1407" s="6" t="s">
        <v>4260</v>
      </c>
      <c r="G1407" s="6" t="s">
        <v>4265</v>
      </c>
      <c r="H1407" s="12" t="n">
        <v>470</v>
      </c>
      <c r="K1407" s="6" t="s">
        <v>4169</v>
      </c>
      <c r="L1407" s="6" t="s">
        <v>13</v>
      </c>
      <c r="M1407" s="6" t="s">
        <v>100</v>
      </c>
      <c r="N1407" s="6" t="s">
        <v>4266</v>
      </c>
      <c r="O1407" s="6"/>
      <c r="P1407" s="6" t="s">
        <v>4267</v>
      </c>
    </row>
    <row r="1408" customFormat="false" ht="15" hidden="false" customHeight="false" outlineLevel="0" collapsed="false">
      <c r="A1408" s="6" t="s">
        <v>4268</v>
      </c>
      <c r="B1408" s="6" t="s">
        <v>111</v>
      </c>
      <c r="C1408" s="7" t="n">
        <v>44469</v>
      </c>
      <c r="D1408" s="6" t="s">
        <v>4165</v>
      </c>
      <c r="E1408" s="6" t="s">
        <v>4166</v>
      </c>
      <c r="F1408" s="6" t="s">
        <v>4260</v>
      </c>
      <c r="G1408" s="6" t="s">
        <v>4269</v>
      </c>
      <c r="H1408" s="12" t="n">
        <v>613</v>
      </c>
      <c r="K1408" s="6" t="s">
        <v>4169</v>
      </c>
      <c r="L1408" s="6" t="s">
        <v>13</v>
      </c>
      <c r="M1408" s="6" t="s">
        <v>109</v>
      </c>
      <c r="N1408" s="6" t="s">
        <v>4270</v>
      </c>
      <c r="O1408" s="6"/>
      <c r="P1408" s="6" t="s">
        <v>4271</v>
      </c>
    </row>
    <row r="1409" customFormat="false" ht="15" hidden="false" customHeight="false" outlineLevel="0" collapsed="false">
      <c r="A1409" s="6" t="s">
        <v>4272</v>
      </c>
      <c r="B1409" s="6" t="s">
        <v>116</v>
      </c>
      <c r="C1409" s="7" t="n">
        <v>44561</v>
      </c>
      <c r="D1409" s="6" t="s">
        <v>4165</v>
      </c>
      <c r="E1409" s="6" t="s">
        <v>4166</v>
      </c>
      <c r="F1409" s="6" t="s">
        <v>4260</v>
      </c>
      <c r="G1409" s="6" t="s">
        <v>4273</v>
      </c>
      <c r="H1409" s="12" t="n">
        <v>793</v>
      </c>
      <c r="K1409" s="6" t="s">
        <v>4169</v>
      </c>
      <c r="L1409" s="6" t="s">
        <v>13</v>
      </c>
      <c r="M1409" s="6" t="s">
        <v>114</v>
      </c>
      <c r="N1409" s="6" t="s">
        <v>4274</v>
      </c>
      <c r="O1409" s="6"/>
      <c r="P1409" s="6" t="s">
        <v>4171</v>
      </c>
    </row>
    <row r="1410" customFormat="false" ht="15" hidden="false" customHeight="false" outlineLevel="0" collapsed="false">
      <c r="A1410" s="6" t="s">
        <v>4275</v>
      </c>
      <c r="B1410" s="6" t="s">
        <v>121</v>
      </c>
      <c r="C1410" s="7" t="n">
        <v>44651</v>
      </c>
      <c r="D1410" s="6" t="s">
        <v>4165</v>
      </c>
      <c r="E1410" s="6" t="s">
        <v>4166</v>
      </c>
      <c r="F1410" s="6" t="s">
        <v>4260</v>
      </c>
      <c r="G1410" s="6" t="s">
        <v>4276</v>
      </c>
      <c r="H1410" s="12" t="n">
        <v>960</v>
      </c>
      <c r="K1410" s="6" t="s">
        <v>4169</v>
      </c>
      <c r="L1410" s="6" t="s">
        <v>13</v>
      </c>
      <c r="M1410" s="6" t="s">
        <v>119</v>
      </c>
      <c r="N1410" s="6" t="s">
        <v>4277</v>
      </c>
      <c r="O1410" s="6"/>
      <c r="P1410" s="6" t="s">
        <v>4278</v>
      </c>
    </row>
    <row r="1411" customFormat="false" ht="15" hidden="false" customHeight="false" outlineLevel="0" collapsed="false">
      <c r="A1411" s="6" t="s">
        <v>4279</v>
      </c>
      <c r="B1411" s="6" t="s">
        <v>126</v>
      </c>
      <c r="C1411" s="7" t="n">
        <v>44742</v>
      </c>
      <c r="D1411" s="6" t="s">
        <v>4165</v>
      </c>
      <c r="E1411" s="6" t="s">
        <v>4166</v>
      </c>
      <c r="F1411" s="6" t="s">
        <v>4260</v>
      </c>
      <c r="G1411" s="6" t="s">
        <v>4280</v>
      </c>
      <c r="H1411" s="12" t="n">
        <v>1160</v>
      </c>
      <c r="K1411" s="6" t="s">
        <v>4169</v>
      </c>
      <c r="L1411" s="6" t="s">
        <v>13</v>
      </c>
      <c r="M1411" s="6" t="s">
        <v>124</v>
      </c>
      <c r="N1411" s="6" t="s">
        <v>4281</v>
      </c>
      <c r="O1411" s="6"/>
      <c r="P1411" s="6" t="s">
        <v>4282</v>
      </c>
    </row>
    <row r="1412" customFormat="false" ht="15" hidden="false" customHeight="false" outlineLevel="0" collapsed="false">
      <c r="A1412" s="6" t="s">
        <v>4283</v>
      </c>
      <c r="B1412" s="6" t="s">
        <v>131</v>
      </c>
      <c r="C1412" s="7" t="n">
        <v>44834</v>
      </c>
      <c r="D1412" s="6" t="s">
        <v>4165</v>
      </c>
      <c r="E1412" s="6" t="s">
        <v>4166</v>
      </c>
      <c r="F1412" s="6" t="s">
        <v>4260</v>
      </c>
      <c r="G1412" s="6" t="s">
        <v>4284</v>
      </c>
      <c r="H1412" s="12" t="n">
        <v>1323</v>
      </c>
      <c r="K1412" s="6" t="s">
        <v>4169</v>
      </c>
      <c r="L1412" s="6" t="s">
        <v>13</v>
      </c>
      <c r="M1412" s="6" t="s">
        <v>129</v>
      </c>
      <c r="N1412" s="6" t="s">
        <v>4285</v>
      </c>
      <c r="O1412" s="6"/>
      <c r="P1412" s="6" t="s">
        <v>4286</v>
      </c>
    </row>
    <row r="1413" customFormat="false" ht="15" hidden="false" customHeight="false" outlineLevel="0" collapsed="false">
      <c r="A1413" s="6" t="s">
        <v>4287</v>
      </c>
      <c r="B1413" s="6" t="s">
        <v>136</v>
      </c>
      <c r="C1413" s="7" t="n">
        <v>44926</v>
      </c>
      <c r="D1413" s="6" t="s">
        <v>4165</v>
      </c>
      <c r="E1413" s="6" t="s">
        <v>4166</v>
      </c>
      <c r="F1413" s="6" t="s">
        <v>4260</v>
      </c>
      <c r="G1413" s="6" t="s">
        <v>4288</v>
      </c>
      <c r="H1413" s="12" t="n">
        <v>1474</v>
      </c>
      <c r="K1413" s="6" t="s">
        <v>4169</v>
      </c>
      <c r="L1413" s="6" t="s">
        <v>13</v>
      </c>
      <c r="M1413" s="6" t="s">
        <v>134</v>
      </c>
      <c r="N1413" s="6" t="s">
        <v>4289</v>
      </c>
      <c r="O1413" s="6"/>
      <c r="P1413" s="6" t="s">
        <v>4290</v>
      </c>
    </row>
    <row r="1414" customFormat="false" ht="15" hidden="false" customHeight="false" outlineLevel="0" collapsed="false">
      <c r="A1414" s="6" t="s">
        <v>4291</v>
      </c>
      <c r="B1414" s="6" t="s">
        <v>141</v>
      </c>
      <c r="C1414" s="7" t="n">
        <v>45016</v>
      </c>
      <c r="D1414" s="6" t="s">
        <v>4165</v>
      </c>
      <c r="E1414" s="6" t="s">
        <v>4166</v>
      </c>
      <c r="F1414" s="6" t="s">
        <v>4260</v>
      </c>
      <c r="G1414" s="6" t="s">
        <v>4292</v>
      </c>
      <c r="H1414" s="12" t="n">
        <v>1683</v>
      </c>
      <c r="K1414" s="6" t="s">
        <v>4169</v>
      </c>
      <c r="L1414" s="6" t="s">
        <v>13</v>
      </c>
      <c r="M1414" s="6" t="s">
        <v>139</v>
      </c>
      <c r="N1414" s="6" t="s">
        <v>4293</v>
      </c>
      <c r="O1414" s="6"/>
      <c r="P1414" s="6" t="s">
        <v>4294</v>
      </c>
    </row>
    <row r="1415" customFormat="false" ht="15" hidden="false" customHeight="false" outlineLevel="0" collapsed="false">
      <c r="A1415" s="6" t="s">
        <v>4295</v>
      </c>
      <c r="B1415" s="6" t="s">
        <v>146</v>
      </c>
      <c r="C1415" s="7" t="n">
        <v>45107</v>
      </c>
      <c r="D1415" s="6" t="s">
        <v>4165</v>
      </c>
      <c r="E1415" s="6" t="s">
        <v>4166</v>
      </c>
      <c r="F1415" s="6" t="s">
        <v>4260</v>
      </c>
      <c r="G1415" s="6" t="s">
        <v>4296</v>
      </c>
      <c r="H1415" s="12" t="n">
        <v>1892</v>
      </c>
      <c r="K1415" s="6" t="s">
        <v>4169</v>
      </c>
      <c r="L1415" s="6" t="s">
        <v>13</v>
      </c>
      <c r="M1415" s="6" t="s">
        <v>144</v>
      </c>
      <c r="N1415" s="6" t="s">
        <v>4297</v>
      </c>
      <c r="O1415" s="6"/>
      <c r="P1415" s="6" t="s">
        <v>4298</v>
      </c>
    </row>
    <row r="1416" customFormat="false" ht="15" hidden="false" customHeight="false" outlineLevel="0" collapsed="false">
      <c r="A1416" s="6" t="s">
        <v>4299</v>
      </c>
      <c r="B1416" s="6" t="s">
        <v>151</v>
      </c>
      <c r="C1416" s="7" t="n">
        <v>45199</v>
      </c>
      <c r="D1416" s="6" t="s">
        <v>4165</v>
      </c>
      <c r="E1416" s="6" t="s">
        <v>4166</v>
      </c>
      <c r="F1416" s="6" t="s">
        <v>4260</v>
      </c>
      <c r="G1416" s="6" t="s">
        <v>4300</v>
      </c>
      <c r="H1416" s="12" t="n">
        <v>2077</v>
      </c>
      <c r="K1416" s="6" t="s">
        <v>4169</v>
      </c>
      <c r="L1416" s="6" t="s">
        <v>13</v>
      </c>
      <c r="M1416" s="6" t="s">
        <v>149</v>
      </c>
      <c r="N1416" s="6" t="s">
        <v>4301</v>
      </c>
      <c r="O1416" s="6"/>
      <c r="P1416" s="6" t="s">
        <v>4302</v>
      </c>
    </row>
    <row r="1417" customFormat="false" ht="15" hidden="false" customHeight="false" outlineLevel="0" collapsed="false">
      <c r="A1417" s="6" t="s">
        <v>4303</v>
      </c>
      <c r="B1417" s="6" t="s">
        <v>156</v>
      </c>
      <c r="C1417" s="7" t="n">
        <v>45291</v>
      </c>
      <c r="D1417" s="6" t="s">
        <v>4165</v>
      </c>
      <c r="E1417" s="6" t="s">
        <v>4166</v>
      </c>
      <c r="F1417" s="6" t="s">
        <v>4260</v>
      </c>
      <c r="G1417" s="6" t="s">
        <v>4304</v>
      </c>
      <c r="H1417" s="12" t="n">
        <v>2295</v>
      </c>
      <c r="K1417" s="6" t="s">
        <v>4169</v>
      </c>
      <c r="L1417" s="6" t="s">
        <v>13</v>
      </c>
      <c r="M1417" s="6" t="s">
        <v>154</v>
      </c>
      <c r="N1417" s="6" t="s">
        <v>4305</v>
      </c>
      <c r="O1417" s="6"/>
      <c r="P1417" s="6" t="s">
        <v>4201</v>
      </c>
    </row>
    <row r="1418" customFormat="false" ht="15" hidden="false" customHeight="false" outlineLevel="0" collapsed="false">
      <c r="A1418" s="6" t="s">
        <v>4306</v>
      </c>
      <c r="B1418" s="6" t="s">
        <v>161</v>
      </c>
      <c r="C1418" s="7" t="n">
        <v>45382</v>
      </c>
      <c r="D1418" s="6" t="s">
        <v>4165</v>
      </c>
      <c r="E1418" s="6" t="s">
        <v>4166</v>
      </c>
      <c r="F1418" s="6" t="s">
        <v>4260</v>
      </c>
      <c r="G1418" s="6" t="s">
        <v>4307</v>
      </c>
      <c r="H1418" s="12" t="n">
        <v>2491</v>
      </c>
      <c r="K1418" s="6" t="s">
        <v>4169</v>
      </c>
      <c r="L1418" s="6" t="s">
        <v>13</v>
      </c>
      <c r="M1418" s="6" t="s">
        <v>159</v>
      </c>
      <c r="N1418" s="6" t="s">
        <v>4308</v>
      </c>
      <c r="O1418" s="6"/>
      <c r="P1418" s="6" t="s">
        <v>4205</v>
      </c>
    </row>
    <row r="1419" customFormat="false" ht="15" hidden="false" customHeight="false" outlineLevel="0" collapsed="false">
      <c r="A1419" s="6" t="s">
        <v>4309</v>
      </c>
      <c r="B1419" s="6" t="s">
        <v>166</v>
      </c>
      <c r="C1419" s="7" t="n">
        <v>45473</v>
      </c>
      <c r="D1419" s="6" t="s">
        <v>4165</v>
      </c>
      <c r="E1419" s="6" t="s">
        <v>4166</v>
      </c>
      <c r="F1419" s="6" t="s">
        <v>4260</v>
      </c>
      <c r="G1419" s="6" t="s">
        <v>4310</v>
      </c>
      <c r="H1419" s="12" t="n">
        <v>2713</v>
      </c>
      <c r="K1419" s="6" t="s">
        <v>4169</v>
      </c>
      <c r="L1419" s="6" t="s">
        <v>13</v>
      </c>
      <c r="M1419" s="6" t="s">
        <v>164</v>
      </c>
      <c r="N1419" s="6" t="s">
        <v>4311</v>
      </c>
      <c r="O1419" s="6"/>
      <c r="P1419" s="6" t="s">
        <v>4209</v>
      </c>
    </row>
    <row r="1420" customFormat="false" ht="15" hidden="false" customHeight="false" outlineLevel="0" collapsed="false">
      <c r="A1420" s="6" t="s">
        <v>4312</v>
      </c>
      <c r="B1420" s="6" t="s">
        <v>171</v>
      </c>
      <c r="C1420" s="7" t="n">
        <v>45565</v>
      </c>
      <c r="D1420" s="6" t="s">
        <v>4165</v>
      </c>
      <c r="E1420" s="6" t="s">
        <v>4166</v>
      </c>
      <c r="F1420" s="6" t="s">
        <v>4260</v>
      </c>
      <c r="G1420" s="6" t="s">
        <v>4313</v>
      </c>
      <c r="H1420" s="12" t="n">
        <v>2907</v>
      </c>
      <c r="K1420" s="6" t="s">
        <v>4169</v>
      </c>
      <c r="L1420" s="6" t="s">
        <v>13</v>
      </c>
      <c r="M1420" s="6" t="s">
        <v>169</v>
      </c>
      <c r="N1420" s="6" t="s">
        <v>4314</v>
      </c>
      <c r="O1420" s="6"/>
      <c r="P1420" s="6" t="s">
        <v>4213</v>
      </c>
    </row>
    <row r="1421" customFormat="false" ht="15" hidden="false" customHeight="false" outlineLevel="0" collapsed="false">
      <c r="A1421" s="6" t="s">
        <v>4315</v>
      </c>
      <c r="B1421" s="6" t="s">
        <v>176</v>
      </c>
      <c r="C1421" s="7" t="n">
        <v>45657</v>
      </c>
      <c r="D1421" s="6" t="s">
        <v>4165</v>
      </c>
      <c r="E1421" s="6" t="s">
        <v>4166</v>
      </c>
      <c r="F1421" s="6" t="s">
        <v>4260</v>
      </c>
      <c r="G1421" s="6" t="s">
        <v>4316</v>
      </c>
      <c r="H1421" s="12" t="n">
        <v>3201</v>
      </c>
      <c r="K1421" s="6" t="s">
        <v>4169</v>
      </c>
      <c r="L1421" s="6" t="s">
        <v>13</v>
      </c>
      <c r="M1421" s="6" t="s">
        <v>174</v>
      </c>
      <c r="N1421" s="6" t="s">
        <v>4317</v>
      </c>
      <c r="O1421" s="6"/>
      <c r="P1421" s="6" t="s">
        <v>4217</v>
      </c>
    </row>
    <row r="1422" customFormat="false" ht="15" hidden="false" customHeight="false" outlineLevel="0" collapsed="false">
      <c r="A1422" s="6" t="s">
        <v>4318</v>
      </c>
      <c r="B1422" s="6" t="s">
        <v>181</v>
      </c>
      <c r="C1422" s="7" t="n">
        <v>45747</v>
      </c>
      <c r="D1422" s="6" t="s">
        <v>4165</v>
      </c>
      <c r="E1422" s="6" t="s">
        <v>4166</v>
      </c>
      <c r="F1422" s="6" t="s">
        <v>4260</v>
      </c>
      <c r="G1422" s="6" t="s">
        <v>4319</v>
      </c>
      <c r="H1422" s="12" t="n">
        <v>3444</v>
      </c>
      <c r="K1422" s="6" t="s">
        <v>4169</v>
      </c>
      <c r="L1422" s="6" t="s">
        <v>13</v>
      </c>
      <c r="M1422" s="6" t="s">
        <v>179</v>
      </c>
      <c r="N1422" s="6" t="s">
        <v>4320</v>
      </c>
      <c r="O1422" s="6"/>
      <c r="P1422" s="6" t="s">
        <v>4221</v>
      </c>
    </row>
    <row r="1423" customFormat="false" ht="15" hidden="false" customHeight="false" outlineLevel="0" collapsed="false">
      <c r="A1423" s="6" t="s">
        <v>4321</v>
      </c>
      <c r="B1423" s="6" t="s">
        <v>186</v>
      </c>
      <c r="C1423" s="7" t="n">
        <v>45838</v>
      </c>
      <c r="D1423" s="6" t="s">
        <v>4165</v>
      </c>
      <c r="E1423" s="6" t="s">
        <v>4166</v>
      </c>
      <c r="F1423" s="6" t="s">
        <v>4260</v>
      </c>
      <c r="G1423" s="6" t="s">
        <v>4322</v>
      </c>
      <c r="H1423" s="12" t="n">
        <v>3702</v>
      </c>
      <c r="K1423" s="6" t="s">
        <v>4169</v>
      </c>
      <c r="L1423" s="6" t="s">
        <v>13</v>
      </c>
      <c r="M1423" s="6" t="s">
        <v>184</v>
      </c>
      <c r="N1423" s="6" t="s">
        <v>4323</v>
      </c>
      <c r="O1423" s="6"/>
      <c r="P1423" s="6" t="s">
        <v>4225</v>
      </c>
    </row>
    <row r="1424" customFormat="false" ht="15" hidden="false" customHeight="false" outlineLevel="0" collapsed="false">
      <c r="A1424" s="6" t="s">
        <v>4324</v>
      </c>
      <c r="B1424" s="6" t="s">
        <v>191</v>
      </c>
      <c r="C1424" s="7" t="n">
        <v>45930</v>
      </c>
      <c r="D1424" s="6" t="s">
        <v>4165</v>
      </c>
      <c r="E1424" s="6" t="s">
        <v>4166</v>
      </c>
      <c r="F1424" s="6" t="s">
        <v>4260</v>
      </c>
      <c r="G1424" s="6" t="s">
        <v>4325</v>
      </c>
      <c r="H1424" s="12" t="n">
        <v>3993</v>
      </c>
      <c r="K1424" s="6" t="s">
        <v>4169</v>
      </c>
      <c r="L1424" s="6" t="s">
        <v>13</v>
      </c>
      <c r="M1424" s="6" t="s">
        <v>189</v>
      </c>
      <c r="N1424" s="6" t="s">
        <v>4326</v>
      </c>
      <c r="O1424" s="6"/>
      <c r="P1424" s="6"/>
    </row>
    <row r="1425" customFormat="false" ht="15" hidden="false" customHeight="false" outlineLevel="0" collapsed="false">
      <c r="A1425" s="6" t="s">
        <v>4327</v>
      </c>
      <c r="B1425" s="6" t="s">
        <v>196</v>
      </c>
      <c r="C1425" s="7" t="n">
        <v>46022</v>
      </c>
      <c r="D1425" s="6" t="s">
        <v>4165</v>
      </c>
      <c r="E1425" s="6" t="s">
        <v>4166</v>
      </c>
      <c r="F1425" s="6" t="s">
        <v>4260</v>
      </c>
      <c r="G1425" s="6" t="s">
        <v>4328</v>
      </c>
      <c r="H1425" s="12" t="n">
        <v>4281</v>
      </c>
      <c r="K1425" s="6" t="s">
        <v>4169</v>
      </c>
      <c r="L1425" s="6" t="s">
        <v>13</v>
      </c>
      <c r="M1425" s="6" t="s">
        <v>194</v>
      </c>
      <c r="N1425" s="6" t="s">
        <v>4329</v>
      </c>
      <c r="O1425" s="6"/>
      <c r="P1425" s="6"/>
    </row>
    <row r="1426" customFormat="false" ht="15" hidden="false" customHeight="false" outlineLevel="0" collapsed="false">
      <c r="A1426" s="6" t="s">
        <v>4330</v>
      </c>
      <c r="B1426" s="6" t="s">
        <v>201</v>
      </c>
      <c r="C1426" s="7" t="n">
        <v>46112</v>
      </c>
      <c r="D1426" s="6" t="s">
        <v>4165</v>
      </c>
      <c r="E1426" s="6" t="s">
        <v>4166</v>
      </c>
      <c r="F1426" s="6" t="s">
        <v>4260</v>
      </c>
      <c r="G1426" s="6" t="s">
        <v>4331</v>
      </c>
      <c r="H1426" s="12" t="n">
        <v>4547</v>
      </c>
      <c r="K1426" s="6" t="s">
        <v>4169</v>
      </c>
      <c r="L1426" s="6" t="s">
        <v>13</v>
      </c>
      <c r="M1426" s="6" t="s">
        <v>199</v>
      </c>
      <c r="N1426" s="6" t="s">
        <v>4332</v>
      </c>
      <c r="O1426" s="6"/>
      <c r="P1426" s="6"/>
    </row>
    <row r="1427" customFormat="false" ht="15" hidden="false" customHeight="false" outlineLevel="0" collapsed="false">
      <c r="A1427" s="6" t="s">
        <v>4333</v>
      </c>
      <c r="B1427" s="6" t="s">
        <v>206</v>
      </c>
      <c r="C1427" s="7" t="n">
        <v>46203</v>
      </c>
      <c r="D1427" s="6" t="s">
        <v>4165</v>
      </c>
      <c r="E1427" s="6" t="s">
        <v>4166</v>
      </c>
      <c r="F1427" s="6" t="s">
        <v>4260</v>
      </c>
      <c r="G1427" s="6" t="s">
        <v>4334</v>
      </c>
      <c r="H1427" s="12" t="n">
        <v>4834</v>
      </c>
      <c r="K1427" s="6" t="s">
        <v>4169</v>
      </c>
      <c r="L1427" s="6" t="s">
        <v>13</v>
      </c>
      <c r="M1427" s="6" t="s">
        <v>204</v>
      </c>
      <c r="N1427" s="6" t="s">
        <v>4335</v>
      </c>
      <c r="O1427" s="6"/>
      <c r="P1427" s="6"/>
    </row>
    <row r="1428" customFormat="false" ht="15" hidden="false" customHeight="false" outlineLevel="0" collapsed="false">
      <c r="A1428" s="6" t="s">
        <v>4336</v>
      </c>
      <c r="B1428" s="6" t="s">
        <v>103</v>
      </c>
      <c r="C1428" s="7" t="n">
        <v>44377</v>
      </c>
      <c r="D1428" s="6" t="s">
        <v>4176</v>
      </c>
      <c r="E1428" s="6" t="s">
        <v>4166</v>
      </c>
      <c r="F1428" s="6" t="s">
        <v>4337</v>
      </c>
      <c r="G1428" s="6" t="s">
        <v>4338</v>
      </c>
      <c r="H1428" s="10" t="n">
        <v>2.26</v>
      </c>
      <c r="K1428" s="6" t="s">
        <v>742</v>
      </c>
      <c r="L1428" s="6" t="s">
        <v>13</v>
      </c>
      <c r="M1428" s="6" t="s">
        <v>100</v>
      </c>
      <c r="N1428" s="6" t="s">
        <v>4266</v>
      </c>
      <c r="O1428" s="6"/>
      <c r="P1428" s="6" t="s">
        <v>4179</v>
      </c>
    </row>
    <row r="1429" customFormat="false" ht="15" hidden="false" customHeight="false" outlineLevel="0" collapsed="false">
      <c r="A1429" s="6" t="s">
        <v>4339</v>
      </c>
      <c r="B1429" s="6" t="s">
        <v>111</v>
      </c>
      <c r="C1429" s="7" t="n">
        <v>44469</v>
      </c>
      <c r="D1429" s="6" t="s">
        <v>4176</v>
      </c>
      <c r="E1429" s="6" t="s">
        <v>4166</v>
      </c>
      <c r="F1429" s="6" t="s">
        <v>4337</v>
      </c>
      <c r="G1429" s="6" t="s">
        <v>4340</v>
      </c>
      <c r="H1429" s="10" t="n">
        <v>2.31</v>
      </c>
      <c r="K1429" s="6" t="s">
        <v>742</v>
      </c>
      <c r="L1429" s="6" t="s">
        <v>13</v>
      </c>
      <c r="M1429" s="6" t="s">
        <v>109</v>
      </c>
      <c r="N1429" s="6" t="s">
        <v>4270</v>
      </c>
      <c r="O1429" s="6"/>
      <c r="P1429" s="6" t="s">
        <v>4179</v>
      </c>
    </row>
    <row r="1430" customFormat="false" ht="15" hidden="false" customHeight="false" outlineLevel="0" collapsed="false">
      <c r="A1430" s="6" t="s">
        <v>4341</v>
      </c>
      <c r="B1430" s="6" t="s">
        <v>116</v>
      </c>
      <c r="C1430" s="7" t="n">
        <v>44561</v>
      </c>
      <c r="D1430" s="6" t="s">
        <v>4176</v>
      </c>
      <c r="E1430" s="6" t="s">
        <v>4166</v>
      </c>
      <c r="F1430" s="6" t="s">
        <v>4337</v>
      </c>
      <c r="G1430" s="6" t="s">
        <v>4342</v>
      </c>
      <c r="H1430" s="10" t="n">
        <v>2</v>
      </c>
      <c r="K1430" s="6" t="s">
        <v>742</v>
      </c>
      <c r="L1430" s="6" t="s">
        <v>13</v>
      </c>
      <c r="M1430" s="6" t="s">
        <v>114</v>
      </c>
      <c r="N1430" s="6" t="s">
        <v>4274</v>
      </c>
      <c r="O1430" s="6"/>
      <c r="P1430" s="6" t="s">
        <v>4179</v>
      </c>
    </row>
    <row r="1431" customFormat="false" ht="15" hidden="false" customHeight="false" outlineLevel="0" collapsed="false">
      <c r="A1431" s="6" t="s">
        <v>4343</v>
      </c>
      <c r="B1431" s="6" t="s">
        <v>121</v>
      </c>
      <c r="C1431" s="7" t="n">
        <v>44651</v>
      </c>
      <c r="D1431" s="6" t="s">
        <v>4176</v>
      </c>
      <c r="E1431" s="6" t="s">
        <v>4166</v>
      </c>
      <c r="F1431" s="6" t="s">
        <v>4337</v>
      </c>
      <c r="G1431" s="6" t="s">
        <v>4344</v>
      </c>
      <c r="H1431" s="10" t="n">
        <v>1.87</v>
      </c>
      <c r="K1431" s="6" t="s">
        <v>742</v>
      </c>
      <c r="L1431" s="6" t="s">
        <v>13</v>
      </c>
      <c r="M1431" s="6" t="s">
        <v>119</v>
      </c>
      <c r="N1431" s="6" t="s">
        <v>4277</v>
      </c>
      <c r="O1431" s="6"/>
      <c r="P1431" s="6" t="s">
        <v>4179</v>
      </c>
    </row>
    <row r="1432" customFormat="false" ht="15" hidden="false" customHeight="false" outlineLevel="0" collapsed="false">
      <c r="A1432" s="6" t="s">
        <v>4345</v>
      </c>
      <c r="B1432" s="6" t="s">
        <v>126</v>
      </c>
      <c r="C1432" s="7" t="n">
        <v>44742</v>
      </c>
      <c r="D1432" s="6" t="s">
        <v>4176</v>
      </c>
      <c r="E1432" s="6" t="s">
        <v>4166</v>
      </c>
      <c r="F1432" s="6" t="s">
        <v>4337</v>
      </c>
      <c r="G1432" s="6" t="s">
        <v>4346</v>
      </c>
      <c r="H1432" s="10" t="n">
        <v>1.47</v>
      </c>
      <c r="K1432" s="6" t="s">
        <v>742</v>
      </c>
      <c r="L1432" s="6" t="s">
        <v>13</v>
      </c>
      <c r="M1432" s="6" t="s">
        <v>124</v>
      </c>
      <c r="N1432" s="6" t="s">
        <v>4281</v>
      </c>
      <c r="O1432" s="6"/>
      <c r="P1432" s="6" t="s">
        <v>4179</v>
      </c>
    </row>
    <row r="1433" customFormat="false" ht="15" hidden="false" customHeight="false" outlineLevel="0" collapsed="false">
      <c r="A1433" s="6" t="s">
        <v>4347</v>
      </c>
      <c r="B1433" s="6" t="s">
        <v>131</v>
      </c>
      <c r="C1433" s="7" t="n">
        <v>44834</v>
      </c>
      <c r="D1433" s="6" t="s">
        <v>4176</v>
      </c>
      <c r="E1433" s="6" t="s">
        <v>4166</v>
      </c>
      <c r="F1433" s="6" t="s">
        <v>4337</v>
      </c>
      <c r="G1433" s="6" t="s">
        <v>4348</v>
      </c>
      <c r="H1433" s="10" t="n">
        <v>1.16</v>
      </c>
      <c r="K1433" s="6" t="s">
        <v>742</v>
      </c>
      <c r="L1433" s="6" t="s">
        <v>13</v>
      </c>
      <c r="M1433" s="6" t="s">
        <v>129</v>
      </c>
      <c r="N1433" s="6" t="s">
        <v>4285</v>
      </c>
      <c r="O1433" s="6"/>
      <c r="P1433" s="6" t="s">
        <v>4179</v>
      </c>
    </row>
    <row r="1434" customFormat="false" ht="15" hidden="false" customHeight="false" outlineLevel="0" collapsed="false">
      <c r="A1434" s="6" t="s">
        <v>4349</v>
      </c>
      <c r="B1434" s="6" t="s">
        <v>136</v>
      </c>
      <c r="C1434" s="7" t="n">
        <v>44926</v>
      </c>
      <c r="D1434" s="6" t="s">
        <v>4176</v>
      </c>
      <c r="E1434" s="6" t="s">
        <v>4166</v>
      </c>
      <c r="F1434" s="6" t="s">
        <v>4337</v>
      </c>
      <c r="G1434" s="6" t="s">
        <v>4350</v>
      </c>
      <c r="H1434" s="10" t="n">
        <v>0.86</v>
      </c>
      <c r="K1434" s="6" t="s">
        <v>742</v>
      </c>
      <c r="L1434" s="6" t="s">
        <v>13</v>
      </c>
      <c r="M1434" s="6" t="s">
        <v>134</v>
      </c>
      <c r="N1434" s="6" t="s">
        <v>4289</v>
      </c>
      <c r="O1434" s="6"/>
      <c r="P1434" s="6" t="s">
        <v>4179</v>
      </c>
    </row>
    <row r="1435" customFormat="false" ht="15" hidden="false" customHeight="false" outlineLevel="0" collapsed="false">
      <c r="A1435" s="6" t="s">
        <v>4351</v>
      </c>
      <c r="B1435" s="6" t="s">
        <v>141</v>
      </c>
      <c r="C1435" s="7" t="n">
        <v>45016</v>
      </c>
      <c r="D1435" s="6" t="s">
        <v>4176</v>
      </c>
      <c r="E1435" s="6" t="s">
        <v>4166</v>
      </c>
      <c r="F1435" s="6" t="s">
        <v>4337</v>
      </c>
      <c r="G1435" s="6" t="s">
        <v>4352</v>
      </c>
      <c r="H1435" s="10" t="n">
        <v>0.75</v>
      </c>
      <c r="K1435" s="6" t="s">
        <v>742</v>
      </c>
      <c r="L1435" s="6" t="s">
        <v>13</v>
      </c>
      <c r="M1435" s="6" t="s">
        <v>139</v>
      </c>
      <c r="N1435" s="6" t="s">
        <v>4293</v>
      </c>
      <c r="O1435" s="6"/>
      <c r="P1435" s="6" t="s">
        <v>4179</v>
      </c>
    </row>
    <row r="1436" customFormat="false" ht="15" hidden="false" customHeight="false" outlineLevel="0" collapsed="false">
      <c r="A1436" s="6" t="s">
        <v>4353</v>
      </c>
      <c r="B1436" s="6" t="s">
        <v>146</v>
      </c>
      <c r="C1436" s="7" t="n">
        <v>45107</v>
      </c>
      <c r="D1436" s="6" t="s">
        <v>4176</v>
      </c>
      <c r="E1436" s="6" t="s">
        <v>4166</v>
      </c>
      <c r="F1436" s="6" t="s">
        <v>4337</v>
      </c>
      <c r="G1436" s="6" t="s">
        <v>4354</v>
      </c>
      <c r="H1436" s="10" t="n">
        <v>0.63</v>
      </c>
      <c r="K1436" s="6" t="s">
        <v>742</v>
      </c>
      <c r="L1436" s="6" t="s">
        <v>13</v>
      </c>
      <c r="M1436" s="6" t="s">
        <v>144</v>
      </c>
      <c r="N1436" s="6" t="s">
        <v>4297</v>
      </c>
      <c r="O1436" s="6"/>
      <c r="P1436" s="6" t="s">
        <v>4179</v>
      </c>
    </row>
    <row r="1437" customFormat="false" ht="15" hidden="false" customHeight="false" outlineLevel="0" collapsed="false">
      <c r="A1437" s="6" t="s">
        <v>4355</v>
      </c>
      <c r="B1437" s="6" t="s">
        <v>151</v>
      </c>
      <c r="C1437" s="7" t="n">
        <v>45199</v>
      </c>
      <c r="D1437" s="6" t="s">
        <v>4176</v>
      </c>
      <c r="E1437" s="6" t="s">
        <v>4166</v>
      </c>
      <c r="F1437" s="6" t="s">
        <v>4337</v>
      </c>
      <c r="G1437" s="6" t="s">
        <v>4356</v>
      </c>
      <c r="H1437" s="10" t="n">
        <v>0.57</v>
      </c>
      <c r="K1437" s="6" t="s">
        <v>742</v>
      </c>
      <c r="L1437" s="6" t="s">
        <v>13</v>
      </c>
      <c r="M1437" s="6" t="s">
        <v>149</v>
      </c>
      <c r="N1437" s="6" t="s">
        <v>4301</v>
      </c>
      <c r="O1437" s="6"/>
      <c r="P1437" s="6" t="s">
        <v>4179</v>
      </c>
    </row>
    <row r="1438" customFormat="false" ht="15" hidden="false" customHeight="false" outlineLevel="0" collapsed="false">
      <c r="A1438" s="6" t="s">
        <v>4357</v>
      </c>
      <c r="B1438" s="6" t="s">
        <v>156</v>
      </c>
      <c r="C1438" s="7" t="n">
        <v>45291</v>
      </c>
      <c r="D1438" s="6" t="s">
        <v>4176</v>
      </c>
      <c r="E1438" s="6" t="s">
        <v>4166</v>
      </c>
      <c r="F1438" s="6" t="s">
        <v>4337</v>
      </c>
      <c r="G1438" s="6" t="s">
        <v>4358</v>
      </c>
      <c r="H1438" s="10" t="n">
        <v>0.56</v>
      </c>
      <c r="K1438" s="6" t="s">
        <v>742</v>
      </c>
      <c r="L1438" s="6" t="s">
        <v>13</v>
      </c>
      <c r="M1438" s="6" t="s">
        <v>154</v>
      </c>
      <c r="N1438" s="6" t="s">
        <v>4305</v>
      </c>
      <c r="O1438" s="6"/>
      <c r="P1438" s="6" t="s">
        <v>4179</v>
      </c>
    </row>
    <row r="1439" customFormat="false" ht="15" hidden="false" customHeight="false" outlineLevel="0" collapsed="false">
      <c r="A1439" s="6" t="s">
        <v>4359</v>
      </c>
      <c r="B1439" s="6" t="s">
        <v>161</v>
      </c>
      <c r="C1439" s="7" t="n">
        <v>45382</v>
      </c>
      <c r="D1439" s="6" t="s">
        <v>4176</v>
      </c>
      <c r="E1439" s="6" t="s">
        <v>4166</v>
      </c>
      <c r="F1439" s="6" t="s">
        <v>4337</v>
      </c>
      <c r="G1439" s="6" t="s">
        <v>4253</v>
      </c>
      <c r="H1439" s="10" t="n">
        <v>0.48</v>
      </c>
      <c r="K1439" s="6" t="s">
        <v>742</v>
      </c>
      <c r="L1439" s="6" t="s">
        <v>13</v>
      </c>
      <c r="M1439" s="6" t="s">
        <v>159</v>
      </c>
      <c r="N1439" s="6" t="s">
        <v>4308</v>
      </c>
      <c r="O1439" s="6"/>
      <c r="P1439" s="6" t="s">
        <v>4179</v>
      </c>
    </row>
    <row r="1440" customFormat="false" ht="15" hidden="false" customHeight="false" outlineLevel="0" collapsed="false">
      <c r="A1440" s="6" t="s">
        <v>4360</v>
      </c>
      <c r="B1440" s="6" t="s">
        <v>166</v>
      </c>
      <c r="C1440" s="7" t="n">
        <v>45473</v>
      </c>
      <c r="D1440" s="6" t="s">
        <v>4176</v>
      </c>
      <c r="E1440" s="6" t="s">
        <v>4166</v>
      </c>
      <c r="F1440" s="6" t="s">
        <v>4337</v>
      </c>
      <c r="G1440" s="6" t="s">
        <v>4361</v>
      </c>
      <c r="H1440" s="10" t="n">
        <v>0.43</v>
      </c>
      <c r="K1440" s="6" t="s">
        <v>742</v>
      </c>
      <c r="L1440" s="6" t="s">
        <v>13</v>
      </c>
      <c r="M1440" s="6" t="s">
        <v>164</v>
      </c>
      <c r="N1440" s="6" t="s">
        <v>4311</v>
      </c>
      <c r="O1440" s="6"/>
      <c r="P1440" s="6" t="s">
        <v>4179</v>
      </c>
    </row>
    <row r="1441" customFormat="false" ht="15" hidden="false" customHeight="false" outlineLevel="0" collapsed="false">
      <c r="A1441" s="6" t="s">
        <v>4362</v>
      </c>
      <c r="B1441" s="6" t="s">
        <v>171</v>
      </c>
      <c r="C1441" s="7" t="n">
        <v>45565</v>
      </c>
      <c r="D1441" s="6" t="s">
        <v>4176</v>
      </c>
      <c r="E1441" s="6" t="s">
        <v>4166</v>
      </c>
      <c r="F1441" s="6" t="s">
        <v>4337</v>
      </c>
      <c r="G1441" s="6" t="s">
        <v>4363</v>
      </c>
      <c r="H1441" s="10" t="n">
        <v>0.4</v>
      </c>
      <c r="K1441" s="6" t="s">
        <v>742</v>
      </c>
      <c r="L1441" s="6" t="s">
        <v>13</v>
      </c>
      <c r="M1441" s="6" t="s">
        <v>169</v>
      </c>
      <c r="N1441" s="6" t="s">
        <v>4314</v>
      </c>
      <c r="O1441" s="6"/>
      <c r="P1441" s="6" t="s">
        <v>4179</v>
      </c>
    </row>
    <row r="1442" customFormat="false" ht="15" hidden="false" customHeight="false" outlineLevel="0" collapsed="false">
      <c r="A1442" s="6" t="s">
        <v>4364</v>
      </c>
      <c r="B1442" s="6" t="s">
        <v>176</v>
      </c>
      <c r="C1442" s="7" t="n">
        <v>45657</v>
      </c>
      <c r="D1442" s="6" t="s">
        <v>4176</v>
      </c>
      <c r="E1442" s="6" t="s">
        <v>4166</v>
      </c>
      <c r="F1442" s="6" t="s">
        <v>4337</v>
      </c>
      <c r="G1442" s="6" t="s">
        <v>4256</v>
      </c>
      <c r="H1442" s="10" t="n">
        <v>0.39</v>
      </c>
      <c r="K1442" s="6" t="s">
        <v>742</v>
      </c>
      <c r="L1442" s="6" t="s">
        <v>13</v>
      </c>
      <c r="M1442" s="6" t="s">
        <v>174</v>
      </c>
      <c r="N1442" s="6" t="s">
        <v>4317</v>
      </c>
      <c r="O1442" s="6"/>
      <c r="P1442" s="6" t="s">
        <v>4179</v>
      </c>
    </row>
    <row r="1443" customFormat="false" ht="15" hidden="false" customHeight="false" outlineLevel="0" collapsed="false">
      <c r="A1443" s="6" t="s">
        <v>4365</v>
      </c>
      <c r="B1443" s="6" t="s">
        <v>181</v>
      </c>
      <c r="C1443" s="7" t="n">
        <v>45747</v>
      </c>
      <c r="D1443" s="6" t="s">
        <v>4176</v>
      </c>
      <c r="E1443" s="6" t="s">
        <v>4166</v>
      </c>
      <c r="F1443" s="6" t="s">
        <v>4337</v>
      </c>
      <c r="G1443" s="6" t="s">
        <v>4366</v>
      </c>
      <c r="H1443" s="10" t="n">
        <v>0.38</v>
      </c>
      <c r="K1443" s="6" t="s">
        <v>742</v>
      </c>
      <c r="L1443" s="6" t="s">
        <v>13</v>
      </c>
      <c r="M1443" s="6" t="s">
        <v>179</v>
      </c>
      <c r="N1443" s="6" t="s">
        <v>4320</v>
      </c>
      <c r="O1443" s="6"/>
      <c r="P1443" s="6" t="s">
        <v>4179</v>
      </c>
    </row>
    <row r="1444" customFormat="false" ht="15" hidden="false" customHeight="false" outlineLevel="0" collapsed="false">
      <c r="A1444" s="6" t="s">
        <v>4367</v>
      </c>
      <c r="B1444" s="6" t="s">
        <v>186</v>
      </c>
      <c r="C1444" s="7" t="n">
        <v>45838</v>
      </c>
      <c r="D1444" s="6" t="s">
        <v>4176</v>
      </c>
      <c r="E1444" s="6" t="s">
        <v>4166</v>
      </c>
      <c r="F1444" s="6" t="s">
        <v>4337</v>
      </c>
      <c r="G1444" s="6" t="s">
        <v>4368</v>
      </c>
      <c r="H1444" s="10" t="n">
        <v>0.36</v>
      </c>
      <c r="K1444" s="6" t="s">
        <v>742</v>
      </c>
      <c r="L1444" s="6" t="s">
        <v>13</v>
      </c>
      <c r="M1444" s="6" t="s">
        <v>184</v>
      </c>
      <c r="N1444" s="6" t="s">
        <v>4323</v>
      </c>
      <c r="O1444" s="6"/>
      <c r="P1444" s="6" t="s">
        <v>4179</v>
      </c>
    </row>
    <row r="1445" customFormat="false" ht="15" hidden="false" customHeight="false" outlineLevel="0" collapsed="false">
      <c r="A1445" s="6" t="s">
        <v>4369</v>
      </c>
      <c r="B1445" s="6" t="s">
        <v>191</v>
      </c>
      <c r="C1445" s="7" t="n">
        <v>45930</v>
      </c>
      <c r="D1445" s="6" t="s">
        <v>4176</v>
      </c>
      <c r="E1445" s="6" t="s">
        <v>4166</v>
      </c>
      <c r="F1445" s="6" t="s">
        <v>4337</v>
      </c>
      <c r="G1445" s="6" t="s">
        <v>4258</v>
      </c>
      <c r="H1445" s="10" t="n">
        <v>0.37</v>
      </c>
      <c r="K1445" s="6" t="s">
        <v>742</v>
      </c>
      <c r="L1445" s="6" t="s">
        <v>13</v>
      </c>
      <c r="M1445" s="6" t="s">
        <v>189</v>
      </c>
      <c r="N1445" s="6" t="s">
        <v>4326</v>
      </c>
      <c r="O1445" s="6"/>
      <c r="P1445" s="6" t="s">
        <v>4179</v>
      </c>
    </row>
    <row r="1446" customFormat="false" ht="15" hidden="false" customHeight="false" outlineLevel="0" collapsed="false">
      <c r="A1446" s="6" t="s">
        <v>4370</v>
      </c>
      <c r="B1446" s="6" t="s">
        <v>196</v>
      </c>
      <c r="C1446" s="7" t="n">
        <v>46022</v>
      </c>
      <c r="D1446" s="6" t="s">
        <v>4176</v>
      </c>
      <c r="E1446" s="6" t="s">
        <v>4166</v>
      </c>
      <c r="F1446" s="6" t="s">
        <v>4337</v>
      </c>
      <c r="G1446" s="6" t="s">
        <v>4178</v>
      </c>
      <c r="H1446" s="10" t="n">
        <v>0.34</v>
      </c>
      <c r="K1446" s="6" t="s">
        <v>742</v>
      </c>
      <c r="L1446" s="6" t="s">
        <v>13</v>
      </c>
      <c r="M1446" s="6" t="s">
        <v>194</v>
      </c>
      <c r="N1446" s="6" t="s">
        <v>4329</v>
      </c>
      <c r="O1446" s="6"/>
      <c r="P1446" s="6" t="s">
        <v>4179</v>
      </c>
    </row>
    <row r="1447" customFormat="false" ht="15" hidden="false" customHeight="false" outlineLevel="0" collapsed="false">
      <c r="A1447" s="6" t="s">
        <v>4371</v>
      </c>
      <c r="B1447" s="6" t="s">
        <v>201</v>
      </c>
      <c r="C1447" s="7" t="n">
        <v>46112</v>
      </c>
      <c r="D1447" s="6" t="s">
        <v>4176</v>
      </c>
      <c r="E1447" s="6" t="s">
        <v>4166</v>
      </c>
      <c r="F1447" s="6" t="s">
        <v>4337</v>
      </c>
      <c r="G1447" s="6" t="s">
        <v>4372</v>
      </c>
      <c r="H1447" s="10" t="n">
        <v>0.32</v>
      </c>
      <c r="K1447" s="6" t="s">
        <v>742</v>
      </c>
      <c r="L1447" s="6" t="s">
        <v>13</v>
      </c>
      <c r="M1447" s="6" t="s">
        <v>199</v>
      </c>
      <c r="N1447" s="6" t="s">
        <v>4332</v>
      </c>
      <c r="O1447" s="6"/>
      <c r="P1447" s="6" t="s">
        <v>4179</v>
      </c>
    </row>
    <row r="1448" customFormat="false" ht="15" hidden="false" customHeight="false" outlineLevel="0" collapsed="false">
      <c r="A1448" s="6" t="s">
        <v>4373</v>
      </c>
      <c r="B1448" s="6" t="s">
        <v>206</v>
      </c>
      <c r="C1448" s="7" t="n">
        <v>46203</v>
      </c>
      <c r="D1448" s="6" t="s">
        <v>4176</v>
      </c>
      <c r="E1448" s="6" t="s">
        <v>4166</v>
      </c>
      <c r="F1448" s="6" t="s">
        <v>4337</v>
      </c>
      <c r="G1448" s="6" t="s">
        <v>4374</v>
      </c>
      <c r="H1448" s="10" t="n">
        <v>0.31</v>
      </c>
      <c r="K1448" s="6" t="s">
        <v>742</v>
      </c>
      <c r="L1448" s="6" t="s">
        <v>13</v>
      </c>
      <c r="M1448" s="6" t="s">
        <v>204</v>
      </c>
      <c r="N1448" s="6" t="s">
        <v>4335</v>
      </c>
      <c r="O1448" s="6"/>
      <c r="P1448" s="6" t="s">
        <v>4179</v>
      </c>
    </row>
    <row r="1449" customFormat="false" ht="15" hidden="false" customHeight="false" outlineLevel="0" collapsed="false">
      <c r="A1449" s="6" t="s">
        <v>4375</v>
      </c>
      <c r="B1449" s="6" t="s">
        <v>171</v>
      </c>
      <c r="C1449" s="7" t="n">
        <v>45565</v>
      </c>
      <c r="D1449" s="6" t="s">
        <v>4165</v>
      </c>
      <c r="E1449" s="6" t="s">
        <v>4166</v>
      </c>
      <c r="F1449" s="6" t="s">
        <v>4376</v>
      </c>
      <c r="G1449" s="6" t="s">
        <v>4377</v>
      </c>
      <c r="H1449" s="12" t="n">
        <v>45</v>
      </c>
      <c r="K1449" s="6" t="s">
        <v>4169</v>
      </c>
      <c r="L1449" s="6" t="s">
        <v>13</v>
      </c>
      <c r="M1449" s="6" t="s">
        <v>189</v>
      </c>
      <c r="N1449" s="6" t="s">
        <v>4378</v>
      </c>
      <c r="O1449" s="6"/>
      <c r="P1449" s="6" t="s">
        <v>4379</v>
      </c>
    </row>
    <row r="1450" customFormat="false" ht="15" hidden="false" customHeight="false" outlineLevel="0" collapsed="false">
      <c r="A1450" s="6" t="s">
        <v>4380</v>
      </c>
      <c r="B1450" s="6" t="s">
        <v>176</v>
      </c>
      <c r="C1450" s="7" t="n">
        <v>45657</v>
      </c>
      <c r="D1450" s="6" t="s">
        <v>4165</v>
      </c>
      <c r="E1450" s="6" t="s">
        <v>4166</v>
      </c>
      <c r="F1450" s="6" t="s">
        <v>4376</v>
      </c>
      <c r="G1450" s="6" t="s">
        <v>4381</v>
      </c>
      <c r="H1450" s="12" t="n">
        <v>50</v>
      </c>
      <c r="K1450" s="6" t="s">
        <v>4169</v>
      </c>
      <c r="L1450" s="6" t="s">
        <v>13</v>
      </c>
      <c r="M1450" s="6" t="s">
        <v>194</v>
      </c>
      <c r="N1450" s="6" t="s">
        <v>4382</v>
      </c>
      <c r="O1450" s="6"/>
      <c r="P1450" s="6" t="s">
        <v>4383</v>
      </c>
    </row>
    <row r="1451" customFormat="false" ht="15" hidden="false" customHeight="false" outlineLevel="0" collapsed="false">
      <c r="A1451" s="6" t="s">
        <v>4384</v>
      </c>
      <c r="B1451" s="6" t="s">
        <v>181</v>
      </c>
      <c r="C1451" s="7" t="n">
        <v>45747</v>
      </c>
      <c r="D1451" s="6" t="s">
        <v>4165</v>
      </c>
      <c r="E1451" s="6" t="s">
        <v>4166</v>
      </c>
      <c r="F1451" s="6" t="s">
        <v>4376</v>
      </c>
      <c r="G1451" s="6" t="s">
        <v>4385</v>
      </c>
      <c r="H1451" s="12" t="n">
        <v>57</v>
      </c>
      <c r="K1451" s="6" t="s">
        <v>4169</v>
      </c>
      <c r="L1451" s="6" t="s">
        <v>13</v>
      </c>
      <c r="M1451" s="6" t="s">
        <v>199</v>
      </c>
      <c r="N1451" s="6" t="s">
        <v>4386</v>
      </c>
      <c r="O1451" s="6"/>
      <c r="P1451" s="6" t="s">
        <v>4387</v>
      </c>
    </row>
    <row r="1452" customFormat="false" ht="15" hidden="false" customHeight="false" outlineLevel="0" collapsed="false">
      <c r="A1452" s="6" t="s">
        <v>4388</v>
      </c>
      <c r="B1452" s="6" t="s">
        <v>186</v>
      </c>
      <c r="C1452" s="7" t="n">
        <v>45838</v>
      </c>
      <c r="D1452" s="6" t="s">
        <v>4165</v>
      </c>
      <c r="E1452" s="6" t="s">
        <v>4166</v>
      </c>
      <c r="F1452" s="6" t="s">
        <v>4376</v>
      </c>
      <c r="G1452" s="6" t="s">
        <v>4389</v>
      </c>
      <c r="H1452" s="12" t="n">
        <v>68</v>
      </c>
      <c r="K1452" s="6" t="s">
        <v>4169</v>
      </c>
      <c r="L1452" s="6" t="s">
        <v>13</v>
      </c>
      <c r="M1452" s="6" t="s">
        <v>204</v>
      </c>
      <c r="N1452" s="6" t="s">
        <v>4390</v>
      </c>
      <c r="O1452" s="6"/>
      <c r="P1452" s="6" t="s">
        <v>4391</v>
      </c>
    </row>
    <row r="1453" customFormat="false" ht="15" hidden="false" customHeight="false" outlineLevel="0" collapsed="false">
      <c r="A1453" s="6" t="s">
        <v>4392</v>
      </c>
      <c r="B1453" s="6" t="s">
        <v>191</v>
      </c>
      <c r="C1453" s="7" t="n">
        <v>45930</v>
      </c>
      <c r="D1453" s="6" t="s">
        <v>4165</v>
      </c>
      <c r="E1453" s="6" t="s">
        <v>4166</v>
      </c>
      <c r="F1453" s="6" t="s">
        <v>4376</v>
      </c>
      <c r="G1453" s="6" t="s">
        <v>4393</v>
      </c>
      <c r="H1453" s="12" t="n">
        <v>78</v>
      </c>
      <c r="K1453" s="6" t="s">
        <v>4169</v>
      </c>
      <c r="L1453" s="6" t="s">
        <v>13</v>
      </c>
      <c r="M1453" s="6" t="s">
        <v>189</v>
      </c>
      <c r="N1453" s="6" t="s">
        <v>4394</v>
      </c>
      <c r="O1453" s="6"/>
      <c r="P1453" s="6"/>
    </row>
    <row r="1454" customFormat="false" ht="15" hidden="false" customHeight="false" outlineLevel="0" collapsed="false">
      <c r="A1454" s="6" t="s">
        <v>4395</v>
      </c>
      <c r="B1454" s="6" t="s">
        <v>196</v>
      </c>
      <c r="C1454" s="7" t="n">
        <v>46022</v>
      </c>
      <c r="D1454" s="6" t="s">
        <v>4165</v>
      </c>
      <c r="E1454" s="6" t="s">
        <v>4166</v>
      </c>
      <c r="F1454" s="6" t="s">
        <v>4376</v>
      </c>
      <c r="G1454" s="6" t="s">
        <v>4396</v>
      </c>
      <c r="H1454" s="12" t="n">
        <v>87</v>
      </c>
      <c r="K1454" s="6" t="s">
        <v>4169</v>
      </c>
      <c r="L1454" s="6" t="s">
        <v>13</v>
      </c>
      <c r="M1454" s="6" t="s">
        <v>194</v>
      </c>
      <c r="N1454" s="6" t="s">
        <v>4397</v>
      </c>
      <c r="O1454" s="6"/>
      <c r="P1454" s="6"/>
    </row>
    <row r="1455" customFormat="false" ht="15" hidden="false" customHeight="false" outlineLevel="0" collapsed="false">
      <c r="A1455" s="6" t="s">
        <v>4398</v>
      </c>
      <c r="B1455" s="6" t="s">
        <v>201</v>
      </c>
      <c r="C1455" s="7" t="n">
        <v>46112</v>
      </c>
      <c r="D1455" s="6" t="s">
        <v>4165</v>
      </c>
      <c r="E1455" s="6" t="s">
        <v>4166</v>
      </c>
      <c r="F1455" s="6" t="s">
        <v>4376</v>
      </c>
      <c r="G1455" s="6" t="s">
        <v>4399</v>
      </c>
      <c r="H1455" s="12" t="n">
        <v>99</v>
      </c>
      <c r="K1455" s="6" t="s">
        <v>4169</v>
      </c>
      <c r="L1455" s="6" t="s">
        <v>13</v>
      </c>
      <c r="M1455" s="6" t="s">
        <v>199</v>
      </c>
      <c r="N1455" s="6" t="s">
        <v>4400</v>
      </c>
      <c r="O1455" s="6"/>
      <c r="P1455" s="6"/>
    </row>
    <row r="1456" customFormat="false" ht="15" hidden="false" customHeight="false" outlineLevel="0" collapsed="false">
      <c r="A1456" s="6" t="s">
        <v>4401</v>
      </c>
      <c r="B1456" s="6" t="s">
        <v>206</v>
      </c>
      <c r="C1456" s="7" t="n">
        <v>46203</v>
      </c>
      <c r="D1456" s="6" t="s">
        <v>4165</v>
      </c>
      <c r="E1456" s="6" t="s">
        <v>4166</v>
      </c>
      <c r="F1456" s="6" t="s">
        <v>4376</v>
      </c>
      <c r="G1456" s="6" t="s">
        <v>4402</v>
      </c>
      <c r="H1456" s="12" t="n">
        <v>114</v>
      </c>
      <c r="K1456" s="6" t="s">
        <v>4169</v>
      </c>
      <c r="L1456" s="6" t="s">
        <v>13</v>
      </c>
      <c r="M1456" s="6" t="s">
        <v>204</v>
      </c>
      <c r="N1456" s="6" t="s">
        <v>4403</v>
      </c>
      <c r="O1456" s="6"/>
      <c r="P1456" s="6"/>
    </row>
    <row r="1457" customFormat="false" ht="15" hidden="false" customHeight="false" outlineLevel="0" collapsed="false">
      <c r="A1457" s="6" t="s">
        <v>4404</v>
      </c>
      <c r="B1457" s="6" t="s">
        <v>191</v>
      </c>
      <c r="C1457" s="7" t="n">
        <v>45930</v>
      </c>
      <c r="D1457" s="6" t="s">
        <v>4176</v>
      </c>
      <c r="E1457" s="6" t="s">
        <v>4166</v>
      </c>
      <c r="F1457" s="6" t="s">
        <v>4405</v>
      </c>
      <c r="G1457" s="6" t="s">
        <v>4406</v>
      </c>
      <c r="H1457" s="10" t="n">
        <v>0.73</v>
      </c>
      <c r="K1457" s="6" t="s">
        <v>742</v>
      </c>
      <c r="L1457" s="6" t="s">
        <v>13</v>
      </c>
      <c r="M1457" s="6" t="s">
        <v>189</v>
      </c>
      <c r="N1457" s="6" t="s">
        <v>4394</v>
      </c>
      <c r="O1457" s="6"/>
      <c r="P1457" s="6" t="s">
        <v>4179</v>
      </c>
    </row>
    <row r="1458" customFormat="false" ht="15" hidden="false" customHeight="false" outlineLevel="0" collapsed="false">
      <c r="A1458" s="6" t="s">
        <v>4407</v>
      </c>
      <c r="B1458" s="6" t="s">
        <v>196</v>
      </c>
      <c r="C1458" s="7" t="n">
        <v>46022</v>
      </c>
      <c r="D1458" s="6" t="s">
        <v>4176</v>
      </c>
      <c r="E1458" s="6" t="s">
        <v>4166</v>
      </c>
      <c r="F1458" s="6" t="s">
        <v>4405</v>
      </c>
      <c r="G1458" s="6" t="s">
        <v>4408</v>
      </c>
      <c r="H1458" s="10" t="n">
        <v>0.74</v>
      </c>
      <c r="K1458" s="6" t="s">
        <v>742</v>
      </c>
      <c r="L1458" s="6" t="s">
        <v>13</v>
      </c>
      <c r="M1458" s="6" t="s">
        <v>194</v>
      </c>
      <c r="N1458" s="6" t="s">
        <v>4397</v>
      </c>
      <c r="O1458" s="6"/>
      <c r="P1458" s="6" t="s">
        <v>4179</v>
      </c>
    </row>
    <row r="1459" customFormat="false" ht="15" hidden="false" customHeight="false" outlineLevel="0" collapsed="false">
      <c r="A1459" s="6" t="s">
        <v>4409</v>
      </c>
      <c r="B1459" s="6" t="s">
        <v>201</v>
      </c>
      <c r="C1459" s="7" t="n">
        <v>46112</v>
      </c>
      <c r="D1459" s="6" t="s">
        <v>4176</v>
      </c>
      <c r="E1459" s="6" t="s">
        <v>4166</v>
      </c>
      <c r="F1459" s="6" t="s">
        <v>4405</v>
      </c>
      <c r="G1459" s="6" t="s">
        <v>4408</v>
      </c>
      <c r="H1459" s="10" t="n">
        <v>0.74</v>
      </c>
      <c r="K1459" s="6" t="s">
        <v>742</v>
      </c>
      <c r="L1459" s="6" t="s">
        <v>13</v>
      </c>
      <c r="M1459" s="6" t="s">
        <v>199</v>
      </c>
      <c r="N1459" s="6" t="s">
        <v>4400</v>
      </c>
      <c r="O1459" s="6"/>
      <c r="P1459" s="6" t="s">
        <v>4179</v>
      </c>
    </row>
    <row r="1460" customFormat="false" ht="15" hidden="false" customHeight="false" outlineLevel="0" collapsed="false">
      <c r="A1460" s="6" t="s">
        <v>4410</v>
      </c>
      <c r="B1460" s="6" t="s">
        <v>206</v>
      </c>
      <c r="C1460" s="7" t="n">
        <v>46203</v>
      </c>
      <c r="D1460" s="6" t="s">
        <v>4176</v>
      </c>
      <c r="E1460" s="6" t="s">
        <v>4166</v>
      </c>
      <c r="F1460" s="6" t="s">
        <v>4405</v>
      </c>
      <c r="G1460" s="6" t="s">
        <v>4411</v>
      </c>
      <c r="H1460" s="10" t="n">
        <v>0.68</v>
      </c>
      <c r="K1460" s="6" t="s">
        <v>742</v>
      </c>
      <c r="L1460" s="6" t="s">
        <v>13</v>
      </c>
      <c r="M1460" s="6" t="s">
        <v>204</v>
      </c>
      <c r="N1460" s="6" t="s">
        <v>4403</v>
      </c>
      <c r="O1460" s="6"/>
      <c r="P1460" s="6" t="s">
        <v>4179</v>
      </c>
    </row>
    <row r="1461" customFormat="false" ht="15" hidden="false" customHeight="false" outlineLevel="0" collapsed="false">
      <c r="A1461" s="6" t="s">
        <v>4412</v>
      </c>
      <c r="B1461" s="6" t="s">
        <v>141</v>
      </c>
      <c r="C1461" s="7" t="n">
        <v>45016</v>
      </c>
      <c r="D1461" s="6" t="s">
        <v>4165</v>
      </c>
      <c r="E1461" s="6" t="s">
        <v>4166</v>
      </c>
      <c r="F1461" s="6" t="s">
        <v>4413</v>
      </c>
      <c r="G1461" s="6" t="s">
        <v>4414</v>
      </c>
      <c r="H1461" s="12" t="n">
        <v>47228</v>
      </c>
      <c r="K1461" s="6" t="s">
        <v>4169</v>
      </c>
      <c r="L1461" s="6" t="s">
        <v>13</v>
      </c>
      <c r="M1461" s="6" t="s">
        <v>159</v>
      </c>
      <c r="N1461" s="6" t="s">
        <v>4415</v>
      </c>
      <c r="O1461" s="6"/>
      <c r="P1461" s="6" t="s">
        <v>4189</v>
      </c>
    </row>
    <row r="1462" customFormat="false" ht="15" hidden="false" customHeight="false" outlineLevel="0" collapsed="false">
      <c r="A1462" s="6" t="s">
        <v>4416</v>
      </c>
      <c r="B1462" s="6" t="s">
        <v>146</v>
      </c>
      <c r="C1462" s="7" t="n">
        <v>45107</v>
      </c>
      <c r="D1462" s="6" t="s">
        <v>4165</v>
      </c>
      <c r="E1462" s="6" t="s">
        <v>4166</v>
      </c>
      <c r="F1462" s="6" t="s">
        <v>4413</v>
      </c>
      <c r="G1462" s="6" t="s">
        <v>4417</v>
      </c>
      <c r="H1462" s="12" t="n">
        <v>49936</v>
      </c>
      <c r="K1462" s="6" t="s">
        <v>4169</v>
      </c>
      <c r="L1462" s="6" t="s">
        <v>13</v>
      </c>
      <c r="M1462" s="6" t="s">
        <v>164</v>
      </c>
      <c r="N1462" s="6" t="s">
        <v>4418</v>
      </c>
      <c r="O1462" s="6"/>
      <c r="P1462" s="6" t="s">
        <v>4193</v>
      </c>
    </row>
    <row r="1463" customFormat="false" ht="15" hidden="false" customHeight="false" outlineLevel="0" collapsed="false">
      <c r="A1463" s="6" t="s">
        <v>4419</v>
      </c>
      <c r="B1463" s="6" t="s">
        <v>151</v>
      </c>
      <c r="C1463" s="7" t="n">
        <v>45199</v>
      </c>
      <c r="D1463" s="6" t="s">
        <v>4165</v>
      </c>
      <c r="E1463" s="6" t="s">
        <v>4166</v>
      </c>
      <c r="F1463" s="6" t="s">
        <v>4413</v>
      </c>
      <c r="G1463" s="6" t="s">
        <v>4420</v>
      </c>
      <c r="H1463" s="12" t="n">
        <v>52015</v>
      </c>
      <c r="K1463" s="6" t="s">
        <v>4169</v>
      </c>
      <c r="L1463" s="6" t="s">
        <v>13</v>
      </c>
      <c r="M1463" s="6" t="s">
        <v>169</v>
      </c>
      <c r="N1463" s="6" t="s">
        <v>4421</v>
      </c>
      <c r="O1463" s="6"/>
      <c r="P1463" s="6" t="s">
        <v>4197</v>
      </c>
    </row>
    <row r="1464" customFormat="false" ht="15" hidden="false" customHeight="false" outlineLevel="0" collapsed="false">
      <c r="A1464" s="6" t="s">
        <v>4422</v>
      </c>
      <c r="B1464" s="6" t="s">
        <v>156</v>
      </c>
      <c r="C1464" s="7" t="n">
        <v>45291</v>
      </c>
      <c r="D1464" s="6" t="s">
        <v>4165</v>
      </c>
      <c r="E1464" s="6" t="s">
        <v>4166</v>
      </c>
      <c r="F1464" s="6" t="s">
        <v>4413</v>
      </c>
      <c r="G1464" s="6" t="s">
        <v>4423</v>
      </c>
      <c r="H1464" s="12" t="n">
        <v>53688</v>
      </c>
      <c r="K1464" s="6" t="s">
        <v>4169</v>
      </c>
      <c r="L1464" s="6" t="s">
        <v>13</v>
      </c>
      <c r="M1464" s="6" t="s">
        <v>174</v>
      </c>
      <c r="N1464" s="6" t="s">
        <v>4424</v>
      </c>
      <c r="O1464" s="6"/>
      <c r="P1464" s="6" t="s">
        <v>4425</v>
      </c>
    </row>
    <row r="1465" customFormat="false" ht="15" hidden="false" customHeight="false" outlineLevel="0" collapsed="false">
      <c r="A1465" s="6" t="s">
        <v>4426</v>
      </c>
      <c r="B1465" s="6" t="s">
        <v>161</v>
      </c>
      <c r="C1465" s="7" t="n">
        <v>45382</v>
      </c>
      <c r="D1465" s="6" t="s">
        <v>4165</v>
      </c>
      <c r="E1465" s="6" t="s">
        <v>4166</v>
      </c>
      <c r="F1465" s="6" t="s">
        <v>4413</v>
      </c>
      <c r="G1465" s="6" t="s">
        <v>4427</v>
      </c>
      <c r="H1465" s="12" t="n">
        <v>55515</v>
      </c>
      <c r="K1465" s="6" t="s">
        <v>4169</v>
      </c>
      <c r="L1465" s="6" t="s">
        <v>13</v>
      </c>
      <c r="M1465" s="6" t="s">
        <v>159</v>
      </c>
      <c r="N1465" s="6" t="s">
        <v>4428</v>
      </c>
      <c r="O1465" s="6"/>
      <c r="P1465" s="6" t="s">
        <v>4205</v>
      </c>
    </row>
    <row r="1466" customFormat="false" ht="15" hidden="false" customHeight="false" outlineLevel="0" collapsed="false">
      <c r="A1466" s="6" t="s">
        <v>4429</v>
      </c>
      <c r="B1466" s="6" t="s">
        <v>166</v>
      </c>
      <c r="C1466" s="7" t="n">
        <v>45473</v>
      </c>
      <c r="D1466" s="6" t="s">
        <v>4165</v>
      </c>
      <c r="E1466" s="6" t="s">
        <v>4166</v>
      </c>
      <c r="F1466" s="6" t="s">
        <v>4413</v>
      </c>
      <c r="G1466" s="6" t="s">
        <v>4430</v>
      </c>
      <c r="H1466" s="12" t="n">
        <v>57203</v>
      </c>
      <c r="K1466" s="6" t="s">
        <v>4169</v>
      </c>
      <c r="L1466" s="6" t="s">
        <v>13</v>
      </c>
      <c r="M1466" s="6" t="s">
        <v>164</v>
      </c>
      <c r="N1466" s="6" t="s">
        <v>4431</v>
      </c>
      <c r="O1466" s="6"/>
      <c r="P1466" s="6" t="s">
        <v>4209</v>
      </c>
    </row>
    <row r="1467" customFormat="false" ht="15" hidden="false" customHeight="false" outlineLevel="0" collapsed="false">
      <c r="A1467" s="6" t="s">
        <v>4432</v>
      </c>
      <c r="B1467" s="6" t="s">
        <v>171</v>
      </c>
      <c r="C1467" s="7" t="n">
        <v>45565</v>
      </c>
      <c r="D1467" s="6" t="s">
        <v>4165</v>
      </c>
      <c r="E1467" s="6" t="s">
        <v>4166</v>
      </c>
      <c r="F1467" s="6" t="s">
        <v>4413</v>
      </c>
      <c r="G1467" s="6" t="s">
        <v>4433</v>
      </c>
      <c r="H1467" s="12" t="n">
        <v>58760</v>
      </c>
      <c r="K1467" s="6" t="s">
        <v>4169</v>
      </c>
      <c r="L1467" s="6" t="s">
        <v>13</v>
      </c>
      <c r="M1467" s="6" t="s">
        <v>169</v>
      </c>
      <c r="N1467" s="6" t="s">
        <v>4434</v>
      </c>
      <c r="O1467" s="6"/>
      <c r="P1467" s="6" t="s">
        <v>4213</v>
      </c>
    </row>
    <row r="1468" customFormat="false" ht="15" hidden="false" customHeight="false" outlineLevel="0" collapsed="false">
      <c r="A1468" s="6" t="s">
        <v>4435</v>
      </c>
      <c r="B1468" s="6" t="s">
        <v>176</v>
      </c>
      <c r="C1468" s="7" t="n">
        <v>45657</v>
      </c>
      <c r="D1468" s="6" t="s">
        <v>4165</v>
      </c>
      <c r="E1468" s="6" t="s">
        <v>4166</v>
      </c>
      <c r="F1468" s="6" t="s">
        <v>4413</v>
      </c>
      <c r="G1468" s="6" t="s">
        <v>4436</v>
      </c>
      <c r="H1468" s="12" t="n">
        <v>59214</v>
      </c>
      <c r="K1468" s="6" t="s">
        <v>4169</v>
      </c>
      <c r="L1468" s="6" t="s">
        <v>13</v>
      </c>
      <c r="M1468" s="6" t="s">
        <v>174</v>
      </c>
      <c r="N1468" s="6" t="s">
        <v>4437</v>
      </c>
      <c r="O1468" s="6"/>
      <c r="P1468" s="6" t="s">
        <v>4217</v>
      </c>
    </row>
    <row r="1469" customFormat="false" ht="15" hidden="false" customHeight="false" outlineLevel="0" collapsed="false">
      <c r="A1469" s="6" t="s">
        <v>4438</v>
      </c>
      <c r="B1469" s="6" t="s">
        <v>181</v>
      </c>
      <c r="C1469" s="7" t="n">
        <v>45747</v>
      </c>
      <c r="D1469" s="6" t="s">
        <v>4165</v>
      </c>
      <c r="E1469" s="6" t="s">
        <v>4166</v>
      </c>
      <c r="F1469" s="6" t="s">
        <v>4413</v>
      </c>
      <c r="G1469" s="6" t="s">
        <v>4439</v>
      </c>
      <c r="H1469" s="12" t="n">
        <v>60566</v>
      </c>
      <c r="K1469" s="6" t="s">
        <v>4169</v>
      </c>
      <c r="L1469" s="6" t="s">
        <v>13</v>
      </c>
      <c r="M1469" s="6" t="s">
        <v>179</v>
      </c>
      <c r="N1469" s="6" t="s">
        <v>4440</v>
      </c>
      <c r="O1469" s="6"/>
      <c r="P1469" s="6" t="s">
        <v>4221</v>
      </c>
    </row>
    <row r="1470" customFormat="false" ht="15" hidden="false" customHeight="false" outlineLevel="0" collapsed="false">
      <c r="A1470" s="6" t="s">
        <v>4441</v>
      </c>
      <c r="B1470" s="6" t="s">
        <v>186</v>
      </c>
      <c r="C1470" s="7" t="n">
        <v>45838</v>
      </c>
      <c r="D1470" s="6" t="s">
        <v>4165</v>
      </c>
      <c r="E1470" s="6" t="s">
        <v>4166</v>
      </c>
      <c r="F1470" s="6" t="s">
        <v>4413</v>
      </c>
      <c r="G1470" s="6" t="s">
        <v>4442</v>
      </c>
      <c r="H1470" s="12" t="n">
        <v>61803</v>
      </c>
      <c r="K1470" s="6" t="s">
        <v>4169</v>
      </c>
      <c r="L1470" s="6" t="s">
        <v>13</v>
      </c>
      <c r="M1470" s="6" t="s">
        <v>184</v>
      </c>
      <c r="N1470" s="6" t="s">
        <v>4443</v>
      </c>
      <c r="O1470" s="6"/>
      <c r="P1470" s="6" t="s">
        <v>4225</v>
      </c>
    </row>
    <row r="1471" customFormat="false" ht="15" hidden="false" customHeight="false" outlineLevel="0" collapsed="false">
      <c r="A1471" s="6" t="s">
        <v>4444</v>
      </c>
      <c r="B1471" s="6" t="s">
        <v>191</v>
      </c>
      <c r="C1471" s="7" t="n">
        <v>45930</v>
      </c>
      <c r="D1471" s="6" t="s">
        <v>4165</v>
      </c>
      <c r="E1471" s="6" t="s">
        <v>4166</v>
      </c>
      <c r="F1471" s="6" t="s">
        <v>4413</v>
      </c>
      <c r="G1471" s="6" t="s">
        <v>4445</v>
      </c>
      <c r="H1471" s="12" t="n">
        <v>63075</v>
      </c>
      <c r="K1471" s="6" t="s">
        <v>4169</v>
      </c>
      <c r="L1471" s="6" t="s">
        <v>13</v>
      </c>
      <c r="M1471" s="6" t="s">
        <v>189</v>
      </c>
      <c r="N1471" s="6" t="s">
        <v>4446</v>
      </c>
      <c r="O1471" s="6"/>
      <c r="P1471" s="6"/>
    </row>
    <row r="1472" customFormat="false" ht="15" hidden="false" customHeight="false" outlineLevel="0" collapsed="false">
      <c r="A1472" s="6" t="s">
        <v>4447</v>
      </c>
      <c r="B1472" s="6" t="s">
        <v>196</v>
      </c>
      <c r="C1472" s="7" t="n">
        <v>46022</v>
      </c>
      <c r="D1472" s="6" t="s">
        <v>4165</v>
      </c>
      <c r="E1472" s="6" t="s">
        <v>4166</v>
      </c>
      <c r="F1472" s="6" t="s">
        <v>4413</v>
      </c>
      <c r="G1472" s="6" t="s">
        <v>4448</v>
      </c>
      <c r="H1472" s="12" t="n">
        <v>63914</v>
      </c>
      <c r="K1472" s="6" t="s">
        <v>4169</v>
      </c>
      <c r="L1472" s="6" t="s">
        <v>13</v>
      </c>
      <c r="M1472" s="6" t="s">
        <v>194</v>
      </c>
      <c r="N1472" s="6" t="s">
        <v>4449</v>
      </c>
      <c r="O1472" s="6"/>
      <c r="P1472" s="6"/>
    </row>
    <row r="1473" customFormat="false" ht="15" hidden="false" customHeight="false" outlineLevel="0" collapsed="false">
      <c r="A1473" s="6" t="s">
        <v>4450</v>
      </c>
      <c r="B1473" s="6" t="s">
        <v>201</v>
      </c>
      <c r="C1473" s="7" t="n">
        <v>46112</v>
      </c>
      <c r="D1473" s="6" t="s">
        <v>4165</v>
      </c>
      <c r="E1473" s="6" t="s">
        <v>4166</v>
      </c>
      <c r="F1473" s="6" t="s">
        <v>4413</v>
      </c>
      <c r="G1473" s="6" t="s">
        <v>4451</v>
      </c>
      <c r="H1473" s="12" t="n">
        <v>65016</v>
      </c>
      <c r="K1473" s="6" t="s">
        <v>4169</v>
      </c>
      <c r="L1473" s="6" t="s">
        <v>13</v>
      </c>
      <c r="M1473" s="6" t="s">
        <v>199</v>
      </c>
      <c r="N1473" s="6" t="s">
        <v>4452</v>
      </c>
      <c r="O1473" s="6"/>
      <c r="P1473" s="6"/>
    </row>
    <row r="1474" customFormat="false" ht="15" hidden="false" customHeight="false" outlineLevel="0" collapsed="false">
      <c r="A1474" s="6" t="s">
        <v>4453</v>
      </c>
      <c r="B1474" s="6" t="s">
        <v>206</v>
      </c>
      <c r="C1474" s="7" t="n">
        <v>46203</v>
      </c>
      <c r="D1474" s="6" t="s">
        <v>4165</v>
      </c>
      <c r="E1474" s="6" t="s">
        <v>4166</v>
      </c>
      <c r="F1474" s="6" t="s">
        <v>4413</v>
      </c>
      <c r="G1474" s="6" t="s">
        <v>4454</v>
      </c>
      <c r="H1474" s="12" t="n">
        <v>65783</v>
      </c>
      <c r="K1474" s="6" t="s">
        <v>4169</v>
      </c>
      <c r="L1474" s="6" t="s">
        <v>13</v>
      </c>
      <c r="M1474" s="6" t="s">
        <v>204</v>
      </c>
      <c r="N1474" s="6" t="s">
        <v>4455</v>
      </c>
      <c r="O1474" s="6"/>
      <c r="P1474" s="6"/>
    </row>
    <row r="1475" customFormat="false" ht="15" hidden="false" customHeight="false" outlineLevel="0" collapsed="false">
      <c r="A1475" s="6" t="s">
        <v>4456</v>
      </c>
      <c r="B1475" s="6" t="s">
        <v>161</v>
      </c>
      <c r="C1475" s="7" t="n">
        <v>45382</v>
      </c>
      <c r="D1475" s="6" t="s">
        <v>4176</v>
      </c>
      <c r="E1475" s="6" t="s">
        <v>4166</v>
      </c>
      <c r="F1475" s="6" t="s">
        <v>4457</v>
      </c>
      <c r="G1475" s="6" t="s">
        <v>4458</v>
      </c>
      <c r="H1475" s="10" t="n">
        <v>0.18</v>
      </c>
      <c r="K1475" s="6" t="s">
        <v>742</v>
      </c>
      <c r="L1475" s="6" t="s">
        <v>13</v>
      </c>
      <c r="M1475" s="6" t="s">
        <v>159</v>
      </c>
      <c r="N1475" s="6" t="s">
        <v>4428</v>
      </c>
      <c r="O1475" s="6"/>
      <c r="P1475" s="6" t="s">
        <v>4179</v>
      </c>
    </row>
    <row r="1476" customFormat="false" ht="15" hidden="false" customHeight="false" outlineLevel="0" collapsed="false">
      <c r="A1476" s="6" t="s">
        <v>4459</v>
      </c>
      <c r="B1476" s="6" t="s">
        <v>166</v>
      </c>
      <c r="C1476" s="7" t="n">
        <v>45473</v>
      </c>
      <c r="D1476" s="6" t="s">
        <v>4176</v>
      </c>
      <c r="E1476" s="6" t="s">
        <v>4166</v>
      </c>
      <c r="F1476" s="6" t="s">
        <v>4457</v>
      </c>
      <c r="G1476" s="6" t="s">
        <v>4460</v>
      </c>
      <c r="H1476" s="10" t="n">
        <v>0.15</v>
      </c>
      <c r="K1476" s="6" t="s">
        <v>742</v>
      </c>
      <c r="L1476" s="6" t="s">
        <v>13</v>
      </c>
      <c r="M1476" s="6" t="s">
        <v>164</v>
      </c>
      <c r="N1476" s="6" t="s">
        <v>4431</v>
      </c>
      <c r="O1476" s="6"/>
      <c r="P1476" s="6" t="s">
        <v>4179</v>
      </c>
    </row>
    <row r="1477" customFormat="false" ht="15" hidden="false" customHeight="false" outlineLevel="0" collapsed="false">
      <c r="A1477" s="6" t="s">
        <v>4461</v>
      </c>
      <c r="B1477" s="6" t="s">
        <v>171</v>
      </c>
      <c r="C1477" s="7" t="n">
        <v>45565</v>
      </c>
      <c r="D1477" s="6" t="s">
        <v>4176</v>
      </c>
      <c r="E1477" s="6" t="s">
        <v>4166</v>
      </c>
      <c r="F1477" s="6" t="s">
        <v>4457</v>
      </c>
      <c r="G1477" s="6" t="s">
        <v>4462</v>
      </c>
      <c r="H1477" s="10" t="n">
        <v>0.13</v>
      </c>
      <c r="K1477" s="6" t="s">
        <v>742</v>
      </c>
      <c r="L1477" s="6" t="s">
        <v>13</v>
      </c>
      <c r="M1477" s="6" t="s">
        <v>169</v>
      </c>
      <c r="N1477" s="6" t="s">
        <v>4434</v>
      </c>
      <c r="O1477" s="6"/>
      <c r="P1477" s="6" t="s">
        <v>4179</v>
      </c>
    </row>
    <row r="1478" customFormat="false" ht="15" hidden="false" customHeight="false" outlineLevel="0" collapsed="false">
      <c r="A1478" s="6" t="s">
        <v>4463</v>
      </c>
      <c r="B1478" s="6" t="s">
        <v>176</v>
      </c>
      <c r="C1478" s="7" t="n">
        <v>45657</v>
      </c>
      <c r="D1478" s="6" t="s">
        <v>4176</v>
      </c>
      <c r="E1478" s="6" t="s">
        <v>4166</v>
      </c>
      <c r="F1478" s="6" t="s">
        <v>4457</v>
      </c>
      <c r="G1478" s="6" t="s">
        <v>4464</v>
      </c>
      <c r="H1478" s="10" t="n">
        <v>0.1</v>
      </c>
      <c r="K1478" s="6" t="s">
        <v>742</v>
      </c>
      <c r="L1478" s="6" t="s">
        <v>13</v>
      </c>
      <c r="M1478" s="6" t="s">
        <v>174</v>
      </c>
      <c r="N1478" s="6" t="s">
        <v>4437</v>
      </c>
      <c r="O1478" s="6"/>
      <c r="P1478" s="6" t="s">
        <v>4179</v>
      </c>
    </row>
    <row r="1479" customFormat="false" ht="15" hidden="false" customHeight="false" outlineLevel="0" collapsed="false">
      <c r="A1479" s="6" t="s">
        <v>4465</v>
      </c>
      <c r="B1479" s="6" t="s">
        <v>181</v>
      </c>
      <c r="C1479" s="7" t="n">
        <v>45747</v>
      </c>
      <c r="D1479" s="6" t="s">
        <v>4176</v>
      </c>
      <c r="E1479" s="6" t="s">
        <v>4166</v>
      </c>
      <c r="F1479" s="6" t="s">
        <v>4457</v>
      </c>
      <c r="G1479" s="6" t="s">
        <v>4466</v>
      </c>
      <c r="H1479" s="10" t="n">
        <v>0.09</v>
      </c>
      <c r="K1479" s="6" t="s">
        <v>742</v>
      </c>
      <c r="L1479" s="6" t="s">
        <v>13</v>
      </c>
      <c r="M1479" s="6" t="s">
        <v>179</v>
      </c>
      <c r="N1479" s="6" t="s">
        <v>4440</v>
      </c>
      <c r="O1479" s="6"/>
      <c r="P1479" s="6" t="s">
        <v>4179</v>
      </c>
    </row>
    <row r="1480" customFormat="false" ht="15" hidden="false" customHeight="false" outlineLevel="0" collapsed="false">
      <c r="A1480" s="6" t="s">
        <v>4467</v>
      </c>
      <c r="B1480" s="6" t="s">
        <v>186</v>
      </c>
      <c r="C1480" s="7" t="n">
        <v>45838</v>
      </c>
      <c r="D1480" s="6" t="s">
        <v>4176</v>
      </c>
      <c r="E1480" s="6" t="s">
        <v>4166</v>
      </c>
      <c r="F1480" s="6" t="s">
        <v>4457</v>
      </c>
      <c r="G1480" s="6" t="s">
        <v>4468</v>
      </c>
      <c r="H1480" s="10" t="n">
        <v>0.08</v>
      </c>
      <c r="K1480" s="6" t="s">
        <v>742</v>
      </c>
      <c r="L1480" s="6" t="s">
        <v>13</v>
      </c>
      <c r="M1480" s="6" t="s">
        <v>184</v>
      </c>
      <c r="N1480" s="6" t="s">
        <v>4443</v>
      </c>
      <c r="O1480" s="6"/>
      <c r="P1480" s="6" t="s">
        <v>4179</v>
      </c>
    </row>
    <row r="1481" customFormat="false" ht="15" hidden="false" customHeight="false" outlineLevel="0" collapsed="false">
      <c r="A1481" s="6" t="s">
        <v>4469</v>
      </c>
      <c r="B1481" s="6" t="s">
        <v>191</v>
      </c>
      <c r="C1481" s="7" t="n">
        <v>45930</v>
      </c>
      <c r="D1481" s="6" t="s">
        <v>4176</v>
      </c>
      <c r="E1481" s="6" t="s">
        <v>4166</v>
      </c>
      <c r="F1481" s="6" t="s">
        <v>4457</v>
      </c>
      <c r="G1481" s="6" t="s">
        <v>4470</v>
      </c>
      <c r="H1481" s="10" t="n">
        <v>0.07</v>
      </c>
      <c r="K1481" s="6" t="s">
        <v>742</v>
      </c>
      <c r="L1481" s="6" t="s">
        <v>13</v>
      </c>
      <c r="M1481" s="6" t="s">
        <v>189</v>
      </c>
      <c r="N1481" s="6" t="s">
        <v>4446</v>
      </c>
      <c r="O1481" s="6"/>
      <c r="P1481" s="6" t="s">
        <v>4179</v>
      </c>
    </row>
    <row r="1482" customFormat="false" ht="15" hidden="false" customHeight="false" outlineLevel="0" collapsed="false">
      <c r="A1482" s="6" t="s">
        <v>4471</v>
      </c>
      <c r="B1482" s="6" t="s">
        <v>196</v>
      </c>
      <c r="C1482" s="7" t="n">
        <v>46022</v>
      </c>
      <c r="D1482" s="6" t="s">
        <v>4176</v>
      </c>
      <c r="E1482" s="6" t="s">
        <v>4166</v>
      </c>
      <c r="F1482" s="6" t="s">
        <v>4457</v>
      </c>
      <c r="G1482" s="6" t="s">
        <v>4468</v>
      </c>
      <c r="H1482" s="10" t="n">
        <v>0.08</v>
      </c>
      <c r="K1482" s="6" t="s">
        <v>742</v>
      </c>
      <c r="L1482" s="6" t="s">
        <v>13</v>
      </c>
      <c r="M1482" s="6" t="s">
        <v>194</v>
      </c>
      <c r="N1482" s="6" t="s">
        <v>4449</v>
      </c>
      <c r="O1482" s="6"/>
      <c r="P1482" s="6" t="s">
        <v>4179</v>
      </c>
    </row>
    <row r="1483" customFormat="false" ht="15" hidden="false" customHeight="false" outlineLevel="0" collapsed="false">
      <c r="A1483" s="6" t="s">
        <v>4472</v>
      </c>
      <c r="B1483" s="6" t="s">
        <v>201</v>
      </c>
      <c r="C1483" s="7" t="n">
        <v>46112</v>
      </c>
      <c r="D1483" s="6" t="s">
        <v>4176</v>
      </c>
      <c r="E1483" s="6" t="s">
        <v>4166</v>
      </c>
      <c r="F1483" s="6" t="s">
        <v>4457</v>
      </c>
      <c r="G1483" s="6" t="s">
        <v>4470</v>
      </c>
      <c r="H1483" s="10" t="n">
        <v>0.07</v>
      </c>
      <c r="K1483" s="6" t="s">
        <v>742</v>
      </c>
      <c r="L1483" s="6" t="s">
        <v>13</v>
      </c>
      <c r="M1483" s="6" t="s">
        <v>199</v>
      </c>
      <c r="N1483" s="6" t="s">
        <v>4452</v>
      </c>
      <c r="O1483" s="6"/>
      <c r="P1483" s="6" t="s">
        <v>4179</v>
      </c>
    </row>
    <row r="1484" customFormat="false" ht="15" hidden="false" customHeight="false" outlineLevel="0" collapsed="false">
      <c r="A1484" s="6" t="s">
        <v>4473</v>
      </c>
      <c r="B1484" s="6" t="s">
        <v>206</v>
      </c>
      <c r="C1484" s="7" t="n">
        <v>46203</v>
      </c>
      <c r="D1484" s="6" t="s">
        <v>4176</v>
      </c>
      <c r="E1484" s="6" t="s">
        <v>4166</v>
      </c>
      <c r="F1484" s="6" t="s">
        <v>4457</v>
      </c>
      <c r="G1484" s="6" t="s">
        <v>4474</v>
      </c>
      <c r="H1484" s="10" t="n">
        <v>0.06</v>
      </c>
      <c r="K1484" s="6" t="s">
        <v>742</v>
      </c>
      <c r="L1484" s="6" t="s">
        <v>13</v>
      </c>
      <c r="M1484" s="6" t="s">
        <v>204</v>
      </c>
      <c r="N1484" s="6" t="s">
        <v>4455</v>
      </c>
      <c r="O1484" s="6"/>
      <c r="P1484" s="6" t="s">
        <v>4179</v>
      </c>
    </row>
    <row r="1485" customFormat="false" ht="15" hidden="false" customHeight="false" outlineLevel="0" collapsed="false">
      <c r="A1485" s="6" t="s">
        <v>4475</v>
      </c>
      <c r="B1485" s="6" t="s">
        <v>171</v>
      </c>
      <c r="C1485" s="7" t="n">
        <v>45565</v>
      </c>
      <c r="D1485" s="6" t="s">
        <v>4165</v>
      </c>
      <c r="E1485" s="6" t="s">
        <v>4476</v>
      </c>
      <c r="F1485" s="6" t="s">
        <v>4477</v>
      </c>
      <c r="G1485" s="6" t="s">
        <v>3511</v>
      </c>
      <c r="H1485" s="10" t="n">
        <v>0.22</v>
      </c>
      <c r="K1485" s="6" t="s">
        <v>742</v>
      </c>
      <c r="L1485" s="6" t="s">
        <v>13</v>
      </c>
      <c r="M1485" s="6" t="s">
        <v>189</v>
      </c>
      <c r="N1485" s="6" t="s">
        <v>4478</v>
      </c>
      <c r="O1485" s="6"/>
      <c r="P1485" s="6" t="s">
        <v>4379</v>
      </c>
    </row>
    <row r="1486" customFormat="false" ht="15" hidden="false" customHeight="false" outlineLevel="0" collapsed="false">
      <c r="A1486" s="6" t="s">
        <v>4479</v>
      </c>
      <c r="B1486" s="6" t="s">
        <v>176</v>
      </c>
      <c r="C1486" s="7" t="n">
        <v>45657</v>
      </c>
      <c r="D1486" s="6" t="s">
        <v>4165</v>
      </c>
      <c r="E1486" s="6" t="s">
        <v>4476</v>
      </c>
      <c r="F1486" s="6" t="s">
        <v>4477</v>
      </c>
      <c r="G1486" s="6" t="s">
        <v>3488</v>
      </c>
      <c r="H1486" s="10" t="n">
        <v>0.24</v>
      </c>
      <c r="K1486" s="6" t="s">
        <v>742</v>
      </c>
      <c r="L1486" s="6" t="s">
        <v>13</v>
      </c>
      <c r="M1486" s="6" t="s">
        <v>194</v>
      </c>
      <c r="N1486" s="6" t="s">
        <v>4480</v>
      </c>
      <c r="O1486" s="6"/>
      <c r="P1486" s="6" t="s">
        <v>4383</v>
      </c>
    </row>
    <row r="1487" customFormat="false" ht="15" hidden="false" customHeight="false" outlineLevel="0" collapsed="false">
      <c r="A1487" s="6" t="s">
        <v>4481</v>
      </c>
      <c r="B1487" s="6" t="s">
        <v>181</v>
      </c>
      <c r="C1487" s="7" t="n">
        <v>45747</v>
      </c>
      <c r="D1487" s="6" t="s">
        <v>4165</v>
      </c>
      <c r="E1487" s="6" t="s">
        <v>4476</v>
      </c>
      <c r="F1487" s="6" t="s">
        <v>4477</v>
      </c>
      <c r="G1487" s="6" t="s">
        <v>3488</v>
      </c>
      <c r="H1487" s="10" t="n">
        <v>0.24</v>
      </c>
      <c r="K1487" s="6" t="s">
        <v>742</v>
      </c>
      <c r="L1487" s="6" t="s">
        <v>13</v>
      </c>
      <c r="M1487" s="6" t="s">
        <v>199</v>
      </c>
      <c r="N1487" s="6" t="s">
        <v>4482</v>
      </c>
      <c r="O1487" s="6"/>
      <c r="P1487" s="6" t="s">
        <v>4387</v>
      </c>
    </row>
    <row r="1488" customFormat="false" ht="15" hidden="false" customHeight="false" outlineLevel="0" collapsed="false">
      <c r="A1488" s="6" t="s">
        <v>4483</v>
      </c>
      <c r="B1488" s="6" t="s">
        <v>186</v>
      </c>
      <c r="C1488" s="7" t="n">
        <v>45838</v>
      </c>
      <c r="D1488" s="6" t="s">
        <v>4165</v>
      </c>
      <c r="E1488" s="6" t="s">
        <v>4476</v>
      </c>
      <c r="F1488" s="6" t="s">
        <v>4477</v>
      </c>
      <c r="G1488" s="6" t="s">
        <v>3491</v>
      </c>
      <c r="H1488" s="10" t="n">
        <v>0.26</v>
      </c>
      <c r="K1488" s="6" t="s">
        <v>742</v>
      </c>
      <c r="L1488" s="6" t="s">
        <v>13</v>
      </c>
      <c r="M1488" s="6" t="s">
        <v>204</v>
      </c>
      <c r="N1488" s="6" t="s">
        <v>4484</v>
      </c>
      <c r="O1488" s="6"/>
      <c r="P1488" s="6" t="s">
        <v>4391</v>
      </c>
    </row>
    <row r="1489" customFormat="false" ht="15" hidden="false" customHeight="false" outlineLevel="0" collapsed="false">
      <c r="A1489" s="6" t="s">
        <v>4485</v>
      </c>
      <c r="B1489" s="6" t="s">
        <v>191</v>
      </c>
      <c r="C1489" s="7" t="n">
        <v>45930</v>
      </c>
      <c r="D1489" s="6" t="s">
        <v>4165</v>
      </c>
      <c r="E1489" s="6" t="s">
        <v>4476</v>
      </c>
      <c r="F1489" s="6" t="s">
        <v>4477</v>
      </c>
      <c r="G1489" s="6" t="s">
        <v>3503</v>
      </c>
      <c r="H1489" s="10" t="n">
        <v>0.27</v>
      </c>
      <c r="K1489" s="6" t="s">
        <v>742</v>
      </c>
      <c r="L1489" s="6" t="s">
        <v>13</v>
      </c>
      <c r="M1489" s="6" t="s">
        <v>189</v>
      </c>
      <c r="N1489" s="6" t="s">
        <v>4486</v>
      </c>
      <c r="O1489" s="6"/>
      <c r="P1489" s="6"/>
    </row>
    <row r="1490" customFormat="false" ht="15" hidden="false" customHeight="false" outlineLevel="0" collapsed="false">
      <c r="A1490" s="6" t="s">
        <v>4487</v>
      </c>
      <c r="B1490" s="6" t="s">
        <v>196</v>
      </c>
      <c r="C1490" s="7" t="n">
        <v>46022</v>
      </c>
      <c r="D1490" s="6" t="s">
        <v>4165</v>
      </c>
      <c r="E1490" s="6" t="s">
        <v>4476</v>
      </c>
      <c r="F1490" s="6" t="s">
        <v>4477</v>
      </c>
      <c r="G1490" s="6" t="s">
        <v>3500</v>
      </c>
      <c r="H1490" s="10" t="n">
        <v>0.28</v>
      </c>
      <c r="K1490" s="6" t="s">
        <v>742</v>
      </c>
      <c r="L1490" s="6" t="s">
        <v>13</v>
      </c>
      <c r="M1490" s="6" t="s">
        <v>194</v>
      </c>
      <c r="N1490" s="6" t="s">
        <v>4488</v>
      </c>
      <c r="O1490" s="6"/>
      <c r="P1490" s="6"/>
    </row>
    <row r="1491" customFormat="false" ht="15" hidden="false" customHeight="false" outlineLevel="0" collapsed="false">
      <c r="A1491" s="6" t="s">
        <v>4489</v>
      </c>
      <c r="B1491" s="6" t="s">
        <v>201</v>
      </c>
      <c r="C1491" s="7" t="n">
        <v>46112</v>
      </c>
      <c r="D1491" s="6" t="s">
        <v>4165</v>
      </c>
      <c r="E1491" s="6" t="s">
        <v>4476</v>
      </c>
      <c r="F1491" s="6" t="s">
        <v>4477</v>
      </c>
      <c r="G1491" s="6" t="s">
        <v>3536</v>
      </c>
      <c r="H1491" s="10" t="n">
        <v>0.29</v>
      </c>
      <c r="K1491" s="6" t="s">
        <v>742</v>
      </c>
      <c r="L1491" s="6" t="s">
        <v>13</v>
      </c>
      <c r="M1491" s="6" t="s">
        <v>199</v>
      </c>
      <c r="N1491" s="6" t="s">
        <v>4490</v>
      </c>
      <c r="O1491" s="6"/>
      <c r="P1491" s="6"/>
    </row>
    <row r="1492" customFormat="false" ht="15" hidden="false" customHeight="false" outlineLevel="0" collapsed="false">
      <c r="A1492" s="6" t="s">
        <v>4491</v>
      </c>
      <c r="B1492" s="6" t="s">
        <v>206</v>
      </c>
      <c r="C1492" s="7" t="n">
        <v>46203</v>
      </c>
      <c r="D1492" s="6" t="s">
        <v>4165</v>
      </c>
      <c r="E1492" s="6" t="s">
        <v>4476</v>
      </c>
      <c r="F1492" s="6" t="s">
        <v>4477</v>
      </c>
      <c r="G1492" s="6" t="s">
        <v>3525</v>
      </c>
      <c r="H1492" s="10" t="n">
        <v>0.3</v>
      </c>
      <c r="K1492" s="6" t="s">
        <v>742</v>
      </c>
      <c r="L1492" s="6" t="s">
        <v>13</v>
      </c>
      <c r="M1492" s="6" t="s">
        <v>204</v>
      </c>
      <c r="N1492" s="6" t="s">
        <v>4492</v>
      </c>
      <c r="O1492" s="6"/>
      <c r="P1492" s="6"/>
    </row>
    <row r="1493" customFormat="false" ht="15" hidden="false" customHeight="false" outlineLevel="0" collapsed="false">
      <c r="A1493" s="6" t="s">
        <v>4493</v>
      </c>
      <c r="B1493" s="6" t="s">
        <v>379</v>
      </c>
      <c r="C1493" s="7" t="n">
        <v>44286</v>
      </c>
      <c r="D1493" s="6" t="s">
        <v>4165</v>
      </c>
      <c r="E1493" s="6" t="s">
        <v>4476</v>
      </c>
      <c r="F1493" s="6" t="s">
        <v>4494</v>
      </c>
      <c r="G1493" s="6" t="s">
        <v>4495</v>
      </c>
      <c r="H1493" s="10" t="n">
        <v>0.12</v>
      </c>
      <c r="K1493" s="6" t="s">
        <v>742</v>
      </c>
      <c r="L1493" s="6" t="s">
        <v>13</v>
      </c>
      <c r="M1493" s="6" t="s">
        <v>119</v>
      </c>
      <c r="N1493" s="6" t="s">
        <v>4496</v>
      </c>
      <c r="O1493" s="6"/>
      <c r="P1493" s="6" t="s">
        <v>4263</v>
      </c>
    </row>
    <row r="1494" customFormat="false" ht="15" hidden="false" customHeight="false" outlineLevel="0" collapsed="false">
      <c r="A1494" s="6" t="s">
        <v>4497</v>
      </c>
      <c r="B1494" s="6" t="s">
        <v>121</v>
      </c>
      <c r="C1494" s="7" t="n">
        <v>44651</v>
      </c>
      <c r="D1494" s="6" t="s">
        <v>4165</v>
      </c>
      <c r="E1494" s="6" t="s">
        <v>4476</v>
      </c>
      <c r="F1494" s="6" t="s">
        <v>4494</v>
      </c>
      <c r="G1494" s="6" t="s">
        <v>3511</v>
      </c>
      <c r="H1494" s="10" t="n">
        <v>0.22</v>
      </c>
      <c r="K1494" s="6" t="s">
        <v>742</v>
      </c>
      <c r="L1494" s="6" t="s">
        <v>13</v>
      </c>
      <c r="M1494" s="6" t="s">
        <v>119</v>
      </c>
      <c r="N1494" s="6" t="s">
        <v>4498</v>
      </c>
      <c r="O1494" s="6"/>
      <c r="P1494" s="6"/>
    </row>
    <row r="1495" customFormat="false" ht="15" hidden="false" customHeight="false" outlineLevel="0" collapsed="false">
      <c r="A1495" s="6" t="s">
        <v>4499</v>
      </c>
      <c r="B1495" s="6" t="s">
        <v>171</v>
      </c>
      <c r="C1495" s="7" t="n">
        <v>45565</v>
      </c>
      <c r="D1495" s="6" t="s">
        <v>4165</v>
      </c>
      <c r="E1495" s="6" t="s">
        <v>4476</v>
      </c>
      <c r="F1495" s="6" t="s">
        <v>4494</v>
      </c>
      <c r="G1495" s="6" t="s">
        <v>3497</v>
      </c>
      <c r="H1495" s="10" t="n">
        <v>0.34</v>
      </c>
      <c r="K1495" s="6" t="s">
        <v>742</v>
      </c>
      <c r="L1495" s="6" t="s">
        <v>13</v>
      </c>
      <c r="M1495" s="6" t="s">
        <v>189</v>
      </c>
      <c r="N1495" s="6" t="s">
        <v>4500</v>
      </c>
      <c r="O1495" s="6"/>
      <c r="P1495" s="6" t="s">
        <v>4379</v>
      </c>
    </row>
    <row r="1496" customFormat="false" ht="15" hidden="false" customHeight="false" outlineLevel="0" collapsed="false">
      <c r="A1496" s="6" t="s">
        <v>4501</v>
      </c>
      <c r="B1496" s="6" t="s">
        <v>176</v>
      </c>
      <c r="C1496" s="7" t="n">
        <v>45657</v>
      </c>
      <c r="D1496" s="6" t="s">
        <v>4165</v>
      </c>
      <c r="E1496" s="6" t="s">
        <v>4476</v>
      </c>
      <c r="F1496" s="6" t="s">
        <v>4494</v>
      </c>
      <c r="G1496" s="6" t="s">
        <v>4502</v>
      </c>
      <c r="H1496" s="10" t="n">
        <v>0.36</v>
      </c>
      <c r="K1496" s="6" t="s">
        <v>742</v>
      </c>
      <c r="L1496" s="6" t="s">
        <v>13</v>
      </c>
      <c r="M1496" s="6" t="s">
        <v>194</v>
      </c>
      <c r="N1496" s="6" t="s">
        <v>4503</v>
      </c>
      <c r="O1496" s="6"/>
      <c r="P1496" s="6" t="s">
        <v>4383</v>
      </c>
    </row>
    <row r="1497" customFormat="false" ht="15" hidden="false" customHeight="false" outlineLevel="0" collapsed="false">
      <c r="A1497" s="6" t="s">
        <v>4504</v>
      </c>
      <c r="B1497" s="6" t="s">
        <v>181</v>
      </c>
      <c r="C1497" s="7" t="n">
        <v>45747</v>
      </c>
      <c r="D1497" s="6" t="s">
        <v>4165</v>
      </c>
      <c r="E1497" s="6" t="s">
        <v>4476</v>
      </c>
      <c r="F1497" s="6" t="s">
        <v>4494</v>
      </c>
      <c r="G1497" s="6" t="s">
        <v>4505</v>
      </c>
      <c r="H1497" s="10" t="n">
        <v>0.37</v>
      </c>
      <c r="K1497" s="6" t="s">
        <v>742</v>
      </c>
      <c r="L1497" s="6" t="s">
        <v>13</v>
      </c>
      <c r="M1497" s="6" t="s">
        <v>199</v>
      </c>
      <c r="N1497" s="6" t="s">
        <v>4506</v>
      </c>
      <c r="O1497" s="6"/>
      <c r="P1497" s="6" t="s">
        <v>4387</v>
      </c>
    </row>
    <row r="1498" customFormat="false" ht="15" hidden="false" customHeight="false" outlineLevel="0" collapsed="false">
      <c r="A1498" s="6" t="s">
        <v>4507</v>
      </c>
      <c r="B1498" s="6" t="s">
        <v>186</v>
      </c>
      <c r="C1498" s="7" t="n">
        <v>45838</v>
      </c>
      <c r="D1498" s="6" t="s">
        <v>4165</v>
      </c>
      <c r="E1498" s="6" t="s">
        <v>4476</v>
      </c>
      <c r="F1498" s="6" t="s">
        <v>4494</v>
      </c>
      <c r="G1498" s="6" t="s">
        <v>4508</v>
      </c>
      <c r="H1498" s="10" t="n">
        <v>0.38</v>
      </c>
      <c r="K1498" s="6" t="s">
        <v>742</v>
      </c>
      <c r="L1498" s="6" t="s">
        <v>13</v>
      </c>
      <c r="M1498" s="6" t="s">
        <v>204</v>
      </c>
      <c r="N1498" s="6" t="s">
        <v>4509</v>
      </c>
      <c r="O1498" s="6"/>
      <c r="P1498" s="6" t="s">
        <v>4391</v>
      </c>
    </row>
    <row r="1499" customFormat="false" ht="15" hidden="false" customHeight="false" outlineLevel="0" collapsed="false">
      <c r="A1499" s="6" t="s">
        <v>4510</v>
      </c>
      <c r="B1499" s="6" t="s">
        <v>191</v>
      </c>
      <c r="C1499" s="7" t="n">
        <v>45930</v>
      </c>
      <c r="D1499" s="6" t="s">
        <v>4165</v>
      </c>
      <c r="E1499" s="6" t="s">
        <v>4476</v>
      </c>
      <c r="F1499" s="6" t="s">
        <v>4494</v>
      </c>
      <c r="G1499" s="6" t="s">
        <v>4511</v>
      </c>
      <c r="H1499" s="10" t="n">
        <v>0.4</v>
      </c>
      <c r="K1499" s="6" t="s">
        <v>742</v>
      </c>
      <c r="L1499" s="6" t="s">
        <v>13</v>
      </c>
      <c r="M1499" s="6" t="s">
        <v>189</v>
      </c>
      <c r="N1499" s="6" t="s">
        <v>4512</v>
      </c>
      <c r="O1499" s="6"/>
      <c r="P1499" s="6"/>
    </row>
    <row r="1500" customFormat="false" ht="15" hidden="false" customHeight="false" outlineLevel="0" collapsed="false">
      <c r="A1500" s="6" t="s">
        <v>4513</v>
      </c>
      <c r="B1500" s="6" t="s">
        <v>196</v>
      </c>
      <c r="C1500" s="7" t="n">
        <v>46022</v>
      </c>
      <c r="D1500" s="6" t="s">
        <v>4165</v>
      </c>
      <c r="E1500" s="6" t="s">
        <v>4476</v>
      </c>
      <c r="F1500" s="6" t="s">
        <v>4494</v>
      </c>
      <c r="G1500" s="6" t="s">
        <v>3508</v>
      </c>
      <c r="H1500" s="10" t="n">
        <v>0.41</v>
      </c>
      <c r="K1500" s="6" t="s">
        <v>742</v>
      </c>
      <c r="L1500" s="6" t="s">
        <v>13</v>
      </c>
      <c r="M1500" s="6" t="s">
        <v>194</v>
      </c>
      <c r="N1500" s="6" t="s">
        <v>4514</v>
      </c>
      <c r="O1500" s="6"/>
      <c r="P1500" s="6"/>
    </row>
    <row r="1501" customFormat="false" ht="15" hidden="false" customHeight="false" outlineLevel="0" collapsed="false">
      <c r="A1501" s="6" t="s">
        <v>4515</v>
      </c>
      <c r="B1501" s="6" t="s">
        <v>201</v>
      </c>
      <c r="C1501" s="7" t="n">
        <v>46112</v>
      </c>
      <c r="D1501" s="6" t="s">
        <v>4165</v>
      </c>
      <c r="E1501" s="6" t="s">
        <v>4476</v>
      </c>
      <c r="F1501" s="6" t="s">
        <v>4494</v>
      </c>
      <c r="G1501" s="6" t="s">
        <v>4516</v>
      </c>
      <c r="H1501" s="10" t="n">
        <v>0.42</v>
      </c>
      <c r="K1501" s="6" t="s">
        <v>742</v>
      </c>
      <c r="L1501" s="6" t="s">
        <v>13</v>
      </c>
      <c r="M1501" s="6" t="s">
        <v>199</v>
      </c>
      <c r="N1501" s="6" t="s">
        <v>4517</v>
      </c>
      <c r="O1501" s="6"/>
      <c r="P1501" s="6"/>
    </row>
    <row r="1502" customFormat="false" ht="15" hidden="false" customHeight="false" outlineLevel="0" collapsed="false">
      <c r="A1502" s="6" t="s">
        <v>4518</v>
      </c>
      <c r="B1502" s="6" t="s">
        <v>206</v>
      </c>
      <c r="C1502" s="7" t="n">
        <v>46203</v>
      </c>
      <c r="D1502" s="6" t="s">
        <v>4165</v>
      </c>
      <c r="E1502" s="6" t="s">
        <v>4476</v>
      </c>
      <c r="F1502" s="6" t="s">
        <v>4494</v>
      </c>
      <c r="G1502" s="6" t="s">
        <v>4519</v>
      </c>
      <c r="H1502" s="10" t="n">
        <v>0.43</v>
      </c>
      <c r="K1502" s="6" t="s">
        <v>742</v>
      </c>
      <c r="L1502" s="6" t="s">
        <v>13</v>
      </c>
      <c r="M1502" s="6" t="s">
        <v>204</v>
      </c>
      <c r="N1502" s="6" t="s">
        <v>4520</v>
      </c>
      <c r="O1502" s="6"/>
      <c r="P1502" s="6"/>
    </row>
    <row r="1503" customFormat="false" ht="15" hidden="false" customHeight="false" outlineLevel="0" collapsed="false">
      <c r="A1503" s="6" t="s">
        <v>4521</v>
      </c>
      <c r="B1503" s="6" t="s">
        <v>171</v>
      </c>
      <c r="C1503" s="7" t="n">
        <v>45565</v>
      </c>
      <c r="D1503" s="6" t="s">
        <v>4165</v>
      </c>
      <c r="E1503" s="6" t="s">
        <v>4476</v>
      </c>
      <c r="F1503" s="6" t="s">
        <v>4522</v>
      </c>
      <c r="G1503" s="6" t="s">
        <v>1479</v>
      </c>
      <c r="H1503" s="10" t="n">
        <v>0.04</v>
      </c>
      <c r="K1503" s="6" t="s">
        <v>742</v>
      </c>
      <c r="L1503" s="6" t="s">
        <v>13</v>
      </c>
      <c r="M1503" s="6" t="s">
        <v>189</v>
      </c>
      <c r="N1503" s="6" t="s">
        <v>4523</v>
      </c>
      <c r="O1503" s="6"/>
      <c r="P1503" s="6" t="s">
        <v>4379</v>
      </c>
    </row>
    <row r="1504" customFormat="false" ht="15" hidden="false" customHeight="false" outlineLevel="0" collapsed="false">
      <c r="A1504" s="6" t="s">
        <v>4524</v>
      </c>
      <c r="B1504" s="6" t="s">
        <v>176</v>
      </c>
      <c r="C1504" s="7" t="n">
        <v>45657</v>
      </c>
      <c r="D1504" s="6" t="s">
        <v>4165</v>
      </c>
      <c r="E1504" s="6" t="s">
        <v>4476</v>
      </c>
      <c r="F1504" s="6" t="s">
        <v>4522</v>
      </c>
      <c r="G1504" s="6" t="s">
        <v>1479</v>
      </c>
      <c r="H1504" s="10" t="n">
        <v>0.04</v>
      </c>
      <c r="K1504" s="6" t="s">
        <v>742</v>
      </c>
      <c r="L1504" s="6" t="s">
        <v>13</v>
      </c>
      <c r="M1504" s="6" t="s">
        <v>194</v>
      </c>
      <c r="N1504" s="6" t="s">
        <v>4525</v>
      </c>
      <c r="O1504" s="6"/>
      <c r="P1504" s="6" t="s">
        <v>4383</v>
      </c>
    </row>
    <row r="1505" customFormat="false" ht="15" hidden="false" customHeight="false" outlineLevel="0" collapsed="false">
      <c r="A1505" s="6" t="s">
        <v>4526</v>
      </c>
      <c r="B1505" s="6" t="s">
        <v>181</v>
      </c>
      <c r="C1505" s="7" t="n">
        <v>45747</v>
      </c>
      <c r="D1505" s="6" t="s">
        <v>4165</v>
      </c>
      <c r="E1505" s="6" t="s">
        <v>4476</v>
      </c>
      <c r="F1505" s="6" t="s">
        <v>4522</v>
      </c>
      <c r="G1505" s="6" t="s">
        <v>2430</v>
      </c>
      <c r="H1505" s="10" t="n">
        <v>0.05</v>
      </c>
      <c r="K1505" s="6" t="s">
        <v>742</v>
      </c>
      <c r="L1505" s="6" t="s">
        <v>13</v>
      </c>
      <c r="M1505" s="6" t="s">
        <v>199</v>
      </c>
      <c r="N1505" s="6" t="s">
        <v>4527</v>
      </c>
      <c r="O1505" s="6"/>
      <c r="P1505" s="6" t="s">
        <v>4387</v>
      </c>
    </row>
    <row r="1506" customFormat="false" ht="15" hidden="false" customHeight="false" outlineLevel="0" collapsed="false">
      <c r="A1506" s="6" t="s">
        <v>4528</v>
      </c>
      <c r="B1506" s="6" t="s">
        <v>186</v>
      </c>
      <c r="C1506" s="7" t="n">
        <v>45838</v>
      </c>
      <c r="D1506" s="6" t="s">
        <v>4165</v>
      </c>
      <c r="E1506" s="6" t="s">
        <v>4476</v>
      </c>
      <c r="F1506" s="6" t="s">
        <v>4522</v>
      </c>
      <c r="G1506" s="6" t="s">
        <v>2430</v>
      </c>
      <c r="H1506" s="10" t="n">
        <v>0.05</v>
      </c>
      <c r="K1506" s="6" t="s">
        <v>742</v>
      </c>
      <c r="L1506" s="6" t="s">
        <v>13</v>
      </c>
      <c r="M1506" s="6" t="s">
        <v>204</v>
      </c>
      <c r="N1506" s="6" t="s">
        <v>4529</v>
      </c>
      <c r="O1506" s="6"/>
      <c r="P1506" s="6" t="s">
        <v>4391</v>
      </c>
    </row>
    <row r="1507" customFormat="false" ht="15" hidden="false" customHeight="false" outlineLevel="0" collapsed="false">
      <c r="A1507" s="6" t="s">
        <v>4530</v>
      </c>
      <c r="B1507" s="6" t="s">
        <v>191</v>
      </c>
      <c r="C1507" s="7" t="n">
        <v>45930</v>
      </c>
      <c r="D1507" s="6" t="s">
        <v>4165</v>
      </c>
      <c r="E1507" s="6" t="s">
        <v>4476</v>
      </c>
      <c r="F1507" s="6" t="s">
        <v>4522</v>
      </c>
      <c r="G1507" s="6" t="s">
        <v>1500</v>
      </c>
      <c r="H1507" s="10" t="n">
        <v>0.06</v>
      </c>
      <c r="K1507" s="6" t="s">
        <v>742</v>
      </c>
      <c r="L1507" s="6" t="s">
        <v>13</v>
      </c>
      <c r="M1507" s="6" t="s">
        <v>189</v>
      </c>
      <c r="N1507" s="6" t="s">
        <v>4531</v>
      </c>
      <c r="O1507" s="6"/>
      <c r="P1507" s="6"/>
    </row>
    <row r="1508" customFormat="false" ht="15" hidden="false" customHeight="false" outlineLevel="0" collapsed="false">
      <c r="A1508" s="6" t="s">
        <v>4532</v>
      </c>
      <c r="B1508" s="6" t="s">
        <v>196</v>
      </c>
      <c r="C1508" s="7" t="n">
        <v>46022</v>
      </c>
      <c r="D1508" s="6" t="s">
        <v>4165</v>
      </c>
      <c r="E1508" s="6" t="s">
        <v>4476</v>
      </c>
      <c r="F1508" s="6" t="s">
        <v>4522</v>
      </c>
      <c r="G1508" s="6" t="s">
        <v>1500</v>
      </c>
      <c r="H1508" s="10" t="n">
        <v>0.06</v>
      </c>
      <c r="K1508" s="6" t="s">
        <v>742</v>
      </c>
      <c r="L1508" s="6" t="s">
        <v>13</v>
      </c>
      <c r="M1508" s="6" t="s">
        <v>194</v>
      </c>
      <c r="N1508" s="6" t="s">
        <v>4533</v>
      </c>
      <c r="O1508" s="6"/>
      <c r="P1508" s="6"/>
    </row>
    <row r="1509" customFormat="false" ht="15" hidden="false" customHeight="false" outlineLevel="0" collapsed="false">
      <c r="A1509" s="6" t="s">
        <v>4534</v>
      </c>
      <c r="B1509" s="6" t="s">
        <v>201</v>
      </c>
      <c r="C1509" s="7" t="n">
        <v>46112</v>
      </c>
      <c r="D1509" s="6" t="s">
        <v>4165</v>
      </c>
      <c r="E1509" s="6" t="s">
        <v>4476</v>
      </c>
      <c r="F1509" s="6" t="s">
        <v>4522</v>
      </c>
      <c r="G1509" s="6" t="s">
        <v>1500</v>
      </c>
      <c r="H1509" s="10" t="n">
        <v>0.06</v>
      </c>
      <c r="K1509" s="6" t="s">
        <v>742</v>
      </c>
      <c r="L1509" s="6" t="s">
        <v>13</v>
      </c>
      <c r="M1509" s="6" t="s">
        <v>199</v>
      </c>
      <c r="N1509" s="6" t="s">
        <v>4535</v>
      </c>
      <c r="O1509" s="6"/>
      <c r="P1509" s="6"/>
    </row>
    <row r="1510" customFormat="false" ht="15" hidden="false" customHeight="false" outlineLevel="0" collapsed="false">
      <c r="A1510" s="6" t="s">
        <v>4536</v>
      </c>
      <c r="B1510" s="6" t="s">
        <v>206</v>
      </c>
      <c r="C1510" s="7" t="n">
        <v>46203</v>
      </c>
      <c r="D1510" s="6" t="s">
        <v>4165</v>
      </c>
      <c r="E1510" s="6" t="s">
        <v>4476</v>
      </c>
      <c r="F1510" s="6" t="s">
        <v>4522</v>
      </c>
      <c r="G1510" s="6" t="s">
        <v>4537</v>
      </c>
      <c r="H1510" s="10" t="n">
        <v>0.07</v>
      </c>
      <c r="K1510" s="6" t="s">
        <v>742</v>
      </c>
      <c r="L1510" s="6" t="s">
        <v>13</v>
      </c>
      <c r="M1510" s="6" t="s">
        <v>204</v>
      </c>
      <c r="N1510" s="6" t="s">
        <v>4538</v>
      </c>
      <c r="O1510" s="6"/>
      <c r="P1510" s="6"/>
    </row>
    <row r="1511" customFormat="false" ht="15" hidden="false" customHeight="false" outlineLevel="0" collapsed="false">
      <c r="A1511" s="6" t="s">
        <v>4539</v>
      </c>
      <c r="B1511" s="6" t="s">
        <v>116</v>
      </c>
      <c r="C1511" s="7" t="n">
        <v>44561</v>
      </c>
      <c r="D1511" s="6" t="s">
        <v>4165</v>
      </c>
      <c r="E1511" s="6" t="s">
        <v>4476</v>
      </c>
      <c r="F1511" s="6" t="s">
        <v>4540</v>
      </c>
      <c r="G1511" s="6" t="s">
        <v>4541</v>
      </c>
      <c r="H1511" s="10" t="n">
        <v>0.72</v>
      </c>
      <c r="K1511" s="6" t="s">
        <v>742</v>
      </c>
      <c r="L1511" s="6" t="s">
        <v>13</v>
      </c>
      <c r="M1511" s="6" t="s">
        <v>114</v>
      </c>
      <c r="N1511" s="6" t="s">
        <v>4542</v>
      </c>
      <c r="O1511" s="6"/>
      <c r="P1511" s="6"/>
    </row>
    <row r="1512" customFormat="false" ht="15" hidden="false" customHeight="false" outlineLevel="0" collapsed="false">
      <c r="A1512" s="6" t="s">
        <v>4543</v>
      </c>
      <c r="B1512" s="6" t="s">
        <v>171</v>
      </c>
      <c r="C1512" s="7" t="n">
        <v>45565</v>
      </c>
      <c r="D1512" s="6" t="s">
        <v>4165</v>
      </c>
      <c r="E1512" s="6" t="s">
        <v>4476</v>
      </c>
      <c r="F1512" s="6" t="s">
        <v>4540</v>
      </c>
      <c r="G1512" s="6" t="s">
        <v>4544</v>
      </c>
      <c r="H1512" s="10" t="n">
        <v>0.79</v>
      </c>
      <c r="K1512" s="6" t="s">
        <v>742</v>
      </c>
      <c r="L1512" s="6" t="s">
        <v>13</v>
      </c>
      <c r="M1512" s="6" t="s">
        <v>189</v>
      </c>
      <c r="N1512" s="6" t="s">
        <v>4545</v>
      </c>
      <c r="O1512" s="6"/>
      <c r="P1512" s="6" t="s">
        <v>4379</v>
      </c>
    </row>
    <row r="1513" customFormat="false" ht="15" hidden="false" customHeight="false" outlineLevel="0" collapsed="false">
      <c r="A1513" s="6" t="s">
        <v>4546</v>
      </c>
      <c r="B1513" s="6" t="s">
        <v>176</v>
      </c>
      <c r="C1513" s="7" t="n">
        <v>45657</v>
      </c>
      <c r="D1513" s="6" t="s">
        <v>4165</v>
      </c>
      <c r="E1513" s="6" t="s">
        <v>4476</v>
      </c>
      <c r="F1513" s="6" t="s">
        <v>4540</v>
      </c>
      <c r="G1513" s="6" t="s">
        <v>4544</v>
      </c>
      <c r="H1513" s="10" t="n">
        <v>0.79</v>
      </c>
      <c r="K1513" s="6" t="s">
        <v>742</v>
      </c>
      <c r="L1513" s="6" t="s">
        <v>13</v>
      </c>
      <c r="M1513" s="6" t="s">
        <v>194</v>
      </c>
      <c r="N1513" s="6" t="s">
        <v>4547</v>
      </c>
      <c r="O1513" s="6"/>
      <c r="P1513" s="6" t="s">
        <v>4383</v>
      </c>
    </row>
    <row r="1514" customFormat="false" ht="15" hidden="false" customHeight="false" outlineLevel="0" collapsed="false">
      <c r="A1514" s="6" t="s">
        <v>4548</v>
      </c>
      <c r="B1514" s="6" t="s">
        <v>181</v>
      </c>
      <c r="C1514" s="7" t="n">
        <v>45747</v>
      </c>
      <c r="D1514" s="6" t="s">
        <v>4165</v>
      </c>
      <c r="E1514" s="6" t="s">
        <v>4476</v>
      </c>
      <c r="F1514" s="6" t="s">
        <v>4540</v>
      </c>
      <c r="G1514" s="6" t="s">
        <v>4549</v>
      </c>
      <c r="H1514" s="10" t="n">
        <v>0.8</v>
      </c>
      <c r="K1514" s="6" t="s">
        <v>742</v>
      </c>
      <c r="L1514" s="6" t="s">
        <v>13</v>
      </c>
      <c r="M1514" s="6" t="s">
        <v>199</v>
      </c>
      <c r="N1514" s="6" t="s">
        <v>4550</v>
      </c>
      <c r="O1514" s="6"/>
      <c r="P1514" s="6" t="s">
        <v>4387</v>
      </c>
    </row>
    <row r="1515" customFormat="false" ht="15" hidden="false" customHeight="false" outlineLevel="0" collapsed="false">
      <c r="A1515" s="6" t="s">
        <v>4551</v>
      </c>
      <c r="B1515" s="6" t="s">
        <v>186</v>
      </c>
      <c r="C1515" s="7" t="n">
        <v>45838</v>
      </c>
      <c r="D1515" s="6" t="s">
        <v>4165</v>
      </c>
      <c r="E1515" s="6" t="s">
        <v>4476</v>
      </c>
      <c r="F1515" s="6" t="s">
        <v>4540</v>
      </c>
      <c r="G1515" s="6" t="s">
        <v>4549</v>
      </c>
      <c r="H1515" s="10" t="n">
        <v>0.8</v>
      </c>
      <c r="K1515" s="6" t="s">
        <v>742</v>
      </c>
      <c r="L1515" s="6" t="s">
        <v>13</v>
      </c>
      <c r="M1515" s="6" t="s">
        <v>204</v>
      </c>
      <c r="N1515" s="6" t="s">
        <v>4552</v>
      </c>
      <c r="O1515" s="6"/>
      <c r="P1515" s="6" t="s">
        <v>4391</v>
      </c>
    </row>
    <row r="1516" customFormat="false" ht="15" hidden="false" customHeight="false" outlineLevel="0" collapsed="false">
      <c r="A1516" s="6" t="s">
        <v>4553</v>
      </c>
      <c r="B1516" s="6" t="s">
        <v>191</v>
      </c>
      <c r="C1516" s="7" t="n">
        <v>45930</v>
      </c>
      <c r="D1516" s="6" t="s">
        <v>4165</v>
      </c>
      <c r="E1516" s="6" t="s">
        <v>4476</v>
      </c>
      <c r="F1516" s="6" t="s">
        <v>4540</v>
      </c>
      <c r="G1516" s="6" t="s">
        <v>4554</v>
      </c>
      <c r="H1516" s="10" t="n">
        <v>0.81</v>
      </c>
      <c r="K1516" s="6" t="s">
        <v>742</v>
      </c>
      <c r="L1516" s="6" t="s">
        <v>13</v>
      </c>
      <c r="M1516" s="6" t="s">
        <v>189</v>
      </c>
      <c r="N1516" s="6" t="s">
        <v>4555</v>
      </c>
      <c r="O1516" s="6"/>
      <c r="P1516" s="6"/>
    </row>
    <row r="1517" customFormat="false" ht="15" hidden="false" customHeight="false" outlineLevel="0" collapsed="false">
      <c r="A1517" s="6" t="s">
        <v>4556</v>
      </c>
      <c r="B1517" s="6" t="s">
        <v>196</v>
      </c>
      <c r="C1517" s="7" t="n">
        <v>46022</v>
      </c>
      <c r="D1517" s="6" t="s">
        <v>4165</v>
      </c>
      <c r="E1517" s="6" t="s">
        <v>4476</v>
      </c>
      <c r="F1517" s="6" t="s">
        <v>4540</v>
      </c>
      <c r="G1517" s="6" t="s">
        <v>4554</v>
      </c>
      <c r="H1517" s="10" t="n">
        <v>0.81</v>
      </c>
      <c r="K1517" s="6" t="s">
        <v>742</v>
      </c>
      <c r="L1517" s="6" t="s">
        <v>13</v>
      </c>
      <c r="M1517" s="6" t="s">
        <v>194</v>
      </c>
      <c r="N1517" s="6" t="s">
        <v>4557</v>
      </c>
      <c r="O1517" s="6"/>
      <c r="P1517" s="6"/>
    </row>
    <row r="1518" customFormat="false" ht="15" hidden="false" customHeight="false" outlineLevel="0" collapsed="false">
      <c r="A1518" s="6" t="s">
        <v>4558</v>
      </c>
      <c r="B1518" s="6" t="s">
        <v>201</v>
      </c>
      <c r="C1518" s="7" t="n">
        <v>46112</v>
      </c>
      <c r="D1518" s="6" t="s">
        <v>4165</v>
      </c>
      <c r="E1518" s="6" t="s">
        <v>4476</v>
      </c>
      <c r="F1518" s="6" t="s">
        <v>4540</v>
      </c>
      <c r="G1518" s="6" t="s">
        <v>4559</v>
      </c>
      <c r="H1518" s="10" t="n">
        <v>0.82</v>
      </c>
      <c r="K1518" s="6" t="s">
        <v>742</v>
      </c>
      <c r="L1518" s="6" t="s">
        <v>13</v>
      </c>
      <c r="M1518" s="6" t="s">
        <v>199</v>
      </c>
      <c r="N1518" s="6" t="s">
        <v>4560</v>
      </c>
      <c r="O1518" s="6"/>
      <c r="P1518" s="6"/>
    </row>
    <row r="1519" customFormat="false" ht="15" hidden="false" customHeight="false" outlineLevel="0" collapsed="false">
      <c r="A1519" s="6" t="s">
        <v>4561</v>
      </c>
      <c r="B1519" s="6" t="s">
        <v>206</v>
      </c>
      <c r="C1519" s="7" t="n">
        <v>46203</v>
      </c>
      <c r="D1519" s="6" t="s">
        <v>4165</v>
      </c>
      <c r="E1519" s="6" t="s">
        <v>4476</v>
      </c>
      <c r="F1519" s="6" t="s">
        <v>4540</v>
      </c>
      <c r="G1519" s="6" t="s">
        <v>4559</v>
      </c>
      <c r="H1519" s="10" t="n">
        <v>0.82</v>
      </c>
      <c r="K1519" s="6" t="s">
        <v>742</v>
      </c>
      <c r="L1519" s="6" t="s">
        <v>13</v>
      </c>
      <c r="M1519" s="6" t="s">
        <v>204</v>
      </c>
      <c r="N1519" s="6" t="s">
        <v>4562</v>
      </c>
      <c r="O1519" s="6"/>
      <c r="P1519" s="6"/>
    </row>
    <row r="1520" customFormat="false" ht="15" hidden="false" customHeight="false" outlineLevel="0" collapsed="false">
      <c r="A1520" s="6" t="s">
        <v>4563</v>
      </c>
      <c r="B1520" s="6" t="s">
        <v>176</v>
      </c>
      <c r="C1520" s="7" t="n">
        <v>45657</v>
      </c>
      <c r="D1520" s="6" t="s">
        <v>4165</v>
      </c>
      <c r="E1520" s="6" t="s">
        <v>4564</v>
      </c>
      <c r="F1520" s="6" t="s">
        <v>4565</v>
      </c>
      <c r="G1520" s="6" t="s">
        <v>4566</v>
      </c>
      <c r="H1520" s="13" t="n">
        <v>516</v>
      </c>
      <c r="K1520" s="6" t="s">
        <v>3751</v>
      </c>
      <c r="L1520" s="6" t="s">
        <v>13</v>
      </c>
      <c r="M1520" s="6" t="s">
        <v>194</v>
      </c>
      <c r="N1520" s="6" t="s">
        <v>4567</v>
      </c>
      <c r="O1520" s="6"/>
      <c r="P1520" s="6" t="s">
        <v>4383</v>
      </c>
    </row>
    <row r="1521" customFormat="false" ht="15" hidden="false" customHeight="false" outlineLevel="0" collapsed="false">
      <c r="A1521" s="6" t="s">
        <v>4568</v>
      </c>
      <c r="B1521" s="6" t="s">
        <v>181</v>
      </c>
      <c r="C1521" s="7" t="n">
        <v>45747</v>
      </c>
      <c r="D1521" s="6" t="s">
        <v>4165</v>
      </c>
      <c r="E1521" s="6" t="s">
        <v>4564</v>
      </c>
      <c r="F1521" s="6" t="s">
        <v>4565</v>
      </c>
      <c r="G1521" s="6" t="s">
        <v>4569</v>
      </c>
      <c r="H1521" s="13" t="n">
        <v>568</v>
      </c>
      <c r="K1521" s="6" t="s">
        <v>3751</v>
      </c>
      <c r="L1521" s="6" t="s">
        <v>13</v>
      </c>
      <c r="M1521" s="6" t="s">
        <v>199</v>
      </c>
      <c r="N1521" s="6" t="s">
        <v>4570</v>
      </c>
      <c r="O1521" s="6"/>
      <c r="P1521" s="6" t="s">
        <v>4387</v>
      </c>
    </row>
    <row r="1522" customFormat="false" ht="15" hidden="false" customHeight="false" outlineLevel="0" collapsed="false">
      <c r="A1522" s="6" t="s">
        <v>4571</v>
      </c>
      <c r="B1522" s="6" t="s">
        <v>186</v>
      </c>
      <c r="C1522" s="7" t="n">
        <v>45838</v>
      </c>
      <c r="D1522" s="6" t="s">
        <v>4165</v>
      </c>
      <c r="E1522" s="6" t="s">
        <v>4564</v>
      </c>
      <c r="F1522" s="6" t="s">
        <v>4565</v>
      </c>
      <c r="G1522" s="6" t="s">
        <v>4572</v>
      </c>
      <c r="H1522" s="13" t="n">
        <v>588</v>
      </c>
      <c r="K1522" s="6" t="s">
        <v>3751</v>
      </c>
      <c r="L1522" s="6" t="s">
        <v>13</v>
      </c>
      <c r="M1522" s="6" t="s">
        <v>204</v>
      </c>
      <c r="N1522" s="6" t="s">
        <v>4573</v>
      </c>
      <c r="O1522" s="6"/>
      <c r="P1522" s="6" t="s">
        <v>4574</v>
      </c>
    </row>
    <row r="1523" customFormat="false" ht="15" hidden="false" customHeight="false" outlineLevel="0" collapsed="false">
      <c r="A1523" s="6" t="s">
        <v>4575</v>
      </c>
      <c r="B1523" s="6" t="s">
        <v>196</v>
      </c>
      <c r="C1523" s="7" t="n">
        <v>46022</v>
      </c>
      <c r="D1523" s="6" t="s">
        <v>4165</v>
      </c>
      <c r="E1523" s="6" t="s">
        <v>4564</v>
      </c>
      <c r="F1523" s="6" t="s">
        <v>4565</v>
      </c>
      <c r="G1523" s="6" t="s">
        <v>4576</v>
      </c>
      <c r="H1523" s="13" t="n">
        <v>676</v>
      </c>
      <c r="K1523" s="6" t="s">
        <v>3751</v>
      </c>
      <c r="L1523" s="6" t="s">
        <v>13</v>
      </c>
      <c r="M1523" s="6" t="s">
        <v>194</v>
      </c>
      <c r="N1523" s="6" t="s">
        <v>4577</v>
      </c>
      <c r="O1523" s="6"/>
      <c r="P1523" s="6"/>
    </row>
    <row r="1524" customFormat="false" ht="15" hidden="false" customHeight="false" outlineLevel="0" collapsed="false">
      <c r="A1524" s="6" t="s">
        <v>4578</v>
      </c>
      <c r="B1524" s="6" t="s">
        <v>201</v>
      </c>
      <c r="C1524" s="7" t="n">
        <v>46112</v>
      </c>
      <c r="D1524" s="6" t="s">
        <v>4165</v>
      </c>
      <c r="E1524" s="6" t="s">
        <v>4564</v>
      </c>
      <c r="F1524" s="6" t="s">
        <v>4565</v>
      </c>
      <c r="G1524" s="6" t="s">
        <v>4579</v>
      </c>
      <c r="H1524" s="13" t="n">
        <v>716</v>
      </c>
      <c r="K1524" s="6" t="s">
        <v>3751</v>
      </c>
      <c r="L1524" s="6" t="s">
        <v>13</v>
      </c>
      <c r="M1524" s="6" t="s">
        <v>199</v>
      </c>
      <c r="N1524" s="6" t="s">
        <v>4580</v>
      </c>
      <c r="O1524" s="6"/>
      <c r="P1524" s="6"/>
    </row>
    <row r="1525" customFormat="false" ht="15" hidden="false" customHeight="false" outlineLevel="0" collapsed="false">
      <c r="A1525" s="6" t="s">
        <v>4581</v>
      </c>
      <c r="B1525" s="6" t="s">
        <v>206</v>
      </c>
      <c r="C1525" s="7" t="n">
        <v>46203</v>
      </c>
      <c r="D1525" s="6" t="s">
        <v>4165</v>
      </c>
      <c r="E1525" s="6" t="s">
        <v>4564</v>
      </c>
      <c r="F1525" s="6" t="s">
        <v>4565</v>
      </c>
      <c r="G1525" s="6" t="s">
        <v>4582</v>
      </c>
      <c r="H1525" s="13" t="n">
        <v>750</v>
      </c>
      <c r="K1525" s="6" t="s">
        <v>3751</v>
      </c>
      <c r="L1525" s="6" t="s">
        <v>13</v>
      </c>
      <c r="M1525" s="6" t="s">
        <v>204</v>
      </c>
      <c r="N1525" s="6" t="s">
        <v>4583</v>
      </c>
      <c r="O1525" s="6"/>
      <c r="P1525" s="6"/>
    </row>
    <row r="1526" customFormat="false" ht="15" hidden="false" customHeight="false" outlineLevel="0" collapsed="false">
      <c r="A1526" s="6" t="s">
        <v>4584</v>
      </c>
      <c r="B1526" s="6" t="s">
        <v>196</v>
      </c>
      <c r="C1526" s="7" t="n">
        <v>46022</v>
      </c>
      <c r="D1526" s="6" t="s">
        <v>4176</v>
      </c>
      <c r="E1526" s="6" t="s">
        <v>4564</v>
      </c>
      <c r="F1526" s="6" t="s">
        <v>4585</v>
      </c>
      <c r="G1526" s="6" t="s">
        <v>4374</v>
      </c>
      <c r="H1526" s="10" t="n">
        <v>0.31</v>
      </c>
      <c r="K1526" s="6" t="s">
        <v>742</v>
      </c>
      <c r="L1526" s="6" t="s">
        <v>13</v>
      </c>
      <c r="M1526" s="6" t="s">
        <v>194</v>
      </c>
      <c r="N1526" s="6" t="s">
        <v>4577</v>
      </c>
      <c r="O1526" s="6"/>
      <c r="P1526" s="6" t="s">
        <v>4179</v>
      </c>
    </row>
    <row r="1527" customFormat="false" ht="15" hidden="false" customHeight="false" outlineLevel="0" collapsed="false">
      <c r="A1527" s="6" t="s">
        <v>4586</v>
      </c>
      <c r="B1527" s="6" t="s">
        <v>201</v>
      </c>
      <c r="C1527" s="7" t="n">
        <v>46112</v>
      </c>
      <c r="D1527" s="6" t="s">
        <v>4176</v>
      </c>
      <c r="E1527" s="6" t="s">
        <v>4564</v>
      </c>
      <c r="F1527" s="6" t="s">
        <v>4585</v>
      </c>
      <c r="G1527" s="6" t="s">
        <v>4587</v>
      </c>
      <c r="H1527" s="10" t="n">
        <v>0.26</v>
      </c>
      <c r="K1527" s="6" t="s">
        <v>742</v>
      </c>
      <c r="L1527" s="6" t="s">
        <v>13</v>
      </c>
      <c r="M1527" s="6" t="s">
        <v>199</v>
      </c>
      <c r="N1527" s="6" t="s">
        <v>4580</v>
      </c>
      <c r="O1527" s="6"/>
      <c r="P1527" s="6" t="s">
        <v>4179</v>
      </c>
    </row>
    <row r="1528" customFormat="false" ht="15" hidden="false" customHeight="false" outlineLevel="0" collapsed="false">
      <c r="A1528" s="6" t="s">
        <v>4588</v>
      </c>
      <c r="B1528" s="6" t="s">
        <v>206</v>
      </c>
      <c r="C1528" s="7" t="n">
        <v>46203</v>
      </c>
      <c r="D1528" s="6" t="s">
        <v>4176</v>
      </c>
      <c r="E1528" s="6" t="s">
        <v>4564</v>
      </c>
      <c r="F1528" s="6" t="s">
        <v>4585</v>
      </c>
      <c r="G1528" s="6" t="s">
        <v>4589</v>
      </c>
      <c r="H1528" s="10" t="n">
        <v>0.27</v>
      </c>
      <c r="K1528" s="6" t="s">
        <v>742</v>
      </c>
      <c r="L1528" s="6" t="s">
        <v>13</v>
      </c>
      <c r="M1528" s="6" t="s">
        <v>204</v>
      </c>
      <c r="N1528" s="6" t="s">
        <v>4583</v>
      </c>
      <c r="O1528" s="6"/>
      <c r="P1528" s="6" t="s">
        <v>4179</v>
      </c>
    </row>
    <row r="1529" customFormat="false" ht="15" hidden="false" customHeight="false" outlineLevel="0" collapsed="false">
      <c r="A1529" s="6" t="s">
        <v>4590</v>
      </c>
      <c r="B1529" s="6" t="s">
        <v>171</v>
      </c>
      <c r="C1529" s="7" t="n">
        <v>45565</v>
      </c>
      <c r="D1529" s="6" t="s">
        <v>4165</v>
      </c>
      <c r="E1529" s="6" t="s">
        <v>4564</v>
      </c>
      <c r="F1529" s="6" t="s">
        <v>4591</v>
      </c>
      <c r="G1529" s="6" t="s">
        <v>4592</v>
      </c>
      <c r="H1529" s="13" t="n">
        <v>548</v>
      </c>
      <c r="K1529" s="6" t="s">
        <v>3751</v>
      </c>
      <c r="L1529" s="6" t="s">
        <v>13</v>
      </c>
      <c r="M1529" s="6" t="s">
        <v>189</v>
      </c>
      <c r="N1529" s="6" t="s">
        <v>4593</v>
      </c>
      <c r="O1529" s="6"/>
      <c r="P1529" s="6" t="s">
        <v>4379</v>
      </c>
    </row>
    <row r="1530" customFormat="false" ht="15" hidden="false" customHeight="false" outlineLevel="0" collapsed="false">
      <c r="A1530" s="6" t="s">
        <v>4594</v>
      </c>
      <c r="B1530" s="6" t="s">
        <v>176</v>
      </c>
      <c r="C1530" s="7" t="n">
        <v>45657</v>
      </c>
      <c r="D1530" s="6" t="s">
        <v>4165</v>
      </c>
      <c r="E1530" s="6" t="s">
        <v>4564</v>
      </c>
      <c r="F1530" s="6" t="s">
        <v>4591</v>
      </c>
      <c r="G1530" s="6" t="s">
        <v>4595</v>
      </c>
      <c r="H1530" s="13" t="n">
        <v>614</v>
      </c>
      <c r="K1530" s="6" t="s">
        <v>3751</v>
      </c>
      <c r="L1530" s="6" t="s">
        <v>13</v>
      </c>
      <c r="M1530" s="6" t="s">
        <v>194</v>
      </c>
      <c r="N1530" s="6" t="s">
        <v>4596</v>
      </c>
      <c r="O1530" s="6"/>
      <c r="P1530" s="6" t="s">
        <v>4383</v>
      </c>
    </row>
    <row r="1531" customFormat="false" ht="15" hidden="false" customHeight="false" outlineLevel="0" collapsed="false">
      <c r="A1531" s="6" t="s">
        <v>4597</v>
      </c>
      <c r="B1531" s="6" t="s">
        <v>181</v>
      </c>
      <c r="C1531" s="7" t="n">
        <v>45747</v>
      </c>
      <c r="D1531" s="6" t="s">
        <v>4165</v>
      </c>
      <c r="E1531" s="6" t="s">
        <v>4564</v>
      </c>
      <c r="F1531" s="6" t="s">
        <v>4591</v>
      </c>
      <c r="G1531" s="6" t="s">
        <v>4598</v>
      </c>
      <c r="H1531" s="13" t="n">
        <v>660</v>
      </c>
      <c r="K1531" s="6" t="s">
        <v>3751</v>
      </c>
      <c r="L1531" s="6" t="s">
        <v>13</v>
      </c>
      <c r="M1531" s="6" t="s">
        <v>199</v>
      </c>
      <c r="N1531" s="6" t="s">
        <v>4599</v>
      </c>
      <c r="O1531" s="6"/>
      <c r="P1531" s="6" t="s">
        <v>4387</v>
      </c>
    </row>
    <row r="1532" customFormat="false" ht="15" hidden="false" customHeight="false" outlineLevel="0" collapsed="false">
      <c r="A1532" s="6" t="s">
        <v>4600</v>
      </c>
      <c r="B1532" s="6" t="s">
        <v>186</v>
      </c>
      <c r="C1532" s="7" t="n">
        <v>45838</v>
      </c>
      <c r="D1532" s="6" t="s">
        <v>4165</v>
      </c>
      <c r="E1532" s="6" t="s">
        <v>4564</v>
      </c>
      <c r="F1532" s="6" t="s">
        <v>4591</v>
      </c>
      <c r="G1532" s="6" t="s">
        <v>4601</v>
      </c>
      <c r="H1532" s="13" t="n">
        <v>699</v>
      </c>
      <c r="K1532" s="6" t="s">
        <v>3751</v>
      </c>
      <c r="L1532" s="6" t="s">
        <v>13</v>
      </c>
      <c r="M1532" s="6" t="s">
        <v>204</v>
      </c>
      <c r="N1532" s="6" t="s">
        <v>4602</v>
      </c>
      <c r="O1532" s="6"/>
      <c r="P1532" s="6" t="s">
        <v>4603</v>
      </c>
    </row>
    <row r="1533" customFormat="false" ht="15" hidden="false" customHeight="false" outlineLevel="0" collapsed="false">
      <c r="A1533" s="6" t="s">
        <v>4604</v>
      </c>
      <c r="B1533" s="6" t="s">
        <v>191</v>
      </c>
      <c r="C1533" s="7" t="n">
        <v>45930</v>
      </c>
      <c r="D1533" s="6" t="s">
        <v>4165</v>
      </c>
      <c r="E1533" s="6" t="s">
        <v>4564</v>
      </c>
      <c r="F1533" s="6" t="s">
        <v>4591</v>
      </c>
      <c r="G1533" s="6" t="s">
        <v>4605</v>
      </c>
      <c r="H1533" s="13" t="n">
        <v>747</v>
      </c>
      <c r="K1533" s="6" t="s">
        <v>3751</v>
      </c>
      <c r="L1533" s="6" t="s">
        <v>13</v>
      </c>
      <c r="M1533" s="6" t="s">
        <v>189</v>
      </c>
      <c r="N1533" s="6" t="s">
        <v>4606</v>
      </c>
      <c r="O1533" s="6"/>
      <c r="P1533" s="6"/>
    </row>
    <row r="1534" customFormat="false" ht="15" hidden="false" customHeight="false" outlineLevel="0" collapsed="false">
      <c r="A1534" s="6" t="s">
        <v>4607</v>
      </c>
      <c r="B1534" s="6" t="s">
        <v>196</v>
      </c>
      <c r="C1534" s="7" t="n">
        <v>46022</v>
      </c>
      <c r="D1534" s="6" t="s">
        <v>4165</v>
      </c>
      <c r="E1534" s="6" t="s">
        <v>4564</v>
      </c>
      <c r="F1534" s="6" t="s">
        <v>4591</v>
      </c>
      <c r="G1534" s="6" t="s">
        <v>4608</v>
      </c>
      <c r="H1534" s="13" t="n">
        <v>839</v>
      </c>
      <c r="K1534" s="6" t="s">
        <v>3751</v>
      </c>
      <c r="L1534" s="6" t="s">
        <v>13</v>
      </c>
      <c r="M1534" s="6" t="s">
        <v>194</v>
      </c>
      <c r="N1534" s="6" t="s">
        <v>4609</v>
      </c>
      <c r="O1534" s="6"/>
      <c r="P1534" s="6"/>
    </row>
    <row r="1535" customFormat="false" ht="15" hidden="false" customHeight="false" outlineLevel="0" collapsed="false">
      <c r="A1535" s="6" t="s">
        <v>4610</v>
      </c>
      <c r="B1535" s="6" t="s">
        <v>201</v>
      </c>
      <c r="C1535" s="7" t="n">
        <v>46112</v>
      </c>
      <c r="D1535" s="6" t="s">
        <v>4165</v>
      </c>
      <c r="E1535" s="6" t="s">
        <v>4564</v>
      </c>
      <c r="F1535" s="6" t="s">
        <v>4591</v>
      </c>
      <c r="G1535" s="6" t="s">
        <v>4611</v>
      </c>
      <c r="H1535" s="13" t="n">
        <v>880</v>
      </c>
      <c r="K1535" s="6" t="s">
        <v>3751</v>
      </c>
      <c r="L1535" s="6" t="s">
        <v>13</v>
      </c>
      <c r="M1535" s="6" t="s">
        <v>199</v>
      </c>
      <c r="N1535" s="6" t="s">
        <v>4612</v>
      </c>
      <c r="O1535" s="6"/>
      <c r="P1535" s="6"/>
    </row>
    <row r="1536" customFormat="false" ht="15" hidden="false" customHeight="false" outlineLevel="0" collapsed="false">
      <c r="A1536" s="6" t="s">
        <v>4613</v>
      </c>
      <c r="B1536" s="6" t="s">
        <v>206</v>
      </c>
      <c r="C1536" s="7" t="n">
        <v>46203</v>
      </c>
      <c r="D1536" s="6" t="s">
        <v>4165</v>
      </c>
      <c r="E1536" s="6" t="s">
        <v>4564</v>
      </c>
      <c r="F1536" s="6" t="s">
        <v>4591</v>
      </c>
      <c r="G1536" s="6" t="s">
        <v>4614</v>
      </c>
      <c r="H1536" s="13" t="n">
        <v>937</v>
      </c>
      <c r="K1536" s="6" t="s">
        <v>3751</v>
      </c>
      <c r="L1536" s="6" t="s">
        <v>13</v>
      </c>
      <c r="M1536" s="6" t="s">
        <v>204</v>
      </c>
      <c r="N1536" s="6" t="s">
        <v>4615</v>
      </c>
      <c r="O1536" s="6"/>
      <c r="P1536" s="6"/>
    </row>
    <row r="1537" customFormat="false" ht="15" hidden="false" customHeight="false" outlineLevel="0" collapsed="false">
      <c r="A1537" s="6" t="s">
        <v>4616</v>
      </c>
      <c r="B1537" s="6" t="s">
        <v>191</v>
      </c>
      <c r="C1537" s="7" t="n">
        <v>45930</v>
      </c>
      <c r="D1537" s="6" t="s">
        <v>4176</v>
      </c>
      <c r="E1537" s="6" t="s">
        <v>4564</v>
      </c>
      <c r="F1537" s="6" t="s">
        <v>4617</v>
      </c>
      <c r="G1537" s="6" t="s">
        <v>4368</v>
      </c>
      <c r="H1537" s="10" t="n">
        <v>0.36</v>
      </c>
      <c r="K1537" s="6" t="s">
        <v>742</v>
      </c>
      <c r="L1537" s="6" t="s">
        <v>13</v>
      </c>
      <c r="M1537" s="6" t="s">
        <v>189</v>
      </c>
      <c r="N1537" s="6" t="s">
        <v>4606</v>
      </c>
      <c r="O1537" s="6"/>
      <c r="P1537" s="6" t="s">
        <v>4179</v>
      </c>
    </row>
    <row r="1538" customFormat="false" ht="15" hidden="false" customHeight="false" outlineLevel="0" collapsed="false">
      <c r="A1538" s="6" t="s">
        <v>4618</v>
      </c>
      <c r="B1538" s="6" t="s">
        <v>196</v>
      </c>
      <c r="C1538" s="7" t="n">
        <v>46022</v>
      </c>
      <c r="D1538" s="6" t="s">
        <v>4176</v>
      </c>
      <c r="E1538" s="6" t="s">
        <v>4564</v>
      </c>
      <c r="F1538" s="6" t="s">
        <v>4617</v>
      </c>
      <c r="G1538" s="6" t="s">
        <v>4258</v>
      </c>
      <c r="H1538" s="10" t="n">
        <v>0.37</v>
      </c>
      <c r="K1538" s="6" t="s">
        <v>742</v>
      </c>
      <c r="L1538" s="6" t="s">
        <v>13</v>
      </c>
      <c r="M1538" s="6" t="s">
        <v>194</v>
      </c>
      <c r="N1538" s="6" t="s">
        <v>4609</v>
      </c>
      <c r="O1538" s="6"/>
      <c r="P1538" s="6" t="s">
        <v>4179</v>
      </c>
    </row>
    <row r="1539" customFormat="false" ht="15" hidden="false" customHeight="false" outlineLevel="0" collapsed="false">
      <c r="A1539" s="6" t="s">
        <v>4619</v>
      </c>
      <c r="B1539" s="6" t="s">
        <v>201</v>
      </c>
      <c r="C1539" s="7" t="n">
        <v>46112</v>
      </c>
      <c r="D1539" s="6" t="s">
        <v>4176</v>
      </c>
      <c r="E1539" s="6" t="s">
        <v>4564</v>
      </c>
      <c r="F1539" s="6" t="s">
        <v>4617</v>
      </c>
      <c r="G1539" s="6" t="s">
        <v>4620</v>
      </c>
      <c r="H1539" s="10" t="n">
        <v>0.33</v>
      </c>
      <c r="K1539" s="6" t="s">
        <v>742</v>
      </c>
      <c r="L1539" s="6" t="s">
        <v>13</v>
      </c>
      <c r="M1539" s="6" t="s">
        <v>199</v>
      </c>
      <c r="N1539" s="6" t="s">
        <v>4612</v>
      </c>
      <c r="O1539" s="6"/>
      <c r="P1539" s="6" t="s">
        <v>4179</v>
      </c>
    </row>
    <row r="1540" customFormat="false" ht="15" hidden="false" customHeight="false" outlineLevel="0" collapsed="false">
      <c r="A1540" s="6" t="s">
        <v>4621</v>
      </c>
      <c r="B1540" s="6" t="s">
        <v>206</v>
      </c>
      <c r="C1540" s="7" t="n">
        <v>46203</v>
      </c>
      <c r="D1540" s="6" t="s">
        <v>4176</v>
      </c>
      <c r="E1540" s="6" t="s">
        <v>4564</v>
      </c>
      <c r="F1540" s="6" t="s">
        <v>4617</v>
      </c>
      <c r="G1540" s="6" t="s">
        <v>4178</v>
      </c>
      <c r="H1540" s="10" t="n">
        <v>0.34</v>
      </c>
      <c r="K1540" s="6" t="s">
        <v>742</v>
      </c>
      <c r="L1540" s="6" t="s">
        <v>13</v>
      </c>
      <c r="M1540" s="6" t="s">
        <v>204</v>
      </c>
      <c r="N1540" s="6" t="s">
        <v>4615</v>
      </c>
      <c r="O1540" s="6"/>
      <c r="P1540" s="6" t="s">
        <v>4179</v>
      </c>
    </row>
    <row r="1541" customFormat="false" ht="15" hidden="false" customHeight="false" outlineLevel="0" collapsed="false">
      <c r="A1541" s="6" t="s">
        <v>4622</v>
      </c>
      <c r="B1541" s="6" t="s">
        <v>186</v>
      </c>
      <c r="C1541" s="7" t="n">
        <v>45838</v>
      </c>
      <c r="D1541" s="6" t="s">
        <v>3758</v>
      </c>
      <c r="E1541" s="6" t="s">
        <v>4564</v>
      </c>
      <c r="F1541" s="6" t="s">
        <v>4623</v>
      </c>
      <c r="G1541" s="6" t="s">
        <v>4624</v>
      </c>
      <c r="H1541" s="9" t="n">
        <v>767789</v>
      </c>
      <c r="K1541" s="6" t="s">
        <v>384</v>
      </c>
      <c r="L1541" s="6" t="s">
        <v>13</v>
      </c>
      <c r="M1541" s="6" t="s">
        <v>253</v>
      </c>
      <c r="N1541" s="6" t="s">
        <v>4625</v>
      </c>
      <c r="O1541" s="6"/>
      <c r="P1541" s="6" t="s">
        <v>4626</v>
      </c>
    </row>
    <row r="1542" customFormat="false" ht="15" hidden="false" customHeight="false" outlineLevel="0" collapsed="false">
      <c r="A1542" s="6" t="s">
        <v>4627</v>
      </c>
      <c r="B1542" s="6" t="s">
        <v>196</v>
      </c>
      <c r="C1542" s="7" t="n">
        <v>46022</v>
      </c>
      <c r="D1542" s="6" t="s">
        <v>3758</v>
      </c>
      <c r="E1542" s="6" t="s">
        <v>4564</v>
      </c>
      <c r="F1542" s="6" t="s">
        <v>4623</v>
      </c>
      <c r="G1542" s="6" t="s">
        <v>4628</v>
      </c>
      <c r="H1542" s="9" t="n">
        <v>838942</v>
      </c>
      <c r="K1542" s="6" t="s">
        <v>384</v>
      </c>
      <c r="L1542" s="6" t="s">
        <v>13</v>
      </c>
      <c r="M1542" s="6" t="s">
        <v>233</v>
      </c>
      <c r="N1542" s="6" t="s">
        <v>4629</v>
      </c>
      <c r="O1542" s="6"/>
      <c r="P1542" s="6"/>
    </row>
    <row r="1543" customFormat="false" ht="15" hidden="false" customHeight="false" outlineLevel="0" collapsed="false">
      <c r="A1543" s="6" t="s">
        <v>4630</v>
      </c>
      <c r="B1543" s="6" t="s">
        <v>206</v>
      </c>
      <c r="C1543" s="7" t="n">
        <v>46203</v>
      </c>
      <c r="D1543" s="6" t="s">
        <v>3758</v>
      </c>
      <c r="E1543" s="6" t="s">
        <v>4564</v>
      </c>
      <c r="F1543" s="6" t="s">
        <v>4623</v>
      </c>
      <c r="G1543" s="6" t="s">
        <v>4631</v>
      </c>
      <c r="H1543" s="9" t="n">
        <v>937274</v>
      </c>
      <c r="K1543" s="6" t="s">
        <v>384</v>
      </c>
      <c r="L1543" s="6" t="s">
        <v>13</v>
      </c>
      <c r="M1543" s="6" t="s">
        <v>261</v>
      </c>
      <c r="N1543" s="6" t="s">
        <v>4632</v>
      </c>
      <c r="O1543" s="6"/>
      <c r="P1543" s="6"/>
    </row>
    <row r="1544" customFormat="false" ht="15" hidden="false" customHeight="false" outlineLevel="0" collapsed="false">
      <c r="A1544" s="6" t="s">
        <v>4633</v>
      </c>
      <c r="B1544" s="6" t="s">
        <v>186</v>
      </c>
      <c r="C1544" s="7" t="n">
        <v>45838</v>
      </c>
      <c r="D1544" s="6" t="s">
        <v>3758</v>
      </c>
      <c r="E1544" s="6" t="s">
        <v>4564</v>
      </c>
      <c r="F1544" s="6" t="s">
        <v>4634</v>
      </c>
      <c r="G1544" s="6" t="s">
        <v>4635</v>
      </c>
      <c r="H1544" s="10" t="n">
        <v>0.86</v>
      </c>
      <c r="K1544" s="6" t="s">
        <v>742</v>
      </c>
      <c r="L1544" s="6" t="s">
        <v>13</v>
      </c>
      <c r="M1544" s="6" t="s">
        <v>253</v>
      </c>
      <c r="N1544" s="6" t="s">
        <v>4625</v>
      </c>
      <c r="O1544" s="6"/>
      <c r="P1544" s="6" t="s">
        <v>4636</v>
      </c>
    </row>
    <row r="1545" customFormat="false" ht="15" hidden="false" customHeight="false" outlineLevel="0" collapsed="false">
      <c r="A1545" s="6" t="s">
        <v>4637</v>
      </c>
      <c r="B1545" s="6" t="s">
        <v>196</v>
      </c>
      <c r="C1545" s="7" t="n">
        <v>46022</v>
      </c>
      <c r="D1545" s="6" t="s">
        <v>3758</v>
      </c>
      <c r="E1545" s="6" t="s">
        <v>4564</v>
      </c>
      <c r="F1545" s="6" t="s">
        <v>4634</v>
      </c>
      <c r="G1545" s="6" t="s">
        <v>4638</v>
      </c>
      <c r="H1545" s="10" t="n">
        <v>0.81</v>
      </c>
      <c r="K1545" s="6" t="s">
        <v>742</v>
      </c>
      <c r="L1545" s="6" t="s">
        <v>13</v>
      </c>
      <c r="M1545" s="6" t="s">
        <v>233</v>
      </c>
      <c r="N1545" s="6" t="s">
        <v>4629</v>
      </c>
      <c r="O1545" s="6"/>
      <c r="P1545" s="6" t="s">
        <v>4636</v>
      </c>
    </row>
    <row r="1546" customFormat="false" ht="15" hidden="false" customHeight="false" outlineLevel="0" collapsed="false">
      <c r="A1546" s="6" t="s">
        <v>4639</v>
      </c>
      <c r="B1546" s="6" t="s">
        <v>206</v>
      </c>
      <c r="C1546" s="7" t="n">
        <v>46203</v>
      </c>
      <c r="D1546" s="6" t="s">
        <v>3758</v>
      </c>
      <c r="E1546" s="6" t="s">
        <v>4564</v>
      </c>
      <c r="F1546" s="6" t="s">
        <v>4634</v>
      </c>
      <c r="G1546" s="6" t="s">
        <v>4640</v>
      </c>
      <c r="H1546" s="10" t="n">
        <v>0.8</v>
      </c>
      <c r="K1546" s="6" t="s">
        <v>742</v>
      </c>
      <c r="L1546" s="6" t="s">
        <v>13</v>
      </c>
      <c r="M1546" s="6" t="s">
        <v>261</v>
      </c>
      <c r="N1546" s="6" t="s">
        <v>4632</v>
      </c>
      <c r="O1546" s="6"/>
      <c r="P1546" s="6" t="s">
        <v>4636</v>
      </c>
    </row>
    <row r="1547" customFormat="false" ht="15" hidden="false" customHeight="false" outlineLevel="0" collapsed="false">
      <c r="A1547" s="6" t="s">
        <v>4641</v>
      </c>
      <c r="B1547" s="6" t="s">
        <v>121</v>
      </c>
      <c r="C1547" s="7" t="n">
        <v>44651</v>
      </c>
      <c r="D1547" s="6" t="s">
        <v>380</v>
      </c>
      <c r="E1547" s="6" t="s">
        <v>4642</v>
      </c>
      <c r="F1547" s="6" t="s">
        <v>4643</v>
      </c>
      <c r="G1547" s="6" t="s">
        <v>4644</v>
      </c>
      <c r="H1547" s="15" t="n">
        <v>-100</v>
      </c>
      <c r="K1547" s="6" t="s">
        <v>4645</v>
      </c>
      <c r="L1547" s="6" t="s">
        <v>13</v>
      </c>
      <c r="M1547" s="6" t="s">
        <v>129</v>
      </c>
      <c r="N1547" s="6" t="s">
        <v>4646</v>
      </c>
      <c r="O1547" s="6"/>
      <c r="P1547" s="6" t="s">
        <v>4647</v>
      </c>
    </row>
    <row r="1548" customFormat="false" ht="15" hidden="false" customHeight="false" outlineLevel="0" collapsed="false">
      <c r="A1548" s="6" t="s">
        <v>4648</v>
      </c>
      <c r="B1548" s="6" t="s">
        <v>126</v>
      </c>
      <c r="C1548" s="7" t="n">
        <v>44742</v>
      </c>
      <c r="D1548" s="6" t="s">
        <v>380</v>
      </c>
      <c r="E1548" s="6" t="s">
        <v>4642</v>
      </c>
      <c r="F1548" s="6" t="s">
        <v>4643</v>
      </c>
      <c r="G1548" s="6" t="s">
        <v>4649</v>
      </c>
      <c r="H1548" s="15" t="n">
        <v>-200</v>
      </c>
      <c r="K1548" s="6" t="s">
        <v>4645</v>
      </c>
      <c r="L1548" s="6" t="s">
        <v>13</v>
      </c>
      <c r="M1548" s="6" t="s">
        <v>129</v>
      </c>
      <c r="N1548" s="6" t="s">
        <v>4650</v>
      </c>
      <c r="O1548" s="6"/>
      <c r="P1548" s="6" t="s">
        <v>4651</v>
      </c>
    </row>
    <row r="1549" customFormat="false" ht="15" hidden="false" customHeight="false" outlineLevel="0" collapsed="false">
      <c r="A1549" s="6" t="s">
        <v>4652</v>
      </c>
      <c r="B1549" s="6" t="s">
        <v>131</v>
      </c>
      <c r="C1549" s="7" t="n">
        <v>44834</v>
      </c>
      <c r="D1549" s="6" t="s">
        <v>380</v>
      </c>
      <c r="E1549" s="6" t="s">
        <v>4642</v>
      </c>
      <c r="F1549" s="6" t="s">
        <v>4643</v>
      </c>
      <c r="G1549" s="6" t="s">
        <v>4653</v>
      </c>
      <c r="H1549" s="15" t="n">
        <v>-300</v>
      </c>
      <c r="K1549" s="6" t="s">
        <v>4645</v>
      </c>
      <c r="L1549" s="6" t="s">
        <v>13</v>
      </c>
      <c r="M1549" s="6" t="s">
        <v>129</v>
      </c>
      <c r="N1549" s="6" t="s">
        <v>4654</v>
      </c>
      <c r="O1549" s="6"/>
      <c r="P1549" s="6" t="s">
        <v>4655</v>
      </c>
    </row>
    <row r="1550" customFormat="false" ht="15" hidden="false" customHeight="false" outlineLevel="0" collapsed="false">
      <c r="A1550" s="6" t="s">
        <v>4656</v>
      </c>
      <c r="B1550" s="6" t="s">
        <v>136</v>
      </c>
      <c r="C1550" s="7" t="n">
        <v>44926</v>
      </c>
      <c r="D1550" s="6" t="s">
        <v>380</v>
      </c>
      <c r="E1550" s="6" t="s">
        <v>4642</v>
      </c>
      <c r="F1550" s="6" t="s">
        <v>4643</v>
      </c>
      <c r="G1550" s="6" t="s">
        <v>4657</v>
      </c>
      <c r="H1550" s="15" t="n">
        <v>-300</v>
      </c>
      <c r="K1550" s="6" t="s">
        <v>4645</v>
      </c>
      <c r="L1550" s="6" t="s">
        <v>13</v>
      </c>
      <c r="M1550" s="6" t="s">
        <v>134</v>
      </c>
      <c r="N1550" s="6" t="s">
        <v>4658</v>
      </c>
      <c r="O1550" s="6"/>
      <c r="P1550" s="6" t="s">
        <v>4655</v>
      </c>
    </row>
    <row r="1551" customFormat="false" ht="15" hidden="false" customHeight="false" outlineLevel="0" collapsed="false">
      <c r="A1551" s="6" t="s">
        <v>4659</v>
      </c>
      <c r="B1551" s="6" t="s">
        <v>220</v>
      </c>
      <c r="C1551" s="7" t="n">
        <v>44926</v>
      </c>
      <c r="D1551" s="6" t="s">
        <v>407</v>
      </c>
      <c r="E1551" s="6" t="s">
        <v>4642</v>
      </c>
      <c r="F1551" s="6" t="s">
        <v>4643</v>
      </c>
      <c r="G1551" s="6" t="s">
        <v>4660</v>
      </c>
      <c r="H1551" s="15" t="n">
        <v>-300</v>
      </c>
      <c r="K1551" s="6" t="s">
        <v>4645</v>
      </c>
      <c r="L1551" s="6" t="s">
        <v>13</v>
      </c>
      <c r="M1551" s="6" t="s">
        <v>134</v>
      </c>
      <c r="N1551" s="6" t="s">
        <v>4661</v>
      </c>
      <c r="O1551" s="6"/>
      <c r="P1551" s="6" t="s">
        <v>4662</v>
      </c>
    </row>
    <row r="1552" customFormat="false" ht="15" hidden="false" customHeight="false" outlineLevel="0" collapsed="false">
      <c r="A1552" s="6" t="s">
        <v>4663</v>
      </c>
      <c r="B1552" s="6" t="s">
        <v>141</v>
      </c>
      <c r="C1552" s="7" t="n">
        <v>45016</v>
      </c>
      <c r="D1552" s="6" t="s">
        <v>380</v>
      </c>
      <c r="E1552" s="6" t="s">
        <v>4642</v>
      </c>
      <c r="F1552" s="6" t="s">
        <v>4643</v>
      </c>
      <c r="G1552" s="6" t="s">
        <v>4664</v>
      </c>
      <c r="H1552" s="15" t="n">
        <v>-100</v>
      </c>
      <c r="K1552" s="6" t="s">
        <v>4645</v>
      </c>
      <c r="L1552" s="6" t="s">
        <v>13</v>
      </c>
      <c r="M1552" s="6" t="s">
        <v>139</v>
      </c>
      <c r="N1552" s="6" t="s">
        <v>4665</v>
      </c>
      <c r="O1552" s="6"/>
      <c r="P1552" s="6" t="s">
        <v>4655</v>
      </c>
    </row>
    <row r="1553" customFormat="false" ht="15" hidden="false" customHeight="false" outlineLevel="0" collapsed="false">
      <c r="A1553" s="6" t="s">
        <v>4666</v>
      </c>
      <c r="B1553" s="6" t="s">
        <v>146</v>
      </c>
      <c r="C1553" s="7" t="n">
        <v>45107</v>
      </c>
      <c r="D1553" s="6" t="s">
        <v>380</v>
      </c>
      <c r="E1553" s="6" t="s">
        <v>4642</v>
      </c>
      <c r="F1553" s="6" t="s">
        <v>4643</v>
      </c>
      <c r="G1553" s="6" t="s">
        <v>4667</v>
      </c>
      <c r="H1553" s="15" t="n">
        <v>-100</v>
      </c>
      <c r="K1553" s="6" t="s">
        <v>4645</v>
      </c>
      <c r="L1553" s="6" t="s">
        <v>13</v>
      </c>
      <c r="M1553" s="6" t="s">
        <v>144</v>
      </c>
      <c r="N1553" s="6" t="s">
        <v>4668</v>
      </c>
      <c r="O1553" s="6"/>
      <c r="P1553" s="6" t="s">
        <v>4655</v>
      </c>
    </row>
    <row r="1554" customFormat="false" ht="15" hidden="false" customHeight="false" outlineLevel="0" collapsed="false">
      <c r="A1554" s="6" t="s">
        <v>4669</v>
      </c>
      <c r="B1554" s="6" t="s">
        <v>151</v>
      </c>
      <c r="C1554" s="7" t="n">
        <v>45199</v>
      </c>
      <c r="D1554" s="6" t="s">
        <v>380</v>
      </c>
      <c r="E1554" s="6" t="s">
        <v>4642</v>
      </c>
      <c r="F1554" s="6" t="s">
        <v>4643</v>
      </c>
      <c r="G1554" s="6" t="s">
        <v>4670</v>
      </c>
      <c r="H1554" s="15" t="n">
        <v>0</v>
      </c>
      <c r="K1554" s="6" t="s">
        <v>4645</v>
      </c>
      <c r="L1554" s="6" t="s">
        <v>13</v>
      </c>
      <c r="M1554" s="6" t="s">
        <v>149</v>
      </c>
      <c r="N1554" s="6" t="s">
        <v>4671</v>
      </c>
      <c r="O1554" s="6"/>
      <c r="P1554" s="6" t="s">
        <v>4655</v>
      </c>
    </row>
    <row r="1555" customFormat="false" ht="15" hidden="false" customHeight="false" outlineLevel="0" collapsed="false">
      <c r="A1555" s="6" t="s">
        <v>4672</v>
      </c>
      <c r="B1555" s="6" t="s">
        <v>156</v>
      </c>
      <c r="C1555" s="7" t="n">
        <v>45291</v>
      </c>
      <c r="D1555" s="6" t="s">
        <v>380</v>
      </c>
      <c r="E1555" s="6" t="s">
        <v>4642</v>
      </c>
      <c r="F1555" s="6" t="s">
        <v>4643</v>
      </c>
      <c r="G1555" s="6" t="s">
        <v>4673</v>
      </c>
      <c r="H1555" s="15" t="n">
        <v>0</v>
      </c>
      <c r="K1555" s="6" t="s">
        <v>4645</v>
      </c>
      <c r="L1555" s="6" t="s">
        <v>13</v>
      </c>
      <c r="M1555" s="6" t="s">
        <v>154</v>
      </c>
      <c r="N1555" s="6" t="s">
        <v>4674</v>
      </c>
      <c r="O1555" s="6"/>
      <c r="P1555" s="6" t="s">
        <v>4655</v>
      </c>
    </row>
    <row r="1556" customFormat="false" ht="15" hidden="false" customHeight="false" outlineLevel="0" collapsed="false">
      <c r="A1556" s="6" t="s">
        <v>4675</v>
      </c>
      <c r="B1556" s="6" t="s">
        <v>225</v>
      </c>
      <c r="C1556" s="7" t="n">
        <v>45291</v>
      </c>
      <c r="D1556" s="6" t="s">
        <v>407</v>
      </c>
      <c r="E1556" s="6" t="s">
        <v>4642</v>
      </c>
      <c r="F1556" s="6" t="s">
        <v>4643</v>
      </c>
      <c r="G1556" s="6" t="s">
        <v>4676</v>
      </c>
      <c r="H1556" s="15" t="n">
        <v>0</v>
      </c>
      <c r="K1556" s="6" t="s">
        <v>4645</v>
      </c>
      <c r="L1556" s="6" t="s">
        <v>13</v>
      </c>
      <c r="M1556" s="6" t="s">
        <v>154</v>
      </c>
      <c r="N1556" s="6" t="s">
        <v>4677</v>
      </c>
      <c r="O1556" s="6"/>
      <c r="P1556" s="6" t="s">
        <v>4662</v>
      </c>
    </row>
    <row r="1557" customFormat="false" ht="15" hidden="false" customHeight="false" outlineLevel="0" collapsed="false">
      <c r="A1557" s="6" t="s">
        <v>4678</v>
      </c>
      <c r="B1557" s="6" t="s">
        <v>161</v>
      </c>
      <c r="C1557" s="7" t="n">
        <v>45382</v>
      </c>
      <c r="D1557" s="6" t="s">
        <v>380</v>
      </c>
      <c r="E1557" s="6" t="s">
        <v>4642</v>
      </c>
      <c r="F1557" s="6" t="s">
        <v>4643</v>
      </c>
      <c r="G1557" s="6" t="s">
        <v>4679</v>
      </c>
      <c r="H1557" s="15" t="n">
        <v>0</v>
      </c>
      <c r="K1557" s="6" t="s">
        <v>4645</v>
      </c>
      <c r="L1557" s="6" t="s">
        <v>13</v>
      </c>
      <c r="M1557" s="6" t="s">
        <v>159</v>
      </c>
      <c r="N1557" s="6" t="s">
        <v>4680</v>
      </c>
      <c r="O1557" s="6"/>
      <c r="P1557" s="6" t="s">
        <v>4655</v>
      </c>
    </row>
    <row r="1558" customFormat="false" ht="15" hidden="false" customHeight="false" outlineLevel="0" collapsed="false">
      <c r="A1558" s="6" t="s">
        <v>4681</v>
      </c>
      <c r="B1558" s="6" t="s">
        <v>166</v>
      </c>
      <c r="C1558" s="7" t="n">
        <v>45473</v>
      </c>
      <c r="D1558" s="6" t="s">
        <v>380</v>
      </c>
      <c r="E1558" s="6" t="s">
        <v>4642</v>
      </c>
      <c r="F1558" s="6" t="s">
        <v>4643</v>
      </c>
      <c r="G1558" s="6" t="s">
        <v>4679</v>
      </c>
      <c r="H1558" s="15" t="n">
        <v>0</v>
      </c>
      <c r="K1558" s="6" t="s">
        <v>4645</v>
      </c>
      <c r="L1558" s="6" t="s">
        <v>13</v>
      </c>
      <c r="M1558" s="6" t="s">
        <v>164</v>
      </c>
      <c r="N1558" s="6" t="s">
        <v>4682</v>
      </c>
      <c r="O1558" s="6"/>
      <c r="P1558" s="6" t="s">
        <v>4655</v>
      </c>
    </row>
    <row r="1559" customFormat="false" ht="15" hidden="false" customHeight="false" outlineLevel="0" collapsed="false">
      <c r="A1559" s="6" t="s">
        <v>4683</v>
      </c>
      <c r="B1559" s="6" t="s">
        <v>206</v>
      </c>
      <c r="C1559" s="7" t="n">
        <v>46203</v>
      </c>
      <c r="D1559" s="6" t="s">
        <v>380</v>
      </c>
      <c r="E1559" s="6" t="s">
        <v>4642</v>
      </c>
      <c r="F1559" s="6" t="s">
        <v>4643</v>
      </c>
      <c r="G1559" s="6" t="s">
        <v>4684</v>
      </c>
      <c r="H1559" s="15" t="n">
        <v>110</v>
      </c>
      <c r="K1559" s="6" t="s">
        <v>4645</v>
      </c>
      <c r="L1559" s="6" t="s">
        <v>13</v>
      </c>
      <c r="M1559" s="6" t="s">
        <v>204</v>
      </c>
      <c r="N1559" s="6" t="s">
        <v>4685</v>
      </c>
      <c r="O1559" s="6"/>
      <c r="P1559" s="6" t="s">
        <v>4662</v>
      </c>
    </row>
    <row r="1560" customFormat="false" ht="15" hidden="false" customHeight="false" outlineLevel="0" collapsed="false">
      <c r="A1560" s="6" t="s">
        <v>4686</v>
      </c>
      <c r="B1560" s="6" t="s">
        <v>196</v>
      </c>
      <c r="C1560" s="7" t="n">
        <v>46022</v>
      </c>
      <c r="D1560" s="6" t="s">
        <v>380</v>
      </c>
      <c r="E1560" s="6" t="s">
        <v>4642</v>
      </c>
      <c r="F1560" s="6" t="s">
        <v>4687</v>
      </c>
      <c r="G1560" s="6" t="s">
        <v>4688</v>
      </c>
      <c r="H1560" s="15" t="n">
        <v>-180</v>
      </c>
      <c r="K1560" s="6" t="s">
        <v>4645</v>
      </c>
      <c r="L1560" s="6" t="s">
        <v>13</v>
      </c>
      <c r="M1560" s="6" t="s">
        <v>194</v>
      </c>
      <c r="N1560" s="6" t="s">
        <v>4689</v>
      </c>
      <c r="O1560" s="6"/>
      <c r="P1560" s="6" t="s">
        <v>4662</v>
      </c>
    </row>
    <row r="1561" customFormat="false" ht="15" hidden="false" customHeight="false" outlineLevel="0" collapsed="false">
      <c r="A1561" s="6" t="s">
        <v>4690</v>
      </c>
      <c r="B1561" s="6" t="s">
        <v>235</v>
      </c>
      <c r="C1561" s="7" t="n">
        <v>46022</v>
      </c>
      <c r="D1561" s="6" t="s">
        <v>407</v>
      </c>
      <c r="E1561" s="6" t="s">
        <v>4642</v>
      </c>
      <c r="F1561" s="6" t="s">
        <v>4687</v>
      </c>
      <c r="G1561" s="6" t="s">
        <v>4691</v>
      </c>
      <c r="H1561" s="15" t="n">
        <v>-110</v>
      </c>
      <c r="K1561" s="6" t="s">
        <v>4645</v>
      </c>
      <c r="L1561" s="6" t="s">
        <v>13</v>
      </c>
      <c r="M1561" s="6" t="s">
        <v>194</v>
      </c>
      <c r="N1561" s="6" t="s">
        <v>4692</v>
      </c>
      <c r="O1561" s="6"/>
      <c r="P1561" s="6" t="s">
        <v>4662</v>
      </c>
    </row>
    <row r="1562" customFormat="false" ht="15" hidden="false" customHeight="false" outlineLevel="0" collapsed="false">
      <c r="A1562" s="6" t="s">
        <v>4693</v>
      </c>
      <c r="B1562" s="6" t="s">
        <v>201</v>
      </c>
      <c r="C1562" s="7" t="n">
        <v>46112</v>
      </c>
      <c r="D1562" s="6" t="s">
        <v>380</v>
      </c>
      <c r="E1562" s="6" t="s">
        <v>4642</v>
      </c>
      <c r="F1562" s="6" t="s">
        <v>4687</v>
      </c>
      <c r="G1562" s="6" t="s">
        <v>4694</v>
      </c>
      <c r="H1562" s="15" t="n">
        <v>-190</v>
      </c>
      <c r="K1562" s="6" t="s">
        <v>4645</v>
      </c>
      <c r="L1562" s="6" t="s">
        <v>13</v>
      </c>
      <c r="M1562" s="6" t="s">
        <v>199</v>
      </c>
      <c r="N1562" s="6" t="s">
        <v>4695</v>
      </c>
      <c r="O1562" s="6"/>
      <c r="P1562" s="6" t="s">
        <v>4662</v>
      </c>
    </row>
    <row r="1563" customFormat="false" ht="15" hidden="false" customHeight="false" outlineLevel="0" collapsed="false">
      <c r="A1563" s="6" t="s">
        <v>4696</v>
      </c>
      <c r="B1563" s="6" t="s">
        <v>206</v>
      </c>
      <c r="C1563" s="7" t="n">
        <v>46203</v>
      </c>
      <c r="D1563" s="6" t="s">
        <v>380</v>
      </c>
      <c r="E1563" s="6" t="s">
        <v>4642</v>
      </c>
      <c r="F1563" s="6" t="s">
        <v>4687</v>
      </c>
      <c r="G1563" s="6" t="s">
        <v>4697</v>
      </c>
      <c r="H1563" s="15" t="n">
        <v>-210</v>
      </c>
      <c r="K1563" s="6" t="s">
        <v>4645</v>
      </c>
      <c r="L1563" s="6" t="s">
        <v>13</v>
      </c>
      <c r="M1563" s="6" t="s">
        <v>204</v>
      </c>
      <c r="N1563" s="6" t="s">
        <v>4685</v>
      </c>
      <c r="O1563" s="6"/>
      <c r="P1563" s="6" t="s">
        <v>4662</v>
      </c>
    </row>
    <row r="1564" customFormat="false" ht="15" hidden="false" customHeight="false" outlineLevel="0" collapsed="false">
      <c r="A1564" s="6" t="s">
        <v>4698</v>
      </c>
      <c r="B1564" s="6" t="s">
        <v>212</v>
      </c>
      <c r="C1564" s="7" t="n">
        <v>44561</v>
      </c>
      <c r="D1564" s="6" t="s">
        <v>407</v>
      </c>
      <c r="E1564" s="6" t="s">
        <v>2948</v>
      </c>
      <c r="F1564" s="6" t="s">
        <v>3357</v>
      </c>
      <c r="G1564" s="6" t="s">
        <v>3305</v>
      </c>
      <c r="H1564" s="9" t="n">
        <v>7303</v>
      </c>
      <c r="K1564" s="6" t="s">
        <v>384</v>
      </c>
      <c r="L1564" s="6" t="s">
        <v>13</v>
      </c>
      <c r="M1564" s="6" t="s">
        <v>223</v>
      </c>
      <c r="N1564" s="6" t="s">
        <v>4699</v>
      </c>
      <c r="P1564" s="8" t="s">
        <v>4700</v>
      </c>
    </row>
  </sheetData>
  <autoFilter ref="A1:P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2"/>
    <col collapsed="false" customWidth="true" hidden="false" outlineLevel="0" max="4" min="4" style="0" width="11"/>
    <col collapsed="false" customWidth="true" hidden="false" outlineLevel="0" max="5" min="5" style="0" width="30"/>
    <col collapsed="false" customWidth="true" hidden="false" outlineLevel="0" max="6" min="6" style="0" width="50"/>
    <col collapsed="false" customWidth="true" hidden="false" outlineLevel="0" max="9" min="7" style="0" width="10"/>
    <col collapsed="false" customWidth="true" hidden="false" outlineLevel="0" max="10" min="10" style="0" width="50"/>
    <col collapsed="false" customWidth="true" hidden="false" outlineLevel="0" max="14" min="11" style="0" width="10"/>
    <col collapsed="false" customWidth="true" hidden="false" outlineLevel="0" max="15" min="15" style="0" width="13"/>
    <col collapsed="false" customWidth="true" hidden="false" outlineLevel="0" max="16" min="16" style="0" width="50"/>
    <col collapsed="false" customWidth="true" hidden="false" outlineLevel="0" max="17" min="17" style="0" width="40"/>
    <col collapsed="false" customWidth="true" hidden="false" outlineLevel="0" max="18" min="18" style="0" width="30"/>
    <col collapsed="false" customWidth="true" hidden="false" outlineLevel="0" max="19" min="19" style="0" width="11"/>
    <col collapsed="false" customWidth="true" hidden="false" outlineLevel="0" max="20" min="20" style="0" width="40"/>
    <col collapsed="false" customWidth="true" hidden="false" outlineLevel="0" max="21" min="21" style="0" width="60"/>
  </cols>
  <sheetData>
    <row r="1" customFormat="false" ht="46.25" hidden="false" customHeight="false" outlineLevel="0" collapsed="false">
      <c r="A1" s="5" t="s">
        <v>365</v>
      </c>
      <c r="B1" s="5" t="s">
        <v>4701</v>
      </c>
      <c r="C1" s="5" t="s">
        <v>4702</v>
      </c>
      <c r="D1" s="5" t="s">
        <v>4703</v>
      </c>
      <c r="E1" s="5" t="s">
        <v>369</v>
      </c>
      <c r="F1" s="5" t="s">
        <v>4704</v>
      </c>
      <c r="G1" s="5" t="s">
        <v>4705</v>
      </c>
      <c r="H1" s="5" t="s">
        <v>4706</v>
      </c>
      <c r="I1" s="5" t="s">
        <v>4707</v>
      </c>
      <c r="J1" s="5" t="s">
        <v>4708</v>
      </c>
      <c r="K1" s="5" t="s">
        <v>4709</v>
      </c>
      <c r="L1" s="5" t="s">
        <v>4710</v>
      </c>
      <c r="M1" s="5" t="s">
        <v>4711</v>
      </c>
      <c r="N1" s="5" t="s">
        <v>4712</v>
      </c>
      <c r="O1" s="5" t="s">
        <v>374</v>
      </c>
      <c r="P1" s="5" t="s">
        <v>4713</v>
      </c>
      <c r="Q1" s="5" t="s">
        <v>4714</v>
      </c>
      <c r="R1" s="5" t="s">
        <v>375</v>
      </c>
      <c r="S1" s="5" t="s">
        <v>90</v>
      </c>
      <c r="T1" s="5" t="s">
        <v>4715</v>
      </c>
      <c r="U1" s="5" t="s">
        <v>99</v>
      </c>
    </row>
    <row r="2" customFormat="false" ht="15" hidden="false" customHeight="false" outlineLevel="0" collapsed="false">
      <c r="A2" s="6" t="s">
        <v>4716</v>
      </c>
      <c r="B2" s="7" t="n">
        <v>44425</v>
      </c>
      <c r="C2" s="6" t="s">
        <v>103</v>
      </c>
      <c r="D2" s="6" t="s">
        <v>212</v>
      </c>
      <c r="E2" s="6" t="s">
        <v>4717</v>
      </c>
      <c r="J2" s="6" t="s">
        <v>4718</v>
      </c>
      <c r="K2" s="13" t="n">
        <v>-93</v>
      </c>
      <c r="L2" s="13" t="n">
        <v>-91</v>
      </c>
      <c r="M2" s="16" t="n">
        <f aca="false">(K2+L2)/2</f>
        <v>-92</v>
      </c>
      <c r="O2" s="6" t="s">
        <v>3751</v>
      </c>
      <c r="P2" s="6"/>
      <c r="Q2" s="6"/>
      <c r="R2" s="6" t="s">
        <v>4719</v>
      </c>
      <c r="S2" s="6" t="s">
        <v>100</v>
      </c>
      <c r="T2" s="6" t="s">
        <v>4720</v>
      </c>
      <c r="U2" s="6" t="s">
        <v>4721</v>
      </c>
    </row>
    <row r="3" customFormat="false" ht="15" hidden="false" customHeight="false" outlineLevel="0" collapsed="false">
      <c r="A3" s="6" t="s">
        <v>4722</v>
      </c>
      <c r="B3" s="7" t="n">
        <v>44425</v>
      </c>
      <c r="C3" s="6" t="s">
        <v>103</v>
      </c>
      <c r="D3" s="6" t="s">
        <v>212</v>
      </c>
      <c r="E3" s="6" t="s">
        <v>382</v>
      </c>
      <c r="J3" s="6" t="s">
        <v>4723</v>
      </c>
      <c r="K3" s="13" t="n">
        <v>280</v>
      </c>
      <c r="L3" s="13" t="n">
        <v>282</v>
      </c>
      <c r="M3" s="16" t="n">
        <f aca="false">(K3+L3)/2</f>
        <v>281</v>
      </c>
      <c r="O3" s="6" t="s">
        <v>3751</v>
      </c>
      <c r="P3" s="6"/>
      <c r="Q3" s="6"/>
      <c r="R3" s="6" t="s">
        <v>4719</v>
      </c>
      <c r="S3" s="6" t="s">
        <v>100</v>
      </c>
      <c r="T3" s="6" t="s">
        <v>4720</v>
      </c>
      <c r="U3" s="6" t="s">
        <v>4724</v>
      </c>
    </row>
    <row r="4" customFormat="false" ht="15" hidden="false" customHeight="false" outlineLevel="0" collapsed="false">
      <c r="A4" s="6" t="s">
        <v>4725</v>
      </c>
      <c r="B4" s="7" t="n">
        <v>44425</v>
      </c>
      <c r="C4" s="6" t="s">
        <v>103</v>
      </c>
      <c r="D4" s="6" t="s">
        <v>111</v>
      </c>
      <c r="E4" s="6" t="s">
        <v>4717</v>
      </c>
      <c r="J4" s="6" t="s">
        <v>4726</v>
      </c>
      <c r="K4" s="13" t="n">
        <v>-26</v>
      </c>
      <c r="L4" s="13" t="n">
        <v>-25</v>
      </c>
      <c r="M4" s="16" t="n">
        <f aca="false">(K4+L4)/2</f>
        <v>-25.5</v>
      </c>
      <c r="O4" s="6" t="s">
        <v>3751</v>
      </c>
      <c r="P4" s="6"/>
      <c r="Q4" s="6"/>
      <c r="R4" s="6" t="s">
        <v>4719</v>
      </c>
      <c r="S4" s="6" t="s">
        <v>100</v>
      </c>
      <c r="T4" s="6" t="s">
        <v>4727</v>
      </c>
      <c r="U4" s="6" t="s">
        <v>4728</v>
      </c>
    </row>
    <row r="5" customFormat="false" ht="15" hidden="false" customHeight="false" outlineLevel="0" collapsed="false">
      <c r="A5" s="6" t="s">
        <v>4729</v>
      </c>
      <c r="B5" s="7" t="n">
        <v>44425</v>
      </c>
      <c r="C5" s="6" t="s">
        <v>103</v>
      </c>
      <c r="D5" s="6" t="s">
        <v>111</v>
      </c>
      <c r="E5" s="6" t="s">
        <v>382</v>
      </c>
      <c r="J5" s="6" t="s">
        <v>4730</v>
      </c>
      <c r="K5" s="13" t="n">
        <v>74</v>
      </c>
      <c r="L5" s="13" t="n">
        <v>75</v>
      </c>
      <c r="M5" s="16" t="n">
        <f aca="false">(K5+L5)/2</f>
        <v>74.5</v>
      </c>
      <c r="O5" s="6" t="s">
        <v>3751</v>
      </c>
      <c r="P5" s="6"/>
      <c r="Q5" s="6"/>
      <c r="R5" s="6" t="s">
        <v>4719</v>
      </c>
      <c r="S5" s="6" t="s">
        <v>100</v>
      </c>
      <c r="T5" s="6" t="s">
        <v>4727</v>
      </c>
      <c r="U5" s="6" t="s">
        <v>4731</v>
      </c>
    </row>
    <row r="6" customFormat="false" ht="15" hidden="false" customHeight="false" outlineLevel="0" collapsed="false">
      <c r="A6" s="6" t="s">
        <v>4732</v>
      </c>
      <c r="B6" s="7" t="n">
        <v>44510</v>
      </c>
      <c r="C6" s="6" t="s">
        <v>111</v>
      </c>
      <c r="D6" s="6" t="s">
        <v>212</v>
      </c>
      <c r="E6" s="6" t="s">
        <v>4717</v>
      </c>
      <c r="F6" s="17" t="str">
        <f aca="false">J2</f>
        <v>Non-GAAP operating loss of $93 million to $91 million and negative operating margin of between 33% and 32%.</v>
      </c>
      <c r="G6" s="18" t="n">
        <f aca="false">K2</f>
        <v>-93</v>
      </c>
      <c r="H6" s="18" t="n">
        <f aca="false">L2</f>
        <v>-91</v>
      </c>
      <c r="I6" s="18" t="n">
        <f aca="false">M2</f>
        <v>-92</v>
      </c>
      <c r="J6" s="6" t="s">
        <v>4733</v>
      </c>
      <c r="K6" s="13" t="n">
        <v>-65</v>
      </c>
      <c r="L6" s="13" t="n">
        <v>-64</v>
      </c>
      <c r="M6" s="16" t="n">
        <f aca="false">(K6+L6)/2</f>
        <v>-64.5</v>
      </c>
      <c r="N6" s="16" t="n">
        <f aca="false">M6-I6</f>
        <v>27.5</v>
      </c>
      <c r="O6" s="6" t="s">
        <v>3751</v>
      </c>
      <c r="P6" s="6"/>
      <c r="Q6" s="6"/>
      <c r="R6" s="6" t="s">
        <v>4719</v>
      </c>
      <c r="S6" s="6" t="s">
        <v>109</v>
      </c>
      <c r="T6" s="6" t="s">
        <v>4720</v>
      </c>
      <c r="U6" s="6" t="s">
        <v>4734</v>
      </c>
    </row>
    <row r="7" customFormat="false" ht="15" hidden="false" customHeight="false" outlineLevel="0" collapsed="false">
      <c r="A7" s="6" t="s">
        <v>4735</v>
      </c>
      <c r="B7" s="7" t="n">
        <v>44510</v>
      </c>
      <c r="C7" s="6" t="s">
        <v>111</v>
      </c>
      <c r="D7" s="6" t="s">
        <v>212</v>
      </c>
      <c r="E7" s="6" t="s">
        <v>382</v>
      </c>
      <c r="F7" s="17" t="str">
        <f aca="false">J3</f>
        <v>Total revenue of $280 million to $282 million, representing year-over-year growth of 74% to 75%.</v>
      </c>
      <c r="G7" s="18" t="n">
        <f aca="false">K3</f>
        <v>280</v>
      </c>
      <c r="H7" s="18" t="n">
        <f aca="false">L3</f>
        <v>282</v>
      </c>
      <c r="I7" s="18" t="n">
        <f aca="false">M3</f>
        <v>281</v>
      </c>
      <c r="J7" s="6" t="s">
        <v>4736</v>
      </c>
      <c r="K7" s="13" t="n">
        <v>300</v>
      </c>
      <c r="L7" s="13" t="n">
        <v>301</v>
      </c>
      <c r="M7" s="16" t="n">
        <f aca="false">(K7+L7)/2</f>
        <v>300.5</v>
      </c>
      <c r="N7" s="16" t="n">
        <f aca="false">M7-I7</f>
        <v>19.5</v>
      </c>
      <c r="O7" s="6" t="s">
        <v>3751</v>
      </c>
      <c r="P7" s="6"/>
      <c r="Q7" s="6"/>
      <c r="R7" s="6" t="s">
        <v>4719</v>
      </c>
      <c r="S7" s="6" t="s">
        <v>109</v>
      </c>
      <c r="T7" s="6" t="s">
        <v>4720</v>
      </c>
      <c r="U7" s="6"/>
    </row>
    <row r="8" customFormat="false" ht="15" hidden="false" customHeight="false" outlineLevel="0" collapsed="false">
      <c r="A8" s="6" t="s">
        <v>4737</v>
      </c>
      <c r="B8" s="7" t="n">
        <v>44510</v>
      </c>
      <c r="C8" s="6" t="s">
        <v>111</v>
      </c>
      <c r="D8" s="6" t="s">
        <v>116</v>
      </c>
      <c r="E8" s="6" t="s">
        <v>4717</v>
      </c>
      <c r="J8" s="6" t="s">
        <v>4738</v>
      </c>
      <c r="K8" s="13" t="n">
        <v>-23</v>
      </c>
      <c r="L8" s="13" t="n">
        <v>-22</v>
      </c>
      <c r="M8" s="16" t="n">
        <f aca="false">(K8+L8)/2</f>
        <v>-22.5</v>
      </c>
      <c r="O8" s="6" t="s">
        <v>3751</v>
      </c>
      <c r="P8" s="6"/>
      <c r="Q8" s="6"/>
      <c r="R8" s="6" t="s">
        <v>4719</v>
      </c>
      <c r="S8" s="6" t="s">
        <v>109</v>
      </c>
      <c r="T8" s="6" t="s">
        <v>4739</v>
      </c>
      <c r="U8" s="6" t="s">
        <v>4728</v>
      </c>
    </row>
    <row r="9" customFormat="false" ht="15" hidden="false" customHeight="false" outlineLevel="0" collapsed="false">
      <c r="A9" s="6" t="s">
        <v>4740</v>
      </c>
      <c r="B9" s="7" t="n">
        <v>44510</v>
      </c>
      <c r="C9" s="6" t="s">
        <v>111</v>
      </c>
      <c r="D9" s="6" t="s">
        <v>116</v>
      </c>
      <c r="E9" s="6" t="s">
        <v>382</v>
      </c>
      <c r="J9" s="6" t="s">
        <v>4741</v>
      </c>
      <c r="K9" s="13" t="n">
        <v>87</v>
      </c>
      <c r="L9" s="13" t="n">
        <v>88</v>
      </c>
      <c r="M9" s="16" t="n">
        <f aca="false">(K9+L9)/2</f>
        <v>87.5</v>
      </c>
      <c r="O9" s="6" t="s">
        <v>3751</v>
      </c>
      <c r="P9" s="6"/>
      <c r="Q9" s="6"/>
      <c r="R9" s="6" t="s">
        <v>4719</v>
      </c>
      <c r="S9" s="6" t="s">
        <v>109</v>
      </c>
      <c r="T9" s="6" t="s">
        <v>4739</v>
      </c>
      <c r="U9" s="6" t="s">
        <v>4731</v>
      </c>
    </row>
    <row r="10" customFormat="false" ht="15" hidden="false" customHeight="false" outlineLevel="0" collapsed="false">
      <c r="A10" s="6" t="s">
        <v>4742</v>
      </c>
      <c r="B10" s="7" t="n">
        <v>44615</v>
      </c>
      <c r="C10" s="6" t="s">
        <v>116</v>
      </c>
      <c r="D10" s="6" t="s">
        <v>220</v>
      </c>
      <c r="E10" s="6" t="s">
        <v>4717</v>
      </c>
      <c r="J10" s="6" t="s">
        <v>4743</v>
      </c>
      <c r="K10" s="13" t="n">
        <v>-147</v>
      </c>
      <c r="L10" s="13" t="n">
        <v>-142</v>
      </c>
      <c r="M10" s="16" t="n">
        <f aca="false">(K10+L10)/2</f>
        <v>-144.5</v>
      </c>
      <c r="O10" s="6" t="s">
        <v>3751</v>
      </c>
      <c r="P10" s="6"/>
      <c r="Q10" s="6"/>
      <c r="R10" s="6" t="s">
        <v>4719</v>
      </c>
      <c r="S10" s="6" t="s">
        <v>114</v>
      </c>
      <c r="T10" s="6" t="s">
        <v>4744</v>
      </c>
      <c r="U10" s="6" t="s">
        <v>4721</v>
      </c>
    </row>
    <row r="11" customFormat="false" ht="15" hidden="false" customHeight="false" outlineLevel="0" collapsed="false">
      <c r="A11" s="6" t="s">
        <v>4745</v>
      </c>
      <c r="B11" s="7" t="n">
        <v>44615</v>
      </c>
      <c r="C11" s="6" t="s">
        <v>116</v>
      </c>
      <c r="D11" s="6" t="s">
        <v>220</v>
      </c>
      <c r="E11" s="6" t="s">
        <v>382</v>
      </c>
      <c r="J11" s="6" t="s">
        <v>4746</v>
      </c>
      <c r="K11" s="13" t="n">
        <v>470</v>
      </c>
      <c r="L11" s="13" t="n">
        <v>475</v>
      </c>
      <c r="M11" s="16" t="n">
        <f aca="false">(K11+L11)/2</f>
        <v>472.5</v>
      </c>
      <c r="O11" s="6" t="s">
        <v>3751</v>
      </c>
      <c r="P11" s="6"/>
      <c r="Q11" s="6"/>
      <c r="R11" s="6" t="s">
        <v>4719</v>
      </c>
      <c r="S11" s="6" t="s">
        <v>114</v>
      </c>
      <c r="T11" s="6" t="s">
        <v>4744</v>
      </c>
      <c r="U11" s="6" t="s">
        <v>4724</v>
      </c>
    </row>
    <row r="12" customFormat="false" ht="15" hidden="false" customHeight="false" outlineLevel="0" collapsed="false">
      <c r="A12" s="6" t="s">
        <v>4747</v>
      </c>
      <c r="B12" s="7" t="n">
        <v>44615</v>
      </c>
      <c r="C12" s="6" t="s">
        <v>116</v>
      </c>
      <c r="D12" s="6" t="s">
        <v>121</v>
      </c>
      <c r="E12" s="6" t="s">
        <v>4717</v>
      </c>
      <c r="J12" s="6" t="s">
        <v>4748</v>
      </c>
      <c r="K12" s="13" t="n">
        <v>-47</v>
      </c>
      <c r="L12" s="13" t="n">
        <v>-45</v>
      </c>
      <c r="M12" s="16" t="n">
        <f aca="false">(K12+L12)/2</f>
        <v>-46</v>
      </c>
      <c r="O12" s="6" t="s">
        <v>3751</v>
      </c>
      <c r="P12" s="6"/>
      <c r="Q12" s="6"/>
      <c r="R12" s="6" t="s">
        <v>4719</v>
      </c>
      <c r="S12" s="6" t="s">
        <v>114</v>
      </c>
      <c r="T12" s="6" t="s">
        <v>4749</v>
      </c>
      <c r="U12" s="6" t="s">
        <v>4728</v>
      </c>
    </row>
    <row r="13" customFormat="false" ht="15" hidden="false" customHeight="false" outlineLevel="0" collapsed="false">
      <c r="A13" s="6" t="s">
        <v>4750</v>
      </c>
      <c r="B13" s="7" t="n">
        <v>44615</v>
      </c>
      <c r="C13" s="6" t="s">
        <v>116</v>
      </c>
      <c r="D13" s="6" t="s">
        <v>121</v>
      </c>
      <c r="E13" s="6" t="s">
        <v>382</v>
      </c>
      <c r="J13" s="6" t="s">
        <v>4751</v>
      </c>
      <c r="K13" s="13" t="n">
        <v>100</v>
      </c>
      <c r="L13" s="13" t="n">
        <v>102</v>
      </c>
      <c r="M13" s="16" t="n">
        <f aca="false">(K13+L13)/2</f>
        <v>101</v>
      </c>
      <c r="O13" s="6" t="s">
        <v>3751</v>
      </c>
      <c r="P13" s="6"/>
      <c r="Q13" s="6"/>
      <c r="R13" s="6" t="s">
        <v>4719</v>
      </c>
      <c r="S13" s="6" t="s">
        <v>114</v>
      </c>
      <c r="T13" s="6" t="s">
        <v>4749</v>
      </c>
      <c r="U13" s="6" t="s">
        <v>4731</v>
      </c>
    </row>
    <row r="14" customFormat="false" ht="15" hidden="false" customHeight="false" outlineLevel="0" collapsed="false">
      <c r="A14" s="6" t="s">
        <v>4752</v>
      </c>
      <c r="B14" s="7" t="n">
        <v>44697</v>
      </c>
      <c r="C14" s="6" t="s">
        <v>121</v>
      </c>
      <c r="D14" s="6" t="s">
        <v>220</v>
      </c>
      <c r="E14" s="6" t="s">
        <v>4717</v>
      </c>
      <c r="F14" s="17" t="str">
        <f aca="false">J10</f>
        <v>Non-GAAP operating loss of $147 million to $142 million and negative operating margin of 31% to 30%.</v>
      </c>
      <c r="G14" s="18" t="n">
        <f aca="false">K10</f>
        <v>-147</v>
      </c>
      <c r="H14" s="18" t="n">
        <f aca="false">L10</f>
        <v>-142</v>
      </c>
      <c r="I14" s="18" t="n">
        <f aca="false">M10</f>
        <v>-144.5</v>
      </c>
      <c r="J14" s="6" t="s">
        <v>4753</v>
      </c>
      <c r="K14" s="13" t="n">
        <v>-139</v>
      </c>
      <c r="L14" s="13" t="n">
        <v>-135</v>
      </c>
      <c r="M14" s="16" t="n">
        <f aca="false">(K14+L14)/2</f>
        <v>-137</v>
      </c>
      <c r="N14" s="16" t="n">
        <f aca="false">M14-I14</f>
        <v>7.5</v>
      </c>
      <c r="O14" s="6" t="s">
        <v>3751</v>
      </c>
      <c r="P14" s="6"/>
      <c r="Q14" s="6"/>
      <c r="R14" s="6" t="s">
        <v>4719</v>
      </c>
      <c r="S14" s="6" t="s">
        <v>119</v>
      </c>
      <c r="T14" s="6" t="s">
        <v>4744</v>
      </c>
      <c r="U14" s="6" t="s">
        <v>4734</v>
      </c>
    </row>
    <row r="15" customFormat="false" ht="15" hidden="false" customHeight="false" outlineLevel="0" collapsed="false">
      <c r="A15" s="6" t="s">
        <v>4754</v>
      </c>
      <c r="B15" s="7" t="n">
        <v>44697</v>
      </c>
      <c r="C15" s="6" t="s">
        <v>121</v>
      </c>
      <c r="D15" s="6" t="s">
        <v>220</v>
      </c>
      <c r="E15" s="6" t="s">
        <v>382</v>
      </c>
      <c r="F15" s="17" t="str">
        <f aca="false">J11</f>
        <v>Total revenue of $470 million to $475 million, representing year-over-year growth of 53% to 54%.</v>
      </c>
      <c r="G15" s="18" t="n">
        <f aca="false">K11</f>
        <v>470</v>
      </c>
      <c r="H15" s="18" t="n">
        <f aca="false">L11</f>
        <v>475</v>
      </c>
      <c r="I15" s="18" t="n">
        <f aca="false">M11</f>
        <v>472.5</v>
      </c>
      <c r="J15" s="6" t="s">
        <v>4755</v>
      </c>
      <c r="K15" s="13" t="n">
        <v>488</v>
      </c>
      <c r="L15" s="13" t="n">
        <v>492</v>
      </c>
      <c r="M15" s="16" t="n">
        <f aca="false">(K15+L15)/2</f>
        <v>490</v>
      </c>
      <c r="N15" s="16" t="n">
        <f aca="false">M15-I15</f>
        <v>17.5</v>
      </c>
      <c r="O15" s="6" t="s">
        <v>3751</v>
      </c>
      <c r="P15" s="6"/>
      <c r="Q15" s="6"/>
      <c r="R15" s="6" t="s">
        <v>4719</v>
      </c>
      <c r="S15" s="6" t="s">
        <v>119</v>
      </c>
      <c r="T15" s="6" t="s">
        <v>4744</v>
      </c>
      <c r="U15" s="6"/>
    </row>
    <row r="16" customFormat="false" ht="15" hidden="false" customHeight="false" outlineLevel="0" collapsed="false">
      <c r="A16" s="6" t="s">
        <v>4756</v>
      </c>
      <c r="B16" s="7" t="n">
        <v>44697</v>
      </c>
      <c r="C16" s="6" t="s">
        <v>121</v>
      </c>
      <c r="D16" s="6" t="s">
        <v>126</v>
      </c>
      <c r="E16" s="6" t="s">
        <v>4717</v>
      </c>
      <c r="J16" s="6" t="s">
        <v>4757</v>
      </c>
      <c r="K16" s="13" t="n">
        <v>-35</v>
      </c>
      <c r="L16" s="13" t="n">
        <v>-33</v>
      </c>
      <c r="M16" s="16" t="n">
        <f aca="false">(K16+L16)/2</f>
        <v>-34</v>
      </c>
      <c r="O16" s="6" t="s">
        <v>3751</v>
      </c>
      <c r="P16" s="6"/>
      <c r="Q16" s="6"/>
      <c r="R16" s="6" t="s">
        <v>4719</v>
      </c>
      <c r="S16" s="6" t="s">
        <v>119</v>
      </c>
      <c r="T16" s="6" t="s">
        <v>4758</v>
      </c>
      <c r="U16" s="6" t="s">
        <v>4728</v>
      </c>
    </row>
    <row r="17" customFormat="false" ht="15" hidden="false" customHeight="false" outlineLevel="0" collapsed="false">
      <c r="A17" s="6" t="s">
        <v>4759</v>
      </c>
      <c r="B17" s="7" t="n">
        <v>44697</v>
      </c>
      <c r="C17" s="6" t="s">
        <v>121</v>
      </c>
      <c r="D17" s="6" t="s">
        <v>126</v>
      </c>
      <c r="E17" s="6" t="s">
        <v>382</v>
      </c>
      <c r="J17" s="6" t="s">
        <v>4760</v>
      </c>
      <c r="K17" s="13" t="n">
        <v>117</v>
      </c>
      <c r="L17" s="13" t="n">
        <v>119</v>
      </c>
      <c r="M17" s="16" t="n">
        <f aca="false">(K17+L17)/2</f>
        <v>118</v>
      </c>
      <c r="O17" s="6" t="s">
        <v>3751</v>
      </c>
      <c r="P17" s="6"/>
      <c r="Q17" s="6"/>
      <c r="R17" s="6" t="s">
        <v>4719</v>
      </c>
      <c r="S17" s="6" t="s">
        <v>119</v>
      </c>
      <c r="T17" s="6" t="s">
        <v>4758</v>
      </c>
      <c r="U17" s="6" t="s">
        <v>4731</v>
      </c>
    </row>
    <row r="18" customFormat="false" ht="15" hidden="false" customHeight="false" outlineLevel="0" collapsed="false">
      <c r="A18" s="6" t="s">
        <v>4761</v>
      </c>
      <c r="B18" s="7" t="n">
        <v>44781</v>
      </c>
      <c r="C18" s="6" t="s">
        <v>126</v>
      </c>
      <c r="D18" s="6" t="s">
        <v>220</v>
      </c>
      <c r="E18" s="6" t="s">
        <v>4717</v>
      </c>
      <c r="F18" s="17" t="str">
        <f aca="false">J14</f>
        <v>Non-GAAP operating loss of $139 million to $135 million and negative operating margin of 28% to 27%.</v>
      </c>
      <c r="G18" s="18" t="n">
        <f aca="false">K14</f>
        <v>-139</v>
      </c>
      <c r="H18" s="18" t="n">
        <f aca="false">L14</f>
        <v>-135</v>
      </c>
      <c r="I18" s="18" t="n">
        <f aca="false">M14</f>
        <v>-137</v>
      </c>
      <c r="J18" s="6" t="s">
        <v>4762</v>
      </c>
      <c r="K18" s="13" t="n">
        <v>-112</v>
      </c>
      <c r="L18" s="13" t="n">
        <v>-108</v>
      </c>
      <c r="M18" s="16" t="n">
        <f aca="false">(K18+L18)/2</f>
        <v>-110</v>
      </c>
      <c r="N18" s="16" t="n">
        <f aca="false">M18-I18</f>
        <v>27</v>
      </c>
      <c r="O18" s="6" t="s">
        <v>3751</v>
      </c>
      <c r="P18" s="6"/>
      <c r="Q18" s="6"/>
      <c r="R18" s="6" t="s">
        <v>4719</v>
      </c>
      <c r="S18" s="6" t="s">
        <v>124</v>
      </c>
      <c r="T18" s="6" t="s">
        <v>4744</v>
      </c>
      <c r="U18" s="6" t="s">
        <v>4734</v>
      </c>
    </row>
    <row r="19" customFormat="false" ht="15" hidden="false" customHeight="false" outlineLevel="0" collapsed="false">
      <c r="A19" s="6" t="s">
        <v>4763</v>
      </c>
      <c r="B19" s="7" t="n">
        <v>44781</v>
      </c>
      <c r="C19" s="6" t="s">
        <v>126</v>
      </c>
      <c r="D19" s="6" t="s">
        <v>220</v>
      </c>
      <c r="E19" s="6" t="s">
        <v>382</v>
      </c>
      <c r="F19" s="17" t="str">
        <f aca="false">J15</f>
        <v>Total revenue of $488 million to $492 million, representing year-over-year growth of 58% to 60%.</v>
      </c>
      <c r="G19" s="18" t="n">
        <f aca="false">K15</f>
        <v>488</v>
      </c>
      <c r="H19" s="18" t="n">
        <f aca="false">L15</f>
        <v>492</v>
      </c>
      <c r="I19" s="18" t="n">
        <f aca="false">M15</f>
        <v>490</v>
      </c>
      <c r="J19" s="6" t="s">
        <v>4764</v>
      </c>
      <c r="K19" s="13" t="n">
        <v>498</v>
      </c>
      <c r="L19" s="13" t="n">
        <v>502</v>
      </c>
      <c r="M19" s="16" t="n">
        <f aca="false">(K19+L19)/2</f>
        <v>500</v>
      </c>
      <c r="N19" s="16" t="n">
        <f aca="false">M19-I19</f>
        <v>10</v>
      </c>
      <c r="O19" s="6" t="s">
        <v>3751</v>
      </c>
      <c r="P19" s="6" t="s">
        <v>4765</v>
      </c>
      <c r="Q19" s="6" t="s">
        <v>4766</v>
      </c>
      <c r="R19" s="6" t="s">
        <v>4719</v>
      </c>
      <c r="S19" s="6" t="s">
        <v>124</v>
      </c>
      <c r="T19" s="6" t="s">
        <v>4744</v>
      </c>
      <c r="U19" s="6"/>
    </row>
    <row r="20" customFormat="false" ht="15" hidden="false" customHeight="false" outlineLevel="0" collapsed="false">
      <c r="A20" s="6" t="s">
        <v>4767</v>
      </c>
      <c r="B20" s="7" t="n">
        <v>44781</v>
      </c>
      <c r="C20" s="6" t="s">
        <v>126</v>
      </c>
      <c r="D20" s="6" t="s">
        <v>131</v>
      </c>
      <c r="E20" s="6" t="s">
        <v>4717</v>
      </c>
      <c r="J20" s="6" t="s">
        <v>4768</v>
      </c>
      <c r="K20" s="13" t="n">
        <v>-25</v>
      </c>
      <c r="L20" s="13" t="n">
        <v>-24</v>
      </c>
      <c r="M20" s="16" t="n">
        <f aca="false">(K20+L20)/2</f>
        <v>-24.5</v>
      </c>
      <c r="O20" s="6" t="s">
        <v>3751</v>
      </c>
      <c r="P20" s="6"/>
      <c r="Q20" s="6"/>
      <c r="R20" s="6" t="s">
        <v>4719</v>
      </c>
      <c r="S20" s="6" t="s">
        <v>124</v>
      </c>
      <c r="T20" s="6" t="s">
        <v>4769</v>
      </c>
      <c r="U20" s="6" t="s">
        <v>4728</v>
      </c>
    </row>
    <row r="21" customFormat="false" ht="15" hidden="false" customHeight="false" outlineLevel="0" collapsed="false">
      <c r="A21" s="6" t="s">
        <v>4770</v>
      </c>
      <c r="B21" s="7" t="n">
        <v>44781</v>
      </c>
      <c r="C21" s="6" t="s">
        <v>126</v>
      </c>
      <c r="D21" s="6" t="s">
        <v>131</v>
      </c>
      <c r="E21" s="6" t="s">
        <v>382</v>
      </c>
      <c r="J21" s="6" t="s">
        <v>4771</v>
      </c>
      <c r="K21" s="13" t="n">
        <v>130</v>
      </c>
      <c r="L21" s="13" t="n">
        <v>131</v>
      </c>
      <c r="M21" s="16" t="n">
        <f aca="false">(K21+L21)/2</f>
        <v>130.5</v>
      </c>
      <c r="O21" s="6" t="s">
        <v>3751</v>
      </c>
      <c r="P21" s="6"/>
      <c r="Q21" s="6"/>
      <c r="R21" s="6" t="s">
        <v>4719</v>
      </c>
      <c r="S21" s="6" t="s">
        <v>124</v>
      </c>
      <c r="T21" s="6" t="s">
        <v>4769</v>
      </c>
      <c r="U21" s="6" t="s">
        <v>4731</v>
      </c>
    </row>
    <row r="22" customFormat="false" ht="15" hidden="false" customHeight="false" outlineLevel="0" collapsed="false">
      <c r="A22" s="6" t="s">
        <v>4772</v>
      </c>
      <c r="B22" s="7" t="n">
        <v>44879</v>
      </c>
      <c r="C22" s="6" t="s">
        <v>131</v>
      </c>
      <c r="D22" s="6" t="s">
        <v>220</v>
      </c>
      <c r="E22" s="6" t="s">
        <v>4717</v>
      </c>
      <c r="F22" s="17" t="str">
        <f aca="false">J18</f>
        <v>Non-GAAP operating loss of $112 million to $108 million and negative operating margin of 22% to 21%.</v>
      </c>
      <c r="G22" s="18" t="n">
        <f aca="false">K18</f>
        <v>-112</v>
      </c>
      <c r="H22" s="18" t="n">
        <f aca="false">L18</f>
        <v>-108</v>
      </c>
      <c r="I22" s="18" t="n">
        <f aca="false">M18</f>
        <v>-110</v>
      </c>
      <c r="J22" s="6" t="s">
        <v>4773</v>
      </c>
      <c r="K22" s="13" t="n">
        <v>-83</v>
      </c>
      <c r="L22" s="13" t="n">
        <v>-81</v>
      </c>
      <c r="M22" s="16" t="n">
        <f aca="false">(K22+L22)/2</f>
        <v>-82</v>
      </c>
      <c r="N22" s="16" t="n">
        <f aca="false">M22-I22</f>
        <v>28</v>
      </c>
      <c r="O22" s="6" t="s">
        <v>3751</v>
      </c>
      <c r="P22" s="6"/>
      <c r="Q22" s="6"/>
      <c r="R22" s="6" t="s">
        <v>4719</v>
      </c>
      <c r="S22" s="6" t="s">
        <v>129</v>
      </c>
      <c r="T22" s="6" t="s">
        <v>4744</v>
      </c>
      <c r="U22" s="6" t="s">
        <v>4734</v>
      </c>
    </row>
    <row r="23" customFormat="false" ht="15" hidden="false" customHeight="false" outlineLevel="0" collapsed="false">
      <c r="A23" s="6" t="s">
        <v>4774</v>
      </c>
      <c r="B23" s="7" t="n">
        <v>44879</v>
      </c>
      <c r="C23" s="6" t="s">
        <v>131</v>
      </c>
      <c r="D23" s="6" t="s">
        <v>220</v>
      </c>
      <c r="E23" s="6" t="s">
        <v>382</v>
      </c>
      <c r="F23" s="17" t="str">
        <f aca="false">J19</f>
        <v>Total revenue of $498 million to $502 million, representing year-over-year growth of 62% to 63%.</v>
      </c>
      <c r="G23" s="18" t="n">
        <f aca="false">K19</f>
        <v>498</v>
      </c>
      <c r="H23" s="18" t="n">
        <f aca="false">L19</f>
        <v>502</v>
      </c>
      <c r="I23" s="18" t="n">
        <f aca="false">M19</f>
        <v>500</v>
      </c>
      <c r="J23" s="6" t="s">
        <v>4775</v>
      </c>
      <c r="K23" s="13" t="n">
        <v>509</v>
      </c>
      <c r="L23" s="13" t="n">
        <v>511</v>
      </c>
      <c r="M23" s="16" t="n">
        <f aca="false">(K23+L23)/2</f>
        <v>510</v>
      </c>
      <c r="N23" s="16" t="n">
        <f aca="false">M23-I23</f>
        <v>10</v>
      </c>
      <c r="O23" s="6" t="s">
        <v>3751</v>
      </c>
      <c r="P23" s="6"/>
      <c r="Q23" s="6" t="s">
        <v>4776</v>
      </c>
      <c r="R23" s="6" t="s">
        <v>4719</v>
      </c>
      <c r="S23" s="6" t="s">
        <v>129</v>
      </c>
      <c r="T23" s="6" t="s">
        <v>4744</v>
      </c>
      <c r="U23" s="6"/>
    </row>
    <row r="24" customFormat="false" ht="15" hidden="false" customHeight="false" outlineLevel="0" collapsed="false">
      <c r="A24" s="6" t="s">
        <v>4777</v>
      </c>
      <c r="B24" s="7" t="n">
        <v>44879</v>
      </c>
      <c r="C24" s="6" t="s">
        <v>131</v>
      </c>
      <c r="D24" s="6" t="s">
        <v>136</v>
      </c>
      <c r="E24" s="6" t="s">
        <v>4717</v>
      </c>
      <c r="J24" s="6" t="s">
        <v>4778</v>
      </c>
      <c r="K24" s="13" t="n">
        <v>-22</v>
      </c>
      <c r="L24" s="13" t="n">
        <v>-20</v>
      </c>
      <c r="M24" s="16" t="n">
        <f aca="false">(K24+L24)/2</f>
        <v>-21</v>
      </c>
      <c r="O24" s="6" t="s">
        <v>3751</v>
      </c>
      <c r="P24" s="6"/>
      <c r="Q24" s="6"/>
      <c r="R24" s="6" t="s">
        <v>4719</v>
      </c>
      <c r="S24" s="6" t="s">
        <v>129</v>
      </c>
      <c r="T24" s="6" t="s">
        <v>4779</v>
      </c>
      <c r="U24" s="6" t="s">
        <v>4728</v>
      </c>
    </row>
    <row r="25" customFormat="false" ht="15" hidden="false" customHeight="false" outlineLevel="0" collapsed="false">
      <c r="A25" s="6" t="s">
        <v>4780</v>
      </c>
      <c r="B25" s="7" t="n">
        <v>44879</v>
      </c>
      <c r="C25" s="6" t="s">
        <v>131</v>
      </c>
      <c r="D25" s="6" t="s">
        <v>136</v>
      </c>
      <c r="E25" s="6" t="s">
        <v>382</v>
      </c>
      <c r="J25" s="6" t="s">
        <v>4781</v>
      </c>
      <c r="K25" s="13" t="n">
        <v>140</v>
      </c>
      <c r="L25" s="13" t="n">
        <v>142</v>
      </c>
      <c r="M25" s="16" t="n">
        <f aca="false">(K25+L25)/2</f>
        <v>141</v>
      </c>
      <c r="O25" s="6" t="s">
        <v>3751</v>
      </c>
      <c r="P25" s="6"/>
      <c r="Q25" s="6"/>
      <c r="R25" s="6" t="s">
        <v>4719</v>
      </c>
      <c r="S25" s="6" t="s">
        <v>129</v>
      </c>
      <c r="T25" s="6" t="s">
        <v>4779</v>
      </c>
      <c r="U25" s="6" t="s">
        <v>4731</v>
      </c>
    </row>
    <row r="26" customFormat="false" ht="15" hidden="false" customHeight="false" outlineLevel="0" collapsed="false">
      <c r="A26" s="6" t="s">
        <v>4782</v>
      </c>
      <c r="B26" s="7" t="n">
        <v>44970</v>
      </c>
      <c r="C26" s="6" t="s">
        <v>136</v>
      </c>
      <c r="D26" s="6" t="s">
        <v>225</v>
      </c>
      <c r="E26" s="6" t="s">
        <v>4717</v>
      </c>
      <c r="J26" s="6" t="s">
        <v>4783</v>
      </c>
      <c r="K26" s="13" t="n">
        <v>-36</v>
      </c>
      <c r="L26" s="13" t="n">
        <v>-32</v>
      </c>
      <c r="M26" s="16" t="n">
        <f aca="false">(K26+L26)/2</f>
        <v>-34</v>
      </c>
      <c r="O26" s="6" t="s">
        <v>3751</v>
      </c>
      <c r="P26" s="6"/>
      <c r="Q26" s="6"/>
      <c r="R26" s="6" t="s">
        <v>4719</v>
      </c>
      <c r="S26" s="6" t="s">
        <v>134</v>
      </c>
      <c r="T26" s="6" t="s">
        <v>4784</v>
      </c>
      <c r="U26" s="6" t="s">
        <v>4721</v>
      </c>
    </row>
    <row r="27" customFormat="false" ht="15" hidden="false" customHeight="false" outlineLevel="0" collapsed="false">
      <c r="A27" s="6" t="s">
        <v>4785</v>
      </c>
      <c r="B27" s="7" t="n">
        <v>44970</v>
      </c>
      <c r="C27" s="6" t="s">
        <v>136</v>
      </c>
      <c r="D27" s="6" t="s">
        <v>225</v>
      </c>
      <c r="E27" s="6" t="s">
        <v>382</v>
      </c>
      <c r="J27" s="6" t="s">
        <v>4786</v>
      </c>
      <c r="K27" s="13" t="n">
        <v>688</v>
      </c>
      <c r="L27" s="13" t="n">
        <v>693</v>
      </c>
      <c r="M27" s="16" t="n">
        <f aca="false">(K27+L27)/2</f>
        <v>690.5</v>
      </c>
      <c r="O27" s="6" t="s">
        <v>3751</v>
      </c>
      <c r="P27" s="6"/>
      <c r="Q27" s="6"/>
      <c r="R27" s="6" t="s">
        <v>4719</v>
      </c>
      <c r="S27" s="6" t="s">
        <v>134</v>
      </c>
      <c r="T27" s="6" t="s">
        <v>4784</v>
      </c>
      <c r="U27" s="6" t="s">
        <v>4724</v>
      </c>
    </row>
    <row r="28" customFormat="false" ht="15" hidden="false" customHeight="false" outlineLevel="0" collapsed="false">
      <c r="A28" s="6" t="s">
        <v>4787</v>
      </c>
      <c r="B28" s="7" t="n">
        <v>44970</v>
      </c>
      <c r="C28" s="6" t="s">
        <v>136</v>
      </c>
      <c r="D28" s="6" t="s">
        <v>141</v>
      </c>
      <c r="E28" s="6" t="s">
        <v>4717</v>
      </c>
      <c r="J28" s="6" t="s">
        <v>4788</v>
      </c>
      <c r="K28" s="13" t="n">
        <v>-19</v>
      </c>
      <c r="L28" s="13" t="n">
        <v>-17</v>
      </c>
      <c r="M28" s="16" t="n">
        <f aca="false">(K28+L28)/2</f>
        <v>-18</v>
      </c>
      <c r="O28" s="6" t="s">
        <v>3751</v>
      </c>
      <c r="P28" s="6"/>
      <c r="Q28" s="6"/>
      <c r="R28" s="6" t="s">
        <v>4719</v>
      </c>
      <c r="S28" s="6" t="s">
        <v>134</v>
      </c>
      <c r="T28" s="6" t="s">
        <v>4789</v>
      </c>
      <c r="U28" s="6" t="s">
        <v>4728</v>
      </c>
    </row>
    <row r="29" customFormat="false" ht="15" hidden="false" customHeight="false" outlineLevel="0" collapsed="false">
      <c r="A29" s="6" t="s">
        <v>4790</v>
      </c>
      <c r="B29" s="7" t="n">
        <v>44970</v>
      </c>
      <c r="C29" s="6" t="s">
        <v>136</v>
      </c>
      <c r="D29" s="6" t="s">
        <v>141</v>
      </c>
      <c r="E29" s="6" t="s">
        <v>382</v>
      </c>
      <c r="J29" s="6" t="s">
        <v>4791</v>
      </c>
      <c r="K29" s="13" t="n">
        <v>154</v>
      </c>
      <c r="L29" s="13" t="n">
        <v>156</v>
      </c>
      <c r="M29" s="16" t="n">
        <f aca="false">(K29+L29)/2</f>
        <v>155</v>
      </c>
      <c r="O29" s="6" t="s">
        <v>3751</v>
      </c>
      <c r="P29" s="6"/>
      <c r="Q29" s="6"/>
      <c r="R29" s="6" t="s">
        <v>4719</v>
      </c>
      <c r="S29" s="6" t="s">
        <v>134</v>
      </c>
      <c r="T29" s="6" t="s">
        <v>4789</v>
      </c>
      <c r="U29" s="6" t="s">
        <v>4731</v>
      </c>
    </row>
    <row r="30" customFormat="false" ht="15" hidden="false" customHeight="false" outlineLevel="0" collapsed="false">
      <c r="A30" s="6" t="s">
        <v>4792</v>
      </c>
      <c r="B30" s="7" t="n">
        <v>45061</v>
      </c>
      <c r="C30" s="6" t="s">
        <v>141</v>
      </c>
      <c r="D30" s="6" t="s">
        <v>225</v>
      </c>
      <c r="E30" s="6" t="s">
        <v>4717</v>
      </c>
      <c r="F30" s="17" t="str">
        <f aca="false">J26</f>
        <v>Non-GAAP operating loss of $36 million to $32 million and negative operating margin of approximately 5%.</v>
      </c>
      <c r="G30" s="18" t="n">
        <f aca="false">K26</f>
        <v>-36</v>
      </c>
      <c r="H30" s="18" t="n">
        <f aca="false">L26</f>
        <v>-32</v>
      </c>
      <c r="I30" s="18" t="n">
        <f aca="false">M26</f>
        <v>-34</v>
      </c>
      <c r="J30" s="6" t="s">
        <v>4793</v>
      </c>
      <c r="K30" s="13" t="n">
        <v>8</v>
      </c>
      <c r="L30" s="13" t="n">
        <v>12</v>
      </c>
      <c r="M30" s="16" t="n">
        <f aca="false">(K30+L30)/2</f>
        <v>10</v>
      </c>
      <c r="N30" s="16" t="n">
        <f aca="false">M30-I30</f>
        <v>44</v>
      </c>
      <c r="O30" s="6" t="s">
        <v>3751</v>
      </c>
      <c r="P30" s="6"/>
      <c r="Q30" s="6"/>
      <c r="R30" s="6" t="s">
        <v>4719</v>
      </c>
      <c r="S30" s="6" t="s">
        <v>139</v>
      </c>
      <c r="T30" s="6" t="s">
        <v>4784</v>
      </c>
      <c r="U30" s="6"/>
    </row>
    <row r="31" customFormat="false" ht="15" hidden="false" customHeight="false" outlineLevel="0" collapsed="false">
      <c r="A31" s="6" t="s">
        <v>4794</v>
      </c>
      <c r="B31" s="7" t="n">
        <v>45061</v>
      </c>
      <c r="C31" s="6" t="s">
        <v>141</v>
      </c>
      <c r="D31" s="6" t="s">
        <v>225</v>
      </c>
      <c r="E31" s="6" t="s">
        <v>382</v>
      </c>
      <c r="F31" s="17" t="str">
        <f aca="false">J27</f>
        <v>Total revenue of $688 million to $693 million, representing year-over-year growth of 33% to 34%.</v>
      </c>
      <c r="G31" s="18" t="n">
        <f aca="false">K27</f>
        <v>688</v>
      </c>
      <c r="H31" s="18" t="n">
        <f aca="false">L27</f>
        <v>693</v>
      </c>
      <c r="I31" s="18" t="n">
        <f aca="false">M27</f>
        <v>690.5</v>
      </c>
      <c r="J31" s="6" t="s">
        <v>4795</v>
      </c>
      <c r="K31" s="13" t="n">
        <v>702</v>
      </c>
      <c r="L31" s="13" t="n">
        <v>706</v>
      </c>
      <c r="M31" s="16" t="n">
        <f aca="false">(K31+L31)/2</f>
        <v>704</v>
      </c>
      <c r="N31" s="16" t="n">
        <f aca="false">M31-I31</f>
        <v>13.5</v>
      </c>
      <c r="O31" s="6" t="s">
        <v>3751</v>
      </c>
      <c r="P31" s="6"/>
      <c r="Q31" s="6"/>
      <c r="R31" s="6" t="s">
        <v>4719</v>
      </c>
      <c r="S31" s="6" t="s">
        <v>139</v>
      </c>
      <c r="T31" s="6" t="s">
        <v>4784</v>
      </c>
      <c r="U31" s="6"/>
    </row>
    <row r="32" customFormat="false" ht="15" hidden="false" customHeight="false" outlineLevel="0" collapsed="false">
      <c r="A32" s="6" t="s">
        <v>4796</v>
      </c>
      <c r="B32" s="7" t="n">
        <v>45061</v>
      </c>
      <c r="C32" s="6" t="s">
        <v>141</v>
      </c>
      <c r="D32" s="6" t="s">
        <v>146</v>
      </c>
      <c r="E32" s="6" t="s">
        <v>4717</v>
      </c>
      <c r="J32" s="6" t="s">
        <v>4797</v>
      </c>
      <c r="K32" s="13" t="n">
        <v>2</v>
      </c>
      <c r="L32" s="13" t="n">
        <v>4</v>
      </c>
      <c r="M32" s="16" t="n">
        <f aca="false">(K32+L32)/2</f>
        <v>3</v>
      </c>
      <c r="O32" s="6" t="s">
        <v>3751</v>
      </c>
      <c r="P32" s="6"/>
      <c r="Q32" s="6"/>
      <c r="R32" s="6" t="s">
        <v>4719</v>
      </c>
      <c r="S32" s="6" t="s">
        <v>139</v>
      </c>
      <c r="T32" s="6" t="s">
        <v>4798</v>
      </c>
      <c r="U32" s="6" t="s">
        <v>4731</v>
      </c>
    </row>
    <row r="33" customFormat="false" ht="15" hidden="false" customHeight="false" outlineLevel="0" collapsed="false">
      <c r="A33" s="6" t="s">
        <v>4799</v>
      </c>
      <c r="B33" s="7" t="n">
        <v>45061</v>
      </c>
      <c r="C33" s="6" t="s">
        <v>141</v>
      </c>
      <c r="D33" s="6" t="s">
        <v>146</v>
      </c>
      <c r="E33" s="6" t="s">
        <v>382</v>
      </c>
      <c r="J33" s="6" t="s">
        <v>4800</v>
      </c>
      <c r="K33" s="13" t="n">
        <v>168</v>
      </c>
      <c r="L33" s="13" t="n">
        <v>170</v>
      </c>
      <c r="M33" s="16" t="n">
        <f aca="false">(K33+L33)/2</f>
        <v>169</v>
      </c>
      <c r="O33" s="6" t="s">
        <v>3751</v>
      </c>
      <c r="P33" s="6"/>
      <c r="Q33" s="6"/>
      <c r="R33" s="6" t="s">
        <v>4719</v>
      </c>
      <c r="S33" s="6" t="s">
        <v>139</v>
      </c>
      <c r="T33" s="6" t="s">
        <v>4798</v>
      </c>
      <c r="U33" s="6" t="s">
        <v>4731</v>
      </c>
    </row>
    <row r="34" customFormat="false" ht="15" hidden="false" customHeight="false" outlineLevel="0" collapsed="false">
      <c r="A34" s="6" t="s">
        <v>4801</v>
      </c>
      <c r="B34" s="7" t="n">
        <v>45152</v>
      </c>
      <c r="C34" s="6" t="s">
        <v>146</v>
      </c>
      <c r="D34" s="6" t="s">
        <v>225</v>
      </c>
      <c r="E34" s="6" t="s">
        <v>4717</v>
      </c>
      <c r="F34" s="17" t="str">
        <f aca="false">J30</f>
        <v>Non-GAAP operating income of $8 million to $12 million and operating margin of approximately 1%.</v>
      </c>
      <c r="G34" s="18" t="n">
        <f aca="false">K30</f>
        <v>8</v>
      </c>
      <c r="H34" s="18" t="n">
        <f aca="false">L30</f>
        <v>12</v>
      </c>
      <c r="I34" s="18" t="n">
        <f aca="false">M30</f>
        <v>10</v>
      </c>
      <c r="J34" s="6" t="s">
        <v>4802</v>
      </c>
      <c r="K34" s="13" t="n">
        <v>24</v>
      </c>
      <c r="L34" s="13" t="n">
        <v>28</v>
      </c>
      <c r="M34" s="16" t="n">
        <f aca="false">(K34+L34)/2</f>
        <v>26</v>
      </c>
      <c r="N34" s="16" t="n">
        <f aca="false">M34-I34</f>
        <v>16</v>
      </c>
      <c r="O34" s="6" t="s">
        <v>3751</v>
      </c>
      <c r="P34" s="6"/>
      <c r="Q34" s="6"/>
      <c r="R34" s="6" t="s">
        <v>4719</v>
      </c>
      <c r="S34" s="6" t="s">
        <v>144</v>
      </c>
      <c r="T34" s="6" t="s">
        <v>4784</v>
      </c>
      <c r="U34" s="6"/>
    </row>
    <row r="35" customFormat="false" ht="15" hidden="false" customHeight="false" outlineLevel="0" collapsed="false">
      <c r="A35" s="6" t="s">
        <v>4803</v>
      </c>
      <c r="B35" s="7" t="n">
        <v>45152</v>
      </c>
      <c r="C35" s="6" t="s">
        <v>146</v>
      </c>
      <c r="D35" s="6" t="s">
        <v>225</v>
      </c>
      <c r="E35" s="6" t="s">
        <v>382</v>
      </c>
      <c r="F35" s="17" t="str">
        <f aca="false">J31</f>
        <v>Total revenue of $702 million to $706 million, representing year-over-year growth of 35% to 36%.</v>
      </c>
      <c r="G35" s="18" t="n">
        <f aca="false">K31</f>
        <v>702</v>
      </c>
      <c r="H35" s="18" t="n">
        <f aca="false">L31</f>
        <v>706</v>
      </c>
      <c r="I35" s="18" t="n">
        <f aca="false">M31</f>
        <v>704</v>
      </c>
      <c r="J35" s="6" t="s">
        <v>4804</v>
      </c>
      <c r="K35" s="13" t="n">
        <v>713</v>
      </c>
      <c r="L35" s="13" t="n">
        <v>717</v>
      </c>
      <c r="M35" s="16" t="n">
        <f aca="false">(K35+L35)/2</f>
        <v>715</v>
      </c>
      <c r="N35" s="16" t="n">
        <f aca="false">M35-I35</f>
        <v>11</v>
      </c>
      <c r="O35" s="6" t="s">
        <v>3751</v>
      </c>
      <c r="P35" s="6"/>
      <c r="Q35" s="6"/>
      <c r="R35" s="6" t="s">
        <v>4719</v>
      </c>
      <c r="S35" s="6" t="s">
        <v>144</v>
      </c>
      <c r="T35" s="6" t="s">
        <v>4784</v>
      </c>
      <c r="U35" s="6"/>
    </row>
    <row r="36" customFormat="false" ht="15" hidden="false" customHeight="false" outlineLevel="0" collapsed="false">
      <c r="A36" s="6" t="s">
        <v>4805</v>
      </c>
      <c r="B36" s="7" t="n">
        <v>45152</v>
      </c>
      <c r="C36" s="6" t="s">
        <v>146</v>
      </c>
      <c r="D36" s="6" t="s">
        <v>151</v>
      </c>
      <c r="E36" s="6" t="s">
        <v>4717</v>
      </c>
      <c r="J36" s="6" t="s">
        <v>4806</v>
      </c>
      <c r="K36" s="13" t="n">
        <v>4</v>
      </c>
      <c r="L36" s="13" t="n">
        <v>6</v>
      </c>
      <c r="M36" s="16" t="n">
        <f aca="false">(K36+L36)/2</f>
        <v>5</v>
      </c>
      <c r="O36" s="6" t="s">
        <v>3751</v>
      </c>
      <c r="P36" s="6"/>
      <c r="Q36" s="6"/>
      <c r="R36" s="6" t="s">
        <v>4719</v>
      </c>
      <c r="S36" s="6" t="s">
        <v>144</v>
      </c>
      <c r="T36" s="6" t="s">
        <v>4807</v>
      </c>
      <c r="U36" s="6" t="s">
        <v>4731</v>
      </c>
    </row>
    <row r="37" customFormat="false" ht="15" hidden="false" customHeight="false" outlineLevel="0" collapsed="false">
      <c r="A37" s="6" t="s">
        <v>4808</v>
      </c>
      <c r="B37" s="7" t="n">
        <v>45152</v>
      </c>
      <c r="C37" s="6" t="s">
        <v>146</v>
      </c>
      <c r="D37" s="6" t="s">
        <v>151</v>
      </c>
      <c r="E37" s="6" t="s">
        <v>382</v>
      </c>
      <c r="J37" s="6" t="s">
        <v>4809</v>
      </c>
      <c r="K37" s="13" t="n">
        <v>181</v>
      </c>
      <c r="L37" s="13" t="n">
        <v>183</v>
      </c>
      <c r="M37" s="16" t="n">
        <f aca="false">(K37+L37)/2</f>
        <v>182</v>
      </c>
      <c r="O37" s="6" t="s">
        <v>3751</v>
      </c>
      <c r="P37" s="6"/>
      <c r="Q37" s="6"/>
      <c r="R37" s="6" t="s">
        <v>4719</v>
      </c>
      <c r="S37" s="6" t="s">
        <v>144</v>
      </c>
      <c r="T37" s="6" t="s">
        <v>4807</v>
      </c>
      <c r="U37" s="6" t="s">
        <v>4731</v>
      </c>
    </row>
    <row r="38" customFormat="false" ht="15" hidden="false" customHeight="false" outlineLevel="0" collapsed="false">
      <c r="A38" s="6" t="s">
        <v>4810</v>
      </c>
      <c r="B38" s="7" t="n">
        <v>45243</v>
      </c>
      <c r="C38" s="6" t="s">
        <v>151</v>
      </c>
      <c r="D38" s="6" t="s">
        <v>225</v>
      </c>
      <c r="E38" s="6" t="s">
        <v>4717</v>
      </c>
      <c r="F38" s="17" t="str">
        <f aca="false">J34</f>
        <v>Non-GAAP operating income of $24 million to $28 million and operating margin of 3% to 4%.</v>
      </c>
      <c r="G38" s="18" t="n">
        <f aca="false">K34</f>
        <v>24</v>
      </c>
      <c r="H38" s="18" t="n">
        <f aca="false">L34</f>
        <v>28</v>
      </c>
      <c r="I38" s="18" t="n">
        <f aca="false">M34</f>
        <v>26</v>
      </c>
      <c r="J38" s="6" t="s">
        <v>4811</v>
      </c>
      <c r="K38" s="13" t="n">
        <v>47</v>
      </c>
      <c r="L38" s="13" t="n">
        <v>49</v>
      </c>
      <c r="M38" s="16" t="n">
        <f aca="false">(K38+L38)/2</f>
        <v>48</v>
      </c>
      <c r="N38" s="16" t="n">
        <f aca="false">M38-I38</f>
        <v>22</v>
      </c>
      <c r="O38" s="6" t="s">
        <v>3751</v>
      </c>
      <c r="P38" s="6"/>
      <c r="Q38" s="6"/>
      <c r="R38" s="6" t="s">
        <v>4719</v>
      </c>
      <c r="S38" s="6" t="s">
        <v>149</v>
      </c>
      <c r="T38" s="6" t="s">
        <v>4784</v>
      </c>
      <c r="U38" s="6"/>
    </row>
    <row r="39" customFormat="false" ht="15" hidden="false" customHeight="false" outlineLevel="0" collapsed="false">
      <c r="A39" s="6" t="s">
        <v>4812</v>
      </c>
      <c r="B39" s="7" t="n">
        <v>45243</v>
      </c>
      <c r="C39" s="6" t="s">
        <v>151</v>
      </c>
      <c r="D39" s="6" t="s">
        <v>225</v>
      </c>
      <c r="E39" s="6" t="s">
        <v>382</v>
      </c>
      <c r="F39" s="17" t="str">
        <f aca="false">J35</f>
        <v>Total revenue of $713 million to $717 million, representing year-over-year growth of 37% to 38%.</v>
      </c>
      <c r="G39" s="18" t="n">
        <f aca="false">K35</f>
        <v>713</v>
      </c>
      <c r="H39" s="18" t="n">
        <f aca="false">L35</f>
        <v>717</v>
      </c>
      <c r="I39" s="18" t="n">
        <f aca="false">M35</f>
        <v>715</v>
      </c>
      <c r="J39" s="6" t="s">
        <v>4813</v>
      </c>
      <c r="K39" s="13" t="n">
        <v>723</v>
      </c>
      <c r="L39" s="13" t="n">
        <v>725</v>
      </c>
      <c r="M39" s="16" t="n">
        <f aca="false">(K39+L39)/2</f>
        <v>724</v>
      </c>
      <c r="N39" s="16" t="n">
        <f aca="false">M39-I39</f>
        <v>9</v>
      </c>
      <c r="O39" s="6" t="s">
        <v>3751</v>
      </c>
      <c r="P39" s="6"/>
      <c r="Q39" s="6"/>
      <c r="R39" s="6" t="s">
        <v>4719</v>
      </c>
      <c r="S39" s="6" t="s">
        <v>149</v>
      </c>
      <c r="T39" s="6" t="s">
        <v>4784</v>
      </c>
      <c r="U39" s="6"/>
    </row>
    <row r="40" customFormat="false" ht="15" hidden="false" customHeight="false" outlineLevel="0" collapsed="false">
      <c r="A40" s="6" t="s">
        <v>4814</v>
      </c>
      <c r="B40" s="7" t="n">
        <v>45243</v>
      </c>
      <c r="C40" s="6" t="s">
        <v>151</v>
      </c>
      <c r="D40" s="6" t="s">
        <v>156</v>
      </c>
      <c r="E40" s="6" t="s">
        <v>4717</v>
      </c>
      <c r="J40" s="6" t="s">
        <v>4815</v>
      </c>
      <c r="K40" s="13" t="n">
        <v>7</v>
      </c>
      <c r="L40" s="13" t="n">
        <v>9</v>
      </c>
      <c r="M40" s="16" t="n">
        <f aca="false">(K40+L40)/2</f>
        <v>8</v>
      </c>
      <c r="O40" s="6" t="s">
        <v>3751</v>
      </c>
      <c r="P40" s="6"/>
      <c r="Q40" s="6"/>
      <c r="R40" s="6" t="s">
        <v>4719</v>
      </c>
      <c r="S40" s="6" t="s">
        <v>149</v>
      </c>
      <c r="T40" s="6" t="s">
        <v>4816</v>
      </c>
      <c r="U40" s="6" t="s">
        <v>4731</v>
      </c>
    </row>
    <row r="41" customFormat="false" ht="15" hidden="false" customHeight="false" outlineLevel="0" collapsed="false">
      <c r="A41" s="6" t="s">
        <v>4817</v>
      </c>
      <c r="B41" s="7" t="n">
        <v>45243</v>
      </c>
      <c r="C41" s="6" t="s">
        <v>151</v>
      </c>
      <c r="D41" s="6" t="s">
        <v>156</v>
      </c>
      <c r="E41" s="6" t="s">
        <v>382</v>
      </c>
      <c r="J41" s="6" t="s">
        <v>4818</v>
      </c>
      <c r="K41" s="13" t="n">
        <v>196</v>
      </c>
      <c r="L41" s="13" t="n">
        <v>198</v>
      </c>
      <c r="M41" s="16" t="n">
        <f aca="false">(K41+L41)/2</f>
        <v>197</v>
      </c>
      <c r="O41" s="6" t="s">
        <v>3751</v>
      </c>
      <c r="P41" s="6"/>
      <c r="Q41" s="6"/>
      <c r="R41" s="6" t="s">
        <v>4719</v>
      </c>
      <c r="S41" s="6" t="s">
        <v>149</v>
      </c>
      <c r="T41" s="6" t="s">
        <v>4816</v>
      </c>
      <c r="U41" s="6" t="s">
        <v>4731</v>
      </c>
    </row>
    <row r="42" customFormat="false" ht="15" hidden="false" customHeight="false" outlineLevel="0" collapsed="false">
      <c r="A42" s="6" t="s">
        <v>4819</v>
      </c>
      <c r="B42" s="7" t="n">
        <v>45334</v>
      </c>
      <c r="C42" s="6" t="s">
        <v>156</v>
      </c>
      <c r="D42" s="6" t="s">
        <v>230</v>
      </c>
      <c r="E42" s="6" t="s">
        <v>4820</v>
      </c>
      <c r="J42" s="6" t="s">
        <v>4821</v>
      </c>
      <c r="K42" s="13" t="n">
        <v>200</v>
      </c>
      <c r="L42" s="13" t="n">
        <v>206</v>
      </c>
      <c r="M42" s="16" t="n">
        <f aca="false">(K42+L42)/2</f>
        <v>203</v>
      </c>
      <c r="O42" s="6" t="s">
        <v>3751</v>
      </c>
      <c r="P42" s="6"/>
      <c r="Q42" s="6"/>
      <c r="R42" s="6" t="s">
        <v>4719</v>
      </c>
      <c r="S42" s="6" t="s">
        <v>154</v>
      </c>
      <c r="T42" s="6" t="s">
        <v>4822</v>
      </c>
      <c r="U42" s="6" t="s">
        <v>4724</v>
      </c>
    </row>
    <row r="43" customFormat="false" ht="15" hidden="false" customHeight="false" outlineLevel="0" collapsed="false">
      <c r="A43" s="6" t="s">
        <v>4823</v>
      </c>
      <c r="B43" s="7" t="n">
        <v>45334</v>
      </c>
      <c r="C43" s="6" t="s">
        <v>156</v>
      </c>
      <c r="D43" s="6" t="s">
        <v>230</v>
      </c>
      <c r="E43" s="6" t="s">
        <v>4717</v>
      </c>
      <c r="J43" s="6" t="s">
        <v>4824</v>
      </c>
      <c r="K43" s="13" t="n">
        <v>58</v>
      </c>
      <c r="L43" s="13" t="n">
        <v>64</v>
      </c>
      <c r="M43" s="16" t="n">
        <f aca="false">(K43+L43)/2</f>
        <v>61</v>
      </c>
      <c r="O43" s="6" t="s">
        <v>3751</v>
      </c>
      <c r="P43" s="6"/>
      <c r="Q43" s="6"/>
      <c r="R43" s="6" t="s">
        <v>4719</v>
      </c>
      <c r="S43" s="6" t="s">
        <v>154</v>
      </c>
      <c r="T43" s="6" t="s">
        <v>4822</v>
      </c>
      <c r="U43" s="6" t="s">
        <v>4724</v>
      </c>
    </row>
    <row r="44" customFormat="false" ht="15" hidden="false" customHeight="false" outlineLevel="0" collapsed="false">
      <c r="A44" s="6" t="s">
        <v>4825</v>
      </c>
      <c r="B44" s="7" t="n">
        <v>45334</v>
      </c>
      <c r="C44" s="6" t="s">
        <v>156</v>
      </c>
      <c r="D44" s="6" t="s">
        <v>230</v>
      </c>
      <c r="E44" s="6" t="s">
        <v>382</v>
      </c>
      <c r="J44" s="6" t="s">
        <v>4826</v>
      </c>
      <c r="K44" s="13" t="n">
        <v>926</v>
      </c>
      <c r="L44" s="13" t="n">
        <v>932</v>
      </c>
      <c r="M44" s="16" t="n">
        <f aca="false">(K44+L44)/2</f>
        <v>929</v>
      </c>
      <c r="O44" s="6" t="s">
        <v>3751</v>
      </c>
      <c r="P44" s="6"/>
      <c r="Q44" s="6"/>
      <c r="R44" s="6" t="s">
        <v>4719</v>
      </c>
      <c r="S44" s="6" t="s">
        <v>154</v>
      </c>
      <c r="T44" s="6" t="s">
        <v>4822</v>
      </c>
      <c r="U44" s="6" t="s">
        <v>4724</v>
      </c>
    </row>
    <row r="45" customFormat="false" ht="15" hidden="false" customHeight="false" outlineLevel="0" collapsed="false">
      <c r="A45" s="6" t="s">
        <v>4827</v>
      </c>
      <c r="B45" s="7" t="n">
        <v>45334</v>
      </c>
      <c r="C45" s="6" t="s">
        <v>156</v>
      </c>
      <c r="D45" s="6" t="s">
        <v>161</v>
      </c>
      <c r="E45" s="6" t="s">
        <v>4820</v>
      </c>
      <c r="J45" s="6" t="s">
        <v>4828</v>
      </c>
      <c r="K45" s="13" t="n">
        <v>56</v>
      </c>
      <c r="L45" s="13" t="n">
        <v>60</v>
      </c>
      <c r="M45" s="16" t="n">
        <f aca="false">(K45+L45)/2</f>
        <v>58</v>
      </c>
      <c r="O45" s="6" t="s">
        <v>3751</v>
      </c>
      <c r="P45" s="6"/>
      <c r="Q45" s="6"/>
      <c r="R45" s="6" t="s">
        <v>4719</v>
      </c>
      <c r="S45" s="6" t="s">
        <v>154</v>
      </c>
      <c r="T45" s="6" t="s">
        <v>4829</v>
      </c>
      <c r="U45" s="6" t="s">
        <v>4731</v>
      </c>
    </row>
    <row r="46" customFormat="false" ht="15" hidden="false" customHeight="false" outlineLevel="0" collapsed="false">
      <c r="A46" s="6" t="s">
        <v>4830</v>
      </c>
      <c r="B46" s="7" t="n">
        <v>45334</v>
      </c>
      <c r="C46" s="6" t="s">
        <v>156</v>
      </c>
      <c r="D46" s="6" t="s">
        <v>161</v>
      </c>
      <c r="E46" s="6" t="s">
        <v>4717</v>
      </c>
      <c r="J46" s="6" t="s">
        <v>4831</v>
      </c>
      <c r="K46" s="13" t="n">
        <v>8</v>
      </c>
      <c r="L46" s="13" t="n">
        <v>12</v>
      </c>
      <c r="M46" s="16" t="n">
        <f aca="false">(K46+L46)/2</f>
        <v>10</v>
      </c>
      <c r="O46" s="6" t="s">
        <v>3751</v>
      </c>
      <c r="P46" s="6"/>
      <c r="Q46" s="6"/>
      <c r="R46" s="6" t="s">
        <v>4719</v>
      </c>
      <c r="S46" s="6" t="s">
        <v>154</v>
      </c>
      <c r="T46" s="6" t="s">
        <v>4829</v>
      </c>
      <c r="U46" s="6" t="s">
        <v>4731</v>
      </c>
    </row>
    <row r="47" customFormat="false" ht="15" hidden="false" customHeight="false" outlineLevel="0" collapsed="false">
      <c r="A47" s="6" t="s">
        <v>4832</v>
      </c>
      <c r="B47" s="7" t="n">
        <v>45334</v>
      </c>
      <c r="C47" s="6" t="s">
        <v>156</v>
      </c>
      <c r="D47" s="6" t="s">
        <v>161</v>
      </c>
      <c r="E47" s="6" t="s">
        <v>382</v>
      </c>
      <c r="J47" s="6" t="s">
        <v>4833</v>
      </c>
      <c r="K47" s="13" t="n">
        <v>207</v>
      </c>
      <c r="L47" s="13" t="n">
        <v>211</v>
      </c>
      <c r="M47" s="16" t="n">
        <f aca="false">(K47+L47)/2</f>
        <v>209</v>
      </c>
      <c r="O47" s="6" t="s">
        <v>3751</v>
      </c>
      <c r="P47" s="6"/>
      <c r="Q47" s="6"/>
      <c r="R47" s="6" t="s">
        <v>4719</v>
      </c>
      <c r="S47" s="6" t="s">
        <v>154</v>
      </c>
      <c r="T47" s="6" t="s">
        <v>4829</v>
      </c>
      <c r="U47" s="6" t="s">
        <v>4731</v>
      </c>
    </row>
    <row r="48" customFormat="false" ht="15" hidden="false" customHeight="false" outlineLevel="0" collapsed="false">
      <c r="A48" s="6" t="s">
        <v>4834</v>
      </c>
      <c r="B48" s="7" t="n">
        <v>45427</v>
      </c>
      <c r="C48" s="6" t="s">
        <v>161</v>
      </c>
      <c r="D48" s="6" t="s">
        <v>230</v>
      </c>
      <c r="E48" s="6" t="s">
        <v>4820</v>
      </c>
      <c r="F48" s="17" t="str">
        <f aca="false">J42</f>
        <v>Free cash flow of $200 million to $206 million and free cash flow margin of approximately 22%.</v>
      </c>
      <c r="G48" s="18" t="n">
        <f aca="false">K42</f>
        <v>200</v>
      </c>
      <c r="H48" s="18" t="n">
        <f aca="false">L42</f>
        <v>206</v>
      </c>
      <c r="I48" s="18" t="n">
        <f aca="false">M42</f>
        <v>203</v>
      </c>
      <c r="J48" s="6" t="s">
        <v>4835</v>
      </c>
      <c r="K48" s="13" t="n">
        <v>238</v>
      </c>
      <c r="L48" s="13" t="n">
        <v>244</v>
      </c>
      <c r="M48" s="16" t="n">
        <f aca="false">(K48+L48)/2</f>
        <v>241</v>
      </c>
      <c r="N48" s="16" t="n">
        <f aca="false">M48-I48</f>
        <v>38</v>
      </c>
      <c r="O48" s="6" t="s">
        <v>3751</v>
      </c>
      <c r="P48" s="6"/>
      <c r="Q48" s="6"/>
      <c r="R48" s="6" t="s">
        <v>4719</v>
      </c>
      <c r="S48" s="6" t="s">
        <v>159</v>
      </c>
      <c r="T48" s="6" t="s">
        <v>4822</v>
      </c>
      <c r="U48" s="6"/>
    </row>
    <row r="49" customFormat="false" ht="15" hidden="false" customHeight="false" outlineLevel="0" collapsed="false">
      <c r="A49" s="6" t="s">
        <v>4836</v>
      </c>
      <c r="B49" s="7" t="n">
        <v>45427</v>
      </c>
      <c r="C49" s="6" t="s">
        <v>161</v>
      </c>
      <c r="D49" s="6" t="s">
        <v>230</v>
      </c>
      <c r="E49" s="6" t="s">
        <v>4717</v>
      </c>
      <c r="F49" s="17" t="str">
        <f aca="false">J43</f>
        <v>Non-GAAP operating income of $58 million to $64 million and operating margin of 6% to 7%.</v>
      </c>
      <c r="G49" s="18" t="n">
        <f aca="false">K43</f>
        <v>58</v>
      </c>
      <c r="H49" s="18" t="n">
        <f aca="false">L43</f>
        <v>64</v>
      </c>
      <c r="I49" s="18" t="n">
        <f aca="false">M43</f>
        <v>61</v>
      </c>
      <c r="J49" s="6" t="s">
        <v>4837</v>
      </c>
      <c r="K49" s="13" t="n">
        <v>77</v>
      </c>
      <c r="L49" s="13" t="n">
        <v>83</v>
      </c>
      <c r="M49" s="16" t="n">
        <f aca="false">(K49+L49)/2</f>
        <v>80</v>
      </c>
      <c r="N49" s="16" t="n">
        <f aca="false">M49-I49</f>
        <v>19</v>
      </c>
      <c r="O49" s="6" t="s">
        <v>3751</v>
      </c>
      <c r="P49" s="6"/>
      <c r="Q49" s="6"/>
      <c r="R49" s="6" t="s">
        <v>4719</v>
      </c>
      <c r="S49" s="6" t="s">
        <v>159</v>
      </c>
      <c r="T49" s="6" t="s">
        <v>4822</v>
      </c>
      <c r="U49" s="6"/>
    </row>
    <row r="50" customFormat="false" ht="15" hidden="false" customHeight="false" outlineLevel="0" collapsed="false">
      <c r="A50" s="6" t="s">
        <v>4838</v>
      </c>
      <c r="B50" s="7" t="n">
        <v>45427</v>
      </c>
      <c r="C50" s="6" t="s">
        <v>161</v>
      </c>
      <c r="D50" s="6" t="s">
        <v>230</v>
      </c>
      <c r="E50" s="6" t="s">
        <v>382</v>
      </c>
      <c r="F50" s="17" t="str">
        <f aca="false">J44</f>
        <v>Total revenue of $926 million to $932 million, representing year-over-year growth of 27% to 28%.</v>
      </c>
      <c r="G50" s="18" t="n">
        <f aca="false">K44</f>
        <v>926</v>
      </c>
      <c r="H50" s="18" t="n">
        <f aca="false">L44</f>
        <v>932</v>
      </c>
      <c r="I50" s="18" t="n">
        <f aca="false">M44</f>
        <v>929</v>
      </c>
      <c r="J50" s="6" t="s">
        <v>4839</v>
      </c>
      <c r="K50" s="13" t="n">
        <v>942</v>
      </c>
      <c r="L50" s="13" t="n">
        <v>948</v>
      </c>
      <c r="M50" s="16" t="n">
        <f aca="false">(K50+L50)/2</f>
        <v>945</v>
      </c>
      <c r="N50" s="16" t="n">
        <f aca="false">M50-I50</f>
        <v>16</v>
      </c>
      <c r="O50" s="6" t="s">
        <v>3751</v>
      </c>
      <c r="P50" s="6"/>
      <c r="Q50" s="6"/>
      <c r="R50" s="6" t="s">
        <v>4719</v>
      </c>
      <c r="S50" s="6" t="s">
        <v>159</v>
      </c>
      <c r="T50" s="6" t="s">
        <v>4822</v>
      </c>
      <c r="U50" s="6"/>
    </row>
    <row r="51" customFormat="false" ht="15" hidden="false" customHeight="false" outlineLevel="0" collapsed="false">
      <c r="A51" s="6" t="s">
        <v>4840</v>
      </c>
      <c r="B51" s="7" t="n">
        <v>45427</v>
      </c>
      <c r="C51" s="6" t="s">
        <v>161</v>
      </c>
      <c r="D51" s="6" t="s">
        <v>166</v>
      </c>
      <c r="E51" s="6" t="s">
        <v>4820</v>
      </c>
      <c r="J51" s="6" t="s">
        <v>4841</v>
      </c>
      <c r="K51" s="13" t="n">
        <v>47</v>
      </c>
      <c r="L51" s="13" t="n">
        <v>51</v>
      </c>
      <c r="M51" s="16" t="n">
        <f aca="false">(K51+L51)/2</f>
        <v>49</v>
      </c>
      <c r="O51" s="6" t="s">
        <v>3751</v>
      </c>
      <c r="P51" s="6"/>
      <c r="Q51" s="6"/>
      <c r="R51" s="6" t="s">
        <v>4719</v>
      </c>
      <c r="S51" s="6" t="s">
        <v>159</v>
      </c>
      <c r="T51" s="6" t="s">
        <v>4842</v>
      </c>
      <c r="U51" s="6" t="s">
        <v>4731</v>
      </c>
    </row>
    <row r="52" customFormat="false" ht="15" hidden="false" customHeight="false" outlineLevel="0" collapsed="false">
      <c r="A52" s="6" t="s">
        <v>4843</v>
      </c>
      <c r="B52" s="7" t="n">
        <v>45427</v>
      </c>
      <c r="C52" s="6" t="s">
        <v>161</v>
      </c>
      <c r="D52" s="6" t="s">
        <v>166</v>
      </c>
      <c r="E52" s="6" t="s">
        <v>4717</v>
      </c>
      <c r="J52" s="6" t="s">
        <v>4844</v>
      </c>
      <c r="K52" s="13" t="n">
        <v>17</v>
      </c>
      <c r="L52" s="13" t="n">
        <v>21</v>
      </c>
      <c r="M52" s="16" t="n">
        <f aca="false">(K52+L52)/2</f>
        <v>19</v>
      </c>
      <c r="O52" s="6" t="s">
        <v>3751</v>
      </c>
      <c r="P52" s="6"/>
      <c r="Q52" s="6"/>
      <c r="R52" s="6" t="s">
        <v>4719</v>
      </c>
      <c r="S52" s="6" t="s">
        <v>159</v>
      </c>
      <c r="T52" s="6" t="s">
        <v>4842</v>
      </c>
      <c r="U52" s="6" t="s">
        <v>4731</v>
      </c>
    </row>
    <row r="53" customFormat="false" ht="15" hidden="false" customHeight="false" outlineLevel="0" collapsed="false">
      <c r="A53" s="6" t="s">
        <v>4845</v>
      </c>
      <c r="B53" s="7" t="n">
        <v>45427</v>
      </c>
      <c r="C53" s="6" t="s">
        <v>161</v>
      </c>
      <c r="D53" s="6" t="s">
        <v>166</v>
      </c>
      <c r="E53" s="6" t="s">
        <v>382</v>
      </c>
      <c r="J53" s="6" t="s">
        <v>4846</v>
      </c>
      <c r="K53" s="13" t="n">
        <v>226</v>
      </c>
      <c r="L53" s="13" t="n">
        <v>230</v>
      </c>
      <c r="M53" s="16" t="n">
        <f aca="false">(K53+L53)/2</f>
        <v>228</v>
      </c>
      <c r="O53" s="6" t="s">
        <v>3751</v>
      </c>
      <c r="P53" s="6"/>
      <c r="Q53" s="6"/>
      <c r="R53" s="6" t="s">
        <v>4719</v>
      </c>
      <c r="S53" s="6" t="s">
        <v>159</v>
      </c>
      <c r="T53" s="6" t="s">
        <v>4842</v>
      </c>
      <c r="U53" s="6" t="s">
        <v>4731</v>
      </c>
    </row>
    <row r="54" customFormat="false" ht="15" hidden="false" customHeight="false" outlineLevel="0" collapsed="false">
      <c r="A54" s="6" t="s">
        <v>4847</v>
      </c>
      <c r="B54" s="7" t="n">
        <v>45516</v>
      </c>
      <c r="C54" s="6" t="s">
        <v>166</v>
      </c>
      <c r="D54" s="6" t="s">
        <v>230</v>
      </c>
      <c r="E54" s="6" t="s">
        <v>4820</v>
      </c>
      <c r="F54" s="17" t="str">
        <f aca="false">J48</f>
        <v>Free cash flow of $238 million to $244 million and free cash flow margin of 25% to 26%.</v>
      </c>
      <c r="G54" s="18" t="n">
        <f aca="false">K48</f>
        <v>238</v>
      </c>
      <c r="H54" s="18" t="n">
        <f aca="false">L48</f>
        <v>244</v>
      </c>
      <c r="I54" s="18" t="n">
        <f aca="false">M48</f>
        <v>241</v>
      </c>
      <c r="J54" s="6" t="s">
        <v>4848</v>
      </c>
      <c r="K54" s="13" t="n">
        <v>270</v>
      </c>
      <c r="L54" s="13" t="n">
        <v>275</v>
      </c>
      <c r="M54" s="16" t="n">
        <f aca="false">(K54+L54)/2</f>
        <v>272.5</v>
      </c>
      <c r="N54" s="16" t="n">
        <f aca="false">M54-I54</f>
        <v>31.5</v>
      </c>
      <c r="O54" s="6" t="s">
        <v>3751</v>
      </c>
      <c r="P54" s="6"/>
      <c r="Q54" s="6"/>
      <c r="R54" s="6" t="s">
        <v>4719</v>
      </c>
      <c r="S54" s="6" t="s">
        <v>164</v>
      </c>
      <c r="T54" s="6" t="s">
        <v>4822</v>
      </c>
      <c r="U54" s="6"/>
    </row>
    <row r="55" customFormat="false" ht="15" hidden="false" customHeight="false" outlineLevel="0" collapsed="false">
      <c r="A55" s="6" t="s">
        <v>4849</v>
      </c>
      <c r="B55" s="7" t="n">
        <v>45516</v>
      </c>
      <c r="C55" s="6" t="s">
        <v>166</v>
      </c>
      <c r="D55" s="6" t="s">
        <v>230</v>
      </c>
      <c r="E55" s="6" t="s">
        <v>4717</v>
      </c>
      <c r="F55" s="17" t="str">
        <f aca="false">J49</f>
        <v>Non-GAAP operating income of $77 million to $83 million and operating margin of 8% to 9%.</v>
      </c>
      <c r="G55" s="18" t="n">
        <f aca="false">K49</f>
        <v>77</v>
      </c>
      <c r="H55" s="18" t="n">
        <f aca="false">L49</f>
        <v>83</v>
      </c>
      <c r="I55" s="18" t="n">
        <f aca="false">M49</f>
        <v>80</v>
      </c>
      <c r="J55" s="6" t="s">
        <v>4850</v>
      </c>
      <c r="K55" s="13" t="n">
        <v>100</v>
      </c>
      <c r="L55" s="13" t="n">
        <v>105</v>
      </c>
      <c r="M55" s="16" t="n">
        <f aca="false">(K55+L55)/2</f>
        <v>102.5</v>
      </c>
      <c r="N55" s="16" t="n">
        <f aca="false">M55-I55</f>
        <v>22.5</v>
      </c>
      <c r="O55" s="6" t="s">
        <v>3751</v>
      </c>
      <c r="P55" s="6"/>
      <c r="Q55" s="6"/>
      <c r="R55" s="6" t="s">
        <v>4719</v>
      </c>
      <c r="S55" s="6" t="s">
        <v>164</v>
      </c>
      <c r="T55" s="6" t="s">
        <v>4822</v>
      </c>
      <c r="U55" s="6"/>
    </row>
    <row r="56" customFormat="false" ht="15" hidden="false" customHeight="false" outlineLevel="0" collapsed="false">
      <c r="A56" s="6" t="s">
        <v>4851</v>
      </c>
      <c r="B56" s="7" t="n">
        <v>45516</v>
      </c>
      <c r="C56" s="6" t="s">
        <v>166</v>
      </c>
      <c r="D56" s="6" t="s">
        <v>230</v>
      </c>
      <c r="E56" s="6" t="s">
        <v>382</v>
      </c>
      <c r="F56" s="17" t="str">
        <f aca="false">J50</f>
        <v>Total revenue of $942 million to $948 million, representing year-over-year growth of 29% to 30%.</v>
      </c>
      <c r="G56" s="18" t="n">
        <f aca="false">K50</f>
        <v>942</v>
      </c>
      <c r="H56" s="18" t="n">
        <f aca="false">L50</f>
        <v>948</v>
      </c>
      <c r="I56" s="18" t="n">
        <f aca="false">M50</f>
        <v>945</v>
      </c>
      <c r="J56" s="6" t="s">
        <v>4852</v>
      </c>
      <c r="K56" s="13" t="n">
        <v>956</v>
      </c>
      <c r="L56" s="13" t="n">
        <v>961</v>
      </c>
      <c r="M56" s="16" t="n">
        <f aca="false">(K56+L56)/2</f>
        <v>958.5</v>
      </c>
      <c r="N56" s="16" t="n">
        <f aca="false">M56-I56</f>
        <v>13.5</v>
      </c>
      <c r="O56" s="6" t="s">
        <v>3751</v>
      </c>
      <c r="P56" s="6"/>
      <c r="Q56" s="6"/>
      <c r="R56" s="6" t="s">
        <v>4719</v>
      </c>
      <c r="S56" s="6" t="s">
        <v>164</v>
      </c>
      <c r="T56" s="6" t="s">
        <v>4822</v>
      </c>
      <c r="U56" s="6"/>
    </row>
    <row r="57" customFormat="false" ht="15" hidden="false" customHeight="false" outlineLevel="0" collapsed="false">
      <c r="A57" s="6" t="s">
        <v>4853</v>
      </c>
      <c r="B57" s="7" t="n">
        <v>45516</v>
      </c>
      <c r="C57" s="6" t="s">
        <v>166</v>
      </c>
      <c r="D57" s="6" t="s">
        <v>171</v>
      </c>
      <c r="E57" s="6" t="s">
        <v>4820</v>
      </c>
      <c r="J57" s="6" t="s">
        <v>4854</v>
      </c>
      <c r="K57" s="13" t="n">
        <v>70</v>
      </c>
      <c r="L57" s="13" t="n">
        <v>74</v>
      </c>
      <c r="M57" s="16" t="n">
        <f aca="false">(K57+L57)/2</f>
        <v>72</v>
      </c>
      <c r="O57" s="6" t="s">
        <v>3751</v>
      </c>
      <c r="P57" s="6"/>
      <c r="Q57" s="6"/>
      <c r="R57" s="6" t="s">
        <v>4719</v>
      </c>
      <c r="S57" s="6" t="s">
        <v>164</v>
      </c>
      <c r="T57" s="6" t="s">
        <v>4855</v>
      </c>
      <c r="U57" s="6" t="s">
        <v>4731</v>
      </c>
    </row>
    <row r="58" customFormat="false" ht="15" hidden="false" customHeight="false" outlineLevel="0" collapsed="false">
      <c r="A58" s="6" t="s">
        <v>4856</v>
      </c>
      <c r="B58" s="7" t="n">
        <v>45516</v>
      </c>
      <c r="C58" s="6" t="s">
        <v>166</v>
      </c>
      <c r="D58" s="6" t="s">
        <v>171</v>
      </c>
      <c r="E58" s="6" t="s">
        <v>4717</v>
      </c>
      <c r="J58" s="6" t="s">
        <v>4857</v>
      </c>
      <c r="K58" s="13" t="n">
        <v>19</v>
      </c>
      <c r="L58" s="13" t="n">
        <v>23</v>
      </c>
      <c r="M58" s="16" t="n">
        <f aca="false">(K58+L58)/2</f>
        <v>21</v>
      </c>
      <c r="O58" s="6" t="s">
        <v>3751</v>
      </c>
      <c r="P58" s="6"/>
      <c r="Q58" s="6"/>
      <c r="R58" s="6" t="s">
        <v>4719</v>
      </c>
      <c r="S58" s="6" t="s">
        <v>164</v>
      </c>
      <c r="T58" s="6" t="s">
        <v>4855</v>
      </c>
      <c r="U58" s="6" t="s">
        <v>4731</v>
      </c>
    </row>
    <row r="59" customFormat="false" ht="15" hidden="false" customHeight="false" outlineLevel="0" collapsed="false">
      <c r="A59" s="6" t="s">
        <v>4858</v>
      </c>
      <c r="B59" s="7" t="n">
        <v>45516</v>
      </c>
      <c r="C59" s="6" t="s">
        <v>166</v>
      </c>
      <c r="D59" s="6" t="s">
        <v>171</v>
      </c>
      <c r="E59" s="6" t="s">
        <v>382</v>
      </c>
      <c r="J59" s="6" t="s">
        <v>4859</v>
      </c>
      <c r="K59" s="13" t="n">
        <v>243</v>
      </c>
      <c r="L59" s="13" t="n">
        <v>247</v>
      </c>
      <c r="M59" s="16" t="n">
        <f aca="false">(K59+L59)/2</f>
        <v>245</v>
      </c>
      <c r="O59" s="6" t="s">
        <v>3751</v>
      </c>
      <c r="P59" s="6"/>
      <c r="Q59" s="6"/>
      <c r="R59" s="6" t="s">
        <v>4719</v>
      </c>
      <c r="S59" s="6" t="s">
        <v>164</v>
      </c>
      <c r="T59" s="6" t="s">
        <v>4855</v>
      </c>
      <c r="U59" s="6" t="s">
        <v>4731</v>
      </c>
    </row>
    <row r="60" customFormat="false" ht="15" hidden="false" customHeight="false" outlineLevel="0" collapsed="false">
      <c r="A60" s="6" t="s">
        <v>4860</v>
      </c>
      <c r="B60" s="7" t="n">
        <v>45608</v>
      </c>
      <c r="C60" s="6" t="s">
        <v>171</v>
      </c>
      <c r="D60" s="6" t="s">
        <v>230</v>
      </c>
      <c r="E60" s="6" t="s">
        <v>4820</v>
      </c>
      <c r="F60" s="17" t="str">
        <f aca="false">J54</f>
        <v>Free cash flow of $270 million to $275 million and free cash flow margin of 28% to 29%.</v>
      </c>
      <c r="G60" s="18" t="n">
        <f aca="false">K54</f>
        <v>270</v>
      </c>
      <c r="H60" s="18" t="n">
        <f aca="false">L54</f>
        <v>275</v>
      </c>
      <c r="I60" s="18" t="n">
        <f aca="false">M54</f>
        <v>272.5</v>
      </c>
      <c r="J60" s="6" t="s">
        <v>4861</v>
      </c>
      <c r="K60" s="13" t="n">
        <v>286</v>
      </c>
      <c r="L60" s="13" t="n">
        <v>289</v>
      </c>
      <c r="M60" s="16" t="n">
        <f aca="false">(K60+L60)/2</f>
        <v>287.5</v>
      </c>
      <c r="N60" s="16" t="n">
        <f aca="false">M60-I60</f>
        <v>15</v>
      </c>
      <c r="O60" s="6" t="s">
        <v>3751</v>
      </c>
      <c r="P60" s="6"/>
      <c r="Q60" s="6"/>
      <c r="R60" s="6" t="s">
        <v>4719</v>
      </c>
      <c r="S60" s="6" t="s">
        <v>169</v>
      </c>
      <c r="T60" s="6" t="s">
        <v>4822</v>
      </c>
      <c r="U60" s="6"/>
    </row>
    <row r="61" customFormat="false" ht="15" hidden="false" customHeight="false" outlineLevel="0" collapsed="false">
      <c r="A61" s="6" t="s">
        <v>4862</v>
      </c>
      <c r="B61" s="7" t="n">
        <v>45608</v>
      </c>
      <c r="C61" s="6" t="s">
        <v>171</v>
      </c>
      <c r="D61" s="6" t="s">
        <v>230</v>
      </c>
      <c r="E61" s="6" t="s">
        <v>4717</v>
      </c>
      <c r="F61" s="17" t="str">
        <f aca="false">J55</f>
        <v>Non-GAAP operating income of $100 million to $105 million and operating margin of 10% to 11%.</v>
      </c>
      <c r="G61" s="18" t="n">
        <f aca="false">K55</f>
        <v>100</v>
      </c>
      <c r="H61" s="18" t="n">
        <f aca="false">L55</f>
        <v>105</v>
      </c>
      <c r="I61" s="18" t="n">
        <f aca="false">M55</f>
        <v>102.5</v>
      </c>
      <c r="J61" s="6" t="s">
        <v>4863</v>
      </c>
      <c r="K61" s="13" t="n">
        <v>121</v>
      </c>
      <c r="L61" s="13" t="n">
        <v>123</v>
      </c>
      <c r="M61" s="16" t="n">
        <f aca="false">(K61+L61)/2</f>
        <v>122</v>
      </c>
      <c r="N61" s="16" t="n">
        <f aca="false">M61-I61</f>
        <v>19.5</v>
      </c>
      <c r="O61" s="6" t="s">
        <v>3751</v>
      </c>
      <c r="P61" s="6"/>
      <c r="Q61" s="6"/>
      <c r="R61" s="6" t="s">
        <v>4719</v>
      </c>
      <c r="S61" s="6" t="s">
        <v>169</v>
      </c>
      <c r="T61" s="6" t="s">
        <v>4822</v>
      </c>
      <c r="U61" s="6"/>
    </row>
    <row r="62" customFormat="false" ht="15" hidden="false" customHeight="false" outlineLevel="0" collapsed="false">
      <c r="A62" s="6" t="s">
        <v>4864</v>
      </c>
      <c r="B62" s="7" t="n">
        <v>45608</v>
      </c>
      <c r="C62" s="6" t="s">
        <v>171</v>
      </c>
      <c r="D62" s="6" t="s">
        <v>230</v>
      </c>
      <c r="E62" s="6" t="s">
        <v>382</v>
      </c>
      <c r="F62" s="17" t="str">
        <f aca="false">J56</f>
        <v>Total revenue of $956 million to $961 million, representing year-over-year growth of 31% to 32%.</v>
      </c>
      <c r="G62" s="18" t="n">
        <f aca="false">K56</f>
        <v>956</v>
      </c>
      <c r="H62" s="18" t="n">
        <f aca="false">L56</f>
        <v>961</v>
      </c>
      <c r="I62" s="18" t="n">
        <f aca="false">M56</f>
        <v>958.5</v>
      </c>
      <c r="J62" s="6" t="s">
        <v>4865</v>
      </c>
      <c r="K62" s="13" t="n">
        <v>964</v>
      </c>
      <c r="L62" s="13" t="n">
        <v>966</v>
      </c>
      <c r="M62" s="16" t="n">
        <f aca="false">(K62+L62)/2</f>
        <v>965</v>
      </c>
      <c r="N62" s="16" t="n">
        <f aca="false">M62-I62</f>
        <v>6.5</v>
      </c>
      <c r="O62" s="6" t="s">
        <v>3751</v>
      </c>
      <c r="P62" s="6"/>
      <c r="Q62" s="6"/>
      <c r="R62" s="6" t="s">
        <v>4719</v>
      </c>
      <c r="S62" s="6" t="s">
        <v>169</v>
      </c>
      <c r="T62" s="6" t="s">
        <v>4822</v>
      </c>
      <c r="U62" s="6"/>
    </row>
    <row r="63" customFormat="false" ht="15" hidden="false" customHeight="false" outlineLevel="0" collapsed="false">
      <c r="A63" s="6" t="s">
        <v>4866</v>
      </c>
      <c r="B63" s="7" t="n">
        <v>45608</v>
      </c>
      <c r="C63" s="6" t="s">
        <v>171</v>
      </c>
      <c r="D63" s="6" t="s">
        <v>176</v>
      </c>
      <c r="E63" s="6" t="s">
        <v>4820</v>
      </c>
      <c r="J63" s="6" t="s">
        <v>4867</v>
      </c>
      <c r="K63" s="13" t="n">
        <v>63</v>
      </c>
      <c r="L63" s="13" t="n">
        <v>66</v>
      </c>
      <c r="M63" s="16" t="n">
        <f aca="false">(K63+L63)/2</f>
        <v>64.5</v>
      </c>
      <c r="O63" s="6" t="s">
        <v>3751</v>
      </c>
      <c r="P63" s="6"/>
      <c r="Q63" s="6"/>
      <c r="R63" s="6" t="s">
        <v>4719</v>
      </c>
      <c r="S63" s="6" t="s">
        <v>169</v>
      </c>
      <c r="T63" s="6" t="s">
        <v>4868</v>
      </c>
      <c r="U63" s="6" t="s">
        <v>4731</v>
      </c>
    </row>
    <row r="64" customFormat="false" ht="15" hidden="false" customHeight="false" outlineLevel="0" collapsed="false">
      <c r="A64" s="6" t="s">
        <v>4869</v>
      </c>
      <c r="B64" s="7" t="n">
        <v>45608</v>
      </c>
      <c r="C64" s="6" t="s">
        <v>171</v>
      </c>
      <c r="D64" s="6" t="s">
        <v>176</v>
      </c>
      <c r="E64" s="6" t="s">
        <v>4717</v>
      </c>
      <c r="J64" s="6" t="s">
        <v>4870</v>
      </c>
      <c r="K64" s="13" t="n">
        <v>29</v>
      </c>
      <c r="L64" s="13" t="n">
        <v>31</v>
      </c>
      <c r="M64" s="16" t="n">
        <f aca="false">(K64+L64)/2</f>
        <v>30</v>
      </c>
      <c r="O64" s="6" t="s">
        <v>3751</v>
      </c>
      <c r="P64" s="6"/>
      <c r="Q64" s="6"/>
      <c r="R64" s="6" t="s">
        <v>4719</v>
      </c>
      <c r="S64" s="6" t="s">
        <v>169</v>
      </c>
      <c r="T64" s="6" t="s">
        <v>4868</v>
      </c>
      <c r="U64" s="6" t="s">
        <v>4731</v>
      </c>
    </row>
    <row r="65" customFormat="false" ht="15" hidden="false" customHeight="false" outlineLevel="0" collapsed="false">
      <c r="A65" s="6" t="s">
        <v>4871</v>
      </c>
      <c r="B65" s="7" t="n">
        <v>45608</v>
      </c>
      <c r="C65" s="6" t="s">
        <v>171</v>
      </c>
      <c r="D65" s="6" t="s">
        <v>176</v>
      </c>
      <c r="E65" s="6" t="s">
        <v>382</v>
      </c>
      <c r="J65" s="6" t="s">
        <v>4872</v>
      </c>
      <c r="K65" s="13" t="n">
        <v>260</v>
      </c>
      <c r="L65" s="13" t="n">
        <v>262</v>
      </c>
      <c r="M65" s="16" t="n">
        <f aca="false">(K65+L65)/2</f>
        <v>261</v>
      </c>
      <c r="O65" s="6" t="s">
        <v>3751</v>
      </c>
      <c r="P65" s="6"/>
      <c r="Q65" s="6"/>
      <c r="R65" s="6" t="s">
        <v>4719</v>
      </c>
      <c r="S65" s="6" t="s">
        <v>169</v>
      </c>
      <c r="T65" s="6" t="s">
        <v>4868</v>
      </c>
      <c r="U65" s="6" t="s">
        <v>4731</v>
      </c>
    </row>
    <row r="66" customFormat="false" ht="15" hidden="false" customHeight="false" outlineLevel="0" collapsed="false">
      <c r="A66" s="6" t="s">
        <v>4873</v>
      </c>
      <c r="B66" s="7" t="n">
        <v>45698</v>
      </c>
      <c r="C66" s="6" t="s">
        <v>176</v>
      </c>
      <c r="D66" s="6" t="s">
        <v>235</v>
      </c>
      <c r="E66" s="6" t="s">
        <v>4820</v>
      </c>
      <c r="J66" s="6" t="s">
        <v>4874</v>
      </c>
      <c r="K66" s="13" t="n">
        <v>300</v>
      </c>
      <c r="L66" s="13" t="n">
        <v>308</v>
      </c>
      <c r="M66" s="16" t="n">
        <f aca="false">(K66+L66)/2</f>
        <v>304</v>
      </c>
      <c r="O66" s="6" t="s">
        <v>3751</v>
      </c>
      <c r="P66" s="6"/>
      <c r="Q66" s="6"/>
      <c r="R66" s="6" t="s">
        <v>4719</v>
      </c>
      <c r="S66" s="6" t="s">
        <v>174</v>
      </c>
      <c r="T66" s="6" t="s">
        <v>4875</v>
      </c>
      <c r="U66" s="6" t="s">
        <v>4724</v>
      </c>
    </row>
    <row r="67" customFormat="false" ht="15" hidden="false" customHeight="false" outlineLevel="0" collapsed="false">
      <c r="A67" s="6" t="s">
        <v>4876</v>
      </c>
      <c r="B67" s="7" t="n">
        <v>45698</v>
      </c>
      <c r="C67" s="6" t="s">
        <v>176</v>
      </c>
      <c r="D67" s="6" t="s">
        <v>235</v>
      </c>
      <c r="E67" s="6" t="s">
        <v>4717</v>
      </c>
      <c r="J67" s="6" t="s">
        <v>4877</v>
      </c>
      <c r="K67" s="13" t="n">
        <v>134</v>
      </c>
      <c r="L67" s="13" t="n">
        <v>142</v>
      </c>
      <c r="M67" s="16" t="n">
        <f aca="false">(K67+L67)/2</f>
        <v>138</v>
      </c>
      <c r="O67" s="6" t="s">
        <v>3751</v>
      </c>
      <c r="P67" s="6"/>
      <c r="Q67" s="6"/>
      <c r="R67" s="6" t="s">
        <v>4719</v>
      </c>
      <c r="S67" s="6" t="s">
        <v>174</v>
      </c>
      <c r="T67" s="6" t="s">
        <v>4875</v>
      </c>
      <c r="U67" s="6" t="s">
        <v>4724</v>
      </c>
    </row>
    <row r="68" customFormat="false" ht="15" hidden="false" customHeight="false" outlineLevel="0" collapsed="false">
      <c r="A68" s="6" t="s">
        <v>4878</v>
      </c>
      <c r="B68" s="7" t="n">
        <v>45698</v>
      </c>
      <c r="C68" s="6" t="s">
        <v>176</v>
      </c>
      <c r="D68" s="6" t="s">
        <v>235</v>
      </c>
      <c r="E68" s="6" t="s">
        <v>382</v>
      </c>
      <c r="J68" s="6" t="s">
        <v>4879</v>
      </c>
      <c r="K68" s="13" t="n">
        <v>1208</v>
      </c>
      <c r="L68" s="13" t="n">
        <v>1221</v>
      </c>
      <c r="M68" s="16" t="n">
        <f aca="false">(K68+L68)/2</f>
        <v>1214.5</v>
      </c>
      <c r="O68" s="6" t="s">
        <v>3751</v>
      </c>
      <c r="P68" s="6"/>
      <c r="Q68" s="6" t="s">
        <v>4880</v>
      </c>
      <c r="R68" s="6" t="s">
        <v>4719</v>
      </c>
      <c r="S68" s="6" t="s">
        <v>174</v>
      </c>
      <c r="T68" s="6" t="s">
        <v>4875</v>
      </c>
      <c r="U68" s="6" t="s">
        <v>4724</v>
      </c>
    </row>
    <row r="69" customFormat="false" ht="15" hidden="false" customHeight="false" outlineLevel="0" collapsed="false">
      <c r="A69" s="6" t="s">
        <v>4881</v>
      </c>
      <c r="B69" s="7" t="n">
        <v>45698</v>
      </c>
      <c r="C69" s="6" t="s">
        <v>176</v>
      </c>
      <c r="D69" s="6" t="s">
        <v>181</v>
      </c>
      <c r="E69" s="6" t="s">
        <v>4717</v>
      </c>
      <c r="J69" s="6" t="s">
        <v>4882</v>
      </c>
      <c r="K69" s="13" t="n">
        <v>25</v>
      </c>
      <c r="L69" s="13" t="n">
        <v>27</v>
      </c>
      <c r="M69" s="16" t="n">
        <f aca="false">(K69+L69)/2</f>
        <v>26</v>
      </c>
      <c r="O69" s="6" t="s">
        <v>3751</v>
      </c>
      <c r="P69" s="6"/>
      <c r="Q69" s="6"/>
      <c r="R69" s="6" t="s">
        <v>4719</v>
      </c>
      <c r="S69" s="6" t="s">
        <v>174</v>
      </c>
      <c r="T69" s="6" t="s">
        <v>4883</v>
      </c>
      <c r="U69" s="6" t="s">
        <v>4731</v>
      </c>
    </row>
    <row r="70" customFormat="false" ht="15" hidden="false" customHeight="false" outlineLevel="0" collapsed="false">
      <c r="A70" s="6" t="s">
        <v>4884</v>
      </c>
      <c r="B70" s="7" t="n">
        <v>45698</v>
      </c>
      <c r="C70" s="6" t="s">
        <v>176</v>
      </c>
      <c r="D70" s="6" t="s">
        <v>181</v>
      </c>
      <c r="E70" s="6" t="s">
        <v>382</v>
      </c>
      <c r="J70" s="6" t="s">
        <v>4885</v>
      </c>
      <c r="K70" s="13" t="n">
        <v>274</v>
      </c>
      <c r="L70" s="13" t="n">
        <v>276</v>
      </c>
      <c r="M70" s="16" t="n">
        <f aca="false">(K70+L70)/2</f>
        <v>275</v>
      </c>
      <c r="O70" s="6" t="s">
        <v>3751</v>
      </c>
      <c r="P70" s="6"/>
      <c r="Q70" s="6"/>
      <c r="R70" s="6" t="s">
        <v>4719</v>
      </c>
      <c r="S70" s="6" t="s">
        <v>174</v>
      </c>
      <c r="T70" s="6" t="s">
        <v>4883</v>
      </c>
      <c r="U70" s="6" t="s">
        <v>4731</v>
      </c>
    </row>
    <row r="71" customFormat="false" ht="15" hidden="false" customHeight="false" outlineLevel="0" collapsed="false">
      <c r="A71" s="6" t="s">
        <v>4886</v>
      </c>
      <c r="B71" s="7" t="n">
        <v>45789</v>
      </c>
      <c r="C71" s="6" t="s">
        <v>181</v>
      </c>
      <c r="D71" s="6" t="s">
        <v>235</v>
      </c>
      <c r="E71" s="6" t="s">
        <v>4887</v>
      </c>
      <c r="F71" s="17" t="str">
        <f aca="false">J66</f>
        <v>Free cash flow of $300 million to $308 million and free cash flow margin of approximately 25%.</v>
      </c>
      <c r="G71" s="18" t="n">
        <f aca="false">K66</f>
        <v>300</v>
      </c>
      <c r="H71" s="18" t="n">
        <f aca="false">L66</f>
        <v>308</v>
      </c>
      <c r="I71" s="18" t="n">
        <f aca="false">M66</f>
        <v>304</v>
      </c>
      <c r="J71" s="6" t="s">
        <v>4888</v>
      </c>
      <c r="K71" s="13" t="n">
        <v>310</v>
      </c>
      <c r="L71" s="13" t="n">
        <v>316</v>
      </c>
      <c r="M71" s="16" t="n">
        <f aca="false">(K71+L71)/2</f>
        <v>313</v>
      </c>
      <c r="N71" s="16" t="n">
        <f aca="false">M71-I71</f>
        <v>9</v>
      </c>
      <c r="O71" s="6" t="s">
        <v>3751</v>
      </c>
      <c r="P71" s="6"/>
      <c r="Q71" s="6"/>
      <c r="R71" s="6" t="s">
        <v>4719</v>
      </c>
      <c r="S71" s="6" t="s">
        <v>179</v>
      </c>
      <c r="T71" s="6" t="s">
        <v>4875</v>
      </c>
      <c r="U71" s="6" t="s">
        <v>4889</v>
      </c>
    </row>
    <row r="72" customFormat="false" ht="15" hidden="false" customHeight="false" outlineLevel="0" collapsed="false">
      <c r="A72" s="6" t="s">
        <v>4890</v>
      </c>
      <c r="B72" s="7" t="n">
        <v>45789</v>
      </c>
      <c r="C72" s="6" t="s">
        <v>181</v>
      </c>
      <c r="D72" s="6" t="s">
        <v>235</v>
      </c>
      <c r="E72" s="6" t="s">
        <v>4717</v>
      </c>
      <c r="F72" s="17" t="str">
        <f aca="false">J67</f>
        <v>Non-GAAP operating income of $134 million to $142 million and operating margin of 11% to 12%.</v>
      </c>
      <c r="G72" s="18" t="n">
        <f aca="false">K67</f>
        <v>134</v>
      </c>
      <c r="H72" s="18" t="n">
        <f aca="false">L67</f>
        <v>142</v>
      </c>
      <c r="I72" s="18" t="n">
        <f aca="false">M67</f>
        <v>138</v>
      </c>
      <c r="J72" s="6" t="s">
        <v>4891</v>
      </c>
      <c r="K72" s="13" t="n">
        <v>144</v>
      </c>
      <c r="L72" s="13" t="n">
        <v>150</v>
      </c>
      <c r="M72" s="16" t="n">
        <f aca="false">(K72+L72)/2</f>
        <v>147</v>
      </c>
      <c r="N72" s="16" t="n">
        <f aca="false">M72-I72</f>
        <v>9</v>
      </c>
      <c r="O72" s="6" t="s">
        <v>3751</v>
      </c>
      <c r="P72" s="6"/>
      <c r="Q72" s="6"/>
      <c r="R72" s="6" t="s">
        <v>4719</v>
      </c>
      <c r="S72" s="6" t="s">
        <v>179</v>
      </c>
      <c r="T72" s="6" t="s">
        <v>4875</v>
      </c>
      <c r="U72" s="6"/>
    </row>
    <row r="73" customFormat="false" ht="15" hidden="false" customHeight="false" outlineLevel="0" collapsed="false">
      <c r="A73" s="6" t="s">
        <v>4892</v>
      </c>
      <c r="B73" s="7" t="n">
        <v>45789</v>
      </c>
      <c r="C73" s="6" t="s">
        <v>181</v>
      </c>
      <c r="D73" s="6" t="s">
        <v>235</v>
      </c>
      <c r="E73" s="6" t="s">
        <v>382</v>
      </c>
      <c r="F73" s="17" t="str">
        <f aca="false">J68</f>
        <v>Total revenue of $1,208 million to $1,221 million, representing year-over-year growth of 24% to 26%, and assumes a negative FX impact of 100 to 200 basis points.</v>
      </c>
      <c r="G73" s="18" t="n">
        <f aca="false">K68</f>
        <v>1208</v>
      </c>
      <c r="H73" s="18" t="n">
        <f aca="false">L68</f>
        <v>1221</v>
      </c>
      <c r="I73" s="18" t="n">
        <f aca="false">M68</f>
        <v>1214.5</v>
      </c>
      <c r="J73" s="6" t="s">
        <v>4893</v>
      </c>
      <c r="K73" s="13" t="n">
        <v>1220</v>
      </c>
      <c r="L73" s="13" t="n">
        <v>1226</v>
      </c>
      <c r="M73" s="16" t="n">
        <f aca="false">(K73+L73)/2</f>
        <v>1223</v>
      </c>
      <c r="N73" s="16" t="n">
        <f aca="false">M73-I73</f>
        <v>8.5</v>
      </c>
      <c r="O73" s="6" t="s">
        <v>3751</v>
      </c>
      <c r="P73" s="6"/>
      <c r="Q73" s="6"/>
      <c r="R73" s="6" t="s">
        <v>4719</v>
      </c>
      <c r="S73" s="6" t="s">
        <v>179</v>
      </c>
      <c r="T73" s="6" t="s">
        <v>4875</v>
      </c>
      <c r="U73" s="6"/>
    </row>
    <row r="74" customFormat="false" ht="15" hidden="false" customHeight="false" outlineLevel="0" collapsed="false">
      <c r="A74" s="6" t="s">
        <v>4894</v>
      </c>
      <c r="B74" s="7" t="n">
        <v>45789</v>
      </c>
      <c r="C74" s="6" t="s">
        <v>181</v>
      </c>
      <c r="D74" s="6" t="s">
        <v>186</v>
      </c>
      <c r="E74" s="6" t="s">
        <v>4717</v>
      </c>
      <c r="J74" s="6" t="s">
        <v>4895</v>
      </c>
      <c r="K74" s="13" t="n">
        <v>32</v>
      </c>
      <c r="L74" s="13" t="n">
        <v>34</v>
      </c>
      <c r="M74" s="16" t="n">
        <f aca="false">(K74+L74)/2</f>
        <v>33</v>
      </c>
      <c r="O74" s="6" t="s">
        <v>3751</v>
      </c>
      <c r="P74" s="6"/>
      <c r="Q74" s="6"/>
      <c r="R74" s="6" t="s">
        <v>4719</v>
      </c>
      <c r="S74" s="6" t="s">
        <v>179</v>
      </c>
      <c r="T74" s="6" t="s">
        <v>4896</v>
      </c>
      <c r="U74" s="6" t="s">
        <v>4731</v>
      </c>
    </row>
    <row r="75" customFormat="false" ht="15" hidden="false" customHeight="false" outlineLevel="0" collapsed="false">
      <c r="A75" s="6" t="s">
        <v>4897</v>
      </c>
      <c r="B75" s="7" t="n">
        <v>45789</v>
      </c>
      <c r="C75" s="6" t="s">
        <v>181</v>
      </c>
      <c r="D75" s="6" t="s">
        <v>186</v>
      </c>
      <c r="E75" s="6" t="s">
        <v>382</v>
      </c>
      <c r="J75" s="6" t="s">
        <v>4898</v>
      </c>
      <c r="K75" s="13" t="n">
        <v>292</v>
      </c>
      <c r="L75" s="13" t="n">
        <v>294</v>
      </c>
      <c r="M75" s="16" t="n">
        <f aca="false">(K75+L75)/2</f>
        <v>293</v>
      </c>
      <c r="O75" s="6" t="s">
        <v>3751</v>
      </c>
      <c r="P75" s="6"/>
      <c r="Q75" s="6"/>
      <c r="R75" s="6" t="s">
        <v>4719</v>
      </c>
      <c r="S75" s="6" t="s">
        <v>179</v>
      </c>
      <c r="T75" s="6" t="s">
        <v>4896</v>
      </c>
      <c r="U75" s="6" t="s">
        <v>4731</v>
      </c>
    </row>
    <row r="76" customFormat="false" ht="15" hidden="false" customHeight="false" outlineLevel="0" collapsed="false">
      <c r="A76" s="6" t="s">
        <v>4899</v>
      </c>
      <c r="B76" s="7" t="n">
        <v>45880</v>
      </c>
      <c r="C76" s="6" t="s">
        <v>186</v>
      </c>
      <c r="D76" s="6" t="s">
        <v>235</v>
      </c>
      <c r="E76" s="6" t="s">
        <v>4887</v>
      </c>
      <c r="F76" s="17" t="str">
        <f aca="false">J71</f>
        <v>Adjusted free cash flow of $310 million to $316 million and adjusted free cash flow margin of 25% to 26%.</v>
      </c>
      <c r="G76" s="18" t="n">
        <f aca="false">K71</f>
        <v>310</v>
      </c>
      <c r="H76" s="18" t="n">
        <f aca="false">L71</f>
        <v>316</v>
      </c>
      <c r="I76" s="18" t="n">
        <f aca="false">M71</f>
        <v>313</v>
      </c>
      <c r="J76" s="6" t="s">
        <v>4900</v>
      </c>
      <c r="K76" s="13" t="n">
        <v>320</v>
      </c>
      <c r="L76" s="13" t="n">
        <v>326</v>
      </c>
      <c r="M76" s="16" t="n">
        <f aca="false">(K76+L76)/2</f>
        <v>323</v>
      </c>
      <c r="N76" s="16" t="n">
        <f aca="false">M76-I76</f>
        <v>10</v>
      </c>
      <c r="O76" s="6" t="s">
        <v>3751</v>
      </c>
      <c r="P76" s="6"/>
      <c r="Q76" s="6"/>
      <c r="R76" s="6" t="s">
        <v>4719</v>
      </c>
      <c r="S76" s="6" t="s">
        <v>184</v>
      </c>
      <c r="T76" s="6" t="s">
        <v>4875</v>
      </c>
      <c r="U76" s="6"/>
    </row>
    <row r="77" customFormat="false" ht="15" hidden="false" customHeight="false" outlineLevel="0" collapsed="false">
      <c r="A77" s="6" t="s">
        <v>4901</v>
      </c>
      <c r="B77" s="7" t="n">
        <v>45880</v>
      </c>
      <c r="C77" s="6" t="s">
        <v>186</v>
      </c>
      <c r="D77" s="6" t="s">
        <v>235</v>
      </c>
      <c r="E77" s="6" t="s">
        <v>4717</v>
      </c>
      <c r="F77" s="17" t="str">
        <f aca="false">J72</f>
        <v>Non-GAAP operating income of $144 million to $150 million and operating margin of approximately 12%.</v>
      </c>
      <c r="G77" s="18" t="n">
        <f aca="false">K72</f>
        <v>144</v>
      </c>
      <c r="H77" s="18" t="n">
        <f aca="false">L72</f>
        <v>150</v>
      </c>
      <c r="I77" s="18" t="n">
        <f aca="false">M72</f>
        <v>147</v>
      </c>
      <c r="J77" s="6" t="s">
        <v>4902</v>
      </c>
      <c r="K77" s="13" t="n">
        <v>154</v>
      </c>
      <c r="L77" s="13" t="n">
        <v>158</v>
      </c>
      <c r="M77" s="16" t="n">
        <f aca="false">(K77+L77)/2</f>
        <v>156</v>
      </c>
      <c r="N77" s="16" t="n">
        <f aca="false">M77-I77</f>
        <v>9</v>
      </c>
      <c r="O77" s="6" t="s">
        <v>3751</v>
      </c>
      <c r="P77" s="6"/>
      <c r="Q77" s="6"/>
      <c r="R77" s="6" t="s">
        <v>4719</v>
      </c>
      <c r="S77" s="6" t="s">
        <v>184</v>
      </c>
      <c r="T77" s="6" t="s">
        <v>4875</v>
      </c>
      <c r="U77" s="6"/>
    </row>
    <row r="78" customFormat="false" ht="15" hidden="false" customHeight="false" outlineLevel="0" collapsed="false">
      <c r="A78" s="6" t="s">
        <v>4903</v>
      </c>
      <c r="B78" s="7" t="n">
        <v>45880</v>
      </c>
      <c r="C78" s="6" t="s">
        <v>186</v>
      </c>
      <c r="D78" s="6" t="s">
        <v>235</v>
      </c>
      <c r="E78" s="6" t="s">
        <v>382</v>
      </c>
      <c r="F78" s="17" t="str">
        <f aca="false">J73</f>
        <v>Total revenue of $1,220 million to $1,226 million, representing year-over-year growth of 25% to 26%.</v>
      </c>
      <c r="G78" s="18" t="n">
        <f aca="false">K73</f>
        <v>1220</v>
      </c>
      <c r="H78" s="18" t="n">
        <f aca="false">L73</f>
        <v>1226</v>
      </c>
      <c r="I78" s="18" t="n">
        <f aca="false">M73</f>
        <v>1223</v>
      </c>
      <c r="J78" s="6" t="s">
        <v>4904</v>
      </c>
      <c r="K78" s="13" t="n">
        <v>1224</v>
      </c>
      <c r="L78" s="13" t="n">
        <v>1229</v>
      </c>
      <c r="M78" s="16" t="n">
        <f aca="false">(K78+L78)/2</f>
        <v>1226.5</v>
      </c>
      <c r="N78" s="16" t="n">
        <f aca="false">M78-I78</f>
        <v>3.5</v>
      </c>
      <c r="O78" s="6" t="s">
        <v>3751</v>
      </c>
      <c r="P78" s="6"/>
      <c r="Q78" s="6"/>
      <c r="R78" s="6" t="s">
        <v>4719</v>
      </c>
      <c r="S78" s="6" t="s">
        <v>184</v>
      </c>
      <c r="T78" s="6" t="s">
        <v>4875</v>
      </c>
      <c r="U78" s="6"/>
    </row>
    <row r="79" customFormat="false" ht="15" hidden="false" customHeight="false" outlineLevel="0" collapsed="false">
      <c r="A79" s="6" t="s">
        <v>4905</v>
      </c>
      <c r="B79" s="7" t="n">
        <v>45880</v>
      </c>
      <c r="C79" s="6" t="s">
        <v>186</v>
      </c>
      <c r="D79" s="6" t="s">
        <v>191</v>
      </c>
      <c r="E79" s="6" t="s">
        <v>4717</v>
      </c>
      <c r="J79" s="6" t="s">
        <v>4906</v>
      </c>
      <c r="K79" s="13" t="n">
        <v>34</v>
      </c>
      <c r="L79" s="13" t="n">
        <v>36</v>
      </c>
      <c r="M79" s="16" t="n">
        <f aca="false">(K79+L79)/2</f>
        <v>35</v>
      </c>
      <c r="O79" s="6" t="s">
        <v>3751</v>
      </c>
      <c r="P79" s="6"/>
      <c r="Q79" s="6"/>
      <c r="R79" s="6" t="s">
        <v>4719</v>
      </c>
      <c r="S79" s="6" t="s">
        <v>184</v>
      </c>
      <c r="T79" s="6" t="s">
        <v>4907</v>
      </c>
      <c r="U79" s="6" t="s">
        <v>4731</v>
      </c>
    </row>
    <row r="80" customFormat="false" ht="15" hidden="false" customHeight="false" outlineLevel="0" collapsed="false">
      <c r="A80" s="6" t="s">
        <v>4908</v>
      </c>
      <c r="B80" s="7" t="n">
        <v>45880</v>
      </c>
      <c r="C80" s="6" t="s">
        <v>186</v>
      </c>
      <c r="D80" s="6" t="s">
        <v>191</v>
      </c>
      <c r="E80" s="6" t="s">
        <v>382</v>
      </c>
      <c r="J80" s="6" t="s">
        <v>4909</v>
      </c>
      <c r="K80" s="13" t="n">
        <v>311</v>
      </c>
      <c r="L80" s="13" t="n">
        <v>313</v>
      </c>
      <c r="M80" s="16" t="n">
        <f aca="false">(K80+L80)/2</f>
        <v>312</v>
      </c>
      <c r="O80" s="6" t="s">
        <v>3751</v>
      </c>
      <c r="P80" s="6"/>
      <c r="Q80" s="6"/>
      <c r="R80" s="6" t="s">
        <v>4719</v>
      </c>
      <c r="S80" s="6" t="s">
        <v>184</v>
      </c>
      <c r="T80" s="6" t="s">
        <v>4907</v>
      </c>
      <c r="U80" s="6" t="s">
        <v>4731</v>
      </c>
    </row>
    <row r="81" customFormat="false" ht="15" hidden="false" customHeight="false" outlineLevel="0" collapsed="false">
      <c r="A81" s="6" t="s">
        <v>4910</v>
      </c>
      <c r="B81" s="7" t="n">
        <v>45971</v>
      </c>
      <c r="C81" s="6" t="s">
        <v>191</v>
      </c>
      <c r="D81" s="6" t="s">
        <v>235</v>
      </c>
      <c r="E81" s="6" t="s">
        <v>4887</v>
      </c>
      <c r="F81" s="17" t="str">
        <f aca="false">J76</f>
        <v>Adjusted free cash flow of $320 million to $326 million and adjusted free cash flow margin of 26% to 27%.</v>
      </c>
      <c r="G81" s="18" t="n">
        <f aca="false">K76</f>
        <v>320</v>
      </c>
      <c r="H81" s="18" t="n">
        <f aca="false">L76</f>
        <v>326</v>
      </c>
      <c r="I81" s="18" t="n">
        <f aca="false">M76</f>
        <v>323</v>
      </c>
      <c r="J81" s="6" t="s">
        <v>4911</v>
      </c>
      <c r="K81" s="13" t="n">
        <v>330</v>
      </c>
      <c r="L81" s="13" t="n">
        <v>334</v>
      </c>
      <c r="M81" s="16" t="n">
        <f aca="false">(K81+L81)/2</f>
        <v>332</v>
      </c>
      <c r="N81" s="16" t="n">
        <f aca="false">M81-I81</f>
        <v>9</v>
      </c>
      <c r="O81" s="6" t="s">
        <v>3751</v>
      </c>
      <c r="P81" s="6"/>
      <c r="Q81" s="6"/>
      <c r="R81" s="6" t="s">
        <v>4719</v>
      </c>
      <c r="S81" s="6" t="s">
        <v>189</v>
      </c>
      <c r="T81" s="6" t="s">
        <v>4875</v>
      </c>
      <c r="U81" s="6"/>
    </row>
    <row r="82" customFormat="false" ht="15" hidden="false" customHeight="false" outlineLevel="0" collapsed="false">
      <c r="A82" s="6" t="s">
        <v>4912</v>
      </c>
      <c r="B82" s="7" t="n">
        <v>45971</v>
      </c>
      <c r="C82" s="6" t="s">
        <v>191</v>
      </c>
      <c r="D82" s="6" t="s">
        <v>235</v>
      </c>
      <c r="E82" s="6" t="s">
        <v>4717</v>
      </c>
      <c r="F82" s="17" t="str">
        <f aca="false">J77</f>
        <v>Non-GAAP operating income of $154 million to $158 million and operating margin of approximately 13%.</v>
      </c>
      <c r="G82" s="18" t="n">
        <f aca="false">K77</f>
        <v>154</v>
      </c>
      <c r="H82" s="18" t="n">
        <f aca="false">L77</f>
        <v>158</v>
      </c>
      <c r="I82" s="18" t="n">
        <f aca="false">M77</f>
        <v>156</v>
      </c>
      <c r="J82" s="6" t="s">
        <v>4913</v>
      </c>
      <c r="K82" s="13" t="n">
        <v>167</v>
      </c>
      <c r="L82" s="13" t="n">
        <v>169</v>
      </c>
      <c r="M82" s="16" t="n">
        <f aca="false">(K82+L82)/2</f>
        <v>168</v>
      </c>
      <c r="N82" s="16" t="n">
        <f aca="false">M82-I82</f>
        <v>12</v>
      </c>
      <c r="O82" s="6" t="s">
        <v>3751</v>
      </c>
      <c r="P82" s="6"/>
      <c r="Q82" s="6"/>
      <c r="R82" s="6" t="s">
        <v>4719</v>
      </c>
      <c r="S82" s="6" t="s">
        <v>189</v>
      </c>
      <c r="T82" s="6" t="s">
        <v>4875</v>
      </c>
      <c r="U82" s="6"/>
    </row>
    <row r="83" customFormat="false" ht="15" hidden="false" customHeight="false" outlineLevel="0" collapsed="false">
      <c r="A83" s="6" t="s">
        <v>4914</v>
      </c>
      <c r="B83" s="7" t="n">
        <v>45971</v>
      </c>
      <c r="C83" s="6" t="s">
        <v>191</v>
      </c>
      <c r="D83" s="6" t="s">
        <v>235</v>
      </c>
      <c r="E83" s="6" t="s">
        <v>382</v>
      </c>
      <c r="F83" s="17" t="str">
        <f aca="false">J78</f>
        <v>Total revenue of $1,224 million to $1,229 million, representing year-over-year growth of approximately 26%.</v>
      </c>
      <c r="G83" s="18" t="n">
        <f aca="false">K78</f>
        <v>1224</v>
      </c>
      <c r="H83" s="18" t="n">
        <f aca="false">L78</f>
        <v>1229</v>
      </c>
      <c r="I83" s="18" t="n">
        <f aca="false">M78</f>
        <v>1226.5</v>
      </c>
      <c r="J83" s="6" t="s">
        <v>4915</v>
      </c>
      <c r="K83" s="13" t="n">
        <v>1226</v>
      </c>
      <c r="L83" s="13" t="n">
        <v>1228</v>
      </c>
      <c r="M83" s="16" t="n">
        <f aca="false">(K83+L83)/2</f>
        <v>1227</v>
      </c>
      <c r="N83" s="16" t="n">
        <f aca="false">M83-I83</f>
        <v>0.5</v>
      </c>
      <c r="O83" s="6" t="s">
        <v>3751</v>
      </c>
      <c r="P83" s="6"/>
      <c r="Q83" s="6"/>
      <c r="R83" s="6" t="s">
        <v>4719</v>
      </c>
      <c r="S83" s="6" t="s">
        <v>189</v>
      </c>
      <c r="T83" s="6" t="s">
        <v>4875</v>
      </c>
      <c r="U83" s="6"/>
    </row>
    <row r="84" customFormat="false" ht="15" hidden="false" customHeight="false" outlineLevel="0" collapsed="false">
      <c r="A84" s="6" t="s">
        <v>4916</v>
      </c>
      <c r="B84" s="7" t="n">
        <v>45971</v>
      </c>
      <c r="C84" s="6" t="s">
        <v>191</v>
      </c>
      <c r="D84" s="6" t="s">
        <v>196</v>
      </c>
      <c r="E84" s="6" t="s">
        <v>4717</v>
      </c>
      <c r="J84" s="6" t="s">
        <v>4917</v>
      </c>
      <c r="K84" s="13" t="n">
        <v>36</v>
      </c>
      <c r="L84" s="13" t="n">
        <v>38</v>
      </c>
      <c r="M84" s="16" t="n">
        <f aca="false">(K84+L84)/2</f>
        <v>37</v>
      </c>
      <c r="O84" s="6" t="s">
        <v>3751</v>
      </c>
      <c r="P84" s="6"/>
      <c r="Q84" s="6"/>
      <c r="R84" s="6" t="s">
        <v>4719</v>
      </c>
      <c r="S84" s="6" t="s">
        <v>189</v>
      </c>
      <c r="T84" s="6" t="s">
        <v>4918</v>
      </c>
      <c r="U84" s="6" t="s">
        <v>4731</v>
      </c>
    </row>
    <row r="85" customFormat="false" ht="15" hidden="false" customHeight="false" outlineLevel="0" collapsed="false">
      <c r="A85" s="6" t="s">
        <v>4919</v>
      </c>
      <c r="B85" s="7" t="n">
        <v>45971</v>
      </c>
      <c r="C85" s="6" t="s">
        <v>191</v>
      </c>
      <c r="D85" s="6" t="s">
        <v>196</v>
      </c>
      <c r="E85" s="6" t="s">
        <v>382</v>
      </c>
      <c r="J85" s="6" t="s">
        <v>4920</v>
      </c>
      <c r="K85" s="13" t="n">
        <v>328</v>
      </c>
      <c r="L85" s="13" t="n">
        <v>330</v>
      </c>
      <c r="M85" s="16" t="n">
        <f aca="false">(K85+L85)/2</f>
        <v>329</v>
      </c>
      <c r="O85" s="6" t="s">
        <v>3751</v>
      </c>
      <c r="P85" s="6"/>
      <c r="Q85" s="6"/>
      <c r="R85" s="6" t="s">
        <v>4719</v>
      </c>
      <c r="S85" s="6" t="s">
        <v>189</v>
      </c>
      <c r="T85" s="6" t="s">
        <v>4918</v>
      </c>
      <c r="U85" s="6" t="s">
        <v>4731</v>
      </c>
    </row>
    <row r="86" customFormat="false" ht="15" hidden="false" customHeight="false" outlineLevel="0" collapsed="false">
      <c r="A86" s="6" t="s">
        <v>4921</v>
      </c>
      <c r="B86" s="7" t="n">
        <v>46062</v>
      </c>
      <c r="C86" s="6" t="s">
        <v>196</v>
      </c>
      <c r="D86" s="6" t="s">
        <v>4922</v>
      </c>
      <c r="E86" s="6" t="s">
        <v>4887</v>
      </c>
      <c r="J86" s="6" t="s">
        <v>4923</v>
      </c>
      <c r="K86" s="13" t="n">
        <v>275</v>
      </c>
      <c r="L86" s="13" t="n">
        <v>290</v>
      </c>
      <c r="M86" s="16" t="n">
        <f aca="false">(K86+L86)/2</f>
        <v>282.5</v>
      </c>
      <c r="O86" s="6" t="s">
        <v>3751</v>
      </c>
      <c r="P86" s="6"/>
      <c r="Q86" s="6" t="s">
        <v>4924</v>
      </c>
      <c r="R86" s="6" t="s">
        <v>4719</v>
      </c>
      <c r="S86" s="6" t="s">
        <v>194</v>
      </c>
      <c r="T86" s="6" t="s">
        <v>4925</v>
      </c>
      <c r="U86" s="6" t="s">
        <v>4724</v>
      </c>
    </row>
    <row r="87" customFormat="false" ht="15" hidden="false" customHeight="false" outlineLevel="0" collapsed="false">
      <c r="A87" s="6" t="s">
        <v>4926</v>
      </c>
      <c r="B87" s="7" t="n">
        <v>46062</v>
      </c>
      <c r="C87" s="6" t="s">
        <v>196</v>
      </c>
      <c r="D87" s="6" t="s">
        <v>4922</v>
      </c>
      <c r="E87" s="6" t="s">
        <v>4717</v>
      </c>
      <c r="J87" s="6" t="s">
        <v>4927</v>
      </c>
      <c r="K87" s="13" t="n">
        <v>165</v>
      </c>
      <c r="L87" s="13" t="n">
        <v>175</v>
      </c>
      <c r="M87" s="16" t="n">
        <f aca="false">(K87+L87)/2</f>
        <v>170</v>
      </c>
      <c r="O87" s="6" t="s">
        <v>3751</v>
      </c>
      <c r="P87" s="6"/>
      <c r="Q87" s="6" t="s">
        <v>4924</v>
      </c>
      <c r="R87" s="6" t="s">
        <v>4719</v>
      </c>
      <c r="S87" s="6" t="s">
        <v>194</v>
      </c>
      <c r="T87" s="6" t="s">
        <v>4925</v>
      </c>
      <c r="U87" s="6" t="s">
        <v>4724</v>
      </c>
    </row>
    <row r="88" customFormat="false" ht="15" hidden="false" customHeight="false" outlineLevel="0" collapsed="false">
      <c r="A88" s="6" t="s">
        <v>4928</v>
      </c>
      <c r="B88" s="7" t="n">
        <v>46062</v>
      </c>
      <c r="C88" s="6" t="s">
        <v>196</v>
      </c>
      <c r="D88" s="6" t="s">
        <v>4922</v>
      </c>
      <c r="E88" s="6" t="s">
        <v>382</v>
      </c>
      <c r="J88" s="6" t="s">
        <v>4929</v>
      </c>
      <c r="K88" s="13" t="n">
        <v>1452</v>
      </c>
      <c r="L88" s="13" t="n">
        <v>1462</v>
      </c>
      <c r="M88" s="16" t="n">
        <f aca="false">(K88+L88)/2</f>
        <v>1457</v>
      </c>
      <c r="O88" s="6" t="s">
        <v>3751</v>
      </c>
      <c r="P88" s="6"/>
      <c r="Q88" s="6"/>
      <c r="R88" s="6" t="s">
        <v>4719</v>
      </c>
      <c r="S88" s="6" t="s">
        <v>194</v>
      </c>
      <c r="T88" s="6" t="s">
        <v>4925</v>
      </c>
      <c r="U88" s="6" t="s">
        <v>4724</v>
      </c>
    </row>
    <row r="89" customFormat="false" ht="15" hidden="false" customHeight="false" outlineLevel="0" collapsed="false">
      <c r="A89" s="6" t="s">
        <v>4930</v>
      </c>
      <c r="B89" s="7" t="n">
        <v>46062</v>
      </c>
      <c r="C89" s="6" t="s">
        <v>196</v>
      </c>
      <c r="D89" s="6" t="s">
        <v>201</v>
      </c>
      <c r="E89" s="6" t="s">
        <v>4717</v>
      </c>
      <c r="J89" s="6" t="s">
        <v>4931</v>
      </c>
      <c r="K89" s="13" t="n">
        <v>37</v>
      </c>
      <c r="L89" s="13" t="n">
        <v>39</v>
      </c>
      <c r="M89" s="16" t="n">
        <f aca="false">(K89+L89)/2</f>
        <v>38</v>
      </c>
      <c r="O89" s="6" t="s">
        <v>3751</v>
      </c>
      <c r="P89" s="6"/>
      <c r="Q89" s="6" t="s">
        <v>4924</v>
      </c>
      <c r="R89" s="6" t="s">
        <v>4719</v>
      </c>
      <c r="S89" s="6" t="s">
        <v>194</v>
      </c>
      <c r="T89" s="6" t="s">
        <v>4932</v>
      </c>
      <c r="U89" s="6" t="s">
        <v>4731</v>
      </c>
    </row>
    <row r="90" customFormat="false" ht="15" hidden="false" customHeight="false" outlineLevel="0" collapsed="false">
      <c r="A90" s="6" t="s">
        <v>4933</v>
      </c>
      <c r="B90" s="7" t="n">
        <v>46062</v>
      </c>
      <c r="C90" s="6" t="s">
        <v>196</v>
      </c>
      <c r="D90" s="6" t="s">
        <v>201</v>
      </c>
      <c r="E90" s="6" t="s">
        <v>382</v>
      </c>
      <c r="J90" s="6" t="s">
        <v>4934</v>
      </c>
      <c r="K90" s="13" t="n">
        <v>338</v>
      </c>
      <c r="L90" s="13" t="n">
        <v>340</v>
      </c>
      <c r="M90" s="16" t="n">
        <f aca="false">(K90+L90)/2</f>
        <v>339</v>
      </c>
      <c r="O90" s="6" t="s">
        <v>3751</v>
      </c>
      <c r="P90" s="6"/>
      <c r="Q90" s="6"/>
      <c r="R90" s="6" t="s">
        <v>4719</v>
      </c>
      <c r="S90" s="6" t="s">
        <v>194</v>
      </c>
      <c r="T90" s="6" t="s">
        <v>4932</v>
      </c>
      <c r="U90" s="6" t="s">
        <v>4731</v>
      </c>
    </row>
    <row r="91" customFormat="false" ht="15" hidden="false" customHeight="false" outlineLevel="0" collapsed="false">
      <c r="A91" s="6" t="s">
        <v>4935</v>
      </c>
      <c r="B91" s="7" t="n">
        <v>46153</v>
      </c>
      <c r="C91" s="6" t="s">
        <v>201</v>
      </c>
      <c r="D91" s="6" t="s">
        <v>4922</v>
      </c>
      <c r="E91" s="6" t="s">
        <v>4887</v>
      </c>
      <c r="F91" s="17" t="str">
        <f aca="false">J86</f>
        <v>Adjusted free cash flow of $275 million to $290 million and adjusted free cash flow margin of 19% to 20%, assuming a negative FX impact of 100 to 200 basis points.</v>
      </c>
      <c r="G91" s="18" t="n">
        <f aca="false">K86</f>
        <v>275</v>
      </c>
      <c r="H91" s="18" t="n">
        <f aca="false">L86</f>
        <v>290</v>
      </c>
      <c r="I91" s="18" t="n">
        <f aca="false">M86</f>
        <v>282.5</v>
      </c>
      <c r="J91" s="6" t="s">
        <v>4936</v>
      </c>
      <c r="K91" s="13" t="n">
        <v>280</v>
      </c>
      <c r="L91" s="13" t="n">
        <v>290</v>
      </c>
      <c r="M91" s="16" t="n">
        <f aca="false">(K91+L91)/2</f>
        <v>285</v>
      </c>
      <c r="N91" s="16" t="n">
        <f aca="false">M91-I91</f>
        <v>2.5</v>
      </c>
      <c r="O91" s="6" t="s">
        <v>3751</v>
      </c>
      <c r="P91" s="6"/>
      <c r="Q91" s="6" t="s">
        <v>4924</v>
      </c>
      <c r="R91" s="6" t="s">
        <v>4719</v>
      </c>
      <c r="S91" s="6" t="s">
        <v>199</v>
      </c>
      <c r="T91" s="6" t="s">
        <v>4925</v>
      </c>
      <c r="U91" s="6"/>
    </row>
    <row r="92" customFormat="false" ht="15" hidden="false" customHeight="false" outlineLevel="0" collapsed="false">
      <c r="A92" s="6" t="s">
        <v>4937</v>
      </c>
      <c r="B92" s="7" t="n">
        <v>46153</v>
      </c>
      <c r="C92" s="6" t="s">
        <v>201</v>
      </c>
      <c r="D92" s="6" t="s">
        <v>4922</v>
      </c>
      <c r="E92" s="6" t="s">
        <v>4717</v>
      </c>
      <c r="F92" s="17" t="str">
        <f aca="false">J87</f>
        <v>Non-GAAP operating income of $165 million to $175 million and operating margin of 11% to 12%, assuming a negative FX impact of 100 to 200 basis points.</v>
      </c>
      <c r="G92" s="18" t="n">
        <f aca="false">K87</f>
        <v>165</v>
      </c>
      <c r="H92" s="18" t="n">
        <f aca="false">L87</f>
        <v>175</v>
      </c>
      <c r="I92" s="18" t="n">
        <f aca="false">M87</f>
        <v>170</v>
      </c>
      <c r="J92" s="6" t="s">
        <v>4938</v>
      </c>
      <c r="K92" s="13" t="n">
        <v>185</v>
      </c>
      <c r="L92" s="13" t="n">
        <v>191</v>
      </c>
      <c r="M92" s="16" t="n">
        <f aca="false">(K92+L92)/2</f>
        <v>188</v>
      </c>
      <c r="N92" s="16" t="n">
        <f aca="false">M92-I92</f>
        <v>18</v>
      </c>
      <c r="O92" s="6" t="s">
        <v>3751</v>
      </c>
      <c r="P92" s="6"/>
      <c r="Q92" s="6" t="s">
        <v>4924</v>
      </c>
      <c r="R92" s="6" t="s">
        <v>4719</v>
      </c>
      <c r="S92" s="6" t="s">
        <v>199</v>
      </c>
      <c r="T92" s="6" t="s">
        <v>4925</v>
      </c>
      <c r="U92" s="6"/>
    </row>
    <row r="93" customFormat="false" ht="15" hidden="false" customHeight="false" outlineLevel="0" collapsed="false">
      <c r="A93" s="6" t="s">
        <v>4939</v>
      </c>
      <c r="B93" s="7" t="n">
        <v>46153</v>
      </c>
      <c r="C93" s="6" t="s">
        <v>201</v>
      </c>
      <c r="D93" s="6" t="s">
        <v>4922</v>
      </c>
      <c r="E93" s="6" t="s">
        <v>382</v>
      </c>
      <c r="F93" s="17" t="str">
        <f aca="false">J88</f>
        <v>Total revenue of $1,452 million to $1,462 million, representing year-over-year growth of 18% to 19%.</v>
      </c>
      <c r="G93" s="18" t="n">
        <f aca="false">K88</f>
        <v>1452</v>
      </c>
      <c r="H93" s="18" t="n">
        <f aca="false">L88</f>
        <v>1462</v>
      </c>
      <c r="I93" s="18" t="n">
        <f aca="false">M88</f>
        <v>1457</v>
      </c>
      <c r="J93" s="6" t="s">
        <v>4940</v>
      </c>
      <c r="K93" s="13" t="n">
        <v>1466</v>
      </c>
      <c r="L93" s="13" t="n">
        <v>1474</v>
      </c>
      <c r="M93" s="16" t="n">
        <f aca="false">(K93+L93)/2</f>
        <v>1470</v>
      </c>
      <c r="N93" s="16" t="n">
        <f aca="false">M93-I93</f>
        <v>13</v>
      </c>
      <c r="O93" s="6" t="s">
        <v>3751</v>
      </c>
      <c r="P93" s="6"/>
      <c r="Q93" s="6"/>
      <c r="R93" s="6" t="s">
        <v>4719</v>
      </c>
      <c r="S93" s="6" t="s">
        <v>199</v>
      </c>
      <c r="T93" s="6" t="s">
        <v>4925</v>
      </c>
      <c r="U93" s="6"/>
    </row>
    <row r="94" customFormat="false" ht="15" hidden="false" customHeight="false" outlineLevel="0" collapsed="false">
      <c r="A94" s="6" t="s">
        <v>4941</v>
      </c>
      <c r="B94" s="7" t="n">
        <v>46153</v>
      </c>
      <c r="C94" s="6" t="s">
        <v>201</v>
      </c>
      <c r="D94" s="6" t="s">
        <v>206</v>
      </c>
      <c r="E94" s="6" t="s">
        <v>4717</v>
      </c>
      <c r="J94" s="6" t="s">
        <v>4942</v>
      </c>
      <c r="K94" s="13" t="n">
        <v>46</v>
      </c>
      <c r="L94" s="13" t="n">
        <v>48</v>
      </c>
      <c r="M94" s="16" t="n">
        <f aca="false">(K94+L94)/2</f>
        <v>47</v>
      </c>
      <c r="O94" s="6" t="s">
        <v>3751</v>
      </c>
      <c r="P94" s="6"/>
      <c r="Q94" s="6" t="s">
        <v>4924</v>
      </c>
      <c r="R94" s="6" t="s">
        <v>4719</v>
      </c>
      <c r="S94" s="6" t="s">
        <v>199</v>
      </c>
      <c r="T94" s="6" t="s">
        <v>4943</v>
      </c>
      <c r="U94" s="6" t="s">
        <v>4731</v>
      </c>
    </row>
    <row r="95" customFormat="false" ht="15" hidden="false" customHeight="false" outlineLevel="0" collapsed="false">
      <c r="A95" s="6" t="s">
        <v>4944</v>
      </c>
      <c r="B95" s="7" t="n">
        <v>46153</v>
      </c>
      <c r="C95" s="6" t="s">
        <v>201</v>
      </c>
      <c r="D95" s="6" t="s">
        <v>206</v>
      </c>
      <c r="E95" s="6" t="s">
        <v>382</v>
      </c>
      <c r="J95" s="6" t="s">
        <v>4945</v>
      </c>
      <c r="K95" s="13" t="n">
        <v>354</v>
      </c>
      <c r="L95" s="13" t="n">
        <v>356</v>
      </c>
      <c r="M95" s="16" t="n">
        <f aca="false">(K95+L95)/2</f>
        <v>355</v>
      </c>
      <c r="O95" s="6" t="s">
        <v>3751</v>
      </c>
      <c r="P95" s="6"/>
      <c r="Q95" s="6"/>
      <c r="R95" s="6" t="s">
        <v>4719</v>
      </c>
      <c r="S95" s="6" t="s">
        <v>199</v>
      </c>
      <c r="T95" s="6" t="s">
        <v>4943</v>
      </c>
      <c r="U95" s="6" t="s">
        <v>4731</v>
      </c>
    </row>
    <row r="96" customFormat="false" ht="15" hidden="false" customHeight="false" outlineLevel="0" collapsed="false">
      <c r="A96" s="6" t="s">
        <v>4946</v>
      </c>
      <c r="B96" s="7" t="n">
        <v>46225</v>
      </c>
      <c r="C96" s="6" t="s">
        <v>4947</v>
      </c>
      <c r="D96" s="6" t="s">
        <v>4922</v>
      </c>
      <c r="E96" s="6" t="s">
        <v>4948</v>
      </c>
      <c r="F96" s="6" t="s">
        <v>4949</v>
      </c>
      <c r="G96" s="10" t="n">
        <v>0.19</v>
      </c>
      <c r="H96" s="10" t="n">
        <v>0.2</v>
      </c>
      <c r="I96" s="11" t="n">
        <f aca="false">(G96+H96)/2</f>
        <v>0.195</v>
      </c>
      <c r="J96" s="6" t="s">
        <v>4950</v>
      </c>
      <c r="K96" s="10" t="n">
        <v>0.19</v>
      </c>
      <c r="L96" s="10" t="n">
        <v>0.2</v>
      </c>
      <c r="M96" s="11" t="n">
        <f aca="false">(K96+L96)/2</f>
        <v>0.195</v>
      </c>
      <c r="N96" s="11" t="n">
        <f aca="false">M96-I96</f>
        <v>0</v>
      </c>
      <c r="O96" s="6" t="s">
        <v>742</v>
      </c>
      <c r="P96" s="6"/>
      <c r="Q96" s="6" t="s">
        <v>4951</v>
      </c>
      <c r="R96" s="6" t="s">
        <v>4719</v>
      </c>
      <c r="S96" s="6" t="s">
        <v>281</v>
      </c>
      <c r="T96" s="6" t="s">
        <v>4952</v>
      </c>
      <c r="U96" s="6" t="s">
        <v>4953</v>
      </c>
    </row>
    <row r="97" customFormat="false" ht="15" hidden="false" customHeight="false" outlineLevel="0" collapsed="false">
      <c r="A97" s="6" t="s">
        <v>4954</v>
      </c>
      <c r="B97" s="7" t="n">
        <v>46225</v>
      </c>
      <c r="C97" s="6" t="s">
        <v>4947</v>
      </c>
      <c r="D97" s="6" t="s">
        <v>4922</v>
      </c>
      <c r="E97" s="6" t="s">
        <v>4955</v>
      </c>
      <c r="F97" s="6" t="s">
        <v>4956</v>
      </c>
      <c r="G97" s="10" t="n">
        <v>0.13</v>
      </c>
      <c r="H97" s="10" t="n">
        <v>0.13</v>
      </c>
      <c r="I97" s="11" t="n">
        <f aca="false">(G97+H97)/2</f>
        <v>0.13</v>
      </c>
      <c r="J97" s="6" t="s">
        <v>4957</v>
      </c>
      <c r="K97" s="10" t="n">
        <v>0.15</v>
      </c>
      <c r="L97" s="10" t="n">
        <v>0.15</v>
      </c>
      <c r="M97" s="11" t="n">
        <f aca="false">(K97+L97)/2</f>
        <v>0.15</v>
      </c>
      <c r="N97" s="11" t="n">
        <f aca="false">M97-I97</f>
        <v>0.02</v>
      </c>
      <c r="O97" s="6" t="s">
        <v>742</v>
      </c>
      <c r="P97" s="6"/>
      <c r="Q97" s="6" t="s">
        <v>4951</v>
      </c>
      <c r="R97" s="6" t="s">
        <v>4719</v>
      </c>
      <c r="S97" s="6" t="s">
        <v>281</v>
      </c>
      <c r="T97" s="6" t="s">
        <v>4952</v>
      </c>
      <c r="U97" s="6" t="s">
        <v>4953</v>
      </c>
    </row>
    <row r="98" customFormat="false" ht="15" hidden="false" customHeight="false" outlineLevel="0" collapsed="false">
      <c r="A98" s="6" t="s">
        <v>4958</v>
      </c>
      <c r="B98" s="7" t="n">
        <v>46225</v>
      </c>
      <c r="C98" s="6" t="s">
        <v>4947</v>
      </c>
      <c r="D98" s="6" t="s">
        <v>4922</v>
      </c>
      <c r="E98" s="6" t="s">
        <v>4959</v>
      </c>
      <c r="F98" s="6" t="s">
        <v>4960</v>
      </c>
      <c r="G98" s="10" t="n">
        <v>0.19</v>
      </c>
      <c r="H98" s="10" t="n">
        <v>0.2</v>
      </c>
      <c r="I98" s="11" t="n">
        <f aca="false">(G98+H98)/2</f>
        <v>0.195</v>
      </c>
      <c r="J98" s="6" t="s">
        <v>4961</v>
      </c>
      <c r="K98" s="10" t="n">
        <v>0.19</v>
      </c>
      <c r="L98" s="10" t="n">
        <v>0.2</v>
      </c>
      <c r="M98" s="11" t="n">
        <f aca="false">(K98+L98)/2</f>
        <v>0.195</v>
      </c>
      <c r="N98" s="11" t="n">
        <f aca="false">M98-I98</f>
        <v>0</v>
      </c>
      <c r="O98" s="6" t="s">
        <v>742</v>
      </c>
      <c r="P98" s="6"/>
      <c r="Q98" s="6"/>
      <c r="R98" s="6" t="s">
        <v>4719</v>
      </c>
      <c r="S98" s="6" t="s">
        <v>281</v>
      </c>
      <c r="T98" s="6" t="s">
        <v>4952</v>
      </c>
      <c r="U98" s="6" t="s">
        <v>4953</v>
      </c>
    </row>
    <row r="99" customFormat="false" ht="15" hidden="false" customHeight="false" outlineLevel="0" collapsed="false">
      <c r="A99" s="6" t="s">
        <v>4962</v>
      </c>
      <c r="B99" s="7" t="n">
        <v>46244</v>
      </c>
      <c r="C99" s="6" t="s">
        <v>206</v>
      </c>
      <c r="D99" s="6" t="s">
        <v>4922</v>
      </c>
      <c r="E99" s="6" t="s">
        <v>4887</v>
      </c>
      <c r="F99" s="17" t="str">
        <f aca="false">J91</f>
        <v>Adjusted free cash flow of $280 million to $290 million and adjusted free cash flow margin of 19% to 20%, assuming a negative FX impact of 100 to 200 basis points.</v>
      </c>
      <c r="G99" s="18" t="n">
        <f aca="false">K91</f>
        <v>280</v>
      </c>
      <c r="H99" s="18" t="n">
        <f aca="false">L91</f>
        <v>290</v>
      </c>
      <c r="I99" s="18" t="n">
        <f aca="false">M91</f>
        <v>285</v>
      </c>
      <c r="J99" s="6" t="s">
        <v>4936</v>
      </c>
      <c r="K99" s="13" t="n">
        <v>280</v>
      </c>
      <c r="L99" s="13" t="n">
        <v>290</v>
      </c>
      <c r="M99" s="16" t="n">
        <f aca="false">(K99+L99)/2</f>
        <v>285</v>
      </c>
      <c r="N99" s="16" t="n">
        <f aca="false">M99-I99</f>
        <v>0</v>
      </c>
      <c r="O99" s="6" t="s">
        <v>3751</v>
      </c>
      <c r="P99" s="6"/>
      <c r="Q99" s="6" t="s">
        <v>4924</v>
      </c>
      <c r="R99" s="6" t="s">
        <v>4719</v>
      </c>
      <c r="S99" s="6" t="s">
        <v>204</v>
      </c>
      <c r="T99" s="6" t="s">
        <v>4925</v>
      </c>
      <c r="U99" s="6" t="s">
        <v>4963</v>
      </c>
    </row>
    <row r="100" customFormat="false" ht="15" hidden="false" customHeight="false" outlineLevel="0" collapsed="false">
      <c r="A100" s="6" t="s">
        <v>4964</v>
      </c>
      <c r="B100" s="7" t="n">
        <v>46244</v>
      </c>
      <c r="C100" s="6" t="s">
        <v>206</v>
      </c>
      <c r="D100" s="6" t="s">
        <v>4922</v>
      </c>
      <c r="E100" s="6" t="s">
        <v>4717</v>
      </c>
      <c r="F100" s="17" t="str">
        <f aca="false">J92</f>
        <v>Non-GAAP operating income of $185 million to $191 million and operating margin of approximately 13%, assuming a negative FX impact of 100 to 200 basis points.</v>
      </c>
      <c r="G100" s="18" t="n">
        <f aca="false">K92</f>
        <v>185</v>
      </c>
      <c r="H100" s="18" t="n">
        <f aca="false">L92</f>
        <v>191</v>
      </c>
      <c r="I100" s="18" t="n">
        <f aca="false">M92</f>
        <v>188</v>
      </c>
      <c r="J100" s="6" t="s">
        <v>4965</v>
      </c>
      <c r="K100" s="13" t="n">
        <v>230</v>
      </c>
      <c r="L100" s="13" t="n">
        <v>234</v>
      </c>
      <c r="M100" s="16" t="n">
        <f aca="false">(K100+L100)/2</f>
        <v>232</v>
      </c>
      <c r="N100" s="16" t="n">
        <f aca="false">M100-I100</f>
        <v>44</v>
      </c>
      <c r="O100" s="6" t="s">
        <v>3751</v>
      </c>
      <c r="P100" s="6"/>
      <c r="Q100" s="6" t="s">
        <v>4924</v>
      </c>
      <c r="R100" s="6" t="s">
        <v>4719</v>
      </c>
      <c r="S100" s="6" t="s">
        <v>204</v>
      </c>
      <c r="T100" s="6" t="s">
        <v>4925</v>
      </c>
      <c r="U100" s="6"/>
    </row>
    <row r="101" customFormat="false" ht="15" hidden="false" customHeight="false" outlineLevel="0" collapsed="false">
      <c r="A101" s="6" t="s">
        <v>4966</v>
      </c>
      <c r="B101" s="7" t="n">
        <v>46244</v>
      </c>
      <c r="C101" s="6" t="s">
        <v>206</v>
      </c>
      <c r="D101" s="6" t="s">
        <v>4922</v>
      </c>
      <c r="E101" s="6" t="s">
        <v>382</v>
      </c>
      <c r="F101" s="17" t="str">
        <f aca="false">J93</f>
        <v>Total revenue of $1,466 million to $1,474 million, representing year-over-year growth of 19% to 20%.</v>
      </c>
      <c r="G101" s="18" t="n">
        <f aca="false">K93</f>
        <v>1466</v>
      </c>
      <c r="H101" s="18" t="n">
        <f aca="false">L93</f>
        <v>1474</v>
      </c>
      <c r="I101" s="18" t="n">
        <f aca="false">M93</f>
        <v>1470</v>
      </c>
      <c r="J101" s="6" t="s">
        <v>4940</v>
      </c>
      <c r="K101" s="13" t="n">
        <v>1466</v>
      </c>
      <c r="L101" s="13" t="n">
        <v>1474</v>
      </c>
      <c r="M101" s="16" t="n">
        <f aca="false">(K101+L101)/2</f>
        <v>1470</v>
      </c>
      <c r="N101" s="16" t="n">
        <f aca="false">M101-I101</f>
        <v>0</v>
      </c>
      <c r="O101" s="6" t="s">
        <v>3751</v>
      </c>
      <c r="P101" s="6"/>
      <c r="Q101" s="6"/>
      <c r="R101" s="6" t="s">
        <v>4719</v>
      </c>
      <c r="S101" s="6" t="s">
        <v>204</v>
      </c>
      <c r="T101" s="6" t="s">
        <v>4925</v>
      </c>
      <c r="U101" s="6" t="s">
        <v>4963</v>
      </c>
    </row>
    <row r="102" customFormat="false" ht="15" hidden="false" customHeight="false" outlineLevel="0" collapsed="false">
      <c r="A102" s="6" t="s">
        <v>4967</v>
      </c>
      <c r="B102" s="7" t="n">
        <v>46244</v>
      </c>
      <c r="C102" s="6" t="s">
        <v>206</v>
      </c>
      <c r="D102" s="6" t="s">
        <v>4968</v>
      </c>
      <c r="E102" s="6" t="s">
        <v>4717</v>
      </c>
      <c r="J102" s="6" t="s">
        <v>4969</v>
      </c>
      <c r="K102" s="13" t="n">
        <v>57</v>
      </c>
      <c r="L102" s="13" t="n">
        <v>59</v>
      </c>
      <c r="M102" s="16" t="n">
        <f aca="false">(K102+L102)/2</f>
        <v>58</v>
      </c>
      <c r="O102" s="6" t="s">
        <v>3751</v>
      </c>
      <c r="P102" s="6"/>
      <c r="Q102" s="6" t="s">
        <v>4924</v>
      </c>
      <c r="R102" s="6" t="s">
        <v>4719</v>
      </c>
      <c r="S102" s="6" t="s">
        <v>204</v>
      </c>
      <c r="T102" s="6" t="s">
        <v>4970</v>
      </c>
      <c r="U102" s="6" t="s">
        <v>4731</v>
      </c>
    </row>
    <row r="103" customFormat="false" ht="15" hidden="false" customHeight="false" outlineLevel="0" collapsed="false">
      <c r="A103" s="6" t="s">
        <v>4971</v>
      </c>
      <c r="B103" s="7" t="n">
        <v>46244</v>
      </c>
      <c r="C103" s="6" t="s">
        <v>206</v>
      </c>
      <c r="D103" s="6" t="s">
        <v>4968</v>
      </c>
      <c r="E103" s="6" t="s">
        <v>382</v>
      </c>
      <c r="J103" s="6" t="s">
        <v>4972</v>
      </c>
      <c r="K103" s="13" t="n">
        <v>368</v>
      </c>
      <c r="L103" s="13" t="n">
        <v>370</v>
      </c>
      <c r="M103" s="16" t="n">
        <f aca="false">(K103+L103)/2</f>
        <v>369</v>
      </c>
      <c r="O103" s="6" t="s">
        <v>3751</v>
      </c>
      <c r="P103" s="6"/>
      <c r="Q103" s="6"/>
      <c r="R103" s="6" t="s">
        <v>4719</v>
      </c>
      <c r="S103" s="6" t="s">
        <v>204</v>
      </c>
      <c r="T103" s="6" t="s">
        <v>4970</v>
      </c>
      <c r="U103" s="6" t="s">
        <v>4731</v>
      </c>
    </row>
  </sheetData>
  <autoFilter ref="A1: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70"/>
    <col collapsed="false" customWidth="true" hidden="false" outlineLevel="0" max="7" min="7" style="0" width="15"/>
    <col collapsed="false" customWidth="true" hidden="false" outlineLevel="0" max="8" min="8" style="0" width="16"/>
    <col collapsed="false" customWidth="true" hidden="false" outlineLevel="0" max="9" min="9" style="0" width="12"/>
    <col collapsed="false" customWidth="true" hidden="false" outlineLevel="0" max="10" min="10" style="0" width="13"/>
    <col collapsed="false" customWidth="true" hidden="false" outlineLevel="0" max="11" min="11" style="0" width="60"/>
    <col collapsed="false" customWidth="true" hidden="false" outlineLevel="0" max="12" min="12" style="0" width="30"/>
    <col collapsed="false" customWidth="true" hidden="false" outlineLevel="0" max="13" min="13" style="0" width="60"/>
  </cols>
  <sheetData>
    <row r="1" customFormat="false" ht="23.85" hidden="false" customHeight="false" outlineLevel="0" collapsed="false">
      <c r="A1" s="5" t="s">
        <v>365</v>
      </c>
      <c r="B1" s="5" t="s">
        <v>4973</v>
      </c>
      <c r="C1" s="5" t="s">
        <v>367</v>
      </c>
      <c r="D1" s="5" t="s">
        <v>368</v>
      </c>
      <c r="E1" s="5" t="s">
        <v>369</v>
      </c>
      <c r="F1" s="5" t="s">
        <v>370</v>
      </c>
      <c r="G1" s="5" t="s">
        <v>371</v>
      </c>
      <c r="H1" s="5" t="s">
        <v>374</v>
      </c>
      <c r="I1" s="5" t="s">
        <v>375</v>
      </c>
      <c r="J1" s="5" t="s">
        <v>90</v>
      </c>
      <c r="K1" s="5" t="s">
        <v>4715</v>
      </c>
      <c r="L1" s="5" t="s">
        <v>377</v>
      </c>
      <c r="M1" s="5" t="s">
        <v>99</v>
      </c>
    </row>
    <row r="2" customFormat="false" ht="15" hidden="false" customHeight="false" outlineLevel="0" collapsed="false">
      <c r="A2" s="6" t="s">
        <v>4974</v>
      </c>
      <c r="B2" s="6" t="s">
        <v>212</v>
      </c>
      <c r="C2" s="6" t="s">
        <v>4975</v>
      </c>
      <c r="D2" s="6" t="s">
        <v>4976</v>
      </c>
      <c r="E2" s="6" t="s">
        <v>4977</v>
      </c>
      <c r="F2" s="6" t="s">
        <v>408</v>
      </c>
      <c r="G2" s="9" t="n">
        <v>308150</v>
      </c>
      <c r="H2" s="6" t="s">
        <v>384</v>
      </c>
      <c r="I2" s="6" t="s">
        <v>13</v>
      </c>
      <c r="J2" s="6" t="s">
        <v>209</v>
      </c>
      <c r="K2" s="6" t="s">
        <v>4978</v>
      </c>
      <c r="M2" s="6" t="s">
        <v>4979</v>
      </c>
    </row>
    <row r="3" customFormat="false" ht="15" hidden="false" customHeight="false" outlineLevel="0" collapsed="false">
      <c r="A3" s="6" t="s">
        <v>4980</v>
      </c>
      <c r="B3" s="6" t="s">
        <v>212</v>
      </c>
      <c r="C3" s="6" t="s">
        <v>4975</v>
      </c>
      <c r="D3" s="6" t="s">
        <v>4976</v>
      </c>
      <c r="E3" s="6" t="s">
        <v>4981</v>
      </c>
      <c r="F3" s="6" t="s">
        <v>1193</v>
      </c>
      <c r="G3" s="9" t="n">
        <v>395262</v>
      </c>
      <c r="H3" s="6" t="s">
        <v>384</v>
      </c>
      <c r="I3" s="6" t="s">
        <v>13</v>
      </c>
      <c r="J3" s="6" t="s">
        <v>209</v>
      </c>
      <c r="K3" s="6" t="s">
        <v>4982</v>
      </c>
      <c r="M3" s="6" t="s">
        <v>4979</v>
      </c>
    </row>
    <row r="4" customFormat="false" ht="15" hidden="false" customHeight="false" outlineLevel="0" collapsed="false">
      <c r="A4" s="6" t="s">
        <v>4983</v>
      </c>
      <c r="B4" s="6" t="s">
        <v>212</v>
      </c>
      <c r="C4" s="6" t="s">
        <v>4975</v>
      </c>
      <c r="D4" s="6" t="s">
        <v>4976</v>
      </c>
      <c r="E4" s="6" t="s">
        <v>4984</v>
      </c>
      <c r="F4" s="6" t="s">
        <v>1308</v>
      </c>
      <c r="G4" s="9" t="n">
        <v>-126125</v>
      </c>
      <c r="H4" s="6" t="s">
        <v>384</v>
      </c>
      <c r="I4" s="6" t="s">
        <v>13</v>
      </c>
      <c r="J4" s="6" t="s">
        <v>209</v>
      </c>
      <c r="K4" s="6" t="s">
        <v>4985</v>
      </c>
      <c r="M4" s="6" t="s">
        <v>4979</v>
      </c>
    </row>
    <row r="5" customFormat="false" ht="15" hidden="false" customHeight="false" outlineLevel="0" collapsed="false">
      <c r="A5" s="6" t="s">
        <v>4986</v>
      </c>
      <c r="B5" s="6" t="s">
        <v>212</v>
      </c>
      <c r="C5" s="6" t="s">
        <v>4975</v>
      </c>
      <c r="D5" s="6" t="s">
        <v>4976</v>
      </c>
      <c r="E5" s="6" t="s">
        <v>4987</v>
      </c>
      <c r="F5" s="6" t="s">
        <v>1526</v>
      </c>
      <c r="G5" s="9" t="n">
        <v>-129294</v>
      </c>
      <c r="H5" s="6" t="s">
        <v>384</v>
      </c>
      <c r="I5" s="6" t="s">
        <v>13</v>
      </c>
      <c r="J5" s="6" t="s">
        <v>209</v>
      </c>
      <c r="K5" s="6" t="s">
        <v>4988</v>
      </c>
      <c r="M5" s="6" t="s">
        <v>4979</v>
      </c>
    </row>
    <row r="6" customFormat="false" ht="15" hidden="false" customHeight="false" outlineLevel="0" collapsed="false">
      <c r="A6" s="6" t="s">
        <v>4989</v>
      </c>
      <c r="B6" s="6" t="s">
        <v>212</v>
      </c>
      <c r="C6" s="6" t="s">
        <v>4975</v>
      </c>
      <c r="D6" s="6" t="s">
        <v>4976</v>
      </c>
      <c r="E6" s="6" t="s">
        <v>4990</v>
      </c>
      <c r="F6" s="6" t="s">
        <v>2968</v>
      </c>
      <c r="G6" s="9" t="n">
        <v>16355</v>
      </c>
      <c r="H6" s="6" t="s">
        <v>384</v>
      </c>
      <c r="I6" s="6" t="s">
        <v>13</v>
      </c>
      <c r="J6" s="6" t="s">
        <v>209</v>
      </c>
      <c r="K6" s="6" t="s">
        <v>4991</v>
      </c>
      <c r="M6" s="6" t="s">
        <v>4979</v>
      </c>
    </row>
    <row r="7" customFormat="false" ht="15" hidden="false" customHeight="false" outlineLevel="0" collapsed="false">
      <c r="A7" s="6" t="s">
        <v>4992</v>
      </c>
      <c r="B7" s="6" t="s">
        <v>212</v>
      </c>
      <c r="C7" s="6" t="s">
        <v>4975</v>
      </c>
      <c r="D7" s="6" t="s">
        <v>4976</v>
      </c>
      <c r="E7" s="6" t="s">
        <v>4993</v>
      </c>
      <c r="F7" s="6" t="s">
        <v>2726</v>
      </c>
      <c r="G7" s="9" t="n">
        <v>73529</v>
      </c>
      <c r="H7" s="6" t="s">
        <v>384</v>
      </c>
      <c r="I7" s="6" t="s">
        <v>13</v>
      </c>
      <c r="J7" s="6" t="s">
        <v>209</v>
      </c>
      <c r="K7" s="6" t="s">
        <v>4994</v>
      </c>
      <c r="M7" s="6" t="s">
        <v>4979</v>
      </c>
    </row>
    <row r="8" customFormat="false" ht="15" hidden="false" customHeight="false" outlineLevel="0" collapsed="false">
      <c r="A8" s="6" t="s">
        <v>4995</v>
      </c>
      <c r="B8" s="6" t="s">
        <v>220</v>
      </c>
      <c r="C8" s="6" t="s">
        <v>4975</v>
      </c>
      <c r="D8" s="6" t="s">
        <v>4976</v>
      </c>
      <c r="E8" s="6" t="s">
        <v>4977</v>
      </c>
      <c r="F8" s="6" t="s">
        <v>431</v>
      </c>
      <c r="G8" s="9" t="n">
        <v>519029</v>
      </c>
      <c r="H8" s="6" t="s">
        <v>384</v>
      </c>
      <c r="I8" s="6" t="s">
        <v>13</v>
      </c>
      <c r="J8" s="6" t="s">
        <v>218</v>
      </c>
      <c r="K8" s="6" t="s">
        <v>4996</v>
      </c>
      <c r="M8" s="6" t="s">
        <v>4979</v>
      </c>
    </row>
    <row r="9" customFormat="false" ht="15" hidden="false" customHeight="false" outlineLevel="0" collapsed="false">
      <c r="A9" s="6" t="s">
        <v>4997</v>
      </c>
      <c r="B9" s="6" t="s">
        <v>220</v>
      </c>
      <c r="C9" s="6" t="s">
        <v>4975</v>
      </c>
      <c r="D9" s="6" t="s">
        <v>4976</v>
      </c>
      <c r="E9" s="6" t="s">
        <v>4981</v>
      </c>
      <c r="F9" s="6" t="s">
        <v>1214</v>
      </c>
      <c r="G9" s="9" t="n">
        <v>604516</v>
      </c>
      <c r="H9" s="6" t="s">
        <v>384</v>
      </c>
      <c r="I9" s="6" t="s">
        <v>13</v>
      </c>
      <c r="J9" s="6" t="s">
        <v>218</v>
      </c>
      <c r="K9" s="6" t="s">
        <v>4998</v>
      </c>
      <c r="M9" s="6" t="s">
        <v>4979</v>
      </c>
    </row>
    <row r="10" customFormat="false" ht="15" hidden="false" customHeight="false" outlineLevel="0" collapsed="false">
      <c r="A10" s="6" t="s">
        <v>4999</v>
      </c>
      <c r="B10" s="6" t="s">
        <v>220</v>
      </c>
      <c r="C10" s="6" t="s">
        <v>4975</v>
      </c>
      <c r="D10" s="6" t="s">
        <v>4976</v>
      </c>
      <c r="E10" s="6" t="s">
        <v>4984</v>
      </c>
      <c r="F10" s="6" t="s">
        <v>1329</v>
      </c>
      <c r="G10" s="9" t="n">
        <v>-152015</v>
      </c>
      <c r="H10" s="6" t="s">
        <v>384</v>
      </c>
      <c r="I10" s="6" t="s">
        <v>13</v>
      </c>
      <c r="J10" s="6" t="s">
        <v>218</v>
      </c>
      <c r="K10" s="6" t="s">
        <v>5000</v>
      </c>
      <c r="M10" s="6" t="s">
        <v>4979</v>
      </c>
    </row>
    <row r="11" customFormat="false" ht="15" hidden="false" customHeight="false" outlineLevel="0" collapsed="false">
      <c r="A11" s="6" t="s">
        <v>5001</v>
      </c>
      <c r="B11" s="6" t="s">
        <v>220</v>
      </c>
      <c r="C11" s="6" t="s">
        <v>4975</v>
      </c>
      <c r="D11" s="6" t="s">
        <v>4976</v>
      </c>
      <c r="E11" s="6" t="s">
        <v>4987</v>
      </c>
      <c r="F11" s="6" t="s">
        <v>1547</v>
      </c>
      <c r="G11" s="9" t="n">
        <v>-136867</v>
      </c>
      <c r="H11" s="6" t="s">
        <v>384</v>
      </c>
      <c r="I11" s="6" t="s">
        <v>13</v>
      </c>
      <c r="J11" s="6" t="s">
        <v>218</v>
      </c>
      <c r="K11" s="6" t="s">
        <v>5002</v>
      </c>
      <c r="M11" s="6" t="s">
        <v>4979</v>
      </c>
    </row>
    <row r="12" customFormat="false" ht="15" hidden="false" customHeight="false" outlineLevel="0" collapsed="false">
      <c r="A12" s="6" t="s">
        <v>5003</v>
      </c>
      <c r="B12" s="6" t="s">
        <v>220</v>
      </c>
      <c r="C12" s="6" t="s">
        <v>4975</v>
      </c>
      <c r="D12" s="6" t="s">
        <v>4976</v>
      </c>
      <c r="E12" s="6" t="s">
        <v>4990</v>
      </c>
      <c r="F12" s="6" t="s">
        <v>2989</v>
      </c>
      <c r="G12" s="9" t="n">
        <v>27138</v>
      </c>
      <c r="H12" s="6" t="s">
        <v>384</v>
      </c>
      <c r="I12" s="6" t="s">
        <v>13</v>
      </c>
      <c r="J12" s="6" t="s">
        <v>218</v>
      </c>
      <c r="K12" s="6" t="s">
        <v>5004</v>
      </c>
      <c r="M12" s="6" t="s">
        <v>4979</v>
      </c>
    </row>
    <row r="13" customFormat="false" ht="15" hidden="false" customHeight="false" outlineLevel="0" collapsed="false">
      <c r="A13" s="6" t="s">
        <v>5005</v>
      </c>
      <c r="B13" s="6" t="s">
        <v>220</v>
      </c>
      <c r="C13" s="6" t="s">
        <v>4975</v>
      </c>
      <c r="D13" s="6" t="s">
        <v>4976</v>
      </c>
      <c r="E13" s="6" t="s">
        <v>4993</v>
      </c>
      <c r="F13" s="6" t="s">
        <v>2747</v>
      </c>
      <c r="G13" s="9" t="n">
        <v>104920</v>
      </c>
      <c r="H13" s="6" t="s">
        <v>384</v>
      </c>
      <c r="I13" s="6" t="s">
        <v>13</v>
      </c>
      <c r="J13" s="6" t="s">
        <v>218</v>
      </c>
      <c r="K13" s="6" t="s">
        <v>5006</v>
      </c>
      <c r="M13" s="6" t="s">
        <v>4979</v>
      </c>
    </row>
    <row r="14" customFormat="false" ht="15" hidden="false" customHeight="false" outlineLevel="0" collapsed="false">
      <c r="A14" s="6" t="s">
        <v>5007</v>
      </c>
      <c r="B14" s="6" t="s">
        <v>225</v>
      </c>
      <c r="C14" s="6" t="s">
        <v>4975</v>
      </c>
      <c r="D14" s="6" t="s">
        <v>4976</v>
      </c>
      <c r="E14" s="6" t="s">
        <v>4977</v>
      </c>
      <c r="F14" s="6" t="s">
        <v>454</v>
      </c>
      <c r="G14" s="9" t="n">
        <v>729695</v>
      </c>
      <c r="H14" s="6" t="s">
        <v>384</v>
      </c>
      <c r="I14" s="6" t="s">
        <v>13</v>
      </c>
      <c r="J14" s="6" t="s">
        <v>223</v>
      </c>
      <c r="K14" s="6" t="s">
        <v>5008</v>
      </c>
      <c r="M14" s="6" t="s">
        <v>4979</v>
      </c>
    </row>
    <row r="15" customFormat="false" ht="15" hidden="false" customHeight="false" outlineLevel="0" collapsed="false">
      <c r="A15" s="6" t="s">
        <v>5009</v>
      </c>
      <c r="B15" s="6" t="s">
        <v>225</v>
      </c>
      <c r="C15" s="6" t="s">
        <v>4975</v>
      </c>
      <c r="D15" s="6" t="s">
        <v>4976</v>
      </c>
      <c r="E15" s="6" t="s">
        <v>4981</v>
      </c>
      <c r="F15" s="6" t="s">
        <v>1235</v>
      </c>
      <c r="G15" s="9" t="n">
        <v>687635</v>
      </c>
      <c r="H15" s="6" t="s">
        <v>384</v>
      </c>
      <c r="I15" s="6" t="s">
        <v>13</v>
      </c>
      <c r="J15" s="6" t="s">
        <v>223</v>
      </c>
      <c r="K15" s="6" t="s">
        <v>5010</v>
      </c>
      <c r="M15" s="6" t="s">
        <v>4979</v>
      </c>
    </row>
    <row r="16" customFormat="false" ht="15" hidden="false" customHeight="false" outlineLevel="0" collapsed="false">
      <c r="A16" s="6" t="s">
        <v>5011</v>
      </c>
      <c r="B16" s="6" t="s">
        <v>225</v>
      </c>
      <c r="C16" s="6" t="s">
        <v>4975</v>
      </c>
      <c r="D16" s="6" t="s">
        <v>4976</v>
      </c>
      <c r="E16" s="6" t="s">
        <v>4984</v>
      </c>
      <c r="F16" s="6" t="s">
        <v>1350</v>
      </c>
      <c r="G16" s="9" t="n">
        <v>-38585</v>
      </c>
      <c r="H16" s="6" t="s">
        <v>384</v>
      </c>
      <c r="I16" s="6" t="s">
        <v>13</v>
      </c>
      <c r="J16" s="6" t="s">
        <v>223</v>
      </c>
      <c r="K16" s="6" t="s">
        <v>5012</v>
      </c>
      <c r="M16" s="6" t="s">
        <v>4979</v>
      </c>
    </row>
    <row r="17" customFormat="false" ht="15" hidden="false" customHeight="false" outlineLevel="0" collapsed="false">
      <c r="A17" s="6" t="s">
        <v>5013</v>
      </c>
      <c r="B17" s="6" t="s">
        <v>225</v>
      </c>
      <c r="C17" s="6" t="s">
        <v>4975</v>
      </c>
      <c r="D17" s="6" t="s">
        <v>4976</v>
      </c>
      <c r="E17" s="6" t="s">
        <v>4987</v>
      </c>
      <c r="F17" s="6" t="s">
        <v>1568</v>
      </c>
      <c r="G17" s="9" t="n">
        <v>-1877</v>
      </c>
      <c r="H17" s="6" t="s">
        <v>384</v>
      </c>
      <c r="I17" s="6" t="s">
        <v>13</v>
      </c>
      <c r="J17" s="6" t="s">
        <v>223</v>
      </c>
      <c r="K17" s="6" t="s">
        <v>5014</v>
      </c>
      <c r="M17" s="6" t="s">
        <v>4979</v>
      </c>
    </row>
    <row r="18" customFormat="false" ht="15" hidden="false" customHeight="false" outlineLevel="0" collapsed="false">
      <c r="A18" s="6" t="s">
        <v>5015</v>
      </c>
      <c r="B18" s="6" t="s">
        <v>225</v>
      </c>
      <c r="C18" s="6" t="s">
        <v>4975</v>
      </c>
      <c r="D18" s="6" t="s">
        <v>4976</v>
      </c>
      <c r="E18" s="6" t="s">
        <v>4990</v>
      </c>
      <c r="F18" s="6" t="s">
        <v>3010</v>
      </c>
      <c r="G18" s="9" t="n">
        <v>215404</v>
      </c>
      <c r="H18" s="6" t="s">
        <v>384</v>
      </c>
      <c r="I18" s="6" t="s">
        <v>13</v>
      </c>
      <c r="J18" s="6" t="s">
        <v>223</v>
      </c>
      <c r="K18" s="6" t="s">
        <v>5016</v>
      </c>
      <c r="M18" s="6" t="s">
        <v>4979</v>
      </c>
    </row>
    <row r="19" customFormat="false" ht="15" hidden="false" customHeight="false" outlineLevel="0" collapsed="false">
      <c r="A19" s="6" t="s">
        <v>5017</v>
      </c>
      <c r="B19" s="6" t="s">
        <v>225</v>
      </c>
      <c r="C19" s="6" t="s">
        <v>4975</v>
      </c>
      <c r="D19" s="6" t="s">
        <v>4976</v>
      </c>
      <c r="E19" s="6" t="s">
        <v>4993</v>
      </c>
      <c r="F19" s="6" t="s">
        <v>2768</v>
      </c>
      <c r="G19" s="9" t="n">
        <v>100186</v>
      </c>
      <c r="H19" s="6" t="s">
        <v>384</v>
      </c>
      <c r="I19" s="6" t="s">
        <v>13</v>
      </c>
      <c r="J19" s="6" t="s">
        <v>223</v>
      </c>
      <c r="K19" s="6" t="s">
        <v>5018</v>
      </c>
      <c r="M19" s="6" t="s">
        <v>4979</v>
      </c>
    </row>
    <row r="20" customFormat="false" ht="15" hidden="false" customHeight="false" outlineLevel="0" collapsed="false">
      <c r="A20" s="6" t="s">
        <v>5019</v>
      </c>
      <c r="B20" s="6" t="s">
        <v>230</v>
      </c>
      <c r="C20" s="6" t="s">
        <v>4975</v>
      </c>
      <c r="D20" s="6" t="s">
        <v>4976</v>
      </c>
      <c r="E20" s="6" t="s">
        <v>4977</v>
      </c>
      <c r="F20" s="6" t="s">
        <v>476</v>
      </c>
      <c r="G20" s="9" t="n">
        <v>971995</v>
      </c>
      <c r="H20" s="6" t="s">
        <v>384</v>
      </c>
      <c r="I20" s="6" t="s">
        <v>13</v>
      </c>
      <c r="J20" s="6" t="s">
        <v>228</v>
      </c>
      <c r="K20" s="6" t="s">
        <v>5020</v>
      </c>
      <c r="M20" s="6" t="s">
        <v>4979</v>
      </c>
    </row>
    <row r="21" customFormat="false" ht="15" hidden="false" customHeight="false" outlineLevel="0" collapsed="false">
      <c r="A21" s="6" t="s">
        <v>5021</v>
      </c>
      <c r="B21" s="6" t="s">
        <v>230</v>
      </c>
      <c r="C21" s="6" t="s">
        <v>4975</v>
      </c>
      <c r="D21" s="6" t="s">
        <v>4976</v>
      </c>
      <c r="E21" s="6" t="s">
        <v>4981</v>
      </c>
      <c r="F21" s="6" t="s">
        <v>1256</v>
      </c>
      <c r="G21" s="9" t="n">
        <v>889338</v>
      </c>
      <c r="H21" s="6" t="s">
        <v>384</v>
      </c>
      <c r="I21" s="6" t="s">
        <v>13</v>
      </c>
      <c r="J21" s="6" t="s">
        <v>228</v>
      </c>
      <c r="K21" s="6" t="s">
        <v>5022</v>
      </c>
      <c r="M21" s="6" t="s">
        <v>4979</v>
      </c>
    </row>
    <row r="22" customFormat="false" ht="15" hidden="false" customHeight="false" outlineLevel="0" collapsed="false">
      <c r="A22" s="6" t="s">
        <v>5023</v>
      </c>
      <c r="B22" s="6" t="s">
        <v>230</v>
      </c>
      <c r="C22" s="6" t="s">
        <v>4975</v>
      </c>
      <c r="D22" s="6" t="s">
        <v>4976</v>
      </c>
      <c r="E22" s="6" t="s">
        <v>4984</v>
      </c>
      <c r="F22" s="6" t="s">
        <v>1371</v>
      </c>
      <c r="G22" s="9" t="n">
        <v>-21034</v>
      </c>
      <c r="H22" s="6" t="s">
        <v>384</v>
      </c>
      <c r="I22" s="6" t="s">
        <v>13</v>
      </c>
      <c r="J22" s="6" t="s">
        <v>228</v>
      </c>
      <c r="K22" s="6" t="s">
        <v>5024</v>
      </c>
      <c r="M22" s="6" t="s">
        <v>4979</v>
      </c>
    </row>
    <row r="23" customFormat="false" ht="15" hidden="false" customHeight="false" outlineLevel="0" collapsed="false">
      <c r="A23" s="6" t="s">
        <v>5025</v>
      </c>
      <c r="B23" s="6" t="s">
        <v>230</v>
      </c>
      <c r="C23" s="6" t="s">
        <v>4975</v>
      </c>
      <c r="D23" s="6" t="s">
        <v>4976</v>
      </c>
      <c r="E23" s="6" t="s">
        <v>4987</v>
      </c>
      <c r="F23" s="6" t="s">
        <v>1589</v>
      </c>
      <c r="G23" s="9" t="n">
        <v>32372</v>
      </c>
      <c r="H23" s="6" t="s">
        <v>384</v>
      </c>
      <c r="I23" s="6" t="s">
        <v>13</v>
      </c>
      <c r="J23" s="6" t="s">
        <v>228</v>
      </c>
      <c r="K23" s="6" t="s">
        <v>5026</v>
      </c>
      <c r="M23" s="6" t="s">
        <v>4979</v>
      </c>
    </row>
    <row r="24" customFormat="false" ht="15" hidden="false" customHeight="false" outlineLevel="0" collapsed="false">
      <c r="A24" s="6" t="s">
        <v>5027</v>
      </c>
      <c r="B24" s="6" t="s">
        <v>230</v>
      </c>
      <c r="C24" s="6" t="s">
        <v>4975</v>
      </c>
      <c r="D24" s="6" t="s">
        <v>4976</v>
      </c>
      <c r="E24" s="6" t="s">
        <v>4990</v>
      </c>
      <c r="F24" s="6" t="s">
        <v>3031</v>
      </c>
      <c r="G24" s="9" t="n">
        <v>311065</v>
      </c>
      <c r="H24" s="6" t="s">
        <v>384</v>
      </c>
      <c r="I24" s="6" t="s">
        <v>13</v>
      </c>
      <c r="J24" s="6" t="s">
        <v>228</v>
      </c>
      <c r="K24" s="6" t="s">
        <v>5028</v>
      </c>
      <c r="M24" s="6" t="s">
        <v>4979</v>
      </c>
    </row>
    <row r="25" customFormat="false" ht="15" hidden="false" customHeight="false" outlineLevel="0" collapsed="false">
      <c r="A25" s="6" t="s">
        <v>5029</v>
      </c>
      <c r="B25" s="6" t="s">
        <v>230</v>
      </c>
      <c r="C25" s="6" t="s">
        <v>4975</v>
      </c>
      <c r="D25" s="6" t="s">
        <v>4976</v>
      </c>
      <c r="E25" s="6" t="s">
        <v>4993</v>
      </c>
      <c r="F25" s="6" t="s">
        <v>2789</v>
      </c>
      <c r="G25" s="9" t="n">
        <v>129209</v>
      </c>
      <c r="H25" s="6" t="s">
        <v>384</v>
      </c>
      <c r="I25" s="6" t="s">
        <v>13</v>
      </c>
      <c r="J25" s="6" t="s">
        <v>228</v>
      </c>
      <c r="K25" s="6" t="s">
        <v>5030</v>
      </c>
      <c r="M25" s="6" t="s">
        <v>4979</v>
      </c>
    </row>
    <row r="26" customFormat="false" ht="15" hidden="false" customHeight="false" outlineLevel="0" collapsed="false">
      <c r="A26" s="6" t="s">
        <v>5031</v>
      </c>
      <c r="B26" s="6" t="s">
        <v>235</v>
      </c>
      <c r="C26" s="6" t="s">
        <v>4975</v>
      </c>
      <c r="D26" s="6" t="s">
        <v>4976</v>
      </c>
      <c r="E26" s="6" t="s">
        <v>4977</v>
      </c>
      <c r="F26" s="6" t="s">
        <v>498</v>
      </c>
      <c r="G26" s="9" t="n">
        <v>1231997</v>
      </c>
      <c r="H26" s="6" t="s">
        <v>384</v>
      </c>
      <c r="I26" s="6" t="s">
        <v>13</v>
      </c>
      <c r="J26" s="6" t="s">
        <v>233</v>
      </c>
      <c r="K26" s="6" t="s">
        <v>5032</v>
      </c>
      <c r="M26" s="6" t="s">
        <v>4979</v>
      </c>
    </row>
    <row r="27" customFormat="false" ht="15" hidden="false" customHeight="false" outlineLevel="0" collapsed="false">
      <c r="A27" s="6" t="s">
        <v>5033</v>
      </c>
      <c r="B27" s="6" t="s">
        <v>235</v>
      </c>
      <c r="C27" s="6" t="s">
        <v>4975</v>
      </c>
      <c r="D27" s="6" t="s">
        <v>4976</v>
      </c>
      <c r="E27" s="6" t="s">
        <v>4981</v>
      </c>
      <c r="F27" s="6" t="s">
        <v>1277</v>
      </c>
      <c r="G27" s="9" t="n">
        <v>1100646</v>
      </c>
      <c r="H27" s="6" t="s">
        <v>384</v>
      </c>
      <c r="I27" s="6" t="s">
        <v>13</v>
      </c>
      <c r="J27" s="6" t="s">
        <v>233</v>
      </c>
      <c r="K27" s="6" t="s">
        <v>5034</v>
      </c>
      <c r="M27" s="6" t="s">
        <v>4979</v>
      </c>
    </row>
    <row r="28" customFormat="false" ht="15" hidden="false" customHeight="false" outlineLevel="0" collapsed="false">
      <c r="A28" s="6" t="s">
        <v>5035</v>
      </c>
      <c r="B28" s="6" t="s">
        <v>235</v>
      </c>
      <c r="C28" s="6" t="s">
        <v>4975</v>
      </c>
      <c r="D28" s="6" t="s">
        <v>4976</v>
      </c>
      <c r="E28" s="6" t="s">
        <v>4984</v>
      </c>
      <c r="F28" s="6" t="s">
        <v>1392</v>
      </c>
      <c r="G28" s="9" t="n">
        <v>-1748</v>
      </c>
      <c r="H28" s="6" t="s">
        <v>384</v>
      </c>
      <c r="I28" s="6" t="s">
        <v>13</v>
      </c>
      <c r="J28" s="6" t="s">
        <v>233</v>
      </c>
      <c r="K28" s="6" t="s">
        <v>5036</v>
      </c>
      <c r="M28" s="6" t="s">
        <v>4979</v>
      </c>
    </row>
    <row r="29" customFormat="false" ht="15" hidden="false" customHeight="false" outlineLevel="0" collapsed="false">
      <c r="A29" s="6" t="s">
        <v>5037</v>
      </c>
      <c r="B29" s="6" t="s">
        <v>235</v>
      </c>
      <c r="C29" s="6" t="s">
        <v>4975</v>
      </c>
      <c r="D29" s="6" t="s">
        <v>4976</v>
      </c>
      <c r="E29" s="6" t="s">
        <v>4987</v>
      </c>
      <c r="F29" s="6" t="s">
        <v>1610</v>
      </c>
      <c r="G29" s="9" t="n">
        <v>118742</v>
      </c>
      <c r="H29" s="6" t="s">
        <v>384</v>
      </c>
      <c r="I29" s="6" t="s">
        <v>13</v>
      </c>
      <c r="J29" s="6" t="s">
        <v>233</v>
      </c>
      <c r="K29" s="6" t="s">
        <v>5038</v>
      </c>
      <c r="M29" s="6" t="s">
        <v>4979</v>
      </c>
    </row>
    <row r="30" customFormat="false" ht="15" hidden="false" customHeight="false" outlineLevel="0" collapsed="false">
      <c r="A30" s="6" t="s">
        <v>5039</v>
      </c>
      <c r="B30" s="6" t="s">
        <v>235</v>
      </c>
      <c r="C30" s="6" t="s">
        <v>4975</v>
      </c>
      <c r="D30" s="6" t="s">
        <v>4976</v>
      </c>
      <c r="E30" s="6" t="s">
        <v>4990</v>
      </c>
      <c r="F30" s="6" t="s">
        <v>3052</v>
      </c>
      <c r="G30" s="9" t="n">
        <v>333644</v>
      </c>
      <c r="H30" s="6" t="s">
        <v>384</v>
      </c>
      <c r="I30" s="6" t="s">
        <v>13</v>
      </c>
      <c r="J30" s="6" t="s">
        <v>233</v>
      </c>
      <c r="K30" s="6" t="s">
        <v>5040</v>
      </c>
      <c r="M30" s="6" t="s">
        <v>4979</v>
      </c>
    </row>
    <row r="31" customFormat="false" ht="15" hidden="false" customHeight="false" outlineLevel="0" collapsed="false">
      <c r="A31" s="6" t="s">
        <v>5041</v>
      </c>
      <c r="B31" s="6" t="s">
        <v>235</v>
      </c>
      <c r="C31" s="6" t="s">
        <v>4975</v>
      </c>
      <c r="D31" s="6" t="s">
        <v>4976</v>
      </c>
      <c r="E31" s="6" t="s">
        <v>4993</v>
      </c>
      <c r="F31" s="6" t="s">
        <v>2810</v>
      </c>
      <c r="G31" s="9" t="n">
        <v>177011</v>
      </c>
      <c r="H31" s="6" t="s">
        <v>384</v>
      </c>
      <c r="I31" s="6" t="s">
        <v>13</v>
      </c>
      <c r="J31" s="6" t="s">
        <v>233</v>
      </c>
      <c r="K31" s="6" t="s">
        <v>5042</v>
      </c>
      <c r="M31" s="6" t="s">
        <v>4979</v>
      </c>
    </row>
    <row r="32" customFormat="false" ht="15" hidden="false" customHeight="false" outlineLevel="0" collapsed="false">
      <c r="A32" s="6" t="s">
        <v>5043</v>
      </c>
      <c r="B32" s="6" t="s">
        <v>212</v>
      </c>
      <c r="C32" s="6" t="s">
        <v>4975</v>
      </c>
      <c r="D32" s="6" t="s">
        <v>4976</v>
      </c>
      <c r="E32" s="6" t="s">
        <v>5044</v>
      </c>
      <c r="F32" s="6" t="s">
        <v>5045</v>
      </c>
      <c r="G32" s="9" t="n">
        <v>395292</v>
      </c>
      <c r="H32" s="6" t="s">
        <v>384</v>
      </c>
      <c r="I32" s="6" t="s">
        <v>13</v>
      </c>
      <c r="J32" s="6" t="s">
        <v>209</v>
      </c>
      <c r="K32" s="6" t="s">
        <v>5046</v>
      </c>
      <c r="M32" s="8" t="s">
        <v>5047</v>
      </c>
    </row>
    <row r="33" customFormat="false" ht="15" hidden="false" customHeight="false" outlineLevel="0" collapsed="false">
      <c r="A33" s="6" t="s">
        <v>5048</v>
      </c>
      <c r="B33" s="6" t="s">
        <v>5049</v>
      </c>
      <c r="C33" s="6" t="s">
        <v>5050</v>
      </c>
      <c r="D33" s="6" t="s">
        <v>5051</v>
      </c>
      <c r="E33" s="6" t="s">
        <v>5052</v>
      </c>
      <c r="F33" s="6" t="s">
        <v>5053</v>
      </c>
      <c r="G33" s="9" t="n">
        <v>51953</v>
      </c>
      <c r="H33" s="6" t="s">
        <v>384</v>
      </c>
      <c r="I33" s="6" t="s">
        <v>13</v>
      </c>
      <c r="J33" s="6" t="s">
        <v>218</v>
      </c>
      <c r="K33" s="6" t="s">
        <v>5054</v>
      </c>
      <c r="M33" s="6" t="s">
        <v>5055</v>
      </c>
    </row>
    <row r="34" customFormat="false" ht="15" hidden="false" customHeight="false" outlineLevel="0" collapsed="false">
      <c r="A34" s="6" t="s">
        <v>5056</v>
      </c>
      <c r="B34" s="6" t="s">
        <v>5057</v>
      </c>
      <c r="C34" s="6" t="s">
        <v>5050</v>
      </c>
      <c r="D34" s="6" t="s">
        <v>5051</v>
      </c>
      <c r="E34" s="6" t="s">
        <v>5052</v>
      </c>
      <c r="F34" s="6" t="s">
        <v>5053</v>
      </c>
      <c r="G34" s="9" t="n">
        <v>44639</v>
      </c>
      <c r="H34" s="6" t="s">
        <v>384</v>
      </c>
      <c r="I34" s="6" t="s">
        <v>13</v>
      </c>
      <c r="J34" s="6" t="s">
        <v>218</v>
      </c>
      <c r="K34" s="6" t="s">
        <v>5054</v>
      </c>
      <c r="M34" s="6" t="s">
        <v>5055</v>
      </c>
    </row>
    <row r="35" customFormat="false" ht="15" hidden="false" customHeight="false" outlineLevel="0" collapsed="false">
      <c r="A35" s="6" t="s">
        <v>5058</v>
      </c>
      <c r="B35" s="6" t="s">
        <v>5057</v>
      </c>
      <c r="C35" s="6" t="s">
        <v>5050</v>
      </c>
      <c r="D35" s="6" t="s">
        <v>5051</v>
      </c>
      <c r="E35" s="6" t="s">
        <v>5052</v>
      </c>
      <c r="F35" s="6" t="s">
        <v>5059</v>
      </c>
      <c r="G35" s="9" t="n">
        <v>44639</v>
      </c>
      <c r="H35" s="6" t="s">
        <v>384</v>
      </c>
      <c r="I35" s="6" t="s">
        <v>13</v>
      </c>
      <c r="J35" s="6" t="s">
        <v>223</v>
      </c>
      <c r="K35" s="6" t="s">
        <v>5060</v>
      </c>
      <c r="M35" s="6"/>
    </row>
    <row r="36" customFormat="false" ht="15" hidden="false" customHeight="false" outlineLevel="0" collapsed="false">
      <c r="A36" s="6" t="s">
        <v>5061</v>
      </c>
      <c r="B36" s="6" t="s">
        <v>5062</v>
      </c>
      <c r="C36" s="6" t="s">
        <v>5050</v>
      </c>
      <c r="D36" s="6" t="s">
        <v>5051</v>
      </c>
      <c r="E36" s="6" t="s">
        <v>5052</v>
      </c>
      <c r="F36" s="6" t="s">
        <v>5059</v>
      </c>
      <c r="G36" s="9" t="n">
        <v>63440</v>
      </c>
      <c r="H36" s="6" t="s">
        <v>384</v>
      </c>
      <c r="I36" s="6" t="s">
        <v>13</v>
      </c>
      <c r="J36" s="6" t="s">
        <v>223</v>
      </c>
      <c r="K36" s="6" t="s">
        <v>5060</v>
      </c>
      <c r="M36" s="6"/>
    </row>
    <row r="37" customFormat="false" ht="15" hidden="false" customHeight="false" outlineLevel="0" collapsed="false">
      <c r="A37" s="6" t="s">
        <v>5063</v>
      </c>
      <c r="B37" s="6" t="s">
        <v>5062</v>
      </c>
      <c r="C37" s="6" t="s">
        <v>5050</v>
      </c>
      <c r="D37" s="6" t="s">
        <v>5051</v>
      </c>
      <c r="E37" s="6" t="s">
        <v>5052</v>
      </c>
      <c r="F37" s="6" t="s">
        <v>5064</v>
      </c>
      <c r="G37" s="9" t="n">
        <v>63440</v>
      </c>
      <c r="H37" s="6" t="s">
        <v>384</v>
      </c>
      <c r="I37" s="6" t="s">
        <v>13</v>
      </c>
      <c r="J37" s="6" t="s">
        <v>228</v>
      </c>
      <c r="K37" s="6" t="s">
        <v>5065</v>
      </c>
      <c r="M37" s="6"/>
    </row>
    <row r="38" customFormat="false" ht="15" hidden="false" customHeight="false" outlineLevel="0" collapsed="false">
      <c r="A38" s="6" t="s">
        <v>5066</v>
      </c>
      <c r="B38" s="6" t="s">
        <v>5067</v>
      </c>
      <c r="C38" s="6" t="s">
        <v>5050</v>
      </c>
      <c r="D38" s="6" t="s">
        <v>5051</v>
      </c>
      <c r="E38" s="6" t="s">
        <v>5052</v>
      </c>
      <c r="F38" s="6" t="s">
        <v>5064</v>
      </c>
      <c r="G38" s="9" t="n">
        <v>95960</v>
      </c>
      <c r="H38" s="6" t="s">
        <v>384</v>
      </c>
      <c r="I38" s="6" t="s">
        <v>13</v>
      </c>
      <c r="J38" s="6" t="s">
        <v>228</v>
      </c>
      <c r="K38" s="6" t="s">
        <v>5065</v>
      </c>
      <c r="M38" s="6"/>
    </row>
    <row r="39" customFormat="false" ht="15" hidden="false" customHeight="false" outlineLevel="0" collapsed="false">
      <c r="A39" s="6" t="s">
        <v>5068</v>
      </c>
      <c r="B39" s="6" t="s">
        <v>5067</v>
      </c>
      <c r="C39" s="6" t="s">
        <v>5050</v>
      </c>
      <c r="D39" s="6" t="s">
        <v>5051</v>
      </c>
      <c r="E39" s="6" t="s">
        <v>5052</v>
      </c>
      <c r="F39" s="6" t="s">
        <v>5069</v>
      </c>
      <c r="G39" s="9" t="n">
        <v>95960</v>
      </c>
      <c r="H39" s="6" t="s">
        <v>384</v>
      </c>
      <c r="I39" s="6" t="s">
        <v>13</v>
      </c>
      <c r="J39" s="6" t="s">
        <v>233</v>
      </c>
      <c r="K39" s="6" t="s">
        <v>5070</v>
      </c>
      <c r="M39" s="6"/>
    </row>
    <row r="40" customFormat="false" ht="15" hidden="false" customHeight="false" outlineLevel="0" collapsed="false">
      <c r="A40" s="6" t="s">
        <v>5071</v>
      </c>
      <c r="B40" s="6" t="s">
        <v>5072</v>
      </c>
      <c r="C40" s="6" t="s">
        <v>5050</v>
      </c>
      <c r="D40" s="6" t="s">
        <v>5051</v>
      </c>
      <c r="E40" s="6" t="s">
        <v>5052</v>
      </c>
      <c r="F40" s="6" t="s">
        <v>5069</v>
      </c>
      <c r="G40" s="9" t="n">
        <v>132264</v>
      </c>
      <c r="H40" s="6" t="s">
        <v>384</v>
      </c>
      <c r="I40" s="6" t="s">
        <v>13</v>
      </c>
      <c r="J40" s="6" t="s">
        <v>233</v>
      </c>
      <c r="K40" s="6" t="s">
        <v>5070</v>
      </c>
      <c r="M40" s="6"/>
    </row>
    <row r="41" customFormat="false" ht="15" hidden="false" customHeight="false" outlineLevel="0" collapsed="false">
      <c r="A41" s="6" t="s">
        <v>5073</v>
      </c>
      <c r="B41" s="6" t="s">
        <v>5074</v>
      </c>
      <c r="C41" s="6" t="s">
        <v>4975</v>
      </c>
      <c r="D41" s="6" t="s">
        <v>5051</v>
      </c>
      <c r="E41" s="6" t="s">
        <v>5075</v>
      </c>
      <c r="F41" s="6" t="s">
        <v>5076</v>
      </c>
      <c r="G41" s="13" t="n">
        <v>23.8</v>
      </c>
      <c r="H41" s="6" t="s">
        <v>3751</v>
      </c>
      <c r="I41" s="6" t="s">
        <v>13</v>
      </c>
      <c r="J41" s="6" t="s">
        <v>223</v>
      </c>
      <c r="K41" s="6" t="s">
        <v>5077</v>
      </c>
      <c r="M41" s="6"/>
    </row>
    <row r="42" customFormat="false" ht="15" hidden="false" customHeight="false" outlineLevel="0" collapsed="false">
      <c r="A42" s="6" t="s">
        <v>5078</v>
      </c>
      <c r="B42" s="6" t="s">
        <v>5079</v>
      </c>
      <c r="C42" s="6" t="s">
        <v>4975</v>
      </c>
      <c r="D42" s="6" t="s">
        <v>5051</v>
      </c>
      <c r="E42" s="6" t="s">
        <v>5080</v>
      </c>
      <c r="F42" s="6" t="s">
        <v>5081</v>
      </c>
      <c r="G42" s="13" t="n">
        <v>31.1</v>
      </c>
      <c r="H42" s="6" t="s">
        <v>3751</v>
      </c>
      <c r="I42" s="6" t="s">
        <v>13</v>
      </c>
      <c r="J42" s="6" t="s">
        <v>233</v>
      </c>
      <c r="K42" s="6" t="s">
        <v>5082</v>
      </c>
      <c r="M42" s="6"/>
    </row>
    <row r="43" customFormat="false" ht="15" hidden="false" customHeight="false" outlineLevel="0" collapsed="false">
      <c r="A43" s="6" t="s">
        <v>5083</v>
      </c>
      <c r="B43" s="6" t="s">
        <v>5057</v>
      </c>
      <c r="C43" s="6" t="s">
        <v>5050</v>
      </c>
      <c r="D43" s="6" t="s">
        <v>5051</v>
      </c>
      <c r="E43" s="6" t="s">
        <v>5084</v>
      </c>
      <c r="F43" s="6" t="s">
        <v>5085</v>
      </c>
      <c r="G43" s="12" t="n">
        <v>313</v>
      </c>
      <c r="H43" s="6" t="s">
        <v>5051</v>
      </c>
      <c r="I43" s="6" t="s">
        <v>13</v>
      </c>
      <c r="J43" s="6" t="s">
        <v>218</v>
      </c>
      <c r="K43" s="6" t="s">
        <v>5086</v>
      </c>
      <c r="M43" s="6"/>
    </row>
    <row r="44" customFormat="false" ht="15" hidden="false" customHeight="false" outlineLevel="0" collapsed="false">
      <c r="A44" s="6" t="s">
        <v>5087</v>
      </c>
      <c r="B44" s="6" t="s">
        <v>5049</v>
      </c>
      <c r="C44" s="6" t="s">
        <v>5050</v>
      </c>
      <c r="D44" s="6" t="s">
        <v>5051</v>
      </c>
      <c r="E44" s="6" t="s">
        <v>5088</v>
      </c>
      <c r="F44" s="6" t="s">
        <v>5089</v>
      </c>
      <c r="G44" s="12" t="n">
        <v>232</v>
      </c>
      <c r="H44" s="6" t="s">
        <v>5051</v>
      </c>
      <c r="I44" s="6" t="s">
        <v>13</v>
      </c>
      <c r="J44" s="6" t="s">
        <v>209</v>
      </c>
      <c r="K44" s="6" t="s">
        <v>5090</v>
      </c>
      <c r="M44" s="6"/>
    </row>
    <row r="45" customFormat="false" ht="15" hidden="false" customHeight="false" outlineLevel="0" collapsed="false">
      <c r="A45" s="6" t="s">
        <v>5091</v>
      </c>
      <c r="B45" s="6" t="s">
        <v>5072</v>
      </c>
      <c r="C45" s="6" t="s">
        <v>5050</v>
      </c>
      <c r="D45" s="6" t="s">
        <v>5051</v>
      </c>
      <c r="E45" s="6" t="s">
        <v>5092</v>
      </c>
      <c r="F45" s="6" t="s">
        <v>5093</v>
      </c>
      <c r="G45" s="12" t="n">
        <v>875</v>
      </c>
      <c r="H45" s="6" t="s">
        <v>5051</v>
      </c>
      <c r="I45" s="6" t="s">
        <v>13</v>
      </c>
      <c r="J45" s="6" t="s">
        <v>233</v>
      </c>
      <c r="K45" s="6" t="s">
        <v>5094</v>
      </c>
      <c r="M45" s="6" t="s">
        <v>5095</v>
      </c>
    </row>
    <row r="46" customFormat="false" ht="15" hidden="false" customHeight="false" outlineLevel="0" collapsed="false">
      <c r="A46" s="6" t="s">
        <v>5096</v>
      </c>
      <c r="B46" s="6" t="s">
        <v>5097</v>
      </c>
      <c r="C46" s="6" t="s">
        <v>4975</v>
      </c>
      <c r="D46" s="6" t="s">
        <v>5051</v>
      </c>
      <c r="E46" s="6" t="s">
        <v>5098</v>
      </c>
      <c r="F46" s="6" t="s">
        <v>5099</v>
      </c>
      <c r="G46" s="13" t="n">
        <v>17.5</v>
      </c>
      <c r="H46" s="6" t="s">
        <v>3751</v>
      </c>
      <c r="I46" s="6" t="s">
        <v>13</v>
      </c>
      <c r="J46" s="6" t="s">
        <v>218</v>
      </c>
      <c r="K46" s="6" t="s">
        <v>5100</v>
      </c>
      <c r="M46" s="6"/>
    </row>
    <row r="47" customFormat="false" ht="15" hidden="false" customHeight="false" outlineLevel="0" collapsed="false">
      <c r="A47" s="6" t="s">
        <v>5101</v>
      </c>
      <c r="B47" s="6" t="s">
        <v>5102</v>
      </c>
      <c r="C47" s="6" t="s">
        <v>4975</v>
      </c>
      <c r="D47" s="6" t="s">
        <v>5051</v>
      </c>
      <c r="E47" s="6" t="s">
        <v>5103</v>
      </c>
      <c r="F47" s="6" t="s">
        <v>5104</v>
      </c>
      <c r="G47" s="19" t="n">
        <v>51</v>
      </c>
      <c r="H47" s="6" t="s">
        <v>5105</v>
      </c>
      <c r="I47" s="6" t="s">
        <v>13</v>
      </c>
      <c r="J47" s="6" t="s">
        <v>209</v>
      </c>
      <c r="K47" s="6" t="s">
        <v>5106</v>
      </c>
      <c r="M47" s="6" t="s">
        <v>5107</v>
      </c>
    </row>
    <row r="48" customFormat="false" ht="15" hidden="false" customHeight="false" outlineLevel="0" collapsed="false">
      <c r="A48" s="6" t="s">
        <v>5108</v>
      </c>
      <c r="B48" s="6" t="s">
        <v>5097</v>
      </c>
      <c r="C48" s="6" t="s">
        <v>4975</v>
      </c>
      <c r="D48" s="6" t="s">
        <v>5051</v>
      </c>
      <c r="E48" s="6" t="s">
        <v>5109</v>
      </c>
      <c r="F48" s="6" t="s">
        <v>5110</v>
      </c>
      <c r="G48" s="19" t="n">
        <v>45.6</v>
      </c>
      <c r="H48" s="6" t="s">
        <v>5105</v>
      </c>
      <c r="I48" s="6" t="s">
        <v>13</v>
      </c>
      <c r="J48" s="6" t="s">
        <v>218</v>
      </c>
      <c r="K48" s="6" t="s">
        <v>5111</v>
      </c>
      <c r="M48" s="6" t="s">
        <v>5107</v>
      </c>
    </row>
    <row r="49" customFormat="false" ht="15" hidden="false" customHeight="false" outlineLevel="0" collapsed="false">
      <c r="A49" s="6" t="s">
        <v>5112</v>
      </c>
      <c r="B49" s="6" t="s">
        <v>5113</v>
      </c>
      <c r="C49" s="6" t="s">
        <v>4975</v>
      </c>
      <c r="D49" s="6" t="s">
        <v>5051</v>
      </c>
      <c r="E49" s="6" t="s">
        <v>5109</v>
      </c>
      <c r="F49" s="6" t="s">
        <v>5114</v>
      </c>
      <c r="G49" s="19" t="n">
        <v>35</v>
      </c>
      <c r="H49" s="6" t="s">
        <v>5105</v>
      </c>
      <c r="I49" s="6" t="s">
        <v>13</v>
      </c>
      <c r="J49" s="6" t="s">
        <v>228</v>
      </c>
      <c r="K49" s="6" t="s">
        <v>5115</v>
      </c>
      <c r="M49" s="6" t="s">
        <v>5107</v>
      </c>
    </row>
    <row r="50" customFormat="false" ht="15" hidden="false" customHeight="false" outlineLevel="0" collapsed="false">
      <c r="A50" s="6" t="s">
        <v>5116</v>
      </c>
      <c r="B50" s="6" t="s">
        <v>5079</v>
      </c>
      <c r="C50" s="6" t="s">
        <v>4975</v>
      </c>
      <c r="D50" s="6" t="s">
        <v>5051</v>
      </c>
      <c r="E50" s="6" t="s">
        <v>5109</v>
      </c>
      <c r="F50" s="6" t="s">
        <v>5117</v>
      </c>
      <c r="G50" s="19" t="n">
        <v>26</v>
      </c>
      <c r="H50" s="6" t="s">
        <v>5105</v>
      </c>
      <c r="I50" s="6" t="s">
        <v>13</v>
      </c>
      <c r="J50" s="6" t="s">
        <v>233</v>
      </c>
      <c r="K50" s="6" t="s">
        <v>5118</v>
      </c>
      <c r="M50" s="6"/>
    </row>
    <row r="51" customFormat="false" ht="15" hidden="false" customHeight="false" outlineLevel="0" collapsed="false">
      <c r="A51" s="6" t="s">
        <v>5119</v>
      </c>
      <c r="B51" s="6" t="s">
        <v>5097</v>
      </c>
      <c r="C51" s="6" t="s">
        <v>4975</v>
      </c>
      <c r="D51" s="6" t="s">
        <v>5051</v>
      </c>
      <c r="E51" s="6" t="s">
        <v>5120</v>
      </c>
      <c r="F51" s="6" t="s">
        <v>5121</v>
      </c>
      <c r="G51" s="19" t="n">
        <v>690</v>
      </c>
      <c r="H51" s="6" t="s">
        <v>5122</v>
      </c>
      <c r="I51" s="6" t="s">
        <v>13</v>
      </c>
      <c r="J51" s="6" t="s">
        <v>218</v>
      </c>
      <c r="K51" s="6" t="s">
        <v>5123</v>
      </c>
      <c r="M51" s="6" t="s">
        <v>5124</v>
      </c>
    </row>
    <row r="52" customFormat="false" ht="15" hidden="false" customHeight="false" outlineLevel="0" collapsed="false">
      <c r="A52" s="6" t="s">
        <v>5125</v>
      </c>
      <c r="B52" s="6" t="s">
        <v>5072</v>
      </c>
      <c r="C52" s="6" t="s">
        <v>5050</v>
      </c>
      <c r="D52" s="6" t="s">
        <v>5051</v>
      </c>
      <c r="E52" s="6" t="s">
        <v>5126</v>
      </c>
      <c r="F52" s="6" t="s">
        <v>5117</v>
      </c>
      <c r="G52" s="12" t="n">
        <v>3155</v>
      </c>
      <c r="H52" s="6" t="s">
        <v>5051</v>
      </c>
      <c r="I52" s="6" t="s">
        <v>13</v>
      </c>
      <c r="J52" s="6" t="s">
        <v>233</v>
      </c>
      <c r="K52" s="6" t="s">
        <v>5118</v>
      </c>
      <c r="M52" s="6" t="s">
        <v>5127</v>
      </c>
    </row>
    <row r="53" customFormat="false" ht="15" hidden="false" customHeight="false" outlineLevel="0" collapsed="false">
      <c r="A53" s="6" t="s">
        <v>5128</v>
      </c>
      <c r="B53" s="6" t="s">
        <v>5049</v>
      </c>
      <c r="C53" s="6" t="s">
        <v>5050</v>
      </c>
      <c r="D53" s="6" t="s">
        <v>5051</v>
      </c>
      <c r="E53" s="6" t="s">
        <v>5129</v>
      </c>
      <c r="F53" s="6" t="s">
        <v>5130</v>
      </c>
      <c r="G53" s="12" t="n">
        <v>46</v>
      </c>
      <c r="H53" s="6" t="s">
        <v>5051</v>
      </c>
      <c r="I53" s="6" t="s">
        <v>13</v>
      </c>
      <c r="J53" s="6" t="s">
        <v>209</v>
      </c>
      <c r="K53" s="6" t="s">
        <v>5131</v>
      </c>
      <c r="M53" s="6" t="s">
        <v>5055</v>
      </c>
    </row>
    <row r="54" customFormat="false" ht="15" hidden="false" customHeight="false" outlineLevel="0" collapsed="false">
      <c r="A54" s="6" t="s">
        <v>5132</v>
      </c>
      <c r="B54" s="6" t="s">
        <v>5067</v>
      </c>
      <c r="C54" s="6" t="s">
        <v>5050</v>
      </c>
      <c r="D54" s="6" t="s">
        <v>5051</v>
      </c>
      <c r="E54" s="6" t="s">
        <v>5129</v>
      </c>
      <c r="F54" s="6" t="s">
        <v>5133</v>
      </c>
      <c r="G54" s="12" t="n">
        <v>118</v>
      </c>
      <c r="H54" s="6" t="s">
        <v>5051</v>
      </c>
      <c r="I54" s="6" t="s">
        <v>13</v>
      </c>
      <c r="J54" s="6" t="s">
        <v>228</v>
      </c>
      <c r="K54" s="6" t="s">
        <v>5134</v>
      </c>
      <c r="M54" s="6"/>
    </row>
    <row r="55" customFormat="false" ht="15" hidden="false" customHeight="false" outlineLevel="0" collapsed="false">
      <c r="A55" s="6" t="s">
        <v>5135</v>
      </c>
      <c r="B55" s="6" t="s">
        <v>5072</v>
      </c>
      <c r="C55" s="6" t="s">
        <v>5050</v>
      </c>
      <c r="D55" s="6" t="s">
        <v>5051</v>
      </c>
      <c r="E55" s="6" t="s">
        <v>5129</v>
      </c>
      <c r="F55" s="6" t="s">
        <v>5136</v>
      </c>
      <c r="G55" s="12" t="n">
        <v>157</v>
      </c>
      <c r="H55" s="6" t="s">
        <v>5051</v>
      </c>
      <c r="I55" s="6" t="s">
        <v>13</v>
      </c>
      <c r="J55" s="6" t="s">
        <v>233</v>
      </c>
      <c r="K55" s="6" t="s">
        <v>5137</v>
      </c>
      <c r="M55" s="6"/>
    </row>
    <row r="56" customFormat="false" ht="15" hidden="false" customHeight="false" outlineLevel="0" collapsed="false">
      <c r="A56" s="6" t="s">
        <v>5138</v>
      </c>
      <c r="B56" s="6" t="s">
        <v>5049</v>
      </c>
      <c r="C56" s="6" t="s">
        <v>5050</v>
      </c>
      <c r="D56" s="6" t="s">
        <v>5051</v>
      </c>
      <c r="E56" s="6" t="s">
        <v>5139</v>
      </c>
      <c r="F56" s="6" t="s">
        <v>5140</v>
      </c>
      <c r="G56" s="12" t="n">
        <v>291</v>
      </c>
      <c r="H56" s="6" t="s">
        <v>5051</v>
      </c>
      <c r="I56" s="6" t="s">
        <v>13</v>
      </c>
      <c r="J56" s="6" t="s">
        <v>209</v>
      </c>
      <c r="K56" s="6" t="s">
        <v>5131</v>
      </c>
      <c r="M56" s="6"/>
    </row>
    <row r="57" customFormat="false" ht="15" hidden="false" customHeight="false" outlineLevel="0" collapsed="false">
      <c r="A57" s="6" t="s">
        <v>5141</v>
      </c>
      <c r="B57" s="6" t="s">
        <v>5067</v>
      </c>
      <c r="C57" s="6" t="s">
        <v>5050</v>
      </c>
      <c r="D57" s="6" t="s">
        <v>5051</v>
      </c>
      <c r="E57" s="6" t="s">
        <v>5139</v>
      </c>
      <c r="F57" s="6" t="s">
        <v>5133</v>
      </c>
      <c r="G57" s="12" t="n">
        <v>625</v>
      </c>
      <c r="H57" s="6" t="s">
        <v>5051</v>
      </c>
      <c r="I57" s="6" t="s">
        <v>13</v>
      </c>
      <c r="J57" s="6" t="s">
        <v>228</v>
      </c>
      <c r="K57" s="6" t="s">
        <v>5134</v>
      </c>
      <c r="M57" s="6"/>
    </row>
    <row r="58" customFormat="false" ht="15" hidden="false" customHeight="false" outlineLevel="0" collapsed="false">
      <c r="A58" s="6" t="s">
        <v>5142</v>
      </c>
      <c r="B58" s="6" t="s">
        <v>5072</v>
      </c>
      <c r="C58" s="6" t="s">
        <v>5050</v>
      </c>
      <c r="D58" s="6" t="s">
        <v>5051</v>
      </c>
      <c r="E58" s="6" t="s">
        <v>5139</v>
      </c>
      <c r="F58" s="6" t="s">
        <v>5136</v>
      </c>
      <c r="G58" s="12" t="n">
        <v>755</v>
      </c>
      <c r="H58" s="6" t="s">
        <v>5051</v>
      </c>
      <c r="I58" s="6" t="s">
        <v>13</v>
      </c>
      <c r="J58" s="6" t="s">
        <v>233</v>
      </c>
      <c r="K58" s="6" t="s">
        <v>5137</v>
      </c>
      <c r="M58" s="6"/>
    </row>
    <row r="59" customFormat="false" ht="15" hidden="false" customHeight="false" outlineLevel="0" collapsed="false">
      <c r="A59" s="6" t="s">
        <v>5143</v>
      </c>
      <c r="B59" s="6" t="s">
        <v>5049</v>
      </c>
      <c r="C59" s="6" t="s">
        <v>5050</v>
      </c>
      <c r="D59" s="6" t="s">
        <v>5051</v>
      </c>
      <c r="E59" s="6" t="s">
        <v>5144</v>
      </c>
      <c r="F59" s="6" t="s">
        <v>5145</v>
      </c>
      <c r="G59" s="12" t="n">
        <v>727</v>
      </c>
      <c r="H59" s="6" t="s">
        <v>5051</v>
      </c>
      <c r="I59" s="6" t="s">
        <v>13</v>
      </c>
      <c r="J59" s="6" t="s">
        <v>209</v>
      </c>
      <c r="K59" s="6" t="s">
        <v>5131</v>
      </c>
      <c r="M59" s="6" t="s">
        <v>5055</v>
      </c>
    </row>
    <row r="60" customFormat="false" ht="15" hidden="false" customHeight="false" outlineLevel="0" collapsed="false">
      <c r="A60" s="6" t="s">
        <v>5146</v>
      </c>
      <c r="B60" s="6" t="s">
        <v>5067</v>
      </c>
      <c r="C60" s="6" t="s">
        <v>5050</v>
      </c>
      <c r="D60" s="6" t="s">
        <v>5051</v>
      </c>
      <c r="E60" s="6" t="s">
        <v>5147</v>
      </c>
      <c r="F60" s="6" t="s">
        <v>5133</v>
      </c>
      <c r="G60" s="12" t="n">
        <v>271</v>
      </c>
      <c r="H60" s="6" t="s">
        <v>5051</v>
      </c>
      <c r="I60" s="6" t="s">
        <v>13</v>
      </c>
      <c r="J60" s="6" t="s">
        <v>228</v>
      </c>
      <c r="K60" s="6" t="s">
        <v>5134</v>
      </c>
      <c r="M60" s="6"/>
    </row>
    <row r="61" customFormat="false" ht="15" hidden="false" customHeight="false" outlineLevel="0" collapsed="false">
      <c r="A61" s="6" t="s">
        <v>5148</v>
      </c>
      <c r="B61" s="6" t="s">
        <v>5072</v>
      </c>
      <c r="C61" s="6" t="s">
        <v>5050</v>
      </c>
      <c r="D61" s="6" t="s">
        <v>5051</v>
      </c>
      <c r="E61" s="6" t="s">
        <v>5147</v>
      </c>
      <c r="F61" s="6" t="s">
        <v>5136</v>
      </c>
      <c r="G61" s="12" t="n">
        <v>514</v>
      </c>
      <c r="H61" s="6" t="s">
        <v>5051</v>
      </c>
      <c r="I61" s="6" t="s">
        <v>13</v>
      </c>
      <c r="J61" s="6" t="s">
        <v>233</v>
      </c>
      <c r="K61" s="6" t="s">
        <v>5137</v>
      </c>
      <c r="M61" s="6"/>
    </row>
    <row r="62" customFormat="false" ht="15" hidden="false" customHeight="false" outlineLevel="0" collapsed="false">
      <c r="A62" s="6" t="s">
        <v>5149</v>
      </c>
      <c r="B62" s="6" t="s">
        <v>5067</v>
      </c>
      <c r="C62" s="6" t="s">
        <v>5050</v>
      </c>
      <c r="D62" s="6" t="s">
        <v>5051</v>
      </c>
      <c r="E62" s="6" t="s">
        <v>5150</v>
      </c>
      <c r="F62" s="6" t="s">
        <v>5133</v>
      </c>
      <c r="G62" s="12" t="n">
        <v>1494</v>
      </c>
      <c r="H62" s="6" t="s">
        <v>5051</v>
      </c>
      <c r="I62" s="6" t="s">
        <v>13</v>
      </c>
      <c r="J62" s="6" t="s">
        <v>228</v>
      </c>
      <c r="K62" s="6" t="s">
        <v>5134</v>
      </c>
      <c r="M62" s="6"/>
    </row>
    <row r="63" customFormat="false" ht="15" hidden="false" customHeight="false" outlineLevel="0" collapsed="false">
      <c r="A63" s="6" t="s">
        <v>5151</v>
      </c>
      <c r="B63" s="6" t="s">
        <v>5072</v>
      </c>
      <c r="C63" s="6" t="s">
        <v>5050</v>
      </c>
      <c r="D63" s="6" t="s">
        <v>5051</v>
      </c>
      <c r="E63" s="6" t="s">
        <v>5150</v>
      </c>
      <c r="F63" s="6" t="s">
        <v>5136</v>
      </c>
      <c r="G63" s="12" t="n">
        <v>1729</v>
      </c>
      <c r="H63" s="6" t="s">
        <v>5051</v>
      </c>
      <c r="I63" s="6" t="s">
        <v>13</v>
      </c>
      <c r="J63" s="6" t="s">
        <v>233</v>
      </c>
      <c r="K63" s="6" t="s">
        <v>5137</v>
      </c>
      <c r="M63" s="6"/>
    </row>
    <row r="64" customFormat="false" ht="15" hidden="false" customHeight="false" outlineLevel="0" collapsed="false">
      <c r="A64" s="6" t="s">
        <v>5152</v>
      </c>
      <c r="B64" s="6" t="s">
        <v>5062</v>
      </c>
      <c r="C64" s="6" t="s">
        <v>5050</v>
      </c>
      <c r="D64" s="6" t="s">
        <v>5051</v>
      </c>
      <c r="E64" s="6" t="s">
        <v>5153</v>
      </c>
      <c r="F64" s="6" t="s">
        <v>5154</v>
      </c>
      <c r="G64" s="12" t="n">
        <v>409</v>
      </c>
      <c r="H64" s="6" t="s">
        <v>5051</v>
      </c>
      <c r="I64" s="6" t="s">
        <v>13</v>
      </c>
      <c r="J64" s="6" t="s">
        <v>223</v>
      </c>
      <c r="K64" s="6" t="s">
        <v>5155</v>
      </c>
      <c r="M64" s="6"/>
    </row>
    <row r="65" customFormat="false" ht="15" hidden="false" customHeight="false" outlineLevel="0" collapsed="false">
      <c r="A65" s="6" t="s">
        <v>5156</v>
      </c>
      <c r="B65" s="6" t="s">
        <v>5067</v>
      </c>
      <c r="C65" s="6" t="s">
        <v>5050</v>
      </c>
      <c r="D65" s="6" t="s">
        <v>5051</v>
      </c>
      <c r="E65" s="6" t="s">
        <v>5153</v>
      </c>
      <c r="F65" s="6" t="s">
        <v>5157</v>
      </c>
      <c r="G65" s="12" t="n">
        <v>629</v>
      </c>
      <c r="H65" s="6" t="s">
        <v>5051</v>
      </c>
      <c r="I65" s="6" t="s">
        <v>13</v>
      </c>
      <c r="J65" s="6" t="s">
        <v>228</v>
      </c>
      <c r="K65" s="6" t="s">
        <v>5158</v>
      </c>
      <c r="M65" s="6" t="s">
        <v>5159</v>
      </c>
    </row>
    <row r="66" customFormat="false" ht="15" hidden="false" customHeight="false" outlineLevel="0" collapsed="false">
      <c r="A66" s="6" t="s">
        <v>5160</v>
      </c>
      <c r="B66" s="6" t="s">
        <v>5062</v>
      </c>
      <c r="C66" s="6" t="s">
        <v>5050</v>
      </c>
      <c r="D66" s="6" t="s">
        <v>5051</v>
      </c>
      <c r="E66" s="6" t="s">
        <v>5161</v>
      </c>
      <c r="F66" s="6" t="s">
        <v>5162</v>
      </c>
      <c r="G66" s="12" t="n">
        <v>1854</v>
      </c>
      <c r="H66" s="6" t="s">
        <v>5051</v>
      </c>
      <c r="I66" s="6" t="s">
        <v>13</v>
      </c>
      <c r="J66" s="6" t="s">
        <v>223</v>
      </c>
      <c r="K66" s="6" t="s">
        <v>5163</v>
      </c>
      <c r="M66" s="6" t="s">
        <v>5164</v>
      </c>
    </row>
    <row r="67" customFormat="false" ht="15" hidden="false" customHeight="false" outlineLevel="0" collapsed="false">
      <c r="A67" s="6" t="s">
        <v>5165</v>
      </c>
      <c r="B67" s="6" t="s">
        <v>5079</v>
      </c>
      <c r="C67" s="6" t="s">
        <v>5166</v>
      </c>
      <c r="D67" s="6" t="s">
        <v>5051</v>
      </c>
      <c r="E67" s="6" t="s">
        <v>5167</v>
      </c>
      <c r="F67" s="6" t="s">
        <v>5168</v>
      </c>
      <c r="G67" s="19" t="n">
        <v>30</v>
      </c>
      <c r="H67" s="6" t="s">
        <v>5105</v>
      </c>
      <c r="I67" s="6" t="s">
        <v>13</v>
      </c>
      <c r="J67" s="6" t="s">
        <v>287</v>
      </c>
      <c r="K67" s="6" t="s">
        <v>5169</v>
      </c>
      <c r="M67" s="6" t="s">
        <v>5170</v>
      </c>
    </row>
    <row r="68" customFormat="false" ht="15" hidden="false" customHeight="false" outlineLevel="0" collapsed="false">
      <c r="A68" s="6" t="s">
        <v>5171</v>
      </c>
      <c r="B68" s="6" t="s">
        <v>5074</v>
      </c>
      <c r="C68" s="6" t="s">
        <v>4975</v>
      </c>
      <c r="D68" s="6" t="s">
        <v>5051</v>
      </c>
      <c r="E68" s="6" t="s">
        <v>5172</v>
      </c>
      <c r="F68" s="6" t="s">
        <v>5162</v>
      </c>
      <c r="G68" s="19" t="n">
        <v>20</v>
      </c>
      <c r="H68" s="6" t="s">
        <v>5105</v>
      </c>
      <c r="I68" s="6" t="s">
        <v>13</v>
      </c>
      <c r="J68" s="6" t="s">
        <v>223</v>
      </c>
      <c r="K68" s="6" t="s">
        <v>5163</v>
      </c>
      <c r="M68" s="6" t="s">
        <v>5107</v>
      </c>
    </row>
    <row r="69" customFormat="false" ht="15" hidden="false" customHeight="false" outlineLevel="0" collapsed="false">
      <c r="A69" s="6" t="s">
        <v>5173</v>
      </c>
      <c r="B69" s="6" t="s">
        <v>5102</v>
      </c>
      <c r="C69" s="6" t="s">
        <v>4975</v>
      </c>
      <c r="D69" s="6" t="s">
        <v>5051</v>
      </c>
      <c r="E69" s="6" t="s">
        <v>5174</v>
      </c>
      <c r="F69" s="6" t="s">
        <v>5175</v>
      </c>
      <c r="G69" s="9" t="n">
        <v>4608</v>
      </c>
      <c r="H69" s="6" t="s">
        <v>384</v>
      </c>
      <c r="I69" s="6" t="s">
        <v>13</v>
      </c>
      <c r="J69" s="6" t="s">
        <v>223</v>
      </c>
      <c r="K69" s="6" t="s">
        <v>5176</v>
      </c>
      <c r="M69" s="6"/>
    </row>
    <row r="70" customFormat="false" ht="15" hidden="false" customHeight="false" outlineLevel="0" collapsed="false">
      <c r="A70" s="6" t="s">
        <v>5177</v>
      </c>
      <c r="B70" s="6" t="s">
        <v>5097</v>
      </c>
      <c r="C70" s="6" t="s">
        <v>4975</v>
      </c>
      <c r="D70" s="6" t="s">
        <v>5051</v>
      </c>
      <c r="E70" s="6" t="s">
        <v>5174</v>
      </c>
      <c r="F70" s="6" t="s">
        <v>5175</v>
      </c>
      <c r="G70" s="9" t="n">
        <v>7289</v>
      </c>
      <c r="H70" s="6" t="s">
        <v>384</v>
      </c>
      <c r="I70" s="6" t="s">
        <v>13</v>
      </c>
      <c r="J70" s="6" t="s">
        <v>223</v>
      </c>
      <c r="K70" s="6" t="s">
        <v>5176</v>
      </c>
      <c r="M70" s="6"/>
    </row>
    <row r="71" customFormat="false" ht="15" hidden="false" customHeight="false" outlineLevel="0" collapsed="false">
      <c r="A71" s="6" t="s">
        <v>5178</v>
      </c>
      <c r="B71" s="6" t="s">
        <v>5074</v>
      </c>
      <c r="C71" s="6" t="s">
        <v>4975</v>
      </c>
      <c r="D71" s="6" t="s">
        <v>5051</v>
      </c>
      <c r="E71" s="6" t="s">
        <v>5174</v>
      </c>
      <c r="F71" s="6" t="s">
        <v>5175</v>
      </c>
      <c r="G71" s="9" t="n">
        <v>8435</v>
      </c>
      <c r="H71" s="6" t="s">
        <v>384</v>
      </c>
      <c r="I71" s="6" t="s">
        <v>13</v>
      </c>
      <c r="J71" s="6" t="s">
        <v>223</v>
      </c>
      <c r="K71" s="6" t="s">
        <v>5176</v>
      </c>
      <c r="M71" s="6"/>
    </row>
    <row r="72" customFormat="false" ht="15" hidden="false" customHeight="false" outlineLevel="0" collapsed="false">
      <c r="A72" s="6" t="s">
        <v>5179</v>
      </c>
      <c r="B72" s="6" t="s">
        <v>5180</v>
      </c>
      <c r="C72" s="6" t="s">
        <v>5050</v>
      </c>
      <c r="D72" s="6" t="s">
        <v>5051</v>
      </c>
      <c r="E72" s="6" t="s">
        <v>5181</v>
      </c>
      <c r="F72" s="6" t="s">
        <v>5182</v>
      </c>
      <c r="G72" s="12" t="n">
        <v>166</v>
      </c>
      <c r="H72" s="6" t="s">
        <v>5051</v>
      </c>
      <c r="I72" s="6" t="s">
        <v>13</v>
      </c>
      <c r="J72" s="6" t="s">
        <v>218</v>
      </c>
      <c r="K72" s="6" t="s">
        <v>5183</v>
      </c>
      <c r="M72" s="6"/>
    </row>
    <row r="73" customFormat="false" ht="15" hidden="false" customHeight="false" outlineLevel="0" collapsed="false">
      <c r="A73" s="6" t="s">
        <v>5184</v>
      </c>
      <c r="B73" s="6" t="s">
        <v>5057</v>
      </c>
      <c r="C73" s="6" t="s">
        <v>5050</v>
      </c>
      <c r="D73" s="6" t="s">
        <v>5051</v>
      </c>
      <c r="E73" s="6" t="s">
        <v>5181</v>
      </c>
      <c r="F73" s="6" t="s">
        <v>5182</v>
      </c>
      <c r="G73" s="12" t="n">
        <v>774</v>
      </c>
      <c r="H73" s="6" t="s">
        <v>5051</v>
      </c>
      <c r="I73" s="6" t="s">
        <v>13</v>
      </c>
      <c r="J73" s="6" t="s">
        <v>218</v>
      </c>
      <c r="K73" s="6" t="s">
        <v>5183</v>
      </c>
      <c r="M73" s="6"/>
    </row>
    <row r="74" customFormat="false" ht="15" hidden="false" customHeight="false" outlineLevel="0" collapsed="false">
      <c r="A74" s="6" t="s">
        <v>5185</v>
      </c>
      <c r="B74" s="6" t="s">
        <v>5180</v>
      </c>
      <c r="C74" s="6" t="s">
        <v>5050</v>
      </c>
      <c r="D74" s="6" t="s">
        <v>5051</v>
      </c>
      <c r="E74" s="6" t="s">
        <v>5186</v>
      </c>
      <c r="F74" s="6" t="s">
        <v>5187</v>
      </c>
      <c r="G74" s="12" t="n">
        <v>166</v>
      </c>
      <c r="H74" s="6" t="s">
        <v>5051</v>
      </c>
      <c r="I74" s="6" t="s">
        <v>13</v>
      </c>
      <c r="J74" s="6" t="s">
        <v>209</v>
      </c>
      <c r="K74" s="6" t="s">
        <v>5188</v>
      </c>
      <c r="M74" s="6"/>
    </row>
    <row r="75" customFormat="false" ht="15" hidden="false" customHeight="false" outlineLevel="0" collapsed="false">
      <c r="A75" s="6" t="s">
        <v>5189</v>
      </c>
      <c r="B75" s="6" t="s">
        <v>5049</v>
      </c>
      <c r="C75" s="6" t="s">
        <v>5050</v>
      </c>
      <c r="D75" s="6" t="s">
        <v>5051</v>
      </c>
      <c r="E75" s="6" t="s">
        <v>5186</v>
      </c>
      <c r="F75" s="6" t="s">
        <v>5190</v>
      </c>
      <c r="G75" s="12" t="n">
        <v>567</v>
      </c>
      <c r="H75" s="6" t="s">
        <v>5051</v>
      </c>
      <c r="I75" s="6" t="s">
        <v>13</v>
      </c>
      <c r="J75" s="6" t="s">
        <v>209</v>
      </c>
      <c r="K75" s="6" t="s">
        <v>5188</v>
      </c>
      <c r="M75" s="6"/>
    </row>
    <row r="76" customFormat="false" ht="15" hidden="false" customHeight="false" outlineLevel="0" collapsed="false">
      <c r="A76" s="6" t="s">
        <v>5191</v>
      </c>
      <c r="B76" s="6" t="s">
        <v>5097</v>
      </c>
      <c r="C76" s="6" t="s">
        <v>4975</v>
      </c>
      <c r="D76" s="6" t="s">
        <v>5051</v>
      </c>
      <c r="E76" s="6" t="s">
        <v>5192</v>
      </c>
      <c r="F76" s="6" t="s">
        <v>5193</v>
      </c>
      <c r="G76" s="9" t="n">
        <v>7289</v>
      </c>
      <c r="H76" s="6" t="s">
        <v>384</v>
      </c>
      <c r="I76" s="6" t="s">
        <v>13</v>
      </c>
      <c r="J76" s="6" t="s">
        <v>228</v>
      </c>
      <c r="K76" s="6" t="s">
        <v>5194</v>
      </c>
      <c r="M76" s="6"/>
    </row>
    <row r="77" customFormat="false" ht="15" hidden="false" customHeight="false" outlineLevel="0" collapsed="false">
      <c r="A77" s="6" t="s">
        <v>5195</v>
      </c>
      <c r="B77" s="6" t="s">
        <v>5074</v>
      </c>
      <c r="C77" s="6" t="s">
        <v>4975</v>
      </c>
      <c r="D77" s="6" t="s">
        <v>5051</v>
      </c>
      <c r="E77" s="6" t="s">
        <v>5192</v>
      </c>
      <c r="F77" s="6" t="s">
        <v>5193</v>
      </c>
      <c r="G77" s="9" t="n">
        <v>8435</v>
      </c>
      <c r="H77" s="6" t="s">
        <v>384</v>
      </c>
      <c r="I77" s="6" t="s">
        <v>13</v>
      </c>
      <c r="J77" s="6" t="s">
        <v>228</v>
      </c>
      <c r="K77" s="6" t="s">
        <v>5194</v>
      </c>
      <c r="M77" s="6"/>
    </row>
    <row r="78" customFormat="false" ht="15" hidden="false" customHeight="false" outlineLevel="0" collapsed="false">
      <c r="A78" s="6" t="s">
        <v>5196</v>
      </c>
      <c r="B78" s="6" t="s">
        <v>5074</v>
      </c>
      <c r="C78" s="6" t="s">
        <v>4975</v>
      </c>
      <c r="D78" s="6" t="s">
        <v>5051</v>
      </c>
      <c r="E78" s="6" t="s">
        <v>5192</v>
      </c>
      <c r="F78" s="6" t="s">
        <v>5197</v>
      </c>
      <c r="G78" s="9" t="n">
        <v>8435</v>
      </c>
      <c r="H78" s="6" t="s">
        <v>384</v>
      </c>
      <c r="I78" s="6" t="s">
        <v>13</v>
      </c>
      <c r="J78" s="6" t="s">
        <v>233</v>
      </c>
      <c r="K78" s="6" t="s">
        <v>5198</v>
      </c>
      <c r="M78" s="6"/>
    </row>
    <row r="79" customFormat="false" ht="15" hidden="false" customHeight="false" outlineLevel="0" collapsed="false">
      <c r="A79" s="6" t="s">
        <v>5199</v>
      </c>
      <c r="B79" s="6" t="s">
        <v>5113</v>
      </c>
      <c r="C79" s="6" t="s">
        <v>4975</v>
      </c>
      <c r="D79" s="6" t="s">
        <v>5051</v>
      </c>
      <c r="E79" s="6" t="s">
        <v>5192</v>
      </c>
      <c r="F79" s="6" t="s">
        <v>5193</v>
      </c>
      <c r="G79" s="9" t="n">
        <v>11086</v>
      </c>
      <c r="H79" s="6" t="s">
        <v>384</v>
      </c>
      <c r="I79" s="6" t="s">
        <v>13</v>
      </c>
      <c r="J79" s="6" t="s">
        <v>228</v>
      </c>
      <c r="K79" s="6" t="s">
        <v>5194</v>
      </c>
      <c r="M79" s="6"/>
    </row>
    <row r="80" customFormat="false" ht="15" hidden="false" customHeight="false" outlineLevel="0" collapsed="false">
      <c r="A80" s="6" t="s">
        <v>5200</v>
      </c>
      <c r="B80" s="6" t="s">
        <v>5113</v>
      </c>
      <c r="C80" s="6" t="s">
        <v>4975</v>
      </c>
      <c r="D80" s="6" t="s">
        <v>5051</v>
      </c>
      <c r="E80" s="6" t="s">
        <v>5192</v>
      </c>
      <c r="F80" s="6" t="s">
        <v>5197</v>
      </c>
      <c r="G80" s="9" t="n">
        <v>11086</v>
      </c>
      <c r="H80" s="6" t="s">
        <v>384</v>
      </c>
      <c r="I80" s="6" t="s">
        <v>13</v>
      </c>
      <c r="J80" s="6" t="s">
        <v>233</v>
      </c>
      <c r="K80" s="6" t="s">
        <v>5198</v>
      </c>
      <c r="M80" s="6"/>
    </row>
    <row r="81" customFormat="false" ht="15" hidden="false" customHeight="false" outlineLevel="0" collapsed="false">
      <c r="A81" s="6" t="s">
        <v>5201</v>
      </c>
      <c r="B81" s="6" t="s">
        <v>5079</v>
      </c>
      <c r="C81" s="6" t="s">
        <v>4975</v>
      </c>
      <c r="D81" s="6" t="s">
        <v>5051</v>
      </c>
      <c r="E81" s="6" t="s">
        <v>5192</v>
      </c>
      <c r="F81" s="6" t="s">
        <v>5197</v>
      </c>
      <c r="G81" s="9" t="n">
        <v>15636</v>
      </c>
      <c r="H81" s="6" t="s">
        <v>384</v>
      </c>
      <c r="I81" s="6" t="s">
        <v>13</v>
      </c>
      <c r="J81" s="6" t="s">
        <v>233</v>
      </c>
      <c r="K81" s="6" t="s">
        <v>5198</v>
      </c>
      <c r="M81" s="6"/>
    </row>
    <row r="82" customFormat="false" ht="15" hidden="false" customHeight="false" outlineLevel="0" collapsed="false">
      <c r="A82" s="6" t="s">
        <v>5202</v>
      </c>
      <c r="B82" s="6" t="s">
        <v>5203</v>
      </c>
      <c r="C82" s="6" t="s">
        <v>4975</v>
      </c>
      <c r="D82" s="6" t="s">
        <v>5051</v>
      </c>
      <c r="E82" s="6" t="s">
        <v>5204</v>
      </c>
      <c r="F82" s="6" t="s">
        <v>5205</v>
      </c>
      <c r="G82" s="9" t="n">
        <v>2721</v>
      </c>
      <c r="H82" s="6" t="s">
        <v>384</v>
      </c>
      <c r="I82" s="6" t="s">
        <v>13</v>
      </c>
      <c r="J82" s="6" t="s">
        <v>218</v>
      </c>
      <c r="K82" s="6" t="s">
        <v>5206</v>
      </c>
      <c r="M82" s="6"/>
    </row>
    <row r="83" customFormat="false" ht="15" hidden="false" customHeight="false" outlineLevel="0" collapsed="false">
      <c r="A83" s="6" t="s">
        <v>5207</v>
      </c>
      <c r="B83" s="6" t="s">
        <v>5102</v>
      </c>
      <c r="C83" s="6" t="s">
        <v>4975</v>
      </c>
      <c r="D83" s="6" t="s">
        <v>5051</v>
      </c>
      <c r="E83" s="6" t="s">
        <v>5204</v>
      </c>
      <c r="F83" s="6" t="s">
        <v>5205</v>
      </c>
      <c r="G83" s="9" t="n">
        <v>4608</v>
      </c>
      <c r="H83" s="6" t="s">
        <v>384</v>
      </c>
      <c r="I83" s="6" t="s">
        <v>13</v>
      </c>
      <c r="J83" s="6" t="s">
        <v>218</v>
      </c>
      <c r="K83" s="6" t="s">
        <v>5206</v>
      </c>
      <c r="M83" s="6"/>
    </row>
    <row r="84" customFormat="false" ht="15" hidden="false" customHeight="false" outlineLevel="0" collapsed="false">
      <c r="A84" s="6" t="s">
        <v>5208</v>
      </c>
      <c r="B84" s="6" t="s">
        <v>5097</v>
      </c>
      <c r="C84" s="6" t="s">
        <v>4975</v>
      </c>
      <c r="D84" s="6" t="s">
        <v>5051</v>
      </c>
      <c r="E84" s="6" t="s">
        <v>5204</v>
      </c>
      <c r="F84" s="6" t="s">
        <v>5205</v>
      </c>
      <c r="G84" s="9" t="n">
        <v>7289</v>
      </c>
      <c r="H84" s="6" t="s">
        <v>384</v>
      </c>
      <c r="I84" s="6" t="s">
        <v>13</v>
      </c>
      <c r="J84" s="6" t="s">
        <v>218</v>
      </c>
      <c r="K84" s="6" t="s">
        <v>5206</v>
      </c>
      <c r="M84" s="6"/>
    </row>
    <row r="85" customFormat="false" ht="15" hidden="false" customHeight="false" outlineLevel="0" collapsed="false">
      <c r="A85" s="6" t="s">
        <v>5209</v>
      </c>
      <c r="B85" s="6" t="s">
        <v>5057</v>
      </c>
      <c r="C85" s="6" t="s">
        <v>5050</v>
      </c>
      <c r="D85" s="6" t="s">
        <v>5051</v>
      </c>
      <c r="E85" s="6" t="s">
        <v>5210</v>
      </c>
      <c r="F85" s="6" t="s">
        <v>5211</v>
      </c>
      <c r="G85" s="12" t="n">
        <v>1549</v>
      </c>
      <c r="H85" s="6" t="s">
        <v>5051</v>
      </c>
      <c r="I85" s="6" t="s">
        <v>13</v>
      </c>
      <c r="J85" s="6" t="s">
        <v>218</v>
      </c>
      <c r="K85" s="6" t="s">
        <v>5111</v>
      </c>
      <c r="M85" s="6" t="s">
        <v>5212</v>
      </c>
    </row>
    <row r="86" customFormat="false" ht="15" hidden="false" customHeight="false" outlineLevel="0" collapsed="false">
      <c r="A86" s="6" t="s">
        <v>5213</v>
      </c>
      <c r="B86" s="6" t="s">
        <v>5067</v>
      </c>
      <c r="C86" s="6" t="s">
        <v>5050</v>
      </c>
      <c r="D86" s="6" t="s">
        <v>5051</v>
      </c>
      <c r="E86" s="6" t="s">
        <v>5210</v>
      </c>
      <c r="F86" s="6" t="s">
        <v>5214</v>
      </c>
      <c r="G86" s="12" t="n">
        <v>2508</v>
      </c>
      <c r="H86" s="6" t="s">
        <v>5051</v>
      </c>
      <c r="I86" s="6" t="s">
        <v>13</v>
      </c>
      <c r="J86" s="6" t="s">
        <v>228</v>
      </c>
      <c r="K86" s="6" t="s">
        <v>5115</v>
      </c>
      <c r="M86" s="6" t="s">
        <v>5215</v>
      </c>
    </row>
    <row r="87" customFormat="false" ht="15" hidden="false" customHeight="false" outlineLevel="0" collapsed="false">
      <c r="A87" s="6" t="s">
        <v>5216</v>
      </c>
      <c r="B87" s="6" t="s">
        <v>5049</v>
      </c>
      <c r="C87" s="6" t="s">
        <v>5050</v>
      </c>
      <c r="D87" s="6" t="s">
        <v>5051</v>
      </c>
      <c r="E87" s="6" t="s">
        <v>5217</v>
      </c>
      <c r="F87" s="6" t="s">
        <v>5218</v>
      </c>
      <c r="G87" s="12" t="n">
        <v>1064</v>
      </c>
      <c r="H87" s="6" t="s">
        <v>5051</v>
      </c>
      <c r="I87" s="6" t="s">
        <v>13</v>
      </c>
      <c r="J87" s="6" t="s">
        <v>209</v>
      </c>
      <c r="K87" s="6" t="s">
        <v>5106</v>
      </c>
      <c r="M87" s="6" t="s">
        <v>5219</v>
      </c>
    </row>
    <row r="88" customFormat="false" ht="15" hidden="false" customHeight="false" outlineLevel="0" collapsed="false">
      <c r="A88" s="6" t="s">
        <v>5220</v>
      </c>
      <c r="B88" s="6" t="s">
        <v>5203</v>
      </c>
      <c r="C88" s="6" t="s">
        <v>4975</v>
      </c>
      <c r="D88" s="6" t="s">
        <v>5051</v>
      </c>
      <c r="E88" s="6" t="s">
        <v>5221</v>
      </c>
      <c r="F88" s="6" t="s">
        <v>5222</v>
      </c>
      <c r="G88" s="9" t="n">
        <v>529</v>
      </c>
      <c r="H88" s="6" t="s">
        <v>384</v>
      </c>
      <c r="I88" s="6" t="s">
        <v>13</v>
      </c>
      <c r="J88" s="6" t="s">
        <v>218</v>
      </c>
      <c r="K88" s="6" t="s">
        <v>5206</v>
      </c>
      <c r="M88" s="6"/>
    </row>
    <row r="89" customFormat="false" ht="15" hidden="false" customHeight="false" outlineLevel="0" collapsed="false">
      <c r="A89" s="6" t="s">
        <v>5223</v>
      </c>
      <c r="B89" s="6" t="s">
        <v>5102</v>
      </c>
      <c r="C89" s="6" t="s">
        <v>4975</v>
      </c>
      <c r="D89" s="6" t="s">
        <v>5051</v>
      </c>
      <c r="E89" s="6" t="s">
        <v>5221</v>
      </c>
      <c r="F89" s="6" t="s">
        <v>5222</v>
      </c>
      <c r="G89" s="9" t="n">
        <v>915</v>
      </c>
      <c r="H89" s="6" t="s">
        <v>384</v>
      </c>
      <c r="I89" s="6" t="s">
        <v>13</v>
      </c>
      <c r="J89" s="6" t="s">
        <v>218</v>
      </c>
      <c r="K89" s="6" t="s">
        <v>5206</v>
      </c>
      <c r="M89" s="6"/>
    </row>
    <row r="90" customFormat="false" ht="15" hidden="false" customHeight="false" outlineLevel="0" collapsed="false">
      <c r="A90" s="6" t="s">
        <v>5224</v>
      </c>
      <c r="B90" s="6" t="s">
        <v>5102</v>
      </c>
      <c r="C90" s="6" t="s">
        <v>4975</v>
      </c>
      <c r="D90" s="6" t="s">
        <v>5051</v>
      </c>
      <c r="E90" s="6" t="s">
        <v>5221</v>
      </c>
      <c r="F90" s="6" t="s">
        <v>5225</v>
      </c>
      <c r="G90" s="9" t="n">
        <v>915</v>
      </c>
      <c r="H90" s="6" t="s">
        <v>384</v>
      </c>
      <c r="I90" s="6" t="s">
        <v>13</v>
      </c>
      <c r="J90" s="6" t="s">
        <v>223</v>
      </c>
      <c r="K90" s="6" t="s">
        <v>5176</v>
      </c>
      <c r="M90" s="6"/>
    </row>
    <row r="91" customFormat="false" ht="15" hidden="false" customHeight="false" outlineLevel="0" collapsed="false">
      <c r="A91" s="6" t="s">
        <v>5226</v>
      </c>
      <c r="B91" s="6" t="s">
        <v>5097</v>
      </c>
      <c r="C91" s="6" t="s">
        <v>4975</v>
      </c>
      <c r="D91" s="6" t="s">
        <v>5051</v>
      </c>
      <c r="E91" s="6" t="s">
        <v>5221</v>
      </c>
      <c r="F91" s="6" t="s">
        <v>5222</v>
      </c>
      <c r="G91" s="9" t="n">
        <v>1551</v>
      </c>
      <c r="H91" s="6" t="s">
        <v>384</v>
      </c>
      <c r="I91" s="6" t="s">
        <v>13</v>
      </c>
      <c r="J91" s="6" t="s">
        <v>218</v>
      </c>
      <c r="K91" s="6" t="s">
        <v>5206</v>
      </c>
      <c r="M91" s="6"/>
    </row>
    <row r="92" customFormat="false" ht="15" hidden="false" customHeight="false" outlineLevel="0" collapsed="false">
      <c r="A92" s="6" t="s">
        <v>5227</v>
      </c>
      <c r="B92" s="6" t="s">
        <v>5097</v>
      </c>
      <c r="C92" s="6" t="s">
        <v>4975</v>
      </c>
      <c r="D92" s="6" t="s">
        <v>5051</v>
      </c>
      <c r="E92" s="6" t="s">
        <v>5221</v>
      </c>
      <c r="F92" s="6" t="s">
        <v>5225</v>
      </c>
      <c r="G92" s="9" t="n">
        <v>1551</v>
      </c>
      <c r="H92" s="6" t="s">
        <v>384</v>
      </c>
      <c r="I92" s="6" t="s">
        <v>13</v>
      </c>
      <c r="J92" s="6" t="s">
        <v>223</v>
      </c>
      <c r="K92" s="6" t="s">
        <v>5176</v>
      </c>
      <c r="M92" s="6"/>
    </row>
    <row r="93" customFormat="false" ht="15" hidden="false" customHeight="false" outlineLevel="0" collapsed="false">
      <c r="A93" s="6" t="s">
        <v>5228</v>
      </c>
      <c r="B93" s="6" t="s">
        <v>5097</v>
      </c>
      <c r="C93" s="6" t="s">
        <v>4975</v>
      </c>
      <c r="D93" s="6" t="s">
        <v>5051</v>
      </c>
      <c r="E93" s="6" t="s">
        <v>5221</v>
      </c>
      <c r="F93" s="6" t="s">
        <v>5229</v>
      </c>
      <c r="G93" s="9" t="n">
        <v>1551</v>
      </c>
      <c r="H93" s="6" t="s">
        <v>384</v>
      </c>
      <c r="I93" s="6" t="s">
        <v>13</v>
      </c>
      <c r="J93" s="6" t="s">
        <v>228</v>
      </c>
      <c r="K93" s="6" t="s">
        <v>5194</v>
      </c>
      <c r="M93" s="6"/>
    </row>
    <row r="94" customFormat="false" ht="15" hidden="false" customHeight="false" outlineLevel="0" collapsed="false">
      <c r="A94" s="6" t="s">
        <v>5230</v>
      </c>
      <c r="B94" s="6" t="s">
        <v>5074</v>
      </c>
      <c r="C94" s="6" t="s">
        <v>4975</v>
      </c>
      <c r="D94" s="6" t="s">
        <v>5051</v>
      </c>
      <c r="E94" s="6" t="s">
        <v>5221</v>
      </c>
      <c r="F94" s="6" t="s">
        <v>5225</v>
      </c>
      <c r="G94" s="9" t="n">
        <v>1898</v>
      </c>
      <c r="H94" s="6" t="s">
        <v>384</v>
      </c>
      <c r="I94" s="6" t="s">
        <v>13</v>
      </c>
      <c r="J94" s="6" t="s">
        <v>223</v>
      </c>
      <c r="K94" s="6" t="s">
        <v>5176</v>
      </c>
      <c r="M94" s="6"/>
    </row>
    <row r="95" customFormat="false" ht="15" hidden="false" customHeight="false" outlineLevel="0" collapsed="false">
      <c r="A95" s="6" t="s">
        <v>5231</v>
      </c>
      <c r="B95" s="6" t="s">
        <v>5074</v>
      </c>
      <c r="C95" s="6" t="s">
        <v>4975</v>
      </c>
      <c r="D95" s="6" t="s">
        <v>5051</v>
      </c>
      <c r="E95" s="6" t="s">
        <v>5221</v>
      </c>
      <c r="F95" s="6" t="s">
        <v>5229</v>
      </c>
      <c r="G95" s="9" t="n">
        <v>1898</v>
      </c>
      <c r="H95" s="6" t="s">
        <v>384</v>
      </c>
      <c r="I95" s="6" t="s">
        <v>13</v>
      </c>
      <c r="J95" s="6" t="s">
        <v>228</v>
      </c>
      <c r="K95" s="6" t="s">
        <v>5194</v>
      </c>
      <c r="M95" s="6"/>
    </row>
    <row r="96" customFormat="false" ht="15" hidden="false" customHeight="false" outlineLevel="0" collapsed="false">
      <c r="A96" s="6" t="s">
        <v>5232</v>
      </c>
      <c r="B96" s="6" t="s">
        <v>5113</v>
      </c>
      <c r="C96" s="6" t="s">
        <v>4975</v>
      </c>
      <c r="D96" s="6" t="s">
        <v>5051</v>
      </c>
      <c r="E96" s="6" t="s">
        <v>5221</v>
      </c>
      <c r="F96" s="6" t="s">
        <v>5229</v>
      </c>
      <c r="G96" s="9" t="n">
        <v>2493</v>
      </c>
      <c r="H96" s="6" t="s">
        <v>384</v>
      </c>
      <c r="I96" s="6" t="s">
        <v>13</v>
      </c>
      <c r="J96" s="6" t="s">
        <v>228</v>
      </c>
      <c r="K96" s="6" t="s">
        <v>5194</v>
      </c>
      <c r="M96" s="6"/>
    </row>
    <row r="97" customFormat="false" ht="15" hidden="false" customHeight="false" outlineLevel="0" collapsed="false">
      <c r="A97" s="6" t="s">
        <v>5233</v>
      </c>
      <c r="B97" s="6" t="s">
        <v>5074</v>
      </c>
      <c r="C97" s="6" t="s">
        <v>4975</v>
      </c>
      <c r="D97" s="6" t="s">
        <v>5051</v>
      </c>
      <c r="E97" s="6" t="s">
        <v>5234</v>
      </c>
      <c r="F97" s="6" t="s">
        <v>5235</v>
      </c>
      <c r="G97" s="9" t="n">
        <v>1898</v>
      </c>
      <c r="H97" s="6" t="s">
        <v>384</v>
      </c>
      <c r="I97" s="6" t="s">
        <v>13</v>
      </c>
      <c r="J97" s="6" t="s">
        <v>233</v>
      </c>
      <c r="K97" s="6" t="s">
        <v>5198</v>
      </c>
      <c r="M97" s="6"/>
    </row>
    <row r="98" customFormat="false" ht="15" hidden="false" customHeight="false" outlineLevel="0" collapsed="false">
      <c r="A98" s="6" t="s">
        <v>5236</v>
      </c>
      <c r="B98" s="6" t="s">
        <v>5113</v>
      </c>
      <c r="C98" s="6" t="s">
        <v>4975</v>
      </c>
      <c r="D98" s="6" t="s">
        <v>5051</v>
      </c>
      <c r="E98" s="6" t="s">
        <v>5234</v>
      </c>
      <c r="F98" s="6" t="s">
        <v>5235</v>
      </c>
      <c r="G98" s="9" t="n">
        <v>2493</v>
      </c>
      <c r="H98" s="6" t="s">
        <v>384</v>
      </c>
      <c r="I98" s="6" t="s">
        <v>13</v>
      </c>
      <c r="J98" s="6" t="s">
        <v>233</v>
      </c>
      <c r="K98" s="6" t="s">
        <v>5198</v>
      </c>
      <c r="M98" s="6"/>
    </row>
    <row r="99" customFormat="false" ht="15" hidden="false" customHeight="false" outlineLevel="0" collapsed="false">
      <c r="A99" s="6" t="s">
        <v>5237</v>
      </c>
      <c r="B99" s="6" t="s">
        <v>5079</v>
      </c>
      <c r="C99" s="6" t="s">
        <v>4975</v>
      </c>
      <c r="D99" s="6" t="s">
        <v>5051</v>
      </c>
      <c r="E99" s="6" t="s">
        <v>5234</v>
      </c>
      <c r="F99" s="6" t="s">
        <v>5235</v>
      </c>
      <c r="G99" s="9" t="n">
        <v>3453</v>
      </c>
      <c r="H99" s="6" t="s">
        <v>384</v>
      </c>
      <c r="I99" s="6" t="s">
        <v>13</v>
      </c>
      <c r="J99" s="6" t="s">
        <v>233</v>
      </c>
      <c r="K99" s="6" t="s">
        <v>5198</v>
      </c>
      <c r="M99" s="6"/>
    </row>
    <row r="100" customFormat="false" ht="15" hidden="false" customHeight="false" outlineLevel="0" collapsed="false">
      <c r="A100" s="6" t="s">
        <v>5238</v>
      </c>
      <c r="B100" s="6" t="s">
        <v>5239</v>
      </c>
      <c r="C100" s="6" t="s">
        <v>5050</v>
      </c>
      <c r="D100" s="6" t="s">
        <v>5240</v>
      </c>
      <c r="E100" s="6" t="s">
        <v>5241</v>
      </c>
      <c r="F100" s="6" t="s">
        <v>5242</v>
      </c>
      <c r="G100" s="19" t="n">
        <v>57</v>
      </c>
      <c r="H100" s="6" t="s">
        <v>5105</v>
      </c>
      <c r="I100" s="6" t="s">
        <v>13</v>
      </c>
      <c r="J100" s="6" t="s">
        <v>246</v>
      </c>
      <c r="K100" s="6" t="s">
        <v>5243</v>
      </c>
      <c r="M100" s="6"/>
    </row>
    <row r="101" customFormat="false" ht="15" hidden="false" customHeight="false" outlineLevel="0" collapsed="false">
      <c r="A101" s="6" t="s">
        <v>5244</v>
      </c>
      <c r="B101" s="6" t="s">
        <v>5245</v>
      </c>
      <c r="C101" s="6" t="s">
        <v>5050</v>
      </c>
      <c r="D101" s="6" t="s">
        <v>5240</v>
      </c>
      <c r="E101" s="6" t="s">
        <v>5241</v>
      </c>
      <c r="F101" s="6" t="s">
        <v>5246</v>
      </c>
      <c r="G101" s="19" t="n">
        <v>51</v>
      </c>
      <c r="H101" s="6" t="s">
        <v>5105</v>
      </c>
      <c r="I101" s="6" t="s">
        <v>13</v>
      </c>
      <c r="J101" s="6" t="s">
        <v>257</v>
      </c>
      <c r="K101" s="6" t="s">
        <v>5247</v>
      </c>
      <c r="M101" s="6"/>
    </row>
    <row r="102" customFormat="false" ht="15" hidden="false" customHeight="false" outlineLevel="0" collapsed="false">
      <c r="A102" s="6" t="s">
        <v>5248</v>
      </c>
      <c r="B102" s="6" t="s">
        <v>5249</v>
      </c>
      <c r="C102" s="6" t="s">
        <v>5050</v>
      </c>
      <c r="D102" s="6" t="s">
        <v>5240</v>
      </c>
      <c r="E102" s="6" t="s">
        <v>5241</v>
      </c>
      <c r="F102" s="6" t="s">
        <v>5250</v>
      </c>
      <c r="G102" s="19" t="n">
        <v>43</v>
      </c>
      <c r="H102" s="6" t="s">
        <v>5105</v>
      </c>
      <c r="I102" s="6" t="s">
        <v>13</v>
      </c>
      <c r="J102" s="6" t="s">
        <v>265</v>
      </c>
      <c r="K102" s="6" t="s">
        <v>5251</v>
      </c>
      <c r="M102" s="6"/>
    </row>
    <row r="103" customFormat="false" ht="15" hidden="false" customHeight="false" outlineLevel="0" collapsed="false">
      <c r="A103" s="6" t="s">
        <v>5252</v>
      </c>
      <c r="B103" s="6" t="s">
        <v>5249</v>
      </c>
      <c r="C103" s="6" t="s">
        <v>5050</v>
      </c>
      <c r="D103" s="6" t="s">
        <v>5240</v>
      </c>
      <c r="E103" s="6" t="s">
        <v>5253</v>
      </c>
      <c r="F103" s="6" t="s">
        <v>5254</v>
      </c>
      <c r="G103" s="19" t="n">
        <v>66</v>
      </c>
      <c r="H103" s="6" t="s">
        <v>5105</v>
      </c>
      <c r="I103" s="6" t="s">
        <v>13</v>
      </c>
      <c r="J103" s="6" t="s">
        <v>265</v>
      </c>
      <c r="K103" s="6" t="s">
        <v>5251</v>
      </c>
      <c r="M103" s="6"/>
    </row>
    <row r="104" customFormat="false" ht="15" hidden="false" customHeight="false" outlineLevel="0" collapsed="false">
      <c r="A104" s="6" t="s">
        <v>5255</v>
      </c>
      <c r="B104" s="6" t="s">
        <v>5245</v>
      </c>
      <c r="C104" s="6" t="s">
        <v>5050</v>
      </c>
      <c r="D104" s="6" t="s">
        <v>5240</v>
      </c>
      <c r="E104" s="6" t="s">
        <v>5256</v>
      </c>
      <c r="F104" s="6" t="s">
        <v>5257</v>
      </c>
      <c r="G104" s="19" t="n">
        <v>29</v>
      </c>
      <c r="H104" s="6" t="s">
        <v>5105</v>
      </c>
      <c r="I104" s="6" t="s">
        <v>13</v>
      </c>
      <c r="J104" s="6" t="s">
        <v>257</v>
      </c>
      <c r="K104" s="6" t="s">
        <v>5258</v>
      </c>
      <c r="M104" s="6"/>
    </row>
    <row r="105" customFormat="false" ht="15" hidden="false" customHeight="false" outlineLevel="0" collapsed="false">
      <c r="A105" s="6" t="s">
        <v>5259</v>
      </c>
      <c r="B105" s="6" t="s">
        <v>5079</v>
      </c>
      <c r="C105" s="6" t="s">
        <v>4975</v>
      </c>
      <c r="D105" s="6" t="s">
        <v>5240</v>
      </c>
      <c r="E105" s="6" t="s">
        <v>5260</v>
      </c>
      <c r="F105" s="6" t="s">
        <v>5261</v>
      </c>
      <c r="G105" s="19" t="n">
        <v>49</v>
      </c>
      <c r="H105" s="6" t="s">
        <v>5105</v>
      </c>
      <c r="I105" s="6" t="s">
        <v>13</v>
      </c>
      <c r="J105" s="6" t="s">
        <v>233</v>
      </c>
      <c r="K105" s="6" t="s">
        <v>5262</v>
      </c>
      <c r="M105" s="6"/>
    </row>
    <row r="106" customFormat="false" ht="15" hidden="false" customHeight="false" outlineLevel="0" collapsed="false">
      <c r="A106" s="6" t="s">
        <v>5263</v>
      </c>
      <c r="B106" s="6" t="s">
        <v>5079</v>
      </c>
      <c r="C106" s="6" t="s">
        <v>4975</v>
      </c>
      <c r="D106" s="6" t="s">
        <v>5240</v>
      </c>
      <c r="E106" s="6" t="s">
        <v>5264</v>
      </c>
      <c r="F106" s="6" t="s">
        <v>5265</v>
      </c>
      <c r="G106" s="19" t="n">
        <v>42</v>
      </c>
      <c r="H106" s="6" t="s">
        <v>5105</v>
      </c>
      <c r="I106" s="6" t="s">
        <v>13</v>
      </c>
      <c r="J106" s="6" t="s">
        <v>233</v>
      </c>
      <c r="K106" s="6" t="s">
        <v>5262</v>
      </c>
      <c r="M106" s="6" t="s">
        <v>5266</v>
      </c>
    </row>
    <row r="107" customFormat="false" ht="15" hidden="false" customHeight="false" outlineLevel="0" collapsed="false">
      <c r="A107" s="6" t="s">
        <v>5267</v>
      </c>
      <c r="B107" s="6" t="s">
        <v>5079</v>
      </c>
      <c r="C107" s="6" t="s">
        <v>4975</v>
      </c>
      <c r="D107" s="6" t="s">
        <v>5240</v>
      </c>
      <c r="E107" s="6" t="s">
        <v>5268</v>
      </c>
      <c r="F107" s="6" t="s">
        <v>5269</v>
      </c>
      <c r="G107" s="19" t="n">
        <v>87</v>
      </c>
      <c r="H107" s="6" t="s">
        <v>5105</v>
      </c>
      <c r="I107" s="6" t="s">
        <v>13</v>
      </c>
      <c r="J107" s="6" t="s">
        <v>233</v>
      </c>
      <c r="K107" s="6" t="s">
        <v>5262</v>
      </c>
      <c r="M107" s="6"/>
    </row>
    <row r="108" customFormat="false" ht="15" hidden="false" customHeight="false" outlineLevel="0" collapsed="false">
      <c r="A108" s="6" t="s">
        <v>5270</v>
      </c>
      <c r="B108" s="6" t="s">
        <v>5239</v>
      </c>
      <c r="C108" s="6" t="s">
        <v>5050</v>
      </c>
      <c r="D108" s="6" t="s">
        <v>5240</v>
      </c>
      <c r="E108" s="6" t="s">
        <v>5271</v>
      </c>
      <c r="F108" s="6" t="s">
        <v>5272</v>
      </c>
      <c r="G108" s="19" t="n">
        <v>51</v>
      </c>
      <c r="H108" s="6" t="s">
        <v>5105</v>
      </c>
      <c r="I108" s="6" t="s">
        <v>13</v>
      </c>
      <c r="J108" s="6" t="s">
        <v>246</v>
      </c>
      <c r="K108" s="6" t="s">
        <v>5243</v>
      </c>
      <c r="M108" s="6"/>
    </row>
    <row r="109" customFormat="false" ht="15" hidden="false" customHeight="false" outlineLevel="0" collapsed="false">
      <c r="A109" s="6" t="s">
        <v>5273</v>
      </c>
      <c r="B109" s="6" t="s">
        <v>5245</v>
      </c>
      <c r="C109" s="6" t="s">
        <v>5050</v>
      </c>
      <c r="D109" s="6" t="s">
        <v>5240</v>
      </c>
      <c r="E109" s="6" t="s">
        <v>5271</v>
      </c>
      <c r="F109" s="6" t="s">
        <v>5274</v>
      </c>
      <c r="G109" s="19" t="n">
        <v>44</v>
      </c>
      <c r="H109" s="6" t="s">
        <v>5105</v>
      </c>
      <c r="I109" s="6" t="s">
        <v>13</v>
      </c>
      <c r="J109" s="6" t="s">
        <v>257</v>
      </c>
      <c r="K109" s="6" t="s">
        <v>5247</v>
      </c>
      <c r="M109" s="6"/>
    </row>
    <row r="110" customFormat="false" ht="15" hidden="false" customHeight="false" outlineLevel="0" collapsed="false">
      <c r="A110" s="6" t="s">
        <v>5275</v>
      </c>
      <c r="B110" s="6" t="s">
        <v>5249</v>
      </c>
      <c r="C110" s="6" t="s">
        <v>5050</v>
      </c>
      <c r="D110" s="6" t="s">
        <v>5240</v>
      </c>
      <c r="E110" s="6" t="s">
        <v>5271</v>
      </c>
      <c r="F110" s="6" t="s">
        <v>5276</v>
      </c>
      <c r="G110" s="19" t="n">
        <v>37</v>
      </c>
      <c r="H110" s="6" t="s">
        <v>5105</v>
      </c>
      <c r="I110" s="6" t="s">
        <v>13</v>
      </c>
      <c r="J110" s="6" t="s">
        <v>265</v>
      </c>
      <c r="K110" s="6" t="s">
        <v>5251</v>
      </c>
      <c r="M110" s="6"/>
    </row>
    <row r="111" customFormat="false" ht="15" hidden="false" customHeight="false" outlineLevel="0" collapsed="false">
      <c r="A111" s="6" t="s">
        <v>5277</v>
      </c>
      <c r="B111" s="6" t="s">
        <v>5203</v>
      </c>
      <c r="C111" s="6" t="s">
        <v>4975</v>
      </c>
      <c r="D111" s="6" t="s">
        <v>5240</v>
      </c>
      <c r="E111" s="6" t="s">
        <v>5278</v>
      </c>
      <c r="F111" s="6" t="s">
        <v>5279</v>
      </c>
      <c r="G111" s="19" t="n">
        <v>297</v>
      </c>
      <c r="H111" s="6" t="s">
        <v>5105</v>
      </c>
      <c r="I111" s="6" t="s">
        <v>13</v>
      </c>
      <c r="J111" s="6" t="s">
        <v>209</v>
      </c>
      <c r="K111" s="6" t="s">
        <v>5280</v>
      </c>
      <c r="M111" s="6"/>
    </row>
    <row r="112" customFormat="false" ht="15" hidden="false" customHeight="false" outlineLevel="0" collapsed="false">
      <c r="A112" s="6" t="s">
        <v>5281</v>
      </c>
      <c r="B112" s="6" t="s">
        <v>5102</v>
      </c>
      <c r="C112" s="6" t="s">
        <v>4975</v>
      </c>
      <c r="D112" s="6" t="s">
        <v>5240</v>
      </c>
      <c r="E112" s="6" t="s">
        <v>5278</v>
      </c>
      <c r="F112" s="6" t="s">
        <v>5282</v>
      </c>
      <c r="G112" s="19" t="n">
        <v>239</v>
      </c>
      <c r="H112" s="6" t="s">
        <v>5105</v>
      </c>
      <c r="I112" s="6" t="s">
        <v>13</v>
      </c>
      <c r="J112" s="6" t="s">
        <v>209</v>
      </c>
      <c r="K112" s="6" t="s">
        <v>5280</v>
      </c>
      <c r="M112" s="6"/>
    </row>
    <row r="113" customFormat="false" ht="15" hidden="false" customHeight="false" outlineLevel="0" collapsed="false">
      <c r="A113" s="6" t="s">
        <v>5283</v>
      </c>
      <c r="B113" s="6" t="s">
        <v>5113</v>
      </c>
      <c r="C113" s="6" t="s">
        <v>4975</v>
      </c>
      <c r="D113" s="6" t="s">
        <v>5240</v>
      </c>
      <c r="E113" s="6" t="s">
        <v>5284</v>
      </c>
      <c r="F113" s="6" t="s">
        <v>5285</v>
      </c>
      <c r="G113" s="19" t="n">
        <v>53</v>
      </c>
      <c r="H113" s="6" t="s">
        <v>5105</v>
      </c>
      <c r="I113" s="6" t="s">
        <v>13</v>
      </c>
      <c r="J113" s="6" t="s">
        <v>228</v>
      </c>
      <c r="K113" s="6" t="s">
        <v>5286</v>
      </c>
      <c r="M113" s="6"/>
    </row>
    <row r="114" customFormat="false" ht="15" hidden="false" customHeight="false" outlineLevel="0" collapsed="false">
      <c r="A114" s="6" t="s">
        <v>5287</v>
      </c>
      <c r="B114" s="6" t="s">
        <v>5113</v>
      </c>
      <c r="C114" s="6" t="s">
        <v>4975</v>
      </c>
      <c r="D114" s="6" t="s">
        <v>5240</v>
      </c>
      <c r="E114" s="6" t="s">
        <v>5288</v>
      </c>
      <c r="F114" s="6" t="s">
        <v>5289</v>
      </c>
      <c r="G114" s="19" t="n">
        <v>47</v>
      </c>
      <c r="H114" s="6" t="s">
        <v>5105</v>
      </c>
      <c r="I114" s="6" t="s">
        <v>13</v>
      </c>
      <c r="J114" s="6" t="s">
        <v>228</v>
      </c>
      <c r="K114" s="6" t="s">
        <v>5286</v>
      </c>
      <c r="M114" s="6" t="s">
        <v>5290</v>
      </c>
    </row>
    <row r="115" customFormat="false" ht="15" hidden="false" customHeight="false" outlineLevel="0" collapsed="false">
      <c r="A115" s="6" t="s">
        <v>5291</v>
      </c>
      <c r="B115" s="6" t="s">
        <v>5097</v>
      </c>
      <c r="C115" s="6" t="s">
        <v>4975</v>
      </c>
      <c r="D115" s="6" t="s">
        <v>5240</v>
      </c>
      <c r="E115" s="6" t="s">
        <v>5292</v>
      </c>
      <c r="F115" s="6" t="s">
        <v>5293</v>
      </c>
      <c r="G115" s="19" t="n">
        <v>112</v>
      </c>
      <c r="H115" s="6" t="s">
        <v>5105</v>
      </c>
      <c r="I115" s="6" t="s">
        <v>13</v>
      </c>
      <c r="J115" s="6" t="s">
        <v>223</v>
      </c>
      <c r="K115" s="6" t="s">
        <v>5294</v>
      </c>
      <c r="M115" s="6"/>
    </row>
    <row r="116" customFormat="false" ht="15" hidden="false" customHeight="false" outlineLevel="0" collapsed="false">
      <c r="A116" s="6" t="s">
        <v>5295</v>
      </c>
      <c r="B116" s="6" t="s">
        <v>5074</v>
      </c>
      <c r="C116" s="6" t="s">
        <v>4975</v>
      </c>
      <c r="D116" s="6" t="s">
        <v>5240</v>
      </c>
      <c r="E116" s="6" t="s">
        <v>5292</v>
      </c>
      <c r="F116" s="6" t="s">
        <v>5293</v>
      </c>
      <c r="G116" s="19" t="n">
        <v>63</v>
      </c>
      <c r="H116" s="6" t="s">
        <v>5105</v>
      </c>
      <c r="I116" s="6" t="s">
        <v>13</v>
      </c>
      <c r="J116" s="6" t="s">
        <v>223</v>
      </c>
      <c r="K116" s="6" t="s">
        <v>5294</v>
      </c>
      <c r="M116" s="6"/>
    </row>
    <row r="117" customFormat="false" ht="15" hidden="false" customHeight="false" outlineLevel="0" collapsed="false">
      <c r="A117" s="6" t="s">
        <v>5296</v>
      </c>
      <c r="B117" s="6" t="s">
        <v>5097</v>
      </c>
      <c r="C117" s="6" t="s">
        <v>4975</v>
      </c>
      <c r="D117" s="6" t="s">
        <v>5240</v>
      </c>
      <c r="E117" s="6" t="s">
        <v>5297</v>
      </c>
      <c r="F117" s="6" t="s">
        <v>5298</v>
      </c>
      <c r="G117" s="19" t="n">
        <v>99</v>
      </c>
      <c r="H117" s="6" t="s">
        <v>5105</v>
      </c>
      <c r="I117" s="6" t="s">
        <v>13</v>
      </c>
      <c r="J117" s="6" t="s">
        <v>223</v>
      </c>
      <c r="K117" s="6" t="s">
        <v>5294</v>
      </c>
      <c r="M117" s="6"/>
    </row>
    <row r="118" customFormat="false" ht="15" hidden="false" customHeight="false" outlineLevel="0" collapsed="false">
      <c r="A118" s="6" t="s">
        <v>5299</v>
      </c>
      <c r="B118" s="6" t="s">
        <v>5074</v>
      </c>
      <c r="C118" s="6" t="s">
        <v>4975</v>
      </c>
      <c r="D118" s="6" t="s">
        <v>5240</v>
      </c>
      <c r="E118" s="6" t="s">
        <v>5297</v>
      </c>
      <c r="F118" s="6" t="s">
        <v>5298</v>
      </c>
      <c r="G118" s="19" t="n">
        <v>59</v>
      </c>
      <c r="H118" s="6" t="s">
        <v>5105</v>
      </c>
      <c r="I118" s="6" t="s">
        <v>13</v>
      </c>
      <c r="J118" s="6" t="s">
        <v>223</v>
      </c>
      <c r="K118" s="6" t="s">
        <v>5294</v>
      </c>
      <c r="M118" s="6"/>
    </row>
    <row r="119" customFormat="false" ht="15" hidden="false" customHeight="false" outlineLevel="0" collapsed="false">
      <c r="A119" s="6" t="s">
        <v>5300</v>
      </c>
      <c r="B119" s="6" t="s">
        <v>5113</v>
      </c>
      <c r="C119" s="6" t="s">
        <v>4975</v>
      </c>
      <c r="D119" s="6" t="s">
        <v>5240</v>
      </c>
      <c r="E119" s="6" t="s">
        <v>5301</v>
      </c>
      <c r="F119" s="6" t="s">
        <v>5302</v>
      </c>
      <c r="G119" s="19" t="n">
        <v>33</v>
      </c>
      <c r="H119" s="6" t="s">
        <v>5105</v>
      </c>
      <c r="I119" s="6" t="s">
        <v>13</v>
      </c>
      <c r="J119" s="6" t="s">
        <v>228</v>
      </c>
      <c r="K119" s="6" t="s">
        <v>5286</v>
      </c>
      <c r="M119" s="6"/>
    </row>
    <row r="120" customFormat="false" ht="15" hidden="false" customHeight="false" outlineLevel="0" collapsed="false">
      <c r="A120" s="6" t="s">
        <v>5303</v>
      </c>
      <c r="B120" s="6" t="s">
        <v>5304</v>
      </c>
      <c r="C120" s="6" t="s">
        <v>5050</v>
      </c>
      <c r="D120" s="6" t="s">
        <v>5240</v>
      </c>
      <c r="E120" s="6" t="s">
        <v>5305</v>
      </c>
      <c r="F120" s="6" t="s">
        <v>5306</v>
      </c>
      <c r="G120" s="19" t="n">
        <v>8</v>
      </c>
      <c r="H120" s="6" t="s">
        <v>5307</v>
      </c>
      <c r="I120" s="6" t="s">
        <v>13</v>
      </c>
      <c r="J120" s="6" t="s">
        <v>293</v>
      </c>
      <c r="K120" s="6" t="s">
        <v>5308</v>
      </c>
      <c r="M120" s="6" t="s">
        <v>5055</v>
      </c>
    </row>
    <row r="121" customFormat="false" ht="15" hidden="false" customHeight="false" outlineLevel="0" collapsed="false">
      <c r="A121" s="6" t="s">
        <v>5309</v>
      </c>
      <c r="B121" s="6" t="s">
        <v>5074</v>
      </c>
      <c r="C121" s="6" t="s">
        <v>4975</v>
      </c>
      <c r="D121" s="6" t="s">
        <v>5240</v>
      </c>
      <c r="E121" s="6" t="s">
        <v>4887</v>
      </c>
      <c r="F121" s="6" t="s">
        <v>5310</v>
      </c>
      <c r="G121" s="9" t="n">
        <v>204945</v>
      </c>
      <c r="H121" s="6" t="s">
        <v>384</v>
      </c>
      <c r="I121" s="6" t="s">
        <v>13</v>
      </c>
      <c r="J121" s="6" t="s">
        <v>233</v>
      </c>
      <c r="K121" s="6" t="s">
        <v>5311</v>
      </c>
      <c r="M121" s="6"/>
    </row>
    <row r="122" customFormat="false" ht="15" hidden="false" customHeight="false" outlineLevel="0" collapsed="false">
      <c r="A122" s="6" t="s">
        <v>5312</v>
      </c>
      <c r="B122" s="6" t="s">
        <v>5113</v>
      </c>
      <c r="C122" s="6" t="s">
        <v>4975</v>
      </c>
      <c r="D122" s="6" t="s">
        <v>5240</v>
      </c>
      <c r="E122" s="6" t="s">
        <v>4887</v>
      </c>
      <c r="F122" s="6" t="s">
        <v>5310</v>
      </c>
      <c r="G122" s="9" t="n">
        <v>295830</v>
      </c>
      <c r="H122" s="6" t="s">
        <v>384</v>
      </c>
      <c r="I122" s="6" t="s">
        <v>13</v>
      </c>
      <c r="J122" s="6" t="s">
        <v>233</v>
      </c>
      <c r="K122" s="6" t="s">
        <v>5311</v>
      </c>
      <c r="M122" s="6"/>
    </row>
    <row r="123" customFormat="false" ht="15" hidden="false" customHeight="false" outlineLevel="0" collapsed="false">
      <c r="A123" s="6" t="s">
        <v>5313</v>
      </c>
      <c r="B123" s="6" t="s">
        <v>5079</v>
      </c>
      <c r="C123" s="6" t="s">
        <v>4975</v>
      </c>
      <c r="D123" s="6" t="s">
        <v>5240</v>
      </c>
      <c r="E123" s="6" t="s">
        <v>4887</v>
      </c>
      <c r="F123" s="6" t="s">
        <v>5310</v>
      </c>
      <c r="G123" s="9" t="n">
        <v>322660</v>
      </c>
      <c r="H123" s="6" t="s">
        <v>384</v>
      </c>
      <c r="I123" s="6" t="s">
        <v>13</v>
      </c>
      <c r="J123" s="6" t="s">
        <v>233</v>
      </c>
      <c r="K123" s="6" t="s">
        <v>5311</v>
      </c>
      <c r="M123" s="6"/>
    </row>
    <row r="124" customFormat="false" ht="15" hidden="false" customHeight="false" outlineLevel="0" collapsed="false">
      <c r="A124" s="6" t="s">
        <v>5314</v>
      </c>
      <c r="B124" s="6" t="s">
        <v>5315</v>
      </c>
      <c r="C124" s="6" t="s">
        <v>5316</v>
      </c>
      <c r="D124" s="6" t="s">
        <v>5240</v>
      </c>
      <c r="E124" s="6" t="s">
        <v>4887</v>
      </c>
      <c r="F124" s="6" t="s">
        <v>5317</v>
      </c>
      <c r="G124" s="9" t="n">
        <v>140715</v>
      </c>
      <c r="H124" s="6" t="s">
        <v>384</v>
      </c>
      <c r="I124" s="6" t="s">
        <v>13</v>
      </c>
      <c r="J124" s="6" t="s">
        <v>257</v>
      </c>
      <c r="K124" s="6" t="s">
        <v>5318</v>
      </c>
      <c r="M124" s="6"/>
    </row>
    <row r="125" customFormat="false" ht="15" hidden="false" customHeight="false" outlineLevel="0" collapsed="false">
      <c r="A125" s="6" t="s">
        <v>5319</v>
      </c>
      <c r="B125" s="6" t="s">
        <v>5320</v>
      </c>
      <c r="C125" s="6" t="s">
        <v>5316</v>
      </c>
      <c r="D125" s="6" t="s">
        <v>5240</v>
      </c>
      <c r="E125" s="6" t="s">
        <v>4887</v>
      </c>
      <c r="F125" s="6" t="s">
        <v>5317</v>
      </c>
      <c r="G125" s="9" t="n">
        <v>173625</v>
      </c>
      <c r="H125" s="6" t="s">
        <v>384</v>
      </c>
      <c r="I125" s="6" t="s">
        <v>13</v>
      </c>
      <c r="J125" s="6" t="s">
        <v>257</v>
      </c>
      <c r="K125" s="6" t="s">
        <v>5318</v>
      </c>
      <c r="M125" s="6"/>
    </row>
    <row r="126" customFormat="false" ht="15" hidden="false" customHeight="false" outlineLevel="0" collapsed="false">
      <c r="A126" s="6" t="s">
        <v>5321</v>
      </c>
      <c r="B126" s="6" t="s">
        <v>5320</v>
      </c>
      <c r="C126" s="6" t="s">
        <v>5316</v>
      </c>
      <c r="D126" s="6" t="s">
        <v>5240</v>
      </c>
      <c r="E126" s="6" t="s">
        <v>4887</v>
      </c>
      <c r="F126" s="6" t="s">
        <v>5322</v>
      </c>
      <c r="G126" s="9" t="n">
        <v>173625</v>
      </c>
      <c r="H126" s="6" t="s">
        <v>384</v>
      </c>
      <c r="I126" s="6" t="s">
        <v>13</v>
      </c>
      <c r="J126" s="6" t="s">
        <v>265</v>
      </c>
      <c r="K126" s="6" t="s">
        <v>5323</v>
      </c>
      <c r="M126" s="6"/>
    </row>
    <row r="127" customFormat="false" ht="15" hidden="false" customHeight="false" outlineLevel="0" collapsed="false">
      <c r="A127" s="6" t="s">
        <v>5324</v>
      </c>
      <c r="B127" s="6" t="s">
        <v>5325</v>
      </c>
      <c r="C127" s="6" t="s">
        <v>5316</v>
      </c>
      <c r="D127" s="6" t="s">
        <v>5240</v>
      </c>
      <c r="E127" s="6" t="s">
        <v>4887</v>
      </c>
      <c r="F127" s="6" t="s">
        <v>5322</v>
      </c>
      <c r="G127" s="9" t="n">
        <v>155122</v>
      </c>
      <c r="H127" s="6" t="s">
        <v>384</v>
      </c>
      <c r="I127" s="6" t="s">
        <v>13</v>
      </c>
      <c r="J127" s="6" t="s">
        <v>265</v>
      </c>
      <c r="K127" s="6" t="s">
        <v>5323</v>
      </c>
      <c r="M127" s="6"/>
    </row>
    <row r="128" customFormat="false" ht="15" hidden="false" customHeight="false" outlineLevel="0" collapsed="false">
      <c r="A128" s="6" t="s">
        <v>5326</v>
      </c>
      <c r="B128" s="6" t="s">
        <v>5079</v>
      </c>
      <c r="C128" s="6" t="s">
        <v>4975</v>
      </c>
      <c r="D128" s="6" t="s">
        <v>5240</v>
      </c>
      <c r="E128" s="6" t="s">
        <v>5327</v>
      </c>
      <c r="F128" s="6" t="s">
        <v>5328</v>
      </c>
      <c r="G128" s="19" t="n">
        <v>26</v>
      </c>
      <c r="H128" s="6" t="s">
        <v>5105</v>
      </c>
      <c r="I128" s="6" t="s">
        <v>13</v>
      </c>
      <c r="J128" s="6" t="s">
        <v>233</v>
      </c>
      <c r="K128" s="6" t="s">
        <v>5329</v>
      </c>
      <c r="M128" s="6" t="s">
        <v>5330</v>
      </c>
    </row>
    <row r="129" customFormat="false" ht="15" hidden="false" customHeight="false" outlineLevel="0" collapsed="false">
      <c r="A129" s="6" t="s">
        <v>5331</v>
      </c>
      <c r="B129" s="6" t="s">
        <v>5320</v>
      </c>
      <c r="C129" s="6" t="s">
        <v>5316</v>
      </c>
      <c r="D129" s="6" t="s">
        <v>5240</v>
      </c>
      <c r="E129" s="6" t="s">
        <v>5327</v>
      </c>
      <c r="F129" s="6" t="s">
        <v>5332</v>
      </c>
      <c r="G129" s="19" t="n">
        <v>30</v>
      </c>
      <c r="H129" s="6" t="s">
        <v>5105</v>
      </c>
      <c r="I129" s="6" t="s">
        <v>13</v>
      </c>
      <c r="J129" s="6" t="s">
        <v>257</v>
      </c>
      <c r="K129" s="6" t="s">
        <v>5333</v>
      </c>
      <c r="M129" s="6"/>
    </row>
    <row r="130" customFormat="false" ht="15" hidden="false" customHeight="false" outlineLevel="0" collapsed="false">
      <c r="A130" s="6" t="s">
        <v>5334</v>
      </c>
      <c r="B130" s="6" t="s">
        <v>5304</v>
      </c>
      <c r="C130" s="6" t="s">
        <v>5050</v>
      </c>
      <c r="D130" s="6" t="s">
        <v>5240</v>
      </c>
      <c r="E130" s="6" t="s">
        <v>5335</v>
      </c>
      <c r="F130" s="6" t="s">
        <v>5336</v>
      </c>
      <c r="G130" s="19" t="n">
        <v>1</v>
      </c>
      <c r="H130" s="6" t="s">
        <v>5337</v>
      </c>
      <c r="I130" s="6" t="s">
        <v>13</v>
      </c>
      <c r="J130" s="6" t="s">
        <v>293</v>
      </c>
      <c r="K130" s="6" t="s">
        <v>5308</v>
      </c>
      <c r="M130" s="6" t="s">
        <v>5338</v>
      </c>
    </row>
    <row r="131" customFormat="false" ht="15" hidden="false" customHeight="false" outlineLevel="0" collapsed="false">
      <c r="A131" s="6" t="s">
        <v>5339</v>
      </c>
      <c r="B131" s="6" t="s">
        <v>5062</v>
      </c>
      <c r="C131" s="6" t="s">
        <v>5050</v>
      </c>
      <c r="D131" s="6" t="s">
        <v>5240</v>
      </c>
      <c r="E131" s="6" t="s">
        <v>5340</v>
      </c>
      <c r="F131" s="6" t="s">
        <v>5341</v>
      </c>
      <c r="G131" s="19" t="n">
        <v>409</v>
      </c>
      <c r="H131" s="6" t="s">
        <v>5122</v>
      </c>
      <c r="I131" s="6" t="s">
        <v>13</v>
      </c>
      <c r="J131" s="6" t="s">
        <v>223</v>
      </c>
      <c r="K131" s="6" t="s">
        <v>5342</v>
      </c>
      <c r="M131" s="6"/>
    </row>
    <row r="132" customFormat="false" ht="15" hidden="false" customHeight="false" outlineLevel="0" collapsed="false">
      <c r="A132" s="6" t="s">
        <v>5343</v>
      </c>
      <c r="B132" s="6" t="s">
        <v>5062</v>
      </c>
      <c r="C132" s="6" t="s">
        <v>5050</v>
      </c>
      <c r="D132" s="6" t="s">
        <v>5240</v>
      </c>
      <c r="E132" s="6" t="s">
        <v>5344</v>
      </c>
      <c r="F132" s="6" t="s">
        <v>5345</v>
      </c>
      <c r="G132" s="19" t="n">
        <v>219</v>
      </c>
      <c r="H132" s="6" t="s">
        <v>5122</v>
      </c>
      <c r="I132" s="6" t="s">
        <v>13</v>
      </c>
      <c r="J132" s="6" t="s">
        <v>223</v>
      </c>
      <c r="K132" s="6" t="s">
        <v>5346</v>
      </c>
      <c r="M132" s="6"/>
    </row>
    <row r="133" customFormat="false" ht="15" hidden="false" customHeight="false" outlineLevel="0" collapsed="false">
      <c r="A133" s="6" t="s">
        <v>5347</v>
      </c>
      <c r="B133" s="6" t="s">
        <v>5072</v>
      </c>
      <c r="C133" s="6" t="s">
        <v>5050</v>
      </c>
      <c r="D133" s="6" t="s">
        <v>5240</v>
      </c>
      <c r="E133" s="6" t="s">
        <v>5344</v>
      </c>
      <c r="F133" s="6" t="s">
        <v>5348</v>
      </c>
      <c r="G133" s="19" t="n">
        <v>300</v>
      </c>
      <c r="H133" s="6" t="s">
        <v>5122</v>
      </c>
      <c r="I133" s="6" t="s">
        <v>13</v>
      </c>
      <c r="J133" s="6" t="s">
        <v>233</v>
      </c>
      <c r="K133" s="6" t="s">
        <v>5349</v>
      </c>
      <c r="M133" s="6"/>
    </row>
    <row r="134" customFormat="false" ht="15" hidden="false" customHeight="false" outlineLevel="0" collapsed="false">
      <c r="A134" s="6" t="s">
        <v>5350</v>
      </c>
      <c r="B134" s="6" t="s">
        <v>5102</v>
      </c>
      <c r="C134" s="6" t="s">
        <v>5050</v>
      </c>
      <c r="D134" s="6" t="s">
        <v>5240</v>
      </c>
      <c r="E134" s="6" t="s">
        <v>5351</v>
      </c>
      <c r="F134" s="6" t="s">
        <v>5352</v>
      </c>
      <c r="G134" s="19" t="n">
        <v>149</v>
      </c>
      <c r="H134" s="6" t="s">
        <v>5122</v>
      </c>
      <c r="I134" s="6" t="s">
        <v>13</v>
      </c>
      <c r="J134" s="6" t="s">
        <v>209</v>
      </c>
      <c r="K134" s="6" t="s">
        <v>5353</v>
      </c>
      <c r="M134" s="6" t="s">
        <v>5354</v>
      </c>
    </row>
    <row r="135" customFormat="false" ht="15" hidden="false" customHeight="false" outlineLevel="0" collapsed="false">
      <c r="A135" s="6" t="s">
        <v>5355</v>
      </c>
      <c r="B135" s="6" t="s">
        <v>5315</v>
      </c>
      <c r="C135" s="6" t="s">
        <v>5316</v>
      </c>
      <c r="D135" s="6" t="s">
        <v>5240</v>
      </c>
      <c r="E135" s="6" t="s">
        <v>5356</v>
      </c>
      <c r="F135" s="6" t="s">
        <v>5357</v>
      </c>
      <c r="G135" s="19" t="n">
        <v>10</v>
      </c>
      <c r="H135" s="6" t="s">
        <v>5105</v>
      </c>
      <c r="I135" s="6" t="s">
        <v>13</v>
      </c>
      <c r="J135" s="6" t="s">
        <v>246</v>
      </c>
      <c r="K135" s="6" t="s">
        <v>5358</v>
      </c>
      <c r="M135" s="6" t="s">
        <v>5359</v>
      </c>
    </row>
    <row r="136" customFormat="false" ht="15" hidden="false" customHeight="false" outlineLevel="0" collapsed="false">
      <c r="A136" s="6" t="s">
        <v>5360</v>
      </c>
      <c r="B136" s="6" t="s">
        <v>5320</v>
      </c>
      <c r="C136" s="6" t="s">
        <v>5316</v>
      </c>
      <c r="D136" s="6" t="s">
        <v>5240</v>
      </c>
      <c r="E136" s="6" t="s">
        <v>5356</v>
      </c>
      <c r="F136" s="6" t="s">
        <v>5361</v>
      </c>
      <c r="G136" s="19" t="n">
        <v>10</v>
      </c>
      <c r="H136" s="6" t="s">
        <v>5105</v>
      </c>
      <c r="I136" s="6" t="s">
        <v>13</v>
      </c>
      <c r="J136" s="6" t="s">
        <v>257</v>
      </c>
      <c r="K136" s="6" t="s">
        <v>5362</v>
      </c>
      <c r="M136" s="6" t="s">
        <v>5363</v>
      </c>
    </row>
    <row r="137" customFormat="false" ht="15" hidden="false" customHeight="false" outlineLevel="0" collapsed="false">
      <c r="A137" s="6" t="s">
        <v>5364</v>
      </c>
      <c r="B137" s="6" t="s">
        <v>5325</v>
      </c>
      <c r="C137" s="6" t="s">
        <v>5316</v>
      </c>
      <c r="D137" s="6" t="s">
        <v>5240</v>
      </c>
      <c r="E137" s="6" t="s">
        <v>5356</v>
      </c>
      <c r="F137" s="6" t="s">
        <v>5365</v>
      </c>
      <c r="G137" s="19" t="n">
        <v>10</v>
      </c>
      <c r="H137" s="6" t="s">
        <v>5105</v>
      </c>
      <c r="I137" s="6" t="s">
        <v>13</v>
      </c>
      <c r="J137" s="6" t="s">
        <v>265</v>
      </c>
      <c r="K137" s="6" t="s">
        <v>5366</v>
      </c>
      <c r="M137" s="6" t="s">
        <v>5367</v>
      </c>
    </row>
    <row r="138" customFormat="false" ht="15" hidden="false" customHeight="false" outlineLevel="0" collapsed="false">
      <c r="A138" s="6" t="s">
        <v>5368</v>
      </c>
      <c r="B138" s="6" t="s">
        <v>5097</v>
      </c>
      <c r="C138" s="6" t="s">
        <v>4975</v>
      </c>
      <c r="D138" s="6" t="s">
        <v>5240</v>
      </c>
      <c r="E138" s="6" t="s">
        <v>5369</v>
      </c>
      <c r="F138" s="6" t="s">
        <v>5370</v>
      </c>
      <c r="G138" s="19" t="n">
        <v>23</v>
      </c>
      <c r="H138" s="6" t="s">
        <v>5105</v>
      </c>
      <c r="I138" s="6" t="s">
        <v>13</v>
      </c>
      <c r="J138" s="6" t="s">
        <v>218</v>
      </c>
      <c r="K138" s="6" t="s">
        <v>5371</v>
      </c>
      <c r="M138" s="6"/>
    </row>
    <row r="139" customFormat="false" ht="15" hidden="false" customHeight="false" outlineLevel="0" collapsed="false">
      <c r="A139" s="6" t="s">
        <v>5372</v>
      </c>
      <c r="B139" s="6" t="s">
        <v>5062</v>
      </c>
      <c r="C139" s="6" t="s">
        <v>5050</v>
      </c>
      <c r="D139" s="6" t="s">
        <v>5240</v>
      </c>
      <c r="E139" s="6" t="s">
        <v>5373</v>
      </c>
      <c r="F139" s="6" t="s">
        <v>5374</v>
      </c>
      <c r="G139" s="19" t="n">
        <v>833</v>
      </c>
      <c r="H139" s="6" t="s">
        <v>5122</v>
      </c>
      <c r="I139" s="6" t="s">
        <v>13</v>
      </c>
      <c r="J139" s="6" t="s">
        <v>228</v>
      </c>
      <c r="K139" s="6" t="s">
        <v>5286</v>
      </c>
      <c r="M139" s="6"/>
    </row>
    <row r="140" customFormat="false" ht="15" hidden="false" customHeight="false" outlineLevel="0" collapsed="false">
      <c r="A140" s="6" t="s">
        <v>5375</v>
      </c>
      <c r="B140" s="6" t="s">
        <v>5067</v>
      </c>
      <c r="C140" s="6" t="s">
        <v>5050</v>
      </c>
      <c r="D140" s="6" t="s">
        <v>5240</v>
      </c>
      <c r="E140" s="6" t="s">
        <v>5373</v>
      </c>
      <c r="F140" s="6" t="s">
        <v>5376</v>
      </c>
      <c r="G140" s="19" t="n">
        <v>1207</v>
      </c>
      <c r="H140" s="6" t="s">
        <v>5122</v>
      </c>
      <c r="I140" s="6" t="s">
        <v>13</v>
      </c>
      <c r="J140" s="6" t="s">
        <v>228</v>
      </c>
      <c r="K140" s="6" t="s">
        <v>5286</v>
      </c>
      <c r="M140" s="6"/>
    </row>
    <row r="141" customFormat="false" ht="15" hidden="false" customHeight="false" outlineLevel="0" collapsed="false">
      <c r="A141" s="6" t="s">
        <v>5377</v>
      </c>
      <c r="B141" s="6" t="s">
        <v>5113</v>
      </c>
      <c r="C141" s="6" t="s">
        <v>4975</v>
      </c>
      <c r="D141" s="6" t="s">
        <v>5240</v>
      </c>
      <c r="E141" s="6" t="s">
        <v>5378</v>
      </c>
      <c r="F141" s="6" t="s">
        <v>5379</v>
      </c>
      <c r="G141" s="19" t="n">
        <v>45</v>
      </c>
      <c r="H141" s="6" t="s">
        <v>5105</v>
      </c>
      <c r="I141" s="6" t="s">
        <v>13</v>
      </c>
      <c r="J141" s="6" t="s">
        <v>228</v>
      </c>
      <c r="K141" s="6" t="s">
        <v>5286</v>
      </c>
      <c r="M141" s="6"/>
    </row>
    <row r="142" customFormat="false" ht="15" hidden="false" customHeight="false" outlineLevel="0" collapsed="false">
      <c r="A142" s="6" t="s">
        <v>5380</v>
      </c>
      <c r="B142" s="6" t="s">
        <v>5381</v>
      </c>
      <c r="C142" s="6" t="s">
        <v>5050</v>
      </c>
      <c r="D142" s="6" t="s">
        <v>5240</v>
      </c>
      <c r="E142" s="6" t="s">
        <v>5382</v>
      </c>
      <c r="F142" s="6" t="s">
        <v>5383</v>
      </c>
      <c r="G142" s="19" t="n">
        <v>677</v>
      </c>
      <c r="H142" s="6" t="s">
        <v>5122</v>
      </c>
      <c r="I142" s="6" t="s">
        <v>13</v>
      </c>
      <c r="J142" s="6" t="s">
        <v>246</v>
      </c>
      <c r="K142" s="6" t="s">
        <v>5243</v>
      </c>
      <c r="M142" s="6"/>
    </row>
    <row r="143" customFormat="false" ht="15" hidden="false" customHeight="false" outlineLevel="0" collapsed="false">
      <c r="A143" s="6" t="s">
        <v>5384</v>
      </c>
      <c r="B143" s="6" t="s">
        <v>5239</v>
      </c>
      <c r="C143" s="6" t="s">
        <v>5050</v>
      </c>
      <c r="D143" s="6" t="s">
        <v>5240</v>
      </c>
      <c r="E143" s="6" t="s">
        <v>5382</v>
      </c>
      <c r="F143" s="6" t="s">
        <v>5385</v>
      </c>
      <c r="G143" s="19" t="n">
        <v>1009</v>
      </c>
      <c r="H143" s="6" t="s">
        <v>5122</v>
      </c>
      <c r="I143" s="6" t="s">
        <v>13</v>
      </c>
      <c r="J143" s="6" t="s">
        <v>246</v>
      </c>
      <c r="K143" s="6" t="s">
        <v>5243</v>
      </c>
      <c r="M143" s="6"/>
    </row>
    <row r="144" customFormat="false" ht="15" hidden="false" customHeight="false" outlineLevel="0" collapsed="false">
      <c r="A144" s="6" t="s">
        <v>5386</v>
      </c>
      <c r="B144" s="6" t="s">
        <v>5239</v>
      </c>
      <c r="C144" s="6" t="s">
        <v>5050</v>
      </c>
      <c r="D144" s="6" t="s">
        <v>5240</v>
      </c>
      <c r="E144" s="6" t="s">
        <v>5382</v>
      </c>
      <c r="F144" s="6" t="s">
        <v>5387</v>
      </c>
      <c r="G144" s="19" t="n">
        <v>1009</v>
      </c>
      <c r="H144" s="6" t="s">
        <v>5122</v>
      </c>
      <c r="I144" s="6" t="s">
        <v>13</v>
      </c>
      <c r="J144" s="6" t="s">
        <v>257</v>
      </c>
      <c r="K144" s="6" t="s">
        <v>5247</v>
      </c>
      <c r="M144" s="6"/>
    </row>
    <row r="145" customFormat="false" ht="15" hidden="false" customHeight="false" outlineLevel="0" collapsed="false">
      <c r="A145" s="6" t="s">
        <v>5388</v>
      </c>
      <c r="B145" s="6" t="s">
        <v>5245</v>
      </c>
      <c r="C145" s="6" t="s">
        <v>5050</v>
      </c>
      <c r="D145" s="6" t="s">
        <v>5240</v>
      </c>
      <c r="E145" s="6" t="s">
        <v>5382</v>
      </c>
      <c r="F145" s="6" t="s">
        <v>5389</v>
      </c>
      <c r="G145" s="19" t="n">
        <v>1472</v>
      </c>
      <c r="H145" s="6" t="s">
        <v>5122</v>
      </c>
      <c r="I145" s="6" t="s">
        <v>13</v>
      </c>
      <c r="J145" s="6" t="s">
        <v>257</v>
      </c>
      <c r="K145" s="6" t="s">
        <v>5247</v>
      </c>
      <c r="M145" s="6"/>
    </row>
    <row r="146" customFormat="false" ht="15" hidden="false" customHeight="false" outlineLevel="0" collapsed="false">
      <c r="A146" s="6" t="s">
        <v>5390</v>
      </c>
      <c r="B146" s="6" t="s">
        <v>5249</v>
      </c>
      <c r="C146" s="6" t="s">
        <v>5050</v>
      </c>
      <c r="D146" s="6" t="s">
        <v>5240</v>
      </c>
      <c r="E146" s="6" t="s">
        <v>5382</v>
      </c>
      <c r="F146" s="6" t="s">
        <v>5391</v>
      </c>
      <c r="G146" s="19" t="n">
        <v>2019</v>
      </c>
      <c r="H146" s="6" t="s">
        <v>5122</v>
      </c>
      <c r="I146" s="6" t="s">
        <v>13</v>
      </c>
      <c r="J146" s="6" t="s">
        <v>265</v>
      </c>
      <c r="K146" s="6" t="s">
        <v>5251</v>
      </c>
      <c r="M146" s="6"/>
    </row>
    <row r="147" customFormat="false" ht="15" hidden="false" customHeight="false" outlineLevel="0" collapsed="false">
      <c r="A147" s="6" t="s">
        <v>5392</v>
      </c>
      <c r="B147" s="6" t="s">
        <v>5239</v>
      </c>
      <c r="C147" s="6" t="s">
        <v>5050</v>
      </c>
      <c r="D147" s="6" t="s">
        <v>5240</v>
      </c>
      <c r="E147" s="6" t="s">
        <v>5393</v>
      </c>
      <c r="F147" s="6" t="s">
        <v>5394</v>
      </c>
      <c r="G147" s="19" t="n">
        <v>49</v>
      </c>
      <c r="H147" s="6" t="s">
        <v>5105</v>
      </c>
      <c r="I147" s="6" t="s">
        <v>13</v>
      </c>
      <c r="J147" s="6" t="s">
        <v>246</v>
      </c>
      <c r="K147" s="6" t="s">
        <v>5243</v>
      </c>
      <c r="M147" s="6"/>
    </row>
    <row r="148" customFormat="false" ht="15" hidden="false" customHeight="false" outlineLevel="0" collapsed="false">
      <c r="A148" s="6" t="s">
        <v>5395</v>
      </c>
      <c r="B148" s="6" t="s">
        <v>5245</v>
      </c>
      <c r="C148" s="6" t="s">
        <v>5050</v>
      </c>
      <c r="D148" s="6" t="s">
        <v>5240</v>
      </c>
      <c r="E148" s="6" t="s">
        <v>5393</v>
      </c>
      <c r="F148" s="6" t="s">
        <v>5396</v>
      </c>
      <c r="G148" s="19" t="n">
        <v>46</v>
      </c>
      <c r="H148" s="6" t="s">
        <v>5105</v>
      </c>
      <c r="I148" s="6" t="s">
        <v>13</v>
      </c>
      <c r="J148" s="6" t="s">
        <v>257</v>
      </c>
      <c r="K148" s="6" t="s">
        <v>5247</v>
      </c>
      <c r="M148" s="6"/>
    </row>
    <row r="149" customFormat="false" ht="15" hidden="false" customHeight="false" outlineLevel="0" collapsed="false">
      <c r="A149" s="6" t="s">
        <v>5397</v>
      </c>
      <c r="B149" s="6" t="s">
        <v>5249</v>
      </c>
      <c r="C149" s="6" t="s">
        <v>5050</v>
      </c>
      <c r="D149" s="6" t="s">
        <v>5240</v>
      </c>
      <c r="E149" s="6" t="s">
        <v>5393</v>
      </c>
      <c r="F149" s="6" t="s">
        <v>5398</v>
      </c>
      <c r="G149" s="19" t="n">
        <v>37</v>
      </c>
      <c r="H149" s="6" t="s">
        <v>5105</v>
      </c>
      <c r="I149" s="6" t="s">
        <v>13</v>
      </c>
      <c r="J149" s="6" t="s">
        <v>265</v>
      </c>
      <c r="K149" s="6" t="s">
        <v>5251</v>
      </c>
      <c r="M149" s="6"/>
    </row>
    <row r="150" customFormat="false" ht="15" hidden="false" customHeight="false" outlineLevel="0" collapsed="false">
      <c r="A150" s="6" t="s">
        <v>5399</v>
      </c>
      <c r="B150" s="6" t="s">
        <v>5245</v>
      </c>
      <c r="C150" s="6" t="s">
        <v>5050</v>
      </c>
      <c r="D150" s="6" t="s">
        <v>5240</v>
      </c>
      <c r="E150" s="6" t="s">
        <v>5400</v>
      </c>
      <c r="F150" s="6" t="s">
        <v>5401</v>
      </c>
      <c r="G150" s="19" t="n">
        <v>68</v>
      </c>
      <c r="H150" s="6" t="s">
        <v>5122</v>
      </c>
      <c r="I150" s="6" t="s">
        <v>13</v>
      </c>
      <c r="J150" s="6" t="s">
        <v>265</v>
      </c>
      <c r="K150" s="6" t="s">
        <v>5251</v>
      </c>
      <c r="M150" s="6"/>
    </row>
    <row r="151" customFormat="false" ht="15" hidden="false" customHeight="false" outlineLevel="0" collapsed="false">
      <c r="A151" s="6" t="s">
        <v>5402</v>
      </c>
      <c r="B151" s="6" t="s">
        <v>5403</v>
      </c>
      <c r="C151" s="6" t="s">
        <v>5050</v>
      </c>
      <c r="D151" s="6" t="s">
        <v>5240</v>
      </c>
      <c r="E151" s="6" t="s">
        <v>5400</v>
      </c>
      <c r="F151" s="6" t="s">
        <v>5404</v>
      </c>
      <c r="G151" s="19" t="n">
        <v>99</v>
      </c>
      <c r="H151" s="6" t="s">
        <v>5122</v>
      </c>
      <c r="I151" s="6" t="s">
        <v>13</v>
      </c>
      <c r="J151" s="6" t="s">
        <v>310</v>
      </c>
      <c r="K151" s="6" t="s">
        <v>5405</v>
      </c>
      <c r="M151" s="6"/>
    </row>
    <row r="152" customFormat="false" ht="15" hidden="false" customHeight="false" outlineLevel="0" collapsed="false">
      <c r="A152" s="6" t="s">
        <v>5406</v>
      </c>
      <c r="B152" s="6" t="s">
        <v>5249</v>
      </c>
      <c r="C152" s="6" t="s">
        <v>5050</v>
      </c>
      <c r="D152" s="6" t="s">
        <v>5240</v>
      </c>
      <c r="E152" s="6" t="s">
        <v>5400</v>
      </c>
      <c r="F152" s="6" t="s">
        <v>5407</v>
      </c>
      <c r="G152" s="19" t="n">
        <v>114</v>
      </c>
      <c r="H152" s="6" t="s">
        <v>5122</v>
      </c>
      <c r="I152" s="6" t="s">
        <v>13</v>
      </c>
      <c r="J152" s="6" t="s">
        <v>265</v>
      </c>
      <c r="K152" s="6" t="s">
        <v>5251</v>
      </c>
      <c r="M152" s="6"/>
    </row>
    <row r="153" customFormat="false" ht="15" hidden="false" customHeight="false" outlineLevel="0" collapsed="false">
      <c r="A153" s="6" t="s">
        <v>5408</v>
      </c>
      <c r="B153" s="6" t="s">
        <v>5403</v>
      </c>
      <c r="C153" s="6" t="s">
        <v>5050</v>
      </c>
      <c r="D153" s="6" t="s">
        <v>5240</v>
      </c>
      <c r="E153" s="6" t="s">
        <v>5409</v>
      </c>
      <c r="F153" s="6" t="s">
        <v>5410</v>
      </c>
      <c r="G153" s="19" t="n">
        <v>74</v>
      </c>
      <c r="H153" s="6" t="s">
        <v>5105</v>
      </c>
      <c r="I153" s="6" t="s">
        <v>13</v>
      </c>
      <c r="J153" s="6" t="s">
        <v>310</v>
      </c>
      <c r="K153" s="6" t="s">
        <v>5411</v>
      </c>
      <c r="M153" s="6"/>
    </row>
    <row r="154" customFormat="false" ht="15" hidden="false" customHeight="false" outlineLevel="0" collapsed="false">
      <c r="A154" s="6" t="s">
        <v>5412</v>
      </c>
      <c r="B154" s="6" t="s">
        <v>5249</v>
      </c>
      <c r="C154" s="6" t="s">
        <v>5050</v>
      </c>
      <c r="D154" s="6" t="s">
        <v>5240</v>
      </c>
      <c r="E154" s="6" t="s">
        <v>5409</v>
      </c>
      <c r="F154" s="6" t="s">
        <v>5413</v>
      </c>
      <c r="G154" s="19" t="n">
        <v>68</v>
      </c>
      <c r="H154" s="6" t="s">
        <v>5105</v>
      </c>
      <c r="I154" s="6" t="s">
        <v>13</v>
      </c>
      <c r="J154" s="6" t="s">
        <v>265</v>
      </c>
      <c r="K154" s="6" t="s">
        <v>5251</v>
      </c>
      <c r="M154" s="6"/>
    </row>
    <row r="155" customFormat="false" ht="15" hidden="false" customHeight="false" outlineLevel="0" collapsed="false">
      <c r="A155" s="6" t="s">
        <v>5414</v>
      </c>
      <c r="B155" s="6" t="s">
        <v>5239</v>
      </c>
      <c r="C155" s="6" t="s">
        <v>5050</v>
      </c>
      <c r="D155" s="6" t="s">
        <v>5240</v>
      </c>
      <c r="E155" s="6" t="s">
        <v>5415</v>
      </c>
      <c r="F155" s="6" t="s">
        <v>5416</v>
      </c>
      <c r="G155" s="19" t="n">
        <v>57203</v>
      </c>
      <c r="H155" s="6" t="s">
        <v>5122</v>
      </c>
      <c r="I155" s="6" t="s">
        <v>13</v>
      </c>
      <c r="J155" s="6" t="s">
        <v>257</v>
      </c>
      <c r="K155" s="6" t="s">
        <v>5258</v>
      </c>
      <c r="M155" s="6"/>
    </row>
    <row r="156" customFormat="false" ht="15" hidden="false" customHeight="false" outlineLevel="0" collapsed="false">
      <c r="A156" s="6" t="s">
        <v>5417</v>
      </c>
      <c r="B156" s="6" t="s">
        <v>5245</v>
      </c>
      <c r="C156" s="6" t="s">
        <v>5050</v>
      </c>
      <c r="D156" s="6" t="s">
        <v>5240</v>
      </c>
      <c r="E156" s="6" t="s">
        <v>5415</v>
      </c>
      <c r="F156" s="6" t="s">
        <v>5418</v>
      </c>
      <c r="G156" s="19" t="n">
        <v>61803</v>
      </c>
      <c r="H156" s="6" t="s">
        <v>5122</v>
      </c>
      <c r="I156" s="6" t="s">
        <v>13</v>
      </c>
      <c r="J156" s="6" t="s">
        <v>257</v>
      </c>
      <c r="K156" s="6" t="s">
        <v>5258</v>
      </c>
      <c r="M156" s="6"/>
    </row>
    <row r="157" customFormat="false" ht="15" hidden="false" customHeight="false" outlineLevel="0" collapsed="false">
      <c r="A157" s="6" t="s">
        <v>5419</v>
      </c>
      <c r="B157" s="6" t="s">
        <v>5245</v>
      </c>
      <c r="C157" s="6" t="s">
        <v>5050</v>
      </c>
      <c r="D157" s="6" t="s">
        <v>5240</v>
      </c>
      <c r="E157" s="6" t="s">
        <v>5420</v>
      </c>
      <c r="F157" s="6" t="s">
        <v>5421</v>
      </c>
      <c r="G157" s="19" t="n">
        <v>8</v>
      </c>
      <c r="H157" s="6" t="s">
        <v>5105</v>
      </c>
      <c r="I157" s="6" t="s">
        <v>13</v>
      </c>
      <c r="J157" s="6" t="s">
        <v>257</v>
      </c>
      <c r="K157" s="6" t="s">
        <v>5258</v>
      </c>
      <c r="M157" s="6"/>
    </row>
    <row r="158" customFormat="false" ht="15" hidden="false" customHeight="false" outlineLevel="0" collapsed="false">
      <c r="A158" s="6" t="s">
        <v>5422</v>
      </c>
      <c r="B158" s="6" t="s">
        <v>5049</v>
      </c>
      <c r="C158" s="6" t="s">
        <v>5050</v>
      </c>
      <c r="D158" s="6" t="s">
        <v>5240</v>
      </c>
      <c r="E158" s="6" t="s">
        <v>5423</v>
      </c>
      <c r="F158" s="6" t="s">
        <v>5424</v>
      </c>
      <c r="G158" s="19" t="n">
        <v>267</v>
      </c>
      <c r="H158" s="6" t="s">
        <v>5122</v>
      </c>
      <c r="I158" s="6" t="s">
        <v>13</v>
      </c>
      <c r="J158" s="6" t="s">
        <v>223</v>
      </c>
      <c r="K158" s="6" t="s">
        <v>5294</v>
      </c>
      <c r="M158" s="6"/>
    </row>
    <row r="159" customFormat="false" ht="15" hidden="false" customHeight="false" outlineLevel="0" collapsed="false">
      <c r="A159" s="6" t="s">
        <v>5425</v>
      </c>
      <c r="B159" s="6" t="s">
        <v>5057</v>
      </c>
      <c r="C159" s="6" t="s">
        <v>5050</v>
      </c>
      <c r="D159" s="6" t="s">
        <v>5240</v>
      </c>
      <c r="E159" s="6" t="s">
        <v>5423</v>
      </c>
      <c r="F159" s="6" t="s">
        <v>5424</v>
      </c>
      <c r="G159" s="19" t="n">
        <v>527</v>
      </c>
      <c r="H159" s="6" t="s">
        <v>5122</v>
      </c>
      <c r="I159" s="6" t="s">
        <v>13</v>
      </c>
      <c r="J159" s="6" t="s">
        <v>223</v>
      </c>
      <c r="K159" s="6" t="s">
        <v>5294</v>
      </c>
      <c r="M159" s="6"/>
    </row>
    <row r="160" customFormat="false" ht="15" hidden="false" customHeight="false" outlineLevel="0" collapsed="false">
      <c r="A160" s="6" t="s">
        <v>5426</v>
      </c>
      <c r="B160" s="6" t="s">
        <v>5062</v>
      </c>
      <c r="C160" s="6" t="s">
        <v>5050</v>
      </c>
      <c r="D160" s="6" t="s">
        <v>5240</v>
      </c>
      <c r="E160" s="6" t="s">
        <v>5423</v>
      </c>
      <c r="F160" s="6" t="s">
        <v>5424</v>
      </c>
      <c r="G160" s="19" t="n">
        <v>833</v>
      </c>
      <c r="H160" s="6" t="s">
        <v>5122</v>
      </c>
      <c r="I160" s="6" t="s">
        <v>13</v>
      </c>
      <c r="J160" s="6" t="s">
        <v>223</v>
      </c>
      <c r="K160" s="6" t="s">
        <v>5294</v>
      </c>
      <c r="M160" s="6"/>
    </row>
    <row r="161" customFormat="false" ht="15" hidden="false" customHeight="false" outlineLevel="0" collapsed="false">
      <c r="A161" s="6" t="s">
        <v>5427</v>
      </c>
      <c r="B161" s="6" t="s">
        <v>5067</v>
      </c>
      <c r="C161" s="6" t="s">
        <v>5050</v>
      </c>
      <c r="D161" s="6" t="s">
        <v>5240</v>
      </c>
      <c r="E161" s="6" t="s">
        <v>5423</v>
      </c>
      <c r="F161" s="6" t="s">
        <v>5428</v>
      </c>
      <c r="G161" s="19" t="n">
        <v>1207</v>
      </c>
      <c r="H161" s="6" t="s">
        <v>5122</v>
      </c>
      <c r="I161" s="6" t="s">
        <v>13</v>
      </c>
      <c r="J161" s="6" t="s">
        <v>233</v>
      </c>
      <c r="K161" s="6" t="s">
        <v>5262</v>
      </c>
      <c r="M161" s="6"/>
    </row>
    <row r="162" customFormat="false" ht="15" hidden="false" customHeight="false" outlineLevel="0" collapsed="false">
      <c r="A162" s="6" t="s">
        <v>5429</v>
      </c>
      <c r="B162" s="6" t="s">
        <v>5072</v>
      </c>
      <c r="C162" s="6" t="s">
        <v>5050</v>
      </c>
      <c r="D162" s="6" t="s">
        <v>5240</v>
      </c>
      <c r="E162" s="6" t="s">
        <v>5423</v>
      </c>
      <c r="F162" s="6" t="s">
        <v>5428</v>
      </c>
      <c r="G162" s="19" t="n">
        <v>1756</v>
      </c>
      <c r="H162" s="6" t="s">
        <v>5122</v>
      </c>
      <c r="I162" s="6" t="s">
        <v>13</v>
      </c>
      <c r="J162" s="6" t="s">
        <v>233</v>
      </c>
      <c r="K162" s="6" t="s">
        <v>5262</v>
      </c>
      <c r="M162" s="6"/>
    </row>
    <row r="163" customFormat="false" ht="15" hidden="false" customHeight="false" outlineLevel="0" collapsed="false">
      <c r="A163" s="6" t="s">
        <v>5430</v>
      </c>
      <c r="B163" s="6" t="s">
        <v>5079</v>
      </c>
      <c r="C163" s="6" t="s">
        <v>4975</v>
      </c>
      <c r="D163" s="6" t="s">
        <v>5240</v>
      </c>
      <c r="E163" s="6" t="s">
        <v>5431</v>
      </c>
      <c r="F163" s="6" t="s">
        <v>5428</v>
      </c>
      <c r="G163" s="19" t="n">
        <v>45</v>
      </c>
      <c r="H163" s="6" t="s">
        <v>5105</v>
      </c>
      <c r="I163" s="6" t="s">
        <v>13</v>
      </c>
      <c r="J163" s="6" t="s">
        <v>233</v>
      </c>
      <c r="K163" s="6" t="s">
        <v>5262</v>
      </c>
      <c r="M163" s="6"/>
    </row>
    <row r="164" customFormat="false" ht="15" hidden="false" customHeight="false" outlineLevel="0" collapsed="false">
      <c r="A164" s="6" t="s">
        <v>5432</v>
      </c>
      <c r="B164" s="6" t="s">
        <v>5049</v>
      </c>
      <c r="C164" s="6" t="s">
        <v>5050</v>
      </c>
      <c r="D164" s="6" t="s">
        <v>5240</v>
      </c>
      <c r="E164" s="6" t="s">
        <v>5433</v>
      </c>
      <c r="F164" s="6" t="s">
        <v>5434</v>
      </c>
      <c r="G164" s="19" t="n">
        <v>793</v>
      </c>
      <c r="H164" s="6" t="s">
        <v>5122</v>
      </c>
      <c r="I164" s="6" t="s">
        <v>13</v>
      </c>
      <c r="J164" s="6" t="s">
        <v>223</v>
      </c>
      <c r="K164" s="6" t="s">
        <v>5294</v>
      </c>
      <c r="M164" s="6"/>
    </row>
    <row r="165" customFormat="false" ht="15" hidden="false" customHeight="false" outlineLevel="0" collapsed="false">
      <c r="A165" s="6" t="s">
        <v>5435</v>
      </c>
      <c r="B165" s="6" t="s">
        <v>5057</v>
      </c>
      <c r="C165" s="6" t="s">
        <v>5050</v>
      </c>
      <c r="D165" s="6" t="s">
        <v>5240</v>
      </c>
      <c r="E165" s="6" t="s">
        <v>5433</v>
      </c>
      <c r="F165" s="6" t="s">
        <v>5434</v>
      </c>
      <c r="G165" s="19" t="n">
        <v>1474</v>
      </c>
      <c r="H165" s="6" t="s">
        <v>5122</v>
      </c>
      <c r="I165" s="6" t="s">
        <v>13</v>
      </c>
      <c r="J165" s="6" t="s">
        <v>223</v>
      </c>
      <c r="K165" s="6" t="s">
        <v>5294</v>
      </c>
      <c r="M165" s="6"/>
    </row>
    <row r="166" customFormat="false" ht="15" hidden="false" customHeight="false" outlineLevel="0" collapsed="false">
      <c r="A166" s="6" t="s">
        <v>5436</v>
      </c>
      <c r="B166" s="6" t="s">
        <v>5062</v>
      </c>
      <c r="C166" s="6" t="s">
        <v>5050</v>
      </c>
      <c r="D166" s="6" t="s">
        <v>5240</v>
      </c>
      <c r="E166" s="6" t="s">
        <v>5433</v>
      </c>
      <c r="F166" s="6" t="s">
        <v>5434</v>
      </c>
      <c r="G166" s="19" t="n">
        <v>2295</v>
      </c>
      <c r="H166" s="6" t="s">
        <v>5122</v>
      </c>
      <c r="I166" s="6" t="s">
        <v>13</v>
      </c>
      <c r="J166" s="6" t="s">
        <v>223</v>
      </c>
      <c r="K166" s="6" t="s">
        <v>5294</v>
      </c>
      <c r="M166" s="6"/>
    </row>
    <row r="167" customFormat="false" ht="15" hidden="false" customHeight="false" outlineLevel="0" collapsed="false">
      <c r="A167" s="6" t="s">
        <v>5437</v>
      </c>
      <c r="B167" s="6" t="s">
        <v>5067</v>
      </c>
      <c r="C167" s="6" t="s">
        <v>5050</v>
      </c>
      <c r="D167" s="6" t="s">
        <v>5240</v>
      </c>
      <c r="E167" s="6" t="s">
        <v>5433</v>
      </c>
      <c r="F167" s="6" t="s">
        <v>5438</v>
      </c>
      <c r="G167" s="19" t="n">
        <v>3201</v>
      </c>
      <c r="H167" s="6" t="s">
        <v>5122</v>
      </c>
      <c r="I167" s="6" t="s">
        <v>13</v>
      </c>
      <c r="J167" s="6" t="s">
        <v>233</v>
      </c>
      <c r="K167" s="6" t="s">
        <v>5262</v>
      </c>
      <c r="M167" s="6"/>
    </row>
    <row r="168" customFormat="false" ht="15" hidden="false" customHeight="false" outlineLevel="0" collapsed="false">
      <c r="A168" s="6" t="s">
        <v>5439</v>
      </c>
      <c r="B168" s="6" t="s">
        <v>5072</v>
      </c>
      <c r="C168" s="6" t="s">
        <v>5050</v>
      </c>
      <c r="D168" s="6" t="s">
        <v>5240</v>
      </c>
      <c r="E168" s="6" t="s">
        <v>5433</v>
      </c>
      <c r="F168" s="6" t="s">
        <v>5438</v>
      </c>
      <c r="G168" s="19" t="n">
        <v>4281</v>
      </c>
      <c r="H168" s="6" t="s">
        <v>5122</v>
      </c>
      <c r="I168" s="6" t="s">
        <v>13</v>
      </c>
      <c r="J168" s="6" t="s">
        <v>233</v>
      </c>
      <c r="K168" s="6" t="s">
        <v>5262</v>
      </c>
      <c r="M168" s="6" t="s">
        <v>5440</v>
      </c>
    </row>
    <row r="169" customFormat="false" ht="15" hidden="false" customHeight="false" outlineLevel="0" collapsed="false">
      <c r="A169" s="6" t="s">
        <v>5441</v>
      </c>
      <c r="B169" s="6" t="s">
        <v>5079</v>
      </c>
      <c r="C169" s="6" t="s">
        <v>4975</v>
      </c>
      <c r="D169" s="6" t="s">
        <v>5240</v>
      </c>
      <c r="E169" s="6" t="s">
        <v>5442</v>
      </c>
      <c r="F169" s="6" t="s">
        <v>5438</v>
      </c>
      <c r="G169" s="19" t="n">
        <v>34</v>
      </c>
      <c r="H169" s="6" t="s">
        <v>5105</v>
      </c>
      <c r="I169" s="6" t="s">
        <v>13</v>
      </c>
      <c r="J169" s="6" t="s">
        <v>233</v>
      </c>
      <c r="K169" s="6" t="s">
        <v>5262</v>
      </c>
      <c r="M169" s="6"/>
    </row>
    <row r="170" customFormat="false" ht="15" hidden="false" customHeight="false" outlineLevel="0" collapsed="false">
      <c r="A170" s="6" t="s">
        <v>5443</v>
      </c>
      <c r="B170" s="6" t="s">
        <v>5067</v>
      </c>
      <c r="C170" s="6" t="s">
        <v>5050</v>
      </c>
      <c r="D170" s="6" t="s">
        <v>5240</v>
      </c>
      <c r="E170" s="6" t="s">
        <v>5444</v>
      </c>
      <c r="F170" s="6" t="s">
        <v>5445</v>
      </c>
      <c r="G170" s="19" t="n">
        <v>50</v>
      </c>
      <c r="H170" s="6" t="s">
        <v>5122</v>
      </c>
      <c r="I170" s="6" t="s">
        <v>13</v>
      </c>
      <c r="J170" s="6" t="s">
        <v>233</v>
      </c>
      <c r="K170" s="6" t="s">
        <v>5262</v>
      </c>
      <c r="M170" s="6"/>
    </row>
    <row r="171" customFormat="false" ht="15" hidden="false" customHeight="false" outlineLevel="0" collapsed="false">
      <c r="A171" s="6" t="s">
        <v>5446</v>
      </c>
      <c r="B171" s="6" t="s">
        <v>5072</v>
      </c>
      <c r="C171" s="6" t="s">
        <v>5050</v>
      </c>
      <c r="D171" s="6" t="s">
        <v>5240</v>
      </c>
      <c r="E171" s="6" t="s">
        <v>5444</v>
      </c>
      <c r="F171" s="6" t="s">
        <v>5445</v>
      </c>
      <c r="G171" s="19" t="n">
        <v>87</v>
      </c>
      <c r="H171" s="6" t="s">
        <v>5122</v>
      </c>
      <c r="I171" s="6" t="s">
        <v>13</v>
      </c>
      <c r="J171" s="6" t="s">
        <v>233</v>
      </c>
      <c r="K171" s="6" t="s">
        <v>5262</v>
      </c>
      <c r="M171" s="6"/>
    </row>
    <row r="172" customFormat="false" ht="15" hidden="false" customHeight="false" outlineLevel="0" collapsed="false">
      <c r="A172" s="6" t="s">
        <v>5447</v>
      </c>
      <c r="B172" s="6" t="s">
        <v>5079</v>
      </c>
      <c r="C172" s="6" t="s">
        <v>4975</v>
      </c>
      <c r="D172" s="6" t="s">
        <v>5240</v>
      </c>
      <c r="E172" s="6" t="s">
        <v>5448</v>
      </c>
      <c r="F172" s="6" t="s">
        <v>5445</v>
      </c>
      <c r="G172" s="19" t="n">
        <v>74</v>
      </c>
      <c r="H172" s="6" t="s">
        <v>5105</v>
      </c>
      <c r="I172" s="6" t="s">
        <v>13</v>
      </c>
      <c r="J172" s="6" t="s">
        <v>233</v>
      </c>
      <c r="K172" s="6" t="s">
        <v>5262</v>
      </c>
      <c r="M172" s="6"/>
    </row>
    <row r="173" customFormat="false" ht="15" hidden="false" customHeight="false" outlineLevel="0" collapsed="false">
      <c r="A173" s="6" t="s">
        <v>5449</v>
      </c>
      <c r="B173" s="6" t="s">
        <v>5062</v>
      </c>
      <c r="C173" s="6" t="s">
        <v>5050</v>
      </c>
      <c r="D173" s="6" t="s">
        <v>5240</v>
      </c>
      <c r="E173" s="6" t="s">
        <v>5450</v>
      </c>
      <c r="F173" s="6" t="s">
        <v>5451</v>
      </c>
      <c r="G173" s="19" t="n">
        <v>53688</v>
      </c>
      <c r="H173" s="6" t="s">
        <v>5122</v>
      </c>
      <c r="I173" s="6" t="s">
        <v>13</v>
      </c>
      <c r="J173" s="6" t="s">
        <v>228</v>
      </c>
      <c r="K173" s="6" t="s">
        <v>5286</v>
      </c>
      <c r="M173" s="6"/>
    </row>
    <row r="174" customFormat="false" ht="15" hidden="false" customHeight="false" outlineLevel="0" collapsed="false">
      <c r="A174" s="6" t="s">
        <v>5452</v>
      </c>
      <c r="B174" s="6" t="s">
        <v>5067</v>
      </c>
      <c r="C174" s="6" t="s">
        <v>5050</v>
      </c>
      <c r="D174" s="6" t="s">
        <v>5240</v>
      </c>
      <c r="E174" s="6" t="s">
        <v>5450</v>
      </c>
      <c r="F174" s="6" t="s">
        <v>5453</v>
      </c>
      <c r="G174" s="19" t="n">
        <v>59214</v>
      </c>
      <c r="H174" s="6" t="s">
        <v>5122</v>
      </c>
      <c r="I174" s="6" t="s">
        <v>13</v>
      </c>
      <c r="J174" s="6" t="s">
        <v>228</v>
      </c>
      <c r="K174" s="6" t="s">
        <v>5286</v>
      </c>
      <c r="M174" s="6"/>
    </row>
    <row r="175" customFormat="false" ht="15" hidden="false" customHeight="false" outlineLevel="0" collapsed="false">
      <c r="A175" s="6" t="s">
        <v>5454</v>
      </c>
      <c r="B175" s="6" t="s">
        <v>5113</v>
      </c>
      <c r="C175" s="6" t="s">
        <v>4975</v>
      </c>
      <c r="D175" s="6" t="s">
        <v>5240</v>
      </c>
      <c r="E175" s="6" t="s">
        <v>5455</v>
      </c>
      <c r="F175" s="6" t="s">
        <v>5456</v>
      </c>
      <c r="G175" s="19" t="n">
        <v>10</v>
      </c>
      <c r="H175" s="6" t="s">
        <v>5105</v>
      </c>
      <c r="I175" s="6" t="s">
        <v>13</v>
      </c>
      <c r="J175" s="6" t="s">
        <v>228</v>
      </c>
      <c r="K175" s="6" t="s">
        <v>5286</v>
      </c>
      <c r="M175" s="6"/>
    </row>
    <row r="176" customFormat="false" ht="15" hidden="false" customHeight="false" outlineLevel="0" collapsed="false">
      <c r="A176" s="6" t="s">
        <v>5457</v>
      </c>
      <c r="B176" s="6" t="s">
        <v>5057</v>
      </c>
      <c r="C176" s="6" t="s">
        <v>5050</v>
      </c>
      <c r="D176" s="6" t="s">
        <v>5240</v>
      </c>
      <c r="E176" s="6" t="s">
        <v>5458</v>
      </c>
      <c r="F176" s="6" t="s">
        <v>5459</v>
      </c>
      <c r="G176" s="19" t="n">
        <v>120</v>
      </c>
      <c r="H176" s="6" t="s">
        <v>5105</v>
      </c>
      <c r="I176" s="6" t="s">
        <v>13</v>
      </c>
      <c r="J176" s="6" t="s">
        <v>218</v>
      </c>
      <c r="K176" s="6" t="s">
        <v>5460</v>
      </c>
      <c r="M176" s="6" t="s">
        <v>5461</v>
      </c>
    </row>
    <row r="177" customFormat="false" ht="15" hidden="false" customHeight="false" outlineLevel="0" collapsed="false">
      <c r="A177" s="6" t="s">
        <v>5462</v>
      </c>
      <c r="B177" s="6" t="s">
        <v>5067</v>
      </c>
      <c r="C177" s="6" t="s">
        <v>5050</v>
      </c>
      <c r="D177" s="6" t="s">
        <v>5240</v>
      </c>
      <c r="E177" s="6" t="s">
        <v>5153</v>
      </c>
      <c r="F177" s="6" t="s">
        <v>5157</v>
      </c>
      <c r="G177" s="12" t="n">
        <v>629</v>
      </c>
      <c r="H177" s="6" t="s">
        <v>5051</v>
      </c>
      <c r="I177" s="6" t="s">
        <v>13</v>
      </c>
      <c r="J177" s="6" t="s">
        <v>228</v>
      </c>
      <c r="K177" s="6" t="s">
        <v>5158</v>
      </c>
      <c r="M177" s="6" t="s">
        <v>5463</v>
      </c>
    </row>
    <row r="178" customFormat="false" ht="15" hidden="false" customHeight="false" outlineLevel="0" collapsed="false">
      <c r="A178" s="6" t="s">
        <v>5464</v>
      </c>
      <c r="B178" s="6" t="s">
        <v>5180</v>
      </c>
      <c r="C178" s="6" t="s">
        <v>5050</v>
      </c>
      <c r="D178" s="6" t="s">
        <v>5240</v>
      </c>
      <c r="E178" s="6" t="s">
        <v>5465</v>
      </c>
      <c r="F178" s="6" t="s">
        <v>5466</v>
      </c>
      <c r="G178" s="19" t="n">
        <v>76</v>
      </c>
      <c r="H178" s="6" t="s">
        <v>5122</v>
      </c>
      <c r="I178" s="6" t="s">
        <v>13</v>
      </c>
      <c r="J178" s="6" t="s">
        <v>209</v>
      </c>
      <c r="K178" s="6" t="s">
        <v>5280</v>
      </c>
      <c r="M178" s="6"/>
    </row>
    <row r="179" customFormat="false" ht="15" hidden="false" customHeight="false" outlineLevel="0" collapsed="false">
      <c r="A179" s="6" t="s">
        <v>5467</v>
      </c>
      <c r="B179" s="6" t="s">
        <v>5468</v>
      </c>
      <c r="C179" s="6" t="s">
        <v>5050</v>
      </c>
      <c r="D179" s="6" t="s">
        <v>5240</v>
      </c>
      <c r="E179" s="6" t="s">
        <v>5465</v>
      </c>
      <c r="F179" s="6" t="s">
        <v>5466</v>
      </c>
      <c r="G179" s="19" t="n">
        <v>264</v>
      </c>
      <c r="H179" s="6" t="s">
        <v>5122</v>
      </c>
      <c r="I179" s="6" t="s">
        <v>13</v>
      </c>
      <c r="J179" s="6" t="s">
        <v>209</v>
      </c>
      <c r="K179" s="6" t="s">
        <v>5280</v>
      </c>
      <c r="M179" s="6"/>
    </row>
    <row r="180" customFormat="false" ht="15" hidden="false" customHeight="false" outlineLevel="0" collapsed="false">
      <c r="A180" s="6" t="s">
        <v>5469</v>
      </c>
      <c r="B180" s="6" t="s">
        <v>5049</v>
      </c>
      <c r="C180" s="6" t="s">
        <v>5050</v>
      </c>
      <c r="D180" s="6" t="s">
        <v>5240</v>
      </c>
      <c r="E180" s="6" t="s">
        <v>5465</v>
      </c>
      <c r="F180" s="6" t="s">
        <v>5466</v>
      </c>
      <c r="G180" s="19" t="n">
        <v>793</v>
      </c>
      <c r="H180" s="6" t="s">
        <v>5122</v>
      </c>
      <c r="I180" s="6" t="s">
        <v>13</v>
      </c>
      <c r="J180" s="6" t="s">
        <v>209</v>
      </c>
      <c r="K180" s="6" t="s">
        <v>5280</v>
      </c>
      <c r="M180" s="6"/>
    </row>
    <row r="181" customFormat="false" ht="15" hidden="false" customHeight="false" outlineLevel="0" collapsed="false">
      <c r="A181" s="6" t="s">
        <v>5470</v>
      </c>
      <c r="B181" s="6" t="s">
        <v>5381</v>
      </c>
      <c r="C181" s="6" t="s">
        <v>5050</v>
      </c>
      <c r="D181" s="6" t="s">
        <v>5240</v>
      </c>
      <c r="E181" s="6" t="s">
        <v>5465</v>
      </c>
      <c r="F181" s="6" t="s">
        <v>5471</v>
      </c>
      <c r="G181" s="19" t="n">
        <v>1892</v>
      </c>
      <c r="H181" s="6" t="s">
        <v>5122</v>
      </c>
      <c r="I181" s="6" t="s">
        <v>13</v>
      </c>
      <c r="J181" s="6" t="s">
        <v>246</v>
      </c>
      <c r="K181" s="6" t="s">
        <v>5243</v>
      </c>
      <c r="M181" s="6"/>
    </row>
    <row r="182" customFormat="false" ht="15" hidden="false" customHeight="false" outlineLevel="0" collapsed="false">
      <c r="A182" s="6" t="s">
        <v>5472</v>
      </c>
      <c r="B182" s="6" t="s">
        <v>5062</v>
      </c>
      <c r="C182" s="6" t="s">
        <v>5050</v>
      </c>
      <c r="D182" s="6" t="s">
        <v>5240</v>
      </c>
      <c r="E182" s="6" t="s">
        <v>5465</v>
      </c>
      <c r="F182" s="6" t="s">
        <v>5473</v>
      </c>
      <c r="G182" s="19" t="n">
        <v>2295</v>
      </c>
      <c r="H182" s="6" t="s">
        <v>5122</v>
      </c>
      <c r="I182" s="6" t="s">
        <v>13</v>
      </c>
      <c r="J182" s="6" t="s">
        <v>228</v>
      </c>
      <c r="K182" s="6" t="s">
        <v>5286</v>
      </c>
      <c r="M182" s="6"/>
    </row>
    <row r="183" customFormat="false" ht="15" hidden="false" customHeight="false" outlineLevel="0" collapsed="false">
      <c r="A183" s="6" t="s">
        <v>5474</v>
      </c>
      <c r="B183" s="6" t="s">
        <v>5239</v>
      </c>
      <c r="C183" s="6" t="s">
        <v>5050</v>
      </c>
      <c r="D183" s="6" t="s">
        <v>5240</v>
      </c>
      <c r="E183" s="6" t="s">
        <v>5465</v>
      </c>
      <c r="F183" s="6" t="s">
        <v>5475</v>
      </c>
      <c r="G183" s="19" t="n">
        <v>2713</v>
      </c>
      <c r="H183" s="6" t="s">
        <v>5122</v>
      </c>
      <c r="I183" s="6" t="s">
        <v>13</v>
      </c>
      <c r="J183" s="6" t="s">
        <v>246</v>
      </c>
      <c r="K183" s="6" t="s">
        <v>5243</v>
      </c>
      <c r="M183" s="6"/>
    </row>
    <row r="184" customFormat="false" ht="15" hidden="false" customHeight="false" outlineLevel="0" collapsed="false">
      <c r="A184" s="6" t="s">
        <v>5476</v>
      </c>
      <c r="B184" s="6" t="s">
        <v>5239</v>
      </c>
      <c r="C184" s="6" t="s">
        <v>5050</v>
      </c>
      <c r="D184" s="6" t="s">
        <v>5240</v>
      </c>
      <c r="E184" s="6" t="s">
        <v>5465</v>
      </c>
      <c r="F184" s="6" t="s">
        <v>5477</v>
      </c>
      <c r="G184" s="19" t="n">
        <v>2713</v>
      </c>
      <c r="H184" s="6" t="s">
        <v>5122</v>
      </c>
      <c r="I184" s="6" t="s">
        <v>13</v>
      </c>
      <c r="J184" s="6" t="s">
        <v>257</v>
      </c>
      <c r="K184" s="6" t="s">
        <v>5247</v>
      </c>
      <c r="M184" s="6"/>
    </row>
    <row r="185" customFormat="false" ht="15" hidden="false" customHeight="false" outlineLevel="0" collapsed="false">
      <c r="A185" s="6" t="s">
        <v>5478</v>
      </c>
      <c r="B185" s="6" t="s">
        <v>5067</v>
      </c>
      <c r="C185" s="6" t="s">
        <v>5050</v>
      </c>
      <c r="D185" s="6" t="s">
        <v>5240</v>
      </c>
      <c r="E185" s="6" t="s">
        <v>5465</v>
      </c>
      <c r="F185" s="6" t="s">
        <v>5479</v>
      </c>
      <c r="G185" s="19" t="n">
        <v>3201</v>
      </c>
      <c r="H185" s="6" t="s">
        <v>5122</v>
      </c>
      <c r="I185" s="6" t="s">
        <v>13</v>
      </c>
      <c r="J185" s="6" t="s">
        <v>228</v>
      </c>
      <c r="K185" s="6" t="s">
        <v>5286</v>
      </c>
      <c r="M185" s="6"/>
    </row>
    <row r="186" customFormat="false" ht="15" hidden="false" customHeight="false" outlineLevel="0" collapsed="false">
      <c r="A186" s="6" t="s">
        <v>5480</v>
      </c>
      <c r="B186" s="6" t="s">
        <v>5245</v>
      </c>
      <c r="C186" s="6" t="s">
        <v>5050</v>
      </c>
      <c r="D186" s="6" t="s">
        <v>5240</v>
      </c>
      <c r="E186" s="6" t="s">
        <v>5465</v>
      </c>
      <c r="F186" s="6" t="s">
        <v>5481</v>
      </c>
      <c r="G186" s="19" t="n">
        <v>3702</v>
      </c>
      <c r="H186" s="6" t="s">
        <v>5122</v>
      </c>
      <c r="I186" s="6" t="s">
        <v>13</v>
      </c>
      <c r="J186" s="6" t="s">
        <v>257</v>
      </c>
      <c r="K186" s="6" t="s">
        <v>5247</v>
      </c>
      <c r="M186" s="6"/>
    </row>
    <row r="187" customFormat="false" ht="15" hidden="false" customHeight="false" outlineLevel="0" collapsed="false">
      <c r="A187" s="6" t="s">
        <v>5482</v>
      </c>
      <c r="B187" s="6" t="s">
        <v>5245</v>
      </c>
      <c r="C187" s="6" t="s">
        <v>5050</v>
      </c>
      <c r="D187" s="6" t="s">
        <v>5240</v>
      </c>
      <c r="E187" s="6" t="s">
        <v>5465</v>
      </c>
      <c r="F187" s="6" t="s">
        <v>5483</v>
      </c>
      <c r="G187" s="19" t="n">
        <v>3702</v>
      </c>
      <c r="H187" s="6" t="s">
        <v>5122</v>
      </c>
      <c r="I187" s="6" t="s">
        <v>13</v>
      </c>
      <c r="J187" s="6" t="s">
        <v>265</v>
      </c>
      <c r="K187" s="6" t="s">
        <v>5251</v>
      </c>
      <c r="M187" s="6"/>
    </row>
    <row r="188" customFormat="false" ht="15" hidden="false" customHeight="false" outlineLevel="0" collapsed="false">
      <c r="A188" s="6" t="s">
        <v>5484</v>
      </c>
      <c r="B188" s="6" t="s">
        <v>5403</v>
      </c>
      <c r="C188" s="6" t="s">
        <v>5050</v>
      </c>
      <c r="D188" s="6" t="s">
        <v>5240</v>
      </c>
      <c r="E188" s="6" t="s">
        <v>5465</v>
      </c>
      <c r="F188" s="6" t="s">
        <v>5485</v>
      </c>
      <c r="G188" s="19" t="n">
        <v>4500</v>
      </c>
      <c r="H188" s="6" t="s">
        <v>5122</v>
      </c>
      <c r="I188" s="6" t="s">
        <v>13</v>
      </c>
      <c r="J188" s="6" t="s">
        <v>310</v>
      </c>
      <c r="K188" s="6" t="s">
        <v>5405</v>
      </c>
      <c r="M188" s="6" t="s">
        <v>5486</v>
      </c>
    </row>
    <row r="189" customFormat="false" ht="15" hidden="false" customHeight="false" outlineLevel="0" collapsed="false">
      <c r="A189" s="6" t="s">
        <v>5487</v>
      </c>
      <c r="B189" s="6" t="s">
        <v>5249</v>
      </c>
      <c r="C189" s="6" t="s">
        <v>5050</v>
      </c>
      <c r="D189" s="6" t="s">
        <v>5240</v>
      </c>
      <c r="E189" s="6" t="s">
        <v>5465</v>
      </c>
      <c r="F189" s="6" t="s">
        <v>5488</v>
      </c>
      <c r="G189" s="19" t="n">
        <v>4834</v>
      </c>
      <c r="H189" s="6" t="s">
        <v>5122</v>
      </c>
      <c r="I189" s="6" t="s">
        <v>13</v>
      </c>
      <c r="J189" s="6" t="s">
        <v>265</v>
      </c>
      <c r="K189" s="6" t="s">
        <v>5251</v>
      </c>
      <c r="M189" s="6"/>
    </row>
    <row r="190" customFormat="false" ht="15" hidden="false" customHeight="false" outlineLevel="0" collapsed="false">
      <c r="A190" s="6" t="s">
        <v>5489</v>
      </c>
      <c r="B190" s="6" t="s">
        <v>5239</v>
      </c>
      <c r="C190" s="6" t="s">
        <v>5050</v>
      </c>
      <c r="D190" s="6" t="s">
        <v>5240</v>
      </c>
      <c r="E190" s="6" t="s">
        <v>5490</v>
      </c>
      <c r="F190" s="6" t="s">
        <v>5491</v>
      </c>
      <c r="G190" s="19" t="n">
        <v>43</v>
      </c>
      <c r="H190" s="6" t="s">
        <v>5105</v>
      </c>
      <c r="I190" s="6" t="s">
        <v>13</v>
      </c>
      <c r="J190" s="6" t="s">
        <v>246</v>
      </c>
      <c r="K190" s="6" t="s">
        <v>5243</v>
      </c>
      <c r="M190" s="6"/>
    </row>
    <row r="191" customFormat="false" ht="15" hidden="false" customHeight="false" outlineLevel="0" collapsed="false">
      <c r="A191" s="6" t="s">
        <v>5492</v>
      </c>
      <c r="B191" s="6" t="s">
        <v>5245</v>
      </c>
      <c r="C191" s="6" t="s">
        <v>5050</v>
      </c>
      <c r="D191" s="6" t="s">
        <v>5240</v>
      </c>
      <c r="E191" s="6" t="s">
        <v>5490</v>
      </c>
      <c r="F191" s="6" t="s">
        <v>5493</v>
      </c>
      <c r="G191" s="19" t="n">
        <v>36</v>
      </c>
      <c r="H191" s="6" t="s">
        <v>5105</v>
      </c>
      <c r="I191" s="6" t="s">
        <v>13</v>
      </c>
      <c r="J191" s="6" t="s">
        <v>257</v>
      </c>
      <c r="K191" s="6" t="s">
        <v>5247</v>
      </c>
      <c r="M191" s="6"/>
    </row>
    <row r="192" customFormat="false" ht="15" hidden="false" customHeight="false" outlineLevel="0" collapsed="false">
      <c r="A192" s="6" t="s">
        <v>5494</v>
      </c>
      <c r="B192" s="6" t="s">
        <v>5403</v>
      </c>
      <c r="C192" s="6" t="s">
        <v>5050</v>
      </c>
      <c r="D192" s="6" t="s">
        <v>5240</v>
      </c>
      <c r="E192" s="6" t="s">
        <v>5490</v>
      </c>
      <c r="F192" s="6" t="s">
        <v>5495</v>
      </c>
      <c r="G192" s="19" t="n">
        <v>32</v>
      </c>
      <c r="H192" s="6" t="s">
        <v>5105</v>
      </c>
      <c r="I192" s="6" t="s">
        <v>13</v>
      </c>
      <c r="J192" s="6" t="s">
        <v>310</v>
      </c>
      <c r="K192" s="6" t="s">
        <v>5405</v>
      </c>
      <c r="M192" s="6" t="s">
        <v>5055</v>
      </c>
    </row>
    <row r="193" customFormat="false" ht="15" hidden="false" customHeight="false" outlineLevel="0" collapsed="false">
      <c r="A193" s="6" t="s">
        <v>5496</v>
      </c>
      <c r="B193" s="6" t="s">
        <v>5249</v>
      </c>
      <c r="C193" s="6" t="s">
        <v>5050</v>
      </c>
      <c r="D193" s="6" t="s">
        <v>5240</v>
      </c>
      <c r="E193" s="6" t="s">
        <v>5490</v>
      </c>
      <c r="F193" s="6" t="s">
        <v>5497</v>
      </c>
      <c r="G193" s="19" t="n">
        <v>31</v>
      </c>
      <c r="H193" s="6" t="s">
        <v>5105</v>
      </c>
      <c r="I193" s="6" t="s">
        <v>13</v>
      </c>
      <c r="J193" s="6" t="s">
        <v>265</v>
      </c>
      <c r="K193" s="6" t="s">
        <v>5251</v>
      </c>
      <c r="M193" s="6"/>
    </row>
    <row r="194" customFormat="false" ht="15" hidden="false" customHeight="false" outlineLevel="0" collapsed="false">
      <c r="A194" s="6" t="s">
        <v>5498</v>
      </c>
      <c r="B194" s="6" t="s">
        <v>5113</v>
      </c>
      <c r="C194" s="6" t="s">
        <v>4975</v>
      </c>
      <c r="D194" s="6" t="s">
        <v>5240</v>
      </c>
      <c r="E194" s="6" t="s">
        <v>5499</v>
      </c>
      <c r="F194" s="6" t="s">
        <v>5500</v>
      </c>
      <c r="G194" s="19" t="n">
        <v>39</v>
      </c>
      <c r="H194" s="6" t="s">
        <v>5105</v>
      </c>
      <c r="I194" s="6" t="s">
        <v>13</v>
      </c>
      <c r="J194" s="6" t="s">
        <v>228</v>
      </c>
      <c r="K194" s="6" t="s">
        <v>5286</v>
      </c>
      <c r="M194" s="6"/>
    </row>
    <row r="195" customFormat="false" ht="15" hidden="false" customHeight="false" outlineLevel="0" collapsed="false">
      <c r="A195" s="6" t="s">
        <v>5501</v>
      </c>
      <c r="B195" s="6" t="s">
        <v>5203</v>
      </c>
      <c r="C195" s="6" t="s">
        <v>4975</v>
      </c>
      <c r="D195" s="6" t="s">
        <v>5240</v>
      </c>
      <c r="E195" s="6" t="s">
        <v>5502</v>
      </c>
      <c r="F195" s="6" t="s">
        <v>5503</v>
      </c>
      <c r="G195" s="19" t="n">
        <v>247</v>
      </c>
      <c r="H195" s="6" t="s">
        <v>5105</v>
      </c>
      <c r="I195" s="6" t="s">
        <v>13</v>
      </c>
      <c r="J195" s="6" t="s">
        <v>209</v>
      </c>
      <c r="K195" s="6" t="s">
        <v>5280</v>
      </c>
      <c r="M195" s="6"/>
    </row>
    <row r="196" customFormat="false" ht="15" hidden="false" customHeight="false" outlineLevel="0" collapsed="false">
      <c r="A196" s="6" t="s">
        <v>5504</v>
      </c>
      <c r="B196" s="6" t="s">
        <v>5102</v>
      </c>
      <c r="C196" s="6" t="s">
        <v>4975</v>
      </c>
      <c r="D196" s="6" t="s">
        <v>5240</v>
      </c>
      <c r="E196" s="6" t="s">
        <v>5502</v>
      </c>
      <c r="F196" s="6" t="s">
        <v>5505</v>
      </c>
      <c r="G196" s="19" t="n">
        <v>200</v>
      </c>
      <c r="H196" s="6" t="s">
        <v>5105</v>
      </c>
      <c r="I196" s="6" t="s">
        <v>13</v>
      </c>
      <c r="J196" s="6" t="s">
        <v>209</v>
      </c>
      <c r="K196" s="6" t="s">
        <v>5280</v>
      </c>
      <c r="M196" s="6"/>
    </row>
    <row r="197" customFormat="false" ht="15" hidden="false" customHeight="false" outlineLevel="0" collapsed="false">
      <c r="A197" s="6" t="s">
        <v>5506</v>
      </c>
      <c r="B197" s="6" t="s">
        <v>5468</v>
      </c>
      <c r="C197" s="6" t="s">
        <v>5050</v>
      </c>
      <c r="D197" s="6" t="s">
        <v>5240</v>
      </c>
      <c r="E197" s="6" t="s">
        <v>5507</v>
      </c>
      <c r="F197" s="6" t="s">
        <v>5508</v>
      </c>
      <c r="G197" s="19" t="n">
        <v>264</v>
      </c>
      <c r="H197" s="6" t="s">
        <v>5122</v>
      </c>
      <c r="I197" s="6" t="s">
        <v>13</v>
      </c>
      <c r="J197" s="6" t="s">
        <v>218</v>
      </c>
      <c r="K197" s="6" t="s">
        <v>5509</v>
      </c>
      <c r="M197" s="6"/>
    </row>
    <row r="198" customFormat="false" ht="15" hidden="false" customHeight="false" outlineLevel="0" collapsed="false">
      <c r="A198" s="6" t="s">
        <v>5510</v>
      </c>
      <c r="B198" s="6" t="s">
        <v>5049</v>
      </c>
      <c r="C198" s="6" t="s">
        <v>5050</v>
      </c>
      <c r="D198" s="6" t="s">
        <v>5240</v>
      </c>
      <c r="E198" s="6" t="s">
        <v>5507</v>
      </c>
      <c r="F198" s="6" t="s">
        <v>5508</v>
      </c>
      <c r="G198" s="19" t="n">
        <v>793</v>
      </c>
      <c r="H198" s="6" t="s">
        <v>5122</v>
      </c>
      <c r="I198" s="6" t="s">
        <v>13</v>
      </c>
      <c r="J198" s="6" t="s">
        <v>218</v>
      </c>
      <c r="K198" s="6" t="s">
        <v>5509</v>
      </c>
      <c r="M198" s="6"/>
    </row>
    <row r="199" customFormat="false" ht="15" hidden="false" customHeight="false" outlineLevel="0" collapsed="false">
      <c r="A199" s="6" t="s">
        <v>5511</v>
      </c>
      <c r="B199" s="6" t="s">
        <v>5057</v>
      </c>
      <c r="C199" s="6" t="s">
        <v>5050</v>
      </c>
      <c r="D199" s="6" t="s">
        <v>5240</v>
      </c>
      <c r="E199" s="6" t="s">
        <v>5507</v>
      </c>
      <c r="F199" s="6" t="s">
        <v>5508</v>
      </c>
      <c r="G199" s="19" t="n">
        <v>1474</v>
      </c>
      <c r="H199" s="6" t="s">
        <v>5122</v>
      </c>
      <c r="I199" s="6" t="s">
        <v>13</v>
      </c>
      <c r="J199" s="6" t="s">
        <v>218</v>
      </c>
      <c r="K199" s="6" t="s">
        <v>5509</v>
      </c>
      <c r="M199" s="6"/>
    </row>
    <row r="200" customFormat="false" ht="15" hidden="false" customHeight="false" outlineLevel="0" collapsed="false">
      <c r="A200" s="6" t="s">
        <v>5512</v>
      </c>
      <c r="B200" s="6" t="s">
        <v>5097</v>
      </c>
      <c r="C200" s="6" t="s">
        <v>4975</v>
      </c>
      <c r="D200" s="6" t="s">
        <v>5240</v>
      </c>
      <c r="E200" s="6" t="s">
        <v>4820</v>
      </c>
      <c r="F200" s="6" t="s">
        <v>5513</v>
      </c>
      <c r="G200" s="9" t="n">
        <v>8137</v>
      </c>
      <c r="H200" s="6" t="s">
        <v>384</v>
      </c>
      <c r="I200" s="6" t="s">
        <v>13</v>
      </c>
      <c r="J200" s="6" t="s">
        <v>228</v>
      </c>
      <c r="K200" s="6" t="s">
        <v>5514</v>
      </c>
      <c r="M200" s="6" t="s">
        <v>5515</v>
      </c>
    </row>
    <row r="201" customFormat="false" ht="15" hidden="false" customHeight="false" outlineLevel="0" collapsed="false">
      <c r="A201" s="6" t="s">
        <v>5516</v>
      </c>
      <c r="B201" s="6" t="s">
        <v>5074</v>
      </c>
      <c r="C201" s="6" t="s">
        <v>4975</v>
      </c>
      <c r="D201" s="6" t="s">
        <v>5240</v>
      </c>
      <c r="E201" s="6" t="s">
        <v>4820</v>
      </c>
      <c r="F201" s="6" t="s">
        <v>5513</v>
      </c>
      <c r="G201" s="9" t="n">
        <v>204945</v>
      </c>
      <c r="H201" s="6" t="s">
        <v>384</v>
      </c>
      <c r="I201" s="6" t="s">
        <v>13</v>
      </c>
      <c r="J201" s="6" t="s">
        <v>228</v>
      </c>
      <c r="K201" s="6" t="s">
        <v>5514</v>
      </c>
      <c r="M201" s="6" t="s">
        <v>5515</v>
      </c>
    </row>
    <row r="202" customFormat="false" ht="15" hidden="false" customHeight="false" outlineLevel="0" collapsed="false">
      <c r="A202" s="6" t="s">
        <v>5517</v>
      </c>
      <c r="B202" s="6" t="s">
        <v>5113</v>
      </c>
      <c r="C202" s="6" t="s">
        <v>4975</v>
      </c>
      <c r="D202" s="6" t="s">
        <v>5240</v>
      </c>
      <c r="E202" s="6" t="s">
        <v>4820</v>
      </c>
      <c r="F202" s="6" t="s">
        <v>5513</v>
      </c>
      <c r="G202" s="9" t="n">
        <v>295830</v>
      </c>
      <c r="H202" s="6" t="s">
        <v>384</v>
      </c>
      <c r="I202" s="6" t="s">
        <v>13</v>
      </c>
      <c r="J202" s="6" t="s">
        <v>228</v>
      </c>
      <c r="K202" s="6" t="s">
        <v>5514</v>
      </c>
      <c r="M202" s="6" t="s">
        <v>5515</v>
      </c>
    </row>
    <row r="203" customFormat="false" ht="15" hidden="false" customHeight="false" outlineLevel="0" collapsed="false">
      <c r="A203" s="6" t="s">
        <v>5518</v>
      </c>
      <c r="B203" s="6" t="s">
        <v>5519</v>
      </c>
      <c r="C203" s="6" t="s">
        <v>5316</v>
      </c>
      <c r="D203" s="6" t="s">
        <v>5240</v>
      </c>
      <c r="E203" s="6" t="s">
        <v>4820</v>
      </c>
      <c r="F203" s="6" t="s">
        <v>5520</v>
      </c>
      <c r="G203" s="9" t="n">
        <v>84614</v>
      </c>
      <c r="H203" s="6" t="s">
        <v>384</v>
      </c>
      <c r="I203" s="6" t="s">
        <v>13</v>
      </c>
      <c r="J203" s="6" t="s">
        <v>246</v>
      </c>
      <c r="K203" s="6" t="s">
        <v>5521</v>
      </c>
      <c r="M203" s="6"/>
    </row>
    <row r="204" customFormat="false" ht="15" hidden="false" customHeight="false" outlineLevel="0" collapsed="false">
      <c r="A204" s="6" t="s">
        <v>5522</v>
      </c>
      <c r="B204" s="6" t="s">
        <v>5315</v>
      </c>
      <c r="C204" s="6" t="s">
        <v>5316</v>
      </c>
      <c r="D204" s="6" t="s">
        <v>5240</v>
      </c>
      <c r="E204" s="6" t="s">
        <v>4820</v>
      </c>
      <c r="F204" s="6" t="s">
        <v>5520</v>
      </c>
      <c r="G204" s="9" t="n">
        <v>140715</v>
      </c>
      <c r="H204" s="6" t="s">
        <v>384</v>
      </c>
      <c r="I204" s="6" t="s">
        <v>13</v>
      </c>
      <c r="J204" s="6" t="s">
        <v>246</v>
      </c>
      <c r="K204" s="6" t="s">
        <v>5521</v>
      </c>
      <c r="M204" s="6"/>
    </row>
    <row r="205" customFormat="false" ht="15" hidden="false" customHeight="false" outlineLevel="0" collapsed="false">
      <c r="A205" s="6" t="s">
        <v>5523</v>
      </c>
      <c r="B205" s="6" t="s">
        <v>5074</v>
      </c>
      <c r="C205" s="6" t="s">
        <v>4975</v>
      </c>
      <c r="D205" s="6" t="s">
        <v>5240</v>
      </c>
      <c r="E205" s="6" t="s">
        <v>5524</v>
      </c>
      <c r="F205" s="6" t="s">
        <v>5525</v>
      </c>
      <c r="G205" s="19" t="n">
        <v>13</v>
      </c>
      <c r="H205" s="6" t="s">
        <v>5105</v>
      </c>
      <c r="I205" s="6" t="s">
        <v>13</v>
      </c>
      <c r="J205" s="6" t="s">
        <v>233</v>
      </c>
      <c r="K205" s="6" t="s">
        <v>5526</v>
      </c>
      <c r="M205" s="6"/>
    </row>
    <row r="206" customFormat="false" ht="15" hidden="false" customHeight="false" outlineLevel="0" collapsed="false">
      <c r="A206" s="6" t="s">
        <v>5527</v>
      </c>
      <c r="B206" s="6" t="s">
        <v>5113</v>
      </c>
      <c r="C206" s="6" t="s">
        <v>4975</v>
      </c>
      <c r="D206" s="6" t="s">
        <v>5240</v>
      </c>
      <c r="E206" s="6" t="s">
        <v>5524</v>
      </c>
      <c r="F206" s="6" t="s">
        <v>5525</v>
      </c>
      <c r="G206" s="19" t="n">
        <v>15</v>
      </c>
      <c r="H206" s="6" t="s">
        <v>5105</v>
      </c>
      <c r="I206" s="6" t="s">
        <v>13</v>
      </c>
      <c r="J206" s="6" t="s">
        <v>233</v>
      </c>
      <c r="K206" s="6" t="s">
        <v>5526</v>
      </c>
      <c r="M206" s="6"/>
    </row>
    <row r="207" customFormat="false" ht="15" hidden="false" customHeight="false" outlineLevel="0" collapsed="false">
      <c r="A207" s="6" t="s">
        <v>5528</v>
      </c>
      <c r="B207" s="6" t="s">
        <v>5079</v>
      </c>
      <c r="C207" s="6" t="s">
        <v>4975</v>
      </c>
      <c r="D207" s="6" t="s">
        <v>5240</v>
      </c>
      <c r="E207" s="6" t="s">
        <v>5524</v>
      </c>
      <c r="F207" s="6" t="s">
        <v>5525</v>
      </c>
      <c r="G207" s="19" t="n">
        <v>12</v>
      </c>
      <c r="H207" s="6" t="s">
        <v>5105</v>
      </c>
      <c r="I207" s="6" t="s">
        <v>13</v>
      </c>
      <c r="J207" s="6" t="s">
        <v>233</v>
      </c>
      <c r="K207" s="6" t="s">
        <v>5526</v>
      </c>
      <c r="M207" s="6"/>
    </row>
    <row r="208" customFormat="false" ht="15" hidden="false" customHeight="false" outlineLevel="0" collapsed="false">
      <c r="A208" s="6" t="s">
        <v>5529</v>
      </c>
      <c r="B208" s="6" t="s">
        <v>5079</v>
      </c>
      <c r="C208" s="6" t="s">
        <v>4975</v>
      </c>
      <c r="D208" s="6" t="s">
        <v>5240</v>
      </c>
      <c r="E208" s="6" t="s">
        <v>5530</v>
      </c>
      <c r="F208" s="6" t="s">
        <v>5531</v>
      </c>
      <c r="G208" s="19" t="n">
        <v>89</v>
      </c>
      <c r="H208" s="6" t="s">
        <v>5105</v>
      </c>
      <c r="I208" s="6" t="s">
        <v>13</v>
      </c>
      <c r="J208" s="6" t="s">
        <v>233</v>
      </c>
      <c r="K208" s="6" t="s">
        <v>5532</v>
      </c>
      <c r="M208" s="6" t="s">
        <v>5533</v>
      </c>
    </row>
    <row r="209" customFormat="false" ht="15" hidden="false" customHeight="false" outlineLevel="0" collapsed="false">
      <c r="A209" s="6" t="s">
        <v>5534</v>
      </c>
      <c r="B209" s="6" t="s">
        <v>5320</v>
      </c>
      <c r="C209" s="6" t="s">
        <v>5316</v>
      </c>
      <c r="D209" s="6" t="s">
        <v>5240</v>
      </c>
      <c r="E209" s="6" t="s">
        <v>5530</v>
      </c>
      <c r="F209" s="6" t="s">
        <v>5535</v>
      </c>
      <c r="G209" s="19" t="n">
        <v>90</v>
      </c>
      <c r="H209" s="6" t="s">
        <v>5105</v>
      </c>
      <c r="I209" s="6" t="s">
        <v>13</v>
      </c>
      <c r="J209" s="6" t="s">
        <v>257</v>
      </c>
      <c r="K209" s="6" t="s">
        <v>5333</v>
      </c>
      <c r="M209" s="6"/>
    </row>
    <row r="210" customFormat="false" ht="15" hidden="false" customHeight="false" outlineLevel="0" collapsed="false">
      <c r="A210" s="6" t="s">
        <v>5536</v>
      </c>
      <c r="B210" s="6" t="s">
        <v>5102</v>
      </c>
      <c r="C210" s="6" t="s">
        <v>4975</v>
      </c>
      <c r="D210" s="6" t="s">
        <v>5240</v>
      </c>
      <c r="E210" s="6" t="s">
        <v>5537</v>
      </c>
      <c r="F210" s="6" t="s">
        <v>5538</v>
      </c>
      <c r="G210" s="19" t="n">
        <v>239</v>
      </c>
      <c r="H210" s="6" t="s">
        <v>5105</v>
      </c>
      <c r="I210" s="6" t="s">
        <v>13</v>
      </c>
      <c r="J210" s="6" t="s">
        <v>218</v>
      </c>
      <c r="K210" s="6" t="s">
        <v>5509</v>
      </c>
      <c r="M210" s="6"/>
    </row>
    <row r="211" customFormat="false" ht="15" hidden="false" customHeight="false" outlineLevel="0" collapsed="false">
      <c r="A211" s="6" t="s">
        <v>5539</v>
      </c>
      <c r="B211" s="6" t="s">
        <v>5097</v>
      </c>
      <c r="C211" s="6" t="s">
        <v>4975</v>
      </c>
      <c r="D211" s="6" t="s">
        <v>5240</v>
      </c>
      <c r="E211" s="6" t="s">
        <v>5537</v>
      </c>
      <c r="F211" s="6" t="s">
        <v>5540</v>
      </c>
      <c r="G211" s="19" t="n">
        <v>99</v>
      </c>
      <c r="H211" s="6" t="s">
        <v>5105</v>
      </c>
      <c r="I211" s="6" t="s">
        <v>13</v>
      </c>
      <c r="J211" s="6" t="s">
        <v>218</v>
      </c>
      <c r="K211" s="6" t="s">
        <v>5509</v>
      </c>
      <c r="M211" s="6" t="s">
        <v>5541</v>
      </c>
    </row>
    <row r="212" customFormat="false" ht="15" hidden="false" customHeight="false" outlineLevel="0" collapsed="false">
      <c r="A212" s="6" t="s">
        <v>5542</v>
      </c>
      <c r="B212" s="6" t="s">
        <v>5097</v>
      </c>
      <c r="C212" s="6" t="s">
        <v>4975</v>
      </c>
      <c r="D212" s="6" t="s">
        <v>5240</v>
      </c>
      <c r="E212" s="6" t="s">
        <v>5543</v>
      </c>
      <c r="F212" s="6" t="s">
        <v>5424</v>
      </c>
      <c r="G212" s="19" t="n">
        <v>97</v>
      </c>
      <c r="H212" s="6" t="s">
        <v>5105</v>
      </c>
      <c r="I212" s="6" t="s">
        <v>13</v>
      </c>
      <c r="J212" s="6" t="s">
        <v>223</v>
      </c>
      <c r="K212" s="6" t="s">
        <v>5294</v>
      </c>
      <c r="M212" s="6"/>
    </row>
    <row r="213" customFormat="false" ht="15" hidden="false" customHeight="false" outlineLevel="0" collapsed="false">
      <c r="A213" s="6" t="s">
        <v>5544</v>
      </c>
      <c r="B213" s="6" t="s">
        <v>5074</v>
      </c>
      <c r="C213" s="6" t="s">
        <v>4975</v>
      </c>
      <c r="D213" s="6" t="s">
        <v>5240</v>
      </c>
      <c r="E213" s="6" t="s">
        <v>5543</v>
      </c>
      <c r="F213" s="6" t="s">
        <v>5424</v>
      </c>
      <c r="G213" s="19" t="n">
        <v>58</v>
      </c>
      <c r="H213" s="6" t="s">
        <v>5105</v>
      </c>
      <c r="I213" s="6" t="s">
        <v>13</v>
      </c>
      <c r="J213" s="6" t="s">
        <v>223</v>
      </c>
      <c r="K213" s="6" t="s">
        <v>5294</v>
      </c>
      <c r="M213" s="6"/>
    </row>
    <row r="214" customFormat="false" ht="15" hidden="false" customHeight="false" outlineLevel="0" collapsed="false">
      <c r="A214" s="6" t="s">
        <v>5545</v>
      </c>
      <c r="B214" s="6" t="s">
        <v>5097</v>
      </c>
      <c r="C214" s="6" t="s">
        <v>4975</v>
      </c>
      <c r="D214" s="6" t="s">
        <v>5240</v>
      </c>
      <c r="E214" s="6" t="s">
        <v>5546</v>
      </c>
      <c r="F214" s="6" t="s">
        <v>5434</v>
      </c>
      <c r="G214" s="19" t="n">
        <v>86</v>
      </c>
      <c r="H214" s="6" t="s">
        <v>5105</v>
      </c>
      <c r="I214" s="6" t="s">
        <v>13</v>
      </c>
      <c r="J214" s="6" t="s">
        <v>223</v>
      </c>
      <c r="K214" s="6" t="s">
        <v>5294</v>
      </c>
      <c r="M214" s="6"/>
    </row>
    <row r="215" customFormat="false" ht="15" hidden="false" customHeight="false" outlineLevel="0" collapsed="false">
      <c r="A215" s="6" t="s">
        <v>5547</v>
      </c>
      <c r="B215" s="6" t="s">
        <v>5074</v>
      </c>
      <c r="C215" s="6" t="s">
        <v>4975</v>
      </c>
      <c r="D215" s="6" t="s">
        <v>5240</v>
      </c>
      <c r="E215" s="6" t="s">
        <v>5546</v>
      </c>
      <c r="F215" s="6" t="s">
        <v>5434</v>
      </c>
      <c r="G215" s="19" t="n">
        <v>56</v>
      </c>
      <c r="H215" s="6" t="s">
        <v>5105</v>
      </c>
      <c r="I215" s="6" t="s">
        <v>13</v>
      </c>
      <c r="J215" s="6" t="s">
        <v>223</v>
      </c>
      <c r="K215" s="6" t="s">
        <v>5294</v>
      </c>
      <c r="M215" s="6"/>
    </row>
    <row r="216" customFormat="false" ht="15" hidden="false" customHeight="false" outlineLevel="0" collapsed="false">
      <c r="A216" s="6" t="s">
        <v>5548</v>
      </c>
      <c r="B216" s="6" t="s">
        <v>5102</v>
      </c>
      <c r="C216" s="6" t="s">
        <v>4975</v>
      </c>
      <c r="D216" s="6" t="s">
        <v>5240</v>
      </c>
      <c r="E216" s="6" t="s">
        <v>5549</v>
      </c>
      <c r="F216" s="6" t="s">
        <v>5550</v>
      </c>
      <c r="G216" s="19" t="n">
        <v>200</v>
      </c>
      <c r="H216" s="6" t="s">
        <v>5105</v>
      </c>
      <c r="I216" s="6" t="s">
        <v>13</v>
      </c>
      <c r="J216" s="6" t="s">
        <v>218</v>
      </c>
      <c r="K216" s="6" t="s">
        <v>5509</v>
      </c>
      <c r="M216" s="6"/>
    </row>
    <row r="217" customFormat="false" ht="15" hidden="false" customHeight="false" outlineLevel="0" collapsed="false">
      <c r="A217" s="6" t="s">
        <v>5551</v>
      </c>
      <c r="B217" s="6" t="s">
        <v>5097</v>
      </c>
      <c r="C217" s="6" t="s">
        <v>4975</v>
      </c>
      <c r="D217" s="6" t="s">
        <v>5240</v>
      </c>
      <c r="E217" s="6" t="s">
        <v>5549</v>
      </c>
      <c r="F217" s="6" t="s">
        <v>5552</v>
      </c>
      <c r="G217" s="19" t="n">
        <v>86</v>
      </c>
      <c r="H217" s="6" t="s">
        <v>5105</v>
      </c>
      <c r="I217" s="6" t="s">
        <v>13</v>
      </c>
      <c r="J217" s="6" t="s">
        <v>218</v>
      </c>
      <c r="K217" s="6" t="s">
        <v>5509</v>
      </c>
      <c r="M217" s="6"/>
    </row>
    <row r="218" customFormat="false" ht="15" hidden="false" customHeight="false" outlineLevel="0" collapsed="false">
      <c r="A218" s="6" t="s">
        <v>5553</v>
      </c>
      <c r="B218" s="6" t="s">
        <v>5097</v>
      </c>
      <c r="C218" s="6" t="s">
        <v>4975</v>
      </c>
      <c r="D218" s="6" t="s">
        <v>5240</v>
      </c>
      <c r="E218" s="6" t="s">
        <v>5554</v>
      </c>
      <c r="F218" s="6" t="s">
        <v>5555</v>
      </c>
      <c r="G218" s="19" t="n">
        <v>1</v>
      </c>
      <c r="H218" s="6" t="s">
        <v>5105</v>
      </c>
      <c r="I218" s="6" t="s">
        <v>13</v>
      </c>
      <c r="J218" s="6" t="s">
        <v>218</v>
      </c>
      <c r="K218" s="6" t="s">
        <v>5183</v>
      </c>
      <c r="M218" s="6" t="s">
        <v>5556</v>
      </c>
    </row>
    <row r="219" customFormat="false" ht="15" hidden="false" customHeight="false" outlineLevel="0" collapsed="false">
      <c r="A219" s="6" t="s">
        <v>5557</v>
      </c>
      <c r="B219" s="6" t="s">
        <v>5079</v>
      </c>
      <c r="C219" s="6" t="s">
        <v>4975</v>
      </c>
      <c r="D219" s="6" t="s">
        <v>5240</v>
      </c>
      <c r="E219" s="6" t="s">
        <v>5554</v>
      </c>
      <c r="F219" s="6" t="s">
        <v>5558</v>
      </c>
      <c r="G219" s="19" t="n">
        <v>1</v>
      </c>
      <c r="H219" s="6" t="s">
        <v>5105</v>
      </c>
      <c r="I219" s="6" t="s">
        <v>13</v>
      </c>
      <c r="J219" s="6" t="s">
        <v>233</v>
      </c>
      <c r="K219" s="6" t="s">
        <v>5559</v>
      </c>
      <c r="M219" s="6" t="s">
        <v>5560</v>
      </c>
    </row>
    <row r="220" customFormat="false" ht="15" hidden="false" customHeight="false" outlineLevel="0" collapsed="false">
      <c r="A220" s="6" t="s">
        <v>5561</v>
      </c>
      <c r="B220" s="6" t="s">
        <v>5072</v>
      </c>
      <c r="C220" s="6" t="s">
        <v>5050</v>
      </c>
      <c r="D220" s="6" t="s">
        <v>5240</v>
      </c>
      <c r="E220" s="6" t="s">
        <v>5562</v>
      </c>
      <c r="F220" s="6" t="s">
        <v>5563</v>
      </c>
      <c r="G220" s="19" t="n">
        <v>869</v>
      </c>
      <c r="H220" s="6" t="s">
        <v>5122</v>
      </c>
      <c r="I220" s="6" t="s">
        <v>13</v>
      </c>
      <c r="J220" s="6" t="s">
        <v>233</v>
      </c>
      <c r="K220" s="6" t="s">
        <v>5564</v>
      </c>
      <c r="M220" s="6"/>
    </row>
    <row r="221" customFormat="false" ht="15" hidden="false" customHeight="false" outlineLevel="0" collapsed="false">
      <c r="A221" s="6" t="s">
        <v>5565</v>
      </c>
      <c r="B221" s="6" t="s">
        <v>5062</v>
      </c>
      <c r="C221" s="6" t="s">
        <v>5050</v>
      </c>
      <c r="D221" s="6" t="s">
        <v>5240</v>
      </c>
      <c r="E221" s="6" t="s">
        <v>5566</v>
      </c>
      <c r="F221" s="6" t="s">
        <v>5341</v>
      </c>
      <c r="G221" s="19" t="n">
        <v>236</v>
      </c>
      <c r="H221" s="6" t="s">
        <v>5122</v>
      </c>
      <c r="I221" s="6" t="s">
        <v>13</v>
      </c>
      <c r="J221" s="6" t="s">
        <v>223</v>
      </c>
      <c r="K221" s="6" t="s">
        <v>5342</v>
      </c>
      <c r="M221" s="6"/>
    </row>
    <row r="222" customFormat="false" ht="15" hidden="false" customHeight="false" outlineLevel="0" collapsed="false">
      <c r="A222" s="6" t="s">
        <v>5567</v>
      </c>
      <c r="B222" s="6" t="s">
        <v>5072</v>
      </c>
      <c r="C222" s="6" t="s">
        <v>5050</v>
      </c>
      <c r="D222" s="6" t="s">
        <v>5240</v>
      </c>
      <c r="E222" s="6" t="s">
        <v>5568</v>
      </c>
      <c r="F222" s="6" t="s">
        <v>5563</v>
      </c>
      <c r="G222" s="19" t="n">
        <v>704</v>
      </c>
      <c r="H222" s="6" t="s">
        <v>5122</v>
      </c>
      <c r="I222" s="6" t="s">
        <v>13</v>
      </c>
      <c r="J222" s="6" t="s">
        <v>233</v>
      </c>
      <c r="K222" s="6" t="s">
        <v>5564</v>
      </c>
      <c r="M222" s="6"/>
    </row>
    <row r="223" customFormat="false" ht="15" hidden="false" customHeight="false" outlineLevel="0" collapsed="false">
      <c r="A223" s="6" t="s">
        <v>5569</v>
      </c>
      <c r="B223" s="6" t="s">
        <v>146</v>
      </c>
      <c r="C223" s="6" t="s">
        <v>5570</v>
      </c>
      <c r="D223" s="6" t="s">
        <v>5240</v>
      </c>
      <c r="E223" s="6" t="s">
        <v>5571</v>
      </c>
      <c r="F223" s="6" t="s">
        <v>5572</v>
      </c>
      <c r="G223" s="19" t="n">
        <v>114</v>
      </c>
      <c r="H223" s="6" t="s">
        <v>5105</v>
      </c>
      <c r="I223" s="6" t="s">
        <v>13</v>
      </c>
      <c r="J223" s="6" t="s">
        <v>246</v>
      </c>
      <c r="K223" s="6" t="s">
        <v>5573</v>
      </c>
      <c r="M223" s="6"/>
    </row>
    <row r="224" customFormat="false" ht="15" hidden="false" customHeight="false" outlineLevel="0" collapsed="false">
      <c r="A224" s="6" t="s">
        <v>5574</v>
      </c>
      <c r="B224" s="6" t="s">
        <v>166</v>
      </c>
      <c r="C224" s="6" t="s">
        <v>5575</v>
      </c>
      <c r="D224" s="6" t="s">
        <v>5240</v>
      </c>
      <c r="E224" s="6" t="s">
        <v>5571</v>
      </c>
      <c r="F224" s="6" t="s">
        <v>5576</v>
      </c>
      <c r="G224" s="19" t="n">
        <v>110</v>
      </c>
      <c r="H224" s="6" t="s">
        <v>5105</v>
      </c>
      <c r="I224" s="6" t="s">
        <v>13</v>
      </c>
      <c r="J224" s="6" t="s">
        <v>246</v>
      </c>
      <c r="K224" s="6" t="s">
        <v>5573</v>
      </c>
      <c r="M224" s="6" t="s">
        <v>5577</v>
      </c>
    </row>
    <row r="225" customFormat="false" ht="15" hidden="false" customHeight="false" outlineLevel="0" collapsed="false">
      <c r="A225" s="6" t="s">
        <v>5578</v>
      </c>
      <c r="B225" s="6" t="s">
        <v>166</v>
      </c>
      <c r="C225" s="6" t="s">
        <v>5575</v>
      </c>
      <c r="D225" s="6" t="s">
        <v>5240</v>
      </c>
      <c r="E225" s="6" t="s">
        <v>5571</v>
      </c>
      <c r="F225" s="6" t="s">
        <v>5579</v>
      </c>
      <c r="G225" s="19" t="n">
        <v>110</v>
      </c>
      <c r="H225" s="6" t="s">
        <v>5105</v>
      </c>
      <c r="I225" s="6" t="s">
        <v>13</v>
      </c>
      <c r="J225" s="6" t="s">
        <v>257</v>
      </c>
      <c r="K225" s="6" t="s">
        <v>5580</v>
      </c>
      <c r="M225" s="6"/>
    </row>
    <row r="226" customFormat="false" ht="15" hidden="false" customHeight="false" outlineLevel="0" collapsed="false">
      <c r="A226" s="6" t="s">
        <v>5581</v>
      </c>
      <c r="B226" s="6" t="s">
        <v>186</v>
      </c>
      <c r="C226" s="6" t="s">
        <v>5582</v>
      </c>
      <c r="D226" s="6" t="s">
        <v>5240</v>
      </c>
      <c r="E226" s="6" t="s">
        <v>5571</v>
      </c>
      <c r="F226" s="6" t="s">
        <v>5579</v>
      </c>
      <c r="G226" s="19" t="n">
        <v>111</v>
      </c>
      <c r="H226" s="6" t="s">
        <v>5105</v>
      </c>
      <c r="I226" s="6" t="s">
        <v>13</v>
      </c>
      <c r="J226" s="6" t="s">
        <v>257</v>
      </c>
      <c r="K226" s="6" t="s">
        <v>5580</v>
      </c>
      <c r="M226" s="6"/>
    </row>
    <row r="227" customFormat="false" ht="15" hidden="false" customHeight="false" outlineLevel="0" collapsed="false">
      <c r="A227" s="6" t="s">
        <v>5583</v>
      </c>
      <c r="B227" s="6" t="s">
        <v>186</v>
      </c>
      <c r="C227" s="6" t="s">
        <v>5582</v>
      </c>
      <c r="D227" s="6" t="s">
        <v>5240</v>
      </c>
      <c r="E227" s="6" t="s">
        <v>5571</v>
      </c>
      <c r="F227" s="6" t="s">
        <v>5584</v>
      </c>
      <c r="G227" s="19" t="n">
        <v>111</v>
      </c>
      <c r="H227" s="6" t="s">
        <v>5105</v>
      </c>
      <c r="I227" s="6" t="s">
        <v>13</v>
      </c>
      <c r="J227" s="6" t="s">
        <v>265</v>
      </c>
      <c r="K227" s="6" t="s">
        <v>5585</v>
      </c>
      <c r="M227" s="6"/>
    </row>
    <row r="228" customFormat="false" ht="15" hidden="false" customHeight="false" outlineLevel="0" collapsed="false">
      <c r="A228" s="6" t="s">
        <v>5586</v>
      </c>
      <c r="B228" s="6" t="s">
        <v>206</v>
      </c>
      <c r="C228" s="6" t="s">
        <v>5587</v>
      </c>
      <c r="D228" s="6" t="s">
        <v>5240</v>
      </c>
      <c r="E228" s="6" t="s">
        <v>5571</v>
      </c>
      <c r="F228" s="6" t="s">
        <v>5584</v>
      </c>
      <c r="G228" s="19" t="n">
        <v>109</v>
      </c>
      <c r="H228" s="6" t="s">
        <v>5105</v>
      </c>
      <c r="I228" s="6" t="s">
        <v>13</v>
      </c>
      <c r="J228" s="6" t="s">
        <v>265</v>
      </c>
      <c r="K228" s="6" t="s">
        <v>5585</v>
      </c>
      <c r="M228" s="6"/>
    </row>
    <row r="229" customFormat="false" ht="15" hidden="false" customHeight="false" outlineLevel="0" collapsed="false">
      <c r="A229" s="6" t="s">
        <v>5588</v>
      </c>
      <c r="B229" s="6" t="s">
        <v>5589</v>
      </c>
      <c r="C229" s="6" t="s">
        <v>5590</v>
      </c>
      <c r="D229" s="6" t="s">
        <v>5240</v>
      </c>
      <c r="E229" s="6" t="s">
        <v>5571</v>
      </c>
      <c r="F229" s="6" t="s">
        <v>5591</v>
      </c>
      <c r="G229" s="19" t="n">
        <v>105</v>
      </c>
      <c r="H229" s="6" t="s">
        <v>5105</v>
      </c>
      <c r="I229" s="6" t="s">
        <v>13</v>
      </c>
      <c r="J229" s="6" t="s">
        <v>218</v>
      </c>
      <c r="K229" s="6" t="s">
        <v>5592</v>
      </c>
      <c r="M229" s="6" t="s">
        <v>5593</v>
      </c>
    </row>
    <row r="230" customFormat="false" ht="15" hidden="false" customHeight="false" outlineLevel="0" collapsed="false">
      <c r="A230" s="6" t="s">
        <v>5594</v>
      </c>
      <c r="B230" s="6" t="s">
        <v>116</v>
      </c>
      <c r="C230" s="6" t="s">
        <v>5590</v>
      </c>
      <c r="D230" s="6" t="s">
        <v>5240</v>
      </c>
      <c r="E230" s="6" t="s">
        <v>5571</v>
      </c>
      <c r="F230" s="6" t="s">
        <v>5591</v>
      </c>
      <c r="G230" s="19" t="n">
        <v>120</v>
      </c>
      <c r="H230" s="6" t="s">
        <v>5105</v>
      </c>
      <c r="I230" s="6" t="s">
        <v>13</v>
      </c>
      <c r="J230" s="6" t="s">
        <v>218</v>
      </c>
      <c r="K230" s="6" t="s">
        <v>5592</v>
      </c>
      <c r="M230" s="6" t="s">
        <v>5595</v>
      </c>
    </row>
    <row r="231" customFormat="false" ht="15" hidden="false" customHeight="false" outlineLevel="0" collapsed="false">
      <c r="A231" s="6" t="s">
        <v>5596</v>
      </c>
      <c r="B231" s="6" t="s">
        <v>5597</v>
      </c>
      <c r="C231" s="6" t="s">
        <v>5590</v>
      </c>
      <c r="D231" s="6" t="s">
        <v>5240</v>
      </c>
      <c r="E231" s="6" t="s">
        <v>5571</v>
      </c>
      <c r="F231" s="6" t="s">
        <v>5598</v>
      </c>
      <c r="G231" s="19" t="n">
        <v>120</v>
      </c>
      <c r="H231" s="6" t="s">
        <v>5105</v>
      </c>
      <c r="I231" s="6" t="s">
        <v>13</v>
      </c>
      <c r="J231" s="6" t="s">
        <v>223</v>
      </c>
      <c r="K231" s="6" t="s">
        <v>5592</v>
      </c>
      <c r="M231" s="6" t="s">
        <v>5599</v>
      </c>
    </row>
    <row r="232" customFormat="false" ht="15" hidden="false" customHeight="false" outlineLevel="0" collapsed="false">
      <c r="A232" s="6" t="s">
        <v>5600</v>
      </c>
      <c r="B232" s="6" t="s">
        <v>136</v>
      </c>
      <c r="C232" s="6" t="s">
        <v>5590</v>
      </c>
      <c r="D232" s="6" t="s">
        <v>5240</v>
      </c>
      <c r="E232" s="6" t="s">
        <v>5571</v>
      </c>
      <c r="F232" s="6" t="s">
        <v>5591</v>
      </c>
      <c r="G232" s="19" t="n">
        <v>120</v>
      </c>
      <c r="H232" s="6" t="s">
        <v>5105</v>
      </c>
      <c r="I232" s="6" t="s">
        <v>13</v>
      </c>
      <c r="J232" s="6" t="s">
        <v>218</v>
      </c>
      <c r="K232" s="6" t="s">
        <v>5592</v>
      </c>
      <c r="M232" s="6" t="s">
        <v>5595</v>
      </c>
    </row>
    <row r="233" customFormat="false" ht="15" hidden="false" customHeight="false" outlineLevel="0" collapsed="false">
      <c r="A233" s="6" t="s">
        <v>5601</v>
      </c>
      <c r="B233" s="6" t="s">
        <v>136</v>
      </c>
      <c r="C233" s="6" t="s">
        <v>5590</v>
      </c>
      <c r="D233" s="6" t="s">
        <v>5240</v>
      </c>
      <c r="E233" s="6" t="s">
        <v>5571</v>
      </c>
      <c r="F233" s="6" t="s">
        <v>5602</v>
      </c>
      <c r="G233" s="19" t="n">
        <v>121</v>
      </c>
      <c r="H233" s="6" t="s">
        <v>5105</v>
      </c>
      <c r="I233" s="6" t="s">
        <v>13</v>
      </c>
      <c r="J233" s="6" t="s">
        <v>228</v>
      </c>
      <c r="K233" s="6" t="s">
        <v>5603</v>
      </c>
      <c r="M233" s="6" t="s">
        <v>5604</v>
      </c>
    </row>
    <row r="234" customFormat="false" ht="15" hidden="false" customHeight="false" outlineLevel="0" collapsed="false">
      <c r="A234" s="6" t="s">
        <v>5605</v>
      </c>
      <c r="B234" s="6" t="s">
        <v>5606</v>
      </c>
      <c r="C234" s="6" t="s">
        <v>5590</v>
      </c>
      <c r="D234" s="6" t="s">
        <v>5240</v>
      </c>
      <c r="E234" s="6" t="s">
        <v>5571</v>
      </c>
      <c r="F234" s="6" t="s">
        <v>5598</v>
      </c>
      <c r="G234" s="19" t="n">
        <v>120</v>
      </c>
      <c r="H234" s="6" t="s">
        <v>5105</v>
      </c>
      <c r="I234" s="6" t="s">
        <v>13</v>
      </c>
      <c r="J234" s="6" t="s">
        <v>223</v>
      </c>
      <c r="K234" s="6" t="s">
        <v>5592</v>
      </c>
      <c r="M234" s="6" t="s">
        <v>5599</v>
      </c>
    </row>
    <row r="235" customFormat="false" ht="15" hidden="false" customHeight="false" outlineLevel="0" collapsed="false">
      <c r="A235" s="6" t="s">
        <v>5607</v>
      </c>
      <c r="B235" s="6" t="s">
        <v>156</v>
      </c>
      <c r="C235" s="6" t="s">
        <v>5590</v>
      </c>
      <c r="D235" s="6" t="s">
        <v>5240</v>
      </c>
      <c r="E235" s="6" t="s">
        <v>5571</v>
      </c>
      <c r="F235" s="6" t="s">
        <v>5602</v>
      </c>
      <c r="G235" s="19" t="n">
        <v>110</v>
      </c>
      <c r="H235" s="6" t="s">
        <v>5105</v>
      </c>
      <c r="I235" s="6" t="s">
        <v>13</v>
      </c>
      <c r="J235" s="6" t="s">
        <v>228</v>
      </c>
      <c r="K235" s="6" t="s">
        <v>5603</v>
      </c>
      <c r="M235" s="6" t="s">
        <v>5604</v>
      </c>
    </row>
    <row r="236" customFormat="false" ht="15" hidden="false" customHeight="false" outlineLevel="0" collapsed="false">
      <c r="A236" s="6" t="s">
        <v>5608</v>
      </c>
      <c r="B236" s="6" t="s">
        <v>156</v>
      </c>
      <c r="C236" s="6" t="s">
        <v>5590</v>
      </c>
      <c r="D236" s="6" t="s">
        <v>5240</v>
      </c>
      <c r="E236" s="6" t="s">
        <v>5571</v>
      </c>
      <c r="F236" s="6" t="s">
        <v>5609</v>
      </c>
      <c r="G236" s="19" t="n">
        <v>110</v>
      </c>
      <c r="H236" s="6" t="s">
        <v>5105</v>
      </c>
      <c r="I236" s="6" t="s">
        <v>13</v>
      </c>
      <c r="J236" s="6" t="s">
        <v>233</v>
      </c>
      <c r="K236" s="6" t="s">
        <v>5610</v>
      </c>
      <c r="M236" s="6" t="s">
        <v>5611</v>
      </c>
    </row>
    <row r="237" customFormat="false" ht="15" hidden="false" customHeight="false" outlineLevel="0" collapsed="false">
      <c r="A237" s="6" t="s">
        <v>5612</v>
      </c>
      <c r="B237" s="6" t="s">
        <v>5613</v>
      </c>
      <c r="C237" s="6" t="s">
        <v>5590</v>
      </c>
      <c r="D237" s="6" t="s">
        <v>5240</v>
      </c>
      <c r="E237" s="6" t="s">
        <v>5571</v>
      </c>
      <c r="F237" s="6" t="s">
        <v>5598</v>
      </c>
      <c r="G237" s="19" t="n">
        <v>110</v>
      </c>
      <c r="H237" s="6" t="s">
        <v>5105</v>
      </c>
      <c r="I237" s="6" t="s">
        <v>13</v>
      </c>
      <c r="J237" s="6" t="s">
        <v>223</v>
      </c>
      <c r="K237" s="6" t="s">
        <v>5592</v>
      </c>
      <c r="M237" s="6" t="s">
        <v>5614</v>
      </c>
    </row>
    <row r="238" customFormat="false" ht="15" hidden="false" customHeight="false" outlineLevel="0" collapsed="false">
      <c r="A238" s="6" t="s">
        <v>5615</v>
      </c>
      <c r="B238" s="6" t="s">
        <v>176</v>
      </c>
      <c r="C238" s="6" t="s">
        <v>5590</v>
      </c>
      <c r="D238" s="6" t="s">
        <v>5240</v>
      </c>
      <c r="E238" s="6" t="s">
        <v>5571</v>
      </c>
      <c r="F238" s="6" t="s">
        <v>5602</v>
      </c>
      <c r="G238" s="19" t="n">
        <v>112</v>
      </c>
      <c r="H238" s="6" t="s">
        <v>5105</v>
      </c>
      <c r="I238" s="6" t="s">
        <v>13</v>
      </c>
      <c r="J238" s="6" t="s">
        <v>228</v>
      </c>
      <c r="K238" s="6" t="s">
        <v>5603</v>
      </c>
      <c r="M238" s="6" t="s">
        <v>5604</v>
      </c>
    </row>
    <row r="239" customFormat="false" ht="15" hidden="false" customHeight="false" outlineLevel="0" collapsed="false">
      <c r="A239" s="6" t="s">
        <v>5616</v>
      </c>
      <c r="B239" s="6" t="s">
        <v>176</v>
      </c>
      <c r="C239" s="6" t="s">
        <v>5590</v>
      </c>
      <c r="D239" s="6" t="s">
        <v>5240</v>
      </c>
      <c r="E239" s="6" t="s">
        <v>5571</v>
      </c>
      <c r="F239" s="6" t="s">
        <v>5609</v>
      </c>
      <c r="G239" s="19" t="n">
        <v>112</v>
      </c>
      <c r="H239" s="6" t="s">
        <v>5105</v>
      </c>
      <c r="I239" s="6" t="s">
        <v>13</v>
      </c>
      <c r="J239" s="6" t="s">
        <v>233</v>
      </c>
      <c r="K239" s="6" t="s">
        <v>5610</v>
      </c>
      <c r="M239" s="6" t="s">
        <v>5611</v>
      </c>
    </row>
    <row r="240" customFormat="false" ht="15" hidden="false" customHeight="false" outlineLevel="0" collapsed="false">
      <c r="A240" s="6" t="s">
        <v>5617</v>
      </c>
      <c r="B240" s="6" t="s">
        <v>196</v>
      </c>
      <c r="C240" s="6" t="s">
        <v>5590</v>
      </c>
      <c r="D240" s="6" t="s">
        <v>5240</v>
      </c>
      <c r="E240" s="6" t="s">
        <v>5571</v>
      </c>
      <c r="F240" s="6" t="s">
        <v>5609</v>
      </c>
      <c r="G240" s="19" t="n">
        <v>110</v>
      </c>
      <c r="H240" s="6" t="s">
        <v>5105</v>
      </c>
      <c r="I240" s="6" t="s">
        <v>13</v>
      </c>
      <c r="J240" s="6" t="s">
        <v>233</v>
      </c>
      <c r="K240" s="6" t="s">
        <v>5610</v>
      </c>
      <c r="M240" s="6" t="s">
        <v>5611</v>
      </c>
    </row>
    <row r="241" customFormat="false" ht="15" hidden="false" customHeight="false" outlineLevel="0" collapsed="false">
      <c r="A241" s="6" t="s">
        <v>5618</v>
      </c>
      <c r="B241" s="6" t="s">
        <v>5067</v>
      </c>
      <c r="C241" s="6" t="s">
        <v>5050</v>
      </c>
      <c r="D241" s="6" t="s">
        <v>5240</v>
      </c>
      <c r="E241" s="6" t="s">
        <v>5619</v>
      </c>
      <c r="F241" s="6" t="s">
        <v>5620</v>
      </c>
      <c r="G241" s="19" t="n">
        <v>112</v>
      </c>
      <c r="H241" s="6" t="s">
        <v>5105</v>
      </c>
      <c r="I241" s="6" t="s">
        <v>13</v>
      </c>
      <c r="J241" s="6" t="s">
        <v>228</v>
      </c>
      <c r="K241" s="6" t="s">
        <v>5621</v>
      </c>
      <c r="M241" s="6"/>
    </row>
    <row r="242" customFormat="false" ht="15" hidden="false" customHeight="false" outlineLevel="0" collapsed="false">
      <c r="A242" s="6" t="s">
        <v>5622</v>
      </c>
      <c r="B242" s="6" t="s">
        <v>5062</v>
      </c>
      <c r="C242" s="6" t="s">
        <v>5050</v>
      </c>
      <c r="D242" s="6" t="s">
        <v>5240</v>
      </c>
      <c r="E242" s="6" t="s">
        <v>5623</v>
      </c>
      <c r="F242" s="6" t="s">
        <v>5624</v>
      </c>
      <c r="G242" s="19" t="n">
        <v>110</v>
      </c>
      <c r="H242" s="6" t="s">
        <v>5105</v>
      </c>
      <c r="I242" s="6" t="s">
        <v>13</v>
      </c>
      <c r="J242" s="6" t="s">
        <v>223</v>
      </c>
      <c r="K242" s="6" t="s">
        <v>5625</v>
      </c>
      <c r="M242" s="6" t="s">
        <v>5626</v>
      </c>
    </row>
    <row r="243" customFormat="false" ht="15" hidden="false" customHeight="false" outlineLevel="0" collapsed="false">
      <c r="A243" s="6" t="s">
        <v>5627</v>
      </c>
      <c r="B243" s="6" t="s">
        <v>136</v>
      </c>
      <c r="C243" s="6" t="s">
        <v>5590</v>
      </c>
      <c r="D243" s="6" t="s">
        <v>5240</v>
      </c>
      <c r="E243" s="6" t="s">
        <v>5628</v>
      </c>
      <c r="F243" s="6" t="s">
        <v>5629</v>
      </c>
      <c r="G243" s="19" t="n">
        <v>135</v>
      </c>
      <c r="H243" s="6" t="s">
        <v>5105</v>
      </c>
      <c r="I243" s="6" t="s">
        <v>13</v>
      </c>
      <c r="J243" s="6" t="s">
        <v>228</v>
      </c>
      <c r="K243" s="6" t="s">
        <v>5603</v>
      </c>
      <c r="M243" s="6" t="s">
        <v>5604</v>
      </c>
    </row>
    <row r="244" customFormat="false" ht="15" hidden="false" customHeight="false" outlineLevel="0" collapsed="false">
      <c r="A244" s="6" t="s">
        <v>5630</v>
      </c>
      <c r="B244" s="6" t="s">
        <v>156</v>
      </c>
      <c r="C244" s="6" t="s">
        <v>5590</v>
      </c>
      <c r="D244" s="6" t="s">
        <v>5240</v>
      </c>
      <c r="E244" s="6" t="s">
        <v>5628</v>
      </c>
      <c r="F244" s="6" t="s">
        <v>5629</v>
      </c>
      <c r="G244" s="19" t="n">
        <v>114</v>
      </c>
      <c r="H244" s="6" t="s">
        <v>5105</v>
      </c>
      <c r="I244" s="6" t="s">
        <v>13</v>
      </c>
      <c r="J244" s="6" t="s">
        <v>228</v>
      </c>
      <c r="K244" s="6" t="s">
        <v>5603</v>
      </c>
      <c r="M244" s="6" t="s">
        <v>5604</v>
      </c>
    </row>
    <row r="245" customFormat="false" ht="15" hidden="false" customHeight="false" outlineLevel="0" collapsed="false">
      <c r="A245" s="6" t="s">
        <v>5631</v>
      </c>
      <c r="B245" s="6" t="s">
        <v>176</v>
      </c>
      <c r="C245" s="6" t="s">
        <v>5590</v>
      </c>
      <c r="D245" s="6" t="s">
        <v>5240</v>
      </c>
      <c r="E245" s="6" t="s">
        <v>5628</v>
      </c>
      <c r="F245" s="6" t="s">
        <v>5629</v>
      </c>
      <c r="G245" s="19" t="n">
        <v>116</v>
      </c>
      <c r="H245" s="6" t="s">
        <v>5105</v>
      </c>
      <c r="I245" s="6" t="s">
        <v>13</v>
      </c>
      <c r="J245" s="6" t="s">
        <v>228</v>
      </c>
      <c r="K245" s="6" t="s">
        <v>5603</v>
      </c>
      <c r="M245" s="6" t="s">
        <v>5604</v>
      </c>
    </row>
    <row r="246" customFormat="false" ht="15" hidden="false" customHeight="false" outlineLevel="0" collapsed="false">
      <c r="A246" s="6" t="s">
        <v>5632</v>
      </c>
      <c r="B246" s="6" t="s">
        <v>136</v>
      </c>
      <c r="C246" s="6" t="s">
        <v>5590</v>
      </c>
      <c r="D246" s="6" t="s">
        <v>5240</v>
      </c>
      <c r="E246" s="6" t="s">
        <v>5633</v>
      </c>
      <c r="F246" s="6" t="s">
        <v>5634</v>
      </c>
      <c r="G246" s="19" t="n">
        <v>137</v>
      </c>
      <c r="H246" s="6" t="s">
        <v>5105</v>
      </c>
      <c r="I246" s="6" t="s">
        <v>13</v>
      </c>
      <c r="J246" s="6" t="s">
        <v>228</v>
      </c>
      <c r="K246" s="6" t="s">
        <v>5603</v>
      </c>
      <c r="M246" s="6" t="s">
        <v>5604</v>
      </c>
    </row>
    <row r="247" customFormat="false" ht="15" hidden="false" customHeight="false" outlineLevel="0" collapsed="false">
      <c r="A247" s="6" t="s">
        <v>5635</v>
      </c>
      <c r="B247" s="6" t="s">
        <v>156</v>
      </c>
      <c r="C247" s="6" t="s">
        <v>5590</v>
      </c>
      <c r="D247" s="6" t="s">
        <v>5240</v>
      </c>
      <c r="E247" s="6" t="s">
        <v>5633</v>
      </c>
      <c r="F247" s="6" t="s">
        <v>5634</v>
      </c>
      <c r="G247" s="19" t="n">
        <v>115</v>
      </c>
      <c r="H247" s="6" t="s">
        <v>5105</v>
      </c>
      <c r="I247" s="6" t="s">
        <v>13</v>
      </c>
      <c r="J247" s="6" t="s">
        <v>228</v>
      </c>
      <c r="K247" s="6" t="s">
        <v>5603</v>
      </c>
      <c r="M247" s="6" t="s">
        <v>5604</v>
      </c>
    </row>
    <row r="248" customFormat="false" ht="15" hidden="false" customHeight="false" outlineLevel="0" collapsed="false">
      <c r="A248" s="6" t="s">
        <v>5636</v>
      </c>
      <c r="B248" s="6" t="s">
        <v>176</v>
      </c>
      <c r="C248" s="6" t="s">
        <v>5590</v>
      </c>
      <c r="D248" s="6" t="s">
        <v>5240</v>
      </c>
      <c r="E248" s="6" t="s">
        <v>5633</v>
      </c>
      <c r="F248" s="6" t="s">
        <v>5634</v>
      </c>
      <c r="G248" s="19" t="n">
        <v>115</v>
      </c>
      <c r="H248" s="6" t="s">
        <v>5105</v>
      </c>
      <c r="I248" s="6" t="s">
        <v>13</v>
      </c>
      <c r="J248" s="6" t="s">
        <v>228</v>
      </c>
      <c r="K248" s="6" t="s">
        <v>5603</v>
      </c>
      <c r="M248" s="6" t="s">
        <v>5604</v>
      </c>
    </row>
    <row r="249" customFormat="false" ht="15" hidden="false" customHeight="false" outlineLevel="0" collapsed="false">
      <c r="A249" s="6" t="s">
        <v>5637</v>
      </c>
      <c r="B249" s="6" t="s">
        <v>166</v>
      </c>
      <c r="C249" s="6" t="s">
        <v>5575</v>
      </c>
      <c r="D249" s="6" t="s">
        <v>5240</v>
      </c>
      <c r="E249" s="6" t="s">
        <v>5638</v>
      </c>
      <c r="F249" s="6" t="s">
        <v>5639</v>
      </c>
      <c r="G249" s="19" t="n">
        <v>114</v>
      </c>
      <c r="H249" s="6" t="s">
        <v>5105</v>
      </c>
      <c r="I249" s="6" t="s">
        <v>13</v>
      </c>
      <c r="J249" s="6" t="s">
        <v>257</v>
      </c>
      <c r="K249" s="6" t="s">
        <v>5580</v>
      </c>
      <c r="M249" s="6"/>
    </row>
    <row r="250" customFormat="false" ht="15" hidden="false" customHeight="false" outlineLevel="0" collapsed="false">
      <c r="A250" s="6" t="s">
        <v>5640</v>
      </c>
      <c r="B250" s="6" t="s">
        <v>186</v>
      </c>
      <c r="C250" s="6" t="s">
        <v>5582</v>
      </c>
      <c r="D250" s="6" t="s">
        <v>5240</v>
      </c>
      <c r="E250" s="6" t="s">
        <v>5638</v>
      </c>
      <c r="F250" s="6" t="s">
        <v>5639</v>
      </c>
      <c r="G250" s="19" t="n">
        <v>117</v>
      </c>
      <c r="H250" s="6" t="s">
        <v>5105</v>
      </c>
      <c r="I250" s="6" t="s">
        <v>13</v>
      </c>
      <c r="J250" s="6" t="s">
        <v>257</v>
      </c>
      <c r="K250" s="6" t="s">
        <v>5580</v>
      </c>
      <c r="M250" s="6"/>
    </row>
    <row r="251" customFormat="false" ht="15" hidden="false" customHeight="false" outlineLevel="0" collapsed="false">
      <c r="A251" s="6" t="s">
        <v>5641</v>
      </c>
      <c r="B251" s="6" t="s">
        <v>186</v>
      </c>
      <c r="C251" s="6" t="s">
        <v>5582</v>
      </c>
      <c r="D251" s="6" t="s">
        <v>5240</v>
      </c>
      <c r="E251" s="6" t="s">
        <v>5638</v>
      </c>
      <c r="F251" s="6" t="s">
        <v>5642</v>
      </c>
      <c r="G251" s="19" t="n">
        <v>117</v>
      </c>
      <c r="H251" s="6" t="s">
        <v>5105</v>
      </c>
      <c r="I251" s="6" t="s">
        <v>13</v>
      </c>
      <c r="J251" s="6" t="s">
        <v>265</v>
      </c>
      <c r="K251" s="6" t="s">
        <v>5585</v>
      </c>
      <c r="M251" s="6"/>
    </row>
    <row r="252" customFormat="false" ht="15" hidden="false" customHeight="false" outlineLevel="0" collapsed="false">
      <c r="A252" s="6" t="s">
        <v>5643</v>
      </c>
      <c r="B252" s="6" t="s">
        <v>206</v>
      </c>
      <c r="C252" s="6" t="s">
        <v>5587</v>
      </c>
      <c r="D252" s="6" t="s">
        <v>5240</v>
      </c>
      <c r="E252" s="6" t="s">
        <v>5638</v>
      </c>
      <c r="F252" s="6" t="s">
        <v>5642</v>
      </c>
      <c r="G252" s="19" t="n">
        <v>115</v>
      </c>
      <c r="H252" s="6" t="s">
        <v>5105</v>
      </c>
      <c r="I252" s="6" t="s">
        <v>13</v>
      </c>
      <c r="J252" s="6" t="s">
        <v>265</v>
      </c>
      <c r="K252" s="6" t="s">
        <v>5585</v>
      </c>
      <c r="M252" s="6"/>
    </row>
    <row r="253" customFormat="false" ht="15" hidden="false" customHeight="false" outlineLevel="0" collapsed="false">
      <c r="A253" s="6" t="s">
        <v>5644</v>
      </c>
      <c r="B253" s="6" t="s">
        <v>166</v>
      </c>
      <c r="C253" s="6" t="s">
        <v>5575</v>
      </c>
      <c r="D253" s="6" t="s">
        <v>5240</v>
      </c>
      <c r="E253" s="6" t="s">
        <v>5645</v>
      </c>
      <c r="F253" s="6" t="s">
        <v>5646</v>
      </c>
      <c r="G253" s="19" t="n">
        <v>114</v>
      </c>
      <c r="H253" s="6" t="s">
        <v>5105</v>
      </c>
      <c r="I253" s="6" t="s">
        <v>13</v>
      </c>
      <c r="J253" s="6" t="s">
        <v>257</v>
      </c>
      <c r="K253" s="6" t="s">
        <v>5580</v>
      </c>
      <c r="M253" s="6"/>
    </row>
    <row r="254" customFormat="false" ht="15" hidden="false" customHeight="false" outlineLevel="0" collapsed="false">
      <c r="A254" s="6" t="s">
        <v>5647</v>
      </c>
      <c r="B254" s="6" t="s">
        <v>186</v>
      </c>
      <c r="C254" s="6" t="s">
        <v>5582</v>
      </c>
      <c r="D254" s="6" t="s">
        <v>5240</v>
      </c>
      <c r="E254" s="6" t="s">
        <v>5645</v>
      </c>
      <c r="F254" s="6" t="s">
        <v>5646</v>
      </c>
      <c r="G254" s="19" t="n">
        <v>116</v>
      </c>
      <c r="H254" s="6" t="s">
        <v>5105</v>
      </c>
      <c r="I254" s="6" t="s">
        <v>13</v>
      </c>
      <c r="J254" s="6" t="s">
        <v>257</v>
      </c>
      <c r="K254" s="6" t="s">
        <v>5580</v>
      </c>
      <c r="M254" s="6"/>
    </row>
    <row r="255" customFormat="false" ht="15" hidden="false" customHeight="false" outlineLevel="0" collapsed="false">
      <c r="A255" s="6" t="s">
        <v>5648</v>
      </c>
      <c r="B255" s="6" t="s">
        <v>186</v>
      </c>
      <c r="C255" s="6" t="s">
        <v>5582</v>
      </c>
      <c r="D255" s="6" t="s">
        <v>5240</v>
      </c>
      <c r="E255" s="6" t="s">
        <v>5645</v>
      </c>
      <c r="F255" s="6" t="s">
        <v>5649</v>
      </c>
      <c r="G255" s="19" t="n">
        <v>116</v>
      </c>
      <c r="H255" s="6" t="s">
        <v>5105</v>
      </c>
      <c r="I255" s="6" t="s">
        <v>13</v>
      </c>
      <c r="J255" s="6" t="s">
        <v>265</v>
      </c>
      <c r="K255" s="6" t="s">
        <v>5585</v>
      </c>
      <c r="M255" s="6"/>
    </row>
    <row r="256" customFormat="false" ht="15" hidden="false" customHeight="false" outlineLevel="0" collapsed="false">
      <c r="A256" s="6" t="s">
        <v>5650</v>
      </c>
      <c r="B256" s="6" t="s">
        <v>206</v>
      </c>
      <c r="C256" s="6" t="s">
        <v>5587</v>
      </c>
      <c r="D256" s="6" t="s">
        <v>5240</v>
      </c>
      <c r="E256" s="6" t="s">
        <v>5645</v>
      </c>
      <c r="F256" s="6" t="s">
        <v>5649</v>
      </c>
      <c r="G256" s="19" t="n">
        <v>115</v>
      </c>
      <c r="H256" s="6" t="s">
        <v>5105</v>
      </c>
      <c r="I256" s="6" t="s">
        <v>13</v>
      </c>
      <c r="J256" s="6" t="s">
        <v>265</v>
      </c>
      <c r="K256" s="6" t="s">
        <v>5585</v>
      </c>
      <c r="M256" s="6"/>
    </row>
    <row r="257" customFormat="false" ht="15" hidden="false" customHeight="false" outlineLevel="0" collapsed="false">
      <c r="A257" s="6" t="s">
        <v>5651</v>
      </c>
      <c r="B257" s="6" t="s">
        <v>146</v>
      </c>
      <c r="C257" s="6" t="s">
        <v>5570</v>
      </c>
      <c r="D257" s="6" t="s">
        <v>5240</v>
      </c>
      <c r="E257" s="6" t="s">
        <v>5652</v>
      </c>
      <c r="F257" s="6" t="s">
        <v>5653</v>
      </c>
      <c r="G257" s="19" t="n">
        <v>120</v>
      </c>
      <c r="H257" s="6" t="s">
        <v>5105</v>
      </c>
      <c r="I257" s="6" t="s">
        <v>13</v>
      </c>
      <c r="J257" s="6" t="s">
        <v>246</v>
      </c>
      <c r="K257" s="6" t="s">
        <v>5573</v>
      </c>
      <c r="M257" s="6"/>
    </row>
    <row r="258" customFormat="false" ht="15" hidden="false" customHeight="false" outlineLevel="0" collapsed="false">
      <c r="A258" s="6" t="s">
        <v>5654</v>
      </c>
      <c r="B258" s="6" t="s">
        <v>166</v>
      </c>
      <c r="C258" s="6" t="s">
        <v>5575</v>
      </c>
      <c r="D258" s="6" t="s">
        <v>5240</v>
      </c>
      <c r="E258" s="6" t="s">
        <v>5652</v>
      </c>
      <c r="F258" s="6" t="s">
        <v>5655</v>
      </c>
      <c r="G258" s="19" t="n">
        <v>114</v>
      </c>
      <c r="H258" s="6" t="s">
        <v>5105</v>
      </c>
      <c r="I258" s="6" t="s">
        <v>13</v>
      </c>
      <c r="J258" s="6" t="s">
        <v>246</v>
      </c>
      <c r="K258" s="6" t="s">
        <v>5573</v>
      </c>
      <c r="M258" s="6"/>
    </row>
    <row r="259" customFormat="false" ht="15" hidden="false" customHeight="false" outlineLevel="0" collapsed="false">
      <c r="A259" s="6" t="s">
        <v>5656</v>
      </c>
      <c r="B259" s="6" t="s">
        <v>166</v>
      </c>
      <c r="C259" s="6" t="s">
        <v>5575</v>
      </c>
      <c r="D259" s="6" t="s">
        <v>5240</v>
      </c>
      <c r="E259" s="6" t="s">
        <v>5652</v>
      </c>
      <c r="F259" s="6" t="s">
        <v>5657</v>
      </c>
      <c r="G259" s="19" t="n">
        <v>114</v>
      </c>
      <c r="H259" s="6" t="s">
        <v>5105</v>
      </c>
      <c r="I259" s="6" t="s">
        <v>13</v>
      </c>
      <c r="J259" s="6" t="s">
        <v>257</v>
      </c>
      <c r="K259" s="6" t="s">
        <v>5580</v>
      </c>
      <c r="M259" s="6"/>
    </row>
    <row r="260" customFormat="false" ht="15" hidden="false" customHeight="false" outlineLevel="0" collapsed="false">
      <c r="A260" s="6" t="s">
        <v>5658</v>
      </c>
      <c r="B260" s="6" t="s">
        <v>186</v>
      </c>
      <c r="C260" s="6" t="s">
        <v>5582</v>
      </c>
      <c r="D260" s="6" t="s">
        <v>5240</v>
      </c>
      <c r="E260" s="6" t="s">
        <v>5652</v>
      </c>
      <c r="F260" s="6" t="s">
        <v>5657</v>
      </c>
      <c r="G260" s="19" t="n">
        <v>115</v>
      </c>
      <c r="H260" s="6" t="s">
        <v>5105</v>
      </c>
      <c r="I260" s="6" t="s">
        <v>13</v>
      </c>
      <c r="J260" s="6" t="s">
        <v>257</v>
      </c>
      <c r="K260" s="6" t="s">
        <v>5580</v>
      </c>
      <c r="M260" s="6"/>
    </row>
    <row r="261" customFormat="false" ht="15" hidden="false" customHeight="false" outlineLevel="0" collapsed="false">
      <c r="A261" s="6" t="s">
        <v>5659</v>
      </c>
      <c r="B261" s="6" t="s">
        <v>156</v>
      </c>
      <c r="C261" s="6" t="s">
        <v>5590</v>
      </c>
      <c r="D261" s="6" t="s">
        <v>5240</v>
      </c>
      <c r="E261" s="6" t="s">
        <v>5660</v>
      </c>
      <c r="F261" s="6" t="s">
        <v>5661</v>
      </c>
      <c r="G261" s="19" t="n">
        <v>114</v>
      </c>
      <c r="H261" s="6" t="s">
        <v>5105</v>
      </c>
      <c r="I261" s="6" t="s">
        <v>13</v>
      </c>
      <c r="J261" s="6" t="s">
        <v>233</v>
      </c>
      <c r="K261" s="6" t="s">
        <v>5610</v>
      </c>
      <c r="M261" s="6"/>
    </row>
    <row r="262" customFormat="false" ht="15" hidden="false" customHeight="false" outlineLevel="0" collapsed="false">
      <c r="A262" s="6" t="s">
        <v>5662</v>
      </c>
      <c r="B262" s="6" t="s">
        <v>176</v>
      </c>
      <c r="C262" s="6" t="s">
        <v>5590</v>
      </c>
      <c r="D262" s="6" t="s">
        <v>5240</v>
      </c>
      <c r="E262" s="6" t="s">
        <v>5660</v>
      </c>
      <c r="F262" s="6" t="s">
        <v>5661</v>
      </c>
      <c r="G262" s="19" t="n">
        <v>116</v>
      </c>
      <c r="H262" s="6" t="s">
        <v>5105</v>
      </c>
      <c r="I262" s="6" t="s">
        <v>13</v>
      </c>
      <c r="J262" s="6" t="s">
        <v>233</v>
      </c>
      <c r="K262" s="6" t="s">
        <v>5610</v>
      </c>
      <c r="M262" s="6"/>
    </row>
    <row r="263" customFormat="false" ht="15" hidden="false" customHeight="false" outlineLevel="0" collapsed="false">
      <c r="A263" s="6" t="s">
        <v>5663</v>
      </c>
      <c r="B263" s="6" t="s">
        <v>196</v>
      </c>
      <c r="C263" s="6" t="s">
        <v>5590</v>
      </c>
      <c r="D263" s="6" t="s">
        <v>5240</v>
      </c>
      <c r="E263" s="6" t="s">
        <v>5660</v>
      </c>
      <c r="F263" s="6" t="s">
        <v>5661</v>
      </c>
      <c r="G263" s="19" t="n">
        <v>116</v>
      </c>
      <c r="H263" s="6" t="s">
        <v>5105</v>
      </c>
      <c r="I263" s="6" t="s">
        <v>13</v>
      </c>
      <c r="J263" s="6" t="s">
        <v>233</v>
      </c>
      <c r="K263" s="6" t="s">
        <v>5610</v>
      </c>
      <c r="M263" s="6"/>
    </row>
    <row r="264" customFormat="false" ht="15" hidden="false" customHeight="false" outlineLevel="0" collapsed="false">
      <c r="A264" s="6" t="s">
        <v>5664</v>
      </c>
      <c r="B264" s="6" t="s">
        <v>156</v>
      </c>
      <c r="C264" s="6" t="s">
        <v>5590</v>
      </c>
      <c r="D264" s="6" t="s">
        <v>5240</v>
      </c>
      <c r="E264" s="6" t="s">
        <v>5665</v>
      </c>
      <c r="F264" s="6" t="s">
        <v>5666</v>
      </c>
      <c r="G264" s="19" t="n">
        <v>115</v>
      </c>
      <c r="H264" s="6" t="s">
        <v>5105</v>
      </c>
      <c r="I264" s="6" t="s">
        <v>13</v>
      </c>
      <c r="J264" s="6" t="s">
        <v>233</v>
      </c>
      <c r="K264" s="6" t="s">
        <v>5610</v>
      </c>
      <c r="M264" s="6" t="s">
        <v>5667</v>
      </c>
    </row>
    <row r="265" customFormat="false" ht="15" hidden="false" customHeight="false" outlineLevel="0" collapsed="false">
      <c r="A265" s="6" t="s">
        <v>5668</v>
      </c>
      <c r="B265" s="6" t="s">
        <v>176</v>
      </c>
      <c r="C265" s="6" t="s">
        <v>5590</v>
      </c>
      <c r="D265" s="6" t="s">
        <v>5240</v>
      </c>
      <c r="E265" s="6" t="s">
        <v>5665</v>
      </c>
      <c r="F265" s="6" t="s">
        <v>5666</v>
      </c>
      <c r="G265" s="19" t="n">
        <v>115</v>
      </c>
      <c r="H265" s="6" t="s">
        <v>5105</v>
      </c>
      <c r="I265" s="6" t="s">
        <v>13</v>
      </c>
      <c r="J265" s="6" t="s">
        <v>233</v>
      </c>
      <c r="K265" s="6" t="s">
        <v>5610</v>
      </c>
      <c r="M265" s="6" t="s">
        <v>5667</v>
      </c>
    </row>
    <row r="266" customFormat="false" ht="15" hidden="false" customHeight="false" outlineLevel="0" collapsed="false">
      <c r="A266" s="6" t="s">
        <v>5669</v>
      </c>
      <c r="B266" s="6" t="s">
        <v>196</v>
      </c>
      <c r="C266" s="6" t="s">
        <v>5590</v>
      </c>
      <c r="D266" s="6" t="s">
        <v>5240</v>
      </c>
      <c r="E266" s="6" t="s">
        <v>5665</v>
      </c>
      <c r="F266" s="6" t="s">
        <v>5666</v>
      </c>
      <c r="G266" s="19" t="n">
        <v>116</v>
      </c>
      <c r="H266" s="6" t="s">
        <v>5105</v>
      </c>
      <c r="I266" s="6" t="s">
        <v>13</v>
      </c>
      <c r="J266" s="6" t="s">
        <v>233</v>
      </c>
      <c r="K266" s="6" t="s">
        <v>5610</v>
      </c>
      <c r="M266" s="6" t="s">
        <v>5667</v>
      </c>
    </row>
    <row r="267" customFormat="false" ht="15" hidden="false" customHeight="false" outlineLevel="0" collapsed="false">
      <c r="A267" s="6" t="s">
        <v>5670</v>
      </c>
      <c r="B267" s="6" t="s">
        <v>5589</v>
      </c>
      <c r="C267" s="6" t="s">
        <v>5590</v>
      </c>
      <c r="D267" s="6" t="s">
        <v>5240</v>
      </c>
      <c r="E267" s="6" t="s">
        <v>5671</v>
      </c>
      <c r="F267" s="6" t="s">
        <v>5672</v>
      </c>
      <c r="G267" s="19" t="n">
        <v>115</v>
      </c>
      <c r="H267" s="6" t="s">
        <v>5105</v>
      </c>
      <c r="I267" s="6" t="s">
        <v>13</v>
      </c>
      <c r="J267" s="6" t="s">
        <v>218</v>
      </c>
      <c r="K267" s="6" t="s">
        <v>5592</v>
      </c>
      <c r="M267" s="6" t="s">
        <v>5673</v>
      </c>
    </row>
    <row r="268" customFormat="false" ht="15" hidden="false" customHeight="false" outlineLevel="0" collapsed="false">
      <c r="A268" s="6" t="s">
        <v>5674</v>
      </c>
      <c r="B268" s="6" t="s">
        <v>116</v>
      </c>
      <c r="C268" s="6" t="s">
        <v>5590</v>
      </c>
      <c r="D268" s="6" t="s">
        <v>5240</v>
      </c>
      <c r="E268" s="6" t="s">
        <v>5671</v>
      </c>
      <c r="F268" s="6" t="s">
        <v>5672</v>
      </c>
      <c r="G268" s="19" t="n">
        <v>135</v>
      </c>
      <c r="H268" s="6" t="s">
        <v>5105</v>
      </c>
      <c r="I268" s="6" t="s">
        <v>13</v>
      </c>
      <c r="J268" s="6" t="s">
        <v>218</v>
      </c>
      <c r="K268" s="6" t="s">
        <v>5592</v>
      </c>
      <c r="M268" s="6" t="s">
        <v>5673</v>
      </c>
    </row>
    <row r="269" customFormat="false" ht="15" hidden="false" customHeight="false" outlineLevel="0" collapsed="false">
      <c r="A269" s="6" t="s">
        <v>5675</v>
      </c>
      <c r="B269" s="6" t="s">
        <v>5597</v>
      </c>
      <c r="C269" s="6" t="s">
        <v>5590</v>
      </c>
      <c r="D269" s="6" t="s">
        <v>5240</v>
      </c>
      <c r="E269" s="6" t="s">
        <v>5671</v>
      </c>
      <c r="F269" s="6" t="s">
        <v>5676</v>
      </c>
      <c r="G269" s="19" t="n">
        <v>135</v>
      </c>
      <c r="H269" s="6" t="s">
        <v>5105</v>
      </c>
      <c r="I269" s="6" t="s">
        <v>13</v>
      </c>
      <c r="J269" s="6" t="s">
        <v>223</v>
      </c>
      <c r="K269" s="6" t="s">
        <v>5592</v>
      </c>
      <c r="M269" s="6" t="s">
        <v>5677</v>
      </c>
    </row>
    <row r="270" customFormat="false" ht="15" hidden="false" customHeight="false" outlineLevel="0" collapsed="false">
      <c r="A270" s="6" t="s">
        <v>5678</v>
      </c>
      <c r="B270" s="6" t="s">
        <v>136</v>
      </c>
      <c r="C270" s="6" t="s">
        <v>5590</v>
      </c>
      <c r="D270" s="6" t="s">
        <v>5240</v>
      </c>
      <c r="E270" s="6" t="s">
        <v>5671</v>
      </c>
      <c r="F270" s="6" t="s">
        <v>5672</v>
      </c>
      <c r="G270" s="19" t="n">
        <v>130</v>
      </c>
      <c r="H270" s="6" t="s">
        <v>5105</v>
      </c>
      <c r="I270" s="6" t="s">
        <v>13</v>
      </c>
      <c r="J270" s="6" t="s">
        <v>218</v>
      </c>
      <c r="K270" s="6" t="s">
        <v>5592</v>
      </c>
      <c r="M270" s="6" t="s">
        <v>5673</v>
      </c>
    </row>
    <row r="271" customFormat="false" ht="15" hidden="false" customHeight="false" outlineLevel="0" collapsed="false">
      <c r="A271" s="6" t="s">
        <v>5679</v>
      </c>
      <c r="B271" s="6" t="s">
        <v>136</v>
      </c>
      <c r="C271" s="6" t="s">
        <v>5590</v>
      </c>
      <c r="D271" s="6" t="s">
        <v>5240</v>
      </c>
      <c r="E271" s="6" t="s">
        <v>5671</v>
      </c>
      <c r="F271" s="6" t="s">
        <v>5680</v>
      </c>
      <c r="G271" s="19" t="n">
        <v>130</v>
      </c>
      <c r="H271" s="6" t="s">
        <v>5105</v>
      </c>
      <c r="I271" s="6" t="s">
        <v>13</v>
      </c>
      <c r="J271" s="6" t="s">
        <v>228</v>
      </c>
      <c r="K271" s="6" t="s">
        <v>5603</v>
      </c>
      <c r="M271" s="6" t="s">
        <v>5604</v>
      </c>
    </row>
    <row r="272" customFormat="false" ht="15" hidden="false" customHeight="false" outlineLevel="0" collapsed="false">
      <c r="A272" s="6" t="s">
        <v>5681</v>
      </c>
      <c r="B272" s="6" t="s">
        <v>5606</v>
      </c>
      <c r="C272" s="6" t="s">
        <v>5590</v>
      </c>
      <c r="D272" s="6" t="s">
        <v>5240</v>
      </c>
      <c r="E272" s="6" t="s">
        <v>5671</v>
      </c>
      <c r="F272" s="6" t="s">
        <v>5676</v>
      </c>
      <c r="G272" s="19" t="n">
        <v>130</v>
      </c>
      <c r="H272" s="6" t="s">
        <v>5105</v>
      </c>
      <c r="I272" s="6" t="s">
        <v>13</v>
      </c>
      <c r="J272" s="6" t="s">
        <v>223</v>
      </c>
      <c r="K272" s="6" t="s">
        <v>5592</v>
      </c>
      <c r="M272" s="6" t="s">
        <v>5682</v>
      </c>
    </row>
    <row r="273" customFormat="false" ht="15" hidden="false" customHeight="false" outlineLevel="0" collapsed="false">
      <c r="A273" s="6" t="s">
        <v>5683</v>
      </c>
      <c r="B273" s="6" t="s">
        <v>156</v>
      </c>
      <c r="C273" s="6" t="s">
        <v>5590</v>
      </c>
      <c r="D273" s="6" t="s">
        <v>5240</v>
      </c>
      <c r="E273" s="6" t="s">
        <v>5671</v>
      </c>
      <c r="F273" s="6" t="s">
        <v>5680</v>
      </c>
      <c r="G273" s="19" t="n">
        <v>115</v>
      </c>
      <c r="H273" s="6" t="s">
        <v>5105</v>
      </c>
      <c r="I273" s="6" t="s">
        <v>13</v>
      </c>
      <c r="J273" s="6" t="s">
        <v>228</v>
      </c>
      <c r="K273" s="6" t="s">
        <v>5603</v>
      </c>
      <c r="M273" s="6" t="s">
        <v>5604</v>
      </c>
    </row>
    <row r="274" customFormat="false" ht="15" hidden="false" customHeight="false" outlineLevel="0" collapsed="false">
      <c r="A274" s="6" t="s">
        <v>5684</v>
      </c>
      <c r="B274" s="6" t="s">
        <v>5613</v>
      </c>
      <c r="C274" s="6" t="s">
        <v>5590</v>
      </c>
      <c r="D274" s="6" t="s">
        <v>5240</v>
      </c>
      <c r="E274" s="6" t="s">
        <v>5671</v>
      </c>
      <c r="F274" s="6" t="s">
        <v>5676</v>
      </c>
      <c r="G274" s="19" t="n">
        <v>115</v>
      </c>
      <c r="H274" s="6" t="s">
        <v>5105</v>
      </c>
      <c r="I274" s="6" t="s">
        <v>13</v>
      </c>
      <c r="J274" s="6" t="s">
        <v>223</v>
      </c>
      <c r="K274" s="6" t="s">
        <v>5592</v>
      </c>
      <c r="M274" s="6" t="s">
        <v>5685</v>
      </c>
    </row>
    <row r="275" customFormat="false" ht="15" hidden="false" customHeight="false" outlineLevel="0" collapsed="false">
      <c r="A275" s="6" t="s">
        <v>5686</v>
      </c>
      <c r="B275" s="6" t="s">
        <v>176</v>
      </c>
      <c r="C275" s="6" t="s">
        <v>5590</v>
      </c>
      <c r="D275" s="6" t="s">
        <v>5240</v>
      </c>
      <c r="E275" s="6" t="s">
        <v>5671</v>
      </c>
      <c r="F275" s="6" t="s">
        <v>5680</v>
      </c>
      <c r="G275" s="19" t="n">
        <v>115</v>
      </c>
      <c r="H275" s="6" t="s">
        <v>5105</v>
      </c>
      <c r="I275" s="6" t="s">
        <v>13</v>
      </c>
      <c r="J275" s="6" t="s">
        <v>228</v>
      </c>
      <c r="K275" s="6" t="s">
        <v>5603</v>
      </c>
      <c r="M275" s="6" t="s">
        <v>5604</v>
      </c>
    </row>
    <row r="276" customFormat="false" ht="15" hidden="false" customHeight="false" outlineLevel="0" collapsed="false">
      <c r="A276" s="6" t="s">
        <v>5687</v>
      </c>
      <c r="B276" s="6" t="s">
        <v>5403</v>
      </c>
      <c r="C276" s="6" t="s">
        <v>5050</v>
      </c>
      <c r="D276" s="6" t="s">
        <v>5240</v>
      </c>
      <c r="E276" s="6" t="s">
        <v>5688</v>
      </c>
      <c r="F276" s="6" t="s">
        <v>5689</v>
      </c>
      <c r="G276" s="19" t="n">
        <v>116</v>
      </c>
      <c r="H276" s="6" t="s">
        <v>5105</v>
      </c>
      <c r="I276" s="6" t="s">
        <v>13</v>
      </c>
      <c r="J276" s="6" t="s">
        <v>310</v>
      </c>
      <c r="K276" s="6" t="s">
        <v>5411</v>
      </c>
      <c r="M276" s="6" t="s">
        <v>5690</v>
      </c>
    </row>
    <row r="277" customFormat="false" ht="15" hidden="false" customHeight="false" outlineLevel="0" collapsed="false">
      <c r="A277" s="6" t="s">
        <v>5691</v>
      </c>
      <c r="B277" s="6" t="s">
        <v>5692</v>
      </c>
      <c r="C277" s="6" t="s">
        <v>5590</v>
      </c>
      <c r="D277" s="6" t="s">
        <v>5240</v>
      </c>
      <c r="E277" s="6" t="s">
        <v>5693</v>
      </c>
      <c r="F277" s="6" t="s">
        <v>5694</v>
      </c>
      <c r="G277" s="19" t="n">
        <v>100</v>
      </c>
      <c r="H277" s="6" t="s">
        <v>5105</v>
      </c>
      <c r="I277" s="6" t="s">
        <v>13</v>
      </c>
      <c r="J277" s="6" t="s">
        <v>209</v>
      </c>
      <c r="K277" s="6" t="s">
        <v>5695</v>
      </c>
      <c r="M277" s="6" t="s">
        <v>5696</v>
      </c>
    </row>
    <row r="278" customFormat="false" ht="15" hidden="false" customHeight="false" outlineLevel="0" collapsed="false">
      <c r="A278" s="6" t="s">
        <v>5697</v>
      </c>
      <c r="B278" s="6" t="s">
        <v>5589</v>
      </c>
      <c r="C278" s="6" t="s">
        <v>5590</v>
      </c>
      <c r="D278" s="6" t="s">
        <v>5240</v>
      </c>
      <c r="E278" s="6" t="s">
        <v>5693</v>
      </c>
      <c r="F278" s="6" t="s">
        <v>5694</v>
      </c>
      <c r="G278" s="19" t="n">
        <v>105</v>
      </c>
      <c r="H278" s="6" t="s">
        <v>5105</v>
      </c>
      <c r="I278" s="6" t="s">
        <v>13</v>
      </c>
      <c r="J278" s="6" t="s">
        <v>209</v>
      </c>
      <c r="K278" s="6" t="s">
        <v>5695</v>
      </c>
      <c r="M278" s="6" t="s">
        <v>5696</v>
      </c>
    </row>
    <row r="279" customFormat="false" ht="15" hidden="false" customHeight="false" outlineLevel="0" collapsed="false">
      <c r="A279" s="6" t="s">
        <v>5698</v>
      </c>
      <c r="B279" s="6" t="s">
        <v>116</v>
      </c>
      <c r="C279" s="6" t="s">
        <v>5590</v>
      </c>
      <c r="D279" s="6" t="s">
        <v>5240</v>
      </c>
      <c r="E279" s="6" t="s">
        <v>5693</v>
      </c>
      <c r="F279" s="6" t="s">
        <v>5694</v>
      </c>
      <c r="G279" s="19" t="n">
        <v>120</v>
      </c>
      <c r="H279" s="6" t="s">
        <v>5105</v>
      </c>
      <c r="I279" s="6" t="s">
        <v>13</v>
      </c>
      <c r="J279" s="6" t="s">
        <v>209</v>
      </c>
      <c r="K279" s="6" t="s">
        <v>5695</v>
      </c>
      <c r="M279" s="6" t="s">
        <v>5696</v>
      </c>
    </row>
    <row r="280" customFormat="false" ht="15" hidden="false" customHeight="false" outlineLevel="0" collapsed="false">
      <c r="A280" s="6" t="s">
        <v>5699</v>
      </c>
      <c r="B280" s="6" t="s">
        <v>5049</v>
      </c>
      <c r="C280" s="6" t="s">
        <v>5050</v>
      </c>
      <c r="D280" s="6" t="s">
        <v>5240</v>
      </c>
      <c r="E280" s="6" t="s">
        <v>5700</v>
      </c>
      <c r="F280" s="6" t="s">
        <v>5701</v>
      </c>
      <c r="G280" s="19" t="n">
        <v>120</v>
      </c>
      <c r="H280" s="6" t="s">
        <v>5105</v>
      </c>
      <c r="I280" s="6" t="s">
        <v>13</v>
      </c>
      <c r="J280" s="6" t="s">
        <v>209</v>
      </c>
      <c r="K280" s="6" t="s">
        <v>5702</v>
      </c>
      <c r="M280" s="6" t="s">
        <v>5703</v>
      </c>
    </row>
    <row r="281" customFormat="false" ht="15" hidden="false" customHeight="false" outlineLevel="0" collapsed="false">
      <c r="A281" s="6" t="s">
        <v>5704</v>
      </c>
      <c r="B281" s="6" t="s">
        <v>5692</v>
      </c>
      <c r="C281" s="6" t="s">
        <v>5590</v>
      </c>
      <c r="D281" s="6" t="s">
        <v>5240</v>
      </c>
      <c r="E281" s="6" t="s">
        <v>5705</v>
      </c>
      <c r="F281" s="6" t="s">
        <v>5706</v>
      </c>
      <c r="G281" s="19" t="n">
        <v>115</v>
      </c>
      <c r="H281" s="6" t="s">
        <v>5105</v>
      </c>
      <c r="I281" s="6" t="s">
        <v>13</v>
      </c>
      <c r="J281" s="6" t="s">
        <v>209</v>
      </c>
      <c r="K281" s="6" t="s">
        <v>5695</v>
      </c>
      <c r="M281" s="6" t="s">
        <v>5707</v>
      </c>
    </row>
    <row r="282" customFormat="false" ht="15" hidden="false" customHeight="false" outlineLevel="0" collapsed="false">
      <c r="A282" s="6" t="s">
        <v>5708</v>
      </c>
      <c r="B282" s="6" t="s">
        <v>5589</v>
      </c>
      <c r="C282" s="6" t="s">
        <v>5590</v>
      </c>
      <c r="D282" s="6" t="s">
        <v>5240</v>
      </c>
      <c r="E282" s="6" t="s">
        <v>5705</v>
      </c>
      <c r="F282" s="6" t="s">
        <v>5706</v>
      </c>
      <c r="G282" s="19" t="n">
        <v>115</v>
      </c>
      <c r="H282" s="6" t="s">
        <v>5105</v>
      </c>
      <c r="I282" s="6" t="s">
        <v>13</v>
      </c>
      <c r="J282" s="6" t="s">
        <v>209</v>
      </c>
      <c r="K282" s="6" t="s">
        <v>5695</v>
      </c>
      <c r="M282" s="6" t="s">
        <v>5707</v>
      </c>
    </row>
    <row r="283" customFormat="false" ht="15" hidden="false" customHeight="false" outlineLevel="0" collapsed="false">
      <c r="A283" s="6" t="s">
        <v>5709</v>
      </c>
      <c r="B283" s="6" t="s">
        <v>116</v>
      </c>
      <c r="C283" s="6" t="s">
        <v>5590</v>
      </c>
      <c r="D283" s="6" t="s">
        <v>5240</v>
      </c>
      <c r="E283" s="6" t="s">
        <v>5705</v>
      </c>
      <c r="F283" s="6" t="s">
        <v>5706</v>
      </c>
      <c r="G283" s="19" t="n">
        <v>135</v>
      </c>
      <c r="H283" s="6" t="s">
        <v>5105</v>
      </c>
      <c r="I283" s="6" t="s">
        <v>13</v>
      </c>
      <c r="J283" s="6" t="s">
        <v>209</v>
      </c>
      <c r="K283" s="6" t="s">
        <v>5695</v>
      </c>
      <c r="M283" s="6" t="s">
        <v>5707</v>
      </c>
    </row>
    <row r="284" customFormat="false" ht="15" hidden="false" customHeight="false" outlineLevel="0" collapsed="false">
      <c r="A284" s="6" t="s">
        <v>5710</v>
      </c>
      <c r="B284" s="6" t="s">
        <v>5079</v>
      </c>
      <c r="C284" s="6" t="s">
        <v>4975</v>
      </c>
      <c r="D284" s="6" t="s">
        <v>5240</v>
      </c>
      <c r="E284" s="6" t="s">
        <v>5711</v>
      </c>
      <c r="F284" s="6" t="s">
        <v>5712</v>
      </c>
      <c r="G284" s="19" t="n">
        <v>27</v>
      </c>
      <c r="H284" s="6" t="s">
        <v>5105</v>
      </c>
      <c r="I284" s="6" t="s">
        <v>13</v>
      </c>
      <c r="J284" s="6" t="s">
        <v>233</v>
      </c>
      <c r="K284" s="6" t="s">
        <v>5329</v>
      </c>
      <c r="M284" s="6" t="s">
        <v>5713</v>
      </c>
    </row>
    <row r="285" customFormat="false" ht="15" hidden="false" customHeight="false" outlineLevel="0" collapsed="false">
      <c r="A285" s="6" t="s">
        <v>5714</v>
      </c>
      <c r="B285" s="6" t="s">
        <v>5320</v>
      </c>
      <c r="C285" s="6" t="s">
        <v>5316</v>
      </c>
      <c r="D285" s="6" t="s">
        <v>5240</v>
      </c>
      <c r="E285" s="6" t="s">
        <v>5711</v>
      </c>
      <c r="F285" s="6" t="s">
        <v>5715</v>
      </c>
      <c r="G285" s="19" t="n">
        <v>31</v>
      </c>
      <c r="H285" s="6" t="s">
        <v>5105</v>
      </c>
      <c r="I285" s="6" t="s">
        <v>13</v>
      </c>
      <c r="J285" s="6" t="s">
        <v>257</v>
      </c>
      <c r="K285" s="6" t="s">
        <v>5333</v>
      </c>
      <c r="M285" s="6"/>
    </row>
    <row r="286" customFormat="false" ht="15" hidden="false" customHeight="false" outlineLevel="0" collapsed="false">
      <c r="A286" s="6" t="s">
        <v>5716</v>
      </c>
      <c r="B286" s="6" t="s">
        <v>5074</v>
      </c>
      <c r="C286" s="6" t="s">
        <v>4975</v>
      </c>
      <c r="D286" s="6" t="s">
        <v>5240</v>
      </c>
      <c r="E286" s="6" t="s">
        <v>5717</v>
      </c>
      <c r="F286" s="6" t="s">
        <v>5718</v>
      </c>
      <c r="G286" s="9" t="n">
        <v>61601</v>
      </c>
      <c r="H286" s="6" t="s">
        <v>384</v>
      </c>
      <c r="I286" s="6" t="s">
        <v>13</v>
      </c>
      <c r="J286" s="6" t="s">
        <v>233</v>
      </c>
      <c r="K286" s="6" t="s">
        <v>5719</v>
      </c>
      <c r="M286" s="6"/>
    </row>
    <row r="287" customFormat="false" ht="15" hidden="false" customHeight="false" outlineLevel="0" collapsed="false">
      <c r="A287" s="6" t="s">
        <v>5720</v>
      </c>
      <c r="B287" s="6" t="s">
        <v>5113</v>
      </c>
      <c r="C287" s="6" t="s">
        <v>4975</v>
      </c>
      <c r="D287" s="6" t="s">
        <v>5240</v>
      </c>
      <c r="E287" s="6" t="s">
        <v>5717</v>
      </c>
      <c r="F287" s="6" t="s">
        <v>5718</v>
      </c>
      <c r="G287" s="9" t="n">
        <v>132383</v>
      </c>
      <c r="H287" s="6" t="s">
        <v>384</v>
      </c>
      <c r="I287" s="6" t="s">
        <v>13</v>
      </c>
      <c r="J287" s="6" t="s">
        <v>233</v>
      </c>
      <c r="K287" s="6" t="s">
        <v>5719</v>
      </c>
      <c r="M287" s="6"/>
    </row>
    <row r="288" customFormat="false" ht="15" hidden="false" customHeight="false" outlineLevel="0" collapsed="false">
      <c r="A288" s="6" t="s">
        <v>5721</v>
      </c>
      <c r="B288" s="6" t="s">
        <v>5079</v>
      </c>
      <c r="C288" s="6" t="s">
        <v>4975</v>
      </c>
      <c r="D288" s="6" t="s">
        <v>5240</v>
      </c>
      <c r="E288" s="6" t="s">
        <v>5717</v>
      </c>
      <c r="F288" s="6" t="s">
        <v>5718</v>
      </c>
      <c r="G288" s="9" t="n">
        <v>175263</v>
      </c>
      <c r="H288" s="6" t="s">
        <v>384</v>
      </c>
      <c r="I288" s="6" t="s">
        <v>13</v>
      </c>
      <c r="J288" s="6" t="s">
        <v>233</v>
      </c>
      <c r="K288" s="6" t="s">
        <v>5719</v>
      </c>
      <c r="M288" s="6"/>
    </row>
    <row r="289" customFormat="false" ht="15" hidden="false" customHeight="false" outlineLevel="0" collapsed="false">
      <c r="A289" s="6" t="s">
        <v>5722</v>
      </c>
      <c r="B289" s="6" t="s">
        <v>5079</v>
      </c>
      <c r="C289" s="6" t="s">
        <v>4975</v>
      </c>
      <c r="D289" s="6" t="s">
        <v>5240</v>
      </c>
      <c r="E289" s="6" t="s">
        <v>5717</v>
      </c>
      <c r="F289" s="6" t="s">
        <v>5723</v>
      </c>
      <c r="G289" s="9" t="n">
        <v>175263</v>
      </c>
      <c r="H289" s="6" t="s">
        <v>384</v>
      </c>
      <c r="I289" s="6" t="s">
        <v>13</v>
      </c>
      <c r="J289" s="6" t="s">
        <v>310</v>
      </c>
      <c r="K289" s="6" t="s">
        <v>5724</v>
      </c>
      <c r="M289" s="6" t="s">
        <v>5725</v>
      </c>
    </row>
    <row r="290" customFormat="false" ht="15" hidden="false" customHeight="false" outlineLevel="0" collapsed="false">
      <c r="A290" s="6" t="s">
        <v>5726</v>
      </c>
      <c r="B290" s="6" t="s">
        <v>5519</v>
      </c>
      <c r="C290" s="6" t="s">
        <v>5316</v>
      </c>
      <c r="D290" s="6" t="s">
        <v>5240</v>
      </c>
      <c r="E290" s="6" t="s">
        <v>5717</v>
      </c>
      <c r="F290" s="6" t="s">
        <v>5727</v>
      </c>
      <c r="G290" s="9" t="n">
        <v>16324</v>
      </c>
      <c r="H290" s="6" t="s">
        <v>384</v>
      </c>
      <c r="I290" s="6" t="s">
        <v>13</v>
      </c>
      <c r="J290" s="6" t="s">
        <v>246</v>
      </c>
      <c r="K290" s="6" t="s">
        <v>5728</v>
      </c>
      <c r="M290" s="6"/>
    </row>
    <row r="291" customFormat="false" ht="15" hidden="false" customHeight="false" outlineLevel="0" collapsed="false">
      <c r="A291" s="6" t="s">
        <v>5729</v>
      </c>
      <c r="B291" s="6" t="s">
        <v>5315</v>
      </c>
      <c r="C291" s="6" t="s">
        <v>5316</v>
      </c>
      <c r="D291" s="6" t="s">
        <v>5240</v>
      </c>
      <c r="E291" s="6" t="s">
        <v>5717</v>
      </c>
      <c r="F291" s="6" t="s">
        <v>5727</v>
      </c>
      <c r="G291" s="9" t="n">
        <v>59938</v>
      </c>
      <c r="H291" s="6" t="s">
        <v>384</v>
      </c>
      <c r="I291" s="6" t="s">
        <v>13</v>
      </c>
      <c r="J291" s="6" t="s">
        <v>246</v>
      </c>
      <c r="K291" s="6" t="s">
        <v>5728</v>
      </c>
      <c r="M291" s="6"/>
    </row>
    <row r="292" customFormat="false" ht="15" hidden="false" customHeight="false" outlineLevel="0" collapsed="false">
      <c r="A292" s="6" t="s">
        <v>5730</v>
      </c>
      <c r="B292" s="6" t="s">
        <v>5315</v>
      </c>
      <c r="C292" s="6" t="s">
        <v>5316</v>
      </c>
      <c r="D292" s="6" t="s">
        <v>5240</v>
      </c>
      <c r="E292" s="6" t="s">
        <v>5717</v>
      </c>
      <c r="F292" s="6" t="s">
        <v>5731</v>
      </c>
      <c r="G292" s="9" t="n">
        <v>59938</v>
      </c>
      <c r="H292" s="6" t="s">
        <v>384</v>
      </c>
      <c r="I292" s="6" t="s">
        <v>13</v>
      </c>
      <c r="J292" s="6" t="s">
        <v>257</v>
      </c>
      <c r="K292" s="6" t="s">
        <v>5732</v>
      </c>
      <c r="M292" s="6"/>
    </row>
    <row r="293" customFormat="false" ht="15" hidden="false" customHeight="false" outlineLevel="0" collapsed="false">
      <c r="A293" s="6" t="s">
        <v>5733</v>
      </c>
      <c r="B293" s="6" t="s">
        <v>5320</v>
      </c>
      <c r="C293" s="6" t="s">
        <v>5316</v>
      </c>
      <c r="D293" s="6" t="s">
        <v>5240</v>
      </c>
      <c r="E293" s="6" t="s">
        <v>5717</v>
      </c>
      <c r="F293" s="6" t="s">
        <v>5731</v>
      </c>
      <c r="G293" s="9" t="n">
        <v>85848</v>
      </c>
      <c r="H293" s="6" t="s">
        <v>384</v>
      </c>
      <c r="I293" s="6" t="s">
        <v>13</v>
      </c>
      <c r="J293" s="6" t="s">
        <v>257</v>
      </c>
      <c r="K293" s="6" t="s">
        <v>5732</v>
      </c>
      <c r="M293" s="6"/>
    </row>
    <row r="294" customFormat="false" ht="15" hidden="false" customHeight="false" outlineLevel="0" collapsed="false">
      <c r="A294" s="6" t="s">
        <v>5734</v>
      </c>
      <c r="B294" s="6" t="s">
        <v>5320</v>
      </c>
      <c r="C294" s="6" t="s">
        <v>5316</v>
      </c>
      <c r="D294" s="6" t="s">
        <v>5240</v>
      </c>
      <c r="E294" s="6" t="s">
        <v>5717</v>
      </c>
      <c r="F294" s="6" t="s">
        <v>5735</v>
      </c>
      <c r="G294" s="9" t="n">
        <v>85848</v>
      </c>
      <c r="H294" s="6" t="s">
        <v>384</v>
      </c>
      <c r="I294" s="6" t="s">
        <v>13</v>
      </c>
      <c r="J294" s="6" t="s">
        <v>265</v>
      </c>
      <c r="K294" s="6" t="s">
        <v>5736</v>
      </c>
      <c r="M294" s="6"/>
    </row>
    <row r="295" customFormat="false" ht="15" hidden="false" customHeight="false" outlineLevel="0" collapsed="false">
      <c r="A295" s="6" t="s">
        <v>5737</v>
      </c>
      <c r="B295" s="6" t="s">
        <v>5325</v>
      </c>
      <c r="C295" s="6" t="s">
        <v>5316</v>
      </c>
      <c r="D295" s="6" t="s">
        <v>5240</v>
      </c>
      <c r="E295" s="6" t="s">
        <v>5717</v>
      </c>
      <c r="F295" s="6" t="s">
        <v>5735</v>
      </c>
      <c r="G295" s="9" t="n">
        <v>110147</v>
      </c>
      <c r="H295" s="6" t="s">
        <v>384</v>
      </c>
      <c r="I295" s="6" t="s">
        <v>13</v>
      </c>
      <c r="J295" s="6" t="s">
        <v>265</v>
      </c>
      <c r="K295" s="6" t="s">
        <v>5736</v>
      </c>
      <c r="M295" s="6"/>
    </row>
    <row r="296" customFormat="false" ht="15" hidden="false" customHeight="false" outlineLevel="0" collapsed="false">
      <c r="A296" s="6" t="s">
        <v>5738</v>
      </c>
      <c r="B296" s="6" t="s">
        <v>5097</v>
      </c>
      <c r="C296" s="6" t="s">
        <v>4975</v>
      </c>
      <c r="D296" s="6" t="s">
        <v>5240</v>
      </c>
      <c r="E296" s="6" t="s">
        <v>4717</v>
      </c>
      <c r="F296" s="6" t="s">
        <v>5739</v>
      </c>
      <c r="G296" s="9" t="n">
        <v>-47095</v>
      </c>
      <c r="H296" s="6" t="s">
        <v>384</v>
      </c>
      <c r="I296" s="6" t="s">
        <v>13</v>
      </c>
      <c r="J296" s="6" t="s">
        <v>228</v>
      </c>
      <c r="K296" s="6" t="s">
        <v>5740</v>
      </c>
      <c r="M296" s="6" t="s">
        <v>5741</v>
      </c>
    </row>
    <row r="297" customFormat="false" ht="15" hidden="false" customHeight="false" outlineLevel="0" collapsed="false">
      <c r="A297" s="6" t="s">
        <v>5742</v>
      </c>
      <c r="B297" s="6" t="s">
        <v>5074</v>
      </c>
      <c r="C297" s="6" t="s">
        <v>4975</v>
      </c>
      <c r="D297" s="6" t="s">
        <v>5240</v>
      </c>
      <c r="E297" s="6" t="s">
        <v>4717</v>
      </c>
      <c r="F297" s="6" t="s">
        <v>5739</v>
      </c>
      <c r="G297" s="9" t="n">
        <v>61601</v>
      </c>
      <c r="H297" s="6" t="s">
        <v>384</v>
      </c>
      <c r="I297" s="6" t="s">
        <v>13</v>
      </c>
      <c r="J297" s="6" t="s">
        <v>228</v>
      </c>
      <c r="K297" s="6" t="s">
        <v>5740</v>
      </c>
      <c r="M297" s="6" t="s">
        <v>5741</v>
      </c>
    </row>
    <row r="298" customFormat="false" ht="15" hidden="false" customHeight="false" outlineLevel="0" collapsed="false">
      <c r="A298" s="6" t="s">
        <v>5743</v>
      </c>
      <c r="B298" s="6" t="s">
        <v>5113</v>
      </c>
      <c r="C298" s="6" t="s">
        <v>4975</v>
      </c>
      <c r="D298" s="6" t="s">
        <v>5240</v>
      </c>
      <c r="E298" s="6" t="s">
        <v>4717</v>
      </c>
      <c r="F298" s="6" t="s">
        <v>5739</v>
      </c>
      <c r="G298" s="9" t="n">
        <v>132383</v>
      </c>
      <c r="H298" s="6" t="s">
        <v>384</v>
      </c>
      <c r="I298" s="6" t="s">
        <v>13</v>
      </c>
      <c r="J298" s="6" t="s">
        <v>228</v>
      </c>
      <c r="K298" s="6" t="s">
        <v>5740</v>
      </c>
      <c r="M298" s="6" t="s">
        <v>5741</v>
      </c>
    </row>
    <row r="299" customFormat="false" ht="15" hidden="false" customHeight="false" outlineLevel="0" collapsed="false">
      <c r="A299" s="6" t="s">
        <v>5744</v>
      </c>
      <c r="B299" s="6" t="s">
        <v>5079</v>
      </c>
      <c r="C299" s="6" t="s">
        <v>4975</v>
      </c>
      <c r="D299" s="6" t="s">
        <v>5240</v>
      </c>
      <c r="E299" s="6" t="s">
        <v>5745</v>
      </c>
      <c r="F299" s="6" t="s">
        <v>5746</v>
      </c>
      <c r="G299" s="19" t="n">
        <v>14</v>
      </c>
      <c r="H299" s="6" t="s">
        <v>5105</v>
      </c>
      <c r="I299" s="6" t="s">
        <v>13</v>
      </c>
      <c r="J299" s="6" t="s">
        <v>310</v>
      </c>
      <c r="K299" s="6" t="s">
        <v>5747</v>
      </c>
      <c r="M299" s="6"/>
    </row>
    <row r="300" customFormat="false" ht="15" hidden="false" customHeight="false" outlineLevel="0" collapsed="false">
      <c r="A300" s="6" t="s">
        <v>5748</v>
      </c>
      <c r="B300" s="6" t="s">
        <v>5113</v>
      </c>
      <c r="C300" s="6" t="s">
        <v>4975</v>
      </c>
      <c r="D300" s="6" t="s">
        <v>5240</v>
      </c>
      <c r="E300" s="6" t="s">
        <v>5749</v>
      </c>
      <c r="F300" s="6" t="s">
        <v>5750</v>
      </c>
      <c r="G300" s="9" t="n">
        <v>24208</v>
      </c>
      <c r="H300" s="6" t="s">
        <v>384</v>
      </c>
      <c r="I300" s="6" t="s">
        <v>13</v>
      </c>
      <c r="J300" s="6" t="s">
        <v>228</v>
      </c>
      <c r="K300" s="6" t="s">
        <v>5751</v>
      </c>
      <c r="M300" s="6" t="s">
        <v>5752</v>
      </c>
    </row>
    <row r="301" customFormat="false" ht="15" hidden="false" customHeight="false" outlineLevel="0" collapsed="false">
      <c r="A301" s="6" t="s">
        <v>5753</v>
      </c>
      <c r="B301" s="6" t="s">
        <v>5113</v>
      </c>
      <c r="C301" s="6" t="s">
        <v>4975</v>
      </c>
      <c r="D301" s="6" t="s">
        <v>5240</v>
      </c>
      <c r="E301" s="6" t="s">
        <v>5754</v>
      </c>
      <c r="F301" s="6" t="s">
        <v>5755</v>
      </c>
      <c r="G301" s="9" t="n">
        <v>129209</v>
      </c>
      <c r="H301" s="6" t="s">
        <v>384</v>
      </c>
      <c r="I301" s="6" t="s">
        <v>13</v>
      </c>
      <c r="J301" s="6" t="s">
        <v>228</v>
      </c>
      <c r="K301" s="6" t="s">
        <v>5751</v>
      </c>
      <c r="M301" s="6" t="s">
        <v>5756</v>
      </c>
    </row>
    <row r="302" customFormat="false" ht="15" hidden="false" customHeight="false" outlineLevel="0" collapsed="false">
      <c r="A302" s="6" t="s">
        <v>5757</v>
      </c>
      <c r="B302" s="6" t="s">
        <v>5049</v>
      </c>
      <c r="C302" s="6" t="s">
        <v>5050</v>
      </c>
      <c r="D302" s="6" t="s">
        <v>5240</v>
      </c>
      <c r="E302" s="6" t="s">
        <v>5758</v>
      </c>
      <c r="F302" s="6" t="s">
        <v>5759</v>
      </c>
      <c r="G302" s="13" t="n">
        <v>7.2</v>
      </c>
      <c r="H302" s="6" t="s">
        <v>3751</v>
      </c>
      <c r="I302" s="6" t="s">
        <v>13</v>
      </c>
      <c r="J302" s="6" t="s">
        <v>209</v>
      </c>
      <c r="K302" s="6" t="s">
        <v>5760</v>
      </c>
      <c r="M302" s="6" t="s">
        <v>5761</v>
      </c>
    </row>
    <row r="303" customFormat="false" ht="15" hidden="false" customHeight="false" outlineLevel="0" collapsed="false">
      <c r="A303" s="6" t="s">
        <v>5762</v>
      </c>
      <c r="B303" s="6" t="s">
        <v>5249</v>
      </c>
      <c r="C303" s="6" t="s">
        <v>5050</v>
      </c>
      <c r="D303" s="6" t="s">
        <v>5240</v>
      </c>
      <c r="E303" s="6" t="s">
        <v>5763</v>
      </c>
      <c r="F303" s="6" t="s">
        <v>5764</v>
      </c>
      <c r="G303" s="19" t="n">
        <v>250000</v>
      </c>
      <c r="H303" s="6" t="s">
        <v>5122</v>
      </c>
      <c r="I303" s="6" t="s">
        <v>13</v>
      </c>
      <c r="J303" s="6" t="s">
        <v>265</v>
      </c>
      <c r="K303" s="6" t="s">
        <v>5366</v>
      </c>
      <c r="M303" s="6" t="s">
        <v>5765</v>
      </c>
    </row>
    <row r="304" customFormat="false" ht="15" hidden="false" customHeight="false" outlineLevel="0" collapsed="false">
      <c r="A304" s="6" t="s">
        <v>5766</v>
      </c>
      <c r="B304" s="6" t="s">
        <v>5072</v>
      </c>
      <c r="C304" s="6" t="s">
        <v>5050</v>
      </c>
      <c r="D304" s="6" t="s">
        <v>5240</v>
      </c>
      <c r="E304" s="6" t="s">
        <v>5767</v>
      </c>
      <c r="F304" s="6" t="s">
        <v>5768</v>
      </c>
      <c r="G304" s="19" t="n">
        <v>280</v>
      </c>
      <c r="H304" s="6" t="s">
        <v>5122</v>
      </c>
      <c r="I304" s="6" t="s">
        <v>13</v>
      </c>
      <c r="J304" s="6" t="s">
        <v>233</v>
      </c>
      <c r="K304" s="6" t="s">
        <v>5349</v>
      </c>
      <c r="M304" s="6" t="s">
        <v>5769</v>
      </c>
    </row>
    <row r="305" customFormat="false" ht="15" hidden="false" customHeight="false" outlineLevel="0" collapsed="false">
      <c r="A305" s="6" t="s">
        <v>5770</v>
      </c>
      <c r="B305" s="6" t="s">
        <v>5062</v>
      </c>
      <c r="C305" s="6" t="s">
        <v>5050</v>
      </c>
      <c r="D305" s="6" t="s">
        <v>5240</v>
      </c>
      <c r="E305" s="6" t="s">
        <v>5771</v>
      </c>
      <c r="F305" s="6" t="s">
        <v>5772</v>
      </c>
      <c r="G305" s="19" t="n">
        <v>67</v>
      </c>
      <c r="H305" s="6" t="s">
        <v>5122</v>
      </c>
      <c r="I305" s="6" t="s">
        <v>13</v>
      </c>
      <c r="J305" s="6" t="s">
        <v>223</v>
      </c>
      <c r="K305" s="6" t="s">
        <v>5346</v>
      </c>
      <c r="M305" s="6"/>
    </row>
    <row r="306" customFormat="false" ht="15" hidden="false" customHeight="false" outlineLevel="0" collapsed="false">
      <c r="A306" s="6" t="s">
        <v>5773</v>
      </c>
      <c r="B306" s="6" t="s">
        <v>5062</v>
      </c>
      <c r="C306" s="6" t="s">
        <v>5050</v>
      </c>
      <c r="D306" s="6" t="s">
        <v>5240</v>
      </c>
      <c r="E306" s="6" t="s">
        <v>5774</v>
      </c>
      <c r="F306" s="6" t="s">
        <v>5775</v>
      </c>
      <c r="G306" s="19" t="n">
        <v>35</v>
      </c>
      <c r="H306" s="6" t="s">
        <v>5122</v>
      </c>
      <c r="I306" s="6" t="s">
        <v>13</v>
      </c>
      <c r="J306" s="6" t="s">
        <v>223</v>
      </c>
      <c r="K306" s="6" t="s">
        <v>5346</v>
      </c>
      <c r="M306" s="6"/>
    </row>
    <row r="307" customFormat="false" ht="15" hidden="false" customHeight="false" outlineLevel="0" collapsed="false">
      <c r="A307" s="6" t="s">
        <v>5776</v>
      </c>
      <c r="B307" s="6" t="s">
        <v>5468</v>
      </c>
      <c r="C307" s="6" t="s">
        <v>5050</v>
      </c>
      <c r="D307" s="6" t="s">
        <v>5240</v>
      </c>
      <c r="E307" s="6" t="s">
        <v>5777</v>
      </c>
      <c r="F307" s="6" t="s">
        <v>5778</v>
      </c>
      <c r="G307" s="19" t="n">
        <v>113000</v>
      </c>
      <c r="H307" s="6" t="s">
        <v>5122</v>
      </c>
      <c r="I307" s="6" t="s">
        <v>13</v>
      </c>
      <c r="J307" s="6" t="s">
        <v>209</v>
      </c>
      <c r="K307" s="6" t="s">
        <v>5188</v>
      </c>
      <c r="M307" s="6" t="s">
        <v>5696</v>
      </c>
    </row>
    <row r="308" customFormat="false" ht="15" hidden="false" customHeight="false" outlineLevel="0" collapsed="false">
      <c r="A308" s="6" t="s">
        <v>5779</v>
      </c>
      <c r="B308" s="6" t="s">
        <v>5049</v>
      </c>
      <c r="C308" s="6" t="s">
        <v>5050</v>
      </c>
      <c r="D308" s="6" t="s">
        <v>5240</v>
      </c>
      <c r="E308" s="6" t="s">
        <v>5777</v>
      </c>
      <c r="F308" s="6" t="s">
        <v>5780</v>
      </c>
      <c r="G308" s="19" t="n">
        <v>152000</v>
      </c>
      <c r="H308" s="6" t="s">
        <v>5122</v>
      </c>
      <c r="I308" s="6" t="s">
        <v>13</v>
      </c>
      <c r="J308" s="6" t="s">
        <v>209</v>
      </c>
      <c r="K308" s="6" t="s">
        <v>5188</v>
      </c>
      <c r="M308" s="6" t="s">
        <v>5696</v>
      </c>
    </row>
    <row r="309" customFormat="false" ht="15" hidden="false" customHeight="false" outlineLevel="0" collapsed="false">
      <c r="A309" s="6" t="s">
        <v>5781</v>
      </c>
      <c r="B309" s="6" t="s">
        <v>5049</v>
      </c>
      <c r="C309" s="6" t="s">
        <v>5050</v>
      </c>
      <c r="D309" s="6" t="s">
        <v>5240</v>
      </c>
      <c r="E309" s="6" t="s">
        <v>5777</v>
      </c>
      <c r="F309" s="6" t="s">
        <v>5782</v>
      </c>
      <c r="G309" s="19" t="n">
        <v>152000</v>
      </c>
      <c r="H309" s="6" t="s">
        <v>5122</v>
      </c>
      <c r="I309" s="6" t="s">
        <v>13</v>
      </c>
      <c r="J309" s="6" t="s">
        <v>218</v>
      </c>
      <c r="K309" s="6" t="s">
        <v>5183</v>
      </c>
      <c r="M309" s="6" t="s">
        <v>5783</v>
      </c>
    </row>
    <row r="310" customFormat="false" ht="15" hidden="false" customHeight="false" outlineLevel="0" collapsed="false">
      <c r="A310" s="6" t="s">
        <v>5784</v>
      </c>
      <c r="B310" s="6" t="s">
        <v>5057</v>
      </c>
      <c r="C310" s="6" t="s">
        <v>5050</v>
      </c>
      <c r="D310" s="6" t="s">
        <v>5240</v>
      </c>
      <c r="E310" s="6" t="s">
        <v>5777</v>
      </c>
      <c r="F310" s="6" t="s">
        <v>5782</v>
      </c>
      <c r="G310" s="19" t="n">
        <v>186000</v>
      </c>
      <c r="H310" s="6" t="s">
        <v>5122</v>
      </c>
      <c r="I310" s="6" t="s">
        <v>13</v>
      </c>
      <c r="J310" s="6" t="s">
        <v>218</v>
      </c>
      <c r="K310" s="6" t="s">
        <v>5183</v>
      </c>
      <c r="M310" s="6" t="s">
        <v>5785</v>
      </c>
    </row>
    <row r="311" customFormat="false" ht="15" hidden="false" customHeight="false" outlineLevel="0" collapsed="false">
      <c r="A311" s="6" t="s">
        <v>5786</v>
      </c>
      <c r="B311" s="6" t="s">
        <v>5057</v>
      </c>
      <c r="C311" s="6" t="s">
        <v>5050</v>
      </c>
      <c r="D311" s="6" t="s">
        <v>5240</v>
      </c>
      <c r="E311" s="6" t="s">
        <v>5777</v>
      </c>
      <c r="F311" s="6" t="s">
        <v>5787</v>
      </c>
      <c r="G311" s="19" t="n">
        <v>186000</v>
      </c>
      <c r="H311" s="6" t="s">
        <v>5122</v>
      </c>
      <c r="I311" s="6" t="s">
        <v>13</v>
      </c>
      <c r="J311" s="6" t="s">
        <v>223</v>
      </c>
      <c r="K311" s="6" t="s">
        <v>5183</v>
      </c>
      <c r="M311" s="6" t="s">
        <v>5788</v>
      </c>
    </row>
    <row r="312" customFormat="false" ht="15" hidden="false" customHeight="false" outlineLevel="0" collapsed="false">
      <c r="A312" s="6" t="s">
        <v>5789</v>
      </c>
      <c r="B312" s="6" t="s">
        <v>5062</v>
      </c>
      <c r="C312" s="6" t="s">
        <v>5050</v>
      </c>
      <c r="D312" s="6" t="s">
        <v>5240</v>
      </c>
      <c r="E312" s="6" t="s">
        <v>5777</v>
      </c>
      <c r="F312" s="6" t="s">
        <v>5787</v>
      </c>
      <c r="G312" s="19" t="n">
        <v>225000</v>
      </c>
      <c r="H312" s="6" t="s">
        <v>5122</v>
      </c>
      <c r="I312" s="6" t="s">
        <v>13</v>
      </c>
      <c r="J312" s="6" t="s">
        <v>223</v>
      </c>
      <c r="K312" s="6" t="s">
        <v>5183</v>
      </c>
      <c r="M312" s="6" t="s">
        <v>5790</v>
      </c>
    </row>
    <row r="313" customFormat="false" ht="15" hidden="false" customHeight="false" outlineLevel="0" collapsed="false">
      <c r="A313" s="6" t="s">
        <v>5791</v>
      </c>
      <c r="B313" s="6" t="s">
        <v>5062</v>
      </c>
      <c r="C313" s="6" t="s">
        <v>5050</v>
      </c>
      <c r="D313" s="6" t="s">
        <v>5240</v>
      </c>
      <c r="E313" s="6" t="s">
        <v>5777</v>
      </c>
      <c r="F313" s="6" t="s">
        <v>5792</v>
      </c>
      <c r="G313" s="19" t="n">
        <v>225000</v>
      </c>
      <c r="H313" s="6" t="s">
        <v>5122</v>
      </c>
      <c r="I313" s="6" t="s">
        <v>13</v>
      </c>
      <c r="J313" s="6" t="s">
        <v>228</v>
      </c>
      <c r="K313" s="6" t="s">
        <v>5793</v>
      </c>
      <c r="M313" s="6" t="s">
        <v>5794</v>
      </c>
    </row>
    <row r="314" customFormat="false" ht="15" hidden="false" customHeight="false" outlineLevel="0" collapsed="false">
      <c r="A314" s="6" t="s">
        <v>5795</v>
      </c>
      <c r="B314" s="6" t="s">
        <v>5067</v>
      </c>
      <c r="C314" s="6" t="s">
        <v>5050</v>
      </c>
      <c r="D314" s="6" t="s">
        <v>5240</v>
      </c>
      <c r="E314" s="6" t="s">
        <v>5777</v>
      </c>
      <c r="F314" s="6" t="s">
        <v>5796</v>
      </c>
      <c r="G314" s="19" t="n">
        <v>245000</v>
      </c>
      <c r="H314" s="6" t="s">
        <v>5122</v>
      </c>
      <c r="I314" s="6" t="s">
        <v>13</v>
      </c>
      <c r="J314" s="6" t="s">
        <v>228</v>
      </c>
      <c r="K314" s="6" t="s">
        <v>5793</v>
      </c>
      <c r="M314" s="6" t="s">
        <v>5797</v>
      </c>
    </row>
    <row r="315" customFormat="false" ht="15" hidden="false" customHeight="false" outlineLevel="0" collapsed="false">
      <c r="A315" s="6" t="s">
        <v>5798</v>
      </c>
      <c r="B315" s="6" t="s">
        <v>5067</v>
      </c>
      <c r="C315" s="6" t="s">
        <v>5050</v>
      </c>
      <c r="D315" s="6" t="s">
        <v>5240</v>
      </c>
      <c r="E315" s="6" t="s">
        <v>5777</v>
      </c>
      <c r="F315" s="6" t="s">
        <v>5799</v>
      </c>
      <c r="G315" s="19" t="n">
        <v>245000</v>
      </c>
      <c r="H315" s="6" t="s">
        <v>5122</v>
      </c>
      <c r="I315" s="6" t="s">
        <v>13</v>
      </c>
      <c r="J315" s="6" t="s">
        <v>233</v>
      </c>
      <c r="K315" s="6" t="s">
        <v>5559</v>
      </c>
      <c r="M315" s="6" t="s">
        <v>5800</v>
      </c>
    </row>
    <row r="316" customFormat="false" ht="15" hidden="false" customHeight="false" outlineLevel="0" collapsed="false">
      <c r="A316" s="6" t="s">
        <v>5801</v>
      </c>
      <c r="B316" s="6" t="s">
        <v>5072</v>
      </c>
      <c r="C316" s="6" t="s">
        <v>5050</v>
      </c>
      <c r="D316" s="6" t="s">
        <v>5240</v>
      </c>
      <c r="E316" s="6" t="s">
        <v>5777</v>
      </c>
      <c r="F316" s="6" t="s">
        <v>5799</v>
      </c>
      <c r="G316" s="19" t="n">
        <v>250000</v>
      </c>
      <c r="H316" s="6" t="s">
        <v>5122</v>
      </c>
      <c r="I316" s="6" t="s">
        <v>13</v>
      </c>
      <c r="J316" s="6" t="s">
        <v>233</v>
      </c>
      <c r="K316" s="6" t="s">
        <v>5559</v>
      </c>
      <c r="M316" s="6" t="s">
        <v>5802</v>
      </c>
    </row>
    <row r="317" customFormat="false" ht="15" hidden="false" customHeight="false" outlineLevel="0" collapsed="false">
      <c r="A317" s="6" t="s">
        <v>5803</v>
      </c>
      <c r="B317" s="6" t="s">
        <v>5049</v>
      </c>
      <c r="C317" s="6" t="s">
        <v>5050</v>
      </c>
      <c r="D317" s="6" t="s">
        <v>5240</v>
      </c>
      <c r="E317" s="6" t="s">
        <v>5804</v>
      </c>
      <c r="F317" s="6" t="s">
        <v>5805</v>
      </c>
      <c r="G317" s="19" t="n">
        <v>34</v>
      </c>
      <c r="H317" s="6" t="s">
        <v>5105</v>
      </c>
      <c r="I317" s="6" t="s">
        <v>13</v>
      </c>
      <c r="J317" s="6" t="s">
        <v>209</v>
      </c>
      <c r="K317" s="6" t="s">
        <v>5806</v>
      </c>
      <c r="M317" s="6"/>
    </row>
    <row r="318" customFormat="false" ht="15" hidden="false" customHeight="false" outlineLevel="0" collapsed="false">
      <c r="A318" s="6" t="s">
        <v>5807</v>
      </c>
      <c r="B318" s="6" t="s">
        <v>5074</v>
      </c>
      <c r="C318" s="6" t="s">
        <v>4975</v>
      </c>
      <c r="D318" s="6" t="s">
        <v>5240</v>
      </c>
      <c r="E318" s="6" t="s">
        <v>5804</v>
      </c>
      <c r="F318" s="6" t="s">
        <v>5808</v>
      </c>
      <c r="G318" s="19" t="n">
        <v>21</v>
      </c>
      <c r="H318" s="6" t="s">
        <v>5105</v>
      </c>
      <c r="I318" s="6" t="s">
        <v>13</v>
      </c>
      <c r="J318" s="6" t="s">
        <v>223</v>
      </c>
      <c r="K318" s="6" t="s">
        <v>5809</v>
      </c>
      <c r="M318" s="6"/>
    </row>
    <row r="319" customFormat="false" ht="15" hidden="false" customHeight="false" outlineLevel="0" collapsed="false">
      <c r="A319" s="6" t="s">
        <v>5810</v>
      </c>
      <c r="B319" s="6" t="s">
        <v>5074</v>
      </c>
      <c r="C319" s="6" t="s">
        <v>4975</v>
      </c>
      <c r="D319" s="6" t="s">
        <v>5240</v>
      </c>
      <c r="E319" s="6" t="s">
        <v>5811</v>
      </c>
      <c r="F319" s="6" t="s">
        <v>5812</v>
      </c>
      <c r="G319" s="19" t="n">
        <v>21</v>
      </c>
      <c r="H319" s="6" t="s">
        <v>5105</v>
      </c>
      <c r="I319" s="6" t="s">
        <v>13</v>
      </c>
      <c r="J319" s="6" t="s">
        <v>233</v>
      </c>
      <c r="K319" s="6" t="s">
        <v>5813</v>
      </c>
      <c r="M319" s="6"/>
    </row>
    <row r="320" customFormat="false" ht="15" hidden="false" customHeight="false" outlineLevel="0" collapsed="false">
      <c r="A320" s="6" t="s">
        <v>5814</v>
      </c>
      <c r="B320" s="6" t="s">
        <v>5113</v>
      </c>
      <c r="C320" s="6" t="s">
        <v>4975</v>
      </c>
      <c r="D320" s="6" t="s">
        <v>5240</v>
      </c>
      <c r="E320" s="6" t="s">
        <v>5811</v>
      </c>
      <c r="F320" s="6" t="s">
        <v>5812</v>
      </c>
      <c r="G320" s="19" t="n">
        <v>22</v>
      </c>
      <c r="H320" s="6" t="s">
        <v>5105</v>
      </c>
      <c r="I320" s="6" t="s">
        <v>13</v>
      </c>
      <c r="J320" s="6" t="s">
        <v>233</v>
      </c>
      <c r="K320" s="6" t="s">
        <v>5813</v>
      </c>
      <c r="M320" s="6"/>
    </row>
    <row r="321" customFormat="false" ht="15" hidden="false" customHeight="false" outlineLevel="0" collapsed="false">
      <c r="A321" s="6" t="s">
        <v>5815</v>
      </c>
      <c r="B321" s="6" t="s">
        <v>5079</v>
      </c>
      <c r="C321" s="6" t="s">
        <v>4975</v>
      </c>
      <c r="D321" s="6" t="s">
        <v>5240</v>
      </c>
      <c r="E321" s="6" t="s">
        <v>5811</v>
      </c>
      <c r="F321" s="6" t="s">
        <v>5812</v>
      </c>
      <c r="G321" s="19" t="n">
        <v>26</v>
      </c>
      <c r="H321" s="6" t="s">
        <v>5105</v>
      </c>
      <c r="I321" s="6" t="s">
        <v>13</v>
      </c>
      <c r="J321" s="6" t="s">
        <v>233</v>
      </c>
      <c r="K321" s="6" t="s">
        <v>5813</v>
      </c>
      <c r="M321" s="6"/>
    </row>
    <row r="322" customFormat="false" ht="15" hidden="false" customHeight="false" outlineLevel="0" collapsed="false">
      <c r="A322" s="6" t="s">
        <v>5816</v>
      </c>
      <c r="B322" s="6" t="s">
        <v>5074</v>
      </c>
      <c r="C322" s="6" t="s">
        <v>4975</v>
      </c>
      <c r="D322" s="6" t="s">
        <v>5240</v>
      </c>
      <c r="E322" s="6" t="s">
        <v>382</v>
      </c>
      <c r="F322" s="6" t="s">
        <v>5817</v>
      </c>
      <c r="G322" s="9" t="n">
        <v>729695</v>
      </c>
      <c r="H322" s="6" t="s">
        <v>384</v>
      </c>
      <c r="I322" s="6" t="s">
        <v>13</v>
      </c>
      <c r="J322" s="6" t="s">
        <v>233</v>
      </c>
      <c r="K322" s="6" t="s">
        <v>5818</v>
      </c>
      <c r="M322" s="6" t="s">
        <v>5819</v>
      </c>
    </row>
    <row r="323" customFormat="false" ht="15" hidden="false" customHeight="false" outlineLevel="0" collapsed="false">
      <c r="A323" s="6" t="s">
        <v>5820</v>
      </c>
      <c r="B323" s="6" t="s">
        <v>5113</v>
      </c>
      <c r="C323" s="6" t="s">
        <v>4975</v>
      </c>
      <c r="D323" s="6" t="s">
        <v>5240</v>
      </c>
      <c r="E323" s="6" t="s">
        <v>382</v>
      </c>
      <c r="F323" s="6" t="s">
        <v>5817</v>
      </c>
      <c r="G323" s="9" t="n">
        <v>971995</v>
      </c>
      <c r="H323" s="6" t="s">
        <v>384</v>
      </c>
      <c r="I323" s="6" t="s">
        <v>13</v>
      </c>
      <c r="J323" s="6" t="s">
        <v>233</v>
      </c>
      <c r="K323" s="6" t="s">
        <v>5818</v>
      </c>
      <c r="M323" s="6" t="s">
        <v>5819</v>
      </c>
    </row>
    <row r="324" customFormat="false" ht="15" hidden="false" customHeight="false" outlineLevel="0" collapsed="false">
      <c r="A324" s="6" t="s">
        <v>5821</v>
      </c>
      <c r="B324" s="6" t="s">
        <v>5079</v>
      </c>
      <c r="C324" s="6" t="s">
        <v>4975</v>
      </c>
      <c r="D324" s="6" t="s">
        <v>5240</v>
      </c>
      <c r="E324" s="6" t="s">
        <v>382</v>
      </c>
      <c r="F324" s="6" t="s">
        <v>5817</v>
      </c>
      <c r="G324" s="9" t="n">
        <v>1231997</v>
      </c>
      <c r="H324" s="6" t="s">
        <v>384</v>
      </c>
      <c r="I324" s="6" t="s">
        <v>13</v>
      </c>
      <c r="J324" s="6" t="s">
        <v>233</v>
      </c>
      <c r="K324" s="6" t="s">
        <v>5818</v>
      </c>
      <c r="M324" s="6" t="s">
        <v>5819</v>
      </c>
    </row>
    <row r="325" customFormat="false" ht="15" hidden="false" customHeight="false" outlineLevel="0" collapsed="false">
      <c r="A325" s="6" t="s">
        <v>5822</v>
      </c>
      <c r="B325" s="6" t="s">
        <v>5519</v>
      </c>
      <c r="C325" s="6" t="s">
        <v>5316</v>
      </c>
      <c r="D325" s="6" t="s">
        <v>5240</v>
      </c>
      <c r="E325" s="6" t="s">
        <v>382</v>
      </c>
      <c r="F325" s="6" t="s">
        <v>5823</v>
      </c>
      <c r="G325" s="9" t="n">
        <v>337935</v>
      </c>
      <c r="H325" s="6" t="s">
        <v>384</v>
      </c>
      <c r="I325" s="6" t="s">
        <v>13</v>
      </c>
      <c r="J325" s="6" t="s">
        <v>238</v>
      </c>
      <c r="K325" s="6" t="s">
        <v>5824</v>
      </c>
      <c r="M325" s="6"/>
    </row>
    <row r="326" customFormat="false" ht="15" hidden="false" customHeight="false" outlineLevel="0" collapsed="false">
      <c r="A326" s="6" t="s">
        <v>5825</v>
      </c>
      <c r="B326" s="6" t="s">
        <v>5315</v>
      </c>
      <c r="C326" s="6" t="s">
        <v>5316</v>
      </c>
      <c r="D326" s="6" t="s">
        <v>5240</v>
      </c>
      <c r="E326" s="6" t="s">
        <v>382</v>
      </c>
      <c r="F326" s="6" t="s">
        <v>5823</v>
      </c>
      <c r="G326" s="9" t="n">
        <v>453019</v>
      </c>
      <c r="H326" s="6" t="s">
        <v>384</v>
      </c>
      <c r="I326" s="6" t="s">
        <v>13</v>
      </c>
      <c r="J326" s="6" t="s">
        <v>238</v>
      </c>
      <c r="K326" s="6" t="s">
        <v>5824</v>
      </c>
      <c r="M326" s="6"/>
    </row>
    <row r="327" customFormat="false" ht="15" hidden="false" customHeight="false" outlineLevel="0" collapsed="false">
      <c r="A327" s="6" t="s">
        <v>5826</v>
      </c>
      <c r="B327" s="6" t="s">
        <v>5320</v>
      </c>
      <c r="C327" s="6" t="s">
        <v>5316</v>
      </c>
      <c r="D327" s="6" t="s">
        <v>5240</v>
      </c>
      <c r="E327" s="6" t="s">
        <v>382</v>
      </c>
      <c r="F327" s="6" t="s">
        <v>5827</v>
      </c>
      <c r="G327" s="9" t="n">
        <v>581264</v>
      </c>
      <c r="H327" s="6" t="s">
        <v>384</v>
      </c>
      <c r="I327" s="6" t="s">
        <v>13</v>
      </c>
      <c r="J327" s="6" t="s">
        <v>253</v>
      </c>
      <c r="K327" s="6" t="s">
        <v>5828</v>
      </c>
      <c r="M327" s="6"/>
    </row>
    <row r="328" customFormat="false" ht="15" hidden="false" customHeight="false" outlineLevel="0" collapsed="false">
      <c r="A328" s="6" t="s">
        <v>5829</v>
      </c>
      <c r="B328" s="6" t="s">
        <v>5325</v>
      </c>
      <c r="C328" s="6" t="s">
        <v>5316</v>
      </c>
      <c r="D328" s="6" t="s">
        <v>5240</v>
      </c>
      <c r="E328" s="6" t="s">
        <v>382</v>
      </c>
      <c r="F328" s="6" t="s">
        <v>5830</v>
      </c>
      <c r="G328" s="9" t="n">
        <v>715886</v>
      </c>
      <c r="H328" s="6" t="s">
        <v>384</v>
      </c>
      <c r="I328" s="6" t="s">
        <v>13</v>
      </c>
      <c r="J328" s="6" t="s">
        <v>261</v>
      </c>
      <c r="K328" s="6" t="s">
        <v>5831</v>
      </c>
      <c r="M328" s="6"/>
    </row>
    <row r="329" customFormat="false" ht="15" hidden="false" customHeight="false" outlineLevel="0" collapsed="false">
      <c r="A329" s="6" t="s">
        <v>5832</v>
      </c>
      <c r="B329" s="6" t="s">
        <v>5074</v>
      </c>
      <c r="C329" s="6" t="s">
        <v>4975</v>
      </c>
      <c r="D329" s="6" t="s">
        <v>5240</v>
      </c>
      <c r="E329" s="6" t="s">
        <v>5833</v>
      </c>
      <c r="F329" s="6" t="s">
        <v>5834</v>
      </c>
      <c r="G329" s="19" t="n">
        <v>41</v>
      </c>
      <c r="H329" s="6" t="s">
        <v>5105</v>
      </c>
      <c r="I329" s="6" t="s">
        <v>13</v>
      </c>
      <c r="J329" s="6" t="s">
        <v>233</v>
      </c>
      <c r="K329" s="6" t="s">
        <v>5835</v>
      </c>
      <c r="M329" s="6"/>
    </row>
    <row r="330" customFormat="false" ht="15" hidden="false" customHeight="false" outlineLevel="0" collapsed="false">
      <c r="A330" s="6" t="s">
        <v>5836</v>
      </c>
      <c r="B330" s="6" t="s">
        <v>5113</v>
      </c>
      <c r="C330" s="6" t="s">
        <v>4975</v>
      </c>
      <c r="D330" s="6" t="s">
        <v>5240</v>
      </c>
      <c r="E330" s="6" t="s">
        <v>5833</v>
      </c>
      <c r="F330" s="6" t="s">
        <v>5834</v>
      </c>
      <c r="G330" s="19" t="n">
        <v>33</v>
      </c>
      <c r="H330" s="6" t="s">
        <v>5105</v>
      </c>
      <c r="I330" s="6" t="s">
        <v>13</v>
      </c>
      <c r="J330" s="6" t="s">
        <v>233</v>
      </c>
      <c r="K330" s="6" t="s">
        <v>5835</v>
      </c>
      <c r="M330" s="6"/>
    </row>
    <row r="331" customFormat="false" ht="15" hidden="false" customHeight="false" outlineLevel="0" collapsed="false">
      <c r="A331" s="6" t="s">
        <v>5837</v>
      </c>
      <c r="B331" s="6" t="s">
        <v>5079</v>
      </c>
      <c r="C331" s="6" t="s">
        <v>4975</v>
      </c>
      <c r="D331" s="6" t="s">
        <v>5240</v>
      </c>
      <c r="E331" s="6" t="s">
        <v>5833</v>
      </c>
      <c r="F331" s="6" t="s">
        <v>5834</v>
      </c>
      <c r="G331" s="19" t="n">
        <v>27</v>
      </c>
      <c r="H331" s="6" t="s">
        <v>5105</v>
      </c>
      <c r="I331" s="6" t="s">
        <v>13</v>
      </c>
      <c r="J331" s="6" t="s">
        <v>233</v>
      </c>
      <c r="K331" s="6" t="s">
        <v>5835</v>
      </c>
      <c r="M331" s="6"/>
    </row>
    <row r="332" customFormat="false" ht="15" hidden="false" customHeight="false" outlineLevel="0" collapsed="false">
      <c r="A332" s="6" t="s">
        <v>5838</v>
      </c>
      <c r="B332" s="6" t="s">
        <v>5519</v>
      </c>
      <c r="C332" s="6" t="s">
        <v>5316</v>
      </c>
      <c r="D332" s="6" t="s">
        <v>5240</v>
      </c>
      <c r="E332" s="6" t="s">
        <v>5833</v>
      </c>
      <c r="F332" s="6" t="s">
        <v>5839</v>
      </c>
      <c r="G332" s="19" t="n">
        <v>46</v>
      </c>
      <c r="H332" s="6" t="s">
        <v>5105</v>
      </c>
      <c r="I332" s="6" t="s">
        <v>13</v>
      </c>
      <c r="J332" s="6" t="s">
        <v>246</v>
      </c>
      <c r="K332" s="6" t="s">
        <v>5840</v>
      </c>
      <c r="M332" s="6"/>
    </row>
    <row r="333" customFormat="false" ht="15" hidden="false" customHeight="false" outlineLevel="0" collapsed="false">
      <c r="A333" s="6" t="s">
        <v>5841</v>
      </c>
      <c r="B333" s="6" t="s">
        <v>5315</v>
      </c>
      <c r="C333" s="6" t="s">
        <v>5316</v>
      </c>
      <c r="D333" s="6" t="s">
        <v>5240</v>
      </c>
      <c r="E333" s="6" t="s">
        <v>5833</v>
      </c>
      <c r="F333" s="6" t="s">
        <v>5842</v>
      </c>
      <c r="G333" s="19" t="n">
        <v>34</v>
      </c>
      <c r="H333" s="6" t="s">
        <v>5105</v>
      </c>
      <c r="I333" s="6" t="s">
        <v>13</v>
      </c>
      <c r="J333" s="6" t="s">
        <v>246</v>
      </c>
      <c r="K333" s="6" t="s">
        <v>5840</v>
      </c>
      <c r="M333" s="6"/>
    </row>
    <row r="334" customFormat="false" ht="15" hidden="false" customHeight="false" outlineLevel="0" collapsed="false">
      <c r="A334" s="6" t="s">
        <v>5843</v>
      </c>
      <c r="B334" s="6" t="s">
        <v>5320</v>
      </c>
      <c r="C334" s="6" t="s">
        <v>5316</v>
      </c>
      <c r="D334" s="6" t="s">
        <v>5240</v>
      </c>
      <c r="E334" s="6" t="s">
        <v>5833</v>
      </c>
      <c r="F334" s="6" t="s">
        <v>5844</v>
      </c>
      <c r="G334" s="19" t="n">
        <v>28</v>
      </c>
      <c r="H334" s="6" t="s">
        <v>5105</v>
      </c>
      <c r="I334" s="6" t="s">
        <v>13</v>
      </c>
      <c r="J334" s="6" t="s">
        <v>257</v>
      </c>
      <c r="K334" s="6" t="s">
        <v>5845</v>
      </c>
      <c r="M334" s="6"/>
    </row>
    <row r="335" customFormat="false" ht="15" hidden="false" customHeight="false" outlineLevel="0" collapsed="false">
      <c r="A335" s="6" t="s">
        <v>5846</v>
      </c>
      <c r="B335" s="6" t="s">
        <v>5325</v>
      </c>
      <c r="C335" s="6" t="s">
        <v>5316</v>
      </c>
      <c r="D335" s="6" t="s">
        <v>5240</v>
      </c>
      <c r="E335" s="6" t="s">
        <v>5833</v>
      </c>
      <c r="F335" s="6" t="s">
        <v>5847</v>
      </c>
      <c r="G335" s="19" t="n">
        <v>23</v>
      </c>
      <c r="H335" s="6" t="s">
        <v>5105</v>
      </c>
      <c r="I335" s="6" t="s">
        <v>13</v>
      </c>
      <c r="J335" s="6" t="s">
        <v>265</v>
      </c>
      <c r="K335" s="6" t="s">
        <v>5848</v>
      </c>
      <c r="M335" s="6"/>
    </row>
    <row r="336" customFormat="false" ht="15" hidden="false" customHeight="false" outlineLevel="0" collapsed="false">
      <c r="A336" s="6" t="s">
        <v>5849</v>
      </c>
      <c r="B336" s="6" t="s">
        <v>5113</v>
      </c>
      <c r="C336" s="6" t="s">
        <v>4975</v>
      </c>
      <c r="D336" s="6" t="s">
        <v>5240</v>
      </c>
      <c r="E336" s="6" t="s">
        <v>5850</v>
      </c>
      <c r="F336" s="6" t="s">
        <v>5851</v>
      </c>
      <c r="G336" s="19" t="n">
        <v>1</v>
      </c>
      <c r="H336" s="6" t="s">
        <v>5105</v>
      </c>
      <c r="I336" s="6" t="s">
        <v>13</v>
      </c>
      <c r="J336" s="6" t="s">
        <v>228</v>
      </c>
      <c r="K336" s="6" t="s">
        <v>5793</v>
      </c>
      <c r="M336" s="6" t="s">
        <v>5852</v>
      </c>
    </row>
    <row r="337" customFormat="false" ht="15" hidden="false" customHeight="false" outlineLevel="0" collapsed="false">
      <c r="A337" s="6" t="s">
        <v>5853</v>
      </c>
      <c r="B337" s="6" t="s">
        <v>5113</v>
      </c>
      <c r="C337" s="6" t="s">
        <v>4975</v>
      </c>
      <c r="D337" s="6" t="s">
        <v>5240</v>
      </c>
      <c r="E337" s="6" t="s">
        <v>5854</v>
      </c>
      <c r="F337" s="6" t="s">
        <v>5855</v>
      </c>
      <c r="G337" s="19" t="n">
        <v>10</v>
      </c>
      <c r="H337" s="6" t="s">
        <v>5105</v>
      </c>
      <c r="I337" s="6" t="s">
        <v>13</v>
      </c>
      <c r="J337" s="6" t="s">
        <v>228</v>
      </c>
      <c r="K337" s="6" t="s">
        <v>5793</v>
      </c>
      <c r="M337" s="6" t="s">
        <v>5856</v>
      </c>
    </row>
    <row r="338" customFormat="false" ht="15" hidden="false" customHeight="false" outlineLevel="0" collapsed="false">
      <c r="A338" s="6" t="s">
        <v>5857</v>
      </c>
      <c r="B338" s="6" t="s">
        <v>5079</v>
      </c>
      <c r="C338" s="6" t="s">
        <v>4975</v>
      </c>
      <c r="D338" s="6" t="s">
        <v>5240</v>
      </c>
      <c r="E338" s="6" t="s">
        <v>5858</v>
      </c>
      <c r="F338" s="6" t="s">
        <v>5859</v>
      </c>
      <c r="G338" s="13" t="n">
        <v>716</v>
      </c>
      <c r="H338" s="6" t="s">
        <v>3751</v>
      </c>
      <c r="I338" s="6" t="s">
        <v>13</v>
      </c>
      <c r="J338" s="6" t="s">
        <v>233</v>
      </c>
      <c r="K338" s="6" t="s">
        <v>5860</v>
      </c>
      <c r="M338" s="6"/>
    </row>
    <row r="339" customFormat="false" ht="15" hidden="false" customHeight="false" outlineLevel="0" collapsed="false">
      <c r="A339" s="6" t="s">
        <v>5861</v>
      </c>
      <c r="B339" s="6" t="s">
        <v>5325</v>
      </c>
      <c r="C339" s="6" t="s">
        <v>5316</v>
      </c>
      <c r="D339" s="6" t="s">
        <v>5240</v>
      </c>
      <c r="E339" s="6" t="s">
        <v>5858</v>
      </c>
      <c r="F339" s="6" t="s">
        <v>5862</v>
      </c>
      <c r="G339" s="13" t="n">
        <v>254.8</v>
      </c>
      <c r="H339" s="6" t="s">
        <v>3751</v>
      </c>
      <c r="I339" s="6" t="s">
        <v>13</v>
      </c>
      <c r="J339" s="6" t="s">
        <v>265</v>
      </c>
      <c r="K339" s="6" t="s">
        <v>5863</v>
      </c>
      <c r="M339" s="6"/>
    </row>
    <row r="340" customFormat="false" ht="15" hidden="false" customHeight="false" outlineLevel="0" collapsed="false">
      <c r="A340" s="6" t="s">
        <v>5864</v>
      </c>
      <c r="B340" s="6" t="s">
        <v>5079</v>
      </c>
      <c r="C340" s="6" t="s">
        <v>4975</v>
      </c>
      <c r="D340" s="6" t="s">
        <v>5240</v>
      </c>
      <c r="E340" s="6" t="s">
        <v>5865</v>
      </c>
      <c r="F340" s="6" t="s">
        <v>5866</v>
      </c>
      <c r="G340" s="13" t="n">
        <v>516</v>
      </c>
      <c r="H340" s="6" t="s">
        <v>3751</v>
      </c>
      <c r="I340" s="6" t="s">
        <v>13</v>
      </c>
      <c r="J340" s="6" t="s">
        <v>233</v>
      </c>
      <c r="K340" s="6" t="s">
        <v>5860</v>
      </c>
      <c r="M340" s="6"/>
    </row>
    <row r="341" customFormat="false" ht="15" hidden="false" customHeight="false" outlineLevel="0" collapsed="false">
      <c r="A341" s="6" t="s">
        <v>5867</v>
      </c>
      <c r="B341" s="6" t="s">
        <v>5325</v>
      </c>
      <c r="C341" s="6" t="s">
        <v>5316</v>
      </c>
      <c r="D341" s="6" t="s">
        <v>5240</v>
      </c>
      <c r="E341" s="6" t="s">
        <v>5865</v>
      </c>
      <c r="F341" s="6" t="s">
        <v>5868</v>
      </c>
      <c r="G341" s="13" t="n">
        <v>461.1</v>
      </c>
      <c r="H341" s="6" t="s">
        <v>3751</v>
      </c>
      <c r="I341" s="6" t="s">
        <v>13</v>
      </c>
      <c r="J341" s="6" t="s">
        <v>265</v>
      </c>
      <c r="K341" s="6" t="s">
        <v>5869</v>
      </c>
      <c r="M341" s="6"/>
    </row>
    <row r="342" customFormat="false" ht="15" hidden="false" customHeight="false" outlineLevel="0" collapsed="false">
      <c r="A342" s="6" t="s">
        <v>5870</v>
      </c>
      <c r="B342" s="6" t="s">
        <v>5079</v>
      </c>
      <c r="C342" s="6" t="s">
        <v>4975</v>
      </c>
      <c r="D342" s="6" t="s">
        <v>5240</v>
      </c>
      <c r="E342" s="6" t="s">
        <v>5871</v>
      </c>
      <c r="F342" s="6" t="s">
        <v>5872</v>
      </c>
      <c r="G342" s="13" t="n">
        <v>141</v>
      </c>
      <c r="H342" s="6" t="s">
        <v>3751</v>
      </c>
      <c r="I342" s="6" t="s">
        <v>13</v>
      </c>
      <c r="J342" s="6" t="s">
        <v>233</v>
      </c>
      <c r="K342" s="6" t="s">
        <v>5860</v>
      </c>
      <c r="M342" s="6"/>
    </row>
    <row r="343" customFormat="false" ht="15" hidden="false" customHeight="false" outlineLevel="0" collapsed="false">
      <c r="A343" s="6" t="s">
        <v>5873</v>
      </c>
      <c r="B343" s="6" t="s">
        <v>5325</v>
      </c>
      <c r="C343" s="6" t="s">
        <v>5316</v>
      </c>
      <c r="D343" s="6" t="s">
        <v>5240</v>
      </c>
      <c r="E343" s="6" t="s">
        <v>5871</v>
      </c>
      <c r="F343" s="6" t="s">
        <v>5874</v>
      </c>
      <c r="G343" s="13" t="n">
        <v>105.7</v>
      </c>
      <c r="H343" s="6" t="s">
        <v>3751</v>
      </c>
      <c r="I343" s="6" t="s">
        <v>13</v>
      </c>
      <c r="J343" s="6" t="s">
        <v>265</v>
      </c>
      <c r="K343" s="6" t="s">
        <v>5863</v>
      </c>
      <c r="M343" s="6" t="s">
        <v>5875</v>
      </c>
    </row>
    <row r="344" customFormat="false" ht="15" hidden="false" customHeight="false" outlineLevel="0" collapsed="false">
      <c r="A344" s="6" t="s">
        <v>5876</v>
      </c>
      <c r="B344" s="6" t="s">
        <v>5079</v>
      </c>
      <c r="C344" s="6" t="s">
        <v>4975</v>
      </c>
      <c r="D344" s="6" t="s">
        <v>5240</v>
      </c>
      <c r="E344" s="6" t="s">
        <v>5877</v>
      </c>
      <c r="F344" s="6" t="s">
        <v>5878</v>
      </c>
      <c r="G344" s="13" t="n">
        <v>119</v>
      </c>
      <c r="H344" s="6" t="s">
        <v>3751</v>
      </c>
      <c r="I344" s="6" t="s">
        <v>13</v>
      </c>
      <c r="J344" s="6" t="s">
        <v>233</v>
      </c>
      <c r="K344" s="6" t="s">
        <v>5860</v>
      </c>
      <c r="M344" s="6"/>
    </row>
    <row r="345" customFormat="false" ht="15" hidden="false" customHeight="false" outlineLevel="0" collapsed="false">
      <c r="A345" s="6" t="s">
        <v>5879</v>
      </c>
      <c r="B345" s="6" t="s">
        <v>5325</v>
      </c>
      <c r="C345" s="6" t="s">
        <v>5316</v>
      </c>
      <c r="D345" s="6" t="s">
        <v>5240</v>
      </c>
      <c r="E345" s="6" t="s">
        <v>5877</v>
      </c>
      <c r="F345" s="6" t="s">
        <v>5880</v>
      </c>
      <c r="G345" s="13" t="n">
        <v>28.9</v>
      </c>
      <c r="H345" s="6" t="s">
        <v>3751</v>
      </c>
      <c r="I345" s="6" t="s">
        <v>13</v>
      </c>
      <c r="J345" s="6" t="s">
        <v>265</v>
      </c>
      <c r="K345" s="6" t="s">
        <v>5863</v>
      </c>
      <c r="M345" s="6"/>
    </row>
    <row r="346" customFormat="false" ht="15" hidden="false" customHeight="false" outlineLevel="0" collapsed="false">
      <c r="A346" s="6" t="s">
        <v>5881</v>
      </c>
      <c r="B346" s="6" t="s">
        <v>5074</v>
      </c>
      <c r="C346" s="6" t="s">
        <v>4975</v>
      </c>
      <c r="D346" s="6" t="s">
        <v>5240</v>
      </c>
      <c r="E346" s="6" t="s">
        <v>5882</v>
      </c>
      <c r="F346" s="6" t="s">
        <v>5883</v>
      </c>
      <c r="G346" s="19" t="n">
        <v>60</v>
      </c>
      <c r="H346" s="6" t="s">
        <v>5105</v>
      </c>
      <c r="I346" s="6" t="s">
        <v>13</v>
      </c>
      <c r="J346" s="6" t="s">
        <v>233</v>
      </c>
      <c r="K346" s="6" t="s">
        <v>5884</v>
      </c>
      <c r="M346" s="6"/>
    </row>
    <row r="347" customFormat="false" ht="15" hidden="false" customHeight="false" outlineLevel="0" collapsed="false">
      <c r="A347" s="6" t="s">
        <v>5885</v>
      </c>
      <c r="B347" s="6" t="s">
        <v>5113</v>
      </c>
      <c r="C347" s="6" t="s">
        <v>4975</v>
      </c>
      <c r="D347" s="6" t="s">
        <v>5240</v>
      </c>
      <c r="E347" s="6" t="s">
        <v>5882</v>
      </c>
      <c r="F347" s="6" t="s">
        <v>5883</v>
      </c>
      <c r="G347" s="19" t="n">
        <v>55</v>
      </c>
      <c r="H347" s="6" t="s">
        <v>5105</v>
      </c>
      <c r="I347" s="6" t="s">
        <v>13</v>
      </c>
      <c r="J347" s="6" t="s">
        <v>233</v>
      </c>
      <c r="K347" s="6" t="s">
        <v>5884</v>
      </c>
      <c r="M347" s="6"/>
    </row>
    <row r="348" customFormat="false" ht="15" hidden="false" customHeight="false" outlineLevel="0" collapsed="false">
      <c r="A348" s="6" t="s">
        <v>5886</v>
      </c>
      <c r="B348" s="6" t="s">
        <v>5079</v>
      </c>
      <c r="C348" s="6" t="s">
        <v>4975</v>
      </c>
      <c r="D348" s="6" t="s">
        <v>5240</v>
      </c>
      <c r="E348" s="6" t="s">
        <v>5882</v>
      </c>
      <c r="F348" s="6" t="s">
        <v>5883</v>
      </c>
      <c r="G348" s="19" t="n">
        <v>51</v>
      </c>
      <c r="H348" s="6" t="s">
        <v>5105</v>
      </c>
      <c r="I348" s="6" t="s">
        <v>13</v>
      </c>
      <c r="J348" s="6" t="s">
        <v>233</v>
      </c>
      <c r="K348" s="6" t="s">
        <v>5884</v>
      </c>
      <c r="M348" s="6"/>
    </row>
    <row r="349" customFormat="false" ht="15" hidden="false" customHeight="false" outlineLevel="0" collapsed="false">
      <c r="A349" s="6" t="s">
        <v>5887</v>
      </c>
      <c r="B349" s="6" t="s">
        <v>5074</v>
      </c>
      <c r="C349" s="6" t="s">
        <v>4975</v>
      </c>
      <c r="D349" s="6" t="s">
        <v>5240</v>
      </c>
      <c r="E349" s="6" t="s">
        <v>5888</v>
      </c>
      <c r="F349" s="6" t="s">
        <v>5889</v>
      </c>
      <c r="G349" s="19" t="n">
        <v>6</v>
      </c>
      <c r="H349" s="6" t="s">
        <v>5105</v>
      </c>
      <c r="I349" s="6" t="s">
        <v>13</v>
      </c>
      <c r="J349" s="6" t="s">
        <v>233</v>
      </c>
      <c r="K349" s="6" t="s">
        <v>5884</v>
      </c>
      <c r="M349" s="6"/>
    </row>
    <row r="350" customFormat="false" ht="15" hidden="false" customHeight="false" outlineLevel="0" collapsed="false">
      <c r="A350" s="6" t="s">
        <v>5890</v>
      </c>
      <c r="B350" s="6" t="s">
        <v>5113</v>
      </c>
      <c r="C350" s="6" t="s">
        <v>4975</v>
      </c>
      <c r="D350" s="6" t="s">
        <v>5240</v>
      </c>
      <c r="E350" s="6" t="s">
        <v>5888</v>
      </c>
      <c r="F350" s="6" t="s">
        <v>5889</v>
      </c>
      <c r="G350" s="19" t="n">
        <v>5</v>
      </c>
      <c r="H350" s="6" t="s">
        <v>5105</v>
      </c>
      <c r="I350" s="6" t="s">
        <v>13</v>
      </c>
      <c r="J350" s="6" t="s">
        <v>233</v>
      </c>
      <c r="K350" s="6" t="s">
        <v>5884</v>
      </c>
      <c r="M350" s="6"/>
    </row>
    <row r="351" customFormat="false" ht="15" hidden="false" customHeight="false" outlineLevel="0" collapsed="false">
      <c r="A351" s="6" t="s">
        <v>5891</v>
      </c>
      <c r="B351" s="6" t="s">
        <v>5079</v>
      </c>
      <c r="C351" s="6" t="s">
        <v>4975</v>
      </c>
      <c r="D351" s="6" t="s">
        <v>5240</v>
      </c>
      <c r="E351" s="6" t="s">
        <v>5888</v>
      </c>
      <c r="F351" s="6" t="s">
        <v>5889</v>
      </c>
      <c r="G351" s="19" t="n">
        <v>2</v>
      </c>
      <c r="H351" s="6" t="s">
        <v>5105</v>
      </c>
      <c r="I351" s="6" t="s">
        <v>13</v>
      </c>
      <c r="J351" s="6" t="s">
        <v>233</v>
      </c>
      <c r="K351" s="6" t="s">
        <v>5884</v>
      </c>
      <c r="M351" s="6"/>
    </row>
    <row r="352" customFormat="false" ht="15" hidden="false" customHeight="false" outlineLevel="0" collapsed="false">
      <c r="A352" s="6" t="s">
        <v>5892</v>
      </c>
      <c r="B352" s="6" t="s">
        <v>5180</v>
      </c>
      <c r="C352" s="6" t="s">
        <v>5050</v>
      </c>
      <c r="D352" s="6" t="s">
        <v>5240</v>
      </c>
      <c r="E352" s="6" t="s">
        <v>5893</v>
      </c>
      <c r="F352" s="6" t="s">
        <v>5187</v>
      </c>
      <c r="G352" s="12" t="n">
        <v>166</v>
      </c>
      <c r="H352" s="6" t="s">
        <v>5051</v>
      </c>
      <c r="I352" s="6" t="s">
        <v>13</v>
      </c>
      <c r="J352" s="6" t="s">
        <v>209</v>
      </c>
      <c r="K352" s="6" t="s">
        <v>5188</v>
      </c>
      <c r="M352" s="6"/>
    </row>
    <row r="353" customFormat="false" ht="15" hidden="false" customHeight="false" outlineLevel="0" collapsed="false">
      <c r="A353" s="6" t="s">
        <v>5894</v>
      </c>
      <c r="B353" s="6" t="s">
        <v>5049</v>
      </c>
      <c r="C353" s="6" t="s">
        <v>5050</v>
      </c>
      <c r="D353" s="6" t="s">
        <v>5240</v>
      </c>
      <c r="E353" s="6" t="s">
        <v>5893</v>
      </c>
      <c r="F353" s="6" t="s">
        <v>5895</v>
      </c>
      <c r="G353" s="12" t="n">
        <v>567</v>
      </c>
      <c r="H353" s="6" t="s">
        <v>5051</v>
      </c>
      <c r="I353" s="6" t="s">
        <v>13</v>
      </c>
      <c r="J353" s="6" t="s">
        <v>209</v>
      </c>
      <c r="K353" s="6" t="s">
        <v>5188</v>
      </c>
      <c r="M353" s="6"/>
    </row>
    <row r="354" customFormat="false" ht="15" hidden="false" customHeight="false" outlineLevel="0" collapsed="false">
      <c r="A354" s="6" t="s">
        <v>5896</v>
      </c>
      <c r="B354" s="6" t="s">
        <v>5062</v>
      </c>
      <c r="C354" s="6" t="s">
        <v>5050</v>
      </c>
      <c r="D354" s="6" t="s">
        <v>5240</v>
      </c>
      <c r="E354" s="6" t="s">
        <v>5897</v>
      </c>
      <c r="F354" s="6" t="s">
        <v>5898</v>
      </c>
      <c r="G354" s="19" t="n">
        <v>20</v>
      </c>
      <c r="H354" s="6" t="s">
        <v>5105</v>
      </c>
      <c r="I354" s="6" t="s">
        <v>13</v>
      </c>
      <c r="J354" s="6" t="s">
        <v>228</v>
      </c>
      <c r="K354" s="6" t="s">
        <v>5286</v>
      </c>
      <c r="M354" s="6"/>
    </row>
    <row r="355" customFormat="false" ht="15" hidden="false" customHeight="false" outlineLevel="0" collapsed="false">
      <c r="A355" s="6" t="s">
        <v>5899</v>
      </c>
      <c r="B355" s="6" t="s">
        <v>5067</v>
      </c>
      <c r="C355" s="6" t="s">
        <v>5050</v>
      </c>
      <c r="D355" s="6" t="s">
        <v>5240</v>
      </c>
      <c r="E355" s="6" t="s">
        <v>5897</v>
      </c>
      <c r="F355" s="6" t="s">
        <v>5900</v>
      </c>
      <c r="G355" s="19" t="n">
        <v>24</v>
      </c>
      <c r="H355" s="6" t="s">
        <v>5105</v>
      </c>
      <c r="I355" s="6" t="s">
        <v>13</v>
      </c>
      <c r="J355" s="6" t="s">
        <v>228</v>
      </c>
      <c r="K355" s="6" t="s">
        <v>5286</v>
      </c>
      <c r="M355" s="6"/>
    </row>
    <row r="356" customFormat="false" ht="15" hidden="false" customHeight="false" outlineLevel="0" collapsed="false">
      <c r="A356" s="6" t="s">
        <v>5901</v>
      </c>
      <c r="B356" s="6" t="s">
        <v>5062</v>
      </c>
      <c r="C356" s="6" t="s">
        <v>5050</v>
      </c>
      <c r="D356" s="6" t="s">
        <v>5240</v>
      </c>
      <c r="E356" s="6" t="s">
        <v>5902</v>
      </c>
      <c r="F356" s="6" t="s">
        <v>5903</v>
      </c>
      <c r="G356" s="19" t="n">
        <v>32</v>
      </c>
      <c r="H356" s="6" t="s">
        <v>5105</v>
      </c>
      <c r="I356" s="6" t="s">
        <v>13</v>
      </c>
      <c r="J356" s="6" t="s">
        <v>228</v>
      </c>
      <c r="K356" s="6" t="s">
        <v>5286</v>
      </c>
      <c r="M356" s="6"/>
    </row>
    <row r="357" customFormat="false" ht="15" hidden="false" customHeight="false" outlineLevel="0" collapsed="false">
      <c r="A357" s="6" t="s">
        <v>5904</v>
      </c>
      <c r="B357" s="6" t="s">
        <v>5067</v>
      </c>
      <c r="C357" s="6" t="s">
        <v>5050</v>
      </c>
      <c r="D357" s="6" t="s">
        <v>5240</v>
      </c>
      <c r="E357" s="6" t="s">
        <v>5902</v>
      </c>
      <c r="F357" s="6" t="s">
        <v>5905</v>
      </c>
      <c r="G357" s="19" t="n">
        <v>36</v>
      </c>
      <c r="H357" s="6" t="s">
        <v>5105</v>
      </c>
      <c r="I357" s="6" t="s">
        <v>13</v>
      </c>
      <c r="J357" s="6" t="s">
        <v>228</v>
      </c>
      <c r="K357" s="6" t="s">
        <v>5286</v>
      </c>
      <c r="M357" s="6"/>
    </row>
    <row r="358" customFormat="false" ht="15" hidden="false" customHeight="false" outlineLevel="0" collapsed="false">
      <c r="A358" s="6" t="s">
        <v>5906</v>
      </c>
      <c r="B358" s="6" t="s">
        <v>5067</v>
      </c>
      <c r="C358" s="6" t="s">
        <v>5050</v>
      </c>
      <c r="D358" s="6" t="s">
        <v>5240</v>
      </c>
      <c r="E358" s="6" t="s">
        <v>4477</v>
      </c>
      <c r="F358" s="6" t="s">
        <v>5907</v>
      </c>
      <c r="G358" s="19" t="n">
        <v>24</v>
      </c>
      <c r="H358" s="6" t="s">
        <v>5105</v>
      </c>
      <c r="I358" s="6" t="s">
        <v>13</v>
      </c>
      <c r="J358" s="6" t="s">
        <v>233</v>
      </c>
      <c r="K358" s="6" t="s">
        <v>5262</v>
      </c>
      <c r="M358" s="6"/>
    </row>
    <row r="359" customFormat="false" ht="15" hidden="false" customHeight="false" outlineLevel="0" collapsed="false">
      <c r="A359" s="6" t="s">
        <v>5908</v>
      </c>
      <c r="B359" s="6" t="s">
        <v>5072</v>
      </c>
      <c r="C359" s="6" t="s">
        <v>5050</v>
      </c>
      <c r="D359" s="6" t="s">
        <v>5240</v>
      </c>
      <c r="E359" s="6" t="s">
        <v>4477</v>
      </c>
      <c r="F359" s="6" t="s">
        <v>5907</v>
      </c>
      <c r="G359" s="19" t="n">
        <v>28</v>
      </c>
      <c r="H359" s="6" t="s">
        <v>5105</v>
      </c>
      <c r="I359" s="6" t="s">
        <v>13</v>
      </c>
      <c r="J359" s="6" t="s">
        <v>233</v>
      </c>
      <c r="K359" s="6" t="s">
        <v>5262</v>
      </c>
      <c r="M359" s="6"/>
    </row>
    <row r="360" customFormat="false" ht="15" hidden="false" customHeight="false" outlineLevel="0" collapsed="false">
      <c r="A360" s="6" t="s">
        <v>5909</v>
      </c>
      <c r="B360" s="6" t="s">
        <v>5067</v>
      </c>
      <c r="C360" s="6" t="s">
        <v>5050</v>
      </c>
      <c r="D360" s="6" t="s">
        <v>5240</v>
      </c>
      <c r="E360" s="6" t="s">
        <v>4494</v>
      </c>
      <c r="F360" s="6" t="s">
        <v>5910</v>
      </c>
      <c r="G360" s="19" t="n">
        <v>36</v>
      </c>
      <c r="H360" s="6" t="s">
        <v>5105</v>
      </c>
      <c r="I360" s="6" t="s">
        <v>13</v>
      </c>
      <c r="J360" s="6" t="s">
        <v>233</v>
      </c>
      <c r="K360" s="6" t="s">
        <v>5262</v>
      </c>
      <c r="M360" s="6"/>
    </row>
    <row r="361" customFormat="false" ht="15" hidden="false" customHeight="false" outlineLevel="0" collapsed="false">
      <c r="A361" s="6" t="s">
        <v>5911</v>
      </c>
      <c r="B361" s="6" t="s">
        <v>5072</v>
      </c>
      <c r="C361" s="6" t="s">
        <v>5050</v>
      </c>
      <c r="D361" s="6" t="s">
        <v>5240</v>
      </c>
      <c r="E361" s="6" t="s">
        <v>4494</v>
      </c>
      <c r="F361" s="6" t="s">
        <v>5910</v>
      </c>
      <c r="G361" s="19" t="n">
        <v>41</v>
      </c>
      <c r="H361" s="6" t="s">
        <v>5105</v>
      </c>
      <c r="I361" s="6" t="s">
        <v>13</v>
      </c>
      <c r="J361" s="6" t="s">
        <v>233</v>
      </c>
      <c r="K361" s="6" t="s">
        <v>5262</v>
      </c>
      <c r="M361" s="6"/>
    </row>
    <row r="362" customFormat="false" ht="15" hidden="false" customHeight="false" outlineLevel="0" collapsed="false">
      <c r="A362" s="6" t="s">
        <v>5912</v>
      </c>
      <c r="B362" s="6" t="s">
        <v>5067</v>
      </c>
      <c r="C362" s="6" t="s">
        <v>5050</v>
      </c>
      <c r="D362" s="6" t="s">
        <v>5240</v>
      </c>
      <c r="E362" s="6" t="s">
        <v>4522</v>
      </c>
      <c r="F362" s="6" t="s">
        <v>5913</v>
      </c>
      <c r="G362" s="19" t="n">
        <v>4</v>
      </c>
      <c r="H362" s="6" t="s">
        <v>5105</v>
      </c>
      <c r="I362" s="6" t="s">
        <v>13</v>
      </c>
      <c r="J362" s="6" t="s">
        <v>233</v>
      </c>
      <c r="K362" s="6" t="s">
        <v>5262</v>
      </c>
      <c r="M362" s="6"/>
    </row>
    <row r="363" customFormat="false" ht="15" hidden="false" customHeight="false" outlineLevel="0" collapsed="false">
      <c r="A363" s="6" t="s">
        <v>5914</v>
      </c>
      <c r="B363" s="6" t="s">
        <v>5072</v>
      </c>
      <c r="C363" s="6" t="s">
        <v>5050</v>
      </c>
      <c r="D363" s="6" t="s">
        <v>5240</v>
      </c>
      <c r="E363" s="6" t="s">
        <v>4522</v>
      </c>
      <c r="F363" s="6" t="s">
        <v>5913</v>
      </c>
      <c r="G363" s="19" t="n">
        <v>6</v>
      </c>
      <c r="H363" s="6" t="s">
        <v>5105</v>
      </c>
      <c r="I363" s="6" t="s">
        <v>13</v>
      </c>
      <c r="J363" s="6" t="s">
        <v>233</v>
      </c>
      <c r="K363" s="6" t="s">
        <v>5262</v>
      </c>
      <c r="M363" s="6"/>
    </row>
    <row r="364" customFormat="false" ht="15" hidden="false" customHeight="false" outlineLevel="0" collapsed="false">
      <c r="A364" s="6" t="s">
        <v>5915</v>
      </c>
      <c r="B364" s="6" t="s">
        <v>5062</v>
      </c>
      <c r="C364" s="6" t="s">
        <v>5050</v>
      </c>
      <c r="D364" s="6" t="s">
        <v>5240</v>
      </c>
      <c r="E364" s="6" t="s">
        <v>4540</v>
      </c>
      <c r="F364" s="6" t="s">
        <v>5916</v>
      </c>
      <c r="G364" s="19" t="n">
        <v>78</v>
      </c>
      <c r="H364" s="6" t="s">
        <v>5105</v>
      </c>
      <c r="I364" s="6" t="s">
        <v>13</v>
      </c>
      <c r="J364" s="6" t="s">
        <v>228</v>
      </c>
      <c r="K364" s="6" t="s">
        <v>5286</v>
      </c>
      <c r="M364" s="6"/>
    </row>
    <row r="365" customFormat="false" ht="15" hidden="false" customHeight="false" outlineLevel="0" collapsed="false">
      <c r="A365" s="6" t="s">
        <v>5917</v>
      </c>
      <c r="B365" s="6" t="s">
        <v>5067</v>
      </c>
      <c r="C365" s="6" t="s">
        <v>5050</v>
      </c>
      <c r="D365" s="6" t="s">
        <v>5240</v>
      </c>
      <c r="E365" s="6" t="s">
        <v>4540</v>
      </c>
      <c r="F365" s="6" t="s">
        <v>5918</v>
      </c>
      <c r="G365" s="19" t="n">
        <v>79</v>
      </c>
      <c r="H365" s="6" t="s">
        <v>5105</v>
      </c>
      <c r="I365" s="6" t="s">
        <v>13</v>
      </c>
      <c r="J365" s="6" t="s">
        <v>228</v>
      </c>
      <c r="K365" s="6" t="s">
        <v>5286</v>
      </c>
      <c r="M365" s="6"/>
    </row>
    <row r="366" customFormat="false" ht="15" hidden="false" customHeight="false" outlineLevel="0" collapsed="false">
      <c r="A366" s="6" t="s">
        <v>5919</v>
      </c>
      <c r="B366" s="6" t="s">
        <v>5239</v>
      </c>
      <c r="C366" s="6" t="s">
        <v>5050</v>
      </c>
      <c r="D366" s="6" t="s">
        <v>5240</v>
      </c>
      <c r="E366" s="6" t="s">
        <v>5920</v>
      </c>
      <c r="F366" s="6" t="s">
        <v>5921</v>
      </c>
      <c r="G366" s="19" t="n">
        <v>21</v>
      </c>
      <c r="H366" s="6" t="s">
        <v>5105</v>
      </c>
      <c r="I366" s="6" t="s">
        <v>13</v>
      </c>
      <c r="J366" s="6" t="s">
        <v>257</v>
      </c>
      <c r="K366" s="6" t="s">
        <v>5247</v>
      </c>
      <c r="M366" s="6"/>
    </row>
    <row r="367" customFormat="false" ht="15" hidden="false" customHeight="false" outlineLevel="0" collapsed="false">
      <c r="A367" s="6" t="s">
        <v>5922</v>
      </c>
      <c r="B367" s="6" t="s">
        <v>5245</v>
      </c>
      <c r="C367" s="6" t="s">
        <v>5050</v>
      </c>
      <c r="D367" s="6" t="s">
        <v>5240</v>
      </c>
      <c r="E367" s="6" t="s">
        <v>5920</v>
      </c>
      <c r="F367" s="6" t="s">
        <v>5923</v>
      </c>
      <c r="G367" s="19" t="n">
        <v>26</v>
      </c>
      <c r="H367" s="6" t="s">
        <v>5105</v>
      </c>
      <c r="I367" s="6" t="s">
        <v>13</v>
      </c>
      <c r="J367" s="6" t="s">
        <v>257</v>
      </c>
      <c r="K367" s="6" t="s">
        <v>5247</v>
      </c>
      <c r="M367" s="6"/>
    </row>
    <row r="368" customFormat="false" ht="15" hidden="false" customHeight="false" outlineLevel="0" collapsed="false">
      <c r="A368" s="6" t="s">
        <v>5924</v>
      </c>
      <c r="B368" s="6" t="s">
        <v>5245</v>
      </c>
      <c r="C368" s="6" t="s">
        <v>5050</v>
      </c>
      <c r="D368" s="6" t="s">
        <v>5240</v>
      </c>
      <c r="E368" s="6" t="s">
        <v>5920</v>
      </c>
      <c r="F368" s="6" t="s">
        <v>5925</v>
      </c>
      <c r="G368" s="19" t="n">
        <v>26</v>
      </c>
      <c r="H368" s="6" t="s">
        <v>5105</v>
      </c>
      <c r="I368" s="6" t="s">
        <v>13</v>
      </c>
      <c r="J368" s="6" t="s">
        <v>265</v>
      </c>
      <c r="K368" s="6" t="s">
        <v>5251</v>
      </c>
      <c r="M368" s="6"/>
    </row>
    <row r="369" customFormat="false" ht="15" hidden="false" customHeight="false" outlineLevel="0" collapsed="false">
      <c r="A369" s="6" t="s">
        <v>5926</v>
      </c>
      <c r="B369" s="6" t="s">
        <v>5249</v>
      </c>
      <c r="C369" s="6" t="s">
        <v>5050</v>
      </c>
      <c r="D369" s="6" t="s">
        <v>5240</v>
      </c>
      <c r="E369" s="6" t="s">
        <v>5920</v>
      </c>
      <c r="F369" s="6" t="s">
        <v>5927</v>
      </c>
      <c r="G369" s="19" t="n">
        <v>30</v>
      </c>
      <c r="H369" s="6" t="s">
        <v>5105</v>
      </c>
      <c r="I369" s="6" t="s">
        <v>13</v>
      </c>
      <c r="J369" s="6" t="s">
        <v>265</v>
      </c>
      <c r="K369" s="6" t="s">
        <v>5251</v>
      </c>
      <c r="M369" s="6"/>
    </row>
    <row r="370" customFormat="false" ht="15" hidden="false" customHeight="false" outlineLevel="0" collapsed="false">
      <c r="A370" s="6" t="s">
        <v>5928</v>
      </c>
      <c r="B370" s="6" t="s">
        <v>5245</v>
      </c>
      <c r="C370" s="6" t="s">
        <v>5050</v>
      </c>
      <c r="D370" s="6" t="s">
        <v>5240</v>
      </c>
      <c r="E370" s="6" t="s">
        <v>5929</v>
      </c>
      <c r="F370" s="6" t="s">
        <v>5930</v>
      </c>
      <c r="G370" s="19" t="n">
        <v>5</v>
      </c>
      <c r="H370" s="6" t="s">
        <v>5105</v>
      </c>
      <c r="I370" s="6" t="s">
        <v>13</v>
      </c>
      <c r="J370" s="6" t="s">
        <v>265</v>
      </c>
      <c r="K370" s="6" t="s">
        <v>5251</v>
      </c>
      <c r="M370" s="6"/>
    </row>
    <row r="371" customFormat="false" ht="15" hidden="false" customHeight="false" outlineLevel="0" collapsed="false">
      <c r="A371" s="6" t="s">
        <v>5931</v>
      </c>
      <c r="B371" s="6" t="s">
        <v>5249</v>
      </c>
      <c r="C371" s="6" t="s">
        <v>5050</v>
      </c>
      <c r="D371" s="6" t="s">
        <v>5240</v>
      </c>
      <c r="E371" s="6" t="s">
        <v>5929</v>
      </c>
      <c r="F371" s="6" t="s">
        <v>5932</v>
      </c>
      <c r="G371" s="19" t="n">
        <v>7</v>
      </c>
      <c r="H371" s="6" t="s">
        <v>5105</v>
      </c>
      <c r="I371" s="6" t="s">
        <v>13</v>
      </c>
      <c r="J371" s="6" t="s">
        <v>265</v>
      </c>
      <c r="K371" s="6" t="s">
        <v>5251</v>
      </c>
      <c r="M371" s="6"/>
    </row>
    <row r="372" customFormat="false" ht="15" hidden="false" customHeight="false" outlineLevel="0" collapsed="false">
      <c r="A372" s="6" t="s">
        <v>5933</v>
      </c>
      <c r="B372" s="6" t="s">
        <v>5381</v>
      </c>
      <c r="C372" s="6" t="s">
        <v>5050</v>
      </c>
      <c r="D372" s="6" t="s">
        <v>5240</v>
      </c>
      <c r="E372" s="6" t="s">
        <v>5934</v>
      </c>
      <c r="F372" s="6" t="s">
        <v>5935</v>
      </c>
      <c r="G372" s="19" t="n">
        <v>77</v>
      </c>
      <c r="H372" s="6" t="s">
        <v>5105</v>
      </c>
      <c r="I372" s="6" t="s">
        <v>13</v>
      </c>
      <c r="J372" s="6" t="s">
        <v>246</v>
      </c>
      <c r="K372" s="6" t="s">
        <v>5936</v>
      </c>
      <c r="M372" s="6"/>
    </row>
    <row r="373" customFormat="false" ht="15" hidden="false" customHeight="false" outlineLevel="0" collapsed="false">
      <c r="A373" s="6" t="s">
        <v>5937</v>
      </c>
      <c r="B373" s="6" t="s">
        <v>5239</v>
      </c>
      <c r="C373" s="6" t="s">
        <v>5050</v>
      </c>
      <c r="D373" s="6" t="s">
        <v>5240</v>
      </c>
      <c r="E373" s="6" t="s">
        <v>5934</v>
      </c>
      <c r="F373" s="6" t="s">
        <v>5935</v>
      </c>
      <c r="G373" s="19" t="n">
        <v>78</v>
      </c>
      <c r="H373" s="6" t="s">
        <v>5105</v>
      </c>
      <c r="I373" s="6" t="s">
        <v>13</v>
      </c>
      <c r="J373" s="6" t="s">
        <v>246</v>
      </c>
      <c r="K373" s="6" t="s">
        <v>5936</v>
      </c>
      <c r="M373" s="6"/>
    </row>
    <row r="374" customFormat="false" ht="15" hidden="false" customHeight="false" outlineLevel="0" collapsed="false">
      <c r="A374" s="6" t="s">
        <v>5938</v>
      </c>
      <c r="B374" s="6" t="s">
        <v>5239</v>
      </c>
      <c r="C374" s="6" t="s">
        <v>5050</v>
      </c>
      <c r="D374" s="6" t="s">
        <v>5240</v>
      </c>
      <c r="E374" s="6" t="s">
        <v>5934</v>
      </c>
      <c r="F374" s="6" t="s">
        <v>5939</v>
      </c>
      <c r="G374" s="19" t="n">
        <v>78</v>
      </c>
      <c r="H374" s="6" t="s">
        <v>5105</v>
      </c>
      <c r="I374" s="6" t="s">
        <v>13</v>
      </c>
      <c r="J374" s="6" t="s">
        <v>257</v>
      </c>
      <c r="K374" s="6" t="s">
        <v>5258</v>
      </c>
      <c r="M374" s="6"/>
    </row>
    <row r="375" customFormat="false" ht="15" hidden="false" customHeight="false" outlineLevel="0" collapsed="false">
      <c r="A375" s="6" t="s">
        <v>5940</v>
      </c>
      <c r="B375" s="6" t="s">
        <v>5245</v>
      </c>
      <c r="C375" s="6" t="s">
        <v>5050</v>
      </c>
      <c r="D375" s="6" t="s">
        <v>5240</v>
      </c>
      <c r="E375" s="6" t="s">
        <v>5934</v>
      </c>
      <c r="F375" s="6" t="s">
        <v>5941</v>
      </c>
      <c r="G375" s="19" t="n">
        <v>80</v>
      </c>
      <c r="H375" s="6" t="s">
        <v>5105</v>
      </c>
      <c r="I375" s="6" t="s">
        <v>13</v>
      </c>
      <c r="J375" s="6" t="s">
        <v>257</v>
      </c>
      <c r="K375" s="6" t="s">
        <v>5258</v>
      </c>
      <c r="M375" s="6"/>
    </row>
    <row r="376" customFormat="false" ht="15" hidden="false" customHeight="false" outlineLevel="0" collapsed="false">
      <c r="A376" s="6" t="s">
        <v>5942</v>
      </c>
      <c r="B376" s="6" t="s">
        <v>5180</v>
      </c>
      <c r="C376" s="6" t="s">
        <v>5050</v>
      </c>
      <c r="D376" s="6" t="s">
        <v>5240</v>
      </c>
      <c r="E376" s="6" t="s">
        <v>5943</v>
      </c>
      <c r="F376" s="6" t="s">
        <v>5944</v>
      </c>
      <c r="G376" s="19" t="n">
        <v>53</v>
      </c>
      <c r="H376" s="6" t="s">
        <v>5105</v>
      </c>
      <c r="I376" s="6" t="s">
        <v>13</v>
      </c>
      <c r="J376" s="6" t="s">
        <v>209</v>
      </c>
      <c r="K376" s="6" t="s">
        <v>5945</v>
      </c>
      <c r="M376" s="6"/>
    </row>
    <row r="377" customFormat="false" ht="15" hidden="false" customHeight="false" outlineLevel="0" collapsed="false">
      <c r="A377" s="6" t="s">
        <v>5946</v>
      </c>
      <c r="B377" s="6" t="s">
        <v>5468</v>
      </c>
      <c r="C377" s="6" t="s">
        <v>5050</v>
      </c>
      <c r="D377" s="6" t="s">
        <v>5240</v>
      </c>
      <c r="E377" s="6" t="s">
        <v>5943</v>
      </c>
      <c r="F377" s="6" t="s">
        <v>5944</v>
      </c>
      <c r="G377" s="19" t="n">
        <v>63</v>
      </c>
      <c r="H377" s="6" t="s">
        <v>5105</v>
      </c>
      <c r="I377" s="6" t="s">
        <v>13</v>
      </c>
      <c r="J377" s="6" t="s">
        <v>209</v>
      </c>
      <c r="K377" s="6" t="s">
        <v>5945</v>
      </c>
      <c r="M377" s="6"/>
    </row>
    <row r="378" customFormat="false" ht="15" hidden="false" customHeight="false" outlineLevel="0" collapsed="false">
      <c r="A378" s="6" t="s">
        <v>5947</v>
      </c>
      <c r="B378" s="6" t="s">
        <v>5468</v>
      </c>
      <c r="C378" s="6" t="s">
        <v>5050</v>
      </c>
      <c r="D378" s="6" t="s">
        <v>5240</v>
      </c>
      <c r="E378" s="6" t="s">
        <v>5943</v>
      </c>
      <c r="F378" s="6" t="s">
        <v>5948</v>
      </c>
      <c r="G378" s="19" t="n">
        <v>63</v>
      </c>
      <c r="H378" s="6" t="s">
        <v>5105</v>
      </c>
      <c r="I378" s="6" t="s">
        <v>13</v>
      </c>
      <c r="J378" s="6" t="s">
        <v>218</v>
      </c>
      <c r="K378" s="6" t="s">
        <v>5949</v>
      </c>
      <c r="M378" s="6"/>
    </row>
    <row r="379" customFormat="false" ht="15" hidden="false" customHeight="false" outlineLevel="0" collapsed="false">
      <c r="A379" s="6" t="s">
        <v>5950</v>
      </c>
      <c r="B379" s="6" t="s">
        <v>5049</v>
      </c>
      <c r="C379" s="6" t="s">
        <v>5050</v>
      </c>
      <c r="D379" s="6" t="s">
        <v>5240</v>
      </c>
      <c r="E379" s="6" t="s">
        <v>5943</v>
      </c>
      <c r="F379" s="6" t="s">
        <v>5944</v>
      </c>
      <c r="G379" s="19" t="n">
        <v>72</v>
      </c>
      <c r="H379" s="6" t="s">
        <v>5105</v>
      </c>
      <c r="I379" s="6" t="s">
        <v>13</v>
      </c>
      <c r="J379" s="6" t="s">
        <v>209</v>
      </c>
      <c r="K379" s="6" t="s">
        <v>5945</v>
      </c>
      <c r="M379" s="6"/>
    </row>
    <row r="380" customFormat="false" ht="15" hidden="false" customHeight="false" outlineLevel="0" collapsed="false">
      <c r="A380" s="6" t="s">
        <v>5951</v>
      </c>
      <c r="B380" s="6" t="s">
        <v>5049</v>
      </c>
      <c r="C380" s="6" t="s">
        <v>5050</v>
      </c>
      <c r="D380" s="6" t="s">
        <v>5240</v>
      </c>
      <c r="E380" s="6" t="s">
        <v>5943</v>
      </c>
      <c r="F380" s="6" t="s">
        <v>5948</v>
      </c>
      <c r="G380" s="19" t="n">
        <v>72</v>
      </c>
      <c r="H380" s="6" t="s">
        <v>5105</v>
      </c>
      <c r="I380" s="6" t="s">
        <v>13</v>
      </c>
      <c r="J380" s="6" t="s">
        <v>218</v>
      </c>
      <c r="K380" s="6" t="s">
        <v>5949</v>
      </c>
      <c r="M380" s="6"/>
    </row>
    <row r="381" customFormat="false" ht="15" hidden="false" customHeight="false" outlineLevel="0" collapsed="false">
      <c r="A381" s="6" t="s">
        <v>5952</v>
      </c>
      <c r="B381" s="6" t="s">
        <v>5049</v>
      </c>
      <c r="C381" s="6" t="s">
        <v>5050</v>
      </c>
      <c r="D381" s="6" t="s">
        <v>5240</v>
      </c>
      <c r="E381" s="6" t="s">
        <v>5943</v>
      </c>
      <c r="F381" s="6" t="s">
        <v>5953</v>
      </c>
      <c r="G381" s="19" t="n">
        <v>72</v>
      </c>
      <c r="H381" s="6" t="s">
        <v>5105</v>
      </c>
      <c r="I381" s="6" t="s">
        <v>13</v>
      </c>
      <c r="J381" s="6" t="s">
        <v>223</v>
      </c>
      <c r="K381" s="6" t="s">
        <v>5954</v>
      </c>
      <c r="M381" s="6"/>
    </row>
    <row r="382" customFormat="false" ht="15" hidden="false" customHeight="false" outlineLevel="0" collapsed="false">
      <c r="A382" s="6" t="s">
        <v>5955</v>
      </c>
      <c r="B382" s="6" t="s">
        <v>5057</v>
      </c>
      <c r="C382" s="6" t="s">
        <v>5050</v>
      </c>
      <c r="D382" s="6" t="s">
        <v>5240</v>
      </c>
      <c r="E382" s="6" t="s">
        <v>5943</v>
      </c>
      <c r="F382" s="6" t="s">
        <v>5948</v>
      </c>
      <c r="G382" s="19" t="n">
        <v>76</v>
      </c>
      <c r="H382" s="6" t="s">
        <v>5105</v>
      </c>
      <c r="I382" s="6" t="s">
        <v>13</v>
      </c>
      <c r="J382" s="6" t="s">
        <v>218</v>
      </c>
      <c r="K382" s="6" t="s">
        <v>5949</v>
      </c>
      <c r="M382" s="6"/>
    </row>
    <row r="383" customFormat="false" ht="15" hidden="false" customHeight="false" outlineLevel="0" collapsed="false">
      <c r="A383" s="6" t="s">
        <v>5956</v>
      </c>
      <c r="B383" s="6" t="s">
        <v>5057</v>
      </c>
      <c r="C383" s="6" t="s">
        <v>5050</v>
      </c>
      <c r="D383" s="6" t="s">
        <v>5240</v>
      </c>
      <c r="E383" s="6" t="s">
        <v>5943</v>
      </c>
      <c r="F383" s="6" t="s">
        <v>5953</v>
      </c>
      <c r="G383" s="19" t="n">
        <v>76</v>
      </c>
      <c r="H383" s="6" t="s">
        <v>5105</v>
      </c>
      <c r="I383" s="6" t="s">
        <v>13</v>
      </c>
      <c r="J383" s="6" t="s">
        <v>223</v>
      </c>
      <c r="K383" s="6" t="s">
        <v>5954</v>
      </c>
      <c r="M383" s="6"/>
    </row>
    <row r="384" customFormat="false" ht="15" hidden="false" customHeight="false" outlineLevel="0" collapsed="false">
      <c r="A384" s="6" t="s">
        <v>5957</v>
      </c>
      <c r="B384" s="6" t="s">
        <v>5062</v>
      </c>
      <c r="C384" s="6" t="s">
        <v>5050</v>
      </c>
      <c r="D384" s="6" t="s">
        <v>5240</v>
      </c>
      <c r="E384" s="6" t="s">
        <v>5943</v>
      </c>
      <c r="F384" s="6" t="s">
        <v>5953</v>
      </c>
      <c r="G384" s="19" t="n">
        <v>78</v>
      </c>
      <c r="H384" s="6" t="s">
        <v>5105</v>
      </c>
      <c r="I384" s="6" t="s">
        <v>13</v>
      </c>
      <c r="J384" s="6" t="s">
        <v>223</v>
      </c>
      <c r="K384" s="6" t="s">
        <v>5954</v>
      </c>
      <c r="M384" s="6"/>
    </row>
    <row r="385" customFormat="false" ht="15" hidden="false" customHeight="false" outlineLevel="0" collapsed="false">
      <c r="A385" s="6" t="s">
        <v>5958</v>
      </c>
      <c r="B385" s="6" t="s">
        <v>5239</v>
      </c>
      <c r="C385" s="6" t="s">
        <v>5050</v>
      </c>
      <c r="D385" s="6" t="s">
        <v>5240</v>
      </c>
      <c r="E385" s="6" t="s">
        <v>5959</v>
      </c>
      <c r="F385" s="6" t="s">
        <v>5960</v>
      </c>
      <c r="G385" s="19" t="n">
        <v>33</v>
      </c>
      <c r="H385" s="6" t="s">
        <v>5105</v>
      </c>
      <c r="I385" s="6" t="s">
        <v>13</v>
      </c>
      <c r="J385" s="6" t="s">
        <v>257</v>
      </c>
      <c r="K385" s="6" t="s">
        <v>5247</v>
      </c>
      <c r="M385" s="6"/>
    </row>
    <row r="386" customFormat="false" ht="15" hidden="false" customHeight="false" outlineLevel="0" collapsed="false">
      <c r="A386" s="6" t="s">
        <v>5961</v>
      </c>
      <c r="B386" s="6" t="s">
        <v>5245</v>
      </c>
      <c r="C386" s="6" t="s">
        <v>5050</v>
      </c>
      <c r="D386" s="6" t="s">
        <v>5240</v>
      </c>
      <c r="E386" s="6" t="s">
        <v>5959</v>
      </c>
      <c r="F386" s="6" t="s">
        <v>5962</v>
      </c>
      <c r="G386" s="19" t="n">
        <v>38</v>
      </c>
      <c r="H386" s="6" t="s">
        <v>5105</v>
      </c>
      <c r="I386" s="6" t="s">
        <v>13</v>
      </c>
      <c r="J386" s="6" t="s">
        <v>257</v>
      </c>
      <c r="K386" s="6" t="s">
        <v>5247</v>
      </c>
      <c r="M386" s="6"/>
    </row>
    <row r="387" customFormat="false" ht="15" hidden="false" customHeight="false" outlineLevel="0" collapsed="false">
      <c r="A387" s="6" t="s">
        <v>5963</v>
      </c>
      <c r="B387" s="6" t="s">
        <v>5245</v>
      </c>
      <c r="C387" s="6" t="s">
        <v>5050</v>
      </c>
      <c r="D387" s="6" t="s">
        <v>5240</v>
      </c>
      <c r="E387" s="6" t="s">
        <v>5959</v>
      </c>
      <c r="F387" s="6" t="s">
        <v>5964</v>
      </c>
      <c r="G387" s="19" t="n">
        <v>38</v>
      </c>
      <c r="H387" s="6" t="s">
        <v>5105</v>
      </c>
      <c r="I387" s="6" t="s">
        <v>13</v>
      </c>
      <c r="J387" s="6" t="s">
        <v>265</v>
      </c>
      <c r="K387" s="6" t="s">
        <v>5251</v>
      </c>
      <c r="M387" s="6"/>
    </row>
    <row r="388" customFormat="false" ht="15" hidden="false" customHeight="false" outlineLevel="0" collapsed="false">
      <c r="A388" s="6" t="s">
        <v>5965</v>
      </c>
      <c r="B388" s="6" t="s">
        <v>5403</v>
      </c>
      <c r="C388" s="6" t="s">
        <v>5050</v>
      </c>
      <c r="D388" s="6" t="s">
        <v>5240</v>
      </c>
      <c r="E388" s="6" t="s">
        <v>5959</v>
      </c>
      <c r="F388" s="6" t="s">
        <v>5966</v>
      </c>
      <c r="G388" s="19" t="n">
        <v>42</v>
      </c>
      <c r="H388" s="6" t="s">
        <v>5105</v>
      </c>
      <c r="I388" s="6" t="s">
        <v>13</v>
      </c>
      <c r="J388" s="6" t="s">
        <v>310</v>
      </c>
      <c r="K388" s="6" t="s">
        <v>5411</v>
      </c>
      <c r="M388" s="6" t="s">
        <v>5967</v>
      </c>
    </row>
    <row r="389" customFormat="false" ht="15" hidden="false" customHeight="false" outlineLevel="0" collapsed="false">
      <c r="A389" s="6" t="s">
        <v>5968</v>
      </c>
      <c r="B389" s="6" t="s">
        <v>5249</v>
      </c>
      <c r="C389" s="6" t="s">
        <v>5050</v>
      </c>
      <c r="D389" s="6" t="s">
        <v>5240</v>
      </c>
      <c r="E389" s="6" t="s">
        <v>5959</v>
      </c>
      <c r="F389" s="6" t="s">
        <v>5969</v>
      </c>
      <c r="G389" s="19" t="n">
        <v>43</v>
      </c>
      <c r="H389" s="6" t="s">
        <v>5105</v>
      </c>
      <c r="I389" s="6" t="s">
        <v>13</v>
      </c>
      <c r="J389" s="6" t="s">
        <v>265</v>
      </c>
      <c r="K389" s="6" t="s">
        <v>5251</v>
      </c>
      <c r="M389" s="6"/>
    </row>
    <row r="390" customFormat="false" ht="15" hidden="false" customHeight="false" outlineLevel="0" collapsed="false">
      <c r="A390" s="6" t="s">
        <v>5970</v>
      </c>
      <c r="B390" s="6" t="s">
        <v>5057</v>
      </c>
      <c r="C390" s="6" t="s">
        <v>5050</v>
      </c>
      <c r="D390" s="6" t="s">
        <v>5240</v>
      </c>
      <c r="E390" s="6" t="s">
        <v>5971</v>
      </c>
      <c r="F390" s="6" t="s">
        <v>5972</v>
      </c>
      <c r="G390" s="19" t="n">
        <v>70</v>
      </c>
      <c r="H390" s="6" t="s">
        <v>5105</v>
      </c>
      <c r="I390" s="6" t="s">
        <v>13</v>
      </c>
      <c r="J390" s="6" t="s">
        <v>218</v>
      </c>
      <c r="K390" s="6" t="s">
        <v>5371</v>
      </c>
      <c r="M390" s="6" t="s">
        <v>5973</v>
      </c>
    </row>
    <row r="391" customFormat="false" ht="15" hidden="false" customHeight="false" outlineLevel="0" collapsed="false">
      <c r="A391" s="6" t="s">
        <v>5974</v>
      </c>
      <c r="B391" s="6" t="s">
        <v>5072</v>
      </c>
      <c r="C391" s="6" t="s">
        <v>5050</v>
      </c>
      <c r="D391" s="6" t="s">
        <v>5240</v>
      </c>
      <c r="E391" s="6" t="s">
        <v>5975</v>
      </c>
      <c r="F391" s="6" t="s">
        <v>5976</v>
      </c>
      <c r="G391" s="19" t="n">
        <v>29</v>
      </c>
      <c r="H391" s="6" t="s">
        <v>5105</v>
      </c>
      <c r="I391" s="6" t="s">
        <v>13</v>
      </c>
      <c r="J391" s="6" t="s">
        <v>233</v>
      </c>
      <c r="K391" s="6" t="s">
        <v>5262</v>
      </c>
      <c r="M391" s="6"/>
    </row>
    <row r="392" customFormat="false" ht="15" hidden="false" customHeight="false" outlineLevel="0" collapsed="false">
      <c r="A392" s="6" t="s">
        <v>5977</v>
      </c>
      <c r="B392" s="6" t="s">
        <v>5072</v>
      </c>
      <c r="C392" s="6" t="s">
        <v>5050</v>
      </c>
      <c r="D392" s="6" t="s">
        <v>5240</v>
      </c>
      <c r="E392" s="6" t="s">
        <v>5978</v>
      </c>
      <c r="F392" s="6" t="s">
        <v>5976</v>
      </c>
      <c r="G392" s="19" t="n">
        <v>6</v>
      </c>
      <c r="H392" s="6" t="s">
        <v>5105</v>
      </c>
      <c r="I392" s="6" t="s">
        <v>13</v>
      </c>
      <c r="J392" s="6" t="s">
        <v>233</v>
      </c>
      <c r="K392" s="6" t="s">
        <v>5262</v>
      </c>
      <c r="M392" s="6"/>
    </row>
    <row r="393" customFormat="false" ht="15" hidden="false" customHeight="false" outlineLevel="0" collapsed="false">
      <c r="A393" s="6" t="s">
        <v>5979</v>
      </c>
      <c r="B393" s="6" t="s">
        <v>5203</v>
      </c>
      <c r="C393" s="6" t="s">
        <v>4975</v>
      </c>
      <c r="D393" s="6" t="s">
        <v>5240</v>
      </c>
      <c r="E393" s="6" t="s">
        <v>5980</v>
      </c>
      <c r="F393" s="6" t="s">
        <v>5981</v>
      </c>
      <c r="G393" s="19" t="n">
        <v>10</v>
      </c>
      <c r="H393" s="6" t="s">
        <v>5105</v>
      </c>
      <c r="I393" s="6" t="s">
        <v>13</v>
      </c>
      <c r="J393" s="6" t="s">
        <v>209</v>
      </c>
      <c r="K393" s="6" t="s">
        <v>5188</v>
      </c>
      <c r="M393" s="6" t="s">
        <v>5982</v>
      </c>
    </row>
    <row r="394" customFormat="false" ht="15" hidden="false" customHeight="false" outlineLevel="0" collapsed="false">
      <c r="A394" s="6" t="s">
        <v>5983</v>
      </c>
      <c r="B394" s="6" t="s">
        <v>5102</v>
      </c>
      <c r="C394" s="6" t="s">
        <v>4975</v>
      </c>
      <c r="D394" s="6" t="s">
        <v>5240</v>
      </c>
      <c r="E394" s="6" t="s">
        <v>5980</v>
      </c>
      <c r="F394" s="6" t="s">
        <v>5984</v>
      </c>
      <c r="G394" s="19" t="n">
        <v>10</v>
      </c>
      <c r="H394" s="6" t="s">
        <v>5105</v>
      </c>
      <c r="I394" s="6" t="s">
        <v>13</v>
      </c>
      <c r="J394" s="6" t="s">
        <v>209</v>
      </c>
      <c r="K394" s="6" t="s">
        <v>5188</v>
      </c>
      <c r="M394" s="6" t="s">
        <v>5985</v>
      </c>
    </row>
    <row r="395" customFormat="false" ht="15" hidden="false" customHeight="false" outlineLevel="0" collapsed="false">
      <c r="A395" s="6" t="s">
        <v>5986</v>
      </c>
      <c r="B395" s="6" t="s">
        <v>5102</v>
      </c>
      <c r="C395" s="6" t="s">
        <v>4975</v>
      </c>
      <c r="D395" s="6" t="s">
        <v>5240</v>
      </c>
      <c r="E395" s="6" t="s">
        <v>5980</v>
      </c>
      <c r="F395" s="6" t="s">
        <v>5555</v>
      </c>
      <c r="G395" s="19" t="n">
        <v>10</v>
      </c>
      <c r="H395" s="6" t="s">
        <v>5105</v>
      </c>
      <c r="I395" s="6" t="s">
        <v>13</v>
      </c>
      <c r="J395" s="6" t="s">
        <v>218</v>
      </c>
      <c r="K395" s="6" t="s">
        <v>5183</v>
      </c>
      <c r="M395" s="6" t="s">
        <v>5982</v>
      </c>
    </row>
    <row r="396" customFormat="false" ht="15" hidden="false" customHeight="false" outlineLevel="0" collapsed="false">
      <c r="A396" s="6" t="s">
        <v>5987</v>
      </c>
      <c r="B396" s="6" t="s">
        <v>5097</v>
      </c>
      <c r="C396" s="6" t="s">
        <v>4975</v>
      </c>
      <c r="D396" s="6" t="s">
        <v>5240</v>
      </c>
      <c r="E396" s="6" t="s">
        <v>5980</v>
      </c>
      <c r="F396" s="6" t="s">
        <v>5555</v>
      </c>
      <c r="G396" s="19" t="n">
        <v>10</v>
      </c>
      <c r="H396" s="6" t="s">
        <v>5105</v>
      </c>
      <c r="I396" s="6" t="s">
        <v>13</v>
      </c>
      <c r="J396" s="6" t="s">
        <v>218</v>
      </c>
      <c r="K396" s="6" t="s">
        <v>5183</v>
      </c>
      <c r="M396" s="6" t="s">
        <v>5982</v>
      </c>
    </row>
    <row r="397" customFormat="false" ht="15" hidden="false" customHeight="false" outlineLevel="0" collapsed="false">
      <c r="A397" s="6" t="s">
        <v>5988</v>
      </c>
      <c r="B397" s="6" t="s">
        <v>5079</v>
      </c>
      <c r="C397" s="6" t="s">
        <v>4975</v>
      </c>
      <c r="D397" s="6" t="s">
        <v>5240</v>
      </c>
      <c r="E397" s="6" t="s">
        <v>5980</v>
      </c>
      <c r="F397" s="6" t="s">
        <v>5989</v>
      </c>
      <c r="G397" s="19" t="n">
        <v>10</v>
      </c>
      <c r="H397" s="6" t="s">
        <v>5105</v>
      </c>
      <c r="I397" s="6" t="s">
        <v>13</v>
      </c>
      <c r="J397" s="6" t="s">
        <v>233</v>
      </c>
      <c r="K397" s="6" t="s">
        <v>5559</v>
      </c>
      <c r="M397" s="6" t="s">
        <v>5990</v>
      </c>
    </row>
    <row r="398" customFormat="false" ht="15" hidden="false" customHeight="false" outlineLevel="0" collapsed="false">
      <c r="A398" s="6" t="s">
        <v>5991</v>
      </c>
      <c r="B398" s="6" t="s">
        <v>5468</v>
      </c>
      <c r="C398" s="6" t="s">
        <v>5050</v>
      </c>
      <c r="D398" s="6" t="s">
        <v>5992</v>
      </c>
      <c r="E398" s="6" t="s">
        <v>5993</v>
      </c>
      <c r="F398" s="6" t="s">
        <v>5994</v>
      </c>
      <c r="G398" s="9" t="n">
        <v>1556</v>
      </c>
      <c r="H398" s="6" t="s">
        <v>384</v>
      </c>
      <c r="I398" s="6" t="s">
        <v>13</v>
      </c>
      <c r="J398" s="6" t="s">
        <v>209</v>
      </c>
      <c r="K398" s="6" t="s">
        <v>5995</v>
      </c>
      <c r="M398" s="6"/>
    </row>
    <row r="399" customFormat="false" ht="15" hidden="false" customHeight="false" outlineLevel="0" collapsed="false">
      <c r="A399" s="6" t="s">
        <v>5996</v>
      </c>
      <c r="B399" s="6" t="s">
        <v>5049</v>
      </c>
      <c r="C399" s="6" t="s">
        <v>5050</v>
      </c>
      <c r="D399" s="6" t="s">
        <v>5992</v>
      </c>
      <c r="E399" s="6" t="s">
        <v>5993</v>
      </c>
      <c r="F399" s="6" t="s">
        <v>5994</v>
      </c>
      <c r="G399" s="9" t="n">
        <v>2134</v>
      </c>
      <c r="H399" s="6" t="s">
        <v>384</v>
      </c>
      <c r="I399" s="6" t="s">
        <v>13</v>
      </c>
      <c r="J399" s="6" t="s">
        <v>209</v>
      </c>
      <c r="K399" s="6" t="s">
        <v>5995</v>
      </c>
      <c r="M399" s="6"/>
    </row>
    <row r="400" customFormat="false" ht="15" hidden="false" customHeight="false" outlineLevel="0" collapsed="false">
      <c r="A400" s="6" t="s">
        <v>5997</v>
      </c>
      <c r="B400" s="6" t="s">
        <v>5049</v>
      </c>
      <c r="C400" s="6" t="s">
        <v>5050</v>
      </c>
      <c r="D400" s="6" t="s">
        <v>5992</v>
      </c>
      <c r="E400" s="6" t="s">
        <v>5993</v>
      </c>
      <c r="F400" s="6" t="s">
        <v>5998</v>
      </c>
      <c r="G400" s="9" t="n">
        <v>2134</v>
      </c>
      <c r="H400" s="6" t="s">
        <v>384</v>
      </c>
      <c r="I400" s="6" t="s">
        <v>13</v>
      </c>
      <c r="J400" s="6" t="s">
        <v>218</v>
      </c>
      <c r="K400" s="6" t="s">
        <v>5054</v>
      </c>
      <c r="M400" s="6"/>
    </row>
    <row r="401" customFormat="false" ht="15" hidden="false" customHeight="false" outlineLevel="0" collapsed="false">
      <c r="A401" s="6" t="s">
        <v>5999</v>
      </c>
      <c r="B401" s="6" t="s">
        <v>5057</v>
      </c>
      <c r="C401" s="6" t="s">
        <v>5050</v>
      </c>
      <c r="D401" s="6" t="s">
        <v>5992</v>
      </c>
      <c r="E401" s="6" t="s">
        <v>5993</v>
      </c>
      <c r="F401" s="6" t="s">
        <v>5998</v>
      </c>
      <c r="G401" s="9" t="n">
        <v>2805</v>
      </c>
      <c r="H401" s="6" t="s">
        <v>384</v>
      </c>
      <c r="I401" s="6" t="s">
        <v>13</v>
      </c>
      <c r="J401" s="6" t="s">
        <v>218</v>
      </c>
      <c r="K401" s="6" t="s">
        <v>5054</v>
      </c>
      <c r="M401" s="6"/>
    </row>
    <row r="402" customFormat="false" ht="15" hidden="false" customHeight="false" outlineLevel="0" collapsed="false">
      <c r="A402" s="6" t="s">
        <v>6000</v>
      </c>
      <c r="B402" s="6" t="s">
        <v>5057</v>
      </c>
      <c r="C402" s="6" t="s">
        <v>5050</v>
      </c>
      <c r="D402" s="6" t="s">
        <v>5992</v>
      </c>
      <c r="E402" s="6" t="s">
        <v>5993</v>
      </c>
      <c r="F402" s="6" t="s">
        <v>6001</v>
      </c>
      <c r="G402" s="9" t="n">
        <v>2805</v>
      </c>
      <c r="H402" s="6" t="s">
        <v>384</v>
      </c>
      <c r="I402" s="6" t="s">
        <v>13</v>
      </c>
      <c r="J402" s="6" t="s">
        <v>223</v>
      </c>
      <c r="K402" s="6" t="s">
        <v>5060</v>
      </c>
      <c r="M402" s="6"/>
    </row>
    <row r="403" customFormat="false" ht="15" hidden="false" customHeight="false" outlineLevel="0" collapsed="false">
      <c r="A403" s="6" t="s">
        <v>6002</v>
      </c>
      <c r="B403" s="6" t="s">
        <v>5062</v>
      </c>
      <c r="C403" s="6" t="s">
        <v>5050</v>
      </c>
      <c r="D403" s="6" t="s">
        <v>5992</v>
      </c>
      <c r="E403" s="6" t="s">
        <v>5993</v>
      </c>
      <c r="F403" s="6" t="s">
        <v>6001</v>
      </c>
      <c r="G403" s="9" t="n">
        <v>2801</v>
      </c>
      <c r="H403" s="6" t="s">
        <v>384</v>
      </c>
      <c r="I403" s="6" t="s">
        <v>13</v>
      </c>
      <c r="J403" s="6" t="s">
        <v>223</v>
      </c>
      <c r="K403" s="6" t="s">
        <v>5060</v>
      </c>
      <c r="M403" s="6"/>
    </row>
    <row r="404" customFormat="false" ht="15" hidden="false" customHeight="false" outlineLevel="0" collapsed="false">
      <c r="A404" s="6" t="s">
        <v>6003</v>
      </c>
      <c r="B404" s="6" t="s">
        <v>5097</v>
      </c>
      <c r="C404" s="6" t="s">
        <v>4975</v>
      </c>
      <c r="D404" s="6" t="s">
        <v>5992</v>
      </c>
      <c r="E404" s="6" t="s">
        <v>6004</v>
      </c>
      <c r="F404" s="6" t="s">
        <v>6005</v>
      </c>
      <c r="G404" s="9" t="n">
        <v>0</v>
      </c>
      <c r="H404" s="6" t="s">
        <v>384</v>
      </c>
      <c r="I404" s="6" t="s">
        <v>13</v>
      </c>
      <c r="J404" s="6" t="s">
        <v>228</v>
      </c>
      <c r="K404" s="6" t="s">
        <v>6006</v>
      </c>
      <c r="M404" s="6" t="s">
        <v>6007</v>
      </c>
    </row>
    <row r="405" customFormat="false" ht="15" hidden="false" customHeight="false" outlineLevel="0" collapsed="false">
      <c r="A405" s="6" t="s">
        <v>6008</v>
      </c>
      <c r="B405" s="6" t="s">
        <v>5074</v>
      </c>
      <c r="C405" s="6" t="s">
        <v>4975</v>
      </c>
      <c r="D405" s="6" t="s">
        <v>5992</v>
      </c>
      <c r="E405" s="6" t="s">
        <v>6004</v>
      </c>
      <c r="F405" s="6" t="s">
        <v>6005</v>
      </c>
      <c r="G405" s="9" t="n">
        <v>0</v>
      </c>
      <c r="H405" s="6" t="s">
        <v>384</v>
      </c>
      <c r="I405" s="6" t="s">
        <v>13</v>
      </c>
      <c r="J405" s="6" t="s">
        <v>228</v>
      </c>
      <c r="K405" s="6" t="s">
        <v>6006</v>
      </c>
      <c r="M405" s="6" t="s">
        <v>6007</v>
      </c>
    </row>
    <row r="406" customFormat="false" ht="15" hidden="false" customHeight="false" outlineLevel="0" collapsed="false">
      <c r="A406" s="6" t="s">
        <v>6009</v>
      </c>
      <c r="B406" s="6" t="s">
        <v>5113</v>
      </c>
      <c r="C406" s="6" t="s">
        <v>4975</v>
      </c>
      <c r="D406" s="6" t="s">
        <v>5992</v>
      </c>
      <c r="E406" s="6" t="s">
        <v>6004</v>
      </c>
      <c r="F406" s="6" t="s">
        <v>6005</v>
      </c>
      <c r="G406" s="9" t="n">
        <v>6382</v>
      </c>
      <c r="H406" s="6" t="s">
        <v>384</v>
      </c>
      <c r="I406" s="6" t="s">
        <v>13</v>
      </c>
      <c r="J406" s="6" t="s">
        <v>228</v>
      </c>
      <c r="K406" s="6" t="s">
        <v>6006</v>
      </c>
      <c r="M406" s="6" t="s">
        <v>6007</v>
      </c>
    </row>
    <row r="407" customFormat="false" ht="15" hidden="false" customHeight="false" outlineLevel="0" collapsed="false">
      <c r="A407" s="6" t="s">
        <v>6010</v>
      </c>
      <c r="B407" s="6" t="s">
        <v>5203</v>
      </c>
      <c r="C407" s="6" t="s">
        <v>4975</v>
      </c>
      <c r="D407" s="6" t="s">
        <v>5992</v>
      </c>
      <c r="E407" s="6" t="s">
        <v>6011</v>
      </c>
      <c r="F407" s="6" t="s">
        <v>6012</v>
      </c>
      <c r="G407" s="9" t="n">
        <v>29738</v>
      </c>
      <c r="H407" s="6" t="s">
        <v>384</v>
      </c>
      <c r="I407" s="6" t="s">
        <v>13</v>
      </c>
      <c r="J407" s="6" t="s">
        <v>218</v>
      </c>
      <c r="K407" s="6" t="s">
        <v>6013</v>
      </c>
      <c r="M407" s="6"/>
    </row>
    <row r="408" customFormat="false" ht="15" hidden="false" customHeight="false" outlineLevel="0" collapsed="false">
      <c r="A408" s="6" t="s">
        <v>6014</v>
      </c>
      <c r="B408" s="6" t="s">
        <v>5102</v>
      </c>
      <c r="C408" s="6" t="s">
        <v>4975</v>
      </c>
      <c r="D408" s="6" t="s">
        <v>5992</v>
      </c>
      <c r="E408" s="6" t="s">
        <v>6011</v>
      </c>
      <c r="F408" s="6" t="s">
        <v>6012</v>
      </c>
      <c r="G408" s="9" t="n">
        <v>64372</v>
      </c>
      <c r="H408" s="6" t="s">
        <v>384</v>
      </c>
      <c r="I408" s="6" t="s">
        <v>13</v>
      </c>
      <c r="J408" s="6" t="s">
        <v>218</v>
      </c>
      <c r="K408" s="6" t="s">
        <v>6013</v>
      </c>
      <c r="M408" s="6"/>
    </row>
    <row r="409" customFormat="false" ht="15" hidden="false" customHeight="false" outlineLevel="0" collapsed="false">
      <c r="A409" s="6" t="s">
        <v>6015</v>
      </c>
      <c r="B409" s="6" t="s">
        <v>5102</v>
      </c>
      <c r="C409" s="6" t="s">
        <v>4975</v>
      </c>
      <c r="D409" s="6" t="s">
        <v>5992</v>
      </c>
      <c r="E409" s="6" t="s">
        <v>6011</v>
      </c>
      <c r="F409" s="6" t="s">
        <v>6016</v>
      </c>
      <c r="G409" s="9" t="n">
        <v>64372</v>
      </c>
      <c r="H409" s="6" t="s">
        <v>384</v>
      </c>
      <c r="I409" s="6" t="s">
        <v>13</v>
      </c>
      <c r="J409" s="6" t="s">
        <v>223</v>
      </c>
      <c r="K409" s="6" t="s">
        <v>6017</v>
      </c>
      <c r="M409" s="6"/>
    </row>
    <row r="410" customFormat="false" ht="15" hidden="false" customHeight="false" outlineLevel="0" collapsed="false">
      <c r="A410" s="6" t="s">
        <v>6018</v>
      </c>
      <c r="B410" s="6" t="s">
        <v>5097</v>
      </c>
      <c r="C410" s="6" t="s">
        <v>4975</v>
      </c>
      <c r="D410" s="6" t="s">
        <v>5992</v>
      </c>
      <c r="E410" s="6" t="s">
        <v>6011</v>
      </c>
      <c r="F410" s="6" t="s">
        <v>6012</v>
      </c>
      <c r="G410" s="9" t="n">
        <v>64491</v>
      </c>
      <c r="H410" s="6" t="s">
        <v>384</v>
      </c>
      <c r="I410" s="6" t="s">
        <v>13</v>
      </c>
      <c r="J410" s="6" t="s">
        <v>218</v>
      </c>
      <c r="K410" s="6" t="s">
        <v>6013</v>
      </c>
      <c r="M410" s="6"/>
    </row>
    <row r="411" customFormat="false" ht="15" hidden="false" customHeight="false" outlineLevel="0" collapsed="false">
      <c r="A411" s="6" t="s">
        <v>6019</v>
      </c>
      <c r="B411" s="6" t="s">
        <v>5097</v>
      </c>
      <c r="C411" s="6" t="s">
        <v>4975</v>
      </c>
      <c r="D411" s="6" t="s">
        <v>5992</v>
      </c>
      <c r="E411" s="6" t="s">
        <v>6011</v>
      </c>
      <c r="F411" s="6" t="s">
        <v>6016</v>
      </c>
      <c r="G411" s="9" t="n">
        <v>64491</v>
      </c>
      <c r="H411" s="6" t="s">
        <v>384</v>
      </c>
      <c r="I411" s="6" t="s">
        <v>13</v>
      </c>
      <c r="J411" s="6" t="s">
        <v>223</v>
      </c>
      <c r="K411" s="6" t="s">
        <v>6017</v>
      </c>
      <c r="M411" s="6"/>
    </row>
    <row r="412" customFormat="false" ht="15" hidden="false" customHeight="false" outlineLevel="0" collapsed="false">
      <c r="A412" s="6" t="s">
        <v>6020</v>
      </c>
      <c r="B412" s="6" t="s">
        <v>5097</v>
      </c>
      <c r="C412" s="6" t="s">
        <v>4975</v>
      </c>
      <c r="D412" s="6" t="s">
        <v>5992</v>
      </c>
      <c r="E412" s="6" t="s">
        <v>6011</v>
      </c>
      <c r="F412" s="6" t="s">
        <v>6021</v>
      </c>
      <c r="G412" s="9" t="n">
        <v>64491</v>
      </c>
      <c r="H412" s="6" t="s">
        <v>384</v>
      </c>
      <c r="I412" s="6" t="s">
        <v>13</v>
      </c>
      <c r="J412" s="6" t="s">
        <v>228</v>
      </c>
      <c r="K412" s="6" t="s">
        <v>6022</v>
      </c>
      <c r="M412" s="6"/>
    </row>
    <row r="413" customFormat="false" ht="15" hidden="false" customHeight="false" outlineLevel="0" collapsed="false">
      <c r="A413" s="6" t="s">
        <v>6023</v>
      </c>
      <c r="B413" s="6" t="s">
        <v>5074</v>
      </c>
      <c r="C413" s="6" t="s">
        <v>4975</v>
      </c>
      <c r="D413" s="6" t="s">
        <v>5992</v>
      </c>
      <c r="E413" s="6" t="s">
        <v>6011</v>
      </c>
      <c r="F413" s="6" t="s">
        <v>6016</v>
      </c>
      <c r="G413" s="9" t="n">
        <v>68932</v>
      </c>
      <c r="H413" s="6" t="s">
        <v>384</v>
      </c>
      <c r="I413" s="6" t="s">
        <v>13</v>
      </c>
      <c r="J413" s="6" t="s">
        <v>223</v>
      </c>
      <c r="K413" s="6" t="s">
        <v>6017</v>
      </c>
      <c r="M413" s="6"/>
    </row>
    <row r="414" customFormat="false" ht="15" hidden="false" customHeight="false" outlineLevel="0" collapsed="false">
      <c r="A414" s="6" t="s">
        <v>6024</v>
      </c>
      <c r="B414" s="6" t="s">
        <v>5074</v>
      </c>
      <c r="C414" s="6" t="s">
        <v>4975</v>
      </c>
      <c r="D414" s="6" t="s">
        <v>5992</v>
      </c>
      <c r="E414" s="6" t="s">
        <v>6011</v>
      </c>
      <c r="F414" s="6" t="s">
        <v>6021</v>
      </c>
      <c r="G414" s="9" t="n">
        <v>68932</v>
      </c>
      <c r="H414" s="6" t="s">
        <v>384</v>
      </c>
      <c r="I414" s="6" t="s">
        <v>13</v>
      </c>
      <c r="J414" s="6" t="s">
        <v>228</v>
      </c>
      <c r="K414" s="6" t="s">
        <v>6022</v>
      </c>
      <c r="M414" s="6"/>
    </row>
    <row r="415" customFormat="false" ht="15" hidden="false" customHeight="false" outlineLevel="0" collapsed="false">
      <c r="A415" s="6" t="s">
        <v>6025</v>
      </c>
      <c r="B415" s="6" t="s">
        <v>5074</v>
      </c>
      <c r="C415" s="6" t="s">
        <v>4975</v>
      </c>
      <c r="D415" s="6" t="s">
        <v>5992</v>
      </c>
      <c r="E415" s="6" t="s">
        <v>6011</v>
      </c>
      <c r="F415" s="6" t="s">
        <v>6026</v>
      </c>
      <c r="G415" s="9" t="n">
        <v>68932</v>
      </c>
      <c r="H415" s="6" t="s">
        <v>384</v>
      </c>
      <c r="I415" s="6" t="s">
        <v>13</v>
      </c>
      <c r="J415" s="6" t="s">
        <v>233</v>
      </c>
      <c r="K415" s="6" t="s">
        <v>6027</v>
      </c>
      <c r="M415" s="6"/>
    </row>
    <row r="416" customFormat="false" ht="15" hidden="false" customHeight="false" outlineLevel="0" collapsed="false">
      <c r="A416" s="6" t="s">
        <v>6028</v>
      </c>
      <c r="B416" s="6" t="s">
        <v>5113</v>
      </c>
      <c r="C416" s="6" t="s">
        <v>4975</v>
      </c>
      <c r="D416" s="6" t="s">
        <v>5992</v>
      </c>
      <c r="E416" s="6" t="s">
        <v>6011</v>
      </c>
      <c r="F416" s="6" t="s">
        <v>6021</v>
      </c>
      <c r="G416" s="9" t="n">
        <v>73117</v>
      </c>
      <c r="H416" s="6" t="s">
        <v>384</v>
      </c>
      <c r="I416" s="6" t="s">
        <v>13</v>
      </c>
      <c r="J416" s="6" t="s">
        <v>228</v>
      </c>
      <c r="K416" s="6" t="s">
        <v>6022</v>
      </c>
      <c r="M416" s="6"/>
    </row>
    <row r="417" customFormat="false" ht="15" hidden="false" customHeight="false" outlineLevel="0" collapsed="false">
      <c r="A417" s="6" t="s">
        <v>6029</v>
      </c>
      <c r="B417" s="6" t="s">
        <v>5113</v>
      </c>
      <c r="C417" s="6" t="s">
        <v>4975</v>
      </c>
      <c r="D417" s="6" t="s">
        <v>5992</v>
      </c>
      <c r="E417" s="6" t="s">
        <v>6011</v>
      </c>
      <c r="F417" s="6" t="s">
        <v>6026</v>
      </c>
      <c r="G417" s="9" t="n">
        <v>73117</v>
      </c>
      <c r="H417" s="6" t="s">
        <v>384</v>
      </c>
      <c r="I417" s="6" t="s">
        <v>13</v>
      </c>
      <c r="J417" s="6" t="s">
        <v>233</v>
      </c>
      <c r="K417" s="6" t="s">
        <v>6027</v>
      </c>
      <c r="M417" s="6"/>
    </row>
    <row r="418" customFormat="false" ht="15" hidden="false" customHeight="false" outlineLevel="0" collapsed="false">
      <c r="A418" s="6" t="s">
        <v>6030</v>
      </c>
      <c r="B418" s="6" t="s">
        <v>5079</v>
      </c>
      <c r="C418" s="6" t="s">
        <v>4975</v>
      </c>
      <c r="D418" s="6" t="s">
        <v>5992</v>
      </c>
      <c r="E418" s="6" t="s">
        <v>6011</v>
      </c>
      <c r="F418" s="6" t="s">
        <v>6026</v>
      </c>
      <c r="G418" s="9" t="n">
        <v>69029</v>
      </c>
      <c r="H418" s="6" t="s">
        <v>384</v>
      </c>
      <c r="I418" s="6" t="s">
        <v>13</v>
      </c>
      <c r="J418" s="6" t="s">
        <v>233</v>
      </c>
      <c r="K418" s="6" t="s">
        <v>6027</v>
      </c>
      <c r="M418" s="6"/>
    </row>
    <row r="419" customFormat="false" ht="15" hidden="false" customHeight="false" outlineLevel="0" collapsed="false">
      <c r="A419" s="6" t="s">
        <v>6031</v>
      </c>
      <c r="B419" s="6" t="s">
        <v>6032</v>
      </c>
      <c r="C419" s="6" t="s">
        <v>4975</v>
      </c>
      <c r="D419" s="6" t="s">
        <v>5992</v>
      </c>
      <c r="E419" s="6" t="s">
        <v>6033</v>
      </c>
      <c r="F419" s="6" t="s">
        <v>6034</v>
      </c>
      <c r="G419" s="9" t="n">
        <v>22495</v>
      </c>
      <c r="H419" s="6" t="s">
        <v>384</v>
      </c>
      <c r="I419" s="6" t="s">
        <v>13</v>
      </c>
      <c r="J419" s="6" t="s">
        <v>209</v>
      </c>
      <c r="K419" s="6" t="s">
        <v>6035</v>
      </c>
      <c r="M419" s="6"/>
    </row>
    <row r="420" customFormat="false" ht="15" hidden="false" customHeight="false" outlineLevel="0" collapsed="false">
      <c r="A420" s="6" t="s">
        <v>6036</v>
      </c>
      <c r="B420" s="6" t="s">
        <v>5203</v>
      </c>
      <c r="C420" s="6" t="s">
        <v>4975</v>
      </c>
      <c r="D420" s="6" t="s">
        <v>5992</v>
      </c>
      <c r="E420" s="6" t="s">
        <v>6033</v>
      </c>
      <c r="F420" s="6" t="s">
        <v>6034</v>
      </c>
      <c r="G420" s="9" t="n">
        <v>29738</v>
      </c>
      <c r="H420" s="6" t="s">
        <v>384</v>
      </c>
      <c r="I420" s="6" t="s">
        <v>13</v>
      </c>
      <c r="J420" s="6" t="s">
        <v>209</v>
      </c>
      <c r="K420" s="6" t="s">
        <v>6035</v>
      </c>
      <c r="M420" s="6"/>
    </row>
    <row r="421" customFormat="false" ht="15" hidden="false" customHeight="false" outlineLevel="0" collapsed="false">
      <c r="A421" s="6" t="s">
        <v>6037</v>
      </c>
      <c r="B421" s="6" t="s">
        <v>5102</v>
      </c>
      <c r="C421" s="6" t="s">
        <v>4975</v>
      </c>
      <c r="D421" s="6" t="s">
        <v>5992</v>
      </c>
      <c r="E421" s="6" t="s">
        <v>6033</v>
      </c>
      <c r="F421" s="6" t="s">
        <v>6034</v>
      </c>
      <c r="G421" s="9" t="n">
        <v>63719</v>
      </c>
      <c r="H421" s="6" t="s">
        <v>384</v>
      </c>
      <c r="I421" s="6" t="s">
        <v>13</v>
      </c>
      <c r="J421" s="6" t="s">
        <v>209</v>
      </c>
      <c r="K421" s="6" t="s">
        <v>6035</v>
      </c>
      <c r="M421" s="6"/>
    </row>
    <row r="422" customFormat="false" ht="15" hidden="false" customHeight="false" outlineLevel="0" collapsed="false">
      <c r="A422" s="6" t="s">
        <v>6038</v>
      </c>
      <c r="B422" s="6" t="s">
        <v>5113</v>
      </c>
      <c r="C422" s="6" t="s">
        <v>4975</v>
      </c>
      <c r="D422" s="6" t="s">
        <v>5992</v>
      </c>
      <c r="E422" s="6" t="s">
        <v>6039</v>
      </c>
      <c r="F422" s="6" t="s">
        <v>6040</v>
      </c>
      <c r="G422" s="9" t="n">
        <v>-6382</v>
      </c>
      <c r="H422" s="6" t="s">
        <v>384</v>
      </c>
      <c r="I422" s="6" t="s">
        <v>13</v>
      </c>
      <c r="J422" s="6" t="s">
        <v>233</v>
      </c>
      <c r="K422" s="6" t="s">
        <v>6041</v>
      </c>
      <c r="M422" s="6" t="s">
        <v>6042</v>
      </c>
    </row>
    <row r="423" customFormat="false" ht="15" hidden="false" customHeight="false" outlineLevel="0" collapsed="false">
      <c r="A423" s="6" t="s">
        <v>6043</v>
      </c>
      <c r="B423" s="6" t="s">
        <v>5079</v>
      </c>
      <c r="C423" s="6" t="s">
        <v>4975</v>
      </c>
      <c r="D423" s="6" t="s">
        <v>5992</v>
      </c>
      <c r="E423" s="6" t="s">
        <v>6039</v>
      </c>
      <c r="F423" s="6" t="s">
        <v>6040</v>
      </c>
      <c r="G423" s="9" t="n">
        <v>-23139</v>
      </c>
      <c r="H423" s="6" t="s">
        <v>384</v>
      </c>
      <c r="I423" s="6" t="s">
        <v>13</v>
      </c>
      <c r="J423" s="6" t="s">
        <v>233</v>
      </c>
      <c r="K423" s="6" t="s">
        <v>6041</v>
      </c>
      <c r="M423" s="6" t="s">
        <v>6042</v>
      </c>
    </row>
    <row r="424" customFormat="false" ht="15" hidden="false" customHeight="false" outlineLevel="0" collapsed="false">
      <c r="A424" s="6" t="s">
        <v>6044</v>
      </c>
      <c r="B424" s="6" t="s">
        <v>5113</v>
      </c>
      <c r="C424" s="6" t="s">
        <v>4975</v>
      </c>
      <c r="D424" s="6" t="s">
        <v>5992</v>
      </c>
      <c r="E424" s="6" t="s">
        <v>6045</v>
      </c>
      <c r="F424" s="6" t="s">
        <v>6040</v>
      </c>
      <c r="G424" s="9" t="n">
        <v>3675</v>
      </c>
      <c r="H424" s="6" t="s">
        <v>384</v>
      </c>
      <c r="I424" s="6" t="s">
        <v>13</v>
      </c>
      <c r="J424" s="6" t="s">
        <v>233</v>
      </c>
      <c r="K424" s="6" t="s">
        <v>6041</v>
      </c>
      <c r="M424" s="6" t="s">
        <v>6042</v>
      </c>
    </row>
    <row r="425" customFormat="false" ht="15" hidden="false" customHeight="false" outlineLevel="0" collapsed="false">
      <c r="A425" s="6" t="s">
        <v>6046</v>
      </c>
      <c r="B425" s="6" t="s">
        <v>5079</v>
      </c>
      <c r="C425" s="6" t="s">
        <v>4975</v>
      </c>
      <c r="D425" s="6" t="s">
        <v>5992</v>
      </c>
      <c r="E425" s="6" t="s">
        <v>6045</v>
      </c>
      <c r="F425" s="6" t="s">
        <v>6040</v>
      </c>
      <c r="G425" s="9" t="n">
        <v>20522</v>
      </c>
      <c r="H425" s="6" t="s">
        <v>384</v>
      </c>
      <c r="I425" s="6" t="s">
        <v>13</v>
      </c>
      <c r="J425" s="6" t="s">
        <v>233</v>
      </c>
      <c r="K425" s="6" t="s">
        <v>6041</v>
      </c>
      <c r="M425" s="6" t="s">
        <v>6042</v>
      </c>
    </row>
    <row r="426" customFormat="false" ht="15" hidden="false" customHeight="false" outlineLevel="0" collapsed="false">
      <c r="A426" s="6" t="s">
        <v>6047</v>
      </c>
      <c r="B426" s="6" t="s">
        <v>5113</v>
      </c>
      <c r="C426" s="6" t="s">
        <v>4975</v>
      </c>
      <c r="D426" s="6" t="s">
        <v>5992</v>
      </c>
      <c r="E426" s="6" t="s">
        <v>6048</v>
      </c>
      <c r="F426" s="6" t="s">
        <v>6040</v>
      </c>
      <c r="G426" s="9" t="n">
        <v>23229</v>
      </c>
      <c r="H426" s="6" t="s">
        <v>384</v>
      </c>
      <c r="I426" s="6" t="s">
        <v>13</v>
      </c>
      <c r="J426" s="6" t="s">
        <v>233</v>
      </c>
      <c r="K426" s="6" t="s">
        <v>6041</v>
      </c>
      <c r="M426" s="6" t="s">
        <v>6042</v>
      </c>
    </row>
    <row r="427" customFormat="false" ht="15" hidden="false" customHeight="false" outlineLevel="0" collapsed="false">
      <c r="A427" s="6" t="s">
        <v>6049</v>
      </c>
      <c r="B427" s="6" t="s">
        <v>5079</v>
      </c>
      <c r="C427" s="6" t="s">
        <v>4975</v>
      </c>
      <c r="D427" s="6" t="s">
        <v>5992</v>
      </c>
      <c r="E427" s="6" t="s">
        <v>6048</v>
      </c>
      <c r="F427" s="6" t="s">
        <v>6040</v>
      </c>
      <c r="G427" s="9" t="n">
        <v>88425</v>
      </c>
      <c r="H427" s="6" t="s">
        <v>384</v>
      </c>
      <c r="I427" s="6" t="s">
        <v>13</v>
      </c>
      <c r="J427" s="6" t="s">
        <v>233</v>
      </c>
      <c r="K427" s="6" t="s">
        <v>6041</v>
      </c>
      <c r="M427" s="6" t="s">
        <v>6042</v>
      </c>
    </row>
    <row r="428" customFormat="false" ht="15" hidden="false" customHeight="false" outlineLevel="0" collapsed="false">
      <c r="A428" s="6" t="s">
        <v>6050</v>
      </c>
      <c r="B428" s="6" t="s">
        <v>5113</v>
      </c>
      <c r="C428" s="6" t="s">
        <v>4975</v>
      </c>
      <c r="D428" s="6" t="s">
        <v>5992</v>
      </c>
      <c r="E428" s="6" t="s">
        <v>6051</v>
      </c>
      <c r="F428" s="6" t="s">
        <v>6040</v>
      </c>
      <c r="G428" s="9" t="n">
        <v>20522</v>
      </c>
      <c r="H428" s="6" t="s">
        <v>384</v>
      </c>
      <c r="I428" s="6" t="s">
        <v>13</v>
      </c>
      <c r="J428" s="6" t="s">
        <v>233</v>
      </c>
      <c r="K428" s="6" t="s">
        <v>6041</v>
      </c>
      <c r="M428" s="6" t="s">
        <v>6042</v>
      </c>
    </row>
    <row r="429" customFormat="false" ht="15" hidden="false" customHeight="false" outlineLevel="0" collapsed="false">
      <c r="A429" s="6" t="s">
        <v>6052</v>
      </c>
      <c r="B429" s="6" t="s">
        <v>5079</v>
      </c>
      <c r="C429" s="6" t="s">
        <v>4975</v>
      </c>
      <c r="D429" s="6" t="s">
        <v>5992</v>
      </c>
      <c r="E429" s="6" t="s">
        <v>6051</v>
      </c>
      <c r="F429" s="6" t="s">
        <v>6040</v>
      </c>
      <c r="G429" s="9" t="n">
        <v>85808</v>
      </c>
      <c r="H429" s="6" t="s">
        <v>384</v>
      </c>
      <c r="I429" s="6" t="s">
        <v>13</v>
      </c>
      <c r="J429" s="6" t="s">
        <v>233</v>
      </c>
      <c r="K429" s="6" t="s">
        <v>6041</v>
      </c>
      <c r="M429" s="6" t="s">
        <v>6042</v>
      </c>
    </row>
    <row r="430" customFormat="false" ht="15" hidden="false" customHeight="false" outlineLevel="0" collapsed="false">
      <c r="A430" s="6" t="s">
        <v>6053</v>
      </c>
      <c r="B430" s="6" t="s">
        <v>5062</v>
      </c>
      <c r="C430" s="6" t="s">
        <v>5050</v>
      </c>
      <c r="D430" s="6" t="s">
        <v>5992</v>
      </c>
      <c r="E430" s="6" t="s">
        <v>6054</v>
      </c>
      <c r="F430" s="6" t="s">
        <v>6055</v>
      </c>
      <c r="G430" s="9" t="n">
        <v>1810</v>
      </c>
      <c r="H430" s="6" t="s">
        <v>384</v>
      </c>
      <c r="I430" s="6" t="s">
        <v>13</v>
      </c>
      <c r="J430" s="6" t="s">
        <v>228</v>
      </c>
      <c r="K430" s="6" t="s">
        <v>6056</v>
      </c>
      <c r="M430" s="6"/>
    </row>
    <row r="431" customFormat="false" ht="15" hidden="false" customHeight="false" outlineLevel="0" collapsed="false">
      <c r="A431" s="6" t="s">
        <v>6057</v>
      </c>
      <c r="B431" s="6" t="s">
        <v>5067</v>
      </c>
      <c r="C431" s="6" t="s">
        <v>5050</v>
      </c>
      <c r="D431" s="6" t="s">
        <v>5992</v>
      </c>
      <c r="E431" s="6" t="s">
        <v>6054</v>
      </c>
      <c r="F431" s="6" t="s">
        <v>6055</v>
      </c>
      <c r="G431" s="9" t="n">
        <v>10409</v>
      </c>
      <c r="H431" s="6" t="s">
        <v>384</v>
      </c>
      <c r="I431" s="6" t="s">
        <v>13</v>
      </c>
      <c r="J431" s="6" t="s">
        <v>228</v>
      </c>
      <c r="K431" s="6" t="s">
        <v>6056</v>
      </c>
      <c r="M431" s="6"/>
    </row>
    <row r="432" customFormat="false" ht="15" hidden="false" customHeight="false" outlineLevel="0" collapsed="false">
      <c r="A432" s="6" t="s">
        <v>6058</v>
      </c>
      <c r="B432" s="6" t="s">
        <v>5062</v>
      </c>
      <c r="C432" s="6" t="s">
        <v>5050</v>
      </c>
      <c r="D432" s="6" t="s">
        <v>5992</v>
      </c>
      <c r="E432" s="6" t="s">
        <v>6059</v>
      </c>
      <c r="F432" s="6" t="s">
        <v>6060</v>
      </c>
      <c r="G432" s="9" t="n">
        <v>3675</v>
      </c>
      <c r="H432" s="6" t="s">
        <v>384</v>
      </c>
      <c r="I432" s="6" t="s">
        <v>13</v>
      </c>
      <c r="J432" s="6" t="s">
        <v>228</v>
      </c>
      <c r="K432" s="6" t="s">
        <v>6006</v>
      </c>
      <c r="M432" s="6"/>
    </row>
    <row r="433" customFormat="false" ht="15" hidden="false" customHeight="false" outlineLevel="0" collapsed="false">
      <c r="A433" s="6" t="s">
        <v>6061</v>
      </c>
      <c r="B433" s="6" t="s">
        <v>5067</v>
      </c>
      <c r="C433" s="6" t="s">
        <v>5050</v>
      </c>
      <c r="D433" s="6" t="s">
        <v>5992</v>
      </c>
      <c r="E433" s="6" t="s">
        <v>6059</v>
      </c>
      <c r="F433" s="6" t="s">
        <v>6060</v>
      </c>
      <c r="G433" s="9" t="n">
        <v>20522</v>
      </c>
      <c r="H433" s="6" t="s">
        <v>384</v>
      </c>
      <c r="I433" s="6" t="s">
        <v>13</v>
      </c>
      <c r="J433" s="6" t="s">
        <v>228</v>
      </c>
      <c r="K433" s="6" t="s">
        <v>6006</v>
      </c>
      <c r="M433" s="6"/>
    </row>
    <row r="434" customFormat="false" ht="15" hidden="false" customHeight="false" outlineLevel="0" collapsed="false">
      <c r="A434" s="6" t="s">
        <v>6062</v>
      </c>
      <c r="B434" s="6" t="s">
        <v>5468</v>
      </c>
      <c r="C434" s="6" t="s">
        <v>5050</v>
      </c>
      <c r="D434" s="6" t="s">
        <v>5992</v>
      </c>
      <c r="E434" s="6" t="s">
        <v>6063</v>
      </c>
      <c r="F434" s="6" t="s">
        <v>6064</v>
      </c>
      <c r="G434" s="9" t="n">
        <v>70719</v>
      </c>
      <c r="H434" s="6" t="s">
        <v>384</v>
      </c>
      <c r="I434" s="6" t="s">
        <v>13</v>
      </c>
      <c r="J434" s="6" t="s">
        <v>209</v>
      </c>
      <c r="K434" s="6" t="s">
        <v>6065</v>
      </c>
      <c r="M434" s="6"/>
    </row>
    <row r="435" customFormat="false" ht="15" hidden="false" customHeight="false" outlineLevel="0" collapsed="false">
      <c r="A435" s="6" t="s">
        <v>6066</v>
      </c>
      <c r="B435" s="6" t="s">
        <v>5049</v>
      </c>
      <c r="C435" s="6" t="s">
        <v>5050</v>
      </c>
      <c r="D435" s="6" t="s">
        <v>5992</v>
      </c>
      <c r="E435" s="6" t="s">
        <v>6063</v>
      </c>
      <c r="F435" s="6" t="s">
        <v>6064</v>
      </c>
      <c r="G435" s="9" t="n">
        <v>134438</v>
      </c>
      <c r="H435" s="6" t="s">
        <v>384</v>
      </c>
      <c r="I435" s="6" t="s">
        <v>13</v>
      </c>
      <c r="J435" s="6" t="s">
        <v>209</v>
      </c>
      <c r="K435" s="6" t="s">
        <v>6065</v>
      </c>
      <c r="M435" s="6"/>
    </row>
    <row r="436" customFormat="false" ht="15" hidden="false" customHeight="false" outlineLevel="0" collapsed="false">
      <c r="A436" s="6" t="s">
        <v>6067</v>
      </c>
      <c r="B436" s="6" t="s">
        <v>5049</v>
      </c>
      <c r="C436" s="6" t="s">
        <v>5050</v>
      </c>
      <c r="D436" s="6" t="s">
        <v>5992</v>
      </c>
      <c r="E436" s="6" t="s">
        <v>6063</v>
      </c>
      <c r="F436" s="6" t="s">
        <v>6068</v>
      </c>
      <c r="G436" s="9" t="n">
        <v>134438</v>
      </c>
      <c r="H436" s="6" t="s">
        <v>384</v>
      </c>
      <c r="I436" s="6" t="s">
        <v>13</v>
      </c>
      <c r="J436" s="6" t="s">
        <v>218</v>
      </c>
      <c r="K436" s="6" t="s">
        <v>6065</v>
      </c>
      <c r="M436" s="6"/>
    </row>
    <row r="437" customFormat="false" ht="15" hidden="false" customHeight="false" outlineLevel="0" collapsed="false">
      <c r="A437" s="6" t="s">
        <v>6069</v>
      </c>
      <c r="B437" s="6" t="s">
        <v>5057</v>
      </c>
      <c r="C437" s="6" t="s">
        <v>5050</v>
      </c>
      <c r="D437" s="6" t="s">
        <v>5992</v>
      </c>
      <c r="E437" s="6" t="s">
        <v>6063</v>
      </c>
      <c r="F437" s="6" t="s">
        <v>6068</v>
      </c>
      <c r="G437" s="9" t="n">
        <v>198099</v>
      </c>
      <c r="H437" s="6" t="s">
        <v>384</v>
      </c>
      <c r="I437" s="6" t="s">
        <v>13</v>
      </c>
      <c r="J437" s="6" t="s">
        <v>218</v>
      </c>
      <c r="K437" s="6" t="s">
        <v>6065</v>
      </c>
      <c r="M437" s="6"/>
    </row>
    <row r="438" customFormat="false" ht="15" hidden="false" customHeight="false" outlineLevel="0" collapsed="false">
      <c r="A438" s="6" t="s">
        <v>6070</v>
      </c>
      <c r="B438" s="6" t="s">
        <v>5057</v>
      </c>
      <c r="C438" s="6" t="s">
        <v>5050</v>
      </c>
      <c r="D438" s="6" t="s">
        <v>5992</v>
      </c>
      <c r="E438" s="6" t="s">
        <v>6063</v>
      </c>
      <c r="F438" s="6" t="s">
        <v>6071</v>
      </c>
      <c r="G438" s="9" t="n">
        <v>198099</v>
      </c>
      <c r="H438" s="6" t="s">
        <v>384</v>
      </c>
      <c r="I438" s="6" t="s">
        <v>13</v>
      </c>
      <c r="J438" s="6" t="s">
        <v>223</v>
      </c>
      <c r="K438" s="6" t="s">
        <v>6065</v>
      </c>
      <c r="M438" s="6"/>
    </row>
    <row r="439" customFormat="false" ht="15" hidden="false" customHeight="false" outlineLevel="0" collapsed="false">
      <c r="A439" s="6" t="s">
        <v>6072</v>
      </c>
      <c r="B439" s="6" t="s">
        <v>5062</v>
      </c>
      <c r="C439" s="6" t="s">
        <v>5050</v>
      </c>
      <c r="D439" s="6" t="s">
        <v>5992</v>
      </c>
      <c r="E439" s="6" t="s">
        <v>6063</v>
      </c>
      <c r="F439" s="6" t="s">
        <v>6071</v>
      </c>
      <c r="G439" s="9" t="n">
        <v>266284</v>
      </c>
      <c r="H439" s="6" t="s">
        <v>384</v>
      </c>
      <c r="I439" s="6" t="s">
        <v>13</v>
      </c>
      <c r="J439" s="6" t="s">
        <v>223</v>
      </c>
      <c r="K439" s="6" t="s">
        <v>6065</v>
      </c>
      <c r="M439" s="6"/>
    </row>
    <row r="440" customFormat="false" ht="15" hidden="false" customHeight="false" outlineLevel="0" collapsed="false">
      <c r="A440" s="6" t="s">
        <v>6073</v>
      </c>
      <c r="B440" s="6" t="s">
        <v>5062</v>
      </c>
      <c r="C440" s="6" t="s">
        <v>5050</v>
      </c>
      <c r="D440" s="6" t="s">
        <v>5992</v>
      </c>
      <c r="E440" s="6" t="s">
        <v>6063</v>
      </c>
      <c r="F440" s="6" t="s">
        <v>6074</v>
      </c>
      <c r="G440" s="9" t="n">
        <v>266284</v>
      </c>
      <c r="H440" s="6" t="s">
        <v>384</v>
      </c>
      <c r="I440" s="6" t="s">
        <v>13</v>
      </c>
      <c r="J440" s="6" t="s">
        <v>228</v>
      </c>
      <c r="K440" s="6" t="s">
        <v>6075</v>
      </c>
      <c r="M440" s="6"/>
    </row>
    <row r="441" customFormat="false" ht="15" hidden="false" customHeight="false" outlineLevel="0" collapsed="false">
      <c r="A441" s="6" t="s">
        <v>6076</v>
      </c>
      <c r="B441" s="6" t="s">
        <v>5067</v>
      </c>
      <c r="C441" s="6" t="s">
        <v>5050</v>
      </c>
      <c r="D441" s="6" t="s">
        <v>5992</v>
      </c>
      <c r="E441" s="6" t="s">
        <v>6063</v>
      </c>
      <c r="F441" s="6" t="s">
        <v>6074</v>
      </c>
      <c r="G441" s="9" t="n">
        <v>339951</v>
      </c>
      <c r="H441" s="6" t="s">
        <v>384</v>
      </c>
      <c r="I441" s="6" t="s">
        <v>13</v>
      </c>
      <c r="J441" s="6" t="s">
        <v>228</v>
      </c>
      <c r="K441" s="6" t="s">
        <v>6075</v>
      </c>
      <c r="M441" s="6"/>
    </row>
    <row r="442" customFormat="false" ht="15" hidden="false" customHeight="false" outlineLevel="0" collapsed="false">
      <c r="A442" s="6" t="s">
        <v>6077</v>
      </c>
      <c r="B442" s="6" t="s">
        <v>5049</v>
      </c>
      <c r="C442" s="6" t="s">
        <v>5050</v>
      </c>
      <c r="D442" s="6" t="s">
        <v>5992</v>
      </c>
      <c r="E442" s="6" t="s">
        <v>6078</v>
      </c>
      <c r="F442" s="6" t="s">
        <v>6079</v>
      </c>
      <c r="G442" s="13" t="n">
        <v>136.1</v>
      </c>
      <c r="H442" s="6" t="s">
        <v>3751</v>
      </c>
      <c r="I442" s="6" t="s">
        <v>13</v>
      </c>
      <c r="J442" s="6" t="s">
        <v>218</v>
      </c>
      <c r="K442" s="6" t="s">
        <v>6080</v>
      </c>
      <c r="M442" s="6"/>
    </row>
    <row r="443" customFormat="false" ht="15" hidden="false" customHeight="false" outlineLevel="0" collapsed="false">
      <c r="A443" s="6" t="s">
        <v>6081</v>
      </c>
      <c r="B443" s="6" t="s">
        <v>5057</v>
      </c>
      <c r="C443" s="6" t="s">
        <v>5050</v>
      </c>
      <c r="D443" s="6" t="s">
        <v>5992</v>
      </c>
      <c r="E443" s="6" t="s">
        <v>6078</v>
      </c>
      <c r="F443" s="6" t="s">
        <v>6079</v>
      </c>
      <c r="G443" s="13" t="n">
        <v>200.5</v>
      </c>
      <c r="H443" s="6" t="s">
        <v>3751</v>
      </c>
      <c r="I443" s="6" t="s">
        <v>13</v>
      </c>
      <c r="J443" s="6" t="s">
        <v>218</v>
      </c>
      <c r="K443" s="6" t="s">
        <v>6080</v>
      </c>
      <c r="M443" s="6"/>
    </row>
    <row r="444" customFormat="false" ht="15" hidden="false" customHeight="false" outlineLevel="0" collapsed="false">
      <c r="A444" s="6" t="s">
        <v>6082</v>
      </c>
      <c r="B444" s="6" t="s">
        <v>5062</v>
      </c>
      <c r="C444" s="6" t="s">
        <v>5050</v>
      </c>
      <c r="D444" s="6" t="s">
        <v>5992</v>
      </c>
      <c r="E444" s="6" t="s">
        <v>6078</v>
      </c>
      <c r="F444" s="6" t="s">
        <v>6083</v>
      </c>
      <c r="G444" s="9" t="n">
        <v>269500</v>
      </c>
      <c r="H444" s="6" t="s">
        <v>384</v>
      </c>
      <c r="I444" s="6" t="s">
        <v>13</v>
      </c>
      <c r="J444" s="6" t="s">
        <v>228</v>
      </c>
      <c r="K444" s="6" t="s">
        <v>6084</v>
      </c>
      <c r="M444" s="6" t="s">
        <v>6085</v>
      </c>
    </row>
    <row r="445" customFormat="false" ht="15" hidden="false" customHeight="false" outlineLevel="0" collapsed="false">
      <c r="A445" s="6" t="s">
        <v>6086</v>
      </c>
      <c r="B445" s="6" t="s">
        <v>5067</v>
      </c>
      <c r="C445" s="6" t="s">
        <v>5050</v>
      </c>
      <c r="D445" s="6" t="s">
        <v>5992</v>
      </c>
      <c r="E445" s="6" t="s">
        <v>6078</v>
      </c>
      <c r="F445" s="6" t="s">
        <v>6087</v>
      </c>
      <c r="G445" s="9" t="n">
        <v>342600</v>
      </c>
      <c r="H445" s="6" t="s">
        <v>384</v>
      </c>
      <c r="I445" s="6" t="s">
        <v>13</v>
      </c>
      <c r="J445" s="6" t="s">
        <v>228</v>
      </c>
      <c r="K445" s="6" t="s">
        <v>6084</v>
      </c>
      <c r="M445" s="6" t="s">
        <v>6088</v>
      </c>
    </row>
    <row r="446" customFormat="false" ht="15" hidden="false" customHeight="false" outlineLevel="0" collapsed="false">
      <c r="A446" s="6" t="s">
        <v>6089</v>
      </c>
      <c r="B446" s="6" t="s">
        <v>5067</v>
      </c>
      <c r="C446" s="6" t="s">
        <v>5050</v>
      </c>
      <c r="D446" s="6" t="s">
        <v>5992</v>
      </c>
      <c r="E446" s="6" t="s">
        <v>6078</v>
      </c>
      <c r="F446" s="6" t="s">
        <v>6090</v>
      </c>
      <c r="G446" s="13" t="n">
        <v>342.6</v>
      </c>
      <c r="H446" s="6" t="s">
        <v>3751</v>
      </c>
      <c r="I446" s="6" t="s">
        <v>13</v>
      </c>
      <c r="J446" s="6" t="s">
        <v>233</v>
      </c>
      <c r="K446" s="6" t="s">
        <v>6091</v>
      </c>
      <c r="M446" s="6"/>
    </row>
    <row r="447" customFormat="false" ht="15" hidden="false" customHeight="false" outlineLevel="0" collapsed="false">
      <c r="A447" s="6" t="s">
        <v>6092</v>
      </c>
      <c r="B447" s="6" t="s">
        <v>5072</v>
      </c>
      <c r="C447" s="6" t="s">
        <v>5050</v>
      </c>
      <c r="D447" s="6" t="s">
        <v>5992</v>
      </c>
      <c r="E447" s="6" t="s">
        <v>6078</v>
      </c>
      <c r="F447" s="6" t="s">
        <v>6090</v>
      </c>
      <c r="G447" s="13" t="n">
        <v>411.6</v>
      </c>
      <c r="H447" s="6" t="s">
        <v>3751</v>
      </c>
      <c r="I447" s="6" t="s">
        <v>13</v>
      </c>
      <c r="J447" s="6" t="s">
        <v>233</v>
      </c>
      <c r="K447" s="6" t="s">
        <v>6091</v>
      </c>
      <c r="M447" s="6"/>
    </row>
    <row r="448" customFormat="false" ht="15" hidden="false" customHeight="false" outlineLevel="0" collapsed="false">
      <c r="A448" s="6" t="s">
        <v>6093</v>
      </c>
      <c r="B448" s="6" t="s">
        <v>5057</v>
      </c>
      <c r="C448" s="6" t="s">
        <v>5050</v>
      </c>
      <c r="D448" s="6" t="s">
        <v>5992</v>
      </c>
      <c r="E448" s="6" t="s">
        <v>6094</v>
      </c>
      <c r="F448" s="6" t="s">
        <v>6095</v>
      </c>
      <c r="G448" s="13" t="n">
        <v>200.5</v>
      </c>
      <c r="H448" s="6" t="s">
        <v>3751</v>
      </c>
      <c r="I448" s="6" t="s">
        <v>13</v>
      </c>
      <c r="J448" s="6" t="s">
        <v>223</v>
      </c>
      <c r="K448" s="6" t="s">
        <v>6096</v>
      </c>
      <c r="M448" s="6"/>
    </row>
    <row r="449" customFormat="false" ht="15" hidden="false" customHeight="false" outlineLevel="0" collapsed="false">
      <c r="A449" s="6" t="s">
        <v>6097</v>
      </c>
      <c r="B449" s="6" t="s">
        <v>5062</v>
      </c>
      <c r="C449" s="6" t="s">
        <v>5050</v>
      </c>
      <c r="D449" s="6" t="s">
        <v>5992</v>
      </c>
      <c r="E449" s="6" t="s">
        <v>6094</v>
      </c>
      <c r="F449" s="6" t="s">
        <v>6095</v>
      </c>
      <c r="G449" s="13" t="n">
        <v>269.5</v>
      </c>
      <c r="H449" s="6" t="s">
        <v>3751</v>
      </c>
      <c r="I449" s="6" t="s">
        <v>13</v>
      </c>
      <c r="J449" s="6" t="s">
        <v>223</v>
      </c>
      <c r="K449" s="6" t="s">
        <v>6096</v>
      </c>
      <c r="M449" s="6" t="s">
        <v>6098</v>
      </c>
    </row>
    <row r="450" customFormat="false" ht="15" hidden="false" customHeight="false" outlineLevel="0" collapsed="false">
      <c r="A450" s="6" t="s">
        <v>6099</v>
      </c>
      <c r="B450" s="6" t="s">
        <v>5519</v>
      </c>
      <c r="C450" s="6" t="s">
        <v>5316</v>
      </c>
      <c r="D450" s="6" t="s">
        <v>5992</v>
      </c>
      <c r="E450" s="6" t="s">
        <v>6100</v>
      </c>
      <c r="F450" s="6" t="s">
        <v>6101</v>
      </c>
      <c r="G450" s="9" t="n">
        <v>49115</v>
      </c>
      <c r="H450" s="6" t="s">
        <v>384</v>
      </c>
      <c r="I450" s="6" t="s">
        <v>13</v>
      </c>
      <c r="J450" s="6" t="s">
        <v>238</v>
      </c>
      <c r="K450" s="6" t="s">
        <v>6102</v>
      </c>
      <c r="M450" s="6"/>
    </row>
    <row r="451" customFormat="false" ht="15" hidden="false" customHeight="false" outlineLevel="0" collapsed="false">
      <c r="A451" s="6" t="s">
        <v>6103</v>
      </c>
      <c r="B451" s="6" t="s">
        <v>5315</v>
      </c>
      <c r="C451" s="6" t="s">
        <v>5316</v>
      </c>
      <c r="D451" s="6" t="s">
        <v>5992</v>
      </c>
      <c r="E451" s="6" t="s">
        <v>6100</v>
      </c>
      <c r="F451" s="6" t="s">
        <v>6101</v>
      </c>
      <c r="G451" s="9" t="n">
        <v>50249</v>
      </c>
      <c r="H451" s="6" t="s">
        <v>384</v>
      </c>
      <c r="I451" s="6" t="s">
        <v>13</v>
      </c>
      <c r="J451" s="6" t="s">
        <v>238</v>
      </c>
      <c r="K451" s="6" t="s">
        <v>6102</v>
      </c>
      <c r="M451" s="6"/>
    </row>
    <row r="452" customFormat="false" ht="15" hidden="false" customHeight="false" outlineLevel="0" collapsed="false">
      <c r="A452" s="6" t="s">
        <v>6104</v>
      </c>
      <c r="B452" s="6" t="s">
        <v>5320</v>
      </c>
      <c r="C452" s="6" t="s">
        <v>5316</v>
      </c>
      <c r="D452" s="6" t="s">
        <v>5992</v>
      </c>
      <c r="E452" s="6" t="s">
        <v>6100</v>
      </c>
      <c r="F452" s="6" t="s">
        <v>6105</v>
      </c>
      <c r="G452" s="9" t="n">
        <v>62503</v>
      </c>
      <c r="H452" s="6" t="s">
        <v>384</v>
      </c>
      <c r="I452" s="6" t="s">
        <v>13</v>
      </c>
      <c r="J452" s="6" t="s">
        <v>253</v>
      </c>
      <c r="K452" s="6" t="s">
        <v>6106</v>
      </c>
      <c r="M452" s="6"/>
    </row>
    <row r="453" customFormat="false" ht="15" hidden="false" customHeight="false" outlineLevel="0" collapsed="false">
      <c r="A453" s="6" t="s">
        <v>6107</v>
      </c>
      <c r="B453" s="6" t="s">
        <v>5325</v>
      </c>
      <c r="C453" s="6" t="s">
        <v>5316</v>
      </c>
      <c r="D453" s="6" t="s">
        <v>5992</v>
      </c>
      <c r="E453" s="6" t="s">
        <v>6100</v>
      </c>
      <c r="F453" s="6" t="s">
        <v>6108</v>
      </c>
      <c r="G453" s="9" t="n">
        <v>42058</v>
      </c>
      <c r="H453" s="6" t="s">
        <v>384</v>
      </c>
      <c r="I453" s="6" t="s">
        <v>13</v>
      </c>
      <c r="J453" s="6" t="s">
        <v>261</v>
      </c>
      <c r="K453" s="6" t="s">
        <v>6109</v>
      </c>
      <c r="M453" s="6"/>
    </row>
    <row r="454" customFormat="false" ht="15" hidden="false" customHeight="false" outlineLevel="0" collapsed="false">
      <c r="A454" s="6" t="s">
        <v>6110</v>
      </c>
      <c r="B454" s="6" t="s">
        <v>5062</v>
      </c>
      <c r="C454" s="6" t="s">
        <v>5050</v>
      </c>
      <c r="D454" s="6" t="s">
        <v>5992</v>
      </c>
      <c r="E454" s="6" t="s">
        <v>3868</v>
      </c>
      <c r="F454" s="6" t="s">
        <v>6111</v>
      </c>
      <c r="G454" s="9" t="n">
        <v>266284</v>
      </c>
      <c r="H454" s="6" t="s">
        <v>384</v>
      </c>
      <c r="I454" s="6" t="s">
        <v>13</v>
      </c>
      <c r="J454" s="6" t="s">
        <v>238</v>
      </c>
      <c r="K454" s="6" t="s">
        <v>6112</v>
      </c>
      <c r="M454" s="6"/>
    </row>
    <row r="455" customFormat="false" ht="15" hidden="false" customHeight="false" outlineLevel="0" collapsed="false">
      <c r="A455" s="6" t="s">
        <v>6113</v>
      </c>
      <c r="B455" s="6" t="s">
        <v>5239</v>
      </c>
      <c r="C455" s="6" t="s">
        <v>5050</v>
      </c>
      <c r="D455" s="6" t="s">
        <v>5992</v>
      </c>
      <c r="E455" s="6" t="s">
        <v>3868</v>
      </c>
      <c r="F455" s="6" t="s">
        <v>6111</v>
      </c>
      <c r="G455" s="9" t="n">
        <v>317069</v>
      </c>
      <c r="H455" s="6" t="s">
        <v>384</v>
      </c>
      <c r="I455" s="6" t="s">
        <v>13</v>
      </c>
      <c r="J455" s="6" t="s">
        <v>238</v>
      </c>
      <c r="K455" s="6" t="s">
        <v>6112</v>
      </c>
      <c r="M455" s="6"/>
    </row>
    <row r="456" customFormat="false" ht="15" hidden="false" customHeight="false" outlineLevel="0" collapsed="false">
      <c r="A456" s="6" t="s">
        <v>6114</v>
      </c>
      <c r="B456" s="6" t="s">
        <v>5067</v>
      </c>
      <c r="C456" s="6" t="s">
        <v>5050</v>
      </c>
      <c r="D456" s="6" t="s">
        <v>5992</v>
      </c>
      <c r="E456" s="6" t="s">
        <v>3868</v>
      </c>
      <c r="F456" s="6" t="s">
        <v>6115</v>
      </c>
      <c r="G456" s="9" t="n">
        <v>339951</v>
      </c>
      <c r="H456" s="6" t="s">
        <v>384</v>
      </c>
      <c r="I456" s="6" t="s">
        <v>13</v>
      </c>
      <c r="J456" s="6" t="s">
        <v>233</v>
      </c>
      <c r="K456" s="6" t="s">
        <v>6116</v>
      </c>
      <c r="M456" s="6"/>
    </row>
    <row r="457" customFormat="false" ht="15" hidden="false" customHeight="false" outlineLevel="0" collapsed="false">
      <c r="A457" s="6" t="s">
        <v>6117</v>
      </c>
      <c r="B457" s="6" t="s">
        <v>5067</v>
      </c>
      <c r="C457" s="6" t="s">
        <v>5050</v>
      </c>
      <c r="D457" s="6" t="s">
        <v>5992</v>
      </c>
      <c r="E457" s="6" t="s">
        <v>3868</v>
      </c>
      <c r="F457" s="6" t="s">
        <v>6118</v>
      </c>
      <c r="G457" s="9" t="n">
        <v>339951</v>
      </c>
      <c r="H457" s="6" t="s">
        <v>384</v>
      </c>
      <c r="I457" s="6" t="s">
        <v>13</v>
      </c>
      <c r="J457" s="6" t="s">
        <v>253</v>
      </c>
      <c r="K457" s="6" t="s">
        <v>6119</v>
      </c>
      <c r="M457" s="6"/>
    </row>
    <row r="458" customFormat="false" ht="15" hidden="false" customHeight="false" outlineLevel="0" collapsed="false">
      <c r="A458" s="6" t="s">
        <v>6120</v>
      </c>
      <c r="B458" s="6" t="s">
        <v>5245</v>
      </c>
      <c r="C458" s="6" t="s">
        <v>5050</v>
      </c>
      <c r="D458" s="6" t="s">
        <v>5992</v>
      </c>
      <c r="E458" s="6" t="s">
        <v>3868</v>
      </c>
      <c r="F458" s="6" t="s">
        <v>6118</v>
      </c>
      <c r="G458" s="9" t="n">
        <v>402794</v>
      </c>
      <c r="H458" s="6" t="s">
        <v>384</v>
      </c>
      <c r="I458" s="6" t="s">
        <v>13</v>
      </c>
      <c r="J458" s="6" t="s">
        <v>253</v>
      </c>
      <c r="K458" s="6" t="s">
        <v>6119</v>
      </c>
      <c r="M458" s="6"/>
    </row>
    <row r="459" customFormat="false" ht="15" hidden="false" customHeight="false" outlineLevel="0" collapsed="false">
      <c r="A459" s="6" t="s">
        <v>6121</v>
      </c>
      <c r="B459" s="6" t="s">
        <v>5072</v>
      </c>
      <c r="C459" s="6" t="s">
        <v>5050</v>
      </c>
      <c r="D459" s="6" t="s">
        <v>5992</v>
      </c>
      <c r="E459" s="6" t="s">
        <v>3868</v>
      </c>
      <c r="F459" s="6" t="s">
        <v>6115</v>
      </c>
      <c r="G459" s="9" t="n">
        <v>409677</v>
      </c>
      <c r="H459" s="6" t="s">
        <v>384</v>
      </c>
      <c r="I459" s="6" t="s">
        <v>13</v>
      </c>
      <c r="J459" s="6" t="s">
        <v>233</v>
      </c>
      <c r="K459" s="6" t="s">
        <v>6116</v>
      </c>
      <c r="M459" s="6"/>
    </row>
    <row r="460" customFormat="false" ht="15" hidden="false" customHeight="false" outlineLevel="0" collapsed="false">
      <c r="A460" s="6" t="s">
        <v>6122</v>
      </c>
      <c r="B460" s="6" t="s">
        <v>5072</v>
      </c>
      <c r="C460" s="6" t="s">
        <v>5050</v>
      </c>
      <c r="D460" s="6" t="s">
        <v>5992</v>
      </c>
      <c r="E460" s="6" t="s">
        <v>3868</v>
      </c>
      <c r="F460" s="6" t="s">
        <v>6123</v>
      </c>
      <c r="G460" s="9" t="n">
        <v>409677</v>
      </c>
      <c r="H460" s="6" t="s">
        <v>384</v>
      </c>
      <c r="I460" s="6" t="s">
        <v>13</v>
      </c>
      <c r="J460" s="6" t="s">
        <v>261</v>
      </c>
      <c r="K460" s="6" t="s">
        <v>6124</v>
      </c>
      <c r="M460" s="6"/>
    </row>
    <row r="461" customFormat="false" ht="15" hidden="false" customHeight="false" outlineLevel="0" collapsed="false">
      <c r="A461" s="6" t="s">
        <v>6125</v>
      </c>
      <c r="B461" s="6" t="s">
        <v>5249</v>
      </c>
      <c r="C461" s="6" t="s">
        <v>5050</v>
      </c>
      <c r="D461" s="6" t="s">
        <v>5992</v>
      </c>
      <c r="E461" s="6" t="s">
        <v>3868</v>
      </c>
      <c r="F461" s="6" t="s">
        <v>6123</v>
      </c>
      <c r="G461" s="9" t="n">
        <v>451577</v>
      </c>
      <c r="H461" s="6" t="s">
        <v>384</v>
      </c>
      <c r="I461" s="6" t="s">
        <v>13</v>
      </c>
      <c r="J461" s="6" t="s">
        <v>261</v>
      </c>
      <c r="K461" s="6" t="s">
        <v>6124</v>
      </c>
      <c r="M461" s="6"/>
    </row>
    <row r="462" customFormat="false" ht="15" hidden="false" customHeight="false" outlineLevel="0" collapsed="false">
      <c r="A462" s="6" t="s">
        <v>6126</v>
      </c>
      <c r="B462" s="6" t="s">
        <v>5049</v>
      </c>
      <c r="C462" s="6" t="s">
        <v>5050</v>
      </c>
      <c r="D462" s="6" t="s">
        <v>5992</v>
      </c>
      <c r="E462" s="6" t="s">
        <v>3932</v>
      </c>
      <c r="F462" s="6" t="s">
        <v>6127</v>
      </c>
      <c r="G462" s="9" t="n">
        <v>1612</v>
      </c>
      <c r="H462" s="6" t="s">
        <v>384</v>
      </c>
      <c r="I462" s="6" t="s">
        <v>13</v>
      </c>
      <c r="J462" s="6" t="s">
        <v>218</v>
      </c>
      <c r="K462" s="6" t="s">
        <v>6065</v>
      </c>
      <c r="M462" s="6"/>
    </row>
    <row r="463" customFormat="false" ht="15" hidden="false" customHeight="false" outlineLevel="0" collapsed="false">
      <c r="A463" s="6" t="s">
        <v>6128</v>
      </c>
      <c r="B463" s="6" t="s">
        <v>5057</v>
      </c>
      <c r="C463" s="6" t="s">
        <v>5050</v>
      </c>
      <c r="D463" s="6" t="s">
        <v>5992</v>
      </c>
      <c r="E463" s="6" t="s">
        <v>3932</v>
      </c>
      <c r="F463" s="6" t="s">
        <v>6127</v>
      </c>
      <c r="G463" s="9" t="n">
        <v>2442</v>
      </c>
      <c r="H463" s="6" t="s">
        <v>384</v>
      </c>
      <c r="I463" s="6" t="s">
        <v>13</v>
      </c>
      <c r="J463" s="6" t="s">
        <v>218</v>
      </c>
      <c r="K463" s="6" t="s">
        <v>6065</v>
      </c>
      <c r="M463" s="6"/>
    </row>
    <row r="464" customFormat="false" ht="15" hidden="false" customHeight="false" outlineLevel="0" collapsed="false">
      <c r="A464" s="6" t="s">
        <v>6129</v>
      </c>
      <c r="B464" s="6" t="s">
        <v>5057</v>
      </c>
      <c r="C464" s="6" t="s">
        <v>5050</v>
      </c>
      <c r="D464" s="6" t="s">
        <v>5992</v>
      </c>
      <c r="E464" s="6" t="s">
        <v>3932</v>
      </c>
      <c r="F464" s="6" t="s">
        <v>6130</v>
      </c>
      <c r="G464" s="9" t="n">
        <v>2442</v>
      </c>
      <c r="H464" s="6" t="s">
        <v>384</v>
      </c>
      <c r="I464" s="6" t="s">
        <v>13</v>
      </c>
      <c r="J464" s="6" t="s">
        <v>223</v>
      </c>
      <c r="K464" s="6" t="s">
        <v>6065</v>
      </c>
      <c r="M464" s="6"/>
    </row>
    <row r="465" customFormat="false" ht="15" hidden="false" customHeight="false" outlineLevel="0" collapsed="false">
      <c r="A465" s="6" t="s">
        <v>6131</v>
      </c>
      <c r="B465" s="6" t="s">
        <v>5062</v>
      </c>
      <c r="C465" s="6" t="s">
        <v>5050</v>
      </c>
      <c r="D465" s="6" t="s">
        <v>5992</v>
      </c>
      <c r="E465" s="6" t="s">
        <v>3932</v>
      </c>
      <c r="F465" s="6" t="s">
        <v>6130</v>
      </c>
      <c r="G465" s="9" t="n">
        <v>3189</v>
      </c>
      <c r="H465" s="6" t="s">
        <v>384</v>
      </c>
      <c r="I465" s="6" t="s">
        <v>13</v>
      </c>
      <c r="J465" s="6" t="s">
        <v>223</v>
      </c>
      <c r="K465" s="6" t="s">
        <v>6065</v>
      </c>
      <c r="M465" s="6"/>
    </row>
    <row r="466" customFormat="false" ht="15" hidden="false" customHeight="false" outlineLevel="0" collapsed="false">
      <c r="A466" s="6" t="s">
        <v>6132</v>
      </c>
      <c r="B466" s="6" t="s">
        <v>5062</v>
      </c>
      <c r="C466" s="6" t="s">
        <v>5050</v>
      </c>
      <c r="D466" s="6" t="s">
        <v>5992</v>
      </c>
      <c r="E466" s="6" t="s">
        <v>3932</v>
      </c>
      <c r="F466" s="6" t="s">
        <v>6133</v>
      </c>
      <c r="G466" s="9" t="n">
        <v>3189</v>
      </c>
      <c r="H466" s="6" t="s">
        <v>384</v>
      </c>
      <c r="I466" s="6" t="s">
        <v>13</v>
      </c>
      <c r="J466" s="6" t="s">
        <v>228</v>
      </c>
      <c r="K466" s="6" t="s">
        <v>6075</v>
      </c>
      <c r="M466" s="6"/>
    </row>
    <row r="467" customFormat="false" ht="15" hidden="false" customHeight="false" outlineLevel="0" collapsed="false">
      <c r="A467" s="6" t="s">
        <v>6134</v>
      </c>
      <c r="B467" s="6" t="s">
        <v>5062</v>
      </c>
      <c r="C467" s="6" t="s">
        <v>5050</v>
      </c>
      <c r="D467" s="6" t="s">
        <v>5992</v>
      </c>
      <c r="E467" s="6" t="s">
        <v>3932</v>
      </c>
      <c r="F467" s="6" t="s">
        <v>6135</v>
      </c>
      <c r="G467" s="9" t="n">
        <v>3189</v>
      </c>
      <c r="H467" s="6" t="s">
        <v>384</v>
      </c>
      <c r="I467" s="6" t="s">
        <v>13</v>
      </c>
      <c r="J467" s="6" t="s">
        <v>238</v>
      </c>
      <c r="K467" s="6" t="s">
        <v>6112</v>
      </c>
      <c r="M467" s="6"/>
    </row>
    <row r="468" customFormat="false" ht="15" hidden="false" customHeight="false" outlineLevel="0" collapsed="false">
      <c r="A468" s="6" t="s">
        <v>6136</v>
      </c>
      <c r="B468" s="6" t="s">
        <v>5239</v>
      </c>
      <c r="C468" s="6" t="s">
        <v>5050</v>
      </c>
      <c r="D468" s="6" t="s">
        <v>5992</v>
      </c>
      <c r="E468" s="6" t="s">
        <v>3932</v>
      </c>
      <c r="F468" s="6" t="s">
        <v>6135</v>
      </c>
      <c r="G468" s="9" t="n">
        <v>2653</v>
      </c>
      <c r="H468" s="6" t="s">
        <v>384</v>
      </c>
      <c r="I468" s="6" t="s">
        <v>13</v>
      </c>
      <c r="J468" s="6" t="s">
        <v>238</v>
      </c>
      <c r="K468" s="6" t="s">
        <v>6112</v>
      </c>
      <c r="M468" s="6"/>
    </row>
    <row r="469" customFormat="false" ht="15" hidden="false" customHeight="false" outlineLevel="0" collapsed="false">
      <c r="A469" s="6" t="s">
        <v>6137</v>
      </c>
      <c r="B469" s="6" t="s">
        <v>5067</v>
      </c>
      <c r="C469" s="6" t="s">
        <v>5050</v>
      </c>
      <c r="D469" s="6" t="s">
        <v>5992</v>
      </c>
      <c r="E469" s="6" t="s">
        <v>3932</v>
      </c>
      <c r="F469" s="6" t="s">
        <v>6133</v>
      </c>
      <c r="G469" s="9" t="n">
        <v>2639</v>
      </c>
      <c r="H469" s="6" t="s">
        <v>384</v>
      </c>
      <c r="I469" s="6" t="s">
        <v>13</v>
      </c>
      <c r="J469" s="6" t="s">
        <v>228</v>
      </c>
      <c r="K469" s="6" t="s">
        <v>6075</v>
      </c>
      <c r="M469" s="6"/>
    </row>
    <row r="470" customFormat="false" ht="15" hidden="false" customHeight="false" outlineLevel="0" collapsed="false">
      <c r="A470" s="6" t="s">
        <v>6138</v>
      </c>
      <c r="B470" s="6" t="s">
        <v>5067</v>
      </c>
      <c r="C470" s="6" t="s">
        <v>5050</v>
      </c>
      <c r="D470" s="6" t="s">
        <v>5992</v>
      </c>
      <c r="E470" s="6" t="s">
        <v>3932</v>
      </c>
      <c r="F470" s="6" t="s">
        <v>6139</v>
      </c>
      <c r="G470" s="9" t="n">
        <v>2639</v>
      </c>
      <c r="H470" s="6" t="s">
        <v>384</v>
      </c>
      <c r="I470" s="6" t="s">
        <v>13</v>
      </c>
      <c r="J470" s="6" t="s">
        <v>233</v>
      </c>
      <c r="K470" s="6" t="s">
        <v>6116</v>
      </c>
      <c r="M470" s="6"/>
    </row>
    <row r="471" customFormat="false" ht="15" hidden="false" customHeight="false" outlineLevel="0" collapsed="false">
      <c r="A471" s="6" t="s">
        <v>6140</v>
      </c>
      <c r="B471" s="6" t="s">
        <v>5067</v>
      </c>
      <c r="C471" s="6" t="s">
        <v>5050</v>
      </c>
      <c r="D471" s="6" t="s">
        <v>5992</v>
      </c>
      <c r="E471" s="6" t="s">
        <v>3932</v>
      </c>
      <c r="F471" s="6" t="s">
        <v>6141</v>
      </c>
      <c r="G471" s="9" t="n">
        <v>2639</v>
      </c>
      <c r="H471" s="6" t="s">
        <v>384</v>
      </c>
      <c r="I471" s="6" t="s">
        <v>13</v>
      </c>
      <c r="J471" s="6" t="s">
        <v>253</v>
      </c>
      <c r="K471" s="6" t="s">
        <v>6119</v>
      </c>
      <c r="M471" s="6"/>
    </row>
    <row r="472" customFormat="false" ht="15" hidden="false" customHeight="false" outlineLevel="0" collapsed="false">
      <c r="A472" s="6" t="s">
        <v>6142</v>
      </c>
      <c r="B472" s="6" t="s">
        <v>5245</v>
      </c>
      <c r="C472" s="6" t="s">
        <v>5050</v>
      </c>
      <c r="D472" s="6" t="s">
        <v>5992</v>
      </c>
      <c r="E472" s="6" t="s">
        <v>3932</v>
      </c>
      <c r="F472" s="6" t="s">
        <v>6141</v>
      </c>
      <c r="G472" s="9" t="n">
        <v>2299</v>
      </c>
      <c r="H472" s="6" t="s">
        <v>384</v>
      </c>
      <c r="I472" s="6" t="s">
        <v>13</v>
      </c>
      <c r="J472" s="6" t="s">
        <v>253</v>
      </c>
      <c r="K472" s="6" t="s">
        <v>6119</v>
      </c>
      <c r="M472" s="6"/>
    </row>
    <row r="473" customFormat="false" ht="15" hidden="false" customHeight="false" outlineLevel="0" collapsed="false">
      <c r="A473" s="6" t="s">
        <v>6143</v>
      </c>
      <c r="B473" s="6" t="s">
        <v>5072</v>
      </c>
      <c r="C473" s="6" t="s">
        <v>5050</v>
      </c>
      <c r="D473" s="6" t="s">
        <v>5992</v>
      </c>
      <c r="E473" s="6" t="s">
        <v>3932</v>
      </c>
      <c r="F473" s="6" t="s">
        <v>6139</v>
      </c>
      <c r="G473" s="9" t="n">
        <v>1942</v>
      </c>
      <c r="H473" s="6" t="s">
        <v>384</v>
      </c>
      <c r="I473" s="6" t="s">
        <v>13</v>
      </c>
      <c r="J473" s="6" t="s">
        <v>233</v>
      </c>
      <c r="K473" s="6" t="s">
        <v>6116</v>
      </c>
      <c r="M473" s="6"/>
    </row>
    <row r="474" customFormat="false" ht="15" hidden="false" customHeight="false" outlineLevel="0" collapsed="false">
      <c r="A474" s="6" t="s">
        <v>6144</v>
      </c>
      <c r="B474" s="6" t="s">
        <v>5072</v>
      </c>
      <c r="C474" s="6" t="s">
        <v>5050</v>
      </c>
      <c r="D474" s="6" t="s">
        <v>5992</v>
      </c>
      <c r="E474" s="6" t="s">
        <v>3932</v>
      </c>
      <c r="F474" s="6" t="s">
        <v>6145</v>
      </c>
      <c r="G474" s="9" t="n">
        <v>1942</v>
      </c>
      <c r="H474" s="6" t="s">
        <v>384</v>
      </c>
      <c r="I474" s="6" t="s">
        <v>13</v>
      </c>
      <c r="J474" s="6" t="s">
        <v>261</v>
      </c>
      <c r="K474" s="6" t="s">
        <v>6124</v>
      </c>
      <c r="M474" s="6"/>
    </row>
    <row r="475" customFormat="false" ht="15" hidden="false" customHeight="false" outlineLevel="0" collapsed="false">
      <c r="A475" s="6" t="s">
        <v>6146</v>
      </c>
      <c r="B475" s="6" t="s">
        <v>5249</v>
      </c>
      <c r="C475" s="6" t="s">
        <v>5050</v>
      </c>
      <c r="D475" s="6" t="s">
        <v>5992</v>
      </c>
      <c r="E475" s="6" t="s">
        <v>3932</v>
      </c>
      <c r="F475" s="6" t="s">
        <v>6145</v>
      </c>
      <c r="G475" s="9" t="n">
        <v>2100</v>
      </c>
      <c r="H475" s="6" t="s">
        <v>384</v>
      </c>
      <c r="I475" s="6" t="s">
        <v>13</v>
      </c>
      <c r="J475" s="6" t="s">
        <v>261</v>
      </c>
      <c r="K475" s="6" t="s">
        <v>6124</v>
      </c>
      <c r="M475" s="6"/>
    </row>
    <row r="476" customFormat="false" ht="15" hidden="false" customHeight="false" outlineLevel="0" collapsed="false">
      <c r="A476" s="6" t="s">
        <v>6147</v>
      </c>
      <c r="B476" s="6" t="s">
        <v>5062</v>
      </c>
      <c r="C476" s="6" t="s">
        <v>5050</v>
      </c>
      <c r="D476" s="6" t="s">
        <v>5992</v>
      </c>
      <c r="E476" s="6" t="s">
        <v>6148</v>
      </c>
      <c r="F476" s="6" t="s">
        <v>6149</v>
      </c>
      <c r="G476" s="13" t="n">
        <v>269.5</v>
      </c>
      <c r="H476" s="6" t="s">
        <v>3751</v>
      </c>
      <c r="I476" s="6" t="s">
        <v>13</v>
      </c>
      <c r="J476" s="6" t="s">
        <v>246</v>
      </c>
      <c r="K476" s="6" t="s">
        <v>6150</v>
      </c>
      <c r="M476" s="6"/>
    </row>
    <row r="477" customFormat="false" ht="15" hidden="false" customHeight="false" outlineLevel="0" collapsed="false">
      <c r="A477" s="6" t="s">
        <v>6151</v>
      </c>
      <c r="B477" s="6" t="s">
        <v>5239</v>
      </c>
      <c r="C477" s="6" t="s">
        <v>5050</v>
      </c>
      <c r="D477" s="6" t="s">
        <v>5992</v>
      </c>
      <c r="E477" s="6" t="s">
        <v>6148</v>
      </c>
      <c r="F477" s="6" t="s">
        <v>6152</v>
      </c>
      <c r="G477" s="13" t="n">
        <v>319.7</v>
      </c>
      <c r="H477" s="6" t="s">
        <v>3751</v>
      </c>
      <c r="I477" s="6" t="s">
        <v>13</v>
      </c>
      <c r="J477" s="6" t="s">
        <v>246</v>
      </c>
      <c r="K477" s="6" t="s">
        <v>6150</v>
      </c>
      <c r="M477" s="6"/>
    </row>
    <row r="478" customFormat="false" ht="15" hidden="false" customHeight="false" outlineLevel="0" collapsed="false">
      <c r="A478" s="6" t="s">
        <v>6153</v>
      </c>
      <c r="B478" s="6" t="s">
        <v>5067</v>
      </c>
      <c r="C478" s="6" t="s">
        <v>5050</v>
      </c>
      <c r="D478" s="6" t="s">
        <v>5992</v>
      </c>
      <c r="E478" s="6" t="s">
        <v>6148</v>
      </c>
      <c r="F478" s="6" t="s">
        <v>6154</v>
      </c>
      <c r="G478" s="13" t="n">
        <v>342.6</v>
      </c>
      <c r="H478" s="6" t="s">
        <v>3751</v>
      </c>
      <c r="I478" s="6" t="s">
        <v>13</v>
      </c>
      <c r="J478" s="6" t="s">
        <v>257</v>
      </c>
      <c r="K478" s="6" t="s">
        <v>6155</v>
      </c>
      <c r="M478" s="6"/>
    </row>
    <row r="479" customFormat="false" ht="15" hidden="false" customHeight="false" outlineLevel="0" collapsed="false">
      <c r="A479" s="6" t="s">
        <v>6156</v>
      </c>
      <c r="B479" s="6" t="s">
        <v>5245</v>
      </c>
      <c r="C479" s="6" t="s">
        <v>5050</v>
      </c>
      <c r="D479" s="6" t="s">
        <v>5992</v>
      </c>
      <c r="E479" s="6" t="s">
        <v>6148</v>
      </c>
      <c r="F479" s="6" t="s">
        <v>6157</v>
      </c>
      <c r="G479" s="13" t="n">
        <v>405.1</v>
      </c>
      <c r="H479" s="6" t="s">
        <v>3751</v>
      </c>
      <c r="I479" s="6" t="s">
        <v>13</v>
      </c>
      <c r="J479" s="6" t="s">
        <v>257</v>
      </c>
      <c r="K479" s="6" t="s">
        <v>6155</v>
      </c>
      <c r="M479" s="6"/>
    </row>
    <row r="480" customFormat="false" ht="15" hidden="false" customHeight="false" outlineLevel="0" collapsed="false">
      <c r="A480" s="6" t="s">
        <v>6158</v>
      </c>
      <c r="B480" s="6" t="s">
        <v>5072</v>
      </c>
      <c r="C480" s="6" t="s">
        <v>5050</v>
      </c>
      <c r="D480" s="6" t="s">
        <v>5992</v>
      </c>
      <c r="E480" s="6" t="s">
        <v>6148</v>
      </c>
      <c r="F480" s="6" t="s">
        <v>6159</v>
      </c>
      <c r="G480" s="13" t="n">
        <v>411.6</v>
      </c>
      <c r="H480" s="6" t="s">
        <v>3751</v>
      </c>
      <c r="I480" s="6" t="s">
        <v>13</v>
      </c>
      <c r="J480" s="6" t="s">
        <v>265</v>
      </c>
      <c r="K480" s="6" t="s">
        <v>6160</v>
      </c>
      <c r="M480" s="6"/>
    </row>
    <row r="481" customFormat="false" ht="15" hidden="false" customHeight="false" outlineLevel="0" collapsed="false">
      <c r="A481" s="6" t="s">
        <v>6161</v>
      </c>
      <c r="B481" s="6" t="s">
        <v>5249</v>
      </c>
      <c r="C481" s="6" t="s">
        <v>5050</v>
      </c>
      <c r="D481" s="6" t="s">
        <v>5992</v>
      </c>
      <c r="E481" s="6" t="s">
        <v>6148</v>
      </c>
      <c r="F481" s="6" t="s">
        <v>6162</v>
      </c>
      <c r="G481" s="13" t="n">
        <v>453.7</v>
      </c>
      <c r="H481" s="6" t="s">
        <v>3751</v>
      </c>
      <c r="I481" s="6" t="s">
        <v>13</v>
      </c>
      <c r="J481" s="6" t="s">
        <v>265</v>
      </c>
      <c r="K481" s="6" t="s">
        <v>6160</v>
      </c>
      <c r="M481" s="6"/>
    </row>
    <row r="482" customFormat="false" ht="15" hidden="false" customHeight="false" outlineLevel="0" collapsed="false">
      <c r="A482" s="6" t="s">
        <v>6163</v>
      </c>
      <c r="B482" s="6" t="s">
        <v>5245</v>
      </c>
      <c r="C482" s="6" t="s">
        <v>5050</v>
      </c>
      <c r="D482" s="6" t="s">
        <v>5992</v>
      </c>
      <c r="E482" s="6" t="s">
        <v>6164</v>
      </c>
      <c r="F482" s="6" t="s">
        <v>6165</v>
      </c>
      <c r="G482" s="19" t="n">
        <v>86</v>
      </c>
      <c r="H482" s="6" t="s">
        <v>5105</v>
      </c>
      <c r="I482" s="6" t="s">
        <v>13</v>
      </c>
      <c r="J482" s="6" t="s">
        <v>253</v>
      </c>
      <c r="K482" s="6" t="s">
        <v>6166</v>
      </c>
      <c r="M482" s="6"/>
    </row>
    <row r="483" customFormat="false" ht="15" hidden="false" customHeight="false" outlineLevel="0" collapsed="false">
      <c r="A483" s="6" t="s">
        <v>6167</v>
      </c>
      <c r="B483" s="6" t="s">
        <v>5072</v>
      </c>
      <c r="C483" s="6" t="s">
        <v>5050</v>
      </c>
      <c r="D483" s="6" t="s">
        <v>5992</v>
      </c>
      <c r="E483" s="6" t="s">
        <v>6164</v>
      </c>
      <c r="F483" s="6" t="s">
        <v>6168</v>
      </c>
      <c r="G483" s="19" t="n">
        <v>81</v>
      </c>
      <c r="H483" s="6" t="s">
        <v>5105</v>
      </c>
      <c r="I483" s="6" t="s">
        <v>13</v>
      </c>
      <c r="J483" s="6" t="s">
        <v>233</v>
      </c>
      <c r="K483" s="6" t="s">
        <v>6169</v>
      </c>
      <c r="M483" s="6" t="s">
        <v>6170</v>
      </c>
    </row>
    <row r="484" customFormat="false" ht="15" hidden="false" customHeight="false" outlineLevel="0" collapsed="false">
      <c r="A484" s="6" t="s">
        <v>6171</v>
      </c>
      <c r="B484" s="6" t="s">
        <v>5249</v>
      </c>
      <c r="C484" s="6" t="s">
        <v>5050</v>
      </c>
      <c r="D484" s="6" t="s">
        <v>5992</v>
      </c>
      <c r="E484" s="6" t="s">
        <v>6164</v>
      </c>
      <c r="F484" s="6" t="s">
        <v>6172</v>
      </c>
      <c r="G484" s="19" t="n">
        <v>80</v>
      </c>
      <c r="H484" s="6" t="s">
        <v>5105</v>
      </c>
      <c r="I484" s="6" t="s">
        <v>13</v>
      </c>
      <c r="J484" s="6" t="s">
        <v>261</v>
      </c>
      <c r="K484" s="6" t="s">
        <v>6173</v>
      </c>
      <c r="M484" s="6"/>
    </row>
    <row r="485" customFormat="false" ht="15" hidden="false" customHeight="false" outlineLevel="0" collapsed="false">
      <c r="A485" s="6" t="s">
        <v>6174</v>
      </c>
      <c r="B485" s="6" t="s">
        <v>5245</v>
      </c>
      <c r="C485" s="6" t="s">
        <v>5050</v>
      </c>
      <c r="D485" s="6" t="s">
        <v>5992</v>
      </c>
      <c r="E485" s="6" t="s">
        <v>6175</v>
      </c>
      <c r="F485" s="6" t="s">
        <v>6176</v>
      </c>
      <c r="G485" s="9" t="n">
        <v>767789</v>
      </c>
      <c r="H485" s="6" t="s">
        <v>384</v>
      </c>
      <c r="I485" s="6" t="s">
        <v>13</v>
      </c>
      <c r="J485" s="6" t="s">
        <v>253</v>
      </c>
      <c r="K485" s="6" t="s">
        <v>6177</v>
      </c>
      <c r="M485" s="6"/>
    </row>
    <row r="486" customFormat="false" ht="15" hidden="false" customHeight="false" outlineLevel="0" collapsed="false">
      <c r="A486" s="6" t="s">
        <v>6178</v>
      </c>
      <c r="B486" s="6" t="s">
        <v>5249</v>
      </c>
      <c r="C486" s="6" t="s">
        <v>5050</v>
      </c>
      <c r="D486" s="6" t="s">
        <v>5992</v>
      </c>
      <c r="E486" s="6" t="s">
        <v>6175</v>
      </c>
      <c r="F486" s="6" t="s">
        <v>6179</v>
      </c>
      <c r="G486" s="9" t="n">
        <v>937274</v>
      </c>
      <c r="H486" s="6" t="s">
        <v>384</v>
      </c>
      <c r="I486" s="6" t="s">
        <v>13</v>
      </c>
      <c r="J486" s="6" t="s">
        <v>261</v>
      </c>
      <c r="K486" s="6" t="s">
        <v>6173</v>
      </c>
      <c r="M486" s="6"/>
    </row>
    <row r="487" customFormat="false" ht="15" hidden="false" customHeight="false" outlineLevel="0" collapsed="false">
      <c r="A487" s="6" t="s">
        <v>6180</v>
      </c>
      <c r="B487" s="6" t="s">
        <v>5072</v>
      </c>
      <c r="C487" s="6" t="s">
        <v>5050</v>
      </c>
      <c r="D487" s="6" t="s">
        <v>5992</v>
      </c>
      <c r="E487" s="6" t="s">
        <v>6181</v>
      </c>
      <c r="F487" s="6" t="s">
        <v>6182</v>
      </c>
      <c r="G487" s="9" t="n">
        <v>838942</v>
      </c>
      <c r="H487" s="6" t="s">
        <v>384</v>
      </c>
      <c r="I487" s="6" t="s">
        <v>13</v>
      </c>
      <c r="J487" s="6" t="s">
        <v>233</v>
      </c>
      <c r="K487" s="6" t="s">
        <v>6169</v>
      </c>
      <c r="M487" s="6" t="s">
        <v>6183</v>
      </c>
    </row>
    <row r="488" customFormat="false" ht="15" hidden="false" customHeight="false" outlineLevel="0" collapsed="false">
      <c r="A488" s="6" t="s">
        <v>6184</v>
      </c>
      <c r="B488" s="6" t="s">
        <v>5102</v>
      </c>
      <c r="C488" s="6" t="s">
        <v>4975</v>
      </c>
      <c r="D488" s="6" t="s">
        <v>5992</v>
      </c>
      <c r="E488" s="6" t="s">
        <v>6185</v>
      </c>
      <c r="F488" s="6" t="s">
        <v>6186</v>
      </c>
      <c r="G488" s="9" t="n">
        <v>70719</v>
      </c>
      <c r="H488" s="6" t="s">
        <v>384</v>
      </c>
      <c r="I488" s="6" t="s">
        <v>13</v>
      </c>
      <c r="J488" s="6" t="s">
        <v>218</v>
      </c>
      <c r="K488" s="6" t="s">
        <v>6187</v>
      </c>
      <c r="M488" s="6"/>
    </row>
    <row r="489" customFormat="false" ht="15" hidden="false" customHeight="false" outlineLevel="0" collapsed="false">
      <c r="A489" s="6" t="s">
        <v>6188</v>
      </c>
      <c r="B489" s="6" t="s">
        <v>5102</v>
      </c>
      <c r="C489" s="6" t="s">
        <v>4975</v>
      </c>
      <c r="D489" s="6" t="s">
        <v>5992</v>
      </c>
      <c r="E489" s="6" t="s">
        <v>6185</v>
      </c>
      <c r="F489" s="6" t="s">
        <v>6189</v>
      </c>
      <c r="G489" s="9" t="n">
        <v>70719</v>
      </c>
      <c r="H489" s="6" t="s">
        <v>384</v>
      </c>
      <c r="I489" s="6" t="s">
        <v>13</v>
      </c>
      <c r="J489" s="6" t="s">
        <v>223</v>
      </c>
      <c r="K489" s="6" t="s">
        <v>6190</v>
      </c>
      <c r="M489" s="6"/>
    </row>
    <row r="490" customFormat="false" ht="15" hidden="false" customHeight="false" outlineLevel="0" collapsed="false">
      <c r="A490" s="6" t="s">
        <v>6191</v>
      </c>
      <c r="B490" s="6" t="s">
        <v>5097</v>
      </c>
      <c r="C490" s="6" t="s">
        <v>4975</v>
      </c>
      <c r="D490" s="6" t="s">
        <v>5992</v>
      </c>
      <c r="E490" s="6" t="s">
        <v>6185</v>
      </c>
      <c r="F490" s="6" t="s">
        <v>6186</v>
      </c>
      <c r="G490" s="9" t="n">
        <v>134438</v>
      </c>
      <c r="H490" s="6" t="s">
        <v>384</v>
      </c>
      <c r="I490" s="6" t="s">
        <v>13</v>
      </c>
      <c r="J490" s="6" t="s">
        <v>218</v>
      </c>
      <c r="K490" s="6" t="s">
        <v>6187</v>
      </c>
      <c r="M490" s="6"/>
    </row>
    <row r="491" customFormat="false" ht="15" hidden="false" customHeight="false" outlineLevel="0" collapsed="false">
      <c r="A491" s="6" t="s">
        <v>6192</v>
      </c>
      <c r="B491" s="6" t="s">
        <v>5097</v>
      </c>
      <c r="C491" s="6" t="s">
        <v>4975</v>
      </c>
      <c r="D491" s="6" t="s">
        <v>5992</v>
      </c>
      <c r="E491" s="6" t="s">
        <v>6185</v>
      </c>
      <c r="F491" s="6" t="s">
        <v>6189</v>
      </c>
      <c r="G491" s="9" t="n">
        <v>134438</v>
      </c>
      <c r="H491" s="6" t="s">
        <v>384</v>
      </c>
      <c r="I491" s="6" t="s">
        <v>13</v>
      </c>
      <c r="J491" s="6" t="s">
        <v>223</v>
      </c>
      <c r="K491" s="6" t="s">
        <v>6190</v>
      </c>
      <c r="M491" s="6"/>
    </row>
    <row r="492" customFormat="false" ht="15" hidden="false" customHeight="false" outlineLevel="0" collapsed="false">
      <c r="A492" s="6" t="s">
        <v>6193</v>
      </c>
      <c r="B492" s="6" t="s">
        <v>5097</v>
      </c>
      <c r="C492" s="6" t="s">
        <v>4975</v>
      </c>
      <c r="D492" s="6" t="s">
        <v>5992</v>
      </c>
      <c r="E492" s="6" t="s">
        <v>6185</v>
      </c>
      <c r="F492" s="6" t="s">
        <v>6194</v>
      </c>
      <c r="G492" s="9" t="n">
        <v>134438</v>
      </c>
      <c r="H492" s="6" t="s">
        <v>384</v>
      </c>
      <c r="I492" s="6" t="s">
        <v>13</v>
      </c>
      <c r="J492" s="6" t="s">
        <v>228</v>
      </c>
      <c r="K492" s="6" t="s">
        <v>6195</v>
      </c>
      <c r="M492" s="6"/>
    </row>
    <row r="493" customFormat="false" ht="15" hidden="false" customHeight="false" outlineLevel="0" collapsed="false">
      <c r="A493" s="6" t="s">
        <v>6196</v>
      </c>
      <c r="B493" s="6" t="s">
        <v>5074</v>
      </c>
      <c r="C493" s="6" t="s">
        <v>4975</v>
      </c>
      <c r="D493" s="6" t="s">
        <v>5992</v>
      </c>
      <c r="E493" s="6" t="s">
        <v>6185</v>
      </c>
      <c r="F493" s="6" t="s">
        <v>6189</v>
      </c>
      <c r="G493" s="9" t="n">
        <v>198099</v>
      </c>
      <c r="H493" s="6" t="s">
        <v>384</v>
      </c>
      <c r="I493" s="6" t="s">
        <v>13</v>
      </c>
      <c r="J493" s="6" t="s">
        <v>223</v>
      </c>
      <c r="K493" s="6" t="s">
        <v>6190</v>
      </c>
      <c r="M493" s="6"/>
    </row>
    <row r="494" customFormat="false" ht="15" hidden="false" customHeight="false" outlineLevel="0" collapsed="false">
      <c r="A494" s="6" t="s">
        <v>6197</v>
      </c>
      <c r="B494" s="6" t="s">
        <v>5074</v>
      </c>
      <c r="C494" s="6" t="s">
        <v>4975</v>
      </c>
      <c r="D494" s="6" t="s">
        <v>5992</v>
      </c>
      <c r="E494" s="6" t="s">
        <v>6185</v>
      </c>
      <c r="F494" s="6" t="s">
        <v>6194</v>
      </c>
      <c r="G494" s="9" t="n">
        <v>198099</v>
      </c>
      <c r="H494" s="6" t="s">
        <v>384</v>
      </c>
      <c r="I494" s="6" t="s">
        <v>13</v>
      </c>
      <c r="J494" s="6" t="s">
        <v>228</v>
      </c>
      <c r="K494" s="6" t="s">
        <v>6195</v>
      </c>
      <c r="M494" s="6"/>
    </row>
    <row r="495" customFormat="false" ht="15" hidden="false" customHeight="false" outlineLevel="0" collapsed="false">
      <c r="A495" s="6" t="s">
        <v>6198</v>
      </c>
      <c r="B495" s="6" t="s">
        <v>5074</v>
      </c>
      <c r="C495" s="6" t="s">
        <v>4975</v>
      </c>
      <c r="D495" s="6" t="s">
        <v>5992</v>
      </c>
      <c r="E495" s="6" t="s">
        <v>6185</v>
      </c>
      <c r="F495" s="6" t="s">
        <v>6199</v>
      </c>
      <c r="G495" s="9" t="n">
        <v>198099</v>
      </c>
      <c r="H495" s="6" t="s">
        <v>384</v>
      </c>
      <c r="I495" s="6" t="s">
        <v>13</v>
      </c>
      <c r="J495" s="6" t="s">
        <v>233</v>
      </c>
      <c r="K495" s="6" t="s">
        <v>6200</v>
      </c>
      <c r="M495" s="6"/>
    </row>
    <row r="496" customFormat="false" ht="15" hidden="false" customHeight="false" outlineLevel="0" collapsed="false">
      <c r="A496" s="6" t="s">
        <v>6201</v>
      </c>
      <c r="B496" s="6" t="s">
        <v>5113</v>
      </c>
      <c r="C496" s="6" t="s">
        <v>4975</v>
      </c>
      <c r="D496" s="6" t="s">
        <v>5992</v>
      </c>
      <c r="E496" s="6" t="s">
        <v>6185</v>
      </c>
      <c r="F496" s="6" t="s">
        <v>6194</v>
      </c>
      <c r="G496" s="9" t="n">
        <v>266284</v>
      </c>
      <c r="H496" s="6" t="s">
        <v>384</v>
      </c>
      <c r="I496" s="6" t="s">
        <v>13</v>
      </c>
      <c r="J496" s="6" t="s">
        <v>228</v>
      </c>
      <c r="K496" s="6" t="s">
        <v>6195</v>
      </c>
      <c r="M496" s="6"/>
    </row>
    <row r="497" customFormat="false" ht="15" hidden="false" customHeight="false" outlineLevel="0" collapsed="false">
      <c r="A497" s="6" t="s">
        <v>6202</v>
      </c>
      <c r="B497" s="6" t="s">
        <v>5113</v>
      </c>
      <c r="C497" s="6" t="s">
        <v>4975</v>
      </c>
      <c r="D497" s="6" t="s">
        <v>5992</v>
      </c>
      <c r="E497" s="6" t="s">
        <v>6185</v>
      </c>
      <c r="F497" s="6" t="s">
        <v>6199</v>
      </c>
      <c r="G497" s="9" t="n">
        <v>266284</v>
      </c>
      <c r="H497" s="6" t="s">
        <v>384</v>
      </c>
      <c r="I497" s="6" t="s">
        <v>13</v>
      </c>
      <c r="J497" s="6" t="s">
        <v>233</v>
      </c>
      <c r="K497" s="6" t="s">
        <v>6200</v>
      </c>
      <c r="M497" s="6"/>
    </row>
    <row r="498" customFormat="false" ht="15" hidden="false" customHeight="false" outlineLevel="0" collapsed="false">
      <c r="A498" s="6" t="s">
        <v>6203</v>
      </c>
      <c r="B498" s="6" t="s">
        <v>5079</v>
      </c>
      <c r="C498" s="6" t="s">
        <v>4975</v>
      </c>
      <c r="D498" s="6" t="s">
        <v>5992</v>
      </c>
      <c r="E498" s="6" t="s">
        <v>6185</v>
      </c>
      <c r="F498" s="6" t="s">
        <v>6199</v>
      </c>
      <c r="G498" s="9" t="n">
        <v>339951</v>
      </c>
      <c r="H498" s="6" t="s">
        <v>384</v>
      </c>
      <c r="I498" s="6" t="s">
        <v>13</v>
      </c>
      <c r="J498" s="6" t="s">
        <v>233</v>
      </c>
      <c r="K498" s="6" t="s">
        <v>6200</v>
      </c>
      <c r="M498" s="6"/>
    </row>
    <row r="499" customFormat="false" ht="15" hidden="false" customHeight="false" outlineLevel="0" collapsed="false">
      <c r="A499" s="6" t="s">
        <v>6204</v>
      </c>
      <c r="B499" s="6" t="s">
        <v>5519</v>
      </c>
      <c r="C499" s="6" t="s">
        <v>5316</v>
      </c>
      <c r="D499" s="6" t="s">
        <v>5992</v>
      </c>
      <c r="E499" s="6" t="s">
        <v>6185</v>
      </c>
      <c r="F499" s="6" t="s">
        <v>6205</v>
      </c>
      <c r="G499" s="9" t="n">
        <v>173093</v>
      </c>
      <c r="H499" s="6" t="s">
        <v>384</v>
      </c>
      <c r="I499" s="6" t="s">
        <v>13</v>
      </c>
      <c r="J499" s="6" t="s">
        <v>238</v>
      </c>
      <c r="K499" s="6" t="s">
        <v>6206</v>
      </c>
      <c r="M499" s="6"/>
    </row>
    <row r="500" customFormat="false" ht="15" hidden="false" customHeight="false" outlineLevel="0" collapsed="false">
      <c r="A500" s="6" t="s">
        <v>6207</v>
      </c>
      <c r="B500" s="6" t="s">
        <v>5315</v>
      </c>
      <c r="C500" s="6" t="s">
        <v>5316</v>
      </c>
      <c r="D500" s="6" t="s">
        <v>5992</v>
      </c>
      <c r="E500" s="6" t="s">
        <v>6185</v>
      </c>
      <c r="F500" s="6" t="s">
        <v>6208</v>
      </c>
      <c r="G500" s="9" t="n">
        <v>208362</v>
      </c>
      <c r="H500" s="6" t="s">
        <v>384</v>
      </c>
      <c r="I500" s="6" t="s">
        <v>13</v>
      </c>
      <c r="J500" s="6" t="s">
        <v>238</v>
      </c>
      <c r="K500" s="6" t="s">
        <v>6206</v>
      </c>
      <c r="M500" s="6"/>
    </row>
    <row r="501" customFormat="false" ht="15" hidden="false" customHeight="false" outlineLevel="0" collapsed="false">
      <c r="A501" s="6" t="s">
        <v>6209</v>
      </c>
      <c r="B501" s="6" t="s">
        <v>5320</v>
      </c>
      <c r="C501" s="6" t="s">
        <v>5316</v>
      </c>
      <c r="D501" s="6" t="s">
        <v>5992</v>
      </c>
      <c r="E501" s="6" t="s">
        <v>6185</v>
      </c>
      <c r="F501" s="6" t="s">
        <v>6210</v>
      </c>
      <c r="G501" s="9" t="n">
        <v>291230</v>
      </c>
      <c r="H501" s="6" t="s">
        <v>384</v>
      </c>
      <c r="I501" s="6" t="s">
        <v>13</v>
      </c>
      <c r="J501" s="6" t="s">
        <v>253</v>
      </c>
      <c r="K501" s="6" t="s">
        <v>6166</v>
      </c>
      <c r="M501" s="6"/>
    </row>
    <row r="502" customFormat="false" ht="15" hidden="false" customHeight="false" outlineLevel="0" collapsed="false">
      <c r="A502" s="6" t="s">
        <v>6211</v>
      </c>
      <c r="B502" s="6" t="s">
        <v>5325</v>
      </c>
      <c r="C502" s="6" t="s">
        <v>5316</v>
      </c>
      <c r="D502" s="6" t="s">
        <v>5992</v>
      </c>
      <c r="E502" s="6" t="s">
        <v>6185</v>
      </c>
      <c r="F502" s="6" t="s">
        <v>6212</v>
      </c>
      <c r="G502" s="9" t="n">
        <v>324860</v>
      </c>
      <c r="H502" s="6" t="s">
        <v>384</v>
      </c>
      <c r="I502" s="6" t="s">
        <v>13</v>
      </c>
      <c r="J502" s="6" t="s">
        <v>261</v>
      </c>
      <c r="K502" s="6" t="s">
        <v>6173</v>
      </c>
      <c r="M502" s="6"/>
    </row>
    <row r="503" customFormat="false" ht="15" hidden="false" customHeight="false" outlineLevel="0" collapsed="false">
      <c r="A503" s="6" t="s">
        <v>6213</v>
      </c>
      <c r="B503" s="6" t="s">
        <v>5113</v>
      </c>
      <c r="C503" s="6" t="s">
        <v>4975</v>
      </c>
      <c r="D503" s="6" t="s">
        <v>6214</v>
      </c>
      <c r="E503" s="6" t="s">
        <v>6215</v>
      </c>
      <c r="F503" s="6" t="s">
        <v>6216</v>
      </c>
      <c r="G503" s="19" t="n">
        <v>5</v>
      </c>
      <c r="H503" s="6" t="s">
        <v>5105</v>
      </c>
      <c r="I503" s="6" t="s">
        <v>13</v>
      </c>
      <c r="J503" s="6" t="s">
        <v>228</v>
      </c>
      <c r="K503" s="6" t="s">
        <v>6217</v>
      </c>
      <c r="M503" s="6"/>
    </row>
    <row r="504" customFormat="false" ht="15" hidden="false" customHeight="false" outlineLevel="0" collapsed="false">
      <c r="A504" s="6" t="s">
        <v>6218</v>
      </c>
      <c r="B504" s="6" t="s">
        <v>5057</v>
      </c>
      <c r="C504" s="6" t="s">
        <v>5050</v>
      </c>
      <c r="D504" s="6" t="s">
        <v>6214</v>
      </c>
      <c r="E504" s="6" t="s">
        <v>6219</v>
      </c>
      <c r="F504" s="6" t="s">
        <v>6220</v>
      </c>
      <c r="G504" s="12" t="n">
        <v>2246202</v>
      </c>
      <c r="H504" s="6" t="s">
        <v>3739</v>
      </c>
      <c r="I504" s="6" t="s">
        <v>13</v>
      </c>
      <c r="J504" s="6" t="s">
        <v>218</v>
      </c>
      <c r="K504" s="6" t="s">
        <v>6221</v>
      </c>
      <c r="M504" s="6" t="s">
        <v>6222</v>
      </c>
    </row>
    <row r="505" customFormat="false" ht="15" hidden="false" customHeight="false" outlineLevel="0" collapsed="false">
      <c r="A505" s="6" t="s">
        <v>6223</v>
      </c>
      <c r="B505" s="6" t="s">
        <v>5079</v>
      </c>
      <c r="C505" s="6" t="s">
        <v>4975</v>
      </c>
      <c r="D505" s="6" t="s">
        <v>6214</v>
      </c>
      <c r="E505" s="6" t="s">
        <v>6224</v>
      </c>
      <c r="F505" s="6" t="s">
        <v>6225</v>
      </c>
      <c r="G505" s="19" t="n">
        <v>1.8</v>
      </c>
      <c r="H505" s="6" t="s">
        <v>5105</v>
      </c>
      <c r="I505" s="6" t="s">
        <v>13</v>
      </c>
      <c r="J505" s="6" t="s">
        <v>310</v>
      </c>
      <c r="K505" s="6" t="s">
        <v>6226</v>
      </c>
      <c r="M505" s="6"/>
    </row>
    <row r="506" customFormat="false" ht="15" hidden="false" customHeight="false" outlineLevel="0" collapsed="false">
      <c r="A506" s="6" t="s">
        <v>6227</v>
      </c>
      <c r="B506" s="6" t="s">
        <v>6228</v>
      </c>
      <c r="C506" s="6" t="s">
        <v>6229</v>
      </c>
      <c r="D506" s="6" t="s">
        <v>6214</v>
      </c>
      <c r="E506" s="6" t="s">
        <v>6230</v>
      </c>
      <c r="F506" s="6" t="s">
        <v>6231</v>
      </c>
      <c r="G506" s="19" t="n">
        <v>1.9</v>
      </c>
      <c r="H506" s="6" t="s">
        <v>5105</v>
      </c>
      <c r="I506" s="6" t="s">
        <v>13</v>
      </c>
      <c r="J506" s="6" t="s">
        <v>310</v>
      </c>
      <c r="K506" s="6" t="s">
        <v>6226</v>
      </c>
      <c r="M506" s="6"/>
    </row>
    <row r="507" customFormat="false" ht="15" hidden="false" customHeight="false" outlineLevel="0" collapsed="false">
      <c r="A507" s="6" t="s">
        <v>6232</v>
      </c>
      <c r="B507" s="6" t="s">
        <v>6233</v>
      </c>
      <c r="C507" s="6" t="s">
        <v>6234</v>
      </c>
      <c r="D507" s="6" t="s">
        <v>6214</v>
      </c>
      <c r="E507" s="6" t="s">
        <v>6235</v>
      </c>
      <c r="F507" s="6" t="s">
        <v>6236</v>
      </c>
      <c r="G507" s="12" t="n">
        <v>10875000</v>
      </c>
      <c r="H507" s="6" t="s">
        <v>3739</v>
      </c>
      <c r="I507" s="6" t="s">
        <v>13</v>
      </c>
      <c r="J507" s="6" t="s">
        <v>261</v>
      </c>
      <c r="K507" s="6" t="s">
        <v>6237</v>
      </c>
      <c r="M507" s="6"/>
    </row>
    <row r="508" customFormat="false" ht="15" hidden="false" customHeight="false" outlineLevel="0" collapsed="false">
      <c r="A508" s="6" t="s">
        <v>6238</v>
      </c>
      <c r="B508" s="6" t="s">
        <v>6233</v>
      </c>
      <c r="C508" s="6" t="s">
        <v>6234</v>
      </c>
      <c r="D508" s="6" t="s">
        <v>6214</v>
      </c>
      <c r="E508" s="6" t="s">
        <v>6239</v>
      </c>
      <c r="F508" s="6" t="s">
        <v>6240</v>
      </c>
      <c r="G508" s="12" t="n">
        <v>10875000</v>
      </c>
      <c r="H508" s="6" t="s">
        <v>3739</v>
      </c>
      <c r="I508" s="6" t="s">
        <v>13</v>
      </c>
      <c r="J508" s="6" t="s">
        <v>316</v>
      </c>
      <c r="K508" s="6" t="s">
        <v>6241</v>
      </c>
      <c r="M508" s="6" t="s">
        <v>6242</v>
      </c>
    </row>
    <row r="509" customFormat="false" ht="15" hidden="false" customHeight="false" outlineLevel="0" collapsed="false">
      <c r="A509" s="6" t="s">
        <v>6243</v>
      </c>
      <c r="B509" s="6" t="s">
        <v>5113</v>
      </c>
      <c r="C509" s="6" t="s">
        <v>4975</v>
      </c>
      <c r="D509" s="6" t="s">
        <v>6214</v>
      </c>
      <c r="E509" s="6" t="s">
        <v>6244</v>
      </c>
      <c r="F509" s="6" t="s">
        <v>6245</v>
      </c>
      <c r="G509" s="9" t="n">
        <v>17908</v>
      </c>
      <c r="H509" s="6" t="s">
        <v>384</v>
      </c>
      <c r="I509" s="6" t="s">
        <v>13</v>
      </c>
      <c r="J509" s="6" t="s">
        <v>228</v>
      </c>
      <c r="K509" s="6" t="s">
        <v>6022</v>
      </c>
      <c r="M509" s="6"/>
    </row>
    <row r="510" customFormat="false" ht="15" hidden="false" customHeight="false" outlineLevel="0" collapsed="false">
      <c r="A510" s="6" t="s">
        <v>6246</v>
      </c>
      <c r="B510" s="6" t="s">
        <v>6247</v>
      </c>
      <c r="C510" s="6" t="s">
        <v>6248</v>
      </c>
      <c r="D510" s="6" t="s">
        <v>6214</v>
      </c>
      <c r="E510" s="6" t="s">
        <v>6249</v>
      </c>
      <c r="F510" s="6" t="s">
        <v>6250</v>
      </c>
      <c r="G510" s="13" t="n">
        <v>9.5</v>
      </c>
      <c r="H510" s="6" t="s">
        <v>3751</v>
      </c>
      <c r="I510" s="6" t="s">
        <v>13</v>
      </c>
      <c r="J510" s="6" t="s">
        <v>310</v>
      </c>
      <c r="K510" s="6" t="s">
        <v>6251</v>
      </c>
      <c r="M510" s="6" t="s">
        <v>6252</v>
      </c>
    </row>
    <row r="511" customFormat="false" ht="15" hidden="false" customHeight="false" outlineLevel="0" collapsed="false">
      <c r="A511" s="6" t="s">
        <v>6253</v>
      </c>
      <c r="B511" s="6" t="s">
        <v>6254</v>
      </c>
      <c r="C511" s="6" t="s">
        <v>6248</v>
      </c>
      <c r="D511" s="6" t="s">
        <v>6214</v>
      </c>
      <c r="E511" s="6" t="s">
        <v>6255</v>
      </c>
      <c r="F511" s="6" t="s">
        <v>6256</v>
      </c>
      <c r="G511" s="13" t="n">
        <v>13</v>
      </c>
      <c r="H511" s="6" t="s">
        <v>3751</v>
      </c>
      <c r="I511" s="6" t="s">
        <v>13</v>
      </c>
      <c r="J511" s="6" t="s">
        <v>310</v>
      </c>
      <c r="K511" s="6" t="s">
        <v>6257</v>
      </c>
      <c r="M511" s="6"/>
    </row>
    <row r="512" customFormat="false" ht="15" hidden="false" customHeight="false" outlineLevel="0" collapsed="false">
      <c r="A512" s="6" t="s">
        <v>6258</v>
      </c>
      <c r="B512" s="6" t="s">
        <v>6259</v>
      </c>
      <c r="C512" s="6" t="s">
        <v>6248</v>
      </c>
      <c r="D512" s="6" t="s">
        <v>6214</v>
      </c>
      <c r="E512" s="6" t="s">
        <v>6260</v>
      </c>
      <c r="F512" s="6" t="s">
        <v>6261</v>
      </c>
      <c r="G512" s="13" t="n">
        <v>13.65</v>
      </c>
      <c r="H512" s="6" t="s">
        <v>3751</v>
      </c>
      <c r="I512" s="6" t="s">
        <v>13</v>
      </c>
      <c r="J512" s="6" t="s">
        <v>310</v>
      </c>
      <c r="K512" s="6" t="s">
        <v>6257</v>
      </c>
      <c r="M512" s="6"/>
    </row>
    <row r="513" customFormat="false" ht="15" hidden="false" customHeight="false" outlineLevel="0" collapsed="false">
      <c r="A513" s="6" t="s">
        <v>6262</v>
      </c>
      <c r="B513" s="6" t="s">
        <v>6233</v>
      </c>
      <c r="C513" s="6" t="s">
        <v>5050</v>
      </c>
      <c r="D513" s="6" t="s">
        <v>6214</v>
      </c>
      <c r="E513" s="6" t="s">
        <v>6263</v>
      </c>
      <c r="F513" s="6" t="s">
        <v>6264</v>
      </c>
      <c r="G513" s="19" t="n">
        <v>8.13</v>
      </c>
      <c r="H513" s="6" t="s">
        <v>5105</v>
      </c>
      <c r="I513" s="6" t="s">
        <v>13</v>
      </c>
      <c r="J513" s="6" t="s">
        <v>310</v>
      </c>
      <c r="K513" s="6" t="s">
        <v>6226</v>
      </c>
      <c r="M513" s="6"/>
    </row>
    <row r="514" customFormat="false" ht="15" hidden="false" customHeight="false" outlineLevel="0" collapsed="false">
      <c r="A514" s="6" t="s">
        <v>6265</v>
      </c>
      <c r="B514" s="6" t="s">
        <v>5519</v>
      </c>
      <c r="C514" s="6" t="s">
        <v>5316</v>
      </c>
      <c r="D514" s="6" t="s">
        <v>6214</v>
      </c>
      <c r="E514" s="6" t="s">
        <v>6266</v>
      </c>
      <c r="F514" s="6" t="s">
        <v>6267</v>
      </c>
      <c r="G514" s="9" t="n">
        <v>2081</v>
      </c>
      <c r="H514" s="6" t="s">
        <v>384</v>
      </c>
      <c r="I514" s="6" t="s">
        <v>13</v>
      </c>
      <c r="J514" s="6" t="s">
        <v>238</v>
      </c>
      <c r="K514" s="6" t="s">
        <v>6268</v>
      </c>
      <c r="M514" s="6"/>
    </row>
    <row r="515" customFormat="false" ht="15" hidden="false" customHeight="false" outlineLevel="0" collapsed="false">
      <c r="A515" s="6" t="s">
        <v>6269</v>
      </c>
      <c r="B515" s="6" t="s">
        <v>5315</v>
      </c>
      <c r="C515" s="6" t="s">
        <v>5316</v>
      </c>
      <c r="D515" s="6" t="s">
        <v>6214</v>
      </c>
      <c r="E515" s="6" t="s">
        <v>6266</v>
      </c>
      <c r="F515" s="6" t="s">
        <v>6267</v>
      </c>
      <c r="G515" s="9" t="n">
        <v>2320</v>
      </c>
      <c r="H515" s="6" t="s">
        <v>384</v>
      </c>
      <c r="I515" s="6" t="s">
        <v>13</v>
      </c>
      <c r="J515" s="6" t="s">
        <v>238</v>
      </c>
      <c r="K515" s="6" t="s">
        <v>6268</v>
      </c>
      <c r="M515" s="6"/>
    </row>
    <row r="516" customFormat="false" ht="15" hidden="false" customHeight="false" outlineLevel="0" collapsed="false">
      <c r="A516" s="6" t="s">
        <v>6270</v>
      </c>
      <c r="B516" s="6" t="s">
        <v>5320</v>
      </c>
      <c r="C516" s="6" t="s">
        <v>5316</v>
      </c>
      <c r="D516" s="6" t="s">
        <v>6214</v>
      </c>
      <c r="E516" s="6" t="s">
        <v>6266</v>
      </c>
      <c r="F516" s="6" t="s">
        <v>6271</v>
      </c>
      <c r="G516" s="9" t="n">
        <v>3613</v>
      </c>
      <c r="H516" s="6" t="s">
        <v>384</v>
      </c>
      <c r="I516" s="6" t="s">
        <v>13</v>
      </c>
      <c r="J516" s="6" t="s">
        <v>253</v>
      </c>
      <c r="K516" s="6" t="s">
        <v>6272</v>
      </c>
      <c r="M516" s="6"/>
    </row>
    <row r="517" customFormat="false" ht="15" hidden="false" customHeight="false" outlineLevel="0" collapsed="false">
      <c r="A517" s="6" t="s">
        <v>6273</v>
      </c>
      <c r="B517" s="6" t="s">
        <v>5074</v>
      </c>
      <c r="C517" s="6" t="s">
        <v>4975</v>
      </c>
      <c r="D517" s="6" t="s">
        <v>6214</v>
      </c>
      <c r="E517" s="6" t="s">
        <v>6274</v>
      </c>
      <c r="F517" s="6" t="s">
        <v>6275</v>
      </c>
      <c r="G517" s="12" t="n">
        <v>80853</v>
      </c>
      <c r="H517" s="6" t="s">
        <v>3739</v>
      </c>
      <c r="I517" s="6" t="s">
        <v>13</v>
      </c>
      <c r="J517" s="6" t="s">
        <v>223</v>
      </c>
      <c r="K517" s="6" t="s">
        <v>6276</v>
      </c>
      <c r="M517" s="6" t="s">
        <v>6277</v>
      </c>
    </row>
    <row r="518" customFormat="false" ht="15" hidden="false" customHeight="false" outlineLevel="0" collapsed="false">
      <c r="A518" s="6" t="s">
        <v>6278</v>
      </c>
      <c r="B518" s="6" t="s">
        <v>5079</v>
      </c>
      <c r="C518" s="6" t="s">
        <v>4975</v>
      </c>
      <c r="D518" s="6" t="s">
        <v>6214</v>
      </c>
      <c r="E518" s="6" t="s">
        <v>6274</v>
      </c>
      <c r="F518" s="6" t="s">
        <v>6279</v>
      </c>
      <c r="G518" s="12" t="n">
        <v>107802</v>
      </c>
      <c r="H518" s="6" t="s">
        <v>3739</v>
      </c>
      <c r="I518" s="6" t="s">
        <v>13</v>
      </c>
      <c r="J518" s="6" t="s">
        <v>233</v>
      </c>
      <c r="K518" s="6" t="s">
        <v>6280</v>
      </c>
      <c r="M518" s="6" t="s">
        <v>6281</v>
      </c>
    </row>
    <row r="519" customFormat="false" ht="15" hidden="false" customHeight="false" outlineLevel="0" collapsed="false">
      <c r="A519" s="6" t="s">
        <v>6282</v>
      </c>
      <c r="B519" s="6" t="s">
        <v>5325</v>
      </c>
      <c r="C519" s="6" t="s">
        <v>5316</v>
      </c>
      <c r="D519" s="6" t="s">
        <v>6214</v>
      </c>
      <c r="E519" s="6" t="s">
        <v>6283</v>
      </c>
      <c r="F519" s="6" t="s">
        <v>6284</v>
      </c>
      <c r="G519" s="12" t="n">
        <v>212941</v>
      </c>
      <c r="H519" s="6" t="s">
        <v>3739</v>
      </c>
      <c r="I519" s="6" t="s">
        <v>13</v>
      </c>
      <c r="J519" s="6" t="s">
        <v>261</v>
      </c>
      <c r="K519" s="6" t="s">
        <v>6285</v>
      </c>
      <c r="M519" s="6" t="s">
        <v>6286</v>
      </c>
    </row>
    <row r="520" customFormat="false" ht="15" hidden="false" customHeight="false" outlineLevel="0" collapsed="false">
      <c r="A520" s="6" t="s">
        <v>6287</v>
      </c>
      <c r="B520" s="6" t="s">
        <v>6233</v>
      </c>
      <c r="C520" s="6" t="s">
        <v>5050</v>
      </c>
      <c r="D520" s="6" t="s">
        <v>6214</v>
      </c>
      <c r="E520" s="6" t="s">
        <v>6288</v>
      </c>
      <c r="F520" s="6" t="s">
        <v>6289</v>
      </c>
      <c r="G520" s="19" t="n">
        <v>9.94</v>
      </c>
      <c r="H520" s="6" t="s">
        <v>5105</v>
      </c>
      <c r="I520" s="6" t="s">
        <v>13</v>
      </c>
      <c r="J520" s="6" t="s">
        <v>310</v>
      </c>
      <c r="K520" s="6" t="s">
        <v>6226</v>
      </c>
      <c r="M520" s="6" t="s">
        <v>6290</v>
      </c>
    </row>
    <row r="521" customFormat="false" ht="15" hidden="false" customHeight="false" outlineLevel="0" collapsed="false">
      <c r="A521" s="6" t="s">
        <v>6291</v>
      </c>
      <c r="B521" s="6" t="s">
        <v>6292</v>
      </c>
      <c r="C521" s="6" t="s">
        <v>6248</v>
      </c>
      <c r="D521" s="6" t="s">
        <v>6214</v>
      </c>
      <c r="E521" s="6" t="s">
        <v>6293</v>
      </c>
      <c r="F521" s="6" t="s">
        <v>6294</v>
      </c>
      <c r="G521" s="19" t="n">
        <v>13650000</v>
      </c>
      <c r="H521" s="6" t="s">
        <v>6295</v>
      </c>
      <c r="I521" s="6" t="s">
        <v>13</v>
      </c>
      <c r="J521" s="6" t="s">
        <v>310</v>
      </c>
      <c r="K521" s="6" t="s">
        <v>6296</v>
      </c>
      <c r="M521" s="6" t="s">
        <v>6297</v>
      </c>
    </row>
    <row r="522" customFormat="false" ht="15" hidden="false" customHeight="false" outlineLevel="0" collapsed="false">
      <c r="A522" s="6" t="s">
        <v>6298</v>
      </c>
      <c r="B522" s="6" t="s">
        <v>6292</v>
      </c>
      <c r="C522" s="6" t="s">
        <v>6248</v>
      </c>
      <c r="D522" s="6" t="s">
        <v>6214</v>
      </c>
      <c r="E522" s="6" t="s">
        <v>6299</v>
      </c>
      <c r="F522" s="6" t="s">
        <v>6300</v>
      </c>
      <c r="G522" s="19" t="n">
        <v>10000000</v>
      </c>
      <c r="H522" s="6" t="s">
        <v>6295</v>
      </c>
      <c r="I522" s="6" t="s">
        <v>13</v>
      </c>
      <c r="J522" s="6" t="s">
        <v>310</v>
      </c>
      <c r="K522" s="6" t="s">
        <v>6296</v>
      </c>
      <c r="M522" s="6" t="s">
        <v>6301</v>
      </c>
    </row>
    <row r="523" customFormat="false" ht="15" hidden="false" customHeight="false" outlineLevel="0" collapsed="false">
      <c r="A523" s="6" t="s">
        <v>6302</v>
      </c>
      <c r="B523" s="6" t="s">
        <v>5203</v>
      </c>
      <c r="C523" s="6" t="s">
        <v>4975</v>
      </c>
      <c r="D523" s="6" t="s">
        <v>6214</v>
      </c>
      <c r="E523" s="6" t="s">
        <v>6303</v>
      </c>
      <c r="F523" s="6" t="s">
        <v>6304</v>
      </c>
      <c r="G523" s="9" t="n">
        <v>18868</v>
      </c>
      <c r="H523" s="6" t="s">
        <v>384</v>
      </c>
      <c r="I523" s="6" t="s">
        <v>13</v>
      </c>
      <c r="J523" s="6" t="s">
        <v>218</v>
      </c>
      <c r="K523" s="6" t="s">
        <v>6305</v>
      </c>
      <c r="M523" s="6"/>
    </row>
    <row r="524" customFormat="false" ht="15" hidden="false" customHeight="false" outlineLevel="0" collapsed="false">
      <c r="A524" s="6" t="s">
        <v>6306</v>
      </c>
      <c r="B524" s="6" t="s">
        <v>5102</v>
      </c>
      <c r="C524" s="6" t="s">
        <v>4975</v>
      </c>
      <c r="D524" s="6" t="s">
        <v>6214</v>
      </c>
      <c r="E524" s="6" t="s">
        <v>6303</v>
      </c>
      <c r="F524" s="6" t="s">
        <v>6307</v>
      </c>
      <c r="G524" s="9" t="n">
        <v>321891</v>
      </c>
      <c r="H524" s="6" t="s">
        <v>384</v>
      </c>
      <c r="I524" s="6" t="s">
        <v>13</v>
      </c>
      <c r="J524" s="6" t="s">
        <v>209</v>
      </c>
      <c r="K524" s="6" t="s">
        <v>6308</v>
      </c>
      <c r="M524" s="6"/>
    </row>
    <row r="525" customFormat="false" ht="15" hidden="false" customHeight="false" outlineLevel="0" collapsed="false">
      <c r="A525" s="6" t="s">
        <v>6309</v>
      </c>
      <c r="B525" s="6" t="s">
        <v>5102</v>
      </c>
      <c r="C525" s="6" t="s">
        <v>4975</v>
      </c>
      <c r="D525" s="6" t="s">
        <v>6214</v>
      </c>
      <c r="E525" s="6" t="s">
        <v>6303</v>
      </c>
      <c r="F525" s="6" t="s">
        <v>6304</v>
      </c>
      <c r="G525" s="9" t="n">
        <v>321891</v>
      </c>
      <c r="H525" s="6" t="s">
        <v>384</v>
      </c>
      <c r="I525" s="6" t="s">
        <v>13</v>
      </c>
      <c r="J525" s="6" t="s">
        <v>218</v>
      </c>
      <c r="K525" s="6" t="s">
        <v>6305</v>
      </c>
      <c r="M525" s="6"/>
    </row>
    <row r="526" customFormat="false" ht="15" hidden="false" customHeight="false" outlineLevel="0" collapsed="false">
      <c r="A526" s="6" t="s">
        <v>6310</v>
      </c>
      <c r="B526" s="6" t="s">
        <v>5097</v>
      </c>
      <c r="C526" s="6" t="s">
        <v>4975</v>
      </c>
      <c r="D526" s="6" t="s">
        <v>6214</v>
      </c>
      <c r="E526" s="6" t="s">
        <v>6303</v>
      </c>
      <c r="F526" s="6" t="s">
        <v>6304</v>
      </c>
      <c r="G526" s="9" t="n">
        <v>346600</v>
      </c>
      <c r="H526" s="6" t="s">
        <v>384</v>
      </c>
      <c r="I526" s="6" t="s">
        <v>13</v>
      </c>
      <c r="J526" s="6" t="s">
        <v>218</v>
      </c>
      <c r="K526" s="6" t="s">
        <v>6305</v>
      </c>
      <c r="M526" s="6"/>
    </row>
    <row r="527" customFormat="false" ht="15" hidden="false" customHeight="false" outlineLevel="0" collapsed="false">
      <c r="A527" s="6" t="s">
        <v>6311</v>
      </c>
      <c r="B527" s="6" t="s">
        <v>5074</v>
      </c>
      <c r="C527" s="6" t="s">
        <v>4975</v>
      </c>
      <c r="D527" s="6" t="s">
        <v>6214</v>
      </c>
      <c r="E527" s="6" t="s">
        <v>6303</v>
      </c>
      <c r="F527" s="6" t="s">
        <v>6312</v>
      </c>
      <c r="G527" s="9" t="n">
        <v>112799</v>
      </c>
      <c r="H527" s="6" t="s">
        <v>384</v>
      </c>
      <c r="I527" s="6" t="s">
        <v>13</v>
      </c>
      <c r="J527" s="6" t="s">
        <v>223</v>
      </c>
      <c r="K527" s="6" t="s">
        <v>6313</v>
      </c>
      <c r="M527" s="6"/>
    </row>
    <row r="528" customFormat="false" ht="15" hidden="false" customHeight="false" outlineLevel="0" collapsed="false">
      <c r="A528" s="6" t="s">
        <v>6314</v>
      </c>
      <c r="B528" s="6" t="s">
        <v>5113</v>
      </c>
      <c r="C528" s="6" t="s">
        <v>4975</v>
      </c>
      <c r="D528" s="6" t="s">
        <v>6214</v>
      </c>
      <c r="E528" s="6" t="s">
        <v>6303</v>
      </c>
      <c r="F528" s="6" t="s">
        <v>6315</v>
      </c>
      <c r="G528" s="9" t="n">
        <v>265405</v>
      </c>
      <c r="H528" s="6" t="s">
        <v>384</v>
      </c>
      <c r="I528" s="6" t="s">
        <v>13</v>
      </c>
      <c r="J528" s="6" t="s">
        <v>228</v>
      </c>
      <c r="K528" s="6" t="s">
        <v>6316</v>
      </c>
      <c r="M528" s="6"/>
    </row>
    <row r="529" customFormat="false" ht="15" hidden="false" customHeight="false" outlineLevel="0" collapsed="false">
      <c r="A529" s="6" t="s">
        <v>6317</v>
      </c>
      <c r="B529" s="6" t="s">
        <v>5113</v>
      </c>
      <c r="C529" s="6" t="s">
        <v>4975</v>
      </c>
      <c r="D529" s="6" t="s">
        <v>6214</v>
      </c>
      <c r="E529" s="6" t="s">
        <v>6318</v>
      </c>
      <c r="F529" s="6" t="s">
        <v>6319</v>
      </c>
      <c r="G529" s="12" t="n">
        <v>77375</v>
      </c>
      <c r="H529" s="6" t="s">
        <v>3739</v>
      </c>
      <c r="I529" s="6" t="s">
        <v>13</v>
      </c>
      <c r="J529" s="6" t="s">
        <v>228</v>
      </c>
      <c r="K529" s="6" t="s">
        <v>6320</v>
      </c>
      <c r="M529" s="6" t="s">
        <v>6321</v>
      </c>
    </row>
    <row r="530" customFormat="false" ht="15" hidden="false" customHeight="false" outlineLevel="0" collapsed="false">
      <c r="A530" s="6" t="s">
        <v>6322</v>
      </c>
      <c r="B530" s="6" t="s">
        <v>5049</v>
      </c>
      <c r="C530" s="6" t="s">
        <v>5050</v>
      </c>
      <c r="D530" s="6" t="s">
        <v>6214</v>
      </c>
      <c r="E530" s="6" t="s">
        <v>6323</v>
      </c>
      <c r="F530" s="6" t="s">
        <v>6324</v>
      </c>
      <c r="G530" s="12" t="n">
        <v>3832645</v>
      </c>
      <c r="H530" s="6" t="s">
        <v>3739</v>
      </c>
      <c r="I530" s="6" t="s">
        <v>13</v>
      </c>
      <c r="J530" s="6" t="s">
        <v>209</v>
      </c>
      <c r="K530" s="6" t="s">
        <v>6325</v>
      </c>
      <c r="M530" s="6"/>
    </row>
    <row r="531" customFormat="false" ht="15" hidden="false" customHeight="false" outlineLevel="0" collapsed="false">
      <c r="A531" s="6" t="s">
        <v>6326</v>
      </c>
      <c r="B531" s="6" t="s">
        <v>5057</v>
      </c>
      <c r="C531" s="6" t="s">
        <v>5050</v>
      </c>
      <c r="D531" s="6" t="s">
        <v>6214</v>
      </c>
      <c r="E531" s="6" t="s">
        <v>6323</v>
      </c>
      <c r="F531" s="6" t="s">
        <v>6327</v>
      </c>
      <c r="G531" s="12" t="n">
        <v>2126460</v>
      </c>
      <c r="H531" s="6" t="s">
        <v>3739</v>
      </c>
      <c r="I531" s="6" t="s">
        <v>13</v>
      </c>
      <c r="J531" s="6" t="s">
        <v>218</v>
      </c>
      <c r="K531" s="6" t="s">
        <v>6305</v>
      </c>
      <c r="M531" s="6"/>
    </row>
    <row r="532" customFormat="false" ht="15" hidden="false" customHeight="false" outlineLevel="0" collapsed="false">
      <c r="A532" s="6" t="s">
        <v>6328</v>
      </c>
      <c r="B532" s="6" t="s">
        <v>5062</v>
      </c>
      <c r="C532" s="6" t="s">
        <v>5050</v>
      </c>
      <c r="D532" s="6" t="s">
        <v>6214</v>
      </c>
      <c r="E532" s="6" t="s">
        <v>6323</v>
      </c>
      <c r="F532" s="6" t="s">
        <v>6329</v>
      </c>
      <c r="G532" s="12" t="n">
        <v>2106504</v>
      </c>
      <c r="H532" s="6" t="s">
        <v>3739</v>
      </c>
      <c r="I532" s="6" t="s">
        <v>13</v>
      </c>
      <c r="J532" s="6" t="s">
        <v>223</v>
      </c>
      <c r="K532" s="6" t="s">
        <v>6313</v>
      </c>
      <c r="M532" s="6"/>
    </row>
    <row r="533" customFormat="false" ht="15" hidden="false" customHeight="false" outlineLevel="0" collapsed="false">
      <c r="A533" s="6" t="s">
        <v>6330</v>
      </c>
      <c r="B533" s="6" t="s">
        <v>5102</v>
      </c>
      <c r="C533" s="6" t="s">
        <v>4975</v>
      </c>
      <c r="D533" s="6" t="s">
        <v>6214</v>
      </c>
      <c r="E533" s="6" t="s">
        <v>6331</v>
      </c>
      <c r="F533" s="6" t="s">
        <v>6332</v>
      </c>
      <c r="G533" s="12" t="n">
        <v>1090670</v>
      </c>
      <c r="H533" s="6" t="s">
        <v>3739</v>
      </c>
      <c r="I533" s="6" t="s">
        <v>13</v>
      </c>
      <c r="J533" s="6" t="s">
        <v>209</v>
      </c>
      <c r="K533" s="6" t="s">
        <v>6325</v>
      </c>
      <c r="M533" s="6"/>
    </row>
    <row r="534" customFormat="false" ht="15" hidden="false" customHeight="false" outlineLevel="0" collapsed="false">
      <c r="A534" s="6" t="s">
        <v>6333</v>
      </c>
      <c r="B534" s="6" t="s">
        <v>5097</v>
      </c>
      <c r="C534" s="6" t="s">
        <v>4975</v>
      </c>
      <c r="D534" s="6" t="s">
        <v>6214</v>
      </c>
      <c r="E534" s="6" t="s">
        <v>6331</v>
      </c>
      <c r="F534" s="6" t="s">
        <v>6334</v>
      </c>
      <c r="G534" s="12" t="n">
        <v>2693614</v>
      </c>
      <c r="H534" s="6" t="s">
        <v>3739</v>
      </c>
      <c r="I534" s="6" t="s">
        <v>13</v>
      </c>
      <c r="J534" s="6" t="s">
        <v>218</v>
      </c>
      <c r="K534" s="6" t="s">
        <v>6305</v>
      </c>
      <c r="M534" s="6"/>
    </row>
    <row r="535" customFormat="false" ht="15" hidden="false" customHeight="false" outlineLevel="0" collapsed="false">
      <c r="A535" s="6" t="s">
        <v>6335</v>
      </c>
      <c r="B535" s="6" t="s">
        <v>5074</v>
      </c>
      <c r="C535" s="6" t="s">
        <v>4975</v>
      </c>
      <c r="D535" s="6" t="s">
        <v>6214</v>
      </c>
      <c r="E535" s="6" t="s">
        <v>6331</v>
      </c>
      <c r="F535" s="6" t="s">
        <v>6336</v>
      </c>
      <c r="G535" s="12" t="n">
        <v>767148</v>
      </c>
      <c r="H535" s="6" t="s">
        <v>3739</v>
      </c>
      <c r="I535" s="6" t="s">
        <v>13</v>
      </c>
      <c r="J535" s="6" t="s">
        <v>223</v>
      </c>
      <c r="K535" s="6" t="s">
        <v>6313</v>
      </c>
      <c r="M535" s="6"/>
    </row>
    <row r="536" customFormat="false" ht="15" hidden="false" customHeight="false" outlineLevel="0" collapsed="false">
      <c r="A536" s="6" t="s">
        <v>6337</v>
      </c>
      <c r="B536" s="6" t="s">
        <v>5113</v>
      </c>
      <c r="C536" s="6" t="s">
        <v>4975</v>
      </c>
      <c r="D536" s="6" t="s">
        <v>6214</v>
      </c>
      <c r="E536" s="6" t="s">
        <v>6331</v>
      </c>
      <c r="F536" s="6" t="s">
        <v>6338</v>
      </c>
      <c r="G536" s="12" t="n">
        <v>1220551</v>
      </c>
      <c r="H536" s="6" t="s">
        <v>3739</v>
      </c>
      <c r="I536" s="6" t="s">
        <v>13</v>
      </c>
      <c r="J536" s="6" t="s">
        <v>228</v>
      </c>
      <c r="K536" s="6" t="s">
        <v>6339</v>
      </c>
      <c r="M536" s="6"/>
    </row>
    <row r="537" customFormat="false" ht="15" hidden="false" customHeight="false" outlineLevel="0" collapsed="false">
      <c r="A537" s="6" t="s">
        <v>6340</v>
      </c>
      <c r="B537" s="6" t="s">
        <v>5079</v>
      </c>
      <c r="C537" s="6" t="s">
        <v>4975</v>
      </c>
      <c r="D537" s="6" t="s">
        <v>6214</v>
      </c>
      <c r="E537" s="6" t="s">
        <v>6331</v>
      </c>
      <c r="F537" s="6" t="s">
        <v>6341</v>
      </c>
      <c r="G537" s="12" t="n">
        <v>505473</v>
      </c>
      <c r="H537" s="6" t="s">
        <v>3739</v>
      </c>
      <c r="I537" s="6" t="s">
        <v>13</v>
      </c>
      <c r="J537" s="6" t="s">
        <v>233</v>
      </c>
      <c r="K537" s="6" t="s">
        <v>6342</v>
      </c>
      <c r="M537" s="6"/>
    </row>
    <row r="538" customFormat="false" ht="15" hidden="false" customHeight="false" outlineLevel="0" collapsed="false">
      <c r="A538" s="6" t="s">
        <v>6343</v>
      </c>
      <c r="B538" s="6" t="s">
        <v>5102</v>
      </c>
      <c r="C538" s="6" t="s">
        <v>4975</v>
      </c>
      <c r="D538" s="6" t="s">
        <v>6214</v>
      </c>
      <c r="E538" s="6" t="s">
        <v>6344</v>
      </c>
      <c r="F538" s="6" t="s">
        <v>6345</v>
      </c>
      <c r="G538" s="12" t="n">
        <v>1706770</v>
      </c>
      <c r="H538" s="6" t="s">
        <v>3739</v>
      </c>
      <c r="I538" s="6" t="s">
        <v>13</v>
      </c>
      <c r="J538" s="6" t="s">
        <v>209</v>
      </c>
      <c r="K538" s="6" t="s">
        <v>6325</v>
      </c>
      <c r="M538" s="6"/>
    </row>
    <row r="539" customFormat="false" ht="15" hidden="false" customHeight="false" outlineLevel="0" collapsed="false">
      <c r="A539" s="6" t="s">
        <v>6346</v>
      </c>
      <c r="B539" s="6" t="s">
        <v>5097</v>
      </c>
      <c r="C539" s="6" t="s">
        <v>4975</v>
      </c>
      <c r="D539" s="6" t="s">
        <v>6214</v>
      </c>
      <c r="E539" s="6" t="s">
        <v>6344</v>
      </c>
      <c r="F539" s="6" t="s">
        <v>6347</v>
      </c>
      <c r="G539" s="12" t="n">
        <v>406575</v>
      </c>
      <c r="H539" s="6" t="s">
        <v>3739</v>
      </c>
      <c r="I539" s="6" t="s">
        <v>13</v>
      </c>
      <c r="J539" s="6" t="s">
        <v>218</v>
      </c>
      <c r="K539" s="6" t="s">
        <v>6305</v>
      </c>
      <c r="M539" s="6" t="s">
        <v>6348</v>
      </c>
    </row>
    <row r="540" customFormat="false" ht="15" hidden="false" customHeight="false" outlineLevel="0" collapsed="false">
      <c r="A540" s="6" t="s">
        <v>6349</v>
      </c>
      <c r="B540" s="6" t="s">
        <v>5074</v>
      </c>
      <c r="C540" s="6" t="s">
        <v>4975</v>
      </c>
      <c r="D540" s="6" t="s">
        <v>6214</v>
      </c>
      <c r="E540" s="6" t="s">
        <v>6344</v>
      </c>
      <c r="F540" s="6" t="s">
        <v>6350</v>
      </c>
      <c r="G540" s="12" t="n">
        <v>207305</v>
      </c>
      <c r="H540" s="6" t="s">
        <v>3739</v>
      </c>
      <c r="I540" s="6" t="s">
        <v>13</v>
      </c>
      <c r="J540" s="6" t="s">
        <v>223</v>
      </c>
      <c r="K540" s="6" t="s">
        <v>6313</v>
      </c>
      <c r="M540" s="6" t="s">
        <v>6351</v>
      </c>
    </row>
    <row r="541" customFormat="false" ht="15" hidden="false" customHeight="false" outlineLevel="0" collapsed="false">
      <c r="A541" s="6" t="s">
        <v>6352</v>
      </c>
      <c r="B541" s="6" t="s">
        <v>5079</v>
      </c>
      <c r="C541" s="6" t="s">
        <v>4975</v>
      </c>
      <c r="D541" s="6" t="s">
        <v>6214</v>
      </c>
      <c r="E541" s="6" t="s">
        <v>6344</v>
      </c>
      <c r="F541" s="6" t="s">
        <v>6353</v>
      </c>
      <c r="G541" s="12" t="n">
        <v>42897</v>
      </c>
      <c r="H541" s="6" t="s">
        <v>3739</v>
      </c>
      <c r="I541" s="6" t="s">
        <v>13</v>
      </c>
      <c r="J541" s="6" t="s">
        <v>233</v>
      </c>
      <c r="K541" s="6" t="s">
        <v>6342</v>
      </c>
      <c r="M541" s="6"/>
    </row>
    <row r="542" customFormat="false" ht="15" hidden="false" customHeight="false" outlineLevel="0" collapsed="false">
      <c r="A542" s="6" t="s">
        <v>6354</v>
      </c>
      <c r="B542" s="6" t="s">
        <v>5097</v>
      </c>
      <c r="C542" s="6" t="s">
        <v>4975</v>
      </c>
      <c r="D542" s="6" t="s">
        <v>6214</v>
      </c>
      <c r="E542" s="6" t="s">
        <v>6355</v>
      </c>
      <c r="F542" s="6" t="s">
        <v>6347</v>
      </c>
      <c r="G542" s="19" t="n">
        <v>192.91</v>
      </c>
      <c r="H542" s="6" t="s">
        <v>6356</v>
      </c>
      <c r="I542" s="6" t="s">
        <v>13</v>
      </c>
      <c r="J542" s="6" t="s">
        <v>218</v>
      </c>
      <c r="K542" s="6" t="s">
        <v>6305</v>
      </c>
      <c r="M542" s="6"/>
    </row>
    <row r="543" customFormat="false" ht="15" hidden="false" customHeight="false" outlineLevel="0" collapsed="false">
      <c r="A543" s="6" t="s">
        <v>6357</v>
      </c>
      <c r="B543" s="6" t="s">
        <v>5097</v>
      </c>
      <c r="C543" s="6" t="s">
        <v>4975</v>
      </c>
      <c r="D543" s="6" t="s">
        <v>6214</v>
      </c>
      <c r="E543" s="6" t="s">
        <v>6358</v>
      </c>
      <c r="F543" s="6" t="s">
        <v>6359</v>
      </c>
      <c r="G543" s="12" t="n">
        <v>199514</v>
      </c>
      <c r="H543" s="6" t="s">
        <v>3739</v>
      </c>
      <c r="I543" s="6" t="s">
        <v>13</v>
      </c>
      <c r="J543" s="6" t="s">
        <v>218</v>
      </c>
      <c r="K543" s="6" t="s">
        <v>5100</v>
      </c>
      <c r="M543" s="6"/>
    </row>
    <row r="544" customFormat="false" ht="15" hidden="false" customHeight="false" outlineLevel="0" collapsed="false">
      <c r="A544" s="6" t="s">
        <v>6360</v>
      </c>
      <c r="B544" s="6" t="s">
        <v>5049</v>
      </c>
      <c r="C544" s="6" t="s">
        <v>5050</v>
      </c>
      <c r="D544" s="6" t="s">
        <v>6214</v>
      </c>
      <c r="E544" s="6" t="s">
        <v>6361</v>
      </c>
      <c r="F544" s="6" t="s">
        <v>6362</v>
      </c>
      <c r="G544" s="12" t="n">
        <v>6204605</v>
      </c>
      <c r="H544" s="6" t="s">
        <v>3739</v>
      </c>
      <c r="I544" s="6" t="s">
        <v>13</v>
      </c>
      <c r="J544" s="6" t="s">
        <v>209</v>
      </c>
      <c r="K544" s="6" t="s">
        <v>6325</v>
      </c>
      <c r="M544" s="6" t="s">
        <v>6363</v>
      </c>
    </row>
    <row r="545" customFormat="false" ht="15" hidden="false" customHeight="false" outlineLevel="0" collapsed="false">
      <c r="A545" s="6" t="s">
        <v>6364</v>
      </c>
      <c r="B545" s="6" t="s">
        <v>6365</v>
      </c>
      <c r="C545" s="6" t="s">
        <v>5050</v>
      </c>
      <c r="D545" s="6" t="s">
        <v>6214</v>
      </c>
      <c r="E545" s="6" t="s">
        <v>6361</v>
      </c>
      <c r="F545" s="6" t="s">
        <v>6366</v>
      </c>
      <c r="G545" s="12" t="n">
        <v>6204605</v>
      </c>
      <c r="H545" s="6" t="s">
        <v>3739</v>
      </c>
      <c r="I545" s="6" t="s">
        <v>13</v>
      </c>
      <c r="J545" s="6" t="s">
        <v>218</v>
      </c>
      <c r="K545" s="6" t="s">
        <v>6305</v>
      </c>
      <c r="M545" s="6"/>
    </row>
    <row r="546" customFormat="false" ht="15" hidden="false" customHeight="false" outlineLevel="0" collapsed="false">
      <c r="A546" s="6" t="s">
        <v>6367</v>
      </c>
      <c r="B546" s="6" t="s">
        <v>5057</v>
      </c>
      <c r="C546" s="6" t="s">
        <v>5050</v>
      </c>
      <c r="D546" s="6" t="s">
        <v>6214</v>
      </c>
      <c r="E546" s="6" t="s">
        <v>6361</v>
      </c>
      <c r="F546" s="6" t="s">
        <v>6368</v>
      </c>
      <c r="G546" s="12" t="n">
        <v>3800024</v>
      </c>
      <c r="H546" s="6" t="s">
        <v>3739</v>
      </c>
      <c r="I546" s="6" t="s">
        <v>13</v>
      </c>
      <c r="J546" s="6" t="s">
        <v>218</v>
      </c>
      <c r="K546" s="6" t="s">
        <v>6305</v>
      </c>
      <c r="M546" s="6"/>
    </row>
    <row r="547" customFormat="false" ht="15" hidden="false" customHeight="false" outlineLevel="0" collapsed="false">
      <c r="A547" s="6" t="s">
        <v>6369</v>
      </c>
      <c r="B547" s="6" t="s">
        <v>6370</v>
      </c>
      <c r="C547" s="6" t="s">
        <v>5050</v>
      </c>
      <c r="D547" s="6" t="s">
        <v>6214</v>
      </c>
      <c r="E547" s="6" t="s">
        <v>6361</v>
      </c>
      <c r="F547" s="6" t="s">
        <v>6371</v>
      </c>
      <c r="G547" s="12" t="n">
        <v>3800024</v>
      </c>
      <c r="H547" s="6" t="s">
        <v>3739</v>
      </c>
      <c r="I547" s="6" t="s">
        <v>13</v>
      </c>
      <c r="J547" s="6" t="s">
        <v>223</v>
      </c>
      <c r="K547" s="6" t="s">
        <v>6313</v>
      </c>
      <c r="M547" s="6"/>
    </row>
    <row r="548" customFormat="false" ht="15" hidden="false" customHeight="false" outlineLevel="0" collapsed="false">
      <c r="A548" s="6" t="s">
        <v>6372</v>
      </c>
      <c r="B548" s="6" t="s">
        <v>5062</v>
      </c>
      <c r="C548" s="6" t="s">
        <v>5050</v>
      </c>
      <c r="D548" s="6" t="s">
        <v>6214</v>
      </c>
      <c r="E548" s="6" t="s">
        <v>6361</v>
      </c>
      <c r="F548" s="6" t="s">
        <v>6373</v>
      </c>
      <c r="G548" s="12" t="n">
        <v>3079252</v>
      </c>
      <c r="H548" s="6" t="s">
        <v>3739</v>
      </c>
      <c r="I548" s="6" t="s">
        <v>13</v>
      </c>
      <c r="J548" s="6" t="s">
        <v>223</v>
      </c>
      <c r="K548" s="6" t="s">
        <v>6313</v>
      </c>
      <c r="M548" s="6" t="s">
        <v>6374</v>
      </c>
    </row>
    <row r="549" customFormat="false" ht="15" hidden="false" customHeight="false" outlineLevel="0" collapsed="false">
      <c r="A549" s="6" t="s">
        <v>6375</v>
      </c>
      <c r="B549" s="6" t="s">
        <v>5067</v>
      </c>
      <c r="C549" s="6" t="s">
        <v>5050</v>
      </c>
      <c r="D549" s="6" t="s">
        <v>6214</v>
      </c>
      <c r="E549" s="6" t="s">
        <v>6361</v>
      </c>
      <c r="F549" s="6" t="s">
        <v>6376</v>
      </c>
      <c r="G549" s="12" t="n">
        <v>1768230</v>
      </c>
      <c r="H549" s="6" t="s">
        <v>3739</v>
      </c>
      <c r="I549" s="6" t="s">
        <v>13</v>
      </c>
      <c r="J549" s="6" t="s">
        <v>228</v>
      </c>
      <c r="K549" s="6" t="s">
        <v>6339</v>
      </c>
      <c r="M549" s="6" t="s">
        <v>6377</v>
      </c>
    </row>
    <row r="550" customFormat="false" ht="15" hidden="false" customHeight="false" outlineLevel="0" collapsed="false">
      <c r="A550" s="6" t="s">
        <v>6378</v>
      </c>
      <c r="B550" s="6" t="s">
        <v>5072</v>
      </c>
      <c r="C550" s="6" t="s">
        <v>5050</v>
      </c>
      <c r="D550" s="6" t="s">
        <v>6214</v>
      </c>
      <c r="E550" s="6" t="s">
        <v>6361</v>
      </c>
      <c r="F550" s="6" t="s">
        <v>6379</v>
      </c>
      <c r="G550" s="12" t="n">
        <v>1257067</v>
      </c>
      <c r="H550" s="6" t="s">
        <v>3739</v>
      </c>
      <c r="I550" s="6" t="s">
        <v>13</v>
      </c>
      <c r="J550" s="6" t="s">
        <v>233</v>
      </c>
      <c r="K550" s="6" t="s">
        <v>6342</v>
      </c>
      <c r="M550" s="6"/>
    </row>
    <row r="551" customFormat="false" ht="15" hidden="false" customHeight="false" outlineLevel="0" collapsed="false">
      <c r="A551" s="6" t="s">
        <v>6380</v>
      </c>
      <c r="B551" s="6" t="s">
        <v>5057</v>
      </c>
      <c r="C551" s="6" t="s">
        <v>5050</v>
      </c>
      <c r="D551" s="6" t="s">
        <v>6214</v>
      </c>
      <c r="E551" s="6" t="s">
        <v>6381</v>
      </c>
      <c r="F551" s="6" t="s">
        <v>6382</v>
      </c>
      <c r="G551" s="12" t="n">
        <v>47737868</v>
      </c>
      <c r="H551" s="6" t="s">
        <v>3739</v>
      </c>
      <c r="I551" s="6" t="s">
        <v>13</v>
      </c>
      <c r="J551" s="6" t="s">
        <v>223</v>
      </c>
      <c r="K551" s="6" t="s">
        <v>6065</v>
      </c>
      <c r="M551" s="6"/>
    </row>
    <row r="552" customFormat="false" ht="15" hidden="false" customHeight="false" outlineLevel="0" collapsed="false">
      <c r="A552" s="6" t="s">
        <v>6383</v>
      </c>
      <c r="B552" s="6" t="s">
        <v>5062</v>
      </c>
      <c r="C552" s="6" t="s">
        <v>5050</v>
      </c>
      <c r="D552" s="6" t="s">
        <v>6214</v>
      </c>
      <c r="E552" s="6" t="s">
        <v>6381</v>
      </c>
      <c r="F552" s="6" t="s">
        <v>6384</v>
      </c>
      <c r="G552" s="12" t="n">
        <v>48923903</v>
      </c>
      <c r="H552" s="6" t="s">
        <v>3739</v>
      </c>
      <c r="I552" s="6" t="s">
        <v>13</v>
      </c>
      <c r="J552" s="6" t="s">
        <v>223</v>
      </c>
      <c r="K552" s="6" t="s">
        <v>6385</v>
      </c>
      <c r="M552" s="6"/>
    </row>
    <row r="553" customFormat="false" ht="15" hidden="false" customHeight="false" outlineLevel="0" collapsed="false">
      <c r="A553" s="6" t="s">
        <v>6386</v>
      </c>
      <c r="B553" s="6" t="s">
        <v>5239</v>
      </c>
      <c r="C553" s="6" t="s">
        <v>5050</v>
      </c>
      <c r="D553" s="6" t="s">
        <v>6214</v>
      </c>
      <c r="E553" s="6" t="s">
        <v>6381</v>
      </c>
      <c r="F553" s="6" t="s">
        <v>6387</v>
      </c>
      <c r="G553" s="12" t="n">
        <v>49858787</v>
      </c>
      <c r="H553" s="6" t="s">
        <v>3739</v>
      </c>
      <c r="I553" s="6" t="s">
        <v>13</v>
      </c>
      <c r="J553" s="6" t="s">
        <v>238</v>
      </c>
      <c r="K553" s="6" t="s">
        <v>6388</v>
      </c>
      <c r="M553" s="6"/>
    </row>
    <row r="554" customFormat="false" ht="15" hidden="false" customHeight="false" outlineLevel="0" collapsed="false">
      <c r="A554" s="6" t="s">
        <v>6389</v>
      </c>
      <c r="B554" s="6" t="s">
        <v>5245</v>
      </c>
      <c r="C554" s="6" t="s">
        <v>5050</v>
      </c>
      <c r="D554" s="6" t="s">
        <v>6214</v>
      </c>
      <c r="E554" s="6" t="s">
        <v>6381</v>
      </c>
      <c r="F554" s="6" t="s">
        <v>6390</v>
      </c>
      <c r="G554" s="12" t="n">
        <v>51551462</v>
      </c>
      <c r="H554" s="6" t="s">
        <v>3739</v>
      </c>
      <c r="I554" s="6" t="s">
        <v>13</v>
      </c>
      <c r="J554" s="6" t="s">
        <v>253</v>
      </c>
      <c r="K554" s="6" t="s">
        <v>6391</v>
      </c>
      <c r="M554" s="6"/>
    </row>
    <row r="555" customFormat="false" ht="15" hidden="false" customHeight="false" outlineLevel="0" collapsed="false">
      <c r="A555" s="6" t="s">
        <v>6392</v>
      </c>
      <c r="B555" s="6" t="s">
        <v>5072</v>
      </c>
      <c r="C555" s="6" t="s">
        <v>5050</v>
      </c>
      <c r="D555" s="6" t="s">
        <v>6214</v>
      </c>
      <c r="E555" s="6" t="s">
        <v>6381</v>
      </c>
      <c r="F555" s="6" t="s">
        <v>6393</v>
      </c>
      <c r="G555" s="12" t="n">
        <v>51160822</v>
      </c>
      <c r="H555" s="6" t="s">
        <v>3739</v>
      </c>
      <c r="I555" s="6" t="s">
        <v>13</v>
      </c>
      <c r="J555" s="6" t="s">
        <v>261</v>
      </c>
      <c r="K555" s="6" t="s">
        <v>6394</v>
      </c>
      <c r="M555" s="6"/>
    </row>
    <row r="556" customFormat="false" ht="15" hidden="false" customHeight="false" outlineLevel="0" collapsed="false">
      <c r="A556" s="6" t="s">
        <v>6395</v>
      </c>
      <c r="B556" s="6" t="s">
        <v>5249</v>
      </c>
      <c r="C556" s="6" t="s">
        <v>5050</v>
      </c>
      <c r="D556" s="6" t="s">
        <v>6214</v>
      </c>
      <c r="E556" s="6" t="s">
        <v>6381</v>
      </c>
      <c r="F556" s="6" t="s">
        <v>6393</v>
      </c>
      <c r="G556" s="12" t="n">
        <v>42274119</v>
      </c>
      <c r="H556" s="6" t="s">
        <v>3739</v>
      </c>
      <c r="I556" s="6" t="s">
        <v>13</v>
      </c>
      <c r="J556" s="6" t="s">
        <v>261</v>
      </c>
      <c r="K556" s="6" t="s">
        <v>6394</v>
      </c>
      <c r="M556" s="6" t="s">
        <v>6396</v>
      </c>
    </row>
    <row r="557" customFormat="false" ht="15" hidden="false" customHeight="false" outlineLevel="0" collapsed="false">
      <c r="A557" s="6" t="s">
        <v>6397</v>
      </c>
      <c r="B557" s="6" t="s">
        <v>5057</v>
      </c>
      <c r="C557" s="6" t="s">
        <v>5050</v>
      </c>
      <c r="D557" s="6" t="s">
        <v>6214</v>
      </c>
      <c r="E557" s="6" t="s">
        <v>6398</v>
      </c>
      <c r="F557" s="6" t="s">
        <v>6399</v>
      </c>
      <c r="G557" s="12" t="n">
        <v>38239</v>
      </c>
      <c r="H557" s="6" t="s">
        <v>3739</v>
      </c>
      <c r="I557" s="6" t="s">
        <v>13</v>
      </c>
      <c r="J557" s="6" t="s">
        <v>218</v>
      </c>
      <c r="K557" s="6" t="s">
        <v>6400</v>
      </c>
      <c r="M557" s="6"/>
    </row>
    <row r="558" customFormat="false" ht="15" hidden="false" customHeight="false" outlineLevel="0" collapsed="false">
      <c r="A558" s="6" t="s">
        <v>6401</v>
      </c>
      <c r="B558" s="6" t="s">
        <v>5239</v>
      </c>
      <c r="C558" s="6" t="s">
        <v>5050</v>
      </c>
      <c r="D558" s="6" t="s">
        <v>6214</v>
      </c>
      <c r="E558" s="6" t="s">
        <v>6402</v>
      </c>
      <c r="F558" s="6" t="s">
        <v>6403</v>
      </c>
      <c r="G558" s="12" t="n">
        <v>2355980</v>
      </c>
      <c r="H558" s="6" t="s">
        <v>3739</v>
      </c>
      <c r="I558" s="6" t="s">
        <v>13</v>
      </c>
      <c r="J558" s="6" t="s">
        <v>238</v>
      </c>
      <c r="K558" s="6" t="s">
        <v>6404</v>
      </c>
      <c r="M558" s="6" t="s">
        <v>6405</v>
      </c>
    </row>
    <row r="559" customFormat="false" ht="15" hidden="false" customHeight="false" outlineLevel="0" collapsed="false">
      <c r="A559" s="6" t="s">
        <v>6406</v>
      </c>
      <c r="B559" s="6" t="s">
        <v>5245</v>
      </c>
      <c r="C559" s="6" t="s">
        <v>5050</v>
      </c>
      <c r="D559" s="6" t="s">
        <v>6214</v>
      </c>
      <c r="E559" s="6" t="s">
        <v>6402</v>
      </c>
      <c r="F559" s="6" t="s">
        <v>6407</v>
      </c>
      <c r="G559" s="12" t="n">
        <v>1361703</v>
      </c>
      <c r="H559" s="6" t="s">
        <v>3739</v>
      </c>
      <c r="I559" s="6" t="s">
        <v>13</v>
      </c>
      <c r="J559" s="6" t="s">
        <v>253</v>
      </c>
      <c r="K559" s="6" t="s">
        <v>6408</v>
      </c>
      <c r="M559" s="6"/>
    </row>
    <row r="560" customFormat="false" ht="15" hidden="false" customHeight="false" outlineLevel="0" collapsed="false">
      <c r="A560" s="6" t="s">
        <v>6409</v>
      </c>
      <c r="B560" s="6" t="s">
        <v>5249</v>
      </c>
      <c r="C560" s="6" t="s">
        <v>5050</v>
      </c>
      <c r="D560" s="6" t="s">
        <v>6214</v>
      </c>
      <c r="E560" s="6" t="s">
        <v>6402</v>
      </c>
      <c r="F560" s="6" t="s">
        <v>6410</v>
      </c>
      <c r="G560" s="12" t="n">
        <v>1150320</v>
      </c>
      <c r="H560" s="6" t="s">
        <v>3739</v>
      </c>
      <c r="I560" s="6" t="s">
        <v>13</v>
      </c>
      <c r="J560" s="6" t="s">
        <v>261</v>
      </c>
      <c r="K560" s="6" t="s">
        <v>6411</v>
      </c>
      <c r="M560" s="6"/>
    </row>
    <row r="561" customFormat="false" ht="15" hidden="false" customHeight="false" outlineLevel="0" collapsed="false">
      <c r="A561" s="6" t="s">
        <v>6412</v>
      </c>
      <c r="B561" s="6" t="s">
        <v>5049</v>
      </c>
      <c r="C561" s="6" t="s">
        <v>5050</v>
      </c>
      <c r="D561" s="6" t="s">
        <v>6214</v>
      </c>
      <c r="E561" s="6" t="s">
        <v>6413</v>
      </c>
      <c r="F561" s="6" t="s">
        <v>6414</v>
      </c>
      <c r="G561" s="12" t="n">
        <v>6302344</v>
      </c>
      <c r="H561" s="6" t="s">
        <v>3739</v>
      </c>
      <c r="I561" s="6" t="s">
        <v>13</v>
      </c>
      <c r="J561" s="6" t="s">
        <v>218</v>
      </c>
      <c r="K561" s="6" t="s">
        <v>6415</v>
      </c>
      <c r="M561" s="6"/>
    </row>
    <row r="562" customFormat="false" ht="15" hidden="false" customHeight="false" outlineLevel="0" collapsed="false">
      <c r="A562" s="6" t="s">
        <v>6416</v>
      </c>
      <c r="B562" s="6" t="s">
        <v>5057</v>
      </c>
      <c r="C562" s="6" t="s">
        <v>5050</v>
      </c>
      <c r="D562" s="6" t="s">
        <v>6214</v>
      </c>
      <c r="E562" s="6" t="s">
        <v>6413</v>
      </c>
      <c r="F562" s="6" t="s">
        <v>6414</v>
      </c>
      <c r="G562" s="12" t="n">
        <v>4617018</v>
      </c>
      <c r="H562" s="6" t="s">
        <v>3739</v>
      </c>
      <c r="I562" s="6" t="s">
        <v>13</v>
      </c>
      <c r="J562" s="6" t="s">
        <v>218</v>
      </c>
      <c r="K562" s="6" t="s">
        <v>6415</v>
      </c>
      <c r="M562" s="6"/>
    </row>
    <row r="563" customFormat="false" ht="15" hidden="false" customHeight="false" outlineLevel="0" collapsed="false">
      <c r="A563" s="6" t="s">
        <v>6417</v>
      </c>
      <c r="B563" s="6" t="s">
        <v>5057</v>
      </c>
      <c r="C563" s="6" t="s">
        <v>5050</v>
      </c>
      <c r="D563" s="6" t="s">
        <v>6214</v>
      </c>
      <c r="E563" s="6" t="s">
        <v>6413</v>
      </c>
      <c r="F563" s="6" t="s">
        <v>6418</v>
      </c>
      <c r="G563" s="12" t="n">
        <v>4617018</v>
      </c>
      <c r="H563" s="6" t="s">
        <v>3739</v>
      </c>
      <c r="I563" s="6" t="s">
        <v>13</v>
      </c>
      <c r="J563" s="6" t="s">
        <v>223</v>
      </c>
      <c r="K563" s="6" t="s">
        <v>6419</v>
      </c>
      <c r="M563" s="6"/>
    </row>
    <row r="564" customFormat="false" ht="15" hidden="false" customHeight="false" outlineLevel="0" collapsed="false">
      <c r="A564" s="6" t="s">
        <v>6420</v>
      </c>
      <c r="B564" s="6" t="s">
        <v>5062</v>
      </c>
      <c r="C564" s="6" t="s">
        <v>5050</v>
      </c>
      <c r="D564" s="6" t="s">
        <v>6214</v>
      </c>
      <c r="E564" s="6" t="s">
        <v>6413</v>
      </c>
      <c r="F564" s="6" t="s">
        <v>6418</v>
      </c>
      <c r="G564" s="12" t="n">
        <v>4294853</v>
      </c>
      <c r="H564" s="6" t="s">
        <v>3739</v>
      </c>
      <c r="I564" s="6" t="s">
        <v>13</v>
      </c>
      <c r="J564" s="6" t="s">
        <v>223</v>
      </c>
      <c r="K564" s="6" t="s">
        <v>6419</v>
      </c>
      <c r="M564" s="6"/>
    </row>
    <row r="565" customFormat="false" ht="15" hidden="false" customHeight="false" outlineLevel="0" collapsed="false">
      <c r="A565" s="6" t="s">
        <v>6421</v>
      </c>
      <c r="B565" s="6" t="s">
        <v>5062</v>
      </c>
      <c r="C565" s="6" t="s">
        <v>5050</v>
      </c>
      <c r="D565" s="6" t="s">
        <v>6214</v>
      </c>
      <c r="E565" s="6" t="s">
        <v>6413</v>
      </c>
      <c r="F565" s="6" t="s">
        <v>6422</v>
      </c>
      <c r="G565" s="12" t="n">
        <v>4294853</v>
      </c>
      <c r="H565" s="6" t="s">
        <v>3739</v>
      </c>
      <c r="I565" s="6" t="s">
        <v>13</v>
      </c>
      <c r="J565" s="6" t="s">
        <v>228</v>
      </c>
      <c r="K565" s="6" t="s">
        <v>6423</v>
      </c>
      <c r="M565" s="6"/>
    </row>
    <row r="566" customFormat="false" ht="15" hidden="false" customHeight="false" outlineLevel="0" collapsed="false">
      <c r="A566" s="6" t="s">
        <v>6424</v>
      </c>
      <c r="B566" s="6" t="s">
        <v>5067</v>
      </c>
      <c r="C566" s="6" t="s">
        <v>5050</v>
      </c>
      <c r="D566" s="6" t="s">
        <v>6214</v>
      </c>
      <c r="E566" s="6" t="s">
        <v>6413</v>
      </c>
      <c r="F566" s="6" t="s">
        <v>6422</v>
      </c>
      <c r="G566" s="12" t="n">
        <v>3164395</v>
      </c>
      <c r="H566" s="6" t="s">
        <v>3739</v>
      </c>
      <c r="I566" s="6" t="s">
        <v>13</v>
      </c>
      <c r="J566" s="6" t="s">
        <v>228</v>
      </c>
      <c r="K566" s="6" t="s">
        <v>6423</v>
      </c>
      <c r="M566" s="6"/>
    </row>
    <row r="567" customFormat="false" ht="15" hidden="false" customHeight="false" outlineLevel="0" collapsed="false">
      <c r="A567" s="6" t="s">
        <v>6425</v>
      </c>
      <c r="B567" s="6" t="s">
        <v>5097</v>
      </c>
      <c r="C567" s="6" t="s">
        <v>4975</v>
      </c>
      <c r="D567" s="6" t="s">
        <v>6214</v>
      </c>
      <c r="E567" s="6" t="s">
        <v>6426</v>
      </c>
      <c r="F567" s="6" t="s">
        <v>6427</v>
      </c>
      <c r="G567" s="12" t="n">
        <v>91344</v>
      </c>
      <c r="H567" s="6" t="s">
        <v>3739</v>
      </c>
      <c r="I567" s="6" t="s">
        <v>13</v>
      </c>
      <c r="J567" s="6" t="s">
        <v>218</v>
      </c>
      <c r="K567" s="6" t="s">
        <v>6305</v>
      </c>
      <c r="M567" s="6"/>
    </row>
    <row r="568" customFormat="false" ht="15" hidden="false" customHeight="false" outlineLevel="0" collapsed="false">
      <c r="A568" s="6" t="s">
        <v>6428</v>
      </c>
      <c r="B568" s="6" t="s">
        <v>5074</v>
      </c>
      <c r="C568" s="6" t="s">
        <v>4975</v>
      </c>
      <c r="D568" s="6" t="s">
        <v>6214</v>
      </c>
      <c r="E568" s="6" t="s">
        <v>6429</v>
      </c>
      <c r="F568" s="6" t="s">
        <v>6430</v>
      </c>
      <c r="G568" s="9" t="n">
        <v>21243</v>
      </c>
      <c r="H568" s="6" t="s">
        <v>384</v>
      </c>
      <c r="I568" s="6" t="s">
        <v>13</v>
      </c>
      <c r="J568" s="6" t="s">
        <v>223</v>
      </c>
      <c r="K568" s="6" t="s">
        <v>6013</v>
      </c>
      <c r="M568" s="6"/>
    </row>
    <row r="569" customFormat="false" ht="15" hidden="false" customHeight="false" outlineLevel="0" collapsed="false">
      <c r="A569" s="6" t="s">
        <v>6431</v>
      </c>
      <c r="B569" s="6" t="s">
        <v>5097</v>
      </c>
      <c r="C569" s="6" t="s">
        <v>4975</v>
      </c>
      <c r="D569" s="6" t="s">
        <v>6214</v>
      </c>
      <c r="E569" s="6" t="s">
        <v>6432</v>
      </c>
      <c r="F569" s="6" t="s">
        <v>6433</v>
      </c>
      <c r="G569" s="12" t="n">
        <v>64297</v>
      </c>
      <c r="H569" s="6" t="s">
        <v>3739</v>
      </c>
      <c r="I569" s="6" t="s">
        <v>13</v>
      </c>
      <c r="J569" s="6" t="s">
        <v>218</v>
      </c>
      <c r="K569" s="6" t="s">
        <v>6434</v>
      </c>
      <c r="M569" s="6"/>
    </row>
    <row r="570" customFormat="false" ht="15" hidden="false" customHeight="false" outlineLevel="0" collapsed="false">
      <c r="A570" s="6" t="s">
        <v>6435</v>
      </c>
      <c r="B570" s="6" t="s">
        <v>5079</v>
      </c>
      <c r="C570" s="6" t="s">
        <v>4975</v>
      </c>
      <c r="D570" s="6" t="s">
        <v>6214</v>
      </c>
      <c r="E570" s="6" t="s">
        <v>6432</v>
      </c>
      <c r="F570" s="6" t="s">
        <v>6436</v>
      </c>
      <c r="G570" s="12" t="n">
        <v>212747</v>
      </c>
      <c r="H570" s="6" t="s">
        <v>3739</v>
      </c>
      <c r="I570" s="6" t="s">
        <v>13</v>
      </c>
      <c r="J570" s="6" t="s">
        <v>233</v>
      </c>
      <c r="K570" s="6" t="s">
        <v>6437</v>
      </c>
      <c r="M570" s="6"/>
    </row>
    <row r="571" customFormat="false" ht="15" hidden="false" customHeight="false" outlineLevel="0" collapsed="false">
      <c r="A571" s="6" t="s">
        <v>6438</v>
      </c>
      <c r="B571" s="6" t="s">
        <v>5102</v>
      </c>
      <c r="C571" s="6" t="s">
        <v>4975</v>
      </c>
      <c r="D571" s="6" t="s">
        <v>6214</v>
      </c>
      <c r="E571" s="6" t="s">
        <v>6439</v>
      </c>
      <c r="F571" s="6" t="s">
        <v>6440</v>
      </c>
      <c r="G571" s="12" t="n">
        <v>100678</v>
      </c>
      <c r="H571" s="6" t="s">
        <v>3739</v>
      </c>
      <c r="I571" s="6" t="s">
        <v>13</v>
      </c>
      <c r="J571" s="6" t="s">
        <v>209</v>
      </c>
      <c r="K571" s="6" t="s">
        <v>6441</v>
      </c>
      <c r="M571" s="6"/>
    </row>
    <row r="572" customFormat="false" ht="15" hidden="false" customHeight="false" outlineLevel="0" collapsed="false">
      <c r="A572" s="6" t="s">
        <v>6442</v>
      </c>
      <c r="B572" s="6" t="s">
        <v>5097</v>
      </c>
      <c r="C572" s="6" t="s">
        <v>4975</v>
      </c>
      <c r="D572" s="6" t="s">
        <v>6214</v>
      </c>
      <c r="E572" s="6" t="s">
        <v>6439</v>
      </c>
      <c r="F572" s="6" t="s">
        <v>6443</v>
      </c>
      <c r="G572" s="12" t="n">
        <v>865528</v>
      </c>
      <c r="H572" s="6" t="s">
        <v>3739</v>
      </c>
      <c r="I572" s="6" t="s">
        <v>13</v>
      </c>
      <c r="J572" s="6" t="s">
        <v>218</v>
      </c>
      <c r="K572" s="6" t="s">
        <v>6434</v>
      </c>
      <c r="M572" s="6"/>
    </row>
    <row r="573" customFormat="false" ht="15" hidden="false" customHeight="false" outlineLevel="0" collapsed="false">
      <c r="A573" s="6" t="s">
        <v>6444</v>
      </c>
      <c r="B573" s="6" t="s">
        <v>5074</v>
      </c>
      <c r="C573" s="6" t="s">
        <v>4975</v>
      </c>
      <c r="D573" s="6" t="s">
        <v>6214</v>
      </c>
      <c r="E573" s="6" t="s">
        <v>6439</v>
      </c>
      <c r="F573" s="6" t="s">
        <v>6445</v>
      </c>
      <c r="G573" s="12" t="n">
        <v>846540</v>
      </c>
      <c r="H573" s="6" t="s">
        <v>3739</v>
      </c>
      <c r="I573" s="6" t="s">
        <v>13</v>
      </c>
      <c r="J573" s="6" t="s">
        <v>223</v>
      </c>
      <c r="K573" s="6" t="s">
        <v>6446</v>
      </c>
      <c r="M573" s="6" t="s">
        <v>6447</v>
      </c>
    </row>
    <row r="574" customFormat="false" ht="15" hidden="false" customHeight="false" outlineLevel="0" collapsed="false">
      <c r="A574" s="6" t="s">
        <v>6448</v>
      </c>
      <c r="B574" s="6" t="s">
        <v>5113</v>
      </c>
      <c r="C574" s="6" t="s">
        <v>4975</v>
      </c>
      <c r="D574" s="6" t="s">
        <v>6214</v>
      </c>
      <c r="E574" s="6" t="s">
        <v>6439</v>
      </c>
      <c r="F574" s="6" t="s">
        <v>6449</v>
      </c>
      <c r="G574" s="12" t="n">
        <v>824855</v>
      </c>
      <c r="H574" s="6" t="s">
        <v>3739</v>
      </c>
      <c r="I574" s="6" t="s">
        <v>13</v>
      </c>
      <c r="J574" s="6" t="s">
        <v>228</v>
      </c>
      <c r="K574" s="6" t="s">
        <v>6450</v>
      </c>
      <c r="M574" s="6" t="s">
        <v>6451</v>
      </c>
    </row>
    <row r="575" customFormat="false" ht="15" hidden="false" customHeight="false" outlineLevel="0" collapsed="false">
      <c r="A575" s="6" t="s">
        <v>6452</v>
      </c>
      <c r="B575" s="6" t="s">
        <v>5079</v>
      </c>
      <c r="C575" s="6" t="s">
        <v>4975</v>
      </c>
      <c r="D575" s="6" t="s">
        <v>6214</v>
      </c>
      <c r="E575" s="6" t="s">
        <v>6439</v>
      </c>
      <c r="F575" s="6" t="s">
        <v>6453</v>
      </c>
      <c r="G575" s="12" t="n">
        <v>871602</v>
      </c>
      <c r="H575" s="6" t="s">
        <v>3739</v>
      </c>
      <c r="I575" s="6" t="s">
        <v>13</v>
      </c>
      <c r="J575" s="6" t="s">
        <v>233</v>
      </c>
      <c r="K575" s="6" t="s">
        <v>6437</v>
      </c>
      <c r="M575" s="6" t="s">
        <v>6454</v>
      </c>
    </row>
    <row r="576" customFormat="false" ht="15" hidden="false" customHeight="false" outlineLevel="0" collapsed="false">
      <c r="A576" s="6" t="s">
        <v>6455</v>
      </c>
      <c r="B576" s="6" t="s">
        <v>5315</v>
      </c>
      <c r="C576" s="6" t="s">
        <v>5316</v>
      </c>
      <c r="D576" s="6" t="s">
        <v>6214</v>
      </c>
      <c r="E576" s="6" t="s">
        <v>6439</v>
      </c>
      <c r="F576" s="6" t="s">
        <v>6456</v>
      </c>
      <c r="G576" s="12" t="n">
        <v>616182</v>
      </c>
      <c r="H576" s="6" t="s">
        <v>3739</v>
      </c>
      <c r="I576" s="6" t="s">
        <v>13</v>
      </c>
      <c r="J576" s="6" t="s">
        <v>238</v>
      </c>
      <c r="K576" s="6" t="s">
        <v>6457</v>
      </c>
      <c r="M576" s="6" t="s">
        <v>6458</v>
      </c>
    </row>
    <row r="577" customFormat="false" ht="15" hidden="false" customHeight="false" outlineLevel="0" collapsed="false">
      <c r="A577" s="6" t="s">
        <v>6459</v>
      </c>
      <c r="B577" s="6" t="s">
        <v>5320</v>
      </c>
      <c r="C577" s="6" t="s">
        <v>5316</v>
      </c>
      <c r="D577" s="6" t="s">
        <v>6214</v>
      </c>
      <c r="E577" s="6" t="s">
        <v>6439</v>
      </c>
      <c r="F577" s="6" t="s">
        <v>6460</v>
      </c>
      <c r="G577" s="12" t="n">
        <v>696448</v>
      </c>
      <c r="H577" s="6" t="s">
        <v>3739</v>
      </c>
      <c r="I577" s="6" t="s">
        <v>13</v>
      </c>
      <c r="J577" s="6" t="s">
        <v>253</v>
      </c>
      <c r="K577" s="6" t="s">
        <v>6461</v>
      </c>
      <c r="M577" s="6" t="s">
        <v>6462</v>
      </c>
    </row>
    <row r="578" customFormat="false" ht="15" hidden="false" customHeight="false" outlineLevel="0" collapsed="false">
      <c r="A578" s="6" t="s">
        <v>6463</v>
      </c>
      <c r="B578" s="6" t="s">
        <v>5325</v>
      </c>
      <c r="C578" s="6" t="s">
        <v>5316</v>
      </c>
      <c r="D578" s="6" t="s">
        <v>6214</v>
      </c>
      <c r="E578" s="6" t="s">
        <v>6439</v>
      </c>
      <c r="F578" s="6" t="s">
        <v>6464</v>
      </c>
      <c r="G578" s="12" t="n">
        <v>1783617</v>
      </c>
      <c r="H578" s="6" t="s">
        <v>3739</v>
      </c>
      <c r="I578" s="6" t="s">
        <v>13</v>
      </c>
      <c r="J578" s="6" t="s">
        <v>261</v>
      </c>
      <c r="K578" s="6" t="s">
        <v>6465</v>
      </c>
      <c r="M578" s="6" t="s">
        <v>6466</v>
      </c>
    </row>
    <row r="579" customFormat="false" ht="15" hidden="false" customHeight="false" outlineLevel="0" collapsed="false">
      <c r="A579" s="6" t="s">
        <v>6467</v>
      </c>
      <c r="B579" s="6" t="s">
        <v>5097</v>
      </c>
      <c r="C579" s="6" t="s">
        <v>4975</v>
      </c>
      <c r="D579" s="6" t="s">
        <v>6214</v>
      </c>
      <c r="E579" s="6" t="s">
        <v>6468</v>
      </c>
      <c r="F579" s="6" t="s">
        <v>6443</v>
      </c>
      <c r="G579" s="19" t="n">
        <v>116.16</v>
      </c>
      <c r="H579" s="6" t="s">
        <v>6356</v>
      </c>
      <c r="I579" s="6" t="s">
        <v>13</v>
      </c>
      <c r="J579" s="6" t="s">
        <v>218</v>
      </c>
      <c r="K579" s="6" t="s">
        <v>6434</v>
      </c>
      <c r="M579" s="6"/>
    </row>
    <row r="580" customFormat="false" ht="15" hidden="false" customHeight="false" outlineLevel="0" collapsed="false">
      <c r="A580" s="6" t="s">
        <v>6469</v>
      </c>
      <c r="B580" s="6" t="s">
        <v>5097</v>
      </c>
      <c r="C580" s="6" t="s">
        <v>4975</v>
      </c>
      <c r="D580" s="6" t="s">
        <v>6214</v>
      </c>
      <c r="E580" s="6" t="s">
        <v>6470</v>
      </c>
      <c r="F580" s="6" t="s">
        <v>6471</v>
      </c>
      <c r="G580" s="12" t="n">
        <v>24504</v>
      </c>
      <c r="H580" s="6" t="s">
        <v>3739</v>
      </c>
      <c r="I580" s="6" t="s">
        <v>13</v>
      </c>
      <c r="J580" s="6" t="s">
        <v>218</v>
      </c>
      <c r="K580" s="6" t="s">
        <v>5100</v>
      </c>
      <c r="M580" s="6"/>
    </row>
    <row r="581" customFormat="false" ht="15" hidden="false" customHeight="false" outlineLevel="0" collapsed="false">
      <c r="A581" s="6" t="s">
        <v>6472</v>
      </c>
      <c r="B581" s="6" t="s">
        <v>5049</v>
      </c>
      <c r="C581" s="6" t="s">
        <v>5050</v>
      </c>
      <c r="D581" s="6" t="s">
        <v>6214</v>
      </c>
      <c r="E581" s="6" t="s">
        <v>6473</v>
      </c>
      <c r="F581" s="6" t="s">
        <v>6474</v>
      </c>
      <c r="G581" s="12" t="n">
        <v>97739</v>
      </c>
      <c r="H581" s="6" t="s">
        <v>3739</v>
      </c>
      <c r="I581" s="6" t="s">
        <v>13</v>
      </c>
      <c r="J581" s="6" t="s">
        <v>209</v>
      </c>
      <c r="K581" s="6" t="s">
        <v>6441</v>
      </c>
      <c r="M581" s="6"/>
    </row>
    <row r="582" customFormat="false" ht="15" hidden="false" customHeight="false" outlineLevel="0" collapsed="false">
      <c r="A582" s="6" t="s">
        <v>6475</v>
      </c>
      <c r="B582" s="6" t="s">
        <v>5057</v>
      </c>
      <c r="C582" s="6" t="s">
        <v>5050</v>
      </c>
      <c r="D582" s="6" t="s">
        <v>6214</v>
      </c>
      <c r="E582" s="6" t="s">
        <v>6473</v>
      </c>
      <c r="F582" s="6" t="s">
        <v>6476</v>
      </c>
      <c r="G582" s="12" t="n">
        <v>816994</v>
      </c>
      <c r="H582" s="6" t="s">
        <v>3739</v>
      </c>
      <c r="I582" s="6" t="s">
        <v>13</v>
      </c>
      <c r="J582" s="6" t="s">
        <v>218</v>
      </c>
      <c r="K582" s="6" t="s">
        <v>6434</v>
      </c>
      <c r="M582" s="6"/>
    </row>
    <row r="583" customFormat="false" ht="15" hidden="false" customHeight="false" outlineLevel="0" collapsed="false">
      <c r="A583" s="6" t="s">
        <v>6477</v>
      </c>
      <c r="B583" s="6" t="s">
        <v>6370</v>
      </c>
      <c r="C583" s="6" t="s">
        <v>5050</v>
      </c>
      <c r="D583" s="6" t="s">
        <v>6214</v>
      </c>
      <c r="E583" s="6" t="s">
        <v>6473</v>
      </c>
      <c r="F583" s="6" t="s">
        <v>6478</v>
      </c>
      <c r="G583" s="12" t="n">
        <v>816994</v>
      </c>
      <c r="H583" s="6" t="s">
        <v>3739</v>
      </c>
      <c r="I583" s="6" t="s">
        <v>13</v>
      </c>
      <c r="J583" s="6" t="s">
        <v>223</v>
      </c>
      <c r="K583" s="6" t="s">
        <v>6446</v>
      </c>
      <c r="M583" s="6"/>
    </row>
    <row r="584" customFormat="false" ht="15" hidden="false" customHeight="false" outlineLevel="0" collapsed="false">
      <c r="A584" s="6" t="s">
        <v>6479</v>
      </c>
      <c r="B584" s="6" t="s">
        <v>5062</v>
      </c>
      <c r="C584" s="6" t="s">
        <v>5050</v>
      </c>
      <c r="D584" s="6" t="s">
        <v>6214</v>
      </c>
      <c r="E584" s="6" t="s">
        <v>6473</v>
      </c>
      <c r="F584" s="6" t="s">
        <v>6480</v>
      </c>
      <c r="G584" s="12" t="n">
        <v>1215601</v>
      </c>
      <c r="H584" s="6" t="s">
        <v>3739</v>
      </c>
      <c r="I584" s="6" t="s">
        <v>13</v>
      </c>
      <c r="J584" s="6" t="s">
        <v>223</v>
      </c>
      <c r="K584" s="6" t="s">
        <v>6446</v>
      </c>
      <c r="M584" s="6"/>
    </row>
    <row r="585" customFormat="false" ht="15" hidden="false" customHeight="false" outlineLevel="0" collapsed="false">
      <c r="A585" s="6" t="s">
        <v>6481</v>
      </c>
      <c r="B585" s="6" t="s">
        <v>5067</v>
      </c>
      <c r="C585" s="6" t="s">
        <v>5050</v>
      </c>
      <c r="D585" s="6" t="s">
        <v>6214</v>
      </c>
      <c r="E585" s="6" t="s">
        <v>6473</v>
      </c>
      <c r="F585" s="6" t="s">
        <v>6482</v>
      </c>
      <c r="G585" s="12" t="n">
        <v>1396165</v>
      </c>
      <c r="H585" s="6" t="s">
        <v>3739</v>
      </c>
      <c r="I585" s="6" t="s">
        <v>13</v>
      </c>
      <c r="J585" s="6" t="s">
        <v>228</v>
      </c>
      <c r="K585" s="6" t="s">
        <v>6450</v>
      </c>
      <c r="M585" s="6" t="s">
        <v>6483</v>
      </c>
    </row>
    <row r="586" customFormat="false" ht="15" hidden="false" customHeight="false" outlineLevel="0" collapsed="false">
      <c r="A586" s="6" t="s">
        <v>6484</v>
      </c>
      <c r="B586" s="6" t="s">
        <v>5072</v>
      </c>
      <c r="C586" s="6" t="s">
        <v>5050</v>
      </c>
      <c r="D586" s="6" t="s">
        <v>6214</v>
      </c>
      <c r="E586" s="6" t="s">
        <v>6473</v>
      </c>
      <c r="F586" s="6" t="s">
        <v>6485</v>
      </c>
      <c r="G586" s="12" t="n">
        <v>1396897</v>
      </c>
      <c r="H586" s="6" t="s">
        <v>3739</v>
      </c>
      <c r="I586" s="6" t="s">
        <v>13</v>
      </c>
      <c r="J586" s="6" t="s">
        <v>233</v>
      </c>
      <c r="K586" s="6" t="s">
        <v>6437</v>
      </c>
      <c r="M586" s="6"/>
    </row>
    <row r="587" customFormat="false" ht="15" hidden="false" customHeight="false" outlineLevel="0" collapsed="false">
      <c r="A587" s="6" t="s">
        <v>6486</v>
      </c>
      <c r="B587" s="6" t="s">
        <v>5097</v>
      </c>
      <c r="C587" s="6" t="s">
        <v>4975</v>
      </c>
      <c r="D587" s="6" t="s">
        <v>6214</v>
      </c>
      <c r="E587" s="6" t="s">
        <v>6487</v>
      </c>
      <c r="F587" s="6" t="s">
        <v>6488</v>
      </c>
      <c r="G587" s="12" t="n">
        <v>81976</v>
      </c>
      <c r="H587" s="6" t="s">
        <v>3739</v>
      </c>
      <c r="I587" s="6" t="s">
        <v>13</v>
      </c>
      <c r="J587" s="6" t="s">
        <v>218</v>
      </c>
      <c r="K587" s="6" t="s">
        <v>6434</v>
      </c>
      <c r="M587" s="6"/>
    </row>
    <row r="588" customFormat="false" ht="15" hidden="false" customHeight="false" outlineLevel="0" collapsed="false">
      <c r="A588" s="6" t="s">
        <v>6489</v>
      </c>
      <c r="B588" s="6" t="s">
        <v>5074</v>
      </c>
      <c r="C588" s="6" t="s">
        <v>4975</v>
      </c>
      <c r="D588" s="6" t="s">
        <v>6214</v>
      </c>
      <c r="E588" s="6" t="s">
        <v>6487</v>
      </c>
      <c r="F588" s="6" t="s">
        <v>6490</v>
      </c>
      <c r="G588" s="12" t="n">
        <v>338034</v>
      </c>
      <c r="H588" s="6" t="s">
        <v>3739</v>
      </c>
      <c r="I588" s="6" t="s">
        <v>13</v>
      </c>
      <c r="J588" s="6" t="s">
        <v>223</v>
      </c>
      <c r="K588" s="6" t="s">
        <v>6446</v>
      </c>
      <c r="M588" s="6"/>
    </row>
    <row r="589" customFormat="false" ht="15" hidden="false" customHeight="false" outlineLevel="0" collapsed="false">
      <c r="A589" s="6" t="s">
        <v>6491</v>
      </c>
      <c r="B589" s="6" t="s">
        <v>5113</v>
      </c>
      <c r="C589" s="6" t="s">
        <v>4975</v>
      </c>
      <c r="D589" s="6" t="s">
        <v>6214</v>
      </c>
      <c r="E589" s="6" t="s">
        <v>6487</v>
      </c>
      <c r="F589" s="6" t="s">
        <v>6492</v>
      </c>
      <c r="G589" s="12" t="n">
        <v>483508</v>
      </c>
      <c r="H589" s="6" t="s">
        <v>3739</v>
      </c>
      <c r="I589" s="6" t="s">
        <v>13</v>
      </c>
      <c r="J589" s="6" t="s">
        <v>228</v>
      </c>
      <c r="K589" s="6" t="s">
        <v>6450</v>
      </c>
      <c r="M589" s="6"/>
    </row>
    <row r="590" customFormat="false" ht="15" hidden="false" customHeight="false" outlineLevel="0" collapsed="false">
      <c r="A590" s="6" t="s">
        <v>6493</v>
      </c>
      <c r="B590" s="6" t="s">
        <v>5079</v>
      </c>
      <c r="C590" s="6" t="s">
        <v>4975</v>
      </c>
      <c r="D590" s="6" t="s">
        <v>6214</v>
      </c>
      <c r="E590" s="6" t="s">
        <v>6487</v>
      </c>
      <c r="F590" s="6" t="s">
        <v>6494</v>
      </c>
      <c r="G590" s="12" t="n">
        <v>658123</v>
      </c>
      <c r="H590" s="6" t="s">
        <v>3739</v>
      </c>
      <c r="I590" s="6" t="s">
        <v>13</v>
      </c>
      <c r="J590" s="6" t="s">
        <v>233</v>
      </c>
      <c r="K590" s="6" t="s">
        <v>6437</v>
      </c>
      <c r="M590" s="6"/>
    </row>
    <row r="591" customFormat="false" ht="15" hidden="false" customHeight="false" outlineLevel="0" collapsed="false">
      <c r="A591" s="6" t="s">
        <v>6495</v>
      </c>
      <c r="B591" s="6" t="s">
        <v>5113</v>
      </c>
      <c r="C591" s="6" t="s">
        <v>4975</v>
      </c>
      <c r="D591" s="6" t="s">
        <v>6214</v>
      </c>
      <c r="E591" s="6" t="s">
        <v>6496</v>
      </c>
      <c r="F591" s="6" t="s">
        <v>6497</v>
      </c>
      <c r="G591" s="12" t="n">
        <v>778500</v>
      </c>
      <c r="H591" s="6" t="s">
        <v>3739</v>
      </c>
      <c r="I591" s="6" t="s">
        <v>13</v>
      </c>
      <c r="J591" s="6" t="s">
        <v>228</v>
      </c>
      <c r="K591" s="6" t="s">
        <v>6217</v>
      </c>
      <c r="M591" s="6"/>
    </row>
    <row r="592" customFormat="false" ht="15" hidden="false" customHeight="false" outlineLevel="0" collapsed="false">
      <c r="A592" s="6" t="s">
        <v>6498</v>
      </c>
      <c r="B592" s="6" t="s">
        <v>6032</v>
      </c>
      <c r="C592" s="6" t="s">
        <v>4975</v>
      </c>
      <c r="D592" s="6" t="s">
        <v>6214</v>
      </c>
      <c r="E592" s="6" t="s">
        <v>6499</v>
      </c>
      <c r="F592" s="6" t="s">
        <v>6500</v>
      </c>
      <c r="G592" s="9" t="n">
        <v>100</v>
      </c>
      <c r="H592" s="6" t="s">
        <v>384</v>
      </c>
      <c r="I592" s="6" t="s">
        <v>13</v>
      </c>
      <c r="J592" s="6" t="s">
        <v>209</v>
      </c>
      <c r="K592" s="6" t="s">
        <v>6501</v>
      </c>
      <c r="M592" s="6"/>
    </row>
    <row r="593" customFormat="false" ht="15" hidden="false" customHeight="false" outlineLevel="0" collapsed="false">
      <c r="A593" s="6" t="s">
        <v>6502</v>
      </c>
      <c r="B593" s="6" t="s">
        <v>5203</v>
      </c>
      <c r="C593" s="6" t="s">
        <v>4975</v>
      </c>
      <c r="D593" s="6" t="s">
        <v>6214</v>
      </c>
      <c r="E593" s="6" t="s">
        <v>6499</v>
      </c>
      <c r="F593" s="6" t="s">
        <v>6500</v>
      </c>
      <c r="G593" s="9" t="n">
        <v>380</v>
      </c>
      <c r="H593" s="6" t="s">
        <v>384</v>
      </c>
      <c r="I593" s="6" t="s">
        <v>13</v>
      </c>
      <c r="J593" s="6" t="s">
        <v>209</v>
      </c>
      <c r="K593" s="6" t="s">
        <v>6501</v>
      </c>
      <c r="M593" s="6"/>
    </row>
    <row r="594" customFormat="false" ht="15" hidden="false" customHeight="false" outlineLevel="0" collapsed="false">
      <c r="A594" s="6" t="s">
        <v>6503</v>
      </c>
      <c r="B594" s="6" t="s">
        <v>5102</v>
      </c>
      <c r="C594" s="6" t="s">
        <v>4975</v>
      </c>
      <c r="D594" s="6" t="s">
        <v>6214</v>
      </c>
      <c r="E594" s="6" t="s">
        <v>6499</v>
      </c>
      <c r="F594" s="6" t="s">
        <v>6500</v>
      </c>
      <c r="G594" s="9" t="n">
        <v>1522</v>
      </c>
      <c r="H594" s="6" t="s">
        <v>384</v>
      </c>
      <c r="I594" s="6" t="s">
        <v>13</v>
      </c>
      <c r="J594" s="6" t="s">
        <v>209</v>
      </c>
      <c r="K594" s="6" t="s">
        <v>6501</v>
      </c>
      <c r="M594" s="6"/>
    </row>
    <row r="595" customFormat="false" ht="15" hidden="false" customHeight="false" outlineLevel="0" collapsed="false">
      <c r="A595" s="6" t="s">
        <v>6504</v>
      </c>
      <c r="B595" s="6" t="s">
        <v>5203</v>
      </c>
      <c r="C595" s="6" t="s">
        <v>4975</v>
      </c>
      <c r="D595" s="6" t="s">
        <v>6214</v>
      </c>
      <c r="E595" s="6" t="s">
        <v>6505</v>
      </c>
      <c r="F595" s="6" t="s">
        <v>6506</v>
      </c>
      <c r="G595" s="9" t="n">
        <v>380</v>
      </c>
      <c r="H595" s="6" t="s">
        <v>384</v>
      </c>
      <c r="I595" s="6" t="s">
        <v>13</v>
      </c>
      <c r="J595" s="6" t="s">
        <v>218</v>
      </c>
      <c r="K595" s="6" t="s">
        <v>6507</v>
      </c>
      <c r="M595" s="6" t="s">
        <v>6508</v>
      </c>
    </row>
    <row r="596" customFormat="false" ht="15" hidden="false" customHeight="false" outlineLevel="0" collapsed="false">
      <c r="A596" s="6" t="s">
        <v>6509</v>
      </c>
      <c r="B596" s="6" t="s">
        <v>5102</v>
      </c>
      <c r="C596" s="6" t="s">
        <v>4975</v>
      </c>
      <c r="D596" s="6" t="s">
        <v>6214</v>
      </c>
      <c r="E596" s="6" t="s">
        <v>6505</v>
      </c>
      <c r="F596" s="6" t="s">
        <v>6506</v>
      </c>
      <c r="G596" s="9" t="n">
        <v>1522</v>
      </c>
      <c r="H596" s="6" t="s">
        <v>384</v>
      </c>
      <c r="I596" s="6" t="s">
        <v>13</v>
      </c>
      <c r="J596" s="6" t="s">
        <v>218</v>
      </c>
      <c r="K596" s="6" t="s">
        <v>6507</v>
      </c>
      <c r="M596" s="6"/>
    </row>
    <row r="597" customFormat="false" ht="15" hidden="false" customHeight="false" outlineLevel="0" collapsed="false">
      <c r="A597" s="6" t="s">
        <v>6510</v>
      </c>
      <c r="B597" s="6" t="s">
        <v>5097</v>
      </c>
      <c r="C597" s="6" t="s">
        <v>4975</v>
      </c>
      <c r="D597" s="6" t="s">
        <v>6214</v>
      </c>
      <c r="E597" s="6" t="s">
        <v>6505</v>
      </c>
      <c r="F597" s="6" t="s">
        <v>6506</v>
      </c>
      <c r="G597" s="9" t="n">
        <v>2282</v>
      </c>
      <c r="H597" s="6" t="s">
        <v>384</v>
      </c>
      <c r="I597" s="6" t="s">
        <v>13</v>
      </c>
      <c r="J597" s="6" t="s">
        <v>218</v>
      </c>
      <c r="K597" s="6" t="s">
        <v>6507</v>
      </c>
      <c r="M597" s="6"/>
    </row>
    <row r="598" customFormat="false" ht="15" hidden="false" customHeight="false" outlineLevel="0" collapsed="false">
      <c r="A598" s="6" t="s">
        <v>6511</v>
      </c>
      <c r="B598" s="6" t="s">
        <v>5519</v>
      </c>
      <c r="C598" s="6" t="s">
        <v>5316</v>
      </c>
      <c r="D598" s="6" t="s">
        <v>6214</v>
      </c>
      <c r="E598" s="6" t="s">
        <v>6505</v>
      </c>
      <c r="F598" s="6" t="s">
        <v>6512</v>
      </c>
      <c r="G598" s="9" t="n">
        <v>956</v>
      </c>
      <c r="H598" s="6" t="s">
        <v>384</v>
      </c>
      <c r="I598" s="6" t="s">
        <v>13</v>
      </c>
      <c r="J598" s="6" t="s">
        <v>238</v>
      </c>
      <c r="K598" s="6" t="s">
        <v>6513</v>
      </c>
      <c r="M598" s="6" t="s">
        <v>5055</v>
      </c>
    </row>
    <row r="599" customFormat="false" ht="15" hidden="false" customHeight="false" outlineLevel="0" collapsed="false">
      <c r="A599" s="6" t="s">
        <v>6514</v>
      </c>
      <c r="B599" s="6" t="s">
        <v>5315</v>
      </c>
      <c r="C599" s="6" t="s">
        <v>5316</v>
      </c>
      <c r="D599" s="6" t="s">
        <v>6214</v>
      </c>
      <c r="E599" s="6" t="s">
        <v>6505</v>
      </c>
      <c r="F599" s="6" t="s">
        <v>6512</v>
      </c>
      <c r="G599" s="9" t="n">
        <v>648</v>
      </c>
      <c r="H599" s="6" t="s">
        <v>384</v>
      </c>
      <c r="I599" s="6" t="s">
        <v>13</v>
      </c>
      <c r="J599" s="6" t="s">
        <v>238</v>
      </c>
      <c r="K599" s="6" t="s">
        <v>6513</v>
      </c>
      <c r="M599" s="6" t="s">
        <v>5055</v>
      </c>
    </row>
    <row r="600" customFormat="false" ht="15" hidden="false" customHeight="false" outlineLevel="0" collapsed="false">
      <c r="A600" s="6" t="s">
        <v>6515</v>
      </c>
      <c r="B600" s="6" t="s">
        <v>5320</v>
      </c>
      <c r="C600" s="6" t="s">
        <v>5316</v>
      </c>
      <c r="D600" s="6" t="s">
        <v>6214</v>
      </c>
      <c r="E600" s="6" t="s">
        <v>6505</v>
      </c>
      <c r="F600" s="6" t="s">
        <v>6516</v>
      </c>
      <c r="G600" s="9" t="n">
        <v>1055</v>
      </c>
      <c r="H600" s="6" t="s">
        <v>384</v>
      </c>
      <c r="I600" s="6" t="s">
        <v>13</v>
      </c>
      <c r="J600" s="6" t="s">
        <v>253</v>
      </c>
      <c r="K600" s="6" t="s">
        <v>6517</v>
      </c>
      <c r="M600" s="6"/>
    </row>
    <row r="601" customFormat="false" ht="15" hidden="false" customHeight="false" outlineLevel="0" collapsed="false">
      <c r="A601" s="6" t="s">
        <v>6518</v>
      </c>
      <c r="B601" s="6" t="s">
        <v>5325</v>
      </c>
      <c r="C601" s="6" t="s">
        <v>5316</v>
      </c>
      <c r="D601" s="6" t="s">
        <v>6214</v>
      </c>
      <c r="E601" s="6" t="s">
        <v>6505</v>
      </c>
      <c r="F601" s="6" t="s">
        <v>6519</v>
      </c>
      <c r="G601" s="9" t="n">
        <v>432</v>
      </c>
      <c r="H601" s="6" t="s">
        <v>384</v>
      </c>
      <c r="I601" s="6" t="s">
        <v>13</v>
      </c>
      <c r="J601" s="6" t="s">
        <v>261</v>
      </c>
      <c r="K601" s="6" t="s">
        <v>6520</v>
      </c>
      <c r="M601" s="6"/>
    </row>
    <row r="602" customFormat="false" ht="15" hidden="false" customHeight="false" outlineLevel="0" collapsed="false">
      <c r="A602" s="6" t="s">
        <v>6521</v>
      </c>
      <c r="B602" s="6" t="s">
        <v>5203</v>
      </c>
      <c r="C602" s="6" t="s">
        <v>4975</v>
      </c>
      <c r="D602" s="6" t="s">
        <v>6214</v>
      </c>
      <c r="E602" s="6" t="s">
        <v>6522</v>
      </c>
      <c r="F602" s="6" t="s">
        <v>6523</v>
      </c>
      <c r="G602" s="9" t="n">
        <v>30424</v>
      </c>
      <c r="H602" s="6" t="s">
        <v>384</v>
      </c>
      <c r="I602" s="6" t="s">
        <v>13</v>
      </c>
      <c r="J602" s="6" t="s">
        <v>218</v>
      </c>
      <c r="K602" s="6" t="s">
        <v>6507</v>
      </c>
      <c r="M602" s="6"/>
    </row>
    <row r="603" customFormat="false" ht="15" hidden="false" customHeight="false" outlineLevel="0" collapsed="false">
      <c r="A603" s="6" t="s">
        <v>6524</v>
      </c>
      <c r="B603" s="6" t="s">
        <v>6032</v>
      </c>
      <c r="C603" s="6" t="s">
        <v>4975</v>
      </c>
      <c r="D603" s="6" t="s">
        <v>6214</v>
      </c>
      <c r="E603" s="6" t="s">
        <v>6525</v>
      </c>
      <c r="F603" s="6" t="s">
        <v>6526</v>
      </c>
      <c r="G603" s="9" t="n">
        <v>970</v>
      </c>
      <c r="H603" s="6" t="s">
        <v>384</v>
      </c>
      <c r="I603" s="6" t="s">
        <v>13</v>
      </c>
      <c r="J603" s="6" t="s">
        <v>209</v>
      </c>
      <c r="K603" s="6" t="s">
        <v>6501</v>
      </c>
      <c r="M603" s="6"/>
    </row>
    <row r="604" customFormat="false" ht="15" hidden="false" customHeight="false" outlineLevel="0" collapsed="false">
      <c r="A604" s="6" t="s">
        <v>6527</v>
      </c>
      <c r="B604" s="6" t="s">
        <v>5203</v>
      </c>
      <c r="C604" s="6" t="s">
        <v>4975</v>
      </c>
      <c r="D604" s="6" t="s">
        <v>6214</v>
      </c>
      <c r="E604" s="6" t="s">
        <v>6525</v>
      </c>
      <c r="F604" s="6" t="s">
        <v>6526</v>
      </c>
      <c r="G604" s="9" t="n">
        <v>2720</v>
      </c>
      <c r="H604" s="6" t="s">
        <v>384</v>
      </c>
      <c r="I604" s="6" t="s">
        <v>13</v>
      </c>
      <c r="J604" s="6" t="s">
        <v>209</v>
      </c>
      <c r="K604" s="6" t="s">
        <v>6501</v>
      </c>
      <c r="M604" s="6"/>
    </row>
    <row r="605" customFormat="false" ht="15" hidden="false" customHeight="false" outlineLevel="0" collapsed="false">
      <c r="A605" s="6" t="s">
        <v>6528</v>
      </c>
      <c r="B605" s="6" t="s">
        <v>5102</v>
      </c>
      <c r="C605" s="6" t="s">
        <v>4975</v>
      </c>
      <c r="D605" s="6" t="s">
        <v>6214</v>
      </c>
      <c r="E605" s="6" t="s">
        <v>6525</v>
      </c>
      <c r="F605" s="6" t="s">
        <v>6526</v>
      </c>
      <c r="G605" s="9" t="n">
        <v>7681</v>
      </c>
      <c r="H605" s="6" t="s">
        <v>384</v>
      </c>
      <c r="I605" s="6" t="s">
        <v>13</v>
      </c>
      <c r="J605" s="6" t="s">
        <v>209</v>
      </c>
      <c r="K605" s="6" t="s">
        <v>6501</v>
      </c>
      <c r="M605" s="6"/>
    </row>
    <row r="606" customFormat="false" ht="15" hidden="false" customHeight="false" outlineLevel="0" collapsed="false">
      <c r="A606" s="6" t="s">
        <v>6529</v>
      </c>
      <c r="B606" s="6" t="s">
        <v>5325</v>
      </c>
      <c r="C606" s="6" t="s">
        <v>5316</v>
      </c>
      <c r="D606" s="6" t="s">
        <v>6214</v>
      </c>
      <c r="E606" s="6" t="s">
        <v>6525</v>
      </c>
      <c r="F606" s="6" t="s">
        <v>6530</v>
      </c>
      <c r="G606" s="9" t="n">
        <v>3311</v>
      </c>
      <c r="H606" s="6" t="s">
        <v>384</v>
      </c>
      <c r="I606" s="6" t="s">
        <v>13</v>
      </c>
      <c r="J606" s="6" t="s">
        <v>261</v>
      </c>
      <c r="K606" s="6" t="s">
        <v>6520</v>
      </c>
      <c r="M606" s="6" t="s">
        <v>5055</v>
      </c>
    </row>
    <row r="607" customFormat="false" ht="15" hidden="false" customHeight="false" outlineLevel="0" collapsed="false">
      <c r="A607" s="6" t="s">
        <v>6531</v>
      </c>
      <c r="B607" s="6" t="s">
        <v>5203</v>
      </c>
      <c r="C607" s="6" t="s">
        <v>4975</v>
      </c>
      <c r="D607" s="6" t="s">
        <v>6214</v>
      </c>
      <c r="E607" s="6" t="s">
        <v>6532</v>
      </c>
      <c r="F607" s="6" t="s">
        <v>6533</v>
      </c>
      <c r="G607" s="9" t="n">
        <v>2720</v>
      </c>
      <c r="H607" s="6" t="s">
        <v>384</v>
      </c>
      <c r="I607" s="6" t="s">
        <v>13</v>
      </c>
      <c r="J607" s="6" t="s">
        <v>218</v>
      </c>
      <c r="K607" s="6" t="s">
        <v>6507</v>
      </c>
      <c r="M607" s="6" t="s">
        <v>6508</v>
      </c>
    </row>
    <row r="608" customFormat="false" ht="15" hidden="false" customHeight="false" outlineLevel="0" collapsed="false">
      <c r="A608" s="6" t="s">
        <v>6534</v>
      </c>
      <c r="B608" s="6" t="s">
        <v>5102</v>
      </c>
      <c r="C608" s="6" t="s">
        <v>4975</v>
      </c>
      <c r="D608" s="6" t="s">
        <v>6214</v>
      </c>
      <c r="E608" s="6" t="s">
        <v>6532</v>
      </c>
      <c r="F608" s="6" t="s">
        <v>6533</v>
      </c>
      <c r="G608" s="9" t="n">
        <v>7681</v>
      </c>
      <c r="H608" s="6" t="s">
        <v>384</v>
      </c>
      <c r="I608" s="6" t="s">
        <v>13</v>
      </c>
      <c r="J608" s="6" t="s">
        <v>218</v>
      </c>
      <c r="K608" s="6" t="s">
        <v>6507</v>
      </c>
      <c r="M608" s="6"/>
    </row>
    <row r="609" customFormat="false" ht="15" hidden="false" customHeight="false" outlineLevel="0" collapsed="false">
      <c r="A609" s="6" t="s">
        <v>6535</v>
      </c>
      <c r="B609" s="6" t="s">
        <v>5097</v>
      </c>
      <c r="C609" s="6" t="s">
        <v>4975</v>
      </c>
      <c r="D609" s="6" t="s">
        <v>6214</v>
      </c>
      <c r="E609" s="6" t="s">
        <v>6532</v>
      </c>
      <c r="F609" s="6" t="s">
        <v>6533</v>
      </c>
      <c r="G609" s="9" t="n">
        <v>10406</v>
      </c>
      <c r="H609" s="6" t="s">
        <v>384</v>
      </c>
      <c r="I609" s="6" t="s">
        <v>13</v>
      </c>
      <c r="J609" s="6" t="s">
        <v>218</v>
      </c>
      <c r="K609" s="6" t="s">
        <v>6507</v>
      </c>
      <c r="M609" s="6"/>
    </row>
    <row r="610" customFormat="false" ht="15" hidden="false" customHeight="false" outlineLevel="0" collapsed="false">
      <c r="A610" s="6" t="s">
        <v>6536</v>
      </c>
      <c r="B610" s="6" t="s">
        <v>5519</v>
      </c>
      <c r="C610" s="6" t="s">
        <v>5316</v>
      </c>
      <c r="D610" s="6" t="s">
        <v>6214</v>
      </c>
      <c r="E610" s="6" t="s">
        <v>6532</v>
      </c>
      <c r="F610" s="6" t="s">
        <v>6537</v>
      </c>
      <c r="G610" s="9" t="n">
        <v>3322</v>
      </c>
      <c r="H610" s="6" t="s">
        <v>384</v>
      </c>
      <c r="I610" s="6" t="s">
        <v>13</v>
      </c>
      <c r="J610" s="6" t="s">
        <v>238</v>
      </c>
      <c r="K610" s="6" t="s">
        <v>6513</v>
      </c>
      <c r="M610" s="6"/>
    </row>
    <row r="611" customFormat="false" ht="15" hidden="false" customHeight="false" outlineLevel="0" collapsed="false">
      <c r="A611" s="6" t="s">
        <v>6538</v>
      </c>
      <c r="B611" s="6" t="s">
        <v>5315</v>
      </c>
      <c r="C611" s="6" t="s">
        <v>5316</v>
      </c>
      <c r="D611" s="6" t="s">
        <v>6214</v>
      </c>
      <c r="E611" s="6" t="s">
        <v>6532</v>
      </c>
      <c r="F611" s="6" t="s">
        <v>6537</v>
      </c>
      <c r="G611" s="9" t="n">
        <v>3116</v>
      </c>
      <c r="H611" s="6" t="s">
        <v>384</v>
      </c>
      <c r="I611" s="6" t="s">
        <v>13</v>
      </c>
      <c r="J611" s="6" t="s">
        <v>238</v>
      </c>
      <c r="K611" s="6" t="s">
        <v>6513</v>
      </c>
      <c r="M611" s="6"/>
    </row>
    <row r="612" customFormat="false" ht="15" hidden="false" customHeight="false" outlineLevel="0" collapsed="false">
      <c r="A612" s="6" t="s">
        <v>6539</v>
      </c>
      <c r="B612" s="6" t="s">
        <v>5320</v>
      </c>
      <c r="C612" s="6" t="s">
        <v>5316</v>
      </c>
      <c r="D612" s="6" t="s">
        <v>6214</v>
      </c>
      <c r="E612" s="6" t="s">
        <v>6532</v>
      </c>
      <c r="F612" s="6" t="s">
        <v>6540</v>
      </c>
      <c r="G612" s="9" t="n">
        <v>3406</v>
      </c>
      <c r="H612" s="6" t="s">
        <v>384</v>
      </c>
      <c r="I612" s="6" t="s">
        <v>13</v>
      </c>
      <c r="J612" s="6" t="s">
        <v>253</v>
      </c>
      <c r="K612" s="6" t="s">
        <v>6517</v>
      </c>
      <c r="M612" s="6" t="s">
        <v>5055</v>
      </c>
    </row>
    <row r="613" customFormat="false" ht="15" hidden="false" customHeight="false" outlineLevel="0" collapsed="false">
      <c r="A613" s="6" t="s">
        <v>6541</v>
      </c>
      <c r="B613" s="6" t="s">
        <v>6032</v>
      </c>
      <c r="C613" s="6" t="s">
        <v>4975</v>
      </c>
      <c r="D613" s="6" t="s">
        <v>6214</v>
      </c>
      <c r="E613" s="6" t="s">
        <v>6542</v>
      </c>
      <c r="F613" s="6" t="s">
        <v>6543</v>
      </c>
      <c r="G613" s="9" t="n">
        <v>8190</v>
      </c>
      <c r="H613" s="6" t="s">
        <v>384</v>
      </c>
      <c r="I613" s="6" t="s">
        <v>13</v>
      </c>
      <c r="J613" s="6" t="s">
        <v>209</v>
      </c>
      <c r="K613" s="6" t="s">
        <v>6501</v>
      </c>
      <c r="M613" s="6"/>
    </row>
    <row r="614" customFormat="false" ht="15" hidden="false" customHeight="false" outlineLevel="0" collapsed="false">
      <c r="A614" s="6" t="s">
        <v>6544</v>
      </c>
      <c r="B614" s="6" t="s">
        <v>5203</v>
      </c>
      <c r="C614" s="6" t="s">
        <v>4975</v>
      </c>
      <c r="D614" s="6" t="s">
        <v>6214</v>
      </c>
      <c r="E614" s="6" t="s">
        <v>6542</v>
      </c>
      <c r="F614" s="6" t="s">
        <v>6543</v>
      </c>
      <c r="G614" s="9" t="n">
        <v>39415</v>
      </c>
      <c r="H614" s="6" t="s">
        <v>384</v>
      </c>
      <c r="I614" s="6" t="s">
        <v>13</v>
      </c>
      <c r="J614" s="6" t="s">
        <v>209</v>
      </c>
      <c r="K614" s="6" t="s">
        <v>6501</v>
      </c>
      <c r="M614" s="6"/>
    </row>
    <row r="615" customFormat="false" ht="15" hidden="false" customHeight="false" outlineLevel="0" collapsed="false">
      <c r="A615" s="6" t="s">
        <v>6545</v>
      </c>
      <c r="B615" s="6" t="s">
        <v>5203</v>
      </c>
      <c r="C615" s="6" t="s">
        <v>4975</v>
      </c>
      <c r="D615" s="6" t="s">
        <v>6214</v>
      </c>
      <c r="E615" s="6" t="s">
        <v>6542</v>
      </c>
      <c r="F615" s="6" t="s">
        <v>6546</v>
      </c>
      <c r="G615" s="9" t="n">
        <v>39415</v>
      </c>
      <c r="H615" s="6" t="s">
        <v>384</v>
      </c>
      <c r="I615" s="6" t="s">
        <v>13</v>
      </c>
      <c r="J615" s="6" t="s">
        <v>218</v>
      </c>
      <c r="K615" s="6" t="s">
        <v>6507</v>
      </c>
      <c r="M615" s="6" t="s">
        <v>6508</v>
      </c>
    </row>
    <row r="616" customFormat="false" ht="15" hidden="false" customHeight="false" outlineLevel="0" collapsed="false">
      <c r="A616" s="6" t="s">
        <v>6547</v>
      </c>
      <c r="B616" s="6" t="s">
        <v>5102</v>
      </c>
      <c r="C616" s="6" t="s">
        <v>4975</v>
      </c>
      <c r="D616" s="6" t="s">
        <v>6214</v>
      </c>
      <c r="E616" s="6" t="s">
        <v>6542</v>
      </c>
      <c r="F616" s="6" t="s">
        <v>6543</v>
      </c>
      <c r="G616" s="9" t="n">
        <v>20934</v>
      </c>
      <c r="H616" s="6" t="s">
        <v>384</v>
      </c>
      <c r="I616" s="6" t="s">
        <v>13</v>
      </c>
      <c r="J616" s="6" t="s">
        <v>209</v>
      </c>
      <c r="K616" s="6" t="s">
        <v>6501</v>
      </c>
      <c r="M616" s="6"/>
    </row>
    <row r="617" customFormat="false" ht="15" hidden="false" customHeight="false" outlineLevel="0" collapsed="false">
      <c r="A617" s="6" t="s">
        <v>6548</v>
      </c>
      <c r="B617" s="6" t="s">
        <v>5102</v>
      </c>
      <c r="C617" s="6" t="s">
        <v>4975</v>
      </c>
      <c r="D617" s="6" t="s">
        <v>6214</v>
      </c>
      <c r="E617" s="6" t="s">
        <v>6542</v>
      </c>
      <c r="F617" s="6" t="s">
        <v>6546</v>
      </c>
      <c r="G617" s="9" t="n">
        <v>20934</v>
      </c>
      <c r="H617" s="6" t="s">
        <v>384</v>
      </c>
      <c r="I617" s="6" t="s">
        <v>13</v>
      </c>
      <c r="J617" s="6" t="s">
        <v>218</v>
      </c>
      <c r="K617" s="6" t="s">
        <v>6507</v>
      </c>
      <c r="M617" s="6"/>
    </row>
    <row r="618" customFormat="false" ht="15" hidden="false" customHeight="false" outlineLevel="0" collapsed="false">
      <c r="A618" s="6" t="s">
        <v>6549</v>
      </c>
      <c r="B618" s="6" t="s">
        <v>5097</v>
      </c>
      <c r="C618" s="6" t="s">
        <v>4975</v>
      </c>
      <c r="D618" s="6" t="s">
        <v>6214</v>
      </c>
      <c r="E618" s="6" t="s">
        <v>6542</v>
      </c>
      <c r="F618" s="6" t="s">
        <v>6546</v>
      </c>
      <c r="G618" s="9" t="n">
        <v>28100</v>
      </c>
      <c r="H618" s="6" t="s">
        <v>384</v>
      </c>
      <c r="I618" s="6" t="s">
        <v>13</v>
      </c>
      <c r="J618" s="6" t="s">
        <v>218</v>
      </c>
      <c r="K618" s="6" t="s">
        <v>6507</v>
      </c>
      <c r="M618" s="6"/>
    </row>
    <row r="619" customFormat="false" ht="15" hidden="false" customHeight="false" outlineLevel="0" collapsed="false">
      <c r="A619" s="6" t="s">
        <v>6550</v>
      </c>
      <c r="B619" s="6" t="s">
        <v>5519</v>
      </c>
      <c r="C619" s="6" t="s">
        <v>5316</v>
      </c>
      <c r="D619" s="6" t="s">
        <v>6214</v>
      </c>
      <c r="E619" s="6" t="s">
        <v>6542</v>
      </c>
      <c r="F619" s="6" t="s">
        <v>6551</v>
      </c>
      <c r="G619" s="9" t="n">
        <v>14539</v>
      </c>
      <c r="H619" s="6" t="s">
        <v>384</v>
      </c>
      <c r="I619" s="6" t="s">
        <v>13</v>
      </c>
      <c r="J619" s="6" t="s">
        <v>238</v>
      </c>
      <c r="K619" s="6" t="s">
        <v>6513</v>
      </c>
      <c r="M619" s="6" t="s">
        <v>5055</v>
      </c>
    </row>
    <row r="620" customFormat="false" ht="15" hidden="false" customHeight="false" outlineLevel="0" collapsed="false">
      <c r="A620" s="6" t="s">
        <v>6552</v>
      </c>
      <c r="B620" s="6" t="s">
        <v>5315</v>
      </c>
      <c r="C620" s="6" t="s">
        <v>5316</v>
      </c>
      <c r="D620" s="6" t="s">
        <v>6214</v>
      </c>
      <c r="E620" s="6" t="s">
        <v>6542</v>
      </c>
      <c r="F620" s="6" t="s">
        <v>6551</v>
      </c>
      <c r="G620" s="9" t="n">
        <v>18789</v>
      </c>
      <c r="H620" s="6" t="s">
        <v>384</v>
      </c>
      <c r="I620" s="6" t="s">
        <v>13</v>
      </c>
      <c r="J620" s="6" t="s">
        <v>238</v>
      </c>
      <c r="K620" s="6" t="s">
        <v>6513</v>
      </c>
      <c r="M620" s="6" t="s">
        <v>5055</v>
      </c>
    </row>
    <row r="621" customFormat="false" ht="15" hidden="false" customHeight="false" outlineLevel="0" collapsed="false">
      <c r="A621" s="6" t="s">
        <v>6553</v>
      </c>
      <c r="B621" s="6" t="s">
        <v>5320</v>
      </c>
      <c r="C621" s="6" t="s">
        <v>5316</v>
      </c>
      <c r="D621" s="6" t="s">
        <v>6214</v>
      </c>
      <c r="E621" s="6" t="s">
        <v>6542</v>
      </c>
      <c r="F621" s="6" t="s">
        <v>6554</v>
      </c>
      <c r="G621" s="9" t="n">
        <v>21645</v>
      </c>
      <c r="H621" s="6" t="s">
        <v>384</v>
      </c>
      <c r="I621" s="6" t="s">
        <v>13</v>
      </c>
      <c r="J621" s="6" t="s">
        <v>253</v>
      </c>
      <c r="K621" s="6" t="s">
        <v>6517</v>
      </c>
      <c r="M621" s="6"/>
    </row>
    <row r="622" customFormat="false" ht="15" hidden="false" customHeight="false" outlineLevel="0" collapsed="false">
      <c r="A622" s="6" t="s">
        <v>6555</v>
      </c>
      <c r="B622" s="6" t="s">
        <v>5325</v>
      </c>
      <c r="C622" s="6" t="s">
        <v>5316</v>
      </c>
      <c r="D622" s="6" t="s">
        <v>6214</v>
      </c>
      <c r="E622" s="6" t="s">
        <v>6542</v>
      </c>
      <c r="F622" s="6" t="s">
        <v>6556</v>
      </c>
      <c r="G622" s="9" t="n">
        <v>17107</v>
      </c>
      <c r="H622" s="6" t="s">
        <v>384</v>
      </c>
      <c r="I622" s="6" t="s">
        <v>13</v>
      </c>
      <c r="J622" s="6" t="s">
        <v>261</v>
      </c>
      <c r="K622" s="6" t="s">
        <v>6520</v>
      </c>
      <c r="M622" s="6"/>
    </row>
    <row r="623" customFormat="false" ht="15" hidden="false" customHeight="false" outlineLevel="0" collapsed="false">
      <c r="A623" s="6" t="s">
        <v>6557</v>
      </c>
      <c r="B623" s="6" t="s">
        <v>6032</v>
      </c>
      <c r="C623" s="6" t="s">
        <v>4975</v>
      </c>
      <c r="D623" s="6" t="s">
        <v>6214</v>
      </c>
      <c r="E623" s="6" t="s">
        <v>6558</v>
      </c>
      <c r="F623" s="6" t="s">
        <v>6559</v>
      </c>
      <c r="G623" s="9" t="n">
        <v>9396</v>
      </c>
      <c r="H623" s="6" t="s">
        <v>384</v>
      </c>
      <c r="I623" s="6" t="s">
        <v>13</v>
      </c>
      <c r="J623" s="6" t="s">
        <v>209</v>
      </c>
      <c r="K623" s="6" t="s">
        <v>6501</v>
      </c>
      <c r="M623" s="6"/>
    </row>
    <row r="624" customFormat="false" ht="15" hidden="false" customHeight="false" outlineLevel="0" collapsed="false">
      <c r="A624" s="6" t="s">
        <v>6560</v>
      </c>
      <c r="B624" s="6" t="s">
        <v>5203</v>
      </c>
      <c r="C624" s="6" t="s">
        <v>4975</v>
      </c>
      <c r="D624" s="6" t="s">
        <v>6214</v>
      </c>
      <c r="E624" s="6" t="s">
        <v>6558</v>
      </c>
      <c r="F624" s="6" t="s">
        <v>6559</v>
      </c>
      <c r="G624" s="9" t="n">
        <v>12142</v>
      </c>
      <c r="H624" s="6" t="s">
        <v>384</v>
      </c>
      <c r="I624" s="6" t="s">
        <v>13</v>
      </c>
      <c r="J624" s="6" t="s">
        <v>209</v>
      </c>
      <c r="K624" s="6" t="s">
        <v>6501</v>
      </c>
      <c r="M624" s="6"/>
    </row>
    <row r="625" customFormat="false" ht="15" hidden="false" customHeight="false" outlineLevel="0" collapsed="false">
      <c r="A625" s="6" t="s">
        <v>6561</v>
      </c>
      <c r="B625" s="6" t="s">
        <v>5203</v>
      </c>
      <c r="C625" s="6" t="s">
        <v>4975</v>
      </c>
      <c r="D625" s="6" t="s">
        <v>6214</v>
      </c>
      <c r="E625" s="6" t="s">
        <v>6558</v>
      </c>
      <c r="F625" s="6" t="s">
        <v>6562</v>
      </c>
      <c r="G625" s="9" t="n">
        <v>12142</v>
      </c>
      <c r="H625" s="6" t="s">
        <v>384</v>
      </c>
      <c r="I625" s="6" t="s">
        <v>13</v>
      </c>
      <c r="J625" s="6" t="s">
        <v>218</v>
      </c>
      <c r="K625" s="6" t="s">
        <v>6507</v>
      </c>
      <c r="M625" s="6" t="s">
        <v>6508</v>
      </c>
    </row>
    <row r="626" customFormat="false" ht="15" hidden="false" customHeight="false" outlineLevel="0" collapsed="false">
      <c r="A626" s="6" t="s">
        <v>6563</v>
      </c>
      <c r="B626" s="6" t="s">
        <v>5102</v>
      </c>
      <c r="C626" s="6" t="s">
        <v>4975</v>
      </c>
      <c r="D626" s="6" t="s">
        <v>6214</v>
      </c>
      <c r="E626" s="6" t="s">
        <v>6558</v>
      </c>
      <c r="F626" s="6" t="s">
        <v>6559</v>
      </c>
      <c r="G626" s="9" t="n">
        <v>21779</v>
      </c>
      <c r="H626" s="6" t="s">
        <v>384</v>
      </c>
      <c r="I626" s="6" t="s">
        <v>13</v>
      </c>
      <c r="J626" s="6" t="s">
        <v>209</v>
      </c>
      <c r="K626" s="6" t="s">
        <v>6501</v>
      </c>
      <c r="M626" s="6"/>
    </row>
    <row r="627" customFormat="false" ht="15" hidden="false" customHeight="false" outlineLevel="0" collapsed="false">
      <c r="A627" s="6" t="s">
        <v>6564</v>
      </c>
      <c r="B627" s="6" t="s">
        <v>5102</v>
      </c>
      <c r="C627" s="6" t="s">
        <v>4975</v>
      </c>
      <c r="D627" s="6" t="s">
        <v>6214</v>
      </c>
      <c r="E627" s="6" t="s">
        <v>6558</v>
      </c>
      <c r="F627" s="6" t="s">
        <v>6562</v>
      </c>
      <c r="G627" s="9" t="n">
        <v>21779</v>
      </c>
      <c r="H627" s="6" t="s">
        <v>384</v>
      </c>
      <c r="I627" s="6" t="s">
        <v>13</v>
      </c>
      <c r="J627" s="6" t="s">
        <v>218</v>
      </c>
      <c r="K627" s="6" t="s">
        <v>6507</v>
      </c>
      <c r="M627" s="6"/>
    </row>
    <row r="628" customFormat="false" ht="15" hidden="false" customHeight="false" outlineLevel="0" collapsed="false">
      <c r="A628" s="6" t="s">
        <v>6565</v>
      </c>
      <c r="B628" s="6" t="s">
        <v>5097</v>
      </c>
      <c r="C628" s="6" t="s">
        <v>4975</v>
      </c>
      <c r="D628" s="6" t="s">
        <v>6214</v>
      </c>
      <c r="E628" s="6" t="s">
        <v>6558</v>
      </c>
      <c r="F628" s="6" t="s">
        <v>6562</v>
      </c>
      <c r="G628" s="9" t="n">
        <v>32957</v>
      </c>
      <c r="H628" s="6" t="s">
        <v>384</v>
      </c>
      <c r="I628" s="6" t="s">
        <v>13</v>
      </c>
      <c r="J628" s="6" t="s">
        <v>218</v>
      </c>
      <c r="K628" s="6" t="s">
        <v>6507</v>
      </c>
      <c r="M628" s="6"/>
    </row>
    <row r="629" customFormat="false" ht="15" hidden="false" customHeight="false" outlineLevel="0" collapsed="false">
      <c r="A629" s="6" t="s">
        <v>6566</v>
      </c>
      <c r="B629" s="6" t="s">
        <v>5519</v>
      </c>
      <c r="C629" s="6" t="s">
        <v>5316</v>
      </c>
      <c r="D629" s="6" t="s">
        <v>6214</v>
      </c>
      <c r="E629" s="6" t="s">
        <v>6558</v>
      </c>
      <c r="F629" s="6" t="s">
        <v>6567</v>
      </c>
      <c r="G629" s="9" t="n">
        <v>19742</v>
      </c>
      <c r="H629" s="6" t="s">
        <v>384</v>
      </c>
      <c r="I629" s="6" t="s">
        <v>13</v>
      </c>
      <c r="J629" s="6" t="s">
        <v>238</v>
      </c>
      <c r="K629" s="6" t="s">
        <v>6513</v>
      </c>
      <c r="M629" s="6" t="s">
        <v>5055</v>
      </c>
    </row>
    <row r="630" customFormat="false" ht="15" hidden="false" customHeight="false" outlineLevel="0" collapsed="false">
      <c r="A630" s="6" t="s">
        <v>6568</v>
      </c>
      <c r="B630" s="6" t="s">
        <v>5315</v>
      </c>
      <c r="C630" s="6" t="s">
        <v>5316</v>
      </c>
      <c r="D630" s="6" t="s">
        <v>6214</v>
      </c>
      <c r="E630" s="6" t="s">
        <v>6558</v>
      </c>
      <c r="F630" s="6" t="s">
        <v>6567</v>
      </c>
      <c r="G630" s="9" t="n">
        <v>23193</v>
      </c>
      <c r="H630" s="6" t="s">
        <v>384</v>
      </c>
      <c r="I630" s="6" t="s">
        <v>13</v>
      </c>
      <c r="J630" s="6" t="s">
        <v>238</v>
      </c>
      <c r="K630" s="6" t="s">
        <v>6513</v>
      </c>
      <c r="M630" s="6" t="s">
        <v>5055</v>
      </c>
    </row>
    <row r="631" customFormat="false" ht="15" hidden="false" customHeight="false" outlineLevel="0" collapsed="false">
      <c r="A631" s="6" t="s">
        <v>6569</v>
      </c>
      <c r="B631" s="6" t="s">
        <v>5320</v>
      </c>
      <c r="C631" s="6" t="s">
        <v>5316</v>
      </c>
      <c r="D631" s="6" t="s">
        <v>6214</v>
      </c>
      <c r="E631" s="6" t="s">
        <v>6558</v>
      </c>
      <c r="F631" s="6" t="s">
        <v>6570</v>
      </c>
      <c r="G631" s="9" t="n">
        <v>43347</v>
      </c>
      <c r="H631" s="6" t="s">
        <v>384</v>
      </c>
      <c r="I631" s="6" t="s">
        <v>13</v>
      </c>
      <c r="J631" s="6" t="s">
        <v>253</v>
      </c>
      <c r="K631" s="6" t="s">
        <v>6517</v>
      </c>
      <c r="M631" s="6"/>
    </row>
    <row r="632" customFormat="false" ht="15" hidden="false" customHeight="false" outlineLevel="0" collapsed="false">
      <c r="A632" s="6" t="s">
        <v>6571</v>
      </c>
      <c r="B632" s="6" t="s">
        <v>5325</v>
      </c>
      <c r="C632" s="6" t="s">
        <v>5316</v>
      </c>
      <c r="D632" s="6" t="s">
        <v>6214</v>
      </c>
      <c r="E632" s="6" t="s">
        <v>6558</v>
      </c>
      <c r="F632" s="6" t="s">
        <v>6572</v>
      </c>
      <c r="G632" s="9" t="n">
        <v>29911</v>
      </c>
      <c r="H632" s="6" t="s">
        <v>384</v>
      </c>
      <c r="I632" s="6" t="s">
        <v>13</v>
      </c>
      <c r="J632" s="6" t="s">
        <v>261</v>
      </c>
      <c r="K632" s="6" t="s">
        <v>6520</v>
      </c>
      <c r="M632" s="6"/>
    </row>
    <row r="633" customFormat="false" ht="15" hidden="false" customHeight="false" outlineLevel="0" collapsed="false">
      <c r="A633" s="6" t="s">
        <v>6573</v>
      </c>
      <c r="B633" s="6" t="s">
        <v>6032</v>
      </c>
      <c r="C633" s="6" t="s">
        <v>4975</v>
      </c>
      <c r="D633" s="6" t="s">
        <v>6214</v>
      </c>
      <c r="E633" s="6" t="s">
        <v>6574</v>
      </c>
      <c r="F633" s="6" t="s">
        <v>6575</v>
      </c>
      <c r="G633" s="9" t="n">
        <v>3283</v>
      </c>
      <c r="H633" s="6" t="s">
        <v>384</v>
      </c>
      <c r="I633" s="6" t="s">
        <v>13</v>
      </c>
      <c r="J633" s="6" t="s">
        <v>209</v>
      </c>
      <c r="K633" s="6" t="s">
        <v>6501</v>
      </c>
      <c r="M633" s="6"/>
    </row>
    <row r="634" customFormat="false" ht="15" hidden="false" customHeight="false" outlineLevel="0" collapsed="false">
      <c r="A634" s="6" t="s">
        <v>6576</v>
      </c>
      <c r="B634" s="6" t="s">
        <v>5203</v>
      </c>
      <c r="C634" s="6" t="s">
        <v>4975</v>
      </c>
      <c r="D634" s="6" t="s">
        <v>6214</v>
      </c>
      <c r="E634" s="6" t="s">
        <v>6574</v>
      </c>
      <c r="F634" s="6" t="s">
        <v>6575</v>
      </c>
      <c r="G634" s="9" t="n">
        <v>10068</v>
      </c>
      <c r="H634" s="6" t="s">
        <v>384</v>
      </c>
      <c r="I634" s="6" t="s">
        <v>13</v>
      </c>
      <c r="J634" s="6" t="s">
        <v>209</v>
      </c>
      <c r="K634" s="6" t="s">
        <v>6501</v>
      </c>
      <c r="M634" s="6"/>
    </row>
    <row r="635" customFormat="false" ht="15" hidden="false" customHeight="false" outlineLevel="0" collapsed="false">
      <c r="A635" s="6" t="s">
        <v>6577</v>
      </c>
      <c r="B635" s="6" t="s">
        <v>5203</v>
      </c>
      <c r="C635" s="6" t="s">
        <v>4975</v>
      </c>
      <c r="D635" s="6" t="s">
        <v>6214</v>
      </c>
      <c r="E635" s="6" t="s">
        <v>6574</v>
      </c>
      <c r="F635" s="6" t="s">
        <v>6578</v>
      </c>
      <c r="G635" s="9" t="n">
        <v>10068</v>
      </c>
      <c r="H635" s="6" t="s">
        <v>384</v>
      </c>
      <c r="I635" s="6" t="s">
        <v>13</v>
      </c>
      <c r="J635" s="6" t="s">
        <v>218</v>
      </c>
      <c r="K635" s="6" t="s">
        <v>6507</v>
      </c>
      <c r="M635" s="6" t="s">
        <v>6508</v>
      </c>
    </row>
    <row r="636" customFormat="false" ht="15" hidden="false" customHeight="false" outlineLevel="0" collapsed="false">
      <c r="A636" s="6" t="s">
        <v>6579</v>
      </c>
      <c r="B636" s="6" t="s">
        <v>5102</v>
      </c>
      <c r="C636" s="6" t="s">
        <v>4975</v>
      </c>
      <c r="D636" s="6" t="s">
        <v>6214</v>
      </c>
      <c r="E636" s="6" t="s">
        <v>6574</v>
      </c>
      <c r="F636" s="6" t="s">
        <v>6575</v>
      </c>
      <c r="G636" s="9" t="n">
        <v>23135</v>
      </c>
      <c r="H636" s="6" t="s">
        <v>384</v>
      </c>
      <c r="I636" s="6" t="s">
        <v>13</v>
      </c>
      <c r="J636" s="6" t="s">
        <v>209</v>
      </c>
      <c r="K636" s="6" t="s">
        <v>6501</v>
      </c>
      <c r="M636" s="6"/>
    </row>
    <row r="637" customFormat="false" ht="15" hidden="false" customHeight="false" outlineLevel="0" collapsed="false">
      <c r="A637" s="6" t="s">
        <v>6580</v>
      </c>
      <c r="B637" s="6" t="s">
        <v>5102</v>
      </c>
      <c r="C637" s="6" t="s">
        <v>4975</v>
      </c>
      <c r="D637" s="6" t="s">
        <v>6214</v>
      </c>
      <c r="E637" s="6" t="s">
        <v>6574</v>
      </c>
      <c r="F637" s="6" t="s">
        <v>6578</v>
      </c>
      <c r="G637" s="9" t="n">
        <v>23135</v>
      </c>
      <c r="H637" s="6" t="s">
        <v>384</v>
      </c>
      <c r="I637" s="6" t="s">
        <v>13</v>
      </c>
      <c r="J637" s="6" t="s">
        <v>218</v>
      </c>
      <c r="K637" s="6" t="s">
        <v>6507</v>
      </c>
      <c r="M637" s="6"/>
    </row>
    <row r="638" customFormat="false" ht="15" hidden="false" customHeight="false" outlineLevel="0" collapsed="false">
      <c r="A638" s="6" t="s">
        <v>6581</v>
      </c>
      <c r="B638" s="6" t="s">
        <v>5097</v>
      </c>
      <c r="C638" s="6" t="s">
        <v>4975</v>
      </c>
      <c r="D638" s="6" t="s">
        <v>6214</v>
      </c>
      <c r="E638" s="6" t="s">
        <v>6574</v>
      </c>
      <c r="F638" s="6" t="s">
        <v>6578</v>
      </c>
      <c r="G638" s="9" t="n">
        <v>33457</v>
      </c>
      <c r="H638" s="6" t="s">
        <v>384</v>
      </c>
      <c r="I638" s="6" t="s">
        <v>13</v>
      </c>
      <c r="J638" s="6" t="s">
        <v>218</v>
      </c>
      <c r="K638" s="6" t="s">
        <v>6507</v>
      </c>
      <c r="M638" s="6"/>
    </row>
    <row r="639" customFormat="false" ht="15" hidden="false" customHeight="false" outlineLevel="0" collapsed="false">
      <c r="A639" s="6" t="s">
        <v>6582</v>
      </c>
      <c r="B639" s="6" t="s">
        <v>5519</v>
      </c>
      <c r="C639" s="6" t="s">
        <v>5316</v>
      </c>
      <c r="D639" s="6" t="s">
        <v>6214</v>
      </c>
      <c r="E639" s="6" t="s">
        <v>6574</v>
      </c>
      <c r="F639" s="6" t="s">
        <v>6583</v>
      </c>
      <c r="G639" s="9" t="n">
        <v>13640</v>
      </c>
      <c r="H639" s="6" t="s">
        <v>384</v>
      </c>
      <c r="I639" s="6" t="s">
        <v>13</v>
      </c>
      <c r="J639" s="6" t="s">
        <v>238</v>
      </c>
      <c r="K639" s="6" t="s">
        <v>6513</v>
      </c>
      <c r="M639" s="6" t="s">
        <v>5055</v>
      </c>
    </row>
    <row r="640" customFormat="false" ht="15" hidden="false" customHeight="false" outlineLevel="0" collapsed="false">
      <c r="A640" s="6" t="s">
        <v>6584</v>
      </c>
      <c r="B640" s="6" t="s">
        <v>5315</v>
      </c>
      <c r="C640" s="6" t="s">
        <v>5316</v>
      </c>
      <c r="D640" s="6" t="s">
        <v>6214</v>
      </c>
      <c r="E640" s="6" t="s">
        <v>6574</v>
      </c>
      <c r="F640" s="6" t="s">
        <v>6583</v>
      </c>
      <c r="G640" s="9" t="n">
        <v>18068</v>
      </c>
      <c r="H640" s="6" t="s">
        <v>384</v>
      </c>
      <c r="I640" s="6" t="s">
        <v>13</v>
      </c>
      <c r="J640" s="6" t="s">
        <v>238</v>
      </c>
      <c r="K640" s="6" t="s">
        <v>6513</v>
      </c>
      <c r="M640" s="6" t="s">
        <v>5055</v>
      </c>
    </row>
    <row r="641" customFormat="false" ht="15" hidden="false" customHeight="false" outlineLevel="0" collapsed="false">
      <c r="A641" s="6" t="s">
        <v>6585</v>
      </c>
      <c r="B641" s="6" t="s">
        <v>5320</v>
      </c>
      <c r="C641" s="6" t="s">
        <v>5316</v>
      </c>
      <c r="D641" s="6" t="s">
        <v>6214</v>
      </c>
      <c r="E641" s="6" t="s">
        <v>6574</v>
      </c>
      <c r="F641" s="6" t="s">
        <v>6586</v>
      </c>
      <c r="G641" s="9" t="n">
        <v>19205</v>
      </c>
      <c r="H641" s="6" t="s">
        <v>384</v>
      </c>
      <c r="I641" s="6" t="s">
        <v>13</v>
      </c>
      <c r="J641" s="6" t="s">
        <v>253</v>
      </c>
      <c r="K641" s="6" t="s">
        <v>6517</v>
      </c>
      <c r="M641" s="6"/>
    </row>
    <row r="642" customFormat="false" ht="15" hidden="false" customHeight="false" outlineLevel="0" collapsed="false">
      <c r="A642" s="6" t="s">
        <v>6587</v>
      </c>
      <c r="B642" s="6" t="s">
        <v>5325</v>
      </c>
      <c r="C642" s="6" t="s">
        <v>5316</v>
      </c>
      <c r="D642" s="6" t="s">
        <v>6214</v>
      </c>
      <c r="E642" s="6" t="s">
        <v>6574</v>
      </c>
      <c r="F642" s="6" t="s">
        <v>6588</v>
      </c>
      <c r="G642" s="9" t="n">
        <v>20172</v>
      </c>
      <c r="H642" s="6" t="s">
        <v>384</v>
      </c>
      <c r="I642" s="6" t="s">
        <v>13</v>
      </c>
      <c r="J642" s="6" t="s">
        <v>261</v>
      </c>
      <c r="K642" s="6" t="s">
        <v>6520</v>
      </c>
      <c r="M642" s="6"/>
    </row>
    <row r="643" customFormat="false" ht="15" hidden="false" customHeight="false" outlineLevel="0" collapsed="false">
      <c r="A643" s="6" t="s">
        <v>6589</v>
      </c>
      <c r="B643" s="6" t="s">
        <v>5203</v>
      </c>
      <c r="C643" s="6" t="s">
        <v>4975</v>
      </c>
      <c r="D643" s="6" t="s">
        <v>6214</v>
      </c>
      <c r="E643" s="6" t="s">
        <v>6590</v>
      </c>
      <c r="F643" s="6" t="s">
        <v>6591</v>
      </c>
      <c r="G643" s="9" t="n">
        <v>64345</v>
      </c>
      <c r="H643" s="6" t="s">
        <v>384</v>
      </c>
      <c r="I643" s="6" t="s">
        <v>13</v>
      </c>
      <c r="J643" s="6" t="s">
        <v>218</v>
      </c>
      <c r="K643" s="6" t="s">
        <v>6507</v>
      </c>
      <c r="M643" s="6" t="s">
        <v>6508</v>
      </c>
    </row>
    <row r="644" customFormat="false" ht="15" hidden="false" customHeight="false" outlineLevel="0" collapsed="false">
      <c r="A644" s="6" t="s">
        <v>6592</v>
      </c>
      <c r="B644" s="6" t="s">
        <v>5102</v>
      </c>
      <c r="C644" s="6" t="s">
        <v>4975</v>
      </c>
      <c r="D644" s="6" t="s">
        <v>6214</v>
      </c>
      <c r="E644" s="6" t="s">
        <v>6590</v>
      </c>
      <c r="F644" s="6" t="s">
        <v>6591</v>
      </c>
      <c r="G644" s="9" t="n">
        <v>73529</v>
      </c>
      <c r="H644" s="6" t="s">
        <v>384</v>
      </c>
      <c r="I644" s="6" t="s">
        <v>13</v>
      </c>
      <c r="J644" s="6" t="s">
        <v>218</v>
      </c>
      <c r="K644" s="6" t="s">
        <v>6507</v>
      </c>
      <c r="M644" s="6"/>
    </row>
    <row r="645" customFormat="false" ht="15" hidden="false" customHeight="false" outlineLevel="0" collapsed="false">
      <c r="A645" s="6" t="s">
        <v>6593</v>
      </c>
      <c r="B645" s="6" t="s">
        <v>5097</v>
      </c>
      <c r="C645" s="6" t="s">
        <v>4975</v>
      </c>
      <c r="D645" s="6" t="s">
        <v>6214</v>
      </c>
      <c r="E645" s="6" t="s">
        <v>6590</v>
      </c>
      <c r="F645" s="6" t="s">
        <v>6591</v>
      </c>
      <c r="G645" s="9" t="n">
        <v>104920</v>
      </c>
      <c r="H645" s="6" t="s">
        <v>384</v>
      </c>
      <c r="I645" s="6" t="s">
        <v>13</v>
      </c>
      <c r="J645" s="6" t="s">
        <v>218</v>
      </c>
      <c r="K645" s="6" t="s">
        <v>6507</v>
      </c>
      <c r="M645" s="6"/>
    </row>
    <row r="646" customFormat="false" ht="15" hidden="false" customHeight="false" outlineLevel="0" collapsed="false">
      <c r="A646" s="6" t="s">
        <v>6594</v>
      </c>
      <c r="B646" s="6" t="s">
        <v>5519</v>
      </c>
      <c r="C646" s="6" t="s">
        <v>5316</v>
      </c>
      <c r="D646" s="6" t="s">
        <v>6214</v>
      </c>
      <c r="E646" s="6" t="s">
        <v>6590</v>
      </c>
      <c r="F646" s="6" t="s">
        <v>6595</v>
      </c>
      <c r="G646" s="9" t="n">
        <v>51243</v>
      </c>
      <c r="H646" s="6" t="s">
        <v>384</v>
      </c>
      <c r="I646" s="6" t="s">
        <v>13</v>
      </c>
      <c r="J646" s="6" t="s">
        <v>238</v>
      </c>
      <c r="K646" s="6" t="s">
        <v>6513</v>
      </c>
      <c r="M646" s="6"/>
    </row>
    <row r="647" customFormat="false" ht="15" hidden="false" customHeight="false" outlineLevel="0" collapsed="false">
      <c r="A647" s="6" t="s">
        <v>6596</v>
      </c>
      <c r="B647" s="6" t="s">
        <v>5315</v>
      </c>
      <c r="C647" s="6" t="s">
        <v>5316</v>
      </c>
      <c r="D647" s="6" t="s">
        <v>6214</v>
      </c>
      <c r="E647" s="6" t="s">
        <v>6590</v>
      </c>
      <c r="F647" s="6" t="s">
        <v>6595</v>
      </c>
      <c r="G647" s="9" t="n">
        <v>63166</v>
      </c>
      <c r="H647" s="6" t="s">
        <v>384</v>
      </c>
      <c r="I647" s="6" t="s">
        <v>13</v>
      </c>
      <c r="J647" s="6" t="s">
        <v>238</v>
      </c>
      <c r="K647" s="6" t="s">
        <v>6513</v>
      </c>
      <c r="M647" s="6"/>
    </row>
    <row r="648" customFormat="false" ht="15" hidden="false" customHeight="false" outlineLevel="0" collapsed="false">
      <c r="A648" s="6" t="s">
        <v>6597</v>
      </c>
      <c r="B648" s="6" t="s">
        <v>5320</v>
      </c>
      <c r="C648" s="6" t="s">
        <v>5316</v>
      </c>
      <c r="D648" s="6" t="s">
        <v>6214</v>
      </c>
      <c r="E648" s="6" t="s">
        <v>6590</v>
      </c>
      <c r="F648" s="6" t="s">
        <v>6598</v>
      </c>
      <c r="G648" s="9" t="n">
        <v>87603</v>
      </c>
      <c r="H648" s="6" t="s">
        <v>384</v>
      </c>
      <c r="I648" s="6" t="s">
        <v>13</v>
      </c>
      <c r="J648" s="6" t="s">
        <v>253</v>
      </c>
      <c r="K648" s="6" t="s">
        <v>6517</v>
      </c>
      <c r="M648" s="6" t="s">
        <v>5055</v>
      </c>
    </row>
    <row r="649" customFormat="false" ht="15" hidden="false" customHeight="false" outlineLevel="0" collapsed="false">
      <c r="A649" s="6" t="s">
        <v>6599</v>
      </c>
      <c r="B649" s="6" t="s">
        <v>5325</v>
      </c>
      <c r="C649" s="6" t="s">
        <v>5316</v>
      </c>
      <c r="D649" s="6" t="s">
        <v>6214</v>
      </c>
      <c r="E649" s="6" t="s">
        <v>6590</v>
      </c>
      <c r="F649" s="6" t="s">
        <v>6600</v>
      </c>
      <c r="G649" s="9" t="n">
        <v>70501</v>
      </c>
      <c r="H649" s="6" t="s">
        <v>384</v>
      </c>
      <c r="I649" s="6" t="s">
        <v>13</v>
      </c>
      <c r="J649" s="6" t="s">
        <v>261</v>
      </c>
      <c r="K649" s="6" t="s">
        <v>6520</v>
      </c>
      <c r="M649" s="6" t="s">
        <v>5055</v>
      </c>
    </row>
    <row r="650" customFormat="false" ht="15" hidden="false" customHeight="false" outlineLevel="0" collapsed="false">
      <c r="A650" s="6" t="s">
        <v>6601</v>
      </c>
      <c r="B650" s="6" t="s">
        <v>6032</v>
      </c>
      <c r="C650" s="6" t="s">
        <v>4975</v>
      </c>
      <c r="D650" s="6" t="s">
        <v>6214</v>
      </c>
      <c r="E650" s="6" t="s">
        <v>6602</v>
      </c>
      <c r="F650" s="6" t="s">
        <v>6603</v>
      </c>
      <c r="G650" s="9" t="n">
        <v>21839</v>
      </c>
      <c r="H650" s="6" t="s">
        <v>384</v>
      </c>
      <c r="I650" s="6" t="s">
        <v>13</v>
      </c>
      <c r="J650" s="6" t="s">
        <v>209</v>
      </c>
      <c r="K650" s="6" t="s">
        <v>6501</v>
      </c>
      <c r="M650" s="6" t="s">
        <v>6604</v>
      </c>
    </row>
    <row r="651" customFormat="false" ht="15" hidden="false" customHeight="false" outlineLevel="0" collapsed="false">
      <c r="A651" s="6" t="s">
        <v>6605</v>
      </c>
      <c r="B651" s="6" t="s">
        <v>5203</v>
      </c>
      <c r="C651" s="6" t="s">
        <v>4975</v>
      </c>
      <c r="D651" s="6" t="s">
        <v>6214</v>
      </c>
      <c r="E651" s="6" t="s">
        <v>6602</v>
      </c>
      <c r="F651" s="6" t="s">
        <v>6603</v>
      </c>
      <c r="G651" s="9" t="n">
        <v>64345</v>
      </c>
      <c r="H651" s="6" t="s">
        <v>384</v>
      </c>
      <c r="I651" s="6" t="s">
        <v>13</v>
      </c>
      <c r="J651" s="6" t="s">
        <v>209</v>
      </c>
      <c r="K651" s="6" t="s">
        <v>6501</v>
      </c>
      <c r="M651" s="6" t="s">
        <v>6604</v>
      </c>
    </row>
    <row r="652" customFormat="false" ht="15" hidden="false" customHeight="false" outlineLevel="0" collapsed="false">
      <c r="A652" s="6" t="s">
        <v>6606</v>
      </c>
      <c r="B652" s="6" t="s">
        <v>5102</v>
      </c>
      <c r="C652" s="6" t="s">
        <v>4975</v>
      </c>
      <c r="D652" s="6" t="s">
        <v>6214</v>
      </c>
      <c r="E652" s="6" t="s">
        <v>6602</v>
      </c>
      <c r="F652" s="6" t="s">
        <v>6603</v>
      </c>
      <c r="G652" s="9" t="n">
        <v>73529</v>
      </c>
      <c r="H652" s="6" t="s">
        <v>384</v>
      </c>
      <c r="I652" s="6" t="s">
        <v>13</v>
      </c>
      <c r="J652" s="6" t="s">
        <v>209</v>
      </c>
      <c r="K652" s="6" t="s">
        <v>6501</v>
      </c>
      <c r="M652" s="6" t="s">
        <v>6604</v>
      </c>
    </row>
    <row r="653" customFormat="false" ht="15" hidden="false" customHeight="false" outlineLevel="0" collapsed="false">
      <c r="A653" s="6" t="s">
        <v>6607</v>
      </c>
      <c r="B653" s="6" t="s">
        <v>5519</v>
      </c>
      <c r="C653" s="6" t="s">
        <v>5316</v>
      </c>
      <c r="D653" s="6" t="s">
        <v>6214</v>
      </c>
      <c r="E653" s="6" t="s">
        <v>6608</v>
      </c>
      <c r="F653" s="6" t="s">
        <v>6609</v>
      </c>
      <c r="G653" s="9" t="n">
        <v>52199</v>
      </c>
      <c r="H653" s="6" t="s">
        <v>384</v>
      </c>
      <c r="I653" s="6" t="s">
        <v>13</v>
      </c>
      <c r="J653" s="6" t="s">
        <v>238</v>
      </c>
      <c r="K653" s="6" t="s">
        <v>6513</v>
      </c>
      <c r="M653" s="6"/>
    </row>
    <row r="654" customFormat="false" ht="15" hidden="false" customHeight="false" outlineLevel="0" collapsed="false">
      <c r="A654" s="6" t="s">
        <v>6610</v>
      </c>
      <c r="B654" s="6" t="s">
        <v>5315</v>
      </c>
      <c r="C654" s="6" t="s">
        <v>5316</v>
      </c>
      <c r="D654" s="6" t="s">
        <v>6214</v>
      </c>
      <c r="E654" s="6" t="s">
        <v>6608</v>
      </c>
      <c r="F654" s="6" t="s">
        <v>6609</v>
      </c>
      <c r="G654" s="9" t="n">
        <v>63814</v>
      </c>
      <c r="H654" s="6" t="s">
        <v>384</v>
      </c>
      <c r="I654" s="6" t="s">
        <v>13</v>
      </c>
      <c r="J654" s="6" t="s">
        <v>238</v>
      </c>
      <c r="K654" s="6" t="s">
        <v>6513</v>
      </c>
      <c r="M654" s="6"/>
    </row>
    <row r="655" customFormat="false" ht="15" hidden="false" customHeight="false" outlineLevel="0" collapsed="false">
      <c r="A655" s="6" t="s">
        <v>6611</v>
      </c>
      <c r="B655" s="6" t="s">
        <v>5320</v>
      </c>
      <c r="C655" s="6" t="s">
        <v>5316</v>
      </c>
      <c r="D655" s="6" t="s">
        <v>6214</v>
      </c>
      <c r="E655" s="6" t="s">
        <v>6608</v>
      </c>
      <c r="F655" s="6" t="s">
        <v>6612</v>
      </c>
      <c r="G655" s="9" t="n">
        <v>88658</v>
      </c>
      <c r="H655" s="6" t="s">
        <v>384</v>
      </c>
      <c r="I655" s="6" t="s">
        <v>13</v>
      </c>
      <c r="J655" s="6" t="s">
        <v>253</v>
      </c>
      <c r="K655" s="6" t="s">
        <v>6517</v>
      </c>
      <c r="M655" s="6" t="s">
        <v>5055</v>
      </c>
    </row>
    <row r="656" customFormat="false" ht="15" hidden="false" customHeight="false" outlineLevel="0" collapsed="false">
      <c r="A656" s="6" t="s">
        <v>6613</v>
      </c>
      <c r="B656" s="6" t="s">
        <v>5325</v>
      </c>
      <c r="C656" s="6" t="s">
        <v>5316</v>
      </c>
      <c r="D656" s="6" t="s">
        <v>6214</v>
      </c>
      <c r="E656" s="6" t="s">
        <v>6608</v>
      </c>
      <c r="F656" s="6" t="s">
        <v>6614</v>
      </c>
      <c r="G656" s="9" t="n">
        <v>70933</v>
      </c>
      <c r="H656" s="6" t="s">
        <v>384</v>
      </c>
      <c r="I656" s="6" t="s">
        <v>13</v>
      </c>
      <c r="J656" s="6" t="s">
        <v>261</v>
      </c>
      <c r="K656" s="6" t="s">
        <v>6520</v>
      </c>
      <c r="M656" s="6" t="s">
        <v>5055</v>
      </c>
    </row>
    <row r="657" customFormat="false" ht="15" hidden="false" customHeight="false" outlineLevel="0" collapsed="false">
      <c r="A657" s="6" t="s">
        <v>6615</v>
      </c>
      <c r="B657" s="6" t="s">
        <v>5203</v>
      </c>
      <c r="C657" s="6" t="s">
        <v>4975</v>
      </c>
      <c r="D657" s="6" t="s">
        <v>6214</v>
      </c>
      <c r="E657" s="6" t="s">
        <v>6616</v>
      </c>
      <c r="F657" s="6" t="s">
        <v>6617</v>
      </c>
      <c r="G657" s="9" t="n">
        <v>64725</v>
      </c>
      <c r="H657" s="6" t="s">
        <v>384</v>
      </c>
      <c r="I657" s="6" t="s">
        <v>13</v>
      </c>
      <c r="J657" s="6" t="s">
        <v>218</v>
      </c>
      <c r="K657" s="6" t="s">
        <v>6507</v>
      </c>
      <c r="M657" s="6" t="s">
        <v>6508</v>
      </c>
    </row>
    <row r="658" customFormat="false" ht="15" hidden="false" customHeight="false" outlineLevel="0" collapsed="false">
      <c r="A658" s="6" t="s">
        <v>6618</v>
      </c>
      <c r="B658" s="6" t="s">
        <v>5102</v>
      </c>
      <c r="C658" s="6" t="s">
        <v>4975</v>
      </c>
      <c r="D658" s="6" t="s">
        <v>6214</v>
      </c>
      <c r="E658" s="6" t="s">
        <v>6616</v>
      </c>
      <c r="F658" s="6" t="s">
        <v>6617</v>
      </c>
      <c r="G658" s="9" t="n">
        <v>75051</v>
      </c>
      <c r="H658" s="6" t="s">
        <v>384</v>
      </c>
      <c r="I658" s="6" t="s">
        <v>13</v>
      </c>
      <c r="J658" s="6" t="s">
        <v>218</v>
      </c>
      <c r="K658" s="6" t="s">
        <v>6507</v>
      </c>
      <c r="M658" s="6"/>
    </row>
    <row r="659" customFormat="false" ht="15" hidden="false" customHeight="false" outlineLevel="0" collapsed="false">
      <c r="A659" s="6" t="s">
        <v>6619</v>
      </c>
      <c r="B659" s="6" t="s">
        <v>5097</v>
      </c>
      <c r="C659" s="6" t="s">
        <v>4975</v>
      </c>
      <c r="D659" s="6" t="s">
        <v>6214</v>
      </c>
      <c r="E659" s="6" t="s">
        <v>6616</v>
      </c>
      <c r="F659" s="6" t="s">
        <v>6617</v>
      </c>
      <c r="G659" s="9" t="n">
        <v>107202</v>
      </c>
      <c r="H659" s="6" t="s">
        <v>384</v>
      </c>
      <c r="I659" s="6" t="s">
        <v>13</v>
      </c>
      <c r="J659" s="6" t="s">
        <v>218</v>
      </c>
      <c r="K659" s="6" t="s">
        <v>6507</v>
      </c>
      <c r="M659" s="6"/>
    </row>
    <row r="660" customFormat="false" ht="15" hidden="false" customHeight="false" outlineLevel="0" collapsed="false">
      <c r="A660" s="6" t="s">
        <v>6620</v>
      </c>
      <c r="B660" s="6" t="s">
        <v>6032</v>
      </c>
      <c r="C660" s="6" t="s">
        <v>4975</v>
      </c>
      <c r="D660" s="6" t="s">
        <v>6214</v>
      </c>
      <c r="E660" s="6" t="s">
        <v>6621</v>
      </c>
      <c r="F660" s="6" t="s">
        <v>6622</v>
      </c>
      <c r="G660" s="9" t="n">
        <v>21939</v>
      </c>
      <c r="H660" s="6" t="s">
        <v>384</v>
      </c>
      <c r="I660" s="6" t="s">
        <v>13</v>
      </c>
      <c r="J660" s="6" t="s">
        <v>209</v>
      </c>
      <c r="K660" s="6" t="s">
        <v>6501</v>
      </c>
      <c r="M660" s="6"/>
    </row>
    <row r="661" customFormat="false" ht="15" hidden="false" customHeight="false" outlineLevel="0" collapsed="false">
      <c r="A661" s="6" t="s">
        <v>6623</v>
      </c>
      <c r="B661" s="6" t="s">
        <v>5203</v>
      </c>
      <c r="C661" s="6" t="s">
        <v>4975</v>
      </c>
      <c r="D661" s="6" t="s">
        <v>6214</v>
      </c>
      <c r="E661" s="6" t="s">
        <v>6621</v>
      </c>
      <c r="F661" s="6" t="s">
        <v>6622</v>
      </c>
      <c r="G661" s="9" t="n">
        <v>64725</v>
      </c>
      <c r="H661" s="6" t="s">
        <v>384</v>
      </c>
      <c r="I661" s="6" t="s">
        <v>13</v>
      </c>
      <c r="J661" s="6" t="s">
        <v>209</v>
      </c>
      <c r="K661" s="6" t="s">
        <v>6501</v>
      </c>
      <c r="M661" s="6"/>
    </row>
    <row r="662" customFormat="false" ht="15" hidden="false" customHeight="false" outlineLevel="0" collapsed="false">
      <c r="A662" s="6" t="s">
        <v>6624</v>
      </c>
      <c r="B662" s="6" t="s">
        <v>5102</v>
      </c>
      <c r="C662" s="6" t="s">
        <v>4975</v>
      </c>
      <c r="D662" s="6" t="s">
        <v>6214</v>
      </c>
      <c r="E662" s="6" t="s">
        <v>6621</v>
      </c>
      <c r="F662" s="6" t="s">
        <v>6622</v>
      </c>
      <c r="G662" s="9" t="n">
        <v>75051</v>
      </c>
      <c r="H662" s="6" t="s">
        <v>384</v>
      </c>
      <c r="I662" s="6" t="s">
        <v>13</v>
      </c>
      <c r="J662" s="6" t="s">
        <v>209</v>
      </c>
      <c r="K662" s="6" t="s">
        <v>6501</v>
      </c>
      <c r="M662" s="6"/>
    </row>
    <row r="663" customFormat="false" ht="15" hidden="false" customHeight="false" outlineLevel="0" collapsed="false">
      <c r="A663" s="6" t="s">
        <v>6625</v>
      </c>
      <c r="B663" s="6" t="s">
        <v>5074</v>
      </c>
      <c r="C663" s="6" t="s">
        <v>4975</v>
      </c>
      <c r="D663" s="6" t="s">
        <v>6214</v>
      </c>
      <c r="E663" s="6" t="s">
        <v>6626</v>
      </c>
      <c r="F663" s="6" t="s">
        <v>6627</v>
      </c>
      <c r="G663" s="9" t="n">
        <v>1997</v>
      </c>
      <c r="H663" s="6" t="s">
        <v>384</v>
      </c>
      <c r="I663" s="6" t="s">
        <v>13</v>
      </c>
      <c r="J663" s="6" t="s">
        <v>233</v>
      </c>
      <c r="K663" s="6" t="s">
        <v>6628</v>
      </c>
      <c r="M663" s="6"/>
    </row>
    <row r="664" customFormat="false" ht="15" hidden="false" customHeight="false" outlineLevel="0" collapsed="false">
      <c r="A664" s="6" t="s">
        <v>6629</v>
      </c>
      <c r="B664" s="6" t="s">
        <v>5113</v>
      </c>
      <c r="C664" s="6" t="s">
        <v>4975</v>
      </c>
      <c r="D664" s="6" t="s">
        <v>6214</v>
      </c>
      <c r="E664" s="6" t="s">
        <v>6626</v>
      </c>
      <c r="F664" s="6" t="s">
        <v>6627</v>
      </c>
      <c r="G664" s="9" t="n">
        <v>1144</v>
      </c>
      <c r="H664" s="6" t="s">
        <v>384</v>
      </c>
      <c r="I664" s="6" t="s">
        <v>13</v>
      </c>
      <c r="J664" s="6" t="s">
        <v>233</v>
      </c>
      <c r="K664" s="6" t="s">
        <v>6628</v>
      </c>
      <c r="M664" s="6"/>
    </row>
    <row r="665" customFormat="false" ht="15" hidden="false" customHeight="false" outlineLevel="0" collapsed="false">
      <c r="A665" s="6" t="s">
        <v>6630</v>
      </c>
      <c r="B665" s="6" t="s">
        <v>5079</v>
      </c>
      <c r="C665" s="6" t="s">
        <v>4975</v>
      </c>
      <c r="D665" s="6" t="s">
        <v>6214</v>
      </c>
      <c r="E665" s="6" t="s">
        <v>6626</v>
      </c>
      <c r="F665" s="6" t="s">
        <v>6627</v>
      </c>
      <c r="G665" s="9" t="n">
        <v>1814</v>
      </c>
      <c r="H665" s="6" t="s">
        <v>384</v>
      </c>
      <c r="I665" s="6" t="s">
        <v>13</v>
      </c>
      <c r="J665" s="6" t="s">
        <v>233</v>
      </c>
      <c r="K665" s="6" t="s">
        <v>6628</v>
      </c>
      <c r="M665" s="6"/>
    </row>
    <row r="666" customFormat="false" ht="15" hidden="false" customHeight="false" outlineLevel="0" collapsed="false">
      <c r="A666" s="6" t="s">
        <v>6631</v>
      </c>
      <c r="B666" s="6" t="s">
        <v>5074</v>
      </c>
      <c r="C666" s="6" t="s">
        <v>4975</v>
      </c>
      <c r="D666" s="6" t="s">
        <v>6214</v>
      </c>
      <c r="E666" s="6" t="s">
        <v>6632</v>
      </c>
      <c r="F666" s="6" t="s">
        <v>6627</v>
      </c>
      <c r="G666" s="9" t="n">
        <v>6307</v>
      </c>
      <c r="H666" s="6" t="s">
        <v>384</v>
      </c>
      <c r="I666" s="6" t="s">
        <v>13</v>
      </c>
      <c r="J666" s="6" t="s">
        <v>233</v>
      </c>
      <c r="K666" s="6" t="s">
        <v>6628</v>
      </c>
      <c r="M666" s="6"/>
    </row>
    <row r="667" customFormat="false" ht="15" hidden="false" customHeight="false" outlineLevel="0" collapsed="false">
      <c r="A667" s="6" t="s">
        <v>6633</v>
      </c>
      <c r="B667" s="6" t="s">
        <v>5113</v>
      </c>
      <c r="C667" s="6" t="s">
        <v>4975</v>
      </c>
      <c r="D667" s="6" t="s">
        <v>6214</v>
      </c>
      <c r="E667" s="6" t="s">
        <v>6632</v>
      </c>
      <c r="F667" s="6" t="s">
        <v>6627</v>
      </c>
      <c r="G667" s="9" t="n">
        <v>6603</v>
      </c>
      <c r="H667" s="6" t="s">
        <v>384</v>
      </c>
      <c r="I667" s="6" t="s">
        <v>13</v>
      </c>
      <c r="J667" s="6" t="s">
        <v>233</v>
      </c>
      <c r="K667" s="6" t="s">
        <v>6628</v>
      </c>
      <c r="M667" s="6"/>
    </row>
    <row r="668" customFormat="false" ht="15" hidden="false" customHeight="false" outlineLevel="0" collapsed="false">
      <c r="A668" s="6" t="s">
        <v>6634</v>
      </c>
      <c r="B668" s="6" t="s">
        <v>5079</v>
      </c>
      <c r="C668" s="6" t="s">
        <v>4975</v>
      </c>
      <c r="D668" s="6" t="s">
        <v>6214</v>
      </c>
      <c r="E668" s="6" t="s">
        <v>6632</v>
      </c>
      <c r="F668" s="6" t="s">
        <v>6627</v>
      </c>
      <c r="G668" s="9" t="n">
        <v>8561</v>
      </c>
      <c r="H668" s="6" t="s">
        <v>384</v>
      </c>
      <c r="I668" s="6" t="s">
        <v>13</v>
      </c>
      <c r="J668" s="6" t="s">
        <v>233</v>
      </c>
      <c r="K668" s="6" t="s">
        <v>6628</v>
      </c>
      <c r="M668" s="6"/>
    </row>
    <row r="669" customFormat="false" ht="15" hidden="false" customHeight="false" outlineLevel="0" collapsed="false">
      <c r="A669" s="6" t="s">
        <v>6635</v>
      </c>
      <c r="B669" s="6" t="s">
        <v>5074</v>
      </c>
      <c r="C669" s="6" t="s">
        <v>4975</v>
      </c>
      <c r="D669" s="6" t="s">
        <v>6214</v>
      </c>
      <c r="E669" s="6" t="s">
        <v>6636</v>
      </c>
      <c r="F669" s="6" t="s">
        <v>6627</v>
      </c>
      <c r="G669" s="9" t="n">
        <v>29747</v>
      </c>
      <c r="H669" s="6" t="s">
        <v>384</v>
      </c>
      <c r="I669" s="6" t="s">
        <v>13</v>
      </c>
      <c r="J669" s="6" t="s">
        <v>233</v>
      </c>
      <c r="K669" s="6" t="s">
        <v>6628</v>
      </c>
      <c r="M669" s="6"/>
    </row>
    <row r="670" customFormat="false" ht="15" hidden="false" customHeight="false" outlineLevel="0" collapsed="false">
      <c r="A670" s="6" t="s">
        <v>6637</v>
      </c>
      <c r="B670" s="6" t="s">
        <v>5113</v>
      </c>
      <c r="C670" s="6" t="s">
        <v>4975</v>
      </c>
      <c r="D670" s="6" t="s">
        <v>6214</v>
      </c>
      <c r="E670" s="6" t="s">
        <v>6636</v>
      </c>
      <c r="F670" s="6" t="s">
        <v>6627</v>
      </c>
      <c r="G670" s="9" t="n">
        <v>55654</v>
      </c>
      <c r="H670" s="6" t="s">
        <v>384</v>
      </c>
      <c r="I670" s="6" t="s">
        <v>13</v>
      </c>
      <c r="J670" s="6" t="s">
        <v>233</v>
      </c>
      <c r="K670" s="6" t="s">
        <v>6628</v>
      </c>
      <c r="M670" s="6" t="s">
        <v>6638</v>
      </c>
    </row>
    <row r="671" customFormat="false" ht="15" hidden="false" customHeight="false" outlineLevel="0" collapsed="false">
      <c r="A671" s="6" t="s">
        <v>6639</v>
      </c>
      <c r="B671" s="6" t="s">
        <v>5079</v>
      </c>
      <c r="C671" s="6" t="s">
        <v>4975</v>
      </c>
      <c r="D671" s="6" t="s">
        <v>6214</v>
      </c>
      <c r="E671" s="6" t="s">
        <v>6636</v>
      </c>
      <c r="F671" s="6" t="s">
        <v>6627</v>
      </c>
      <c r="G671" s="9" t="n">
        <v>42116</v>
      </c>
      <c r="H671" s="6" t="s">
        <v>384</v>
      </c>
      <c r="I671" s="6" t="s">
        <v>13</v>
      </c>
      <c r="J671" s="6" t="s">
        <v>233</v>
      </c>
      <c r="K671" s="6" t="s">
        <v>6628</v>
      </c>
      <c r="M671" s="6"/>
    </row>
    <row r="672" customFormat="false" ht="15" hidden="false" customHeight="false" outlineLevel="0" collapsed="false">
      <c r="A672" s="6" t="s">
        <v>6640</v>
      </c>
      <c r="B672" s="6" t="s">
        <v>5074</v>
      </c>
      <c r="C672" s="6" t="s">
        <v>4975</v>
      </c>
      <c r="D672" s="6" t="s">
        <v>6214</v>
      </c>
      <c r="E672" s="6" t="s">
        <v>6641</v>
      </c>
      <c r="F672" s="6" t="s">
        <v>6627</v>
      </c>
      <c r="G672" s="9" t="n">
        <v>100186</v>
      </c>
      <c r="H672" s="6" t="s">
        <v>384</v>
      </c>
      <c r="I672" s="6" t="s">
        <v>13</v>
      </c>
      <c r="J672" s="6" t="s">
        <v>233</v>
      </c>
      <c r="K672" s="6" t="s">
        <v>6628</v>
      </c>
      <c r="M672" s="6"/>
    </row>
    <row r="673" customFormat="false" ht="15" hidden="false" customHeight="false" outlineLevel="0" collapsed="false">
      <c r="A673" s="6" t="s">
        <v>6642</v>
      </c>
      <c r="B673" s="6" t="s">
        <v>5113</v>
      </c>
      <c r="C673" s="6" t="s">
        <v>4975</v>
      </c>
      <c r="D673" s="6" t="s">
        <v>6214</v>
      </c>
      <c r="E673" s="6" t="s">
        <v>6641</v>
      </c>
      <c r="F673" s="6" t="s">
        <v>6627</v>
      </c>
      <c r="G673" s="9" t="n">
        <v>147117</v>
      </c>
      <c r="H673" s="6" t="s">
        <v>384</v>
      </c>
      <c r="I673" s="6" t="s">
        <v>13</v>
      </c>
      <c r="J673" s="6" t="s">
        <v>233</v>
      </c>
      <c r="K673" s="6" t="s">
        <v>6628</v>
      </c>
      <c r="M673" s="6" t="s">
        <v>6638</v>
      </c>
    </row>
    <row r="674" customFormat="false" ht="15" hidden="false" customHeight="false" outlineLevel="0" collapsed="false">
      <c r="A674" s="6" t="s">
        <v>6643</v>
      </c>
      <c r="B674" s="6" t="s">
        <v>5079</v>
      </c>
      <c r="C674" s="6" t="s">
        <v>4975</v>
      </c>
      <c r="D674" s="6" t="s">
        <v>6214</v>
      </c>
      <c r="E674" s="6" t="s">
        <v>6641</v>
      </c>
      <c r="F674" s="6" t="s">
        <v>6627</v>
      </c>
      <c r="G674" s="9" t="n">
        <v>177011</v>
      </c>
      <c r="H674" s="6" t="s">
        <v>384</v>
      </c>
      <c r="I674" s="6" t="s">
        <v>13</v>
      </c>
      <c r="J674" s="6" t="s">
        <v>233</v>
      </c>
      <c r="K674" s="6" t="s">
        <v>6628</v>
      </c>
      <c r="M674" s="6"/>
    </row>
    <row r="675" customFormat="false" ht="15" hidden="false" customHeight="false" outlineLevel="0" collapsed="false">
      <c r="A675" s="6" t="s">
        <v>6644</v>
      </c>
      <c r="B675" s="6" t="s">
        <v>5074</v>
      </c>
      <c r="C675" s="6" t="s">
        <v>4975</v>
      </c>
      <c r="D675" s="6" t="s">
        <v>6214</v>
      </c>
      <c r="E675" s="6" t="s">
        <v>6645</v>
      </c>
      <c r="F675" s="6" t="s">
        <v>6627</v>
      </c>
      <c r="G675" s="9" t="n">
        <v>38737</v>
      </c>
      <c r="H675" s="6" t="s">
        <v>384</v>
      </c>
      <c r="I675" s="6" t="s">
        <v>13</v>
      </c>
      <c r="J675" s="6" t="s">
        <v>233</v>
      </c>
      <c r="K675" s="6" t="s">
        <v>6628</v>
      </c>
      <c r="M675" s="6"/>
    </row>
    <row r="676" customFormat="false" ht="15" hidden="false" customHeight="false" outlineLevel="0" collapsed="false">
      <c r="A676" s="6" t="s">
        <v>6646</v>
      </c>
      <c r="B676" s="6" t="s">
        <v>5113</v>
      </c>
      <c r="C676" s="6" t="s">
        <v>4975</v>
      </c>
      <c r="D676" s="6" t="s">
        <v>6214</v>
      </c>
      <c r="E676" s="6" t="s">
        <v>6645</v>
      </c>
      <c r="F676" s="6" t="s">
        <v>6627</v>
      </c>
      <c r="G676" s="9" t="n">
        <v>50995</v>
      </c>
      <c r="H676" s="6" t="s">
        <v>384</v>
      </c>
      <c r="I676" s="6" t="s">
        <v>13</v>
      </c>
      <c r="J676" s="6" t="s">
        <v>233</v>
      </c>
      <c r="K676" s="6" t="s">
        <v>6628</v>
      </c>
      <c r="M676" s="6"/>
    </row>
    <row r="677" customFormat="false" ht="15" hidden="false" customHeight="false" outlineLevel="0" collapsed="false">
      <c r="A677" s="6" t="s">
        <v>6647</v>
      </c>
      <c r="B677" s="6" t="s">
        <v>5079</v>
      </c>
      <c r="C677" s="6" t="s">
        <v>4975</v>
      </c>
      <c r="D677" s="6" t="s">
        <v>6214</v>
      </c>
      <c r="E677" s="6" t="s">
        <v>6645</v>
      </c>
      <c r="F677" s="6" t="s">
        <v>6627</v>
      </c>
      <c r="G677" s="9" t="n">
        <v>82250</v>
      </c>
      <c r="H677" s="6" t="s">
        <v>384</v>
      </c>
      <c r="I677" s="6" t="s">
        <v>13</v>
      </c>
      <c r="J677" s="6" t="s">
        <v>233</v>
      </c>
      <c r="K677" s="6" t="s">
        <v>6628</v>
      </c>
      <c r="M677" s="6"/>
    </row>
    <row r="678" customFormat="false" ht="15" hidden="false" customHeight="false" outlineLevel="0" collapsed="false">
      <c r="A678" s="6" t="s">
        <v>6648</v>
      </c>
      <c r="B678" s="6" t="s">
        <v>5074</v>
      </c>
      <c r="C678" s="6" t="s">
        <v>4975</v>
      </c>
      <c r="D678" s="6" t="s">
        <v>6214</v>
      </c>
      <c r="E678" s="6" t="s">
        <v>6649</v>
      </c>
      <c r="F678" s="6" t="s">
        <v>6627</v>
      </c>
      <c r="G678" s="9" t="n">
        <v>25395</v>
      </c>
      <c r="H678" s="6" t="s">
        <v>384</v>
      </c>
      <c r="I678" s="6" t="s">
        <v>13</v>
      </c>
      <c r="J678" s="6" t="s">
        <v>233</v>
      </c>
      <c r="K678" s="6" t="s">
        <v>6628</v>
      </c>
      <c r="M678" s="6"/>
    </row>
    <row r="679" customFormat="false" ht="15" hidden="false" customHeight="false" outlineLevel="0" collapsed="false">
      <c r="A679" s="6" t="s">
        <v>6650</v>
      </c>
      <c r="B679" s="6" t="s">
        <v>5113</v>
      </c>
      <c r="C679" s="6" t="s">
        <v>4975</v>
      </c>
      <c r="D679" s="6" t="s">
        <v>6214</v>
      </c>
      <c r="E679" s="6" t="s">
        <v>6649</v>
      </c>
      <c r="F679" s="6" t="s">
        <v>6627</v>
      </c>
      <c r="G679" s="9" t="n">
        <v>33865</v>
      </c>
      <c r="H679" s="6" t="s">
        <v>384</v>
      </c>
      <c r="I679" s="6" t="s">
        <v>13</v>
      </c>
      <c r="J679" s="6" t="s">
        <v>233</v>
      </c>
      <c r="K679" s="6" t="s">
        <v>6628</v>
      </c>
      <c r="M679" s="6"/>
    </row>
    <row r="680" customFormat="false" ht="15" hidden="false" customHeight="false" outlineLevel="0" collapsed="false">
      <c r="A680" s="6" t="s">
        <v>6651</v>
      </c>
      <c r="B680" s="6" t="s">
        <v>5079</v>
      </c>
      <c r="C680" s="6" t="s">
        <v>4975</v>
      </c>
      <c r="D680" s="6" t="s">
        <v>6214</v>
      </c>
      <c r="E680" s="6" t="s">
        <v>6649</v>
      </c>
      <c r="F680" s="6" t="s">
        <v>6627</v>
      </c>
      <c r="G680" s="9" t="n">
        <v>44084</v>
      </c>
      <c r="H680" s="6" t="s">
        <v>384</v>
      </c>
      <c r="I680" s="6" t="s">
        <v>13</v>
      </c>
      <c r="J680" s="6" t="s">
        <v>233</v>
      </c>
      <c r="K680" s="6" t="s">
        <v>6628</v>
      </c>
      <c r="M680" s="6"/>
    </row>
    <row r="681" customFormat="false" ht="15" hidden="false" customHeight="false" outlineLevel="0" collapsed="false">
      <c r="A681" s="6" t="s">
        <v>6652</v>
      </c>
      <c r="B681" s="6" t="s">
        <v>5203</v>
      </c>
      <c r="C681" s="6" t="s">
        <v>4975</v>
      </c>
      <c r="D681" s="6" t="s">
        <v>6214</v>
      </c>
      <c r="E681" s="6" t="s">
        <v>6653</v>
      </c>
      <c r="F681" s="6" t="s">
        <v>6654</v>
      </c>
      <c r="G681" s="9" t="n">
        <v>10487</v>
      </c>
      <c r="H681" s="6" t="s">
        <v>384</v>
      </c>
      <c r="I681" s="6" t="s">
        <v>13</v>
      </c>
      <c r="J681" s="6" t="s">
        <v>218</v>
      </c>
      <c r="K681" s="6" t="s">
        <v>6655</v>
      </c>
      <c r="M681" s="6" t="s">
        <v>6656</v>
      </c>
    </row>
    <row r="682" customFormat="false" ht="15" hidden="false" customHeight="false" outlineLevel="0" collapsed="false">
      <c r="A682" s="6" t="s">
        <v>6657</v>
      </c>
      <c r="B682" s="6" t="s">
        <v>5074</v>
      </c>
      <c r="C682" s="6" t="s">
        <v>4975</v>
      </c>
      <c r="D682" s="6" t="s">
        <v>6214</v>
      </c>
      <c r="E682" s="6" t="s">
        <v>6658</v>
      </c>
      <c r="F682" s="6" t="s">
        <v>6627</v>
      </c>
      <c r="G682" s="9" t="n">
        <v>102183</v>
      </c>
      <c r="H682" s="6" t="s">
        <v>384</v>
      </c>
      <c r="I682" s="6" t="s">
        <v>13</v>
      </c>
      <c r="J682" s="6" t="s">
        <v>233</v>
      </c>
      <c r="K682" s="6" t="s">
        <v>6628</v>
      </c>
      <c r="M682" s="6"/>
    </row>
    <row r="683" customFormat="false" ht="15" hidden="false" customHeight="false" outlineLevel="0" collapsed="false">
      <c r="A683" s="6" t="s">
        <v>6659</v>
      </c>
      <c r="B683" s="6" t="s">
        <v>5113</v>
      </c>
      <c r="C683" s="6" t="s">
        <v>4975</v>
      </c>
      <c r="D683" s="6" t="s">
        <v>6214</v>
      </c>
      <c r="E683" s="6" t="s">
        <v>6658</v>
      </c>
      <c r="F683" s="6" t="s">
        <v>6627</v>
      </c>
      <c r="G683" s="9" t="n">
        <v>148261</v>
      </c>
      <c r="H683" s="6" t="s">
        <v>384</v>
      </c>
      <c r="I683" s="6" t="s">
        <v>13</v>
      </c>
      <c r="J683" s="6" t="s">
        <v>233</v>
      </c>
      <c r="K683" s="6" t="s">
        <v>6628</v>
      </c>
      <c r="M683" s="6" t="s">
        <v>6638</v>
      </c>
    </row>
    <row r="684" customFormat="false" ht="15" hidden="false" customHeight="false" outlineLevel="0" collapsed="false">
      <c r="A684" s="6" t="s">
        <v>6660</v>
      </c>
      <c r="B684" s="6" t="s">
        <v>5079</v>
      </c>
      <c r="C684" s="6" t="s">
        <v>4975</v>
      </c>
      <c r="D684" s="6" t="s">
        <v>6214</v>
      </c>
      <c r="E684" s="6" t="s">
        <v>6658</v>
      </c>
      <c r="F684" s="6" t="s">
        <v>6627</v>
      </c>
      <c r="G684" s="9" t="n">
        <v>178825</v>
      </c>
      <c r="H684" s="6" t="s">
        <v>384</v>
      </c>
      <c r="I684" s="6" t="s">
        <v>13</v>
      </c>
      <c r="J684" s="6" t="s">
        <v>233</v>
      </c>
      <c r="K684" s="6" t="s">
        <v>6628</v>
      </c>
      <c r="M684" s="6"/>
    </row>
    <row r="685" customFormat="false" ht="15" hidden="false" customHeight="false" outlineLevel="0" collapsed="false">
      <c r="A685" s="6" t="s">
        <v>6661</v>
      </c>
      <c r="B685" s="6" t="s">
        <v>5113</v>
      </c>
      <c r="C685" s="6" t="s">
        <v>4975</v>
      </c>
      <c r="D685" s="6" t="s">
        <v>6214</v>
      </c>
      <c r="E685" s="6" t="s">
        <v>6662</v>
      </c>
      <c r="F685" s="6" t="s">
        <v>6663</v>
      </c>
      <c r="G685" s="9" t="n">
        <v>129209</v>
      </c>
      <c r="H685" s="6" t="s">
        <v>384</v>
      </c>
      <c r="I685" s="6" t="s">
        <v>13</v>
      </c>
      <c r="J685" s="6" t="s">
        <v>233</v>
      </c>
      <c r="K685" s="6" t="s">
        <v>6664</v>
      </c>
      <c r="M685" s="6" t="s">
        <v>6665</v>
      </c>
    </row>
    <row r="686" customFormat="false" ht="15" hidden="false" customHeight="false" outlineLevel="0" collapsed="false">
      <c r="A686" s="6" t="s">
        <v>6666</v>
      </c>
      <c r="B686" s="6" t="s">
        <v>5203</v>
      </c>
      <c r="C686" s="6" t="s">
        <v>4975</v>
      </c>
      <c r="D686" s="6" t="s">
        <v>6214</v>
      </c>
      <c r="E686" s="6" t="s">
        <v>6667</v>
      </c>
      <c r="F686" s="6" t="s">
        <v>6668</v>
      </c>
      <c r="G686" s="9" t="n">
        <v>30424</v>
      </c>
      <c r="H686" s="6" t="s">
        <v>384</v>
      </c>
      <c r="I686" s="6" t="s">
        <v>13</v>
      </c>
      <c r="J686" s="6" t="s">
        <v>209</v>
      </c>
      <c r="K686" s="6" t="s">
        <v>6669</v>
      </c>
      <c r="M686" s="6"/>
    </row>
    <row r="687" customFormat="false" ht="15" hidden="false" customHeight="false" outlineLevel="0" collapsed="false">
      <c r="A687" s="6" t="s">
        <v>6670</v>
      </c>
      <c r="B687" s="6" t="s">
        <v>6032</v>
      </c>
      <c r="C687" s="6" t="s">
        <v>4975</v>
      </c>
      <c r="D687" s="6" t="s">
        <v>6214</v>
      </c>
      <c r="E687" s="6" t="s">
        <v>6671</v>
      </c>
      <c r="F687" s="6" t="s">
        <v>6672</v>
      </c>
      <c r="G687" s="9" t="n">
        <v>13145</v>
      </c>
      <c r="H687" s="6" t="s">
        <v>384</v>
      </c>
      <c r="I687" s="6" t="s">
        <v>13</v>
      </c>
      <c r="J687" s="6" t="s">
        <v>209</v>
      </c>
      <c r="K687" s="6" t="s">
        <v>6673</v>
      </c>
      <c r="M687" s="6"/>
    </row>
    <row r="688" customFormat="false" ht="15" hidden="false" customHeight="false" outlineLevel="0" collapsed="false">
      <c r="A688" s="6" t="s">
        <v>6674</v>
      </c>
      <c r="B688" s="6" t="s">
        <v>5203</v>
      </c>
      <c r="C688" s="6" t="s">
        <v>4975</v>
      </c>
      <c r="D688" s="6" t="s">
        <v>6214</v>
      </c>
      <c r="E688" s="6" t="s">
        <v>6671</v>
      </c>
      <c r="F688" s="6" t="s">
        <v>6675</v>
      </c>
      <c r="G688" s="9" t="n">
        <v>10487</v>
      </c>
      <c r="H688" s="6" t="s">
        <v>384</v>
      </c>
      <c r="I688" s="6" t="s">
        <v>13</v>
      </c>
      <c r="J688" s="6" t="s">
        <v>209</v>
      </c>
      <c r="K688" s="6" t="s">
        <v>6673</v>
      </c>
      <c r="M688" s="6" t="s">
        <v>6676</v>
      </c>
    </row>
    <row r="689" customFormat="false" ht="15" hidden="false" customHeight="false" outlineLevel="0" collapsed="false">
      <c r="A689" s="6" t="s">
        <v>6677</v>
      </c>
      <c r="B689" s="6" t="s">
        <v>6678</v>
      </c>
      <c r="C689" s="6" t="s">
        <v>6229</v>
      </c>
      <c r="D689" s="6" t="s">
        <v>6214</v>
      </c>
      <c r="E689" s="6" t="s">
        <v>6679</v>
      </c>
      <c r="F689" s="6" t="s">
        <v>6680</v>
      </c>
      <c r="G689" s="19" t="n">
        <v>85</v>
      </c>
      <c r="H689" s="6" t="s">
        <v>5105</v>
      </c>
      <c r="I689" s="6" t="s">
        <v>13</v>
      </c>
      <c r="J689" s="6" t="s">
        <v>310</v>
      </c>
      <c r="K689" s="6" t="s">
        <v>6226</v>
      </c>
      <c r="M689" s="6" t="s">
        <v>6681</v>
      </c>
    </row>
    <row r="690" customFormat="false" ht="15" hidden="false" customHeight="false" outlineLevel="0" collapsed="false">
      <c r="A690" s="6" t="s">
        <v>6682</v>
      </c>
      <c r="B690" s="6" t="s">
        <v>5079</v>
      </c>
      <c r="C690" s="6" t="s">
        <v>4975</v>
      </c>
      <c r="D690" s="6" t="s">
        <v>6214</v>
      </c>
      <c r="E690" s="6" t="s">
        <v>6683</v>
      </c>
      <c r="F690" s="6" t="s">
        <v>6684</v>
      </c>
      <c r="G690" s="9" t="n">
        <v>177011</v>
      </c>
      <c r="H690" s="6" t="s">
        <v>384</v>
      </c>
      <c r="I690" s="6" t="s">
        <v>13</v>
      </c>
      <c r="J690" s="6" t="s">
        <v>310</v>
      </c>
      <c r="K690" s="6" t="s">
        <v>5747</v>
      </c>
      <c r="M690" s="6"/>
    </row>
    <row r="691" customFormat="false" ht="15" hidden="false" customHeight="false" outlineLevel="0" collapsed="false">
      <c r="A691" s="6" t="s">
        <v>6685</v>
      </c>
      <c r="B691" s="6" t="s">
        <v>5102</v>
      </c>
      <c r="C691" s="6" t="s">
        <v>4975</v>
      </c>
      <c r="D691" s="6" t="s">
        <v>6214</v>
      </c>
      <c r="E691" s="6" t="s">
        <v>6686</v>
      </c>
      <c r="F691" s="6" t="s">
        <v>6687</v>
      </c>
      <c r="G691" s="9" t="n">
        <v>1522</v>
      </c>
      <c r="H691" s="6" t="s">
        <v>384</v>
      </c>
      <c r="I691" s="6" t="s">
        <v>13</v>
      </c>
      <c r="J691" s="6" t="s">
        <v>223</v>
      </c>
      <c r="K691" s="6" t="s">
        <v>6688</v>
      </c>
      <c r="M691" s="6"/>
    </row>
    <row r="692" customFormat="false" ht="15" hidden="false" customHeight="false" outlineLevel="0" collapsed="false">
      <c r="A692" s="6" t="s">
        <v>6689</v>
      </c>
      <c r="B692" s="6" t="s">
        <v>5097</v>
      </c>
      <c r="C692" s="6" t="s">
        <v>4975</v>
      </c>
      <c r="D692" s="6" t="s">
        <v>6214</v>
      </c>
      <c r="E692" s="6" t="s">
        <v>6686</v>
      </c>
      <c r="F692" s="6" t="s">
        <v>6687</v>
      </c>
      <c r="G692" s="9" t="n">
        <v>2282</v>
      </c>
      <c r="H692" s="6" t="s">
        <v>384</v>
      </c>
      <c r="I692" s="6" t="s">
        <v>13</v>
      </c>
      <c r="J692" s="6" t="s">
        <v>223</v>
      </c>
      <c r="K692" s="6" t="s">
        <v>6688</v>
      </c>
      <c r="M692" s="6" t="s">
        <v>6690</v>
      </c>
    </row>
    <row r="693" customFormat="false" ht="15" hidden="false" customHeight="false" outlineLevel="0" collapsed="false">
      <c r="A693" s="6" t="s">
        <v>6691</v>
      </c>
      <c r="B693" s="6" t="s">
        <v>5097</v>
      </c>
      <c r="C693" s="6" t="s">
        <v>4975</v>
      </c>
      <c r="D693" s="6" t="s">
        <v>6214</v>
      </c>
      <c r="E693" s="6" t="s">
        <v>6686</v>
      </c>
      <c r="F693" s="6" t="s">
        <v>6692</v>
      </c>
      <c r="G693" s="9" t="n">
        <v>2282</v>
      </c>
      <c r="H693" s="6" t="s">
        <v>384</v>
      </c>
      <c r="I693" s="6" t="s">
        <v>13</v>
      </c>
      <c r="J693" s="6" t="s">
        <v>228</v>
      </c>
      <c r="K693" s="6" t="s">
        <v>6217</v>
      </c>
      <c r="M693" s="6" t="s">
        <v>6693</v>
      </c>
    </row>
    <row r="694" customFormat="false" ht="15" hidden="false" customHeight="false" outlineLevel="0" collapsed="false">
      <c r="A694" s="6" t="s">
        <v>6694</v>
      </c>
      <c r="B694" s="6" t="s">
        <v>5074</v>
      </c>
      <c r="C694" s="6" t="s">
        <v>4975</v>
      </c>
      <c r="D694" s="6" t="s">
        <v>6214</v>
      </c>
      <c r="E694" s="6" t="s">
        <v>6686</v>
      </c>
      <c r="F694" s="6" t="s">
        <v>6687</v>
      </c>
      <c r="G694" s="9" t="n">
        <v>1997</v>
      </c>
      <c r="H694" s="6" t="s">
        <v>384</v>
      </c>
      <c r="I694" s="6" t="s">
        <v>13</v>
      </c>
      <c r="J694" s="6" t="s">
        <v>223</v>
      </c>
      <c r="K694" s="6" t="s">
        <v>6688</v>
      </c>
      <c r="M694" s="6"/>
    </row>
    <row r="695" customFormat="false" ht="15" hidden="false" customHeight="false" outlineLevel="0" collapsed="false">
      <c r="A695" s="6" t="s">
        <v>6695</v>
      </c>
      <c r="B695" s="6" t="s">
        <v>5074</v>
      </c>
      <c r="C695" s="6" t="s">
        <v>4975</v>
      </c>
      <c r="D695" s="6" t="s">
        <v>6214</v>
      </c>
      <c r="E695" s="6" t="s">
        <v>6686</v>
      </c>
      <c r="F695" s="6" t="s">
        <v>6692</v>
      </c>
      <c r="G695" s="9" t="n">
        <v>1997</v>
      </c>
      <c r="H695" s="6" t="s">
        <v>384</v>
      </c>
      <c r="I695" s="6" t="s">
        <v>13</v>
      </c>
      <c r="J695" s="6" t="s">
        <v>228</v>
      </c>
      <c r="K695" s="6" t="s">
        <v>6217</v>
      </c>
      <c r="M695" s="6"/>
    </row>
    <row r="696" customFormat="false" ht="15" hidden="false" customHeight="false" outlineLevel="0" collapsed="false">
      <c r="A696" s="6" t="s">
        <v>6696</v>
      </c>
      <c r="B696" s="6" t="s">
        <v>5113</v>
      </c>
      <c r="C696" s="6" t="s">
        <v>4975</v>
      </c>
      <c r="D696" s="6" t="s">
        <v>6214</v>
      </c>
      <c r="E696" s="6" t="s">
        <v>6686</v>
      </c>
      <c r="F696" s="6" t="s">
        <v>6692</v>
      </c>
      <c r="G696" s="9" t="n">
        <v>1144</v>
      </c>
      <c r="H696" s="6" t="s">
        <v>384</v>
      </c>
      <c r="I696" s="6" t="s">
        <v>13</v>
      </c>
      <c r="J696" s="6" t="s">
        <v>228</v>
      </c>
      <c r="K696" s="6" t="s">
        <v>6217</v>
      </c>
      <c r="M696" s="6"/>
    </row>
    <row r="697" customFormat="false" ht="15" hidden="false" customHeight="false" outlineLevel="0" collapsed="false">
      <c r="A697" s="6" t="s">
        <v>6697</v>
      </c>
      <c r="B697" s="6" t="s">
        <v>5097</v>
      </c>
      <c r="C697" s="6" t="s">
        <v>4975</v>
      </c>
      <c r="D697" s="6" t="s">
        <v>6214</v>
      </c>
      <c r="E697" s="6" t="s">
        <v>6698</v>
      </c>
      <c r="F697" s="6" t="s">
        <v>6699</v>
      </c>
      <c r="G697" s="9" t="n">
        <v>10406</v>
      </c>
      <c r="H697" s="6" t="s">
        <v>384</v>
      </c>
      <c r="I697" s="6" t="s">
        <v>13</v>
      </c>
      <c r="J697" s="6" t="s">
        <v>228</v>
      </c>
      <c r="K697" s="6" t="s">
        <v>6217</v>
      </c>
      <c r="M697" s="6"/>
    </row>
    <row r="698" customFormat="false" ht="15" hidden="false" customHeight="false" outlineLevel="0" collapsed="false">
      <c r="A698" s="6" t="s">
        <v>6700</v>
      </c>
      <c r="B698" s="6" t="s">
        <v>5074</v>
      </c>
      <c r="C698" s="6" t="s">
        <v>4975</v>
      </c>
      <c r="D698" s="6" t="s">
        <v>6214</v>
      </c>
      <c r="E698" s="6" t="s">
        <v>6698</v>
      </c>
      <c r="F698" s="6" t="s">
        <v>6699</v>
      </c>
      <c r="G698" s="9" t="n">
        <v>6307</v>
      </c>
      <c r="H698" s="6" t="s">
        <v>384</v>
      </c>
      <c r="I698" s="6" t="s">
        <v>13</v>
      </c>
      <c r="J698" s="6" t="s">
        <v>228</v>
      </c>
      <c r="K698" s="6" t="s">
        <v>6217</v>
      </c>
      <c r="M698" s="6"/>
    </row>
    <row r="699" customFormat="false" ht="15" hidden="false" customHeight="false" outlineLevel="0" collapsed="false">
      <c r="A699" s="6" t="s">
        <v>6701</v>
      </c>
      <c r="B699" s="6" t="s">
        <v>5113</v>
      </c>
      <c r="C699" s="6" t="s">
        <v>4975</v>
      </c>
      <c r="D699" s="6" t="s">
        <v>6214</v>
      </c>
      <c r="E699" s="6" t="s">
        <v>6698</v>
      </c>
      <c r="F699" s="6" t="s">
        <v>6699</v>
      </c>
      <c r="G699" s="9" t="n">
        <v>6603</v>
      </c>
      <c r="H699" s="6" t="s">
        <v>384</v>
      </c>
      <c r="I699" s="6" t="s">
        <v>13</v>
      </c>
      <c r="J699" s="6" t="s">
        <v>228</v>
      </c>
      <c r="K699" s="6" t="s">
        <v>6217</v>
      </c>
      <c r="M699" s="6"/>
    </row>
    <row r="700" customFormat="false" ht="15" hidden="false" customHeight="false" outlineLevel="0" collapsed="false">
      <c r="A700" s="6" t="s">
        <v>6702</v>
      </c>
      <c r="B700" s="6" t="s">
        <v>5102</v>
      </c>
      <c r="C700" s="6" t="s">
        <v>4975</v>
      </c>
      <c r="D700" s="6" t="s">
        <v>6214</v>
      </c>
      <c r="E700" s="6" t="s">
        <v>6703</v>
      </c>
      <c r="F700" s="6" t="s">
        <v>6704</v>
      </c>
      <c r="G700" s="9" t="n">
        <v>7681</v>
      </c>
      <c r="H700" s="6" t="s">
        <v>384</v>
      </c>
      <c r="I700" s="6" t="s">
        <v>13</v>
      </c>
      <c r="J700" s="6" t="s">
        <v>223</v>
      </c>
      <c r="K700" s="6" t="s">
        <v>6688</v>
      </c>
      <c r="M700" s="6"/>
    </row>
    <row r="701" customFormat="false" ht="15" hidden="false" customHeight="false" outlineLevel="0" collapsed="false">
      <c r="A701" s="6" t="s">
        <v>6705</v>
      </c>
      <c r="B701" s="6" t="s">
        <v>5097</v>
      </c>
      <c r="C701" s="6" t="s">
        <v>4975</v>
      </c>
      <c r="D701" s="6" t="s">
        <v>6214</v>
      </c>
      <c r="E701" s="6" t="s">
        <v>6703</v>
      </c>
      <c r="F701" s="6" t="s">
        <v>6704</v>
      </c>
      <c r="G701" s="9" t="n">
        <v>10406</v>
      </c>
      <c r="H701" s="6" t="s">
        <v>384</v>
      </c>
      <c r="I701" s="6" t="s">
        <v>13</v>
      </c>
      <c r="J701" s="6" t="s">
        <v>223</v>
      </c>
      <c r="K701" s="6" t="s">
        <v>6688</v>
      </c>
      <c r="M701" s="6"/>
    </row>
    <row r="702" customFormat="false" ht="15" hidden="false" customHeight="false" outlineLevel="0" collapsed="false">
      <c r="A702" s="6" t="s">
        <v>6706</v>
      </c>
      <c r="B702" s="6" t="s">
        <v>5074</v>
      </c>
      <c r="C702" s="6" t="s">
        <v>4975</v>
      </c>
      <c r="D702" s="6" t="s">
        <v>6214</v>
      </c>
      <c r="E702" s="6" t="s">
        <v>6703</v>
      </c>
      <c r="F702" s="6" t="s">
        <v>6704</v>
      </c>
      <c r="G702" s="9" t="n">
        <v>6307</v>
      </c>
      <c r="H702" s="6" t="s">
        <v>384</v>
      </c>
      <c r="I702" s="6" t="s">
        <v>13</v>
      </c>
      <c r="J702" s="6" t="s">
        <v>223</v>
      </c>
      <c r="K702" s="6" t="s">
        <v>6688</v>
      </c>
      <c r="M702" s="6"/>
    </row>
    <row r="703" customFormat="false" ht="15" hidden="false" customHeight="false" outlineLevel="0" collapsed="false">
      <c r="A703" s="6" t="s">
        <v>6707</v>
      </c>
      <c r="B703" s="6" t="s">
        <v>5102</v>
      </c>
      <c r="C703" s="6" t="s">
        <v>4975</v>
      </c>
      <c r="D703" s="6" t="s">
        <v>6214</v>
      </c>
      <c r="E703" s="6" t="s">
        <v>6708</v>
      </c>
      <c r="F703" s="6" t="s">
        <v>6709</v>
      </c>
      <c r="G703" s="9" t="n">
        <v>20934</v>
      </c>
      <c r="H703" s="6" t="s">
        <v>384</v>
      </c>
      <c r="I703" s="6" t="s">
        <v>13</v>
      </c>
      <c r="J703" s="6" t="s">
        <v>223</v>
      </c>
      <c r="K703" s="6" t="s">
        <v>6688</v>
      </c>
      <c r="M703" s="6"/>
    </row>
    <row r="704" customFormat="false" ht="15" hidden="false" customHeight="false" outlineLevel="0" collapsed="false">
      <c r="A704" s="6" t="s">
        <v>6710</v>
      </c>
      <c r="B704" s="6" t="s">
        <v>5097</v>
      </c>
      <c r="C704" s="6" t="s">
        <v>4975</v>
      </c>
      <c r="D704" s="6" t="s">
        <v>6214</v>
      </c>
      <c r="E704" s="6" t="s">
        <v>6708</v>
      </c>
      <c r="F704" s="6" t="s">
        <v>6709</v>
      </c>
      <c r="G704" s="9" t="n">
        <v>28100</v>
      </c>
      <c r="H704" s="6" t="s">
        <v>384</v>
      </c>
      <c r="I704" s="6" t="s">
        <v>13</v>
      </c>
      <c r="J704" s="6" t="s">
        <v>223</v>
      </c>
      <c r="K704" s="6" t="s">
        <v>6688</v>
      </c>
      <c r="M704" s="6"/>
    </row>
    <row r="705" customFormat="false" ht="15" hidden="false" customHeight="false" outlineLevel="0" collapsed="false">
      <c r="A705" s="6" t="s">
        <v>6711</v>
      </c>
      <c r="B705" s="6" t="s">
        <v>5097</v>
      </c>
      <c r="C705" s="6" t="s">
        <v>4975</v>
      </c>
      <c r="D705" s="6" t="s">
        <v>6214</v>
      </c>
      <c r="E705" s="6" t="s">
        <v>6708</v>
      </c>
      <c r="F705" s="6" t="s">
        <v>6712</v>
      </c>
      <c r="G705" s="9" t="n">
        <v>28100</v>
      </c>
      <c r="H705" s="6" t="s">
        <v>384</v>
      </c>
      <c r="I705" s="6" t="s">
        <v>13</v>
      </c>
      <c r="J705" s="6" t="s">
        <v>228</v>
      </c>
      <c r="K705" s="6" t="s">
        <v>6217</v>
      </c>
      <c r="M705" s="6"/>
    </row>
    <row r="706" customFormat="false" ht="15" hidden="false" customHeight="false" outlineLevel="0" collapsed="false">
      <c r="A706" s="6" t="s">
        <v>6713</v>
      </c>
      <c r="B706" s="6" t="s">
        <v>5074</v>
      </c>
      <c r="C706" s="6" t="s">
        <v>4975</v>
      </c>
      <c r="D706" s="6" t="s">
        <v>6214</v>
      </c>
      <c r="E706" s="6" t="s">
        <v>6708</v>
      </c>
      <c r="F706" s="6" t="s">
        <v>6709</v>
      </c>
      <c r="G706" s="9" t="n">
        <v>29747</v>
      </c>
      <c r="H706" s="6" t="s">
        <v>384</v>
      </c>
      <c r="I706" s="6" t="s">
        <v>13</v>
      </c>
      <c r="J706" s="6" t="s">
        <v>223</v>
      </c>
      <c r="K706" s="6" t="s">
        <v>6688</v>
      </c>
      <c r="M706" s="6"/>
    </row>
    <row r="707" customFormat="false" ht="15" hidden="false" customHeight="false" outlineLevel="0" collapsed="false">
      <c r="A707" s="6" t="s">
        <v>6714</v>
      </c>
      <c r="B707" s="6" t="s">
        <v>5074</v>
      </c>
      <c r="C707" s="6" t="s">
        <v>4975</v>
      </c>
      <c r="D707" s="6" t="s">
        <v>6214</v>
      </c>
      <c r="E707" s="6" t="s">
        <v>6708</v>
      </c>
      <c r="F707" s="6" t="s">
        <v>6712</v>
      </c>
      <c r="G707" s="9" t="n">
        <v>29747</v>
      </c>
      <c r="H707" s="6" t="s">
        <v>384</v>
      </c>
      <c r="I707" s="6" t="s">
        <v>13</v>
      </c>
      <c r="J707" s="6" t="s">
        <v>228</v>
      </c>
      <c r="K707" s="6" t="s">
        <v>6217</v>
      </c>
      <c r="M707" s="6"/>
    </row>
    <row r="708" customFormat="false" ht="15" hidden="false" customHeight="false" outlineLevel="0" collapsed="false">
      <c r="A708" s="6" t="s">
        <v>6715</v>
      </c>
      <c r="B708" s="6" t="s">
        <v>5113</v>
      </c>
      <c r="C708" s="6" t="s">
        <v>4975</v>
      </c>
      <c r="D708" s="6" t="s">
        <v>6214</v>
      </c>
      <c r="E708" s="6" t="s">
        <v>6708</v>
      </c>
      <c r="F708" s="6" t="s">
        <v>6712</v>
      </c>
      <c r="G708" s="9" t="n">
        <v>55654</v>
      </c>
      <c r="H708" s="6" t="s">
        <v>384</v>
      </c>
      <c r="I708" s="6" t="s">
        <v>13</v>
      </c>
      <c r="J708" s="6" t="s">
        <v>228</v>
      </c>
      <c r="K708" s="6" t="s">
        <v>6217</v>
      </c>
      <c r="M708" s="6" t="s">
        <v>6716</v>
      </c>
    </row>
    <row r="709" customFormat="false" ht="15" hidden="false" customHeight="false" outlineLevel="0" collapsed="false">
      <c r="A709" s="6" t="s">
        <v>6717</v>
      </c>
      <c r="B709" s="6" t="s">
        <v>5102</v>
      </c>
      <c r="C709" s="6" t="s">
        <v>4975</v>
      </c>
      <c r="D709" s="6" t="s">
        <v>6214</v>
      </c>
      <c r="E709" s="6" t="s">
        <v>6718</v>
      </c>
      <c r="F709" s="6" t="s">
        <v>6719</v>
      </c>
      <c r="G709" s="9" t="n">
        <v>21779</v>
      </c>
      <c r="H709" s="6" t="s">
        <v>384</v>
      </c>
      <c r="I709" s="6" t="s">
        <v>13</v>
      </c>
      <c r="J709" s="6" t="s">
        <v>223</v>
      </c>
      <c r="K709" s="6" t="s">
        <v>6688</v>
      </c>
      <c r="M709" s="6"/>
    </row>
    <row r="710" customFormat="false" ht="15" hidden="false" customHeight="false" outlineLevel="0" collapsed="false">
      <c r="A710" s="6" t="s">
        <v>6720</v>
      </c>
      <c r="B710" s="6" t="s">
        <v>5097</v>
      </c>
      <c r="C710" s="6" t="s">
        <v>4975</v>
      </c>
      <c r="D710" s="6" t="s">
        <v>6214</v>
      </c>
      <c r="E710" s="6" t="s">
        <v>6718</v>
      </c>
      <c r="F710" s="6" t="s">
        <v>6719</v>
      </c>
      <c r="G710" s="9" t="n">
        <v>32957</v>
      </c>
      <c r="H710" s="6" t="s">
        <v>384</v>
      </c>
      <c r="I710" s="6" t="s">
        <v>13</v>
      </c>
      <c r="J710" s="6" t="s">
        <v>223</v>
      </c>
      <c r="K710" s="6" t="s">
        <v>6688</v>
      </c>
      <c r="M710" s="6"/>
    </row>
    <row r="711" customFormat="false" ht="15" hidden="false" customHeight="false" outlineLevel="0" collapsed="false">
      <c r="A711" s="6" t="s">
        <v>6721</v>
      </c>
      <c r="B711" s="6" t="s">
        <v>5097</v>
      </c>
      <c r="C711" s="6" t="s">
        <v>4975</v>
      </c>
      <c r="D711" s="6" t="s">
        <v>6214</v>
      </c>
      <c r="E711" s="6" t="s">
        <v>6718</v>
      </c>
      <c r="F711" s="6" t="s">
        <v>6722</v>
      </c>
      <c r="G711" s="9" t="n">
        <v>32957</v>
      </c>
      <c r="H711" s="6" t="s">
        <v>384</v>
      </c>
      <c r="I711" s="6" t="s">
        <v>13</v>
      </c>
      <c r="J711" s="6" t="s">
        <v>228</v>
      </c>
      <c r="K711" s="6" t="s">
        <v>6217</v>
      </c>
      <c r="M711" s="6"/>
    </row>
    <row r="712" customFormat="false" ht="15" hidden="false" customHeight="false" outlineLevel="0" collapsed="false">
      <c r="A712" s="6" t="s">
        <v>6723</v>
      </c>
      <c r="B712" s="6" t="s">
        <v>5074</v>
      </c>
      <c r="C712" s="6" t="s">
        <v>4975</v>
      </c>
      <c r="D712" s="6" t="s">
        <v>6214</v>
      </c>
      <c r="E712" s="6" t="s">
        <v>6718</v>
      </c>
      <c r="F712" s="6" t="s">
        <v>6719</v>
      </c>
      <c r="G712" s="9" t="n">
        <v>38737</v>
      </c>
      <c r="H712" s="6" t="s">
        <v>384</v>
      </c>
      <c r="I712" s="6" t="s">
        <v>13</v>
      </c>
      <c r="J712" s="6" t="s">
        <v>223</v>
      </c>
      <c r="K712" s="6" t="s">
        <v>6688</v>
      </c>
      <c r="M712" s="6"/>
    </row>
    <row r="713" customFormat="false" ht="15" hidden="false" customHeight="false" outlineLevel="0" collapsed="false">
      <c r="A713" s="6" t="s">
        <v>6724</v>
      </c>
      <c r="B713" s="6" t="s">
        <v>5074</v>
      </c>
      <c r="C713" s="6" t="s">
        <v>4975</v>
      </c>
      <c r="D713" s="6" t="s">
        <v>6214</v>
      </c>
      <c r="E713" s="6" t="s">
        <v>6718</v>
      </c>
      <c r="F713" s="6" t="s">
        <v>6722</v>
      </c>
      <c r="G713" s="9" t="n">
        <v>38737</v>
      </c>
      <c r="H713" s="6" t="s">
        <v>384</v>
      </c>
      <c r="I713" s="6" t="s">
        <v>13</v>
      </c>
      <c r="J713" s="6" t="s">
        <v>228</v>
      </c>
      <c r="K713" s="6" t="s">
        <v>6217</v>
      </c>
      <c r="M713" s="6"/>
    </row>
    <row r="714" customFormat="false" ht="15" hidden="false" customHeight="false" outlineLevel="0" collapsed="false">
      <c r="A714" s="6" t="s">
        <v>6725</v>
      </c>
      <c r="B714" s="6" t="s">
        <v>5113</v>
      </c>
      <c r="C714" s="6" t="s">
        <v>4975</v>
      </c>
      <c r="D714" s="6" t="s">
        <v>6214</v>
      </c>
      <c r="E714" s="6" t="s">
        <v>6718</v>
      </c>
      <c r="F714" s="6" t="s">
        <v>6722</v>
      </c>
      <c r="G714" s="9" t="n">
        <v>50995</v>
      </c>
      <c r="H714" s="6" t="s">
        <v>384</v>
      </c>
      <c r="I714" s="6" t="s">
        <v>13</v>
      </c>
      <c r="J714" s="6" t="s">
        <v>228</v>
      </c>
      <c r="K714" s="6" t="s">
        <v>6217</v>
      </c>
      <c r="M714" s="6"/>
    </row>
    <row r="715" customFormat="false" ht="15" hidden="false" customHeight="false" outlineLevel="0" collapsed="false">
      <c r="A715" s="6" t="s">
        <v>6726</v>
      </c>
      <c r="B715" s="6" t="s">
        <v>5102</v>
      </c>
      <c r="C715" s="6" t="s">
        <v>4975</v>
      </c>
      <c r="D715" s="6" t="s">
        <v>6214</v>
      </c>
      <c r="E715" s="6" t="s">
        <v>6727</v>
      </c>
      <c r="F715" s="6" t="s">
        <v>6728</v>
      </c>
      <c r="G715" s="9" t="n">
        <v>23135</v>
      </c>
      <c r="H715" s="6" t="s">
        <v>384</v>
      </c>
      <c r="I715" s="6" t="s">
        <v>13</v>
      </c>
      <c r="J715" s="6" t="s">
        <v>223</v>
      </c>
      <c r="K715" s="6" t="s">
        <v>6688</v>
      </c>
      <c r="M715" s="6"/>
    </row>
    <row r="716" customFormat="false" ht="15" hidden="false" customHeight="false" outlineLevel="0" collapsed="false">
      <c r="A716" s="6" t="s">
        <v>6729</v>
      </c>
      <c r="B716" s="6" t="s">
        <v>5097</v>
      </c>
      <c r="C716" s="6" t="s">
        <v>4975</v>
      </c>
      <c r="D716" s="6" t="s">
        <v>6214</v>
      </c>
      <c r="E716" s="6" t="s">
        <v>6727</v>
      </c>
      <c r="F716" s="6" t="s">
        <v>6728</v>
      </c>
      <c r="G716" s="9" t="n">
        <v>33457</v>
      </c>
      <c r="H716" s="6" t="s">
        <v>384</v>
      </c>
      <c r="I716" s="6" t="s">
        <v>13</v>
      </c>
      <c r="J716" s="6" t="s">
        <v>223</v>
      </c>
      <c r="K716" s="6" t="s">
        <v>6688</v>
      </c>
      <c r="M716" s="6"/>
    </row>
    <row r="717" customFormat="false" ht="15" hidden="false" customHeight="false" outlineLevel="0" collapsed="false">
      <c r="A717" s="6" t="s">
        <v>6730</v>
      </c>
      <c r="B717" s="6" t="s">
        <v>5097</v>
      </c>
      <c r="C717" s="6" t="s">
        <v>4975</v>
      </c>
      <c r="D717" s="6" t="s">
        <v>6214</v>
      </c>
      <c r="E717" s="6" t="s">
        <v>6727</v>
      </c>
      <c r="F717" s="6" t="s">
        <v>6731</v>
      </c>
      <c r="G717" s="9" t="n">
        <v>33457</v>
      </c>
      <c r="H717" s="6" t="s">
        <v>384</v>
      </c>
      <c r="I717" s="6" t="s">
        <v>13</v>
      </c>
      <c r="J717" s="6" t="s">
        <v>228</v>
      </c>
      <c r="K717" s="6" t="s">
        <v>6217</v>
      </c>
      <c r="M717" s="6"/>
    </row>
    <row r="718" customFormat="false" ht="15" hidden="false" customHeight="false" outlineLevel="0" collapsed="false">
      <c r="A718" s="6" t="s">
        <v>6732</v>
      </c>
      <c r="B718" s="6" t="s">
        <v>5074</v>
      </c>
      <c r="C718" s="6" t="s">
        <v>4975</v>
      </c>
      <c r="D718" s="6" t="s">
        <v>6214</v>
      </c>
      <c r="E718" s="6" t="s">
        <v>6727</v>
      </c>
      <c r="F718" s="6" t="s">
        <v>6728</v>
      </c>
      <c r="G718" s="9" t="n">
        <v>25395</v>
      </c>
      <c r="H718" s="6" t="s">
        <v>384</v>
      </c>
      <c r="I718" s="6" t="s">
        <v>13</v>
      </c>
      <c r="J718" s="6" t="s">
        <v>223</v>
      </c>
      <c r="K718" s="6" t="s">
        <v>6688</v>
      </c>
      <c r="M718" s="6"/>
    </row>
    <row r="719" customFormat="false" ht="15" hidden="false" customHeight="false" outlineLevel="0" collapsed="false">
      <c r="A719" s="6" t="s">
        <v>6733</v>
      </c>
      <c r="B719" s="6" t="s">
        <v>5074</v>
      </c>
      <c r="C719" s="6" t="s">
        <v>4975</v>
      </c>
      <c r="D719" s="6" t="s">
        <v>6214</v>
      </c>
      <c r="E719" s="6" t="s">
        <v>6727</v>
      </c>
      <c r="F719" s="6" t="s">
        <v>6731</v>
      </c>
      <c r="G719" s="9" t="n">
        <v>25395</v>
      </c>
      <c r="H719" s="6" t="s">
        <v>384</v>
      </c>
      <c r="I719" s="6" t="s">
        <v>13</v>
      </c>
      <c r="J719" s="6" t="s">
        <v>228</v>
      </c>
      <c r="K719" s="6" t="s">
        <v>6217</v>
      </c>
      <c r="M719" s="6"/>
    </row>
    <row r="720" customFormat="false" ht="15" hidden="false" customHeight="false" outlineLevel="0" collapsed="false">
      <c r="A720" s="6" t="s">
        <v>6734</v>
      </c>
      <c r="B720" s="6" t="s">
        <v>5113</v>
      </c>
      <c r="C720" s="6" t="s">
        <v>4975</v>
      </c>
      <c r="D720" s="6" t="s">
        <v>6214</v>
      </c>
      <c r="E720" s="6" t="s">
        <v>6727</v>
      </c>
      <c r="F720" s="6" t="s">
        <v>6731</v>
      </c>
      <c r="G720" s="9" t="n">
        <v>33865</v>
      </c>
      <c r="H720" s="6" t="s">
        <v>384</v>
      </c>
      <c r="I720" s="6" t="s">
        <v>13</v>
      </c>
      <c r="J720" s="6" t="s">
        <v>228</v>
      </c>
      <c r="K720" s="6" t="s">
        <v>6217</v>
      </c>
      <c r="M720" s="6"/>
    </row>
    <row r="721" customFormat="false" ht="15" hidden="false" customHeight="false" outlineLevel="0" collapsed="false">
      <c r="A721" s="6" t="s">
        <v>6735</v>
      </c>
      <c r="B721" s="6" t="s">
        <v>5102</v>
      </c>
      <c r="C721" s="6" t="s">
        <v>4975</v>
      </c>
      <c r="D721" s="6" t="s">
        <v>6214</v>
      </c>
      <c r="E721" s="6" t="s">
        <v>6736</v>
      </c>
      <c r="F721" s="6" t="s">
        <v>6737</v>
      </c>
      <c r="G721" s="9" t="n">
        <v>73529</v>
      </c>
      <c r="H721" s="6" t="s">
        <v>384</v>
      </c>
      <c r="I721" s="6" t="s">
        <v>13</v>
      </c>
      <c r="J721" s="6" t="s">
        <v>223</v>
      </c>
      <c r="K721" s="6" t="s">
        <v>6688</v>
      </c>
      <c r="M721" s="6" t="s">
        <v>6738</v>
      </c>
    </row>
    <row r="722" customFormat="false" ht="15" hidden="false" customHeight="false" outlineLevel="0" collapsed="false">
      <c r="A722" s="6" t="s">
        <v>6739</v>
      </c>
      <c r="B722" s="6" t="s">
        <v>5097</v>
      </c>
      <c r="C722" s="6" t="s">
        <v>4975</v>
      </c>
      <c r="D722" s="6" t="s">
        <v>6214</v>
      </c>
      <c r="E722" s="6" t="s">
        <v>6736</v>
      </c>
      <c r="F722" s="6" t="s">
        <v>6737</v>
      </c>
      <c r="G722" s="9" t="n">
        <v>104920</v>
      </c>
      <c r="H722" s="6" t="s">
        <v>384</v>
      </c>
      <c r="I722" s="6" t="s">
        <v>13</v>
      </c>
      <c r="J722" s="6" t="s">
        <v>223</v>
      </c>
      <c r="K722" s="6" t="s">
        <v>6688</v>
      </c>
      <c r="M722" s="6" t="s">
        <v>6738</v>
      </c>
    </row>
    <row r="723" customFormat="false" ht="15" hidden="false" customHeight="false" outlineLevel="0" collapsed="false">
      <c r="A723" s="6" t="s">
        <v>6740</v>
      </c>
      <c r="B723" s="6" t="s">
        <v>5074</v>
      </c>
      <c r="C723" s="6" t="s">
        <v>4975</v>
      </c>
      <c r="D723" s="6" t="s">
        <v>6214</v>
      </c>
      <c r="E723" s="6" t="s">
        <v>6736</v>
      </c>
      <c r="F723" s="6" t="s">
        <v>6737</v>
      </c>
      <c r="G723" s="9" t="n">
        <v>100186</v>
      </c>
      <c r="H723" s="6" t="s">
        <v>384</v>
      </c>
      <c r="I723" s="6" t="s">
        <v>13</v>
      </c>
      <c r="J723" s="6" t="s">
        <v>223</v>
      </c>
      <c r="K723" s="6" t="s">
        <v>6688</v>
      </c>
      <c r="M723" s="6" t="s">
        <v>6738</v>
      </c>
    </row>
    <row r="724" customFormat="false" ht="15" hidden="false" customHeight="false" outlineLevel="0" collapsed="false">
      <c r="A724" s="6" t="s">
        <v>6741</v>
      </c>
      <c r="B724" s="6" t="s">
        <v>5102</v>
      </c>
      <c r="C724" s="6" t="s">
        <v>4975</v>
      </c>
      <c r="D724" s="6" t="s">
        <v>6214</v>
      </c>
      <c r="E724" s="6" t="s">
        <v>6742</v>
      </c>
      <c r="F724" s="6" t="s">
        <v>6743</v>
      </c>
      <c r="G724" s="9" t="n">
        <v>75051</v>
      </c>
      <c r="H724" s="6" t="s">
        <v>384</v>
      </c>
      <c r="I724" s="6" t="s">
        <v>13</v>
      </c>
      <c r="J724" s="6" t="s">
        <v>223</v>
      </c>
      <c r="K724" s="6" t="s">
        <v>6688</v>
      </c>
      <c r="M724" s="6"/>
    </row>
    <row r="725" customFormat="false" ht="15" hidden="false" customHeight="false" outlineLevel="0" collapsed="false">
      <c r="A725" s="6" t="s">
        <v>6744</v>
      </c>
      <c r="B725" s="6" t="s">
        <v>5097</v>
      </c>
      <c r="C725" s="6" t="s">
        <v>4975</v>
      </c>
      <c r="D725" s="6" t="s">
        <v>6214</v>
      </c>
      <c r="E725" s="6" t="s">
        <v>6742</v>
      </c>
      <c r="F725" s="6" t="s">
        <v>6743</v>
      </c>
      <c r="G725" s="9" t="n">
        <v>107202</v>
      </c>
      <c r="H725" s="6" t="s">
        <v>384</v>
      </c>
      <c r="I725" s="6" t="s">
        <v>13</v>
      </c>
      <c r="J725" s="6" t="s">
        <v>223</v>
      </c>
      <c r="K725" s="6" t="s">
        <v>6688</v>
      </c>
      <c r="M725" s="6"/>
    </row>
    <row r="726" customFormat="false" ht="15" hidden="false" customHeight="false" outlineLevel="0" collapsed="false">
      <c r="A726" s="6" t="s">
        <v>6745</v>
      </c>
      <c r="B726" s="6" t="s">
        <v>5097</v>
      </c>
      <c r="C726" s="6" t="s">
        <v>4975</v>
      </c>
      <c r="D726" s="6" t="s">
        <v>6214</v>
      </c>
      <c r="E726" s="6" t="s">
        <v>6742</v>
      </c>
      <c r="F726" s="6" t="s">
        <v>6746</v>
      </c>
      <c r="G726" s="9" t="n">
        <v>107202</v>
      </c>
      <c r="H726" s="6" t="s">
        <v>384</v>
      </c>
      <c r="I726" s="6" t="s">
        <v>13</v>
      </c>
      <c r="J726" s="6" t="s">
        <v>228</v>
      </c>
      <c r="K726" s="6" t="s">
        <v>6217</v>
      </c>
      <c r="M726" s="6"/>
    </row>
    <row r="727" customFormat="false" ht="15" hidden="false" customHeight="false" outlineLevel="0" collapsed="false">
      <c r="A727" s="6" t="s">
        <v>6747</v>
      </c>
      <c r="B727" s="6" t="s">
        <v>5074</v>
      </c>
      <c r="C727" s="6" t="s">
        <v>4975</v>
      </c>
      <c r="D727" s="6" t="s">
        <v>6214</v>
      </c>
      <c r="E727" s="6" t="s">
        <v>6742</v>
      </c>
      <c r="F727" s="6" t="s">
        <v>6743</v>
      </c>
      <c r="G727" s="9" t="n">
        <v>102183</v>
      </c>
      <c r="H727" s="6" t="s">
        <v>384</v>
      </c>
      <c r="I727" s="6" t="s">
        <v>13</v>
      </c>
      <c r="J727" s="6" t="s">
        <v>223</v>
      </c>
      <c r="K727" s="6" t="s">
        <v>6688</v>
      </c>
      <c r="M727" s="6"/>
    </row>
    <row r="728" customFormat="false" ht="15" hidden="false" customHeight="false" outlineLevel="0" collapsed="false">
      <c r="A728" s="6" t="s">
        <v>6748</v>
      </c>
      <c r="B728" s="6" t="s">
        <v>5074</v>
      </c>
      <c r="C728" s="6" t="s">
        <v>4975</v>
      </c>
      <c r="D728" s="6" t="s">
        <v>6214</v>
      </c>
      <c r="E728" s="6" t="s">
        <v>6742</v>
      </c>
      <c r="F728" s="6" t="s">
        <v>6746</v>
      </c>
      <c r="G728" s="9" t="n">
        <v>102183</v>
      </c>
      <c r="H728" s="6" t="s">
        <v>384</v>
      </c>
      <c r="I728" s="6" t="s">
        <v>13</v>
      </c>
      <c r="J728" s="6" t="s">
        <v>228</v>
      </c>
      <c r="K728" s="6" t="s">
        <v>6217</v>
      </c>
      <c r="M728" s="6"/>
    </row>
    <row r="729" customFormat="false" ht="15" hidden="false" customHeight="false" outlineLevel="0" collapsed="false">
      <c r="A729" s="6" t="s">
        <v>6749</v>
      </c>
      <c r="B729" s="6" t="s">
        <v>5113</v>
      </c>
      <c r="C729" s="6" t="s">
        <v>4975</v>
      </c>
      <c r="D729" s="6" t="s">
        <v>6214</v>
      </c>
      <c r="E729" s="6" t="s">
        <v>6742</v>
      </c>
      <c r="F729" s="6" t="s">
        <v>6746</v>
      </c>
      <c r="G729" s="9" t="n">
        <v>148261</v>
      </c>
      <c r="H729" s="6" t="s">
        <v>384</v>
      </c>
      <c r="I729" s="6" t="s">
        <v>13</v>
      </c>
      <c r="J729" s="6" t="s">
        <v>228</v>
      </c>
      <c r="K729" s="6" t="s">
        <v>6217</v>
      </c>
      <c r="M729" s="6" t="s">
        <v>6716</v>
      </c>
    </row>
    <row r="730" customFormat="false" ht="15" hidden="false" customHeight="false" outlineLevel="0" collapsed="false">
      <c r="A730" s="6" t="s">
        <v>6750</v>
      </c>
      <c r="B730" s="6" t="s">
        <v>5097</v>
      </c>
      <c r="C730" s="6" t="s">
        <v>4975</v>
      </c>
      <c r="D730" s="6" t="s">
        <v>6214</v>
      </c>
      <c r="E730" s="6" t="s">
        <v>6751</v>
      </c>
      <c r="F730" s="6" t="s">
        <v>6752</v>
      </c>
      <c r="G730" s="9" t="n">
        <v>104920</v>
      </c>
      <c r="H730" s="6" t="s">
        <v>384</v>
      </c>
      <c r="I730" s="6" t="s">
        <v>13</v>
      </c>
      <c r="J730" s="6" t="s">
        <v>228</v>
      </c>
      <c r="K730" s="6" t="s">
        <v>6217</v>
      </c>
      <c r="M730" s="6"/>
    </row>
    <row r="731" customFormat="false" ht="15" hidden="false" customHeight="false" outlineLevel="0" collapsed="false">
      <c r="A731" s="6" t="s">
        <v>6753</v>
      </c>
      <c r="B731" s="6" t="s">
        <v>5074</v>
      </c>
      <c r="C731" s="6" t="s">
        <v>4975</v>
      </c>
      <c r="D731" s="6" t="s">
        <v>6214</v>
      </c>
      <c r="E731" s="6" t="s">
        <v>6751</v>
      </c>
      <c r="F731" s="6" t="s">
        <v>6752</v>
      </c>
      <c r="G731" s="9" t="n">
        <v>100186</v>
      </c>
      <c r="H731" s="6" t="s">
        <v>384</v>
      </c>
      <c r="I731" s="6" t="s">
        <v>13</v>
      </c>
      <c r="J731" s="6" t="s">
        <v>228</v>
      </c>
      <c r="K731" s="6" t="s">
        <v>6217</v>
      </c>
      <c r="M731" s="6"/>
    </row>
    <row r="732" customFormat="false" ht="15" hidden="false" customHeight="false" outlineLevel="0" collapsed="false">
      <c r="A732" s="6" t="s">
        <v>6754</v>
      </c>
      <c r="B732" s="6" t="s">
        <v>5113</v>
      </c>
      <c r="C732" s="6" t="s">
        <v>4975</v>
      </c>
      <c r="D732" s="6" t="s">
        <v>6214</v>
      </c>
      <c r="E732" s="6" t="s">
        <v>6751</v>
      </c>
      <c r="F732" s="6" t="s">
        <v>6752</v>
      </c>
      <c r="G732" s="9" t="n">
        <v>147117</v>
      </c>
      <c r="H732" s="6" t="s">
        <v>384</v>
      </c>
      <c r="I732" s="6" t="s">
        <v>13</v>
      </c>
      <c r="J732" s="6" t="s">
        <v>228</v>
      </c>
      <c r="K732" s="6" t="s">
        <v>6217</v>
      </c>
      <c r="M732" s="6" t="s">
        <v>6716</v>
      </c>
    </row>
    <row r="733" customFormat="false" ht="15" hidden="false" customHeight="false" outlineLevel="0" collapsed="false">
      <c r="A733" s="6" t="s">
        <v>6755</v>
      </c>
      <c r="B733" s="6" t="s">
        <v>5097</v>
      </c>
      <c r="C733" s="6" t="s">
        <v>4975</v>
      </c>
      <c r="D733" s="6" t="s">
        <v>6214</v>
      </c>
      <c r="E733" s="6" t="s">
        <v>6756</v>
      </c>
      <c r="F733" s="6" t="s">
        <v>6757</v>
      </c>
      <c r="G733" s="9" t="n">
        <v>104920</v>
      </c>
      <c r="H733" s="6" t="s">
        <v>384</v>
      </c>
      <c r="I733" s="6" t="s">
        <v>13</v>
      </c>
      <c r="J733" s="6" t="s">
        <v>228</v>
      </c>
      <c r="K733" s="6" t="s">
        <v>6022</v>
      </c>
      <c r="M733" s="6" t="s">
        <v>6758</v>
      </c>
    </row>
    <row r="734" customFormat="false" ht="15" hidden="false" customHeight="false" outlineLevel="0" collapsed="false">
      <c r="A734" s="6" t="s">
        <v>6759</v>
      </c>
      <c r="B734" s="6" t="s">
        <v>5074</v>
      </c>
      <c r="C734" s="6" t="s">
        <v>4975</v>
      </c>
      <c r="D734" s="6" t="s">
        <v>6214</v>
      </c>
      <c r="E734" s="6" t="s">
        <v>6756</v>
      </c>
      <c r="F734" s="6" t="s">
        <v>6757</v>
      </c>
      <c r="G734" s="9" t="n">
        <v>100186</v>
      </c>
      <c r="H734" s="6" t="s">
        <v>384</v>
      </c>
      <c r="I734" s="6" t="s">
        <v>13</v>
      </c>
      <c r="J734" s="6" t="s">
        <v>228</v>
      </c>
      <c r="K734" s="6" t="s">
        <v>6022</v>
      </c>
      <c r="M734" s="6" t="s">
        <v>6758</v>
      </c>
    </row>
    <row r="735" customFormat="false" ht="15" hidden="false" customHeight="false" outlineLevel="0" collapsed="false">
      <c r="A735" s="6" t="s">
        <v>6760</v>
      </c>
      <c r="B735" s="6" t="s">
        <v>5113</v>
      </c>
      <c r="C735" s="6" t="s">
        <v>4975</v>
      </c>
      <c r="D735" s="6" t="s">
        <v>6214</v>
      </c>
      <c r="E735" s="6" t="s">
        <v>6756</v>
      </c>
      <c r="F735" s="6" t="s">
        <v>6757</v>
      </c>
      <c r="G735" s="9" t="n">
        <v>129209</v>
      </c>
      <c r="H735" s="6" t="s">
        <v>384</v>
      </c>
      <c r="I735" s="6" t="s">
        <v>13</v>
      </c>
      <c r="J735" s="6" t="s">
        <v>228</v>
      </c>
      <c r="K735" s="6" t="s">
        <v>6022</v>
      </c>
      <c r="M735" s="6" t="s">
        <v>6758</v>
      </c>
    </row>
    <row r="736" customFormat="false" ht="15" hidden="false" customHeight="false" outlineLevel="0" collapsed="false">
      <c r="A736" s="6" t="s">
        <v>6761</v>
      </c>
      <c r="B736" s="6" t="s">
        <v>5203</v>
      </c>
      <c r="C736" s="6" t="s">
        <v>4975</v>
      </c>
      <c r="D736" s="6" t="s">
        <v>6214</v>
      </c>
      <c r="E736" s="6" t="s">
        <v>6762</v>
      </c>
      <c r="F736" s="6" t="s">
        <v>6763</v>
      </c>
      <c r="G736" s="9" t="n">
        <v>380</v>
      </c>
      <c r="H736" s="6" t="s">
        <v>384</v>
      </c>
      <c r="I736" s="6" t="s">
        <v>13</v>
      </c>
      <c r="J736" s="6" t="s">
        <v>218</v>
      </c>
      <c r="K736" s="6" t="s">
        <v>6764</v>
      </c>
      <c r="M736" s="6"/>
    </row>
    <row r="737" customFormat="false" ht="15" hidden="false" customHeight="false" outlineLevel="0" collapsed="false">
      <c r="A737" s="6" t="s">
        <v>6765</v>
      </c>
      <c r="B737" s="6" t="s">
        <v>5102</v>
      </c>
      <c r="C737" s="6" t="s">
        <v>4975</v>
      </c>
      <c r="D737" s="6" t="s">
        <v>6214</v>
      </c>
      <c r="E737" s="6" t="s">
        <v>6762</v>
      </c>
      <c r="F737" s="6" t="s">
        <v>6763</v>
      </c>
      <c r="G737" s="9" t="n">
        <v>1522</v>
      </c>
      <c r="H737" s="6" t="s">
        <v>384</v>
      </c>
      <c r="I737" s="6" t="s">
        <v>13</v>
      </c>
      <c r="J737" s="6" t="s">
        <v>218</v>
      </c>
      <c r="K737" s="6" t="s">
        <v>6764</v>
      </c>
      <c r="M737" s="6"/>
    </row>
    <row r="738" customFormat="false" ht="15" hidden="false" customHeight="false" outlineLevel="0" collapsed="false">
      <c r="A738" s="6" t="s">
        <v>6766</v>
      </c>
      <c r="B738" s="6" t="s">
        <v>5097</v>
      </c>
      <c r="C738" s="6" t="s">
        <v>4975</v>
      </c>
      <c r="D738" s="6" t="s">
        <v>6214</v>
      </c>
      <c r="E738" s="6" t="s">
        <v>6762</v>
      </c>
      <c r="F738" s="6" t="s">
        <v>6763</v>
      </c>
      <c r="G738" s="9" t="n">
        <v>1934</v>
      </c>
      <c r="H738" s="6" t="s">
        <v>384</v>
      </c>
      <c r="I738" s="6" t="s">
        <v>13</v>
      </c>
      <c r="J738" s="6" t="s">
        <v>218</v>
      </c>
      <c r="K738" s="6" t="s">
        <v>6764</v>
      </c>
      <c r="M738" s="6" t="s">
        <v>6767</v>
      </c>
    </row>
    <row r="739" customFormat="false" ht="15" hidden="false" customHeight="false" outlineLevel="0" collapsed="false">
      <c r="A739" s="6" t="s">
        <v>6768</v>
      </c>
      <c r="B739" s="6" t="s">
        <v>5049</v>
      </c>
      <c r="C739" s="6" t="s">
        <v>5050</v>
      </c>
      <c r="D739" s="6" t="s">
        <v>6214</v>
      </c>
      <c r="E739" s="6" t="s">
        <v>6769</v>
      </c>
      <c r="F739" s="6" t="s">
        <v>6770</v>
      </c>
      <c r="G739" s="12" t="n">
        <v>5087335</v>
      </c>
      <c r="H739" s="6" t="s">
        <v>3739</v>
      </c>
      <c r="I739" s="6" t="s">
        <v>13</v>
      </c>
      <c r="J739" s="6" t="s">
        <v>218</v>
      </c>
      <c r="K739" s="6" t="s">
        <v>6415</v>
      </c>
      <c r="M739" s="6"/>
    </row>
    <row r="740" customFormat="false" ht="15" hidden="false" customHeight="false" outlineLevel="0" collapsed="false">
      <c r="A740" s="6" t="s">
        <v>6771</v>
      </c>
      <c r="B740" s="6" t="s">
        <v>5057</v>
      </c>
      <c r="C740" s="6" t="s">
        <v>5050</v>
      </c>
      <c r="D740" s="6" t="s">
        <v>6214</v>
      </c>
      <c r="E740" s="6" t="s">
        <v>6769</v>
      </c>
      <c r="F740" s="6" t="s">
        <v>6770</v>
      </c>
      <c r="G740" s="12" t="n">
        <v>6243273</v>
      </c>
      <c r="H740" s="6" t="s">
        <v>3739</v>
      </c>
      <c r="I740" s="6" t="s">
        <v>13</v>
      </c>
      <c r="J740" s="6" t="s">
        <v>218</v>
      </c>
      <c r="K740" s="6" t="s">
        <v>6415</v>
      </c>
      <c r="M740" s="6"/>
    </row>
    <row r="741" customFormat="false" ht="15" hidden="false" customHeight="false" outlineLevel="0" collapsed="false">
      <c r="A741" s="6" t="s">
        <v>6772</v>
      </c>
      <c r="B741" s="6" t="s">
        <v>5062</v>
      </c>
      <c r="C741" s="6" t="s">
        <v>5050</v>
      </c>
      <c r="D741" s="6" t="s">
        <v>6214</v>
      </c>
      <c r="E741" s="6" t="s">
        <v>6769</v>
      </c>
      <c r="F741" s="6" t="s">
        <v>6773</v>
      </c>
      <c r="G741" s="12" t="n">
        <v>7847149</v>
      </c>
      <c r="H741" s="6" t="s">
        <v>3739</v>
      </c>
      <c r="I741" s="6" t="s">
        <v>13</v>
      </c>
      <c r="J741" s="6" t="s">
        <v>223</v>
      </c>
      <c r="K741" s="6" t="s">
        <v>6419</v>
      </c>
      <c r="M741" s="6" t="s">
        <v>6774</v>
      </c>
    </row>
    <row r="742" customFormat="false" ht="15" hidden="false" customHeight="false" outlineLevel="0" collapsed="false">
      <c r="A742" s="6" t="s">
        <v>6775</v>
      </c>
      <c r="B742" s="6" t="s">
        <v>5072</v>
      </c>
      <c r="C742" s="6" t="s">
        <v>5050</v>
      </c>
      <c r="D742" s="6" t="s">
        <v>6214</v>
      </c>
      <c r="E742" s="6" t="s">
        <v>6776</v>
      </c>
      <c r="F742" s="6" t="s">
        <v>6777</v>
      </c>
      <c r="G742" s="12" t="n">
        <v>10841262</v>
      </c>
      <c r="H742" s="6" t="s">
        <v>3739</v>
      </c>
      <c r="I742" s="6" t="s">
        <v>13</v>
      </c>
      <c r="J742" s="6" t="s">
        <v>233</v>
      </c>
      <c r="K742" s="6" t="s">
        <v>6778</v>
      </c>
      <c r="M742" s="6" t="s">
        <v>6779</v>
      </c>
    </row>
    <row r="743" customFormat="false" ht="15" hidden="false" customHeight="false" outlineLevel="0" collapsed="false">
      <c r="A743" s="6" t="s">
        <v>6780</v>
      </c>
      <c r="B743" s="6" t="s">
        <v>5249</v>
      </c>
      <c r="C743" s="6" t="s">
        <v>5050</v>
      </c>
      <c r="D743" s="6" t="s">
        <v>6214</v>
      </c>
      <c r="E743" s="6" t="s">
        <v>6781</v>
      </c>
      <c r="F743" s="6" t="s">
        <v>6782</v>
      </c>
      <c r="G743" s="12" t="n">
        <v>11797025</v>
      </c>
      <c r="H743" s="6" t="s">
        <v>3739</v>
      </c>
      <c r="I743" s="6" t="s">
        <v>13</v>
      </c>
      <c r="J743" s="6" t="s">
        <v>316</v>
      </c>
      <c r="K743" s="6" t="s">
        <v>6783</v>
      </c>
      <c r="M743" s="6" t="s">
        <v>6784</v>
      </c>
    </row>
    <row r="744" customFormat="false" ht="15" hidden="false" customHeight="false" outlineLevel="0" collapsed="false">
      <c r="A744" s="6" t="s">
        <v>6785</v>
      </c>
      <c r="B744" s="6" t="s">
        <v>5062</v>
      </c>
      <c r="C744" s="6" t="s">
        <v>5050</v>
      </c>
      <c r="D744" s="6" t="s">
        <v>6214</v>
      </c>
      <c r="E744" s="6" t="s">
        <v>6786</v>
      </c>
      <c r="F744" s="6" t="s">
        <v>6787</v>
      </c>
      <c r="G744" s="12" t="n">
        <v>7847149</v>
      </c>
      <c r="H744" s="6" t="s">
        <v>3739</v>
      </c>
      <c r="I744" s="6" t="s">
        <v>13</v>
      </c>
      <c r="J744" s="6" t="s">
        <v>238</v>
      </c>
      <c r="K744" s="6" t="s">
        <v>6788</v>
      </c>
      <c r="M744" s="6"/>
    </row>
    <row r="745" customFormat="false" ht="15" hidden="false" customHeight="false" outlineLevel="0" collapsed="false">
      <c r="A745" s="6" t="s">
        <v>6789</v>
      </c>
      <c r="B745" s="6" t="s">
        <v>5239</v>
      </c>
      <c r="C745" s="6" t="s">
        <v>5050</v>
      </c>
      <c r="D745" s="6" t="s">
        <v>6214</v>
      </c>
      <c r="E745" s="6" t="s">
        <v>6786</v>
      </c>
      <c r="F745" s="6" t="s">
        <v>6787</v>
      </c>
      <c r="G745" s="12" t="n">
        <v>9026219</v>
      </c>
      <c r="H745" s="6" t="s">
        <v>3739</v>
      </c>
      <c r="I745" s="6" t="s">
        <v>13</v>
      </c>
      <c r="J745" s="6" t="s">
        <v>238</v>
      </c>
      <c r="K745" s="6" t="s">
        <v>6788</v>
      </c>
      <c r="M745" s="6"/>
    </row>
    <row r="746" customFormat="false" ht="15" hidden="false" customHeight="false" outlineLevel="0" collapsed="false">
      <c r="A746" s="6" t="s">
        <v>6790</v>
      </c>
      <c r="B746" s="6" t="s">
        <v>5067</v>
      </c>
      <c r="C746" s="6" t="s">
        <v>5050</v>
      </c>
      <c r="D746" s="6" t="s">
        <v>6214</v>
      </c>
      <c r="E746" s="6" t="s">
        <v>6786</v>
      </c>
      <c r="F746" s="6" t="s">
        <v>6791</v>
      </c>
      <c r="G746" s="12" t="n">
        <v>8941243</v>
      </c>
      <c r="H746" s="6" t="s">
        <v>3739</v>
      </c>
      <c r="I746" s="6" t="s">
        <v>13</v>
      </c>
      <c r="J746" s="6" t="s">
        <v>228</v>
      </c>
      <c r="K746" s="6" t="s">
        <v>6423</v>
      </c>
      <c r="M746" s="6"/>
    </row>
    <row r="747" customFormat="false" ht="15" hidden="false" customHeight="false" outlineLevel="0" collapsed="false">
      <c r="A747" s="6" t="s">
        <v>6792</v>
      </c>
      <c r="B747" s="6" t="s">
        <v>5067</v>
      </c>
      <c r="C747" s="6" t="s">
        <v>5050</v>
      </c>
      <c r="D747" s="6" t="s">
        <v>6214</v>
      </c>
      <c r="E747" s="6" t="s">
        <v>6786</v>
      </c>
      <c r="F747" s="6" t="s">
        <v>6793</v>
      </c>
      <c r="G747" s="12" t="n">
        <v>8941243</v>
      </c>
      <c r="H747" s="6" t="s">
        <v>3739</v>
      </c>
      <c r="I747" s="6" t="s">
        <v>13</v>
      </c>
      <c r="J747" s="6" t="s">
        <v>253</v>
      </c>
      <c r="K747" s="6" t="s">
        <v>6794</v>
      </c>
      <c r="M747" s="6"/>
    </row>
    <row r="748" customFormat="false" ht="15" hidden="false" customHeight="false" outlineLevel="0" collapsed="false">
      <c r="A748" s="6" t="s">
        <v>6795</v>
      </c>
      <c r="B748" s="6" t="s">
        <v>5245</v>
      </c>
      <c r="C748" s="6" t="s">
        <v>5050</v>
      </c>
      <c r="D748" s="6" t="s">
        <v>6214</v>
      </c>
      <c r="E748" s="6" t="s">
        <v>6786</v>
      </c>
      <c r="F748" s="6" t="s">
        <v>6793</v>
      </c>
      <c r="G748" s="12" t="n">
        <v>10871688</v>
      </c>
      <c r="H748" s="6" t="s">
        <v>3739</v>
      </c>
      <c r="I748" s="6" t="s">
        <v>13</v>
      </c>
      <c r="J748" s="6" t="s">
        <v>253</v>
      </c>
      <c r="K748" s="6" t="s">
        <v>6794</v>
      </c>
      <c r="M748" s="6" t="s">
        <v>6796</v>
      </c>
    </row>
    <row r="749" customFormat="false" ht="15" hidden="false" customHeight="false" outlineLevel="0" collapsed="false">
      <c r="A749" s="6" t="s">
        <v>6797</v>
      </c>
      <c r="B749" s="6" t="s">
        <v>5072</v>
      </c>
      <c r="C749" s="6" t="s">
        <v>5050</v>
      </c>
      <c r="D749" s="6" t="s">
        <v>6214</v>
      </c>
      <c r="E749" s="6" t="s">
        <v>6786</v>
      </c>
      <c r="F749" s="6" t="s">
        <v>6798</v>
      </c>
      <c r="G749" s="12" t="n">
        <v>10841262</v>
      </c>
      <c r="H749" s="6" t="s">
        <v>3739</v>
      </c>
      <c r="I749" s="6" t="s">
        <v>13</v>
      </c>
      <c r="J749" s="6" t="s">
        <v>261</v>
      </c>
      <c r="K749" s="6" t="s">
        <v>6799</v>
      </c>
      <c r="M749" s="6"/>
    </row>
    <row r="750" customFormat="false" ht="15" hidden="false" customHeight="false" outlineLevel="0" collapsed="false">
      <c r="A750" s="6" t="s">
        <v>6800</v>
      </c>
      <c r="B750" s="6" t="s">
        <v>5249</v>
      </c>
      <c r="C750" s="6" t="s">
        <v>5050</v>
      </c>
      <c r="D750" s="6" t="s">
        <v>6214</v>
      </c>
      <c r="E750" s="6" t="s">
        <v>6786</v>
      </c>
      <c r="F750" s="6" t="s">
        <v>6798</v>
      </c>
      <c r="G750" s="12" t="n">
        <v>11797025</v>
      </c>
      <c r="H750" s="6" t="s">
        <v>3739</v>
      </c>
      <c r="I750" s="6" t="s">
        <v>13</v>
      </c>
      <c r="J750" s="6" t="s">
        <v>261</v>
      </c>
      <c r="K750" s="6" t="s">
        <v>6799</v>
      </c>
      <c r="M750" s="6" t="s">
        <v>6801</v>
      </c>
    </row>
    <row r="751" customFormat="false" ht="15" hidden="false" customHeight="false" outlineLevel="0" collapsed="false">
      <c r="A751" s="6" t="s">
        <v>6802</v>
      </c>
      <c r="B751" s="6" t="s">
        <v>5057</v>
      </c>
      <c r="C751" s="6" t="s">
        <v>5050</v>
      </c>
      <c r="D751" s="6" t="s">
        <v>6214</v>
      </c>
      <c r="E751" s="6" t="s">
        <v>6803</v>
      </c>
      <c r="F751" s="6" t="s">
        <v>6804</v>
      </c>
      <c r="G751" s="12" t="n">
        <v>721469</v>
      </c>
      <c r="H751" s="6" t="s">
        <v>3739</v>
      </c>
      <c r="I751" s="6" t="s">
        <v>13</v>
      </c>
      <c r="J751" s="6" t="s">
        <v>218</v>
      </c>
      <c r="K751" s="6" t="s">
        <v>6415</v>
      </c>
      <c r="M751" s="6"/>
    </row>
    <row r="752" customFormat="false" ht="15" hidden="false" customHeight="false" outlineLevel="0" collapsed="false">
      <c r="A752" s="6" t="s">
        <v>6805</v>
      </c>
      <c r="B752" s="6" t="s">
        <v>5062</v>
      </c>
      <c r="C752" s="6" t="s">
        <v>5050</v>
      </c>
      <c r="D752" s="6" t="s">
        <v>6214</v>
      </c>
      <c r="E752" s="6" t="s">
        <v>6806</v>
      </c>
      <c r="F752" s="6" t="s">
        <v>6807</v>
      </c>
      <c r="G752" s="12" t="n">
        <v>1233812</v>
      </c>
      <c r="H752" s="6" t="s">
        <v>3739</v>
      </c>
      <c r="I752" s="6" t="s">
        <v>13</v>
      </c>
      <c r="J752" s="6" t="s">
        <v>223</v>
      </c>
      <c r="K752" s="6" t="s">
        <v>6419</v>
      </c>
      <c r="M752" s="6"/>
    </row>
    <row r="753" customFormat="false" ht="15" hidden="false" customHeight="false" outlineLevel="0" collapsed="false">
      <c r="A753" s="6" t="s">
        <v>6808</v>
      </c>
      <c r="B753" s="6" t="s">
        <v>5239</v>
      </c>
      <c r="C753" s="6" t="s">
        <v>5050</v>
      </c>
      <c r="D753" s="6" t="s">
        <v>6214</v>
      </c>
      <c r="E753" s="6" t="s">
        <v>6806</v>
      </c>
      <c r="F753" s="6" t="s">
        <v>6809</v>
      </c>
      <c r="G753" s="12" t="n">
        <v>1193972</v>
      </c>
      <c r="H753" s="6" t="s">
        <v>3739</v>
      </c>
      <c r="I753" s="6" t="s">
        <v>13</v>
      </c>
      <c r="J753" s="6" t="s">
        <v>238</v>
      </c>
      <c r="K753" s="6" t="s">
        <v>6388</v>
      </c>
      <c r="M753" s="6"/>
    </row>
    <row r="754" customFormat="false" ht="15" hidden="false" customHeight="false" outlineLevel="0" collapsed="false">
      <c r="A754" s="6" t="s">
        <v>6810</v>
      </c>
      <c r="B754" s="6" t="s">
        <v>5245</v>
      </c>
      <c r="C754" s="6" t="s">
        <v>5050</v>
      </c>
      <c r="D754" s="6" t="s">
        <v>6214</v>
      </c>
      <c r="E754" s="6" t="s">
        <v>6806</v>
      </c>
      <c r="F754" s="6" t="s">
        <v>6811</v>
      </c>
      <c r="G754" s="12" t="n">
        <v>1118576</v>
      </c>
      <c r="H754" s="6" t="s">
        <v>3739</v>
      </c>
      <c r="I754" s="6" t="s">
        <v>13</v>
      </c>
      <c r="J754" s="6" t="s">
        <v>253</v>
      </c>
      <c r="K754" s="6" t="s">
        <v>6391</v>
      </c>
      <c r="M754" s="6"/>
    </row>
    <row r="755" customFormat="false" ht="15" hidden="false" customHeight="false" outlineLevel="0" collapsed="false">
      <c r="A755" s="6" t="s">
        <v>6812</v>
      </c>
      <c r="B755" s="6" t="s">
        <v>5249</v>
      </c>
      <c r="C755" s="6" t="s">
        <v>5050</v>
      </c>
      <c r="D755" s="6" t="s">
        <v>6214</v>
      </c>
      <c r="E755" s="6" t="s">
        <v>6806</v>
      </c>
      <c r="F755" s="6" t="s">
        <v>6813</v>
      </c>
      <c r="G755" s="12" t="n">
        <v>835694</v>
      </c>
      <c r="H755" s="6" t="s">
        <v>3739</v>
      </c>
      <c r="I755" s="6" t="s">
        <v>13</v>
      </c>
      <c r="J755" s="6" t="s">
        <v>261</v>
      </c>
      <c r="K755" s="6" t="s">
        <v>6394</v>
      </c>
      <c r="M755" s="6"/>
    </row>
    <row r="756" customFormat="false" ht="15" hidden="false" customHeight="false" outlineLevel="0" collapsed="false">
      <c r="A756" s="6" t="s">
        <v>6814</v>
      </c>
      <c r="B756" s="6" t="s">
        <v>5315</v>
      </c>
      <c r="C756" s="6" t="s">
        <v>5316</v>
      </c>
      <c r="D756" s="6" t="s">
        <v>6214</v>
      </c>
      <c r="E756" s="6" t="s">
        <v>6815</v>
      </c>
      <c r="F756" s="6" t="s">
        <v>6816</v>
      </c>
      <c r="G756" s="9" t="n">
        <v>3525</v>
      </c>
      <c r="H756" s="6" t="s">
        <v>384</v>
      </c>
      <c r="I756" s="6" t="s">
        <v>13</v>
      </c>
      <c r="J756" s="6" t="s">
        <v>253</v>
      </c>
      <c r="K756" s="6" t="s">
        <v>6817</v>
      </c>
      <c r="M756" s="6"/>
    </row>
    <row r="757" customFormat="false" ht="15" hidden="false" customHeight="false" outlineLevel="0" collapsed="false">
      <c r="A757" s="6" t="s">
        <v>6818</v>
      </c>
      <c r="B757" s="6" t="s">
        <v>5320</v>
      </c>
      <c r="C757" s="6" t="s">
        <v>5316</v>
      </c>
      <c r="D757" s="6" t="s">
        <v>6214</v>
      </c>
      <c r="E757" s="6" t="s">
        <v>6815</v>
      </c>
      <c r="F757" s="6" t="s">
        <v>6816</v>
      </c>
      <c r="G757" s="9" t="n">
        <v>-78</v>
      </c>
      <c r="H757" s="6" t="s">
        <v>384</v>
      </c>
      <c r="I757" s="6" t="s">
        <v>13</v>
      </c>
      <c r="J757" s="6" t="s">
        <v>253</v>
      </c>
      <c r="K757" s="6" t="s">
        <v>6817</v>
      </c>
      <c r="M757" s="6" t="s">
        <v>6819</v>
      </c>
    </row>
    <row r="758" customFormat="false" ht="15" hidden="false" customHeight="false" outlineLevel="0" collapsed="false">
      <c r="A758" s="6" t="s">
        <v>6820</v>
      </c>
      <c r="B758" s="6" t="s">
        <v>5325</v>
      </c>
      <c r="C758" s="6" t="s">
        <v>5316</v>
      </c>
      <c r="D758" s="6" t="s">
        <v>6214</v>
      </c>
      <c r="E758" s="6" t="s">
        <v>6815</v>
      </c>
      <c r="F758" s="6" t="s">
        <v>6821</v>
      </c>
      <c r="G758" s="9" t="n">
        <v>1791</v>
      </c>
      <c r="H758" s="6" t="s">
        <v>384</v>
      </c>
      <c r="I758" s="6" t="s">
        <v>13</v>
      </c>
      <c r="J758" s="6" t="s">
        <v>261</v>
      </c>
      <c r="K758" s="6" t="s">
        <v>6822</v>
      </c>
      <c r="M758" s="6"/>
    </row>
    <row r="759" customFormat="false" ht="15" hidden="false" customHeight="false" outlineLevel="0" collapsed="false">
      <c r="A759" s="6" t="s">
        <v>6823</v>
      </c>
      <c r="B759" s="6" t="s">
        <v>6233</v>
      </c>
      <c r="C759" s="6" t="s">
        <v>5050</v>
      </c>
      <c r="D759" s="6" t="s">
        <v>6214</v>
      </c>
      <c r="E759" s="6" t="s">
        <v>6824</v>
      </c>
      <c r="F759" s="6" t="s">
        <v>6825</v>
      </c>
      <c r="G759" s="19" t="n">
        <v>9.94</v>
      </c>
      <c r="H759" s="6" t="s">
        <v>5105</v>
      </c>
      <c r="I759" s="6" t="s">
        <v>13</v>
      </c>
      <c r="J759" s="6" t="s">
        <v>316</v>
      </c>
      <c r="K759" s="6" t="s">
        <v>6826</v>
      </c>
      <c r="M759" s="6"/>
    </row>
    <row r="760" customFormat="false" ht="15" hidden="false" customHeight="false" outlineLevel="0" collapsed="false">
      <c r="A760" s="6" t="s">
        <v>6827</v>
      </c>
      <c r="B760" s="6" t="s">
        <v>5468</v>
      </c>
      <c r="C760" s="6" t="s">
        <v>5050</v>
      </c>
      <c r="D760" s="6" t="s">
        <v>6214</v>
      </c>
      <c r="E760" s="6" t="s">
        <v>6828</v>
      </c>
      <c r="F760" s="6" t="s">
        <v>6829</v>
      </c>
      <c r="G760" s="9" t="n">
        <v>31018</v>
      </c>
      <c r="H760" s="6" t="s">
        <v>384</v>
      </c>
      <c r="I760" s="6" t="s">
        <v>13</v>
      </c>
      <c r="J760" s="6" t="s">
        <v>218</v>
      </c>
      <c r="K760" s="6" t="s">
        <v>6221</v>
      </c>
      <c r="M760" s="6"/>
    </row>
    <row r="761" customFormat="false" ht="15" hidden="false" customHeight="false" outlineLevel="0" collapsed="false">
      <c r="A761" s="6" t="s">
        <v>6830</v>
      </c>
      <c r="B761" s="6" t="s">
        <v>5049</v>
      </c>
      <c r="C761" s="6" t="s">
        <v>5050</v>
      </c>
      <c r="D761" s="6" t="s">
        <v>6214</v>
      </c>
      <c r="E761" s="6" t="s">
        <v>6828</v>
      </c>
      <c r="F761" s="6" t="s">
        <v>6829</v>
      </c>
      <c r="G761" s="9" t="n">
        <v>101027</v>
      </c>
      <c r="H761" s="6" t="s">
        <v>384</v>
      </c>
      <c r="I761" s="6" t="s">
        <v>13</v>
      </c>
      <c r="J761" s="6" t="s">
        <v>218</v>
      </c>
      <c r="K761" s="6" t="s">
        <v>6221</v>
      </c>
      <c r="M761" s="6"/>
    </row>
    <row r="762" customFormat="false" ht="15" hidden="false" customHeight="false" outlineLevel="0" collapsed="false">
      <c r="A762" s="6" t="s">
        <v>6831</v>
      </c>
      <c r="B762" s="6" t="s">
        <v>5057</v>
      </c>
      <c r="C762" s="6" t="s">
        <v>5050</v>
      </c>
      <c r="D762" s="6" t="s">
        <v>6214</v>
      </c>
      <c r="E762" s="6" t="s">
        <v>6828</v>
      </c>
      <c r="F762" s="6" t="s">
        <v>6829</v>
      </c>
      <c r="G762" s="9" t="n">
        <v>107411</v>
      </c>
      <c r="H762" s="6" t="s">
        <v>384</v>
      </c>
      <c r="I762" s="6" t="s">
        <v>13</v>
      </c>
      <c r="J762" s="6" t="s">
        <v>218</v>
      </c>
      <c r="K762" s="6" t="s">
        <v>6221</v>
      </c>
      <c r="M762" s="6"/>
    </row>
    <row r="763" customFormat="false" ht="15" hidden="false" customHeight="false" outlineLevel="0" collapsed="false">
      <c r="A763" s="6" t="s">
        <v>6832</v>
      </c>
      <c r="B763" s="6" t="s">
        <v>5180</v>
      </c>
      <c r="C763" s="6" t="s">
        <v>5050</v>
      </c>
      <c r="D763" s="6" t="s">
        <v>6214</v>
      </c>
      <c r="E763" s="6" t="s">
        <v>6833</v>
      </c>
      <c r="F763" s="6" t="s">
        <v>6834</v>
      </c>
      <c r="G763" s="19" t="n">
        <v>1.76</v>
      </c>
      <c r="H763" s="6" t="s">
        <v>5307</v>
      </c>
      <c r="I763" s="6" t="s">
        <v>13</v>
      </c>
      <c r="J763" s="6" t="s">
        <v>209</v>
      </c>
      <c r="K763" s="6" t="s">
        <v>6835</v>
      </c>
      <c r="M763" s="6"/>
    </row>
    <row r="764" customFormat="false" ht="15" hidden="false" customHeight="false" outlineLevel="0" collapsed="false">
      <c r="A764" s="6" t="s">
        <v>6836</v>
      </c>
      <c r="B764" s="6" t="s">
        <v>5468</v>
      </c>
      <c r="C764" s="6" t="s">
        <v>5050</v>
      </c>
      <c r="D764" s="6" t="s">
        <v>6214</v>
      </c>
      <c r="E764" s="6" t="s">
        <v>6833</v>
      </c>
      <c r="F764" s="6" t="s">
        <v>6834</v>
      </c>
      <c r="G764" s="19" t="n">
        <v>1.78</v>
      </c>
      <c r="H764" s="6" t="s">
        <v>5307</v>
      </c>
      <c r="I764" s="6" t="s">
        <v>13</v>
      </c>
      <c r="J764" s="6" t="s">
        <v>209</v>
      </c>
      <c r="K764" s="6" t="s">
        <v>6835</v>
      </c>
      <c r="M764" s="6"/>
    </row>
    <row r="765" customFormat="false" ht="15" hidden="false" customHeight="false" outlineLevel="0" collapsed="false">
      <c r="A765" s="6" t="s">
        <v>6837</v>
      </c>
      <c r="B765" s="6" t="s">
        <v>5049</v>
      </c>
      <c r="C765" s="6" t="s">
        <v>5050</v>
      </c>
      <c r="D765" s="6" t="s">
        <v>6214</v>
      </c>
      <c r="E765" s="6" t="s">
        <v>6833</v>
      </c>
      <c r="F765" s="6" t="s">
        <v>6834</v>
      </c>
      <c r="G765" s="19" t="n">
        <v>1.97</v>
      </c>
      <c r="H765" s="6" t="s">
        <v>5307</v>
      </c>
      <c r="I765" s="6" t="s">
        <v>13</v>
      </c>
      <c r="J765" s="6" t="s">
        <v>209</v>
      </c>
      <c r="K765" s="6" t="s">
        <v>6835</v>
      </c>
      <c r="M765" s="6"/>
    </row>
    <row r="766" customFormat="false" ht="15" hidden="false" customHeight="false" outlineLevel="0" collapsed="false">
      <c r="A766" s="6" t="s">
        <v>6838</v>
      </c>
      <c r="B766" s="6" t="s">
        <v>5062</v>
      </c>
      <c r="C766" s="6" t="s">
        <v>5050</v>
      </c>
      <c r="D766" s="6" t="s">
        <v>6214</v>
      </c>
      <c r="E766" s="6" t="s">
        <v>6839</v>
      </c>
      <c r="F766" s="6" t="s">
        <v>6840</v>
      </c>
      <c r="G766" s="19" t="n">
        <v>1.75</v>
      </c>
      <c r="H766" s="6" t="s">
        <v>5307</v>
      </c>
      <c r="I766" s="6" t="s">
        <v>13</v>
      </c>
      <c r="J766" s="6" t="s">
        <v>233</v>
      </c>
      <c r="K766" s="6" t="s">
        <v>6841</v>
      </c>
      <c r="M766" s="6"/>
    </row>
    <row r="767" customFormat="false" ht="15" hidden="false" customHeight="false" outlineLevel="0" collapsed="false">
      <c r="A767" s="6" t="s">
        <v>6842</v>
      </c>
      <c r="B767" s="6" t="s">
        <v>5067</v>
      </c>
      <c r="C767" s="6" t="s">
        <v>5050</v>
      </c>
      <c r="D767" s="6" t="s">
        <v>6214</v>
      </c>
      <c r="E767" s="6" t="s">
        <v>6839</v>
      </c>
      <c r="F767" s="6" t="s">
        <v>6840</v>
      </c>
      <c r="G767" s="19" t="n">
        <v>1.76</v>
      </c>
      <c r="H767" s="6" t="s">
        <v>5307</v>
      </c>
      <c r="I767" s="6" t="s">
        <v>13</v>
      </c>
      <c r="J767" s="6" t="s">
        <v>233</v>
      </c>
      <c r="K767" s="6" t="s">
        <v>6841</v>
      </c>
      <c r="M767" s="6"/>
    </row>
    <row r="768" customFormat="false" ht="15" hidden="false" customHeight="false" outlineLevel="0" collapsed="false">
      <c r="A768" s="6" t="s">
        <v>6843</v>
      </c>
      <c r="B768" s="6" t="s">
        <v>5072</v>
      </c>
      <c r="C768" s="6" t="s">
        <v>5050</v>
      </c>
      <c r="D768" s="6" t="s">
        <v>6214</v>
      </c>
      <c r="E768" s="6" t="s">
        <v>6839</v>
      </c>
      <c r="F768" s="6" t="s">
        <v>6840</v>
      </c>
      <c r="G768" s="19" t="n">
        <v>1.77</v>
      </c>
      <c r="H768" s="6" t="s">
        <v>5307</v>
      </c>
      <c r="I768" s="6" t="s">
        <v>13</v>
      </c>
      <c r="J768" s="6" t="s">
        <v>233</v>
      </c>
      <c r="K768" s="6" t="s">
        <v>6841</v>
      </c>
      <c r="M768" s="6"/>
    </row>
    <row r="769" customFormat="false" ht="15" hidden="false" customHeight="false" outlineLevel="0" collapsed="false">
      <c r="A769" s="6" t="s">
        <v>6844</v>
      </c>
      <c r="B769" s="6" t="s">
        <v>5180</v>
      </c>
      <c r="C769" s="6" t="s">
        <v>5050</v>
      </c>
      <c r="D769" s="6" t="s">
        <v>6214</v>
      </c>
      <c r="E769" s="6" t="s">
        <v>6845</v>
      </c>
      <c r="F769" s="6" t="s">
        <v>6846</v>
      </c>
      <c r="G769" s="9" t="n">
        <v>10058</v>
      </c>
      <c r="H769" s="6" t="s">
        <v>384</v>
      </c>
      <c r="I769" s="6" t="s">
        <v>13</v>
      </c>
      <c r="J769" s="6" t="s">
        <v>209</v>
      </c>
      <c r="K769" s="6" t="s">
        <v>6835</v>
      </c>
      <c r="M769" s="6"/>
    </row>
    <row r="770" customFormat="false" ht="15" hidden="false" customHeight="false" outlineLevel="0" collapsed="false">
      <c r="A770" s="6" t="s">
        <v>6847</v>
      </c>
      <c r="B770" s="6" t="s">
        <v>5468</v>
      </c>
      <c r="C770" s="6" t="s">
        <v>5050</v>
      </c>
      <c r="D770" s="6" t="s">
        <v>6214</v>
      </c>
      <c r="E770" s="6" t="s">
        <v>6845</v>
      </c>
      <c r="F770" s="6" t="s">
        <v>6846</v>
      </c>
      <c r="G770" s="9" t="n">
        <v>31018</v>
      </c>
      <c r="H770" s="6" t="s">
        <v>384</v>
      </c>
      <c r="I770" s="6" t="s">
        <v>13</v>
      </c>
      <c r="J770" s="6" t="s">
        <v>209</v>
      </c>
      <c r="K770" s="6" t="s">
        <v>6835</v>
      </c>
      <c r="M770" s="6"/>
    </row>
    <row r="771" customFormat="false" ht="15" hidden="false" customHeight="false" outlineLevel="0" collapsed="false">
      <c r="A771" s="6" t="s">
        <v>6848</v>
      </c>
      <c r="B771" s="6" t="s">
        <v>5049</v>
      </c>
      <c r="C771" s="6" t="s">
        <v>5050</v>
      </c>
      <c r="D771" s="6" t="s">
        <v>6214</v>
      </c>
      <c r="E771" s="6" t="s">
        <v>6845</v>
      </c>
      <c r="F771" s="6" t="s">
        <v>6846</v>
      </c>
      <c r="G771" s="9" t="n">
        <v>101027</v>
      </c>
      <c r="H771" s="6" t="s">
        <v>384</v>
      </c>
      <c r="I771" s="6" t="s">
        <v>13</v>
      </c>
      <c r="J771" s="6" t="s">
        <v>209</v>
      </c>
      <c r="K771" s="6" t="s">
        <v>6835</v>
      </c>
      <c r="M771" s="6"/>
    </row>
    <row r="772" customFormat="false" ht="15" hidden="false" customHeight="false" outlineLevel="0" collapsed="false">
      <c r="A772" s="6" t="s">
        <v>6849</v>
      </c>
      <c r="B772" s="6" t="s">
        <v>5049</v>
      </c>
      <c r="C772" s="6" t="s">
        <v>5050</v>
      </c>
      <c r="D772" s="6" t="s">
        <v>6214</v>
      </c>
      <c r="E772" s="6" t="s">
        <v>6850</v>
      </c>
      <c r="F772" s="6" t="s">
        <v>6851</v>
      </c>
      <c r="G772" s="9" t="n">
        <v>101027</v>
      </c>
      <c r="H772" s="6" t="s">
        <v>384</v>
      </c>
      <c r="I772" s="6" t="s">
        <v>13</v>
      </c>
      <c r="J772" s="6" t="s">
        <v>223</v>
      </c>
      <c r="K772" s="6" t="s">
        <v>6688</v>
      </c>
      <c r="M772" s="6"/>
    </row>
    <row r="773" customFormat="false" ht="15" hidden="false" customHeight="false" outlineLevel="0" collapsed="false">
      <c r="A773" s="6" t="s">
        <v>6852</v>
      </c>
      <c r="B773" s="6" t="s">
        <v>5057</v>
      </c>
      <c r="C773" s="6" t="s">
        <v>5050</v>
      </c>
      <c r="D773" s="6" t="s">
        <v>6214</v>
      </c>
      <c r="E773" s="6" t="s">
        <v>6850</v>
      </c>
      <c r="F773" s="6" t="s">
        <v>6851</v>
      </c>
      <c r="G773" s="9" t="n">
        <v>107411</v>
      </c>
      <c r="H773" s="6" t="s">
        <v>384</v>
      </c>
      <c r="I773" s="6" t="s">
        <v>13</v>
      </c>
      <c r="J773" s="6" t="s">
        <v>223</v>
      </c>
      <c r="K773" s="6" t="s">
        <v>6688</v>
      </c>
      <c r="M773" s="6"/>
    </row>
    <row r="774" customFormat="false" ht="15" hidden="false" customHeight="false" outlineLevel="0" collapsed="false">
      <c r="A774" s="6" t="s">
        <v>6853</v>
      </c>
      <c r="B774" s="6" t="s">
        <v>5062</v>
      </c>
      <c r="C774" s="6" t="s">
        <v>5050</v>
      </c>
      <c r="D774" s="6" t="s">
        <v>6214</v>
      </c>
      <c r="E774" s="6" t="s">
        <v>6850</v>
      </c>
      <c r="F774" s="6" t="s">
        <v>6851</v>
      </c>
      <c r="G774" s="9" t="n">
        <v>118311</v>
      </c>
      <c r="H774" s="6" t="s">
        <v>384</v>
      </c>
      <c r="I774" s="6" t="s">
        <v>13</v>
      </c>
      <c r="J774" s="6" t="s">
        <v>223</v>
      </c>
      <c r="K774" s="6" t="s">
        <v>6688</v>
      </c>
      <c r="M774" s="6"/>
    </row>
    <row r="775" customFormat="false" ht="15" hidden="false" customHeight="false" outlineLevel="0" collapsed="false">
      <c r="A775" s="6" t="s">
        <v>6854</v>
      </c>
      <c r="B775" s="6" t="s">
        <v>5062</v>
      </c>
      <c r="C775" s="6" t="s">
        <v>5050</v>
      </c>
      <c r="D775" s="6" t="s">
        <v>6214</v>
      </c>
      <c r="E775" s="6" t="s">
        <v>6850</v>
      </c>
      <c r="F775" s="6" t="s">
        <v>6855</v>
      </c>
      <c r="G775" s="9" t="n">
        <v>118311</v>
      </c>
      <c r="H775" s="6" t="s">
        <v>384</v>
      </c>
      <c r="I775" s="6" t="s">
        <v>13</v>
      </c>
      <c r="J775" s="6" t="s">
        <v>233</v>
      </c>
      <c r="K775" s="6" t="s">
        <v>6841</v>
      </c>
      <c r="M775" s="6"/>
    </row>
    <row r="776" customFormat="false" ht="15" hidden="false" customHeight="false" outlineLevel="0" collapsed="false">
      <c r="A776" s="6" t="s">
        <v>6856</v>
      </c>
      <c r="B776" s="6" t="s">
        <v>5067</v>
      </c>
      <c r="C776" s="6" t="s">
        <v>5050</v>
      </c>
      <c r="D776" s="6" t="s">
        <v>6214</v>
      </c>
      <c r="E776" s="6" t="s">
        <v>6850</v>
      </c>
      <c r="F776" s="6" t="s">
        <v>6855</v>
      </c>
      <c r="G776" s="9" t="n">
        <v>146335</v>
      </c>
      <c r="H776" s="6" t="s">
        <v>384</v>
      </c>
      <c r="I776" s="6" t="s">
        <v>13</v>
      </c>
      <c r="J776" s="6" t="s">
        <v>233</v>
      </c>
      <c r="K776" s="6" t="s">
        <v>6841</v>
      </c>
      <c r="M776" s="6"/>
    </row>
    <row r="777" customFormat="false" ht="15" hidden="false" customHeight="false" outlineLevel="0" collapsed="false">
      <c r="A777" s="6" t="s">
        <v>6857</v>
      </c>
      <c r="B777" s="6" t="s">
        <v>5072</v>
      </c>
      <c r="C777" s="6" t="s">
        <v>5050</v>
      </c>
      <c r="D777" s="6" t="s">
        <v>6214</v>
      </c>
      <c r="E777" s="6" t="s">
        <v>6850</v>
      </c>
      <c r="F777" s="6" t="s">
        <v>6855</v>
      </c>
      <c r="G777" s="9" t="n">
        <v>170313</v>
      </c>
      <c r="H777" s="6" t="s">
        <v>384</v>
      </c>
      <c r="I777" s="6" t="s">
        <v>13</v>
      </c>
      <c r="J777" s="6" t="s">
        <v>233</v>
      </c>
      <c r="K777" s="6" t="s">
        <v>6841</v>
      </c>
      <c r="M777" s="6"/>
    </row>
    <row r="778" customFormat="false" ht="15" hidden="false" customHeight="false" outlineLevel="0" collapsed="false">
      <c r="A778" s="6" t="s">
        <v>6858</v>
      </c>
      <c r="B778" s="6" t="s">
        <v>5057</v>
      </c>
      <c r="C778" s="6" t="s">
        <v>5050</v>
      </c>
      <c r="D778" s="6" t="s">
        <v>6214</v>
      </c>
      <c r="E778" s="6" t="s">
        <v>6859</v>
      </c>
      <c r="F778" s="6" t="s">
        <v>6860</v>
      </c>
      <c r="G778" s="9" t="n">
        <v>107411</v>
      </c>
      <c r="H778" s="6" t="s">
        <v>384</v>
      </c>
      <c r="I778" s="6" t="s">
        <v>13</v>
      </c>
      <c r="J778" s="6" t="s">
        <v>228</v>
      </c>
      <c r="K778" s="6" t="s">
        <v>6217</v>
      </c>
      <c r="M778" s="6"/>
    </row>
    <row r="779" customFormat="false" ht="15" hidden="false" customHeight="false" outlineLevel="0" collapsed="false">
      <c r="A779" s="6" t="s">
        <v>6861</v>
      </c>
      <c r="B779" s="6" t="s">
        <v>5381</v>
      </c>
      <c r="C779" s="6" t="s">
        <v>5050</v>
      </c>
      <c r="D779" s="6" t="s">
        <v>6214</v>
      </c>
      <c r="E779" s="6" t="s">
        <v>6859</v>
      </c>
      <c r="F779" s="6" t="s">
        <v>6862</v>
      </c>
      <c r="G779" s="9" t="n">
        <v>132470</v>
      </c>
      <c r="H779" s="6" t="s">
        <v>384</v>
      </c>
      <c r="I779" s="6" t="s">
        <v>13</v>
      </c>
      <c r="J779" s="6" t="s">
        <v>238</v>
      </c>
      <c r="K779" s="6" t="s">
        <v>6863</v>
      </c>
      <c r="M779" s="6" t="s">
        <v>6864</v>
      </c>
    </row>
    <row r="780" customFormat="false" ht="15" hidden="false" customHeight="false" outlineLevel="0" collapsed="false">
      <c r="A780" s="6" t="s">
        <v>6865</v>
      </c>
      <c r="B780" s="6" t="s">
        <v>5062</v>
      </c>
      <c r="C780" s="6" t="s">
        <v>5050</v>
      </c>
      <c r="D780" s="6" t="s">
        <v>6214</v>
      </c>
      <c r="E780" s="6" t="s">
        <v>6859</v>
      </c>
      <c r="F780" s="6" t="s">
        <v>6860</v>
      </c>
      <c r="G780" s="9" t="n">
        <v>118311</v>
      </c>
      <c r="H780" s="6" t="s">
        <v>384</v>
      </c>
      <c r="I780" s="6" t="s">
        <v>13</v>
      </c>
      <c r="J780" s="6" t="s">
        <v>228</v>
      </c>
      <c r="K780" s="6" t="s">
        <v>6217</v>
      </c>
      <c r="M780" s="6"/>
    </row>
    <row r="781" customFormat="false" ht="15" hidden="false" customHeight="false" outlineLevel="0" collapsed="false">
      <c r="A781" s="6" t="s">
        <v>6866</v>
      </c>
      <c r="B781" s="6" t="s">
        <v>5239</v>
      </c>
      <c r="C781" s="6" t="s">
        <v>5050</v>
      </c>
      <c r="D781" s="6" t="s">
        <v>6214</v>
      </c>
      <c r="E781" s="6" t="s">
        <v>6859</v>
      </c>
      <c r="F781" s="6" t="s">
        <v>6867</v>
      </c>
      <c r="G781" s="9" t="n">
        <v>173557</v>
      </c>
      <c r="H781" s="6" t="s">
        <v>384</v>
      </c>
      <c r="I781" s="6" t="s">
        <v>13</v>
      </c>
      <c r="J781" s="6" t="s">
        <v>238</v>
      </c>
      <c r="K781" s="6" t="s">
        <v>6863</v>
      </c>
      <c r="M781" s="6" t="s">
        <v>6868</v>
      </c>
    </row>
    <row r="782" customFormat="false" ht="15" hidden="false" customHeight="false" outlineLevel="0" collapsed="false">
      <c r="A782" s="6" t="s">
        <v>6869</v>
      </c>
      <c r="B782" s="6" t="s">
        <v>5067</v>
      </c>
      <c r="C782" s="6" t="s">
        <v>5050</v>
      </c>
      <c r="D782" s="6" t="s">
        <v>6214</v>
      </c>
      <c r="E782" s="6" t="s">
        <v>6859</v>
      </c>
      <c r="F782" s="6" t="s">
        <v>6860</v>
      </c>
      <c r="G782" s="9" t="n">
        <v>146335</v>
      </c>
      <c r="H782" s="6" t="s">
        <v>384</v>
      </c>
      <c r="I782" s="6" t="s">
        <v>13</v>
      </c>
      <c r="J782" s="6" t="s">
        <v>228</v>
      </c>
      <c r="K782" s="6" t="s">
        <v>6217</v>
      </c>
      <c r="M782" s="6"/>
    </row>
    <row r="783" customFormat="false" ht="15" hidden="false" customHeight="false" outlineLevel="0" collapsed="false">
      <c r="A783" s="6" t="s">
        <v>6870</v>
      </c>
      <c r="B783" s="6" t="s">
        <v>5245</v>
      </c>
      <c r="C783" s="6" t="s">
        <v>5050</v>
      </c>
      <c r="D783" s="6" t="s">
        <v>6214</v>
      </c>
      <c r="E783" s="6" t="s">
        <v>6859</v>
      </c>
      <c r="F783" s="6" t="s">
        <v>6871</v>
      </c>
      <c r="G783" s="9" t="n">
        <v>241268</v>
      </c>
      <c r="H783" s="6" t="s">
        <v>384</v>
      </c>
      <c r="I783" s="6" t="s">
        <v>13</v>
      </c>
      <c r="J783" s="6" t="s">
        <v>253</v>
      </c>
      <c r="K783" s="6" t="s">
        <v>6872</v>
      </c>
      <c r="M783" s="6" t="s">
        <v>6873</v>
      </c>
    </row>
    <row r="784" customFormat="false" ht="15" hidden="false" customHeight="false" outlineLevel="0" collapsed="false">
      <c r="A784" s="6" t="s">
        <v>6874</v>
      </c>
      <c r="B784" s="6" t="s">
        <v>5249</v>
      </c>
      <c r="C784" s="6" t="s">
        <v>5050</v>
      </c>
      <c r="D784" s="6" t="s">
        <v>6214</v>
      </c>
      <c r="E784" s="6" t="s">
        <v>6859</v>
      </c>
      <c r="F784" s="6" t="s">
        <v>6875</v>
      </c>
      <c r="G784" s="9" t="n">
        <v>204008</v>
      </c>
      <c r="H784" s="6" t="s">
        <v>384</v>
      </c>
      <c r="I784" s="6" t="s">
        <v>13</v>
      </c>
      <c r="J784" s="6" t="s">
        <v>261</v>
      </c>
      <c r="K784" s="6" t="s">
        <v>6876</v>
      </c>
      <c r="M784" s="6" t="s">
        <v>6877</v>
      </c>
    </row>
    <row r="785" customFormat="false" ht="15" hidden="false" customHeight="false" outlineLevel="0" collapsed="false">
      <c r="A785" s="6" t="s">
        <v>6878</v>
      </c>
      <c r="B785" s="6" t="s">
        <v>6233</v>
      </c>
      <c r="C785" s="6" t="s">
        <v>6234</v>
      </c>
      <c r="D785" s="6" t="s">
        <v>6214</v>
      </c>
      <c r="E785" s="6" t="s">
        <v>6879</v>
      </c>
      <c r="F785" s="6" t="s">
        <v>6880</v>
      </c>
      <c r="G785" s="12" t="n">
        <v>19667</v>
      </c>
      <c r="H785" s="6" t="s">
        <v>3739</v>
      </c>
      <c r="I785" s="6" t="s">
        <v>13</v>
      </c>
      <c r="J785" s="6" t="s">
        <v>316</v>
      </c>
      <c r="K785" s="6" t="s">
        <v>6881</v>
      </c>
      <c r="M785" s="6"/>
    </row>
    <row r="786" customFormat="false" ht="15" hidden="false" customHeight="false" outlineLevel="0" collapsed="false">
      <c r="A786" s="6" t="s">
        <v>6882</v>
      </c>
      <c r="B786" s="6" t="s">
        <v>5062</v>
      </c>
      <c r="C786" s="6" t="s">
        <v>5050</v>
      </c>
      <c r="D786" s="6" t="s">
        <v>6214</v>
      </c>
      <c r="E786" s="6" t="s">
        <v>6883</v>
      </c>
      <c r="F786" s="6" t="s">
        <v>6884</v>
      </c>
      <c r="G786" s="19" t="n">
        <v>1.8</v>
      </c>
      <c r="H786" s="6" t="s">
        <v>5307</v>
      </c>
      <c r="I786" s="6" t="s">
        <v>13</v>
      </c>
      <c r="J786" s="6" t="s">
        <v>233</v>
      </c>
      <c r="K786" s="6" t="s">
        <v>6841</v>
      </c>
      <c r="M786" s="6"/>
    </row>
    <row r="787" customFormat="false" ht="15" hidden="false" customHeight="false" outlineLevel="0" collapsed="false">
      <c r="A787" s="6" t="s">
        <v>6885</v>
      </c>
      <c r="B787" s="6" t="s">
        <v>5067</v>
      </c>
      <c r="C787" s="6" t="s">
        <v>5050</v>
      </c>
      <c r="D787" s="6" t="s">
        <v>6214</v>
      </c>
      <c r="E787" s="6" t="s">
        <v>6883</v>
      </c>
      <c r="F787" s="6" t="s">
        <v>6884</v>
      </c>
      <c r="G787" s="19" t="n">
        <v>1.77</v>
      </c>
      <c r="H787" s="6" t="s">
        <v>5307</v>
      </c>
      <c r="I787" s="6" t="s">
        <v>13</v>
      </c>
      <c r="J787" s="6" t="s">
        <v>233</v>
      </c>
      <c r="K787" s="6" t="s">
        <v>6841</v>
      </c>
      <c r="M787" s="6"/>
    </row>
    <row r="788" customFormat="false" ht="15" hidden="false" customHeight="false" outlineLevel="0" collapsed="false">
      <c r="A788" s="6" t="s">
        <v>6886</v>
      </c>
      <c r="B788" s="6" t="s">
        <v>5072</v>
      </c>
      <c r="C788" s="6" t="s">
        <v>5050</v>
      </c>
      <c r="D788" s="6" t="s">
        <v>6214</v>
      </c>
      <c r="E788" s="6" t="s">
        <v>6883</v>
      </c>
      <c r="F788" s="6" t="s">
        <v>6884</v>
      </c>
      <c r="G788" s="19" t="n">
        <v>1.77</v>
      </c>
      <c r="H788" s="6" t="s">
        <v>5307</v>
      </c>
      <c r="I788" s="6" t="s">
        <v>13</v>
      </c>
      <c r="J788" s="6" t="s">
        <v>233</v>
      </c>
      <c r="K788" s="6" t="s">
        <v>6841</v>
      </c>
      <c r="M788" s="6"/>
    </row>
    <row r="789" customFormat="false" ht="15" hidden="false" customHeight="false" outlineLevel="0" collapsed="false">
      <c r="A789" s="6" t="s">
        <v>6887</v>
      </c>
      <c r="B789" s="6" t="s">
        <v>5049</v>
      </c>
      <c r="C789" s="6" t="s">
        <v>5050</v>
      </c>
      <c r="D789" s="6" t="s">
        <v>6214</v>
      </c>
      <c r="E789" s="6" t="s">
        <v>6888</v>
      </c>
      <c r="F789" s="6" t="s">
        <v>6889</v>
      </c>
      <c r="G789" s="9" t="n">
        <v>22821</v>
      </c>
      <c r="H789" s="6" t="s">
        <v>384</v>
      </c>
      <c r="I789" s="6" t="s">
        <v>13</v>
      </c>
      <c r="J789" s="6" t="s">
        <v>209</v>
      </c>
      <c r="K789" s="6" t="s">
        <v>6835</v>
      </c>
      <c r="M789" s="6" t="s">
        <v>6890</v>
      </c>
    </row>
    <row r="790" customFormat="false" ht="15" hidden="false" customHeight="false" outlineLevel="0" collapsed="false">
      <c r="A790" s="6" t="s">
        <v>6891</v>
      </c>
      <c r="B790" s="6" t="s">
        <v>5049</v>
      </c>
      <c r="C790" s="6" t="s">
        <v>5050</v>
      </c>
      <c r="D790" s="6" t="s">
        <v>6214</v>
      </c>
      <c r="E790" s="6" t="s">
        <v>6888</v>
      </c>
      <c r="F790" s="6" t="s">
        <v>6892</v>
      </c>
      <c r="G790" s="9" t="n">
        <v>22821</v>
      </c>
      <c r="H790" s="6" t="s">
        <v>384</v>
      </c>
      <c r="I790" s="6" t="s">
        <v>13</v>
      </c>
      <c r="J790" s="6" t="s">
        <v>218</v>
      </c>
      <c r="K790" s="6" t="s">
        <v>6893</v>
      </c>
      <c r="M790" s="6"/>
    </row>
    <row r="791" customFormat="false" ht="15" hidden="false" customHeight="false" outlineLevel="0" collapsed="false">
      <c r="A791" s="6" t="s">
        <v>6894</v>
      </c>
      <c r="B791" s="6" t="s">
        <v>5049</v>
      </c>
      <c r="C791" s="6" t="s">
        <v>5050</v>
      </c>
      <c r="D791" s="6" t="s">
        <v>6214</v>
      </c>
      <c r="E791" s="6" t="s">
        <v>6888</v>
      </c>
      <c r="F791" s="6" t="s">
        <v>6895</v>
      </c>
      <c r="G791" s="9" t="n">
        <v>22821</v>
      </c>
      <c r="H791" s="6" t="s">
        <v>384</v>
      </c>
      <c r="I791" s="6" t="s">
        <v>13</v>
      </c>
      <c r="J791" s="6" t="s">
        <v>223</v>
      </c>
      <c r="K791" s="6" t="s">
        <v>6446</v>
      </c>
      <c r="M791" s="6"/>
    </row>
    <row r="792" customFormat="false" ht="15" hidden="false" customHeight="false" outlineLevel="0" collapsed="false">
      <c r="A792" s="6" t="s">
        <v>6896</v>
      </c>
      <c r="B792" s="6" t="s">
        <v>5057</v>
      </c>
      <c r="C792" s="6" t="s">
        <v>5050</v>
      </c>
      <c r="D792" s="6" t="s">
        <v>6214</v>
      </c>
      <c r="E792" s="6" t="s">
        <v>6888</v>
      </c>
      <c r="F792" s="6" t="s">
        <v>6892</v>
      </c>
      <c r="G792" s="9" t="n">
        <v>64458</v>
      </c>
      <c r="H792" s="6" t="s">
        <v>384</v>
      </c>
      <c r="I792" s="6" t="s">
        <v>13</v>
      </c>
      <c r="J792" s="6" t="s">
        <v>218</v>
      </c>
      <c r="K792" s="6" t="s">
        <v>6893</v>
      </c>
      <c r="M792" s="6"/>
    </row>
    <row r="793" customFormat="false" ht="15" hidden="false" customHeight="false" outlineLevel="0" collapsed="false">
      <c r="A793" s="6" t="s">
        <v>6897</v>
      </c>
      <c r="B793" s="6" t="s">
        <v>5057</v>
      </c>
      <c r="C793" s="6" t="s">
        <v>5050</v>
      </c>
      <c r="D793" s="6" t="s">
        <v>6214</v>
      </c>
      <c r="E793" s="6" t="s">
        <v>6888</v>
      </c>
      <c r="F793" s="6" t="s">
        <v>6895</v>
      </c>
      <c r="G793" s="9" t="n">
        <v>64458</v>
      </c>
      <c r="H793" s="6" t="s">
        <v>384</v>
      </c>
      <c r="I793" s="6" t="s">
        <v>13</v>
      </c>
      <c r="J793" s="6" t="s">
        <v>223</v>
      </c>
      <c r="K793" s="6" t="s">
        <v>6446</v>
      </c>
      <c r="M793" s="6"/>
    </row>
    <row r="794" customFormat="false" ht="15" hidden="false" customHeight="false" outlineLevel="0" collapsed="false">
      <c r="A794" s="6" t="s">
        <v>6898</v>
      </c>
      <c r="B794" s="6" t="s">
        <v>5057</v>
      </c>
      <c r="C794" s="6" t="s">
        <v>5050</v>
      </c>
      <c r="D794" s="6" t="s">
        <v>6214</v>
      </c>
      <c r="E794" s="6" t="s">
        <v>6888</v>
      </c>
      <c r="F794" s="6" t="s">
        <v>6899</v>
      </c>
      <c r="G794" s="9" t="n">
        <v>64458</v>
      </c>
      <c r="H794" s="6" t="s">
        <v>384</v>
      </c>
      <c r="I794" s="6" t="s">
        <v>13</v>
      </c>
      <c r="J794" s="6" t="s">
        <v>228</v>
      </c>
      <c r="K794" s="6" t="s">
        <v>6900</v>
      </c>
      <c r="M794" s="6"/>
    </row>
    <row r="795" customFormat="false" ht="15" hidden="false" customHeight="false" outlineLevel="0" collapsed="false">
      <c r="A795" s="6" t="s">
        <v>6901</v>
      </c>
      <c r="B795" s="6" t="s">
        <v>5381</v>
      </c>
      <c r="C795" s="6" t="s">
        <v>5050</v>
      </c>
      <c r="D795" s="6" t="s">
        <v>6214</v>
      </c>
      <c r="E795" s="6" t="s">
        <v>6888</v>
      </c>
      <c r="F795" s="6" t="s">
        <v>6902</v>
      </c>
      <c r="G795" s="9" t="n">
        <v>94770</v>
      </c>
      <c r="H795" s="6" t="s">
        <v>384</v>
      </c>
      <c r="I795" s="6" t="s">
        <v>13</v>
      </c>
      <c r="J795" s="6" t="s">
        <v>238</v>
      </c>
      <c r="K795" s="6" t="s">
        <v>6863</v>
      </c>
      <c r="M795" s="6" t="s">
        <v>6903</v>
      </c>
    </row>
    <row r="796" customFormat="false" ht="15" hidden="false" customHeight="false" outlineLevel="0" collapsed="false">
      <c r="A796" s="6" t="s">
        <v>6904</v>
      </c>
      <c r="B796" s="6" t="s">
        <v>5062</v>
      </c>
      <c r="C796" s="6" t="s">
        <v>5050</v>
      </c>
      <c r="D796" s="6" t="s">
        <v>6214</v>
      </c>
      <c r="E796" s="6" t="s">
        <v>6888</v>
      </c>
      <c r="F796" s="6" t="s">
        <v>6895</v>
      </c>
      <c r="G796" s="9" t="n">
        <v>96112</v>
      </c>
      <c r="H796" s="6" t="s">
        <v>384</v>
      </c>
      <c r="I796" s="6" t="s">
        <v>13</v>
      </c>
      <c r="J796" s="6" t="s">
        <v>223</v>
      </c>
      <c r="K796" s="6" t="s">
        <v>6446</v>
      </c>
      <c r="M796" s="6"/>
    </row>
    <row r="797" customFormat="false" ht="15" hidden="false" customHeight="false" outlineLevel="0" collapsed="false">
      <c r="A797" s="6" t="s">
        <v>6905</v>
      </c>
      <c r="B797" s="6" t="s">
        <v>5062</v>
      </c>
      <c r="C797" s="6" t="s">
        <v>5050</v>
      </c>
      <c r="D797" s="6" t="s">
        <v>6214</v>
      </c>
      <c r="E797" s="6" t="s">
        <v>6888</v>
      </c>
      <c r="F797" s="6" t="s">
        <v>6899</v>
      </c>
      <c r="G797" s="9" t="n">
        <v>96112</v>
      </c>
      <c r="H797" s="6" t="s">
        <v>384</v>
      </c>
      <c r="I797" s="6" t="s">
        <v>13</v>
      </c>
      <c r="J797" s="6" t="s">
        <v>228</v>
      </c>
      <c r="K797" s="6" t="s">
        <v>6900</v>
      </c>
      <c r="M797" s="6"/>
    </row>
    <row r="798" customFormat="false" ht="15" hidden="false" customHeight="false" outlineLevel="0" collapsed="false">
      <c r="A798" s="6" t="s">
        <v>6906</v>
      </c>
      <c r="B798" s="6" t="s">
        <v>5062</v>
      </c>
      <c r="C798" s="6" t="s">
        <v>5050</v>
      </c>
      <c r="D798" s="6" t="s">
        <v>6214</v>
      </c>
      <c r="E798" s="6" t="s">
        <v>6888</v>
      </c>
      <c r="F798" s="6" t="s">
        <v>6907</v>
      </c>
      <c r="G798" s="9" t="n">
        <v>96112</v>
      </c>
      <c r="H798" s="6" t="s">
        <v>384</v>
      </c>
      <c r="I798" s="6" t="s">
        <v>13</v>
      </c>
      <c r="J798" s="6" t="s">
        <v>233</v>
      </c>
      <c r="K798" s="6" t="s">
        <v>6841</v>
      </c>
      <c r="M798" s="6"/>
    </row>
    <row r="799" customFormat="false" ht="15" hidden="false" customHeight="false" outlineLevel="0" collapsed="false">
      <c r="A799" s="6" t="s">
        <v>6908</v>
      </c>
      <c r="B799" s="6" t="s">
        <v>5239</v>
      </c>
      <c r="C799" s="6" t="s">
        <v>5050</v>
      </c>
      <c r="D799" s="6" t="s">
        <v>6214</v>
      </c>
      <c r="E799" s="6" t="s">
        <v>6888</v>
      </c>
      <c r="F799" s="6" t="s">
        <v>6909</v>
      </c>
      <c r="G799" s="9" t="n">
        <v>156611</v>
      </c>
      <c r="H799" s="6" t="s">
        <v>384</v>
      </c>
      <c r="I799" s="6" t="s">
        <v>13</v>
      </c>
      <c r="J799" s="6" t="s">
        <v>238</v>
      </c>
      <c r="K799" s="6" t="s">
        <v>6863</v>
      </c>
      <c r="M799" s="6" t="s">
        <v>6910</v>
      </c>
    </row>
    <row r="800" customFormat="false" ht="15" hidden="false" customHeight="false" outlineLevel="0" collapsed="false">
      <c r="A800" s="6" t="s">
        <v>6911</v>
      </c>
      <c r="B800" s="6" t="s">
        <v>5067</v>
      </c>
      <c r="C800" s="6" t="s">
        <v>5050</v>
      </c>
      <c r="D800" s="6" t="s">
        <v>6214</v>
      </c>
      <c r="E800" s="6" t="s">
        <v>6888</v>
      </c>
      <c r="F800" s="6" t="s">
        <v>6899</v>
      </c>
      <c r="G800" s="9" t="n">
        <v>137265</v>
      </c>
      <c r="H800" s="6" t="s">
        <v>384</v>
      </c>
      <c r="I800" s="6" t="s">
        <v>13</v>
      </c>
      <c r="J800" s="6" t="s">
        <v>228</v>
      </c>
      <c r="K800" s="6" t="s">
        <v>6900</v>
      </c>
      <c r="M800" s="6"/>
    </row>
    <row r="801" customFormat="false" ht="15" hidden="false" customHeight="false" outlineLevel="0" collapsed="false">
      <c r="A801" s="6" t="s">
        <v>6912</v>
      </c>
      <c r="B801" s="6" t="s">
        <v>5067</v>
      </c>
      <c r="C801" s="6" t="s">
        <v>5050</v>
      </c>
      <c r="D801" s="6" t="s">
        <v>6214</v>
      </c>
      <c r="E801" s="6" t="s">
        <v>6888</v>
      </c>
      <c r="F801" s="6" t="s">
        <v>6907</v>
      </c>
      <c r="G801" s="9" t="n">
        <v>137265</v>
      </c>
      <c r="H801" s="6" t="s">
        <v>384</v>
      </c>
      <c r="I801" s="6" t="s">
        <v>13</v>
      </c>
      <c r="J801" s="6" t="s">
        <v>233</v>
      </c>
      <c r="K801" s="6" t="s">
        <v>6841</v>
      </c>
      <c r="M801" s="6"/>
    </row>
    <row r="802" customFormat="false" ht="15" hidden="false" customHeight="false" outlineLevel="0" collapsed="false">
      <c r="A802" s="6" t="s">
        <v>6913</v>
      </c>
      <c r="B802" s="6" t="s">
        <v>5245</v>
      </c>
      <c r="C802" s="6" t="s">
        <v>5050</v>
      </c>
      <c r="D802" s="6" t="s">
        <v>6214</v>
      </c>
      <c r="E802" s="6" t="s">
        <v>6888</v>
      </c>
      <c r="F802" s="6" t="s">
        <v>6914</v>
      </c>
      <c r="G802" s="9" t="n">
        <v>230702</v>
      </c>
      <c r="H802" s="6" t="s">
        <v>384</v>
      </c>
      <c r="I802" s="6" t="s">
        <v>13</v>
      </c>
      <c r="J802" s="6" t="s">
        <v>253</v>
      </c>
      <c r="K802" s="6" t="s">
        <v>6872</v>
      </c>
      <c r="M802" s="6" t="s">
        <v>6915</v>
      </c>
    </row>
    <row r="803" customFormat="false" ht="15" hidden="false" customHeight="false" outlineLevel="0" collapsed="false">
      <c r="A803" s="6" t="s">
        <v>6916</v>
      </c>
      <c r="B803" s="6" t="s">
        <v>5072</v>
      </c>
      <c r="C803" s="6" t="s">
        <v>5050</v>
      </c>
      <c r="D803" s="6" t="s">
        <v>6214</v>
      </c>
      <c r="E803" s="6" t="s">
        <v>6888</v>
      </c>
      <c r="F803" s="6" t="s">
        <v>6907</v>
      </c>
      <c r="G803" s="9" t="n">
        <v>164201</v>
      </c>
      <c r="H803" s="6" t="s">
        <v>384</v>
      </c>
      <c r="I803" s="6" t="s">
        <v>13</v>
      </c>
      <c r="J803" s="6" t="s">
        <v>233</v>
      </c>
      <c r="K803" s="6" t="s">
        <v>6841</v>
      </c>
      <c r="M803" s="6"/>
    </row>
    <row r="804" customFormat="false" ht="15" hidden="false" customHeight="false" outlineLevel="0" collapsed="false">
      <c r="A804" s="6" t="s">
        <v>6917</v>
      </c>
      <c r="B804" s="6" t="s">
        <v>5249</v>
      </c>
      <c r="C804" s="6" t="s">
        <v>5050</v>
      </c>
      <c r="D804" s="6" t="s">
        <v>6214</v>
      </c>
      <c r="E804" s="6" t="s">
        <v>6888</v>
      </c>
      <c r="F804" s="6" t="s">
        <v>6918</v>
      </c>
      <c r="G804" s="9" t="n">
        <v>194798</v>
      </c>
      <c r="H804" s="6" t="s">
        <v>384</v>
      </c>
      <c r="I804" s="6" t="s">
        <v>13</v>
      </c>
      <c r="J804" s="6" t="s">
        <v>261</v>
      </c>
      <c r="K804" s="6" t="s">
        <v>6876</v>
      </c>
      <c r="M804" s="6" t="s">
        <v>6877</v>
      </c>
    </row>
    <row r="805" customFormat="false" ht="15" hidden="false" customHeight="false" outlineLevel="0" collapsed="false">
      <c r="A805" s="6" t="s">
        <v>6919</v>
      </c>
      <c r="B805" s="6" t="s">
        <v>5239</v>
      </c>
      <c r="C805" s="6" t="s">
        <v>5050</v>
      </c>
      <c r="D805" s="6" t="s">
        <v>6214</v>
      </c>
      <c r="E805" s="6" t="s">
        <v>6920</v>
      </c>
      <c r="F805" s="6" t="s">
        <v>6921</v>
      </c>
      <c r="G805" s="12" t="n">
        <v>1532454</v>
      </c>
      <c r="H805" s="6" t="s">
        <v>3739</v>
      </c>
      <c r="I805" s="6" t="s">
        <v>13</v>
      </c>
      <c r="J805" s="6" t="s">
        <v>238</v>
      </c>
      <c r="K805" s="6" t="s">
        <v>6457</v>
      </c>
      <c r="M805" s="6" t="s">
        <v>6922</v>
      </c>
    </row>
    <row r="806" customFormat="false" ht="15" hidden="false" customHeight="false" outlineLevel="0" collapsed="false">
      <c r="A806" s="6" t="s">
        <v>6923</v>
      </c>
      <c r="B806" s="6" t="s">
        <v>5245</v>
      </c>
      <c r="C806" s="6" t="s">
        <v>5050</v>
      </c>
      <c r="D806" s="6" t="s">
        <v>6214</v>
      </c>
      <c r="E806" s="6" t="s">
        <v>6920</v>
      </c>
      <c r="F806" s="6" t="s">
        <v>6924</v>
      </c>
      <c r="G806" s="12" t="n">
        <v>1671239</v>
      </c>
      <c r="H806" s="6" t="s">
        <v>3739</v>
      </c>
      <c r="I806" s="6" t="s">
        <v>13</v>
      </c>
      <c r="J806" s="6" t="s">
        <v>253</v>
      </c>
      <c r="K806" s="6" t="s">
        <v>6461</v>
      </c>
      <c r="M806" s="6"/>
    </row>
    <row r="807" customFormat="false" ht="15" hidden="false" customHeight="false" outlineLevel="0" collapsed="false">
      <c r="A807" s="6" t="s">
        <v>6925</v>
      </c>
      <c r="B807" s="6" t="s">
        <v>5249</v>
      </c>
      <c r="C807" s="6" t="s">
        <v>5050</v>
      </c>
      <c r="D807" s="6" t="s">
        <v>6214</v>
      </c>
      <c r="E807" s="6" t="s">
        <v>6920</v>
      </c>
      <c r="F807" s="6" t="s">
        <v>6926</v>
      </c>
      <c r="G807" s="12" t="n">
        <v>2604847</v>
      </c>
      <c r="H807" s="6" t="s">
        <v>3739</v>
      </c>
      <c r="I807" s="6" t="s">
        <v>13</v>
      </c>
      <c r="J807" s="6" t="s">
        <v>261</v>
      </c>
      <c r="K807" s="6" t="s">
        <v>6465</v>
      </c>
      <c r="M807" s="6"/>
    </row>
    <row r="808" customFormat="false" ht="15" hidden="false" customHeight="false" outlineLevel="0" collapsed="false">
      <c r="A808" s="6" t="s">
        <v>6927</v>
      </c>
      <c r="B808" s="6" t="s">
        <v>5315</v>
      </c>
      <c r="C808" s="6" t="s">
        <v>5316</v>
      </c>
      <c r="D808" s="6" t="s">
        <v>6214</v>
      </c>
      <c r="E808" s="6" t="s">
        <v>6928</v>
      </c>
      <c r="F808" s="6" t="s">
        <v>6929</v>
      </c>
      <c r="G808" s="12" t="n">
        <v>52106369</v>
      </c>
      <c r="H808" s="6" t="s">
        <v>3739</v>
      </c>
      <c r="I808" s="6" t="s">
        <v>13</v>
      </c>
      <c r="J808" s="6" t="s">
        <v>238</v>
      </c>
      <c r="K808" s="6" t="s">
        <v>6930</v>
      </c>
      <c r="M808" s="6"/>
    </row>
    <row r="809" customFormat="false" ht="15" hidden="false" customHeight="false" outlineLevel="0" collapsed="false">
      <c r="A809" s="6" t="s">
        <v>6931</v>
      </c>
      <c r="B809" s="6" t="s">
        <v>5320</v>
      </c>
      <c r="C809" s="6" t="s">
        <v>5316</v>
      </c>
      <c r="D809" s="6" t="s">
        <v>6214</v>
      </c>
      <c r="E809" s="6" t="s">
        <v>6928</v>
      </c>
      <c r="F809" s="6" t="s">
        <v>6932</v>
      </c>
      <c r="G809" s="12" t="n">
        <v>53149561</v>
      </c>
      <c r="H809" s="6" t="s">
        <v>3739</v>
      </c>
      <c r="I809" s="6" t="s">
        <v>13</v>
      </c>
      <c r="J809" s="6" t="s">
        <v>253</v>
      </c>
      <c r="K809" s="6" t="s">
        <v>6933</v>
      </c>
      <c r="M809" s="6"/>
    </row>
    <row r="810" customFormat="false" ht="15" hidden="false" customHeight="false" outlineLevel="0" collapsed="false">
      <c r="A810" s="6" t="s">
        <v>6934</v>
      </c>
      <c r="B810" s="6" t="s">
        <v>5325</v>
      </c>
      <c r="C810" s="6" t="s">
        <v>5316</v>
      </c>
      <c r="D810" s="6" t="s">
        <v>6214</v>
      </c>
      <c r="E810" s="6" t="s">
        <v>6928</v>
      </c>
      <c r="F810" s="6" t="s">
        <v>6935</v>
      </c>
      <c r="G810" s="12" t="n">
        <v>46752399</v>
      </c>
      <c r="H810" s="6" t="s">
        <v>3739</v>
      </c>
      <c r="I810" s="6" t="s">
        <v>13</v>
      </c>
      <c r="J810" s="6" t="s">
        <v>261</v>
      </c>
      <c r="K810" s="6" t="s">
        <v>6936</v>
      </c>
      <c r="M810" s="6"/>
    </row>
    <row r="811" customFormat="false" ht="15" hidden="false" customHeight="false" outlineLevel="0" collapsed="false">
      <c r="A811" s="6" t="s">
        <v>6937</v>
      </c>
      <c r="B811" s="6" t="s">
        <v>6032</v>
      </c>
      <c r="C811" s="6" t="s">
        <v>4975</v>
      </c>
      <c r="D811" s="6" t="s">
        <v>6214</v>
      </c>
      <c r="E811" s="6" t="s">
        <v>6938</v>
      </c>
      <c r="F811" s="6" t="s">
        <v>6939</v>
      </c>
      <c r="G811" s="19" t="n">
        <v>17.9</v>
      </c>
      <c r="H811" s="6" t="s">
        <v>6356</v>
      </c>
      <c r="I811" s="6" t="s">
        <v>13</v>
      </c>
      <c r="J811" s="6" t="s">
        <v>209</v>
      </c>
      <c r="K811" s="6" t="s">
        <v>6308</v>
      </c>
      <c r="M811" s="6"/>
    </row>
    <row r="812" customFormat="false" ht="15" hidden="false" customHeight="false" outlineLevel="0" collapsed="false">
      <c r="A812" s="6" t="s">
        <v>6940</v>
      </c>
      <c r="B812" s="6" t="s">
        <v>5203</v>
      </c>
      <c r="C812" s="6" t="s">
        <v>4975</v>
      </c>
      <c r="D812" s="6" t="s">
        <v>6214</v>
      </c>
      <c r="E812" s="6" t="s">
        <v>6938</v>
      </c>
      <c r="F812" s="6" t="s">
        <v>6939</v>
      </c>
      <c r="G812" s="19" t="n">
        <v>38.3</v>
      </c>
      <c r="H812" s="6" t="s">
        <v>6356</v>
      </c>
      <c r="I812" s="6" t="s">
        <v>13</v>
      </c>
      <c r="J812" s="6" t="s">
        <v>209</v>
      </c>
      <c r="K812" s="6" t="s">
        <v>6308</v>
      </c>
      <c r="M812" s="6"/>
    </row>
    <row r="813" customFormat="false" ht="15" hidden="false" customHeight="false" outlineLevel="0" collapsed="false">
      <c r="A813" s="6" t="s">
        <v>6941</v>
      </c>
      <c r="B813" s="6" t="s">
        <v>5203</v>
      </c>
      <c r="C813" s="6" t="s">
        <v>4975</v>
      </c>
      <c r="D813" s="6" t="s">
        <v>6214</v>
      </c>
      <c r="E813" s="6" t="s">
        <v>6938</v>
      </c>
      <c r="F813" s="6" t="s">
        <v>6942</v>
      </c>
      <c r="G813" s="19" t="n">
        <v>38.3</v>
      </c>
      <c r="H813" s="6" t="s">
        <v>6356</v>
      </c>
      <c r="I813" s="6" t="s">
        <v>13</v>
      </c>
      <c r="J813" s="6" t="s">
        <v>218</v>
      </c>
      <c r="K813" s="6" t="s">
        <v>6305</v>
      </c>
      <c r="M813" s="6"/>
    </row>
    <row r="814" customFormat="false" ht="15" hidden="false" customHeight="false" outlineLevel="0" collapsed="false">
      <c r="A814" s="6" t="s">
        <v>6943</v>
      </c>
      <c r="B814" s="6" t="s">
        <v>5102</v>
      </c>
      <c r="C814" s="6" t="s">
        <v>4975</v>
      </c>
      <c r="D814" s="6" t="s">
        <v>6214</v>
      </c>
      <c r="E814" s="6" t="s">
        <v>6938</v>
      </c>
      <c r="F814" s="6" t="s">
        <v>6939</v>
      </c>
      <c r="G814" s="19" t="n">
        <v>77</v>
      </c>
      <c r="H814" s="6" t="s">
        <v>6356</v>
      </c>
      <c r="I814" s="6" t="s">
        <v>13</v>
      </c>
      <c r="J814" s="6" t="s">
        <v>209</v>
      </c>
      <c r="K814" s="6" t="s">
        <v>6308</v>
      </c>
      <c r="M814" s="6"/>
    </row>
    <row r="815" customFormat="false" ht="15" hidden="false" customHeight="false" outlineLevel="0" collapsed="false">
      <c r="A815" s="6" t="s">
        <v>6944</v>
      </c>
      <c r="B815" s="6" t="s">
        <v>5102</v>
      </c>
      <c r="C815" s="6" t="s">
        <v>4975</v>
      </c>
      <c r="D815" s="6" t="s">
        <v>6214</v>
      </c>
      <c r="E815" s="6" t="s">
        <v>6938</v>
      </c>
      <c r="F815" s="6" t="s">
        <v>6942</v>
      </c>
      <c r="G815" s="19" t="n">
        <v>77</v>
      </c>
      <c r="H815" s="6" t="s">
        <v>6356</v>
      </c>
      <c r="I815" s="6" t="s">
        <v>13</v>
      </c>
      <c r="J815" s="6" t="s">
        <v>218</v>
      </c>
      <c r="K815" s="6" t="s">
        <v>6305</v>
      </c>
      <c r="M815" s="6"/>
    </row>
    <row r="816" customFormat="false" ht="15" hidden="false" customHeight="false" outlineLevel="0" collapsed="false">
      <c r="A816" s="6" t="s">
        <v>6945</v>
      </c>
      <c r="B816" s="6" t="s">
        <v>5097</v>
      </c>
      <c r="C816" s="6" t="s">
        <v>4975</v>
      </c>
      <c r="D816" s="6" t="s">
        <v>6214</v>
      </c>
      <c r="E816" s="6" t="s">
        <v>6938</v>
      </c>
      <c r="F816" s="6" t="s">
        <v>6942</v>
      </c>
      <c r="G816" s="19" t="n">
        <v>69.3</v>
      </c>
      <c r="H816" s="6" t="s">
        <v>6356</v>
      </c>
      <c r="I816" s="6" t="s">
        <v>13</v>
      </c>
      <c r="J816" s="6" t="s">
        <v>218</v>
      </c>
      <c r="K816" s="6" t="s">
        <v>6305</v>
      </c>
      <c r="M816" s="6"/>
    </row>
    <row r="817" customFormat="false" ht="15" hidden="false" customHeight="false" outlineLevel="0" collapsed="false">
      <c r="A817" s="6" t="s">
        <v>6946</v>
      </c>
      <c r="B817" s="6" t="s">
        <v>5074</v>
      </c>
      <c r="C817" s="6" t="s">
        <v>4975</v>
      </c>
      <c r="D817" s="6" t="s">
        <v>6214</v>
      </c>
      <c r="E817" s="6" t="s">
        <v>6938</v>
      </c>
      <c r="F817" s="6" t="s">
        <v>6947</v>
      </c>
      <c r="G817" s="19" t="n">
        <v>86.26</v>
      </c>
      <c r="H817" s="6" t="s">
        <v>6356</v>
      </c>
      <c r="I817" s="6" t="s">
        <v>13</v>
      </c>
      <c r="J817" s="6" t="s">
        <v>223</v>
      </c>
      <c r="K817" s="6" t="s">
        <v>6313</v>
      </c>
      <c r="M817" s="6"/>
    </row>
    <row r="818" customFormat="false" ht="15" hidden="false" customHeight="false" outlineLevel="0" collapsed="false">
      <c r="A818" s="6" t="s">
        <v>6948</v>
      </c>
      <c r="B818" s="6" t="s">
        <v>5074</v>
      </c>
      <c r="C818" s="6" t="s">
        <v>4975</v>
      </c>
      <c r="D818" s="6" t="s">
        <v>6214</v>
      </c>
      <c r="E818" s="6" t="s">
        <v>6949</v>
      </c>
      <c r="F818" s="6" t="s">
        <v>6950</v>
      </c>
      <c r="G818" s="12" t="n">
        <v>48366378</v>
      </c>
      <c r="H818" s="6" t="s">
        <v>3739</v>
      </c>
      <c r="I818" s="6" t="s">
        <v>13</v>
      </c>
      <c r="J818" s="6" t="s">
        <v>223</v>
      </c>
      <c r="K818" s="6" t="s">
        <v>6951</v>
      </c>
      <c r="M818" s="6"/>
    </row>
    <row r="819" customFormat="false" ht="15" hidden="false" customHeight="false" outlineLevel="0" collapsed="false">
      <c r="A819" s="6" t="s">
        <v>6952</v>
      </c>
      <c r="B819" s="6" t="s">
        <v>5049</v>
      </c>
      <c r="C819" s="6" t="s">
        <v>5050</v>
      </c>
      <c r="D819" s="6" t="s">
        <v>6214</v>
      </c>
      <c r="E819" s="6" t="s">
        <v>6953</v>
      </c>
      <c r="F819" s="6" t="s">
        <v>6851</v>
      </c>
      <c r="G819" s="19" t="n">
        <v>1.97</v>
      </c>
      <c r="H819" s="6" t="s">
        <v>5307</v>
      </c>
      <c r="I819" s="6" t="s">
        <v>13</v>
      </c>
      <c r="J819" s="6" t="s">
        <v>223</v>
      </c>
      <c r="K819" s="6" t="s">
        <v>6688</v>
      </c>
      <c r="M819" s="6"/>
    </row>
    <row r="820" customFormat="false" ht="15" hidden="false" customHeight="false" outlineLevel="0" collapsed="false">
      <c r="A820" s="6" t="s">
        <v>6954</v>
      </c>
      <c r="B820" s="6" t="s">
        <v>5057</v>
      </c>
      <c r="C820" s="6" t="s">
        <v>5050</v>
      </c>
      <c r="D820" s="6" t="s">
        <v>6214</v>
      </c>
      <c r="E820" s="6" t="s">
        <v>6953</v>
      </c>
      <c r="F820" s="6" t="s">
        <v>6851</v>
      </c>
      <c r="G820" s="19" t="n">
        <v>1.79</v>
      </c>
      <c r="H820" s="6" t="s">
        <v>5307</v>
      </c>
      <c r="I820" s="6" t="s">
        <v>13</v>
      </c>
      <c r="J820" s="6" t="s">
        <v>223</v>
      </c>
      <c r="K820" s="6" t="s">
        <v>6688</v>
      </c>
      <c r="M820" s="6"/>
    </row>
    <row r="821" customFormat="false" ht="15" hidden="false" customHeight="false" outlineLevel="0" collapsed="false">
      <c r="A821" s="6" t="s">
        <v>6955</v>
      </c>
      <c r="B821" s="6" t="s">
        <v>5062</v>
      </c>
      <c r="C821" s="6" t="s">
        <v>5050</v>
      </c>
      <c r="D821" s="6" t="s">
        <v>6214</v>
      </c>
      <c r="E821" s="6" t="s">
        <v>6953</v>
      </c>
      <c r="F821" s="6" t="s">
        <v>6851</v>
      </c>
      <c r="G821" s="19" t="n">
        <v>1.75</v>
      </c>
      <c r="H821" s="6" t="s">
        <v>5307</v>
      </c>
      <c r="I821" s="6" t="s">
        <v>13</v>
      </c>
      <c r="J821" s="6" t="s">
        <v>223</v>
      </c>
      <c r="K821" s="6" t="s">
        <v>6688</v>
      </c>
      <c r="M821" s="6"/>
    </row>
    <row r="822" customFormat="false" ht="15" hidden="false" customHeight="false" outlineLevel="0" collapsed="false">
      <c r="A822" s="6" t="s">
        <v>6956</v>
      </c>
      <c r="B822" s="6" t="s">
        <v>5468</v>
      </c>
      <c r="C822" s="6" t="s">
        <v>5050</v>
      </c>
      <c r="D822" s="6" t="s">
        <v>6214</v>
      </c>
      <c r="E822" s="6" t="s">
        <v>6957</v>
      </c>
      <c r="F822" s="6" t="s">
        <v>6829</v>
      </c>
      <c r="G822" s="19" t="n">
        <v>1.78</v>
      </c>
      <c r="H822" s="6" t="s">
        <v>5307</v>
      </c>
      <c r="I822" s="6" t="s">
        <v>13</v>
      </c>
      <c r="J822" s="6" t="s">
        <v>218</v>
      </c>
      <c r="K822" s="6" t="s">
        <v>6221</v>
      </c>
      <c r="M822" s="6"/>
    </row>
    <row r="823" customFormat="false" ht="15" hidden="false" customHeight="false" outlineLevel="0" collapsed="false">
      <c r="A823" s="6" t="s">
        <v>6958</v>
      </c>
      <c r="B823" s="6" t="s">
        <v>5049</v>
      </c>
      <c r="C823" s="6" t="s">
        <v>5050</v>
      </c>
      <c r="D823" s="6" t="s">
        <v>6214</v>
      </c>
      <c r="E823" s="6" t="s">
        <v>6957</v>
      </c>
      <c r="F823" s="6" t="s">
        <v>6829</v>
      </c>
      <c r="G823" s="19" t="n">
        <v>1.97</v>
      </c>
      <c r="H823" s="6" t="s">
        <v>5307</v>
      </c>
      <c r="I823" s="6" t="s">
        <v>13</v>
      </c>
      <c r="J823" s="6" t="s">
        <v>218</v>
      </c>
      <c r="K823" s="6" t="s">
        <v>6221</v>
      </c>
      <c r="M823" s="6"/>
    </row>
    <row r="824" customFormat="false" ht="15" hidden="false" customHeight="false" outlineLevel="0" collapsed="false">
      <c r="A824" s="6" t="s">
        <v>6959</v>
      </c>
      <c r="B824" s="6" t="s">
        <v>5057</v>
      </c>
      <c r="C824" s="6" t="s">
        <v>5050</v>
      </c>
      <c r="D824" s="6" t="s">
        <v>6214</v>
      </c>
      <c r="E824" s="6" t="s">
        <v>6957</v>
      </c>
      <c r="F824" s="6" t="s">
        <v>6829</v>
      </c>
      <c r="G824" s="19" t="n">
        <v>1.79</v>
      </c>
      <c r="H824" s="6" t="s">
        <v>5307</v>
      </c>
      <c r="I824" s="6" t="s">
        <v>13</v>
      </c>
      <c r="J824" s="6" t="s">
        <v>218</v>
      </c>
      <c r="K824" s="6" t="s">
        <v>6221</v>
      </c>
      <c r="M824" s="6"/>
    </row>
    <row r="825" customFormat="false" ht="15" hidden="false" customHeight="false" outlineLevel="0" collapsed="false">
      <c r="A825" s="6" t="s">
        <v>6960</v>
      </c>
      <c r="B825" s="6" t="s">
        <v>5057</v>
      </c>
      <c r="C825" s="6" t="s">
        <v>5050</v>
      </c>
      <c r="D825" s="6" t="s">
        <v>6214</v>
      </c>
      <c r="E825" s="6" t="s">
        <v>6957</v>
      </c>
      <c r="F825" s="6" t="s">
        <v>6961</v>
      </c>
      <c r="G825" s="19" t="n">
        <v>1.79</v>
      </c>
      <c r="H825" s="6" t="s">
        <v>5307</v>
      </c>
      <c r="I825" s="6" t="s">
        <v>13</v>
      </c>
      <c r="J825" s="6" t="s">
        <v>228</v>
      </c>
      <c r="K825" s="6" t="s">
        <v>6217</v>
      </c>
      <c r="M825" s="6"/>
    </row>
    <row r="826" customFormat="false" ht="15" hidden="false" customHeight="false" outlineLevel="0" collapsed="false">
      <c r="A826" s="6" t="s">
        <v>6962</v>
      </c>
      <c r="B826" s="6" t="s">
        <v>5062</v>
      </c>
      <c r="C826" s="6" t="s">
        <v>5050</v>
      </c>
      <c r="D826" s="6" t="s">
        <v>6214</v>
      </c>
      <c r="E826" s="6" t="s">
        <v>6957</v>
      </c>
      <c r="F826" s="6" t="s">
        <v>6961</v>
      </c>
      <c r="G826" s="19" t="n">
        <v>1.75</v>
      </c>
      <c r="H826" s="6" t="s">
        <v>5307</v>
      </c>
      <c r="I826" s="6" t="s">
        <v>13</v>
      </c>
      <c r="J826" s="6" t="s">
        <v>228</v>
      </c>
      <c r="K826" s="6" t="s">
        <v>6217</v>
      </c>
      <c r="M826" s="6"/>
    </row>
    <row r="827" customFormat="false" ht="15" hidden="false" customHeight="false" outlineLevel="0" collapsed="false">
      <c r="A827" s="6" t="s">
        <v>6963</v>
      </c>
      <c r="B827" s="6" t="s">
        <v>5067</v>
      </c>
      <c r="C827" s="6" t="s">
        <v>5050</v>
      </c>
      <c r="D827" s="6" t="s">
        <v>6214</v>
      </c>
      <c r="E827" s="6" t="s">
        <v>6957</v>
      </c>
      <c r="F827" s="6" t="s">
        <v>6961</v>
      </c>
      <c r="G827" s="19" t="n">
        <v>1.76</v>
      </c>
      <c r="H827" s="6" t="s">
        <v>5307</v>
      </c>
      <c r="I827" s="6" t="s">
        <v>13</v>
      </c>
      <c r="J827" s="6" t="s">
        <v>228</v>
      </c>
      <c r="K827" s="6" t="s">
        <v>6217</v>
      </c>
      <c r="M827" s="6"/>
    </row>
    <row r="828" customFormat="false" ht="15" hidden="false" customHeight="false" outlineLevel="0" collapsed="false">
      <c r="A828" s="6" t="s">
        <v>6964</v>
      </c>
      <c r="B828" s="6" t="s">
        <v>5049</v>
      </c>
      <c r="C828" s="6" t="s">
        <v>5050</v>
      </c>
      <c r="D828" s="6" t="s">
        <v>6214</v>
      </c>
      <c r="E828" s="6" t="s">
        <v>6965</v>
      </c>
      <c r="F828" s="6" t="s">
        <v>6892</v>
      </c>
      <c r="G828" s="19" t="n">
        <v>1.98</v>
      </c>
      <c r="H828" s="6" t="s">
        <v>5307</v>
      </c>
      <c r="I828" s="6" t="s">
        <v>13</v>
      </c>
      <c r="J828" s="6" t="s">
        <v>218</v>
      </c>
      <c r="K828" s="6" t="s">
        <v>6893</v>
      </c>
      <c r="M828" s="6"/>
    </row>
    <row r="829" customFormat="false" ht="15" hidden="false" customHeight="false" outlineLevel="0" collapsed="false">
      <c r="A829" s="6" t="s">
        <v>6966</v>
      </c>
      <c r="B829" s="6" t="s">
        <v>5049</v>
      </c>
      <c r="C829" s="6" t="s">
        <v>5050</v>
      </c>
      <c r="D829" s="6" t="s">
        <v>6214</v>
      </c>
      <c r="E829" s="6" t="s">
        <v>6965</v>
      </c>
      <c r="F829" s="6" t="s">
        <v>6895</v>
      </c>
      <c r="G829" s="19" t="n">
        <v>1.98</v>
      </c>
      <c r="H829" s="6" t="s">
        <v>5307</v>
      </c>
      <c r="I829" s="6" t="s">
        <v>13</v>
      </c>
      <c r="J829" s="6" t="s">
        <v>223</v>
      </c>
      <c r="K829" s="6" t="s">
        <v>6446</v>
      </c>
      <c r="M829" s="6"/>
    </row>
    <row r="830" customFormat="false" ht="15" hidden="false" customHeight="false" outlineLevel="0" collapsed="false">
      <c r="A830" s="6" t="s">
        <v>6967</v>
      </c>
      <c r="B830" s="6" t="s">
        <v>5057</v>
      </c>
      <c r="C830" s="6" t="s">
        <v>5050</v>
      </c>
      <c r="D830" s="6" t="s">
        <v>6214</v>
      </c>
      <c r="E830" s="6" t="s">
        <v>6965</v>
      </c>
      <c r="F830" s="6" t="s">
        <v>6892</v>
      </c>
      <c r="G830" s="19" t="n">
        <v>1.85</v>
      </c>
      <c r="H830" s="6" t="s">
        <v>5307</v>
      </c>
      <c r="I830" s="6" t="s">
        <v>13</v>
      </c>
      <c r="J830" s="6" t="s">
        <v>218</v>
      </c>
      <c r="K830" s="6" t="s">
        <v>6893</v>
      </c>
      <c r="M830" s="6"/>
    </row>
    <row r="831" customFormat="false" ht="15" hidden="false" customHeight="false" outlineLevel="0" collapsed="false">
      <c r="A831" s="6" t="s">
        <v>6968</v>
      </c>
      <c r="B831" s="6" t="s">
        <v>5057</v>
      </c>
      <c r="C831" s="6" t="s">
        <v>5050</v>
      </c>
      <c r="D831" s="6" t="s">
        <v>6214</v>
      </c>
      <c r="E831" s="6" t="s">
        <v>6965</v>
      </c>
      <c r="F831" s="6" t="s">
        <v>6895</v>
      </c>
      <c r="G831" s="19" t="n">
        <v>1.85</v>
      </c>
      <c r="H831" s="6" t="s">
        <v>5307</v>
      </c>
      <c r="I831" s="6" t="s">
        <v>13</v>
      </c>
      <c r="J831" s="6" t="s">
        <v>223</v>
      </c>
      <c r="K831" s="6" t="s">
        <v>6446</v>
      </c>
      <c r="M831" s="6"/>
    </row>
    <row r="832" customFormat="false" ht="15" hidden="false" customHeight="false" outlineLevel="0" collapsed="false">
      <c r="A832" s="6" t="s">
        <v>6969</v>
      </c>
      <c r="B832" s="6" t="s">
        <v>5057</v>
      </c>
      <c r="C832" s="6" t="s">
        <v>5050</v>
      </c>
      <c r="D832" s="6" t="s">
        <v>6214</v>
      </c>
      <c r="E832" s="6" t="s">
        <v>6965</v>
      </c>
      <c r="F832" s="6" t="s">
        <v>6970</v>
      </c>
      <c r="G832" s="19" t="n">
        <v>1.85</v>
      </c>
      <c r="H832" s="6" t="s">
        <v>5307</v>
      </c>
      <c r="I832" s="6" t="s">
        <v>13</v>
      </c>
      <c r="J832" s="6" t="s">
        <v>228</v>
      </c>
      <c r="K832" s="6" t="s">
        <v>6900</v>
      </c>
      <c r="M832" s="6"/>
    </row>
    <row r="833" customFormat="false" ht="15" hidden="false" customHeight="false" outlineLevel="0" collapsed="false">
      <c r="A833" s="6" t="s">
        <v>6971</v>
      </c>
      <c r="B833" s="6" t="s">
        <v>5062</v>
      </c>
      <c r="C833" s="6" t="s">
        <v>5050</v>
      </c>
      <c r="D833" s="6" t="s">
        <v>6214</v>
      </c>
      <c r="E833" s="6" t="s">
        <v>6965</v>
      </c>
      <c r="F833" s="6" t="s">
        <v>6895</v>
      </c>
      <c r="G833" s="19" t="n">
        <v>1.8</v>
      </c>
      <c r="H833" s="6" t="s">
        <v>5307</v>
      </c>
      <c r="I833" s="6" t="s">
        <v>13</v>
      </c>
      <c r="J833" s="6" t="s">
        <v>223</v>
      </c>
      <c r="K833" s="6" t="s">
        <v>6446</v>
      </c>
      <c r="M833" s="6"/>
    </row>
    <row r="834" customFormat="false" ht="15" hidden="false" customHeight="false" outlineLevel="0" collapsed="false">
      <c r="A834" s="6" t="s">
        <v>6972</v>
      </c>
      <c r="B834" s="6" t="s">
        <v>5062</v>
      </c>
      <c r="C834" s="6" t="s">
        <v>5050</v>
      </c>
      <c r="D834" s="6" t="s">
        <v>6214</v>
      </c>
      <c r="E834" s="6" t="s">
        <v>6965</v>
      </c>
      <c r="F834" s="6" t="s">
        <v>6970</v>
      </c>
      <c r="G834" s="19" t="n">
        <v>1.8</v>
      </c>
      <c r="H834" s="6" t="s">
        <v>5307</v>
      </c>
      <c r="I834" s="6" t="s">
        <v>13</v>
      </c>
      <c r="J834" s="6" t="s">
        <v>228</v>
      </c>
      <c r="K834" s="6" t="s">
        <v>6900</v>
      </c>
      <c r="M834" s="6"/>
    </row>
    <row r="835" customFormat="false" ht="15" hidden="false" customHeight="false" outlineLevel="0" collapsed="false">
      <c r="A835" s="6" t="s">
        <v>6973</v>
      </c>
      <c r="B835" s="6" t="s">
        <v>5067</v>
      </c>
      <c r="C835" s="6" t="s">
        <v>5050</v>
      </c>
      <c r="D835" s="6" t="s">
        <v>6214</v>
      </c>
      <c r="E835" s="6" t="s">
        <v>6965</v>
      </c>
      <c r="F835" s="6" t="s">
        <v>6970</v>
      </c>
      <c r="G835" s="19" t="n">
        <v>1.77</v>
      </c>
      <c r="H835" s="6" t="s">
        <v>5307</v>
      </c>
      <c r="I835" s="6" t="s">
        <v>13</v>
      </c>
      <c r="J835" s="6" t="s">
        <v>228</v>
      </c>
      <c r="K835" s="6" t="s">
        <v>6900</v>
      </c>
      <c r="M835" s="6"/>
    </row>
    <row r="836" customFormat="false" ht="15" hidden="false" customHeight="false" outlineLevel="0" collapsed="false">
      <c r="A836" s="6" t="s">
        <v>6974</v>
      </c>
      <c r="B836" s="6" t="s">
        <v>5239</v>
      </c>
      <c r="C836" s="6" t="s">
        <v>5050</v>
      </c>
      <c r="D836" s="6" t="s">
        <v>6214</v>
      </c>
      <c r="E836" s="6" t="s">
        <v>6975</v>
      </c>
      <c r="F836" s="6" t="s">
        <v>6976</v>
      </c>
      <c r="G836" s="19" t="n">
        <v>1.84</v>
      </c>
      <c r="H836" s="6" t="s">
        <v>5307</v>
      </c>
      <c r="I836" s="6" t="s">
        <v>13</v>
      </c>
      <c r="J836" s="6" t="s">
        <v>238</v>
      </c>
      <c r="K836" s="6" t="s">
        <v>6863</v>
      </c>
      <c r="M836" s="6"/>
    </row>
    <row r="837" customFormat="false" ht="15" hidden="false" customHeight="false" outlineLevel="0" collapsed="false">
      <c r="A837" s="6" t="s">
        <v>6977</v>
      </c>
      <c r="B837" s="6" t="s">
        <v>5245</v>
      </c>
      <c r="C837" s="6" t="s">
        <v>5050</v>
      </c>
      <c r="D837" s="6" t="s">
        <v>6214</v>
      </c>
      <c r="E837" s="6" t="s">
        <v>6975</v>
      </c>
      <c r="F837" s="6" t="s">
        <v>6978</v>
      </c>
      <c r="G837" s="19" t="n">
        <v>1.88</v>
      </c>
      <c r="H837" s="6" t="s">
        <v>5307</v>
      </c>
      <c r="I837" s="6" t="s">
        <v>13</v>
      </c>
      <c r="J837" s="6" t="s">
        <v>253</v>
      </c>
      <c r="K837" s="6" t="s">
        <v>6872</v>
      </c>
      <c r="M837" s="6"/>
    </row>
    <row r="838" customFormat="false" ht="15" hidden="false" customHeight="false" outlineLevel="0" collapsed="false">
      <c r="A838" s="6" t="s">
        <v>6979</v>
      </c>
      <c r="B838" s="6" t="s">
        <v>5249</v>
      </c>
      <c r="C838" s="6" t="s">
        <v>5050</v>
      </c>
      <c r="D838" s="6" t="s">
        <v>6214</v>
      </c>
      <c r="E838" s="6" t="s">
        <v>6975</v>
      </c>
      <c r="F838" s="6" t="s">
        <v>6980</v>
      </c>
      <c r="G838" s="19" t="n">
        <v>1.82</v>
      </c>
      <c r="H838" s="6" t="s">
        <v>5307</v>
      </c>
      <c r="I838" s="6" t="s">
        <v>13</v>
      </c>
      <c r="J838" s="6" t="s">
        <v>261</v>
      </c>
      <c r="K838" s="6" t="s">
        <v>6876</v>
      </c>
      <c r="M838" s="6"/>
    </row>
    <row r="839" customFormat="false" ht="15" hidden="false" customHeight="false" outlineLevel="0" collapsed="false">
      <c r="A839" s="6" t="s">
        <v>6981</v>
      </c>
      <c r="B839" s="6" t="s">
        <v>5239</v>
      </c>
      <c r="C839" s="6" t="s">
        <v>5050</v>
      </c>
      <c r="D839" s="6" t="s">
        <v>6214</v>
      </c>
      <c r="E839" s="6" t="s">
        <v>6982</v>
      </c>
      <c r="F839" s="6" t="s">
        <v>6983</v>
      </c>
      <c r="G839" s="19" t="n">
        <v>1.87</v>
      </c>
      <c r="H839" s="6" t="s">
        <v>5307</v>
      </c>
      <c r="I839" s="6" t="s">
        <v>13</v>
      </c>
      <c r="J839" s="6" t="s">
        <v>238</v>
      </c>
      <c r="K839" s="6" t="s">
        <v>6863</v>
      </c>
      <c r="M839" s="6"/>
    </row>
    <row r="840" customFormat="false" ht="15" hidden="false" customHeight="false" outlineLevel="0" collapsed="false">
      <c r="A840" s="6" t="s">
        <v>6984</v>
      </c>
      <c r="B840" s="6" t="s">
        <v>5245</v>
      </c>
      <c r="C840" s="6" t="s">
        <v>5050</v>
      </c>
      <c r="D840" s="6" t="s">
        <v>6214</v>
      </c>
      <c r="E840" s="6" t="s">
        <v>6982</v>
      </c>
      <c r="F840" s="6" t="s">
        <v>6985</v>
      </c>
      <c r="G840" s="19" t="n">
        <v>1.89</v>
      </c>
      <c r="H840" s="6" t="s">
        <v>5307</v>
      </c>
      <c r="I840" s="6" t="s">
        <v>13</v>
      </c>
      <c r="J840" s="6" t="s">
        <v>253</v>
      </c>
      <c r="K840" s="6" t="s">
        <v>6872</v>
      </c>
      <c r="M840" s="6"/>
    </row>
    <row r="841" customFormat="false" ht="15" hidden="false" customHeight="false" outlineLevel="0" collapsed="false">
      <c r="A841" s="6" t="s">
        <v>6986</v>
      </c>
      <c r="B841" s="6" t="s">
        <v>6987</v>
      </c>
      <c r="C841" s="6" t="s">
        <v>6988</v>
      </c>
      <c r="D841" s="6" t="s">
        <v>6989</v>
      </c>
      <c r="E841" s="6" t="s">
        <v>6990</v>
      </c>
      <c r="F841" s="6" t="s">
        <v>6991</v>
      </c>
      <c r="G841" s="13" t="n">
        <v>-15</v>
      </c>
      <c r="H841" s="6" t="s">
        <v>3751</v>
      </c>
      <c r="I841" s="6" t="s">
        <v>13</v>
      </c>
      <c r="J841" s="6" t="s">
        <v>265</v>
      </c>
      <c r="K841" s="6" t="s">
        <v>6992</v>
      </c>
      <c r="M841" s="6"/>
    </row>
    <row r="842" customFormat="false" ht="15" hidden="false" customHeight="false" outlineLevel="0" collapsed="false">
      <c r="A842" s="6" t="s">
        <v>6993</v>
      </c>
      <c r="B842" s="6" t="s">
        <v>6994</v>
      </c>
      <c r="C842" s="6" t="s">
        <v>6988</v>
      </c>
      <c r="D842" s="6" t="s">
        <v>6989</v>
      </c>
      <c r="E842" s="6" t="s">
        <v>6995</v>
      </c>
      <c r="F842" s="6" t="s">
        <v>6996</v>
      </c>
      <c r="G842" s="13" t="n">
        <v>5</v>
      </c>
      <c r="H842" s="6" t="s">
        <v>3751</v>
      </c>
      <c r="I842" s="6" t="s">
        <v>13</v>
      </c>
      <c r="J842" s="6" t="s">
        <v>265</v>
      </c>
      <c r="K842" s="6" t="s">
        <v>6997</v>
      </c>
      <c r="M842" s="6" t="s">
        <v>6998</v>
      </c>
    </row>
    <row r="843" customFormat="false" ht="15" hidden="false" customHeight="false" outlineLevel="0" collapsed="false">
      <c r="A843" s="6" t="s">
        <v>6999</v>
      </c>
      <c r="B843" s="6" t="s">
        <v>6987</v>
      </c>
      <c r="C843" s="6" t="s">
        <v>6988</v>
      </c>
      <c r="D843" s="6" t="s">
        <v>6989</v>
      </c>
      <c r="E843" s="6" t="s">
        <v>7000</v>
      </c>
      <c r="F843" s="6" t="s">
        <v>7001</v>
      </c>
      <c r="G843" s="13" t="n">
        <v>-15</v>
      </c>
      <c r="H843" s="6" t="s">
        <v>3751</v>
      </c>
      <c r="I843" s="6" t="s">
        <v>13</v>
      </c>
      <c r="J843" s="6" t="s">
        <v>281</v>
      </c>
      <c r="K843" s="6" t="s">
        <v>7002</v>
      </c>
      <c r="M843" s="6" t="s">
        <v>7003</v>
      </c>
    </row>
    <row r="844" customFormat="false" ht="15" hidden="false" customHeight="false" outlineLevel="0" collapsed="false">
      <c r="A844" s="6" t="s">
        <v>7004</v>
      </c>
      <c r="B844" s="6" t="s">
        <v>6987</v>
      </c>
      <c r="C844" s="6" t="s">
        <v>6988</v>
      </c>
      <c r="D844" s="6" t="s">
        <v>6989</v>
      </c>
      <c r="E844" s="6" t="s">
        <v>7005</v>
      </c>
      <c r="F844" s="6" t="s">
        <v>7006</v>
      </c>
      <c r="G844" s="13" t="n">
        <v>35</v>
      </c>
      <c r="H844" s="6" t="s">
        <v>3751</v>
      </c>
      <c r="I844" s="6" t="s">
        <v>13</v>
      </c>
      <c r="J844" s="6" t="s">
        <v>281</v>
      </c>
      <c r="K844" s="6" t="s">
        <v>7002</v>
      </c>
      <c r="M844" s="6"/>
    </row>
    <row r="845" customFormat="false" ht="15" hidden="false" customHeight="false" outlineLevel="0" collapsed="false">
      <c r="A845" s="6" t="s">
        <v>7007</v>
      </c>
      <c r="B845" s="6" t="s">
        <v>6987</v>
      </c>
      <c r="C845" s="6" t="s">
        <v>6988</v>
      </c>
      <c r="D845" s="6" t="s">
        <v>6989</v>
      </c>
      <c r="E845" s="6" t="s">
        <v>7008</v>
      </c>
      <c r="F845" s="6" t="s">
        <v>7006</v>
      </c>
      <c r="G845" s="13" t="n">
        <v>30</v>
      </c>
      <c r="H845" s="6" t="s">
        <v>3751</v>
      </c>
      <c r="I845" s="6" t="s">
        <v>13</v>
      </c>
      <c r="J845" s="6" t="s">
        <v>281</v>
      </c>
      <c r="K845" s="6" t="s">
        <v>7002</v>
      </c>
      <c r="M845" s="6"/>
    </row>
    <row r="846" customFormat="false" ht="15" hidden="false" customHeight="false" outlineLevel="0" collapsed="false">
      <c r="A846" s="6" t="s">
        <v>7009</v>
      </c>
      <c r="B846" s="6" t="s">
        <v>6987</v>
      </c>
      <c r="C846" s="6" t="s">
        <v>6988</v>
      </c>
      <c r="D846" s="6" t="s">
        <v>6989</v>
      </c>
      <c r="E846" s="6" t="s">
        <v>7010</v>
      </c>
      <c r="F846" s="6" t="s">
        <v>7011</v>
      </c>
      <c r="G846" s="13" t="n">
        <v>35</v>
      </c>
      <c r="H846" s="6" t="s">
        <v>3751</v>
      </c>
      <c r="I846" s="6" t="s">
        <v>13</v>
      </c>
      <c r="J846" s="6" t="s">
        <v>281</v>
      </c>
      <c r="K846" s="6" t="s">
        <v>7002</v>
      </c>
      <c r="M846" s="6"/>
    </row>
    <row r="847" customFormat="false" ht="15" hidden="false" customHeight="false" outlineLevel="0" collapsed="false">
      <c r="A847" s="6" t="s">
        <v>7012</v>
      </c>
      <c r="B847" s="6" t="s">
        <v>6987</v>
      </c>
      <c r="C847" s="6" t="s">
        <v>6988</v>
      </c>
      <c r="D847" s="6" t="s">
        <v>6989</v>
      </c>
      <c r="E847" s="6" t="s">
        <v>7013</v>
      </c>
      <c r="F847" s="6" t="s">
        <v>7011</v>
      </c>
      <c r="G847" s="13" t="n">
        <v>30</v>
      </c>
      <c r="H847" s="6" t="s">
        <v>3751</v>
      </c>
      <c r="I847" s="6" t="s">
        <v>13</v>
      </c>
      <c r="J847" s="6" t="s">
        <v>281</v>
      </c>
      <c r="K847" s="6" t="s">
        <v>7002</v>
      </c>
      <c r="M847" s="6" t="s">
        <v>7014</v>
      </c>
    </row>
    <row r="848" customFormat="false" ht="15" hidden="false" customHeight="false" outlineLevel="0" collapsed="false">
      <c r="A848" s="6" t="s">
        <v>7015</v>
      </c>
      <c r="B848" s="6" t="s">
        <v>6987</v>
      </c>
      <c r="C848" s="6" t="s">
        <v>6988</v>
      </c>
      <c r="D848" s="6" t="s">
        <v>6989</v>
      </c>
      <c r="E848" s="6" t="s">
        <v>7016</v>
      </c>
      <c r="F848" s="6" t="s">
        <v>7017</v>
      </c>
      <c r="G848" s="13" t="n">
        <v>55</v>
      </c>
      <c r="H848" s="6" t="s">
        <v>3751</v>
      </c>
      <c r="I848" s="6" t="s">
        <v>13</v>
      </c>
      <c r="J848" s="6" t="s">
        <v>281</v>
      </c>
      <c r="K848" s="6" t="s">
        <v>7002</v>
      </c>
      <c r="M848" s="6" t="s">
        <v>7018</v>
      </c>
    </row>
    <row r="849" customFormat="false" ht="15" hidden="false" customHeight="false" outlineLevel="0" collapsed="false">
      <c r="A849" s="6" t="s">
        <v>7019</v>
      </c>
      <c r="B849" s="6" t="s">
        <v>6987</v>
      </c>
      <c r="C849" s="6" t="s">
        <v>6988</v>
      </c>
      <c r="D849" s="6" t="s">
        <v>6989</v>
      </c>
      <c r="E849" s="6" t="s">
        <v>7020</v>
      </c>
      <c r="F849" s="6" t="s">
        <v>7017</v>
      </c>
      <c r="G849" s="13" t="n">
        <v>45</v>
      </c>
      <c r="H849" s="6" t="s">
        <v>3751</v>
      </c>
      <c r="I849" s="6" t="s">
        <v>13</v>
      </c>
      <c r="J849" s="6" t="s">
        <v>281</v>
      </c>
      <c r="K849" s="6" t="s">
        <v>7002</v>
      </c>
      <c r="M849" s="6" t="s">
        <v>7018</v>
      </c>
    </row>
    <row r="850" customFormat="false" ht="15" hidden="false" customHeight="false" outlineLevel="0" collapsed="false">
      <c r="A850" s="6" t="s">
        <v>7021</v>
      </c>
      <c r="B850" s="6" t="s">
        <v>6987</v>
      </c>
      <c r="C850" s="6" t="s">
        <v>6988</v>
      </c>
      <c r="D850" s="6" t="s">
        <v>6989</v>
      </c>
      <c r="E850" s="6" t="s">
        <v>7022</v>
      </c>
      <c r="F850" s="6" t="s">
        <v>7023</v>
      </c>
      <c r="H850" s="6" t="s">
        <v>7024</v>
      </c>
      <c r="I850" s="6" t="s">
        <v>13</v>
      </c>
      <c r="J850" s="6" t="s">
        <v>265</v>
      </c>
      <c r="K850" s="6" t="s">
        <v>6997</v>
      </c>
      <c r="M850" s="6" t="s">
        <v>7025</v>
      </c>
    </row>
    <row r="851" customFormat="false" ht="15" hidden="false" customHeight="false" outlineLevel="0" collapsed="false">
      <c r="A851" s="6" t="s">
        <v>7026</v>
      </c>
      <c r="B851" s="6" t="s">
        <v>5325</v>
      </c>
      <c r="C851" s="6" t="s">
        <v>5316</v>
      </c>
      <c r="D851" s="6" t="s">
        <v>6989</v>
      </c>
      <c r="E851" s="6" t="s">
        <v>7027</v>
      </c>
      <c r="F851" s="6" t="s">
        <v>7028</v>
      </c>
      <c r="G851" s="9" t="n">
        <v>10758</v>
      </c>
      <c r="H851" s="6" t="s">
        <v>384</v>
      </c>
      <c r="I851" s="6" t="s">
        <v>13</v>
      </c>
      <c r="J851" s="6" t="s">
        <v>261</v>
      </c>
      <c r="K851" s="6" t="s">
        <v>7029</v>
      </c>
      <c r="M851" s="6" t="s">
        <v>7030</v>
      </c>
    </row>
    <row r="852" customFormat="false" ht="15" hidden="false" customHeight="false" outlineLevel="0" collapsed="false">
      <c r="A852" s="6" t="s">
        <v>7031</v>
      </c>
      <c r="B852" s="6" t="s">
        <v>5325</v>
      </c>
      <c r="C852" s="6" t="s">
        <v>5316</v>
      </c>
      <c r="D852" s="6" t="s">
        <v>6989</v>
      </c>
      <c r="E852" s="6" t="s">
        <v>7032</v>
      </c>
      <c r="F852" s="6" t="s">
        <v>7033</v>
      </c>
      <c r="G852" s="9" t="n">
        <v>10678</v>
      </c>
      <c r="H852" s="6" t="s">
        <v>384</v>
      </c>
      <c r="I852" s="6" t="s">
        <v>13</v>
      </c>
      <c r="J852" s="6" t="s">
        <v>261</v>
      </c>
      <c r="K852" s="6" t="s">
        <v>7029</v>
      </c>
      <c r="M852" s="6" t="s">
        <v>7030</v>
      </c>
    </row>
    <row r="853" customFormat="false" ht="15" hidden="false" customHeight="false" outlineLevel="0" collapsed="false">
      <c r="A853" s="6" t="s">
        <v>7034</v>
      </c>
      <c r="B853" s="6" t="s">
        <v>7035</v>
      </c>
      <c r="C853" s="6" t="s">
        <v>6988</v>
      </c>
      <c r="D853" s="6" t="s">
        <v>6989</v>
      </c>
      <c r="E853" s="6" t="s">
        <v>7036</v>
      </c>
      <c r="F853" s="6" t="s">
        <v>7037</v>
      </c>
      <c r="H853" s="6" t="s">
        <v>7024</v>
      </c>
      <c r="I853" s="6" t="s">
        <v>13</v>
      </c>
      <c r="J853" s="6" t="s">
        <v>281</v>
      </c>
      <c r="K853" s="6" t="s">
        <v>7002</v>
      </c>
      <c r="M853" s="6"/>
    </row>
    <row r="854" customFormat="false" ht="15" hidden="false" customHeight="false" outlineLevel="0" collapsed="false">
      <c r="A854" s="6" t="s">
        <v>7038</v>
      </c>
      <c r="B854" s="6" t="s">
        <v>7039</v>
      </c>
      <c r="C854" s="6" t="s">
        <v>6234</v>
      </c>
      <c r="D854" s="6" t="s">
        <v>6989</v>
      </c>
      <c r="E854" s="6" t="s">
        <v>7040</v>
      </c>
      <c r="F854" s="6" t="s">
        <v>7041</v>
      </c>
      <c r="G854" s="19" t="n">
        <v>20</v>
      </c>
      <c r="H854" s="6" t="s">
        <v>5105</v>
      </c>
      <c r="I854" s="6" t="s">
        <v>13</v>
      </c>
      <c r="J854" s="6" t="s">
        <v>281</v>
      </c>
      <c r="K854" s="6" t="s">
        <v>7002</v>
      </c>
      <c r="M854" s="6" t="s">
        <v>7042</v>
      </c>
    </row>
    <row r="855" customFormat="false" ht="15" hidden="false" customHeight="false" outlineLevel="0" collapsed="false">
      <c r="A855" s="6" t="s">
        <v>7043</v>
      </c>
      <c r="B855" s="6" t="s">
        <v>7039</v>
      </c>
      <c r="C855" s="6" t="s">
        <v>6234</v>
      </c>
      <c r="D855" s="6" t="s">
        <v>6989</v>
      </c>
      <c r="E855" s="6" t="s">
        <v>7040</v>
      </c>
      <c r="F855" s="6" t="s">
        <v>7044</v>
      </c>
      <c r="G855" s="19" t="n">
        <v>20</v>
      </c>
      <c r="H855" s="6" t="s">
        <v>5105</v>
      </c>
      <c r="I855" s="6" t="s">
        <v>13</v>
      </c>
      <c r="J855" s="6" t="s">
        <v>261</v>
      </c>
      <c r="K855" s="6" t="s">
        <v>7029</v>
      </c>
      <c r="M855" s="6" t="s">
        <v>7045</v>
      </c>
    </row>
    <row r="856" customFormat="false" ht="15" hidden="false" customHeight="false" outlineLevel="0" collapsed="false">
      <c r="A856" s="6" t="s">
        <v>7046</v>
      </c>
      <c r="B856" s="6" t="s">
        <v>5325</v>
      </c>
      <c r="C856" s="6" t="s">
        <v>5316</v>
      </c>
      <c r="D856" s="6" t="s">
        <v>6989</v>
      </c>
      <c r="E856" s="6" t="s">
        <v>7047</v>
      </c>
      <c r="F856" s="6" t="s">
        <v>7048</v>
      </c>
      <c r="G856" s="9" t="n">
        <v>21436</v>
      </c>
      <c r="H856" s="6" t="s">
        <v>384</v>
      </c>
      <c r="I856" s="6" t="s">
        <v>13</v>
      </c>
      <c r="J856" s="6" t="s">
        <v>261</v>
      </c>
      <c r="K856" s="6" t="s">
        <v>7029</v>
      </c>
      <c r="M856" s="6" t="s">
        <v>7049</v>
      </c>
    </row>
    <row r="857" customFormat="false" ht="15" hidden="false" customHeight="false" outlineLevel="0" collapsed="false">
      <c r="A857" s="6" t="s">
        <v>7050</v>
      </c>
      <c r="B857" s="6" t="s">
        <v>5325</v>
      </c>
      <c r="C857" s="6" t="s">
        <v>5316</v>
      </c>
      <c r="D857" s="6" t="s">
        <v>7051</v>
      </c>
      <c r="E857" s="6" t="s">
        <v>7052</v>
      </c>
      <c r="F857" s="6" t="s">
        <v>7053</v>
      </c>
      <c r="G857" s="9" t="n">
        <v>13200</v>
      </c>
      <c r="H857" s="6" t="s">
        <v>384</v>
      </c>
      <c r="I857" s="6" t="s">
        <v>13</v>
      </c>
      <c r="J857" s="6" t="s">
        <v>261</v>
      </c>
      <c r="K857" s="6" t="s">
        <v>6109</v>
      </c>
      <c r="M857" s="6" t="s">
        <v>7054</v>
      </c>
    </row>
    <row r="858" customFormat="false" ht="15" hidden="false" customHeight="false" outlineLevel="0" collapsed="false">
      <c r="A858" s="6" t="s">
        <v>7055</v>
      </c>
      <c r="B858" s="6" t="s">
        <v>5325</v>
      </c>
      <c r="C858" s="6" t="s">
        <v>5316</v>
      </c>
      <c r="D858" s="6" t="s">
        <v>7051</v>
      </c>
      <c r="E858" s="6" t="s">
        <v>7056</v>
      </c>
      <c r="F858" s="6" t="s">
        <v>7057</v>
      </c>
      <c r="G858" s="9" t="n">
        <v>900</v>
      </c>
      <c r="H858" s="6" t="s">
        <v>384</v>
      </c>
      <c r="I858" s="6" t="s">
        <v>13</v>
      </c>
      <c r="J858" s="6" t="s">
        <v>261</v>
      </c>
      <c r="K858" s="6" t="s">
        <v>7058</v>
      </c>
      <c r="M858" s="6"/>
    </row>
    <row r="859" customFormat="false" ht="15" hidden="false" customHeight="false" outlineLevel="0" collapsed="false">
      <c r="A859" s="6" t="s">
        <v>7059</v>
      </c>
      <c r="B859" s="6" t="s">
        <v>5249</v>
      </c>
      <c r="C859" s="6" t="s">
        <v>5050</v>
      </c>
      <c r="D859" s="6" t="s">
        <v>7051</v>
      </c>
      <c r="E859" s="6" t="s">
        <v>7060</v>
      </c>
      <c r="F859" s="6" t="s">
        <v>7061</v>
      </c>
      <c r="G859" s="9" t="n">
        <v>9851</v>
      </c>
      <c r="H859" s="6" t="s">
        <v>384</v>
      </c>
      <c r="I859" s="6" t="s">
        <v>13</v>
      </c>
      <c r="J859" s="6" t="s">
        <v>261</v>
      </c>
      <c r="K859" s="6" t="s">
        <v>7062</v>
      </c>
      <c r="M859" s="6"/>
    </row>
    <row r="860" customFormat="false" ht="15" hidden="false" customHeight="false" outlineLevel="0" collapsed="false">
      <c r="A860" s="6" t="s">
        <v>7063</v>
      </c>
      <c r="B860" s="6" t="s">
        <v>5249</v>
      </c>
      <c r="C860" s="6" t="s">
        <v>5050</v>
      </c>
      <c r="D860" s="6" t="s">
        <v>7051</v>
      </c>
      <c r="E860" s="6" t="s">
        <v>7064</v>
      </c>
      <c r="F860" s="6" t="s">
        <v>7065</v>
      </c>
      <c r="G860" s="9" t="n">
        <v>3228</v>
      </c>
      <c r="H860" s="6" t="s">
        <v>384</v>
      </c>
      <c r="I860" s="6" t="s">
        <v>13</v>
      </c>
      <c r="J860" s="6" t="s">
        <v>261</v>
      </c>
      <c r="K860" s="6" t="s">
        <v>7066</v>
      </c>
      <c r="M860" s="6" t="s">
        <v>7067</v>
      </c>
    </row>
    <row r="861" customFormat="false" ht="15" hidden="false" customHeight="false" outlineLevel="0" collapsed="false">
      <c r="A861" s="6" t="s">
        <v>7068</v>
      </c>
      <c r="B861" s="6" t="s">
        <v>5072</v>
      </c>
      <c r="C861" s="6" t="s">
        <v>5050</v>
      </c>
      <c r="D861" s="6" t="s">
        <v>7051</v>
      </c>
      <c r="E861" s="6" t="s">
        <v>7069</v>
      </c>
      <c r="F861" s="6" t="s">
        <v>7070</v>
      </c>
      <c r="G861" s="9" t="n">
        <v>6000</v>
      </c>
      <c r="H861" s="6" t="s">
        <v>384</v>
      </c>
      <c r="I861" s="6" t="s">
        <v>13</v>
      </c>
      <c r="J861" s="6" t="s">
        <v>261</v>
      </c>
      <c r="K861" s="6" t="s">
        <v>7071</v>
      </c>
      <c r="M861" s="6"/>
    </row>
    <row r="862" customFormat="false" ht="15" hidden="false" customHeight="false" outlineLevel="0" collapsed="false">
      <c r="A862" s="6" t="s">
        <v>7072</v>
      </c>
      <c r="B862" s="6" t="s">
        <v>5249</v>
      </c>
      <c r="C862" s="6" t="s">
        <v>5050</v>
      </c>
      <c r="D862" s="6" t="s">
        <v>7051</v>
      </c>
      <c r="E862" s="6" t="s">
        <v>7069</v>
      </c>
      <c r="F862" s="6" t="s">
        <v>7070</v>
      </c>
      <c r="G862" s="9" t="n">
        <v>10332</v>
      </c>
      <c r="H862" s="6" t="s">
        <v>384</v>
      </c>
      <c r="I862" s="6" t="s">
        <v>13</v>
      </c>
      <c r="J862" s="6" t="s">
        <v>261</v>
      </c>
      <c r="K862" s="6" t="s">
        <v>7071</v>
      </c>
      <c r="M862" s="6" t="s">
        <v>7073</v>
      </c>
    </row>
    <row r="863" customFormat="false" ht="15" hidden="false" customHeight="false" outlineLevel="0" collapsed="false">
      <c r="A863" s="6" t="s">
        <v>7074</v>
      </c>
      <c r="B863" s="6" t="s">
        <v>5113</v>
      </c>
      <c r="C863" s="6" t="s">
        <v>4975</v>
      </c>
      <c r="D863" s="6" t="s">
        <v>7051</v>
      </c>
      <c r="E863" s="6" t="s">
        <v>7075</v>
      </c>
      <c r="F863" s="6" t="s">
        <v>7076</v>
      </c>
      <c r="G863" s="9" t="n">
        <v>-6000</v>
      </c>
      <c r="H863" s="6" t="s">
        <v>384</v>
      </c>
      <c r="I863" s="6" t="s">
        <v>13</v>
      </c>
      <c r="J863" s="6" t="s">
        <v>233</v>
      </c>
      <c r="K863" s="6" t="s">
        <v>6027</v>
      </c>
      <c r="M863" s="6" t="s">
        <v>7077</v>
      </c>
    </row>
    <row r="864" customFormat="false" ht="15" hidden="false" customHeight="false" outlineLevel="0" collapsed="false">
      <c r="A864" s="6" t="s">
        <v>7078</v>
      </c>
      <c r="B864" s="6" t="s">
        <v>5072</v>
      </c>
      <c r="C864" s="6" t="s">
        <v>5050</v>
      </c>
      <c r="D864" s="6" t="s">
        <v>7051</v>
      </c>
      <c r="E864" s="6" t="s">
        <v>7079</v>
      </c>
      <c r="F864" s="6" t="s">
        <v>7080</v>
      </c>
      <c r="G864" s="9" t="n">
        <v>6000</v>
      </c>
      <c r="H864" s="6" t="s">
        <v>384</v>
      </c>
      <c r="I864" s="6" t="s">
        <v>13</v>
      </c>
      <c r="J864" s="6" t="s">
        <v>233</v>
      </c>
      <c r="K864" s="6" t="s">
        <v>7081</v>
      </c>
      <c r="M864" s="6" t="s">
        <v>7082</v>
      </c>
    </row>
    <row r="865" customFormat="false" ht="15" hidden="false" customHeight="false" outlineLevel="0" collapsed="false">
      <c r="A865" s="6" t="s">
        <v>7083</v>
      </c>
      <c r="B865" s="6" t="s">
        <v>5113</v>
      </c>
      <c r="C865" s="6" t="s">
        <v>4975</v>
      </c>
      <c r="D865" s="6" t="s">
        <v>7051</v>
      </c>
      <c r="E865" s="6" t="s">
        <v>7084</v>
      </c>
      <c r="F865" s="6" t="s">
        <v>7085</v>
      </c>
      <c r="G865" s="9" t="n">
        <v>6000</v>
      </c>
      <c r="H865" s="6" t="s">
        <v>384</v>
      </c>
      <c r="I865" s="6" t="s">
        <v>13</v>
      </c>
      <c r="J865" s="6" t="s">
        <v>228</v>
      </c>
      <c r="K865" s="6" t="s">
        <v>6022</v>
      </c>
      <c r="M865" s="6" t="s">
        <v>7086</v>
      </c>
    </row>
    <row r="866" customFormat="false" ht="15" hidden="false" customHeight="false" outlineLevel="0" collapsed="false">
      <c r="A866" s="6" t="s">
        <v>7087</v>
      </c>
      <c r="B866" s="6" t="s">
        <v>5067</v>
      </c>
      <c r="C866" s="6" t="s">
        <v>5050</v>
      </c>
      <c r="D866" s="6" t="s">
        <v>7051</v>
      </c>
      <c r="E866" s="6" t="s">
        <v>7088</v>
      </c>
      <c r="F866" s="6" t="s">
        <v>7089</v>
      </c>
      <c r="G866" s="9" t="n">
        <v>6000</v>
      </c>
      <c r="H866" s="6" t="s">
        <v>384</v>
      </c>
      <c r="I866" s="6" t="s">
        <v>13</v>
      </c>
      <c r="J866" s="6" t="s">
        <v>228</v>
      </c>
      <c r="K866" s="6" t="s">
        <v>7090</v>
      </c>
      <c r="M866" s="6" t="s">
        <v>7091</v>
      </c>
    </row>
    <row r="867" customFormat="false" ht="15" hidden="false" customHeight="false" outlineLevel="0" collapsed="false">
      <c r="A867" s="6" t="s">
        <v>7092</v>
      </c>
      <c r="B867" s="6" t="s">
        <v>5249</v>
      </c>
      <c r="C867" s="6" t="s">
        <v>5050</v>
      </c>
      <c r="D867" s="6" t="s">
        <v>7051</v>
      </c>
      <c r="E867" s="6" t="s">
        <v>7093</v>
      </c>
      <c r="F867" s="6" t="s">
        <v>7094</v>
      </c>
      <c r="G867" s="9" t="n">
        <v>6000</v>
      </c>
      <c r="H867" s="6" t="s">
        <v>384</v>
      </c>
      <c r="I867" s="6" t="s">
        <v>13</v>
      </c>
      <c r="J867" s="6" t="s">
        <v>261</v>
      </c>
      <c r="K867" s="6" t="s">
        <v>7071</v>
      </c>
      <c r="M867" s="6"/>
    </row>
    <row r="868" customFormat="false" ht="15" hidden="false" customHeight="false" outlineLevel="0" collapsed="false">
      <c r="A868" s="6" t="s">
        <v>7095</v>
      </c>
      <c r="B868" s="6" t="s">
        <v>5325</v>
      </c>
      <c r="C868" s="6" t="s">
        <v>5316</v>
      </c>
      <c r="D868" s="6" t="s">
        <v>7051</v>
      </c>
      <c r="E868" s="6" t="s">
        <v>7096</v>
      </c>
      <c r="F868" s="6" t="s">
        <v>7097</v>
      </c>
      <c r="G868" s="13" t="n">
        <v>10.3</v>
      </c>
      <c r="H868" s="6" t="s">
        <v>3751</v>
      </c>
      <c r="I868" s="6" t="s">
        <v>13</v>
      </c>
      <c r="J868" s="6" t="s">
        <v>265</v>
      </c>
      <c r="K868" s="6" t="s">
        <v>7098</v>
      </c>
      <c r="M868" s="6"/>
    </row>
    <row r="869" customFormat="false" ht="15" hidden="false" customHeight="false" outlineLevel="0" collapsed="false">
      <c r="A869" s="6" t="s">
        <v>7099</v>
      </c>
      <c r="B869" s="6" t="s">
        <v>7100</v>
      </c>
      <c r="C869" s="6" t="s">
        <v>6234</v>
      </c>
      <c r="D869" s="6" t="s">
        <v>7051</v>
      </c>
      <c r="E869" s="6" t="s">
        <v>7101</v>
      </c>
      <c r="F869" s="6" t="s">
        <v>7102</v>
      </c>
      <c r="G869" s="9" t="n">
        <v>3368</v>
      </c>
      <c r="H869" s="6" t="s">
        <v>384</v>
      </c>
      <c r="I869" s="6" t="s">
        <v>13</v>
      </c>
      <c r="J869" s="6" t="s">
        <v>261</v>
      </c>
      <c r="K869" s="6" t="s">
        <v>7103</v>
      </c>
      <c r="M869" s="6" t="s">
        <v>7104</v>
      </c>
    </row>
    <row r="870" customFormat="false" ht="15" hidden="false" customHeight="false" outlineLevel="0" collapsed="false">
      <c r="A870" s="6" t="s">
        <v>7105</v>
      </c>
      <c r="B870" s="6" t="s">
        <v>7100</v>
      </c>
      <c r="C870" s="6" t="s">
        <v>6234</v>
      </c>
      <c r="D870" s="6" t="s">
        <v>7051</v>
      </c>
      <c r="E870" s="6" t="s">
        <v>7106</v>
      </c>
      <c r="F870" s="6" t="s">
        <v>7107</v>
      </c>
      <c r="G870" s="9" t="n">
        <v>881</v>
      </c>
      <c r="H870" s="6" t="s">
        <v>384</v>
      </c>
      <c r="I870" s="6" t="s">
        <v>13</v>
      </c>
      <c r="J870" s="6" t="s">
        <v>261</v>
      </c>
      <c r="K870" s="6" t="s">
        <v>7103</v>
      </c>
      <c r="M870" s="6"/>
    </row>
    <row r="871" customFormat="false" ht="15" hidden="false" customHeight="false" outlineLevel="0" collapsed="false">
      <c r="A871" s="6" t="s">
        <v>7108</v>
      </c>
      <c r="B871" s="6" t="s">
        <v>7100</v>
      </c>
      <c r="C871" s="6" t="s">
        <v>6234</v>
      </c>
      <c r="D871" s="6" t="s">
        <v>7051</v>
      </c>
      <c r="E871" s="6" t="s">
        <v>7109</v>
      </c>
      <c r="F871" s="6" t="s">
        <v>7110</v>
      </c>
      <c r="G871" s="9" t="n">
        <v>9851</v>
      </c>
      <c r="H871" s="6" t="s">
        <v>384</v>
      </c>
      <c r="I871" s="6" t="s">
        <v>13</v>
      </c>
      <c r="J871" s="6" t="s">
        <v>261</v>
      </c>
      <c r="K871" s="6" t="s">
        <v>7103</v>
      </c>
      <c r="M871" s="6" t="s">
        <v>7111</v>
      </c>
    </row>
    <row r="872" customFormat="false" ht="15" hidden="false" customHeight="false" outlineLevel="0" collapsed="false">
      <c r="A872" s="6" t="s">
        <v>7112</v>
      </c>
      <c r="B872" s="6" t="s">
        <v>7100</v>
      </c>
      <c r="C872" s="6" t="s">
        <v>6234</v>
      </c>
      <c r="D872" s="6" t="s">
        <v>7051</v>
      </c>
      <c r="E872" s="6" t="s">
        <v>7113</v>
      </c>
      <c r="F872" s="6" t="s">
        <v>7114</v>
      </c>
      <c r="G872" s="19" t="n">
        <v>10</v>
      </c>
      <c r="H872" s="6" t="s">
        <v>5307</v>
      </c>
      <c r="I872" s="6" t="s">
        <v>13</v>
      </c>
      <c r="J872" s="6" t="s">
        <v>261</v>
      </c>
      <c r="K872" s="6" t="s">
        <v>7115</v>
      </c>
      <c r="M872" s="6"/>
    </row>
    <row r="873" customFormat="false" ht="15" hidden="false" customHeight="false" outlineLevel="0" collapsed="false">
      <c r="A873" s="6" t="s">
        <v>7116</v>
      </c>
      <c r="B873" s="6" t="s">
        <v>7100</v>
      </c>
      <c r="C873" s="6" t="s">
        <v>6234</v>
      </c>
      <c r="D873" s="6" t="s">
        <v>7051</v>
      </c>
      <c r="E873" s="6" t="s">
        <v>7117</v>
      </c>
      <c r="F873" s="6" t="s">
        <v>7118</v>
      </c>
      <c r="G873" s="9" t="n">
        <v>6050</v>
      </c>
      <c r="H873" s="6" t="s">
        <v>384</v>
      </c>
      <c r="I873" s="6" t="s">
        <v>13</v>
      </c>
      <c r="J873" s="6" t="s">
        <v>261</v>
      </c>
      <c r="K873" s="6" t="s">
        <v>7115</v>
      </c>
      <c r="M873" s="6"/>
    </row>
    <row r="874" customFormat="false" ht="15" hidden="false" customHeight="false" outlineLevel="0" collapsed="false">
      <c r="A874" s="6" t="s">
        <v>7119</v>
      </c>
      <c r="B874" s="6" t="s">
        <v>7100</v>
      </c>
      <c r="C874" s="6" t="s">
        <v>6234</v>
      </c>
      <c r="D874" s="6" t="s">
        <v>7051</v>
      </c>
      <c r="E874" s="6" t="s">
        <v>7120</v>
      </c>
      <c r="F874" s="6" t="s">
        <v>7121</v>
      </c>
      <c r="G874" s="9" t="n">
        <v>3371</v>
      </c>
      <c r="H874" s="6" t="s">
        <v>384</v>
      </c>
      <c r="I874" s="6" t="s">
        <v>13</v>
      </c>
      <c r="J874" s="6" t="s">
        <v>261</v>
      </c>
      <c r="K874" s="6" t="s">
        <v>7115</v>
      </c>
      <c r="M874" s="6"/>
    </row>
    <row r="875" customFormat="false" ht="15" hidden="false" customHeight="false" outlineLevel="0" collapsed="false">
      <c r="A875" s="6" t="s">
        <v>7122</v>
      </c>
      <c r="B875" s="6" t="s">
        <v>7100</v>
      </c>
      <c r="C875" s="6" t="s">
        <v>6234</v>
      </c>
      <c r="D875" s="6" t="s">
        <v>7051</v>
      </c>
      <c r="E875" s="6" t="s">
        <v>7123</v>
      </c>
      <c r="F875" s="6" t="s">
        <v>7124</v>
      </c>
      <c r="G875" s="9" t="n">
        <v>9421</v>
      </c>
      <c r="H875" s="6" t="s">
        <v>384</v>
      </c>
      <c r="I875" s="6" t="s">
        <v>13</v>
      </c>
      <c r="J875" s="6" t="s">
        <v>261</v>
      </c>
      <c r="K875" s="6" t="s">
        <v>7115</v>
      </c>
      <c r="M875" s="6" t="s">
        <v>7125</v>
      </c>
    </row>
    <row r="876" customFormat="false" ht="15" hidden="false" customHeight="false" outlineLevel="0" collapsed="false">
      <c r="A876" s="6" t="s">
        <v>7126</v>
      </c>
      <c r="B876" s="6" t="s">
        <v>7100</v>
      </c>
      <c r="C876" s="6" t="s">
        <v>6234</v>
      </c>
      <c r="D876" s="6" t="s">
        <v>7051</v>
      </c>
      <c r="E876" s="6" t="s">
        <v>7127</v>
      </c>
      <c r="F876" s="6" t="s">
        <v>7128</v>
      </c>
      <c r="H876" s="6" t="s">
        <v>7024</v>
      </c>
      <c r="I876" s="6" t="s">
        <v>13</v>
      </c>
      <c r="J876" s="6" t="s">
        <v>261</v>
      </c>
      <c r="K876" s="6" t="s">
        <v>7115</v>
      </c>
      <c r="M876" s="6" t="s">
        <v>7129</v>
      </c>
    </row>
    <row r="877" customFormat="false" ht="15" hidden="false" customHeight="false" outlineLevel="0" collapsed="false">
      <c r="A877" s="6" t="s">
        <v>7130</v>
      </c>
      <c r="B877" s="6" t="s">
        <v>7100</v>
      </c>
      <c r="C877" s="6" t="s">
        <v>6234</v>
      </c>
      <c r="D877" s="6" t="s">
        <v>7051</v>
      </c>
      <c r="E877" s="6" t="s">
        <v>7131</v>
      </c>
      <c r="F877" s="6" t="s">
        <v>7132</v>
      </c>
      <c r="G877" s="9" t="n">
        <v>1500</v>
      </c>
      <c r="H877" s="6" t="s">
        <v>384</v>
      </c>
      <c r="I877" s="6" t="s">
        <v>13</v>
      </c>
      <c r="J877" s="6" t="s">
        <v>261</v>
      </c>
      <c r="K877" s="6" t="s">
        <v>7115</v>
      </c>
      <c r="M877" s="6"/>
    </row>
    <row r="878" customFormat="false" ht="15" hidden="false" customHeight="false" outlineLevel="0" collapsed="false">
      <c r="A878" s="6" t="s">
        <v>7133</v>
      </c>
      <c r="B878" s="6" t="s">
        <v>7100</v>
      </c>
      <c r="C878" s="6" t="s">
        <v>6234</v>
      </c>
      <c r="D878" s="6" t="s">
        <v>7051</v>
      </c>
      <c r="E878" s="6" t="s">
        <v>7134</v>
      </c>
      <c r="F878" s="6" t="s">
        <v>7135</v>
      </c>
      <c r="G878" s="9" t="n">
        <v>12600</v>
      </c>
      <c r="H878" s="6" t="s">
        <v>384</v>
      </c>
      <c r="I878" s="6" t="s">
        <v>13</v>
      </c>
      <c r="J878" s="6" t="s">
        <v>261</v>
      </c>
      <c r="K878" s="6" t="s">
        <v>7115</v>
      </c>
      <c r="M878" s="6"/>
    </row>
    <row r="879" customFormat="false" ht="15" hidden="false" customHeight="false" outlineLevel="0" collapsed="false">
      <c r="A879" s="6" t="s">
        <v>7136</v>
      </c>
      <c r="B879" s="6" t="s">
        <v>7100</v>
      </c>
      <c r="C879" s="6" t="s">
        <v>6234</v>
      </c>
      <c r="D879" s="6" t="s">
        <v>7051</v>
      </c>
      <c r="E879" s="6" t="s">
        <v>7137</v>
      </c>
      <c r="F879" s="6" t="s">
        <v>7138</v>
      </c>
      <c r="G879" s="9" t="n">
        <v>14100</v>
      </c>
      <c r="H879" s="6" t="s">
        <v>384</v>
      </c>
      <c r="I879" s="6" t="s">
        <v>13</v>
      </c>
      <c r="J879" s="6" t="s">
        <v>261</v>
      </c>
      <c r="K879" s="6" t="s">
        <v>7115</v>
      </c>
      <c r="M879" s="6" t="s">
        <v>7139</v>
      </c>
    </row>
    <row r="880" customFormat="false" ht="15" hidden="false" customHeight="false" outlineLevel="0" collapsed="false">
      <c r="A880" s="6" t="s">
        <v>7140</v>
      </c>
      <c r="B880" s="6" t="s">
        <v>5249</v>
      </c>
      <c r="C880" s="6" t="s">
        <v>5050</v>
      </c>
      <c r="D880" s="6" t="s">
        <v>7051</v>
      </c>
      <c r="E880" s="6" t="s">
        <v>7141</v>
      </c>
      <c r="F880" s="6" t="s">
        <v>7142</v>
      </c>
      <c r="G880" s="13" t="n">
        <v>50</v>
      </c>
      <c r="H880" s="6" t="s">
        <v>3751</v>
      </c>
      <c r="I880" s="6" t="s">
        <v>13</v>
      </c>
      <c r="J880" s="6" t="s">
        <v>265</v>
      </c>
      <c r="K880" s="6" t="s">
        <v>7098</v>
      </c>
      <c r="M880" s="6"/>
    </row>
    <row r="881" customFormat="false" ht="15" hidden="false" customHeight="false" outlineLevel="0" collapsed="false">
      <c r="A881" s="6" t="s">
        <v>7143</v>
      </c>
      <c r="B881" s="6" t="s">
        <v>5325</v>
      </c>
      <c r="C881" s="6" t="s">
        <v>5316</v>
      </c>
      <c r="D881" s="6" t="s">
        <v>7144</v>
      </c>
      <c r="E881" s="6" t="s">
        <v>7145</v>
      </c>
      <c r="F881" s="6" t="s">
        <v>7146</v>
      </c>
      <c r="G881" s="9" t="n">
        <v>734971</v>
      </c>
      <c r="H881" s="6" t="s">
        <v>384</v>
      </c>
      <c r="I881" s="6" t="s">
        <v>13</v>
      </c>
      <c r="J881" s="6" t="s">
        <v>261</v>
      </c>
      <c r="K881" s="6" t="s">
        <v>7147</v>
      </c>
      <c r="M881" s="6"/>
    </row>
    <row r="882" customFormat="false" ht="15" hidden="false" customHeight="false" outlineLevel="0" collapsed="false">
      <c r="A882" s="6" t="s">
        <v>7148</v>
      </c>
      <c r="B882" s="6" t="s">
        <v>5079</v>
      </c>
      <c r="C882" s="6" t="s">
        <v>4975</v>
      </c>
      <c r="D882" s="6" t="s">
        <v>7144</v>
      </c>
      <c r="E882" s="6" t="s">
        <v>7149</v>
      </c>
      <c r="F882" s="6" t="s">
        <v>7150</v>
      </c>
      <c r="G882" s="9" t="n">
        <v>135028</v>
      </c>
      <c r="H882" s="6" t="s">
        <v>384</v>
      </c>
      <c r="I882" s="6" t="s">
        <v>13</v>
      </c>
      <c r="J882" s="6" t="s">
        <v>233</v>
      </c>
      <c r="K882" s="6" t="s">
        <v>7151</v>
      </c>
      <c r="M882" s="6" t="s">
        <v>7152</v>
      </c>
    </row>
    <row r="883" customFormat="false" ht="15" hidden="false" customHeight="false" outlineLevel="0" collapsed="false">
      <c r="A883" s="6" t="s">
        <v>7153</v>
      </c>
      <c r="B883" s="6" t="s">
        <v>7154</v>
      </c>
      <c r="C883" s="6" t="s">
        <v>7155</v>
      </c>
      <c r="D883" s="6" t="s">
        <v>7144</v>
      </c>
      <c r="E883" s="6" t="s">
        <v>7156</v>
      </c>
      <c r="F883" s="6" t="s">
        <v>7157</v>
      </c>
      <c r="G883" s="9" t="n">
        <v>552758</v>
      </c>
      <c r="H883" s="6" t="s">
        <v>384</v>
      </c>
      <c r="I883" s="6" t="s">
        <v>13</v>
      </c>
      <c r="J883" s="6" t="s">
        <v>233</v>
      </c>
      <c r="K883" s="6" t="s">
        <v>7158</v>
      </c>
      <c r="M883" s="6" t="s">
        <v>7159</v>
      </c>
    </row>
    <row r="884" customFormat="false" ht="15" hidden="false" customHeight="false" outlineLevel="0" collapsed="false">
      <c r="A884" s="6" t="s">
        <v>7160</v>
      </c>
      <c r="B884" s="6" t="s">
        <v>7161</v>
      </c>
      <c r="C884" s="6" t="s">
        <v>7162</v>
      </c>
      <c r="D884" s="6" t="s">
        <v>7144</v>
      </c>
      <c r="E884" s="6" t="s">
        <v>7163</v>
      </c>
      <c r="F884" s="6" t="s">
        <v>7164</v>
      </c>
      <c r="G884" s="19" t="n">
        <v>152.83</v>
      </c>
      <c r="H884" s="6" t="s">
        <v>6356</v>
      </c>
      <c r="I884" s="6" t="s">
        <v>13</v>
      </c>
      <c r="J884" s="6" t="s">
        <v>233</v>
      </c>
      <c r="K884" s="6" t="s">
        <v>7165</v>
      </c>
      <c r="M884" s="6"/>
    </row>
    <row r="885" customFormat="false" ht="15" hidden="false" customHeight="false" outlineLevel="0" collapsed="false">
      <c r="A885" s="6" t="s">
        <v>7166</v>
      </c>
      <c r="B885" s="6" t="s">
        <v>7167</v>
      </c>
      <c r="C885" s="6" t="s">
        <v>7162</v>
      </c>
      <c r="D885" s="6" t="s">
        <v>7144</v>
      </c>
      <c r="E885" s="6" t="s">
        <v>7168</v>
      </c>
      <c r="F885" s="6" t="s">
        <v>7169</v>
      </c>
      <c r="G885" s="19" t="n">
        <v>152.64</v>
      </c>
      <c r="H885" s="6" t="s">
        <v>6356</v>
      </c>
      <c r="I885" s="6" t="s">
        <v>13</v>
      </c>
      <c r="J885" s="6" t="s">
        <v>233</v>
      </c>
      <c r="K885" s="6" t="s">
        <v>7165</v>
      </c>
      <c r="M885" s="6"/>
    </row>
    <row r="886" customFormat="false" ht="15" hidden="false" customHeight="false" outlineLevel="0" collapsed="false">
      <c r="A886" s="6" t="s">
        <v>7170</v>
      </c>
      <c r="B886" s="6" t="s">
        <v>5249</v>
      </c>
      <c r="C886" s="6" t="s">
        <v>5050</v>
      </c>
      <c r="D886" s="6" t="s">
        <v>7144</v>
      </c>
      <c r="E886" s="6" t="s">
        <v>7171</v>
      </c>
      <c r="F886" s="6" t="s">
        <v>7172</v>
      </c>
      <c r="G886" s="13" t="n">
        <v>870</v>
      </c>
      <c r="H886" s="6" t="s">
        <v>3751</v>
      </c>
      <c r="I886" s="6" t="s">
        <v>13</v>
      </c>
      <c r="J886" s="6" t="s">
        <v>265</v>
      </c>
      <c r="K886" s="6" t="s">
        <v>7173</v>
      </c>
      <c r="M886" s="6"/>
    </row>
    <row r="887" customFormat="false" ht="15" hidden="false" customHeight="false" outlineLevel="0" collapsed="false">
      <c r="A887" s="6" t="s">
        <v>7174</v>
      </c>
      <c r="B887" s="6" t="s">
        <v>7175</v>
      </c>
      <c r="C887" s="6" t="s">
        <v>7176</v>
      </c>
      <c r="D887" s="6" t="s">
        <v>7144</v>
      </c>
      <c r="E887" s="6" t="s">
        <v>7177</v>
      </c>
      <c r="F887" s="6" t="s">
        <v>7178</v>
      </c>
      <c r="G887" s="12" t="n">
        <v>10486207</v>
      </c>
      <c r="H887" s="6" t="s">
        <v>3739</v>
      </c>
      <c r="I887" s="6" t="s">
        <v>13</v>
      </c>
      <c r="J887" s="6" t="s">
        <v>310</v>
      </c>
      <c r="K887" s="6" t="s">
        <v>6226</v>
      </c>
      <c r="M887" s="6" t="s">
        <v>7179</v>
      </c>
    </row>
    <row r="888" customFormat="false" ht="15" hidden="false" customHeight="false" outlineLevel="0" collapsed="false">
      <c r="A888" s="6" t="s">
        <v>7180</v>
      </c>
      <c r="B888" s="6" t="s">
        <v>5249</v>
      </c>
      <c r="C888" s="6" t="s">
        <v>5050</v>
      </c>
      <c r="D888" s="6" t="s">
        <v>7144</v>
      </c>
      <c r="E888" s="6" t="s">
        <v>7181</v>
      </c>
      <c r="F888" s="6" t="s">
        <v>7182</v>
      </c>
      <c r="G888" s="12" t="n">
        <v>10486207</v>
      </c>
      <c r="H888" s="6" t="s">
        <v>3739</v>
      </c>
      <c r="I888" s="6" t="s">
        <v>13</v>
      </c>
      <c r="J888" s="6" t="s">
        <v>265</v>
      </c>
      <c r="K888" s="6" t="s">
        <v>7173</v>
      </c>
      <c r="M888" s="6" t="s">
        <v>7183</v>
      </c>
    </row>
    <row r="889" customFormat="false" ht="15" hidden="false" customHeight="false" outlineLevel="0" collapsed="false">
      <c r="A889" s="6" t="s">
        <v>7184</v>
      </c>
      <c r="B889" s="6" t="s">
        <v>5249</v>
      </c>
      <c r="C889" s="6" t="s">
        <v>5050</v>
      </c>
      <c r="D889" s="6" t="s">
        <v>7144</v>
      </c>
      <c r="E889" s="6" t="s">
        <v>7185</v>
      </c>
      <c r="F889" s="6" t="s">
        <v>7186</v>
      </c>
      <c r="G889" s="9" t="n">
        <v>0</v>
      </c>
      <c r="H889" s="6" t="s">
        <v>384</v>
      </c>
      <c r="I889" s="6" t="s">
        <v>13</v>
      </c>
      <c r="J889" s="6" t="s">
        <v>261</v>
      </c>
      <c r="K889" s="6" t="s">
        <v>7147</v>
      </c>
      <c r="M889" s="6"/>
    </row>
    <row r="890" customFormat="false" ht="15" hidden="false" customHeight="false" outlineLevel="0" collapsed="false">
      <c r="A890" s="6" t="s">
        <v>7187</v>
      </c>
      <c r="B890" s="6" t="s">
        <v>5072</v>
      </c>
      <c r="C890" s="6" t="s">
        <v>5050</v>
      </c>
      <c r="D890" s="6" t="s">
        <v>7144</v>
      </c>
      <c r="E890" s="6" t="s">
        <v>7188</v>
      </c>
      <c r="F890" s="6" t="s">
        <v>7164</v>
      </c>
      <c r="G890" s="19" t="n">
        <v>734971570.32</v>
      </c>
      <c r="H890" s="6" t="s">
        <v>6295</v>
      </c>
      <c r="I890" s="6" t="s">
        <v>13</v>
      </c>
      <c r="J890" s="6" t="s">
        <v>233</v>
      </c>
      <c r="K890" s="6" t="s">
        <v>7165</v>
      </c>
      <c r="M890" s="6" t="s">
        <v>7189</v>
      </c>
    </row>
    <row r="891" customFormat="false" ht="15" hidden="false" customHeight="false" outlineLevel="0" collapsed="false">
      <c r="A891" s="6" t="s">
        <v>7190</v>
      </c>
      <c r="B891" s="6" t="s">
        <v>7191</v>
      </c>
      <c r="C891" s="6" t="s">
        <v>5050</v>
      </c>
      <c r="D891" s="6" t="s">
        <v>7144</v>
      </c>
      <c r="E891" s="6" t="s">
        <v>7192</v>
      </c>
      <c r="F891" s="6" t="s">
        <v>7169</v>
      </c>
      <c r="G891" s="19" t="n">
        <v>824982479.5</v>
      </c>
      <c r="H891" s="6" t="s">
        <v>6295</v>
      </c>
      <c r="I891" s="6" t="s">
        <v>13</v>
      </c>
      <c r="J891" s="6" t="s">
        <v>233</v>
      </c>
      <c r="K891" s="6" t="s">
        <v>7165</v>
      </c>
      <c r="M891" s="6" t="s">
        <v>7189</v>
      </c>
    </row>
    <row r="892" customFormat="false" ht="15" hidden="false" customHeight="false" outlineLevel="0" collapsed="false">
      <c r="A892" s="6" t="s">
        <v>7193</v>
      </c>
      <c r="B892" s="6" t="s">
        <v>5072</v>
      </c>
      <c r="C892" s="6" t="s">
        <v>5050</v>
      </c>
      <c r="D892" s="6" t="s">
        <v>7144</v>
      </c>
      <c r="E892" s="6" t="s">
        <v>7194</v>
      </c>
      <c r="F892" s="6" t="s">
        <v>7195</v>
      </c>
      <c r="G892" s="9" t="n">
        <v>734972</v>
      </c>
      <c r="H892" s="6" t="s">
        <v>384</v>
      </c>
      <c r="I892" s="6" t="s">
        <v>13</v>
      </c>
      <c r="J892" s="6" t="s">
        <v>233</v>
      </c>
      <c r="K892" s="6" t="s">
        <v>7151</v>
      </c>
      <c r="M892" s="6" t="s">
        <v>7196</v>
      </c>
    </row>
    <row r="893" customFormat="false" ht="15" hidden="false" customHeight="false" outlineLevel="0" collapsed="false">
      <c r="A893" s="6" t="s">
        <v>7197</v>
      </c>
      <c r="B893" s="6" t="s">
        <v>5325</v>
      </c>
      <c r="C893" s="6" t="s">
        <v>5316</v>
      </c>
      <c r="D893" s="6" t="s">
        <v>7144</v>
      </c>
      <c r="E893" s="6" t="s">
        <v>7198</v>
      </c>
      <c r="F893" s="6" t="s">
        <v>7199</v>
      </c>
      <c r="G893" s="9" t="n">
        <v>734971</v>
      </c>
      <c r="H893" s="6" t="s">
        <v>384</v>
      </c>
      <c r="I893" s="6" t="s">
        <v>13</v>
      </c>
      <c r="J893" s="6" t="s">
        <v>261</v>
      </c>
      <c r="K893" s="6" t="s">
        <v>6109</v>
      </c>
      <c r="M893" s="6" t="s">
        <v>7200</v>
      </c>
    </row>
    <row r="894" customFormat="false" ht="15" hidden="false" customHeight="false" outlineLevel="0" collapsed="false">
      <c r="A894" s="6" t="s">
        <v>7201</v>
      </c>
      <c r="B894" s="6" t="s">
        <v>7202</v>
      </c>
      <c r="C894" s="6" t="s">
        <v>6234</v>
      </c>
      <c r="D894" s="6" t="s">
        <v>7144</v>
      </c>
      <c r="E894" s="6" t="s">
        <v>7203</v>
      </c>
      <c r="F894" s="6" t="s">
        <v>7204</v>
      </c>
      <c r="G894" s="19" t="n">
        <v>30</v>
      </c>
      <c r="H894" s="6" t="s">
        <v>7205</v>
      </c>
      <c r="I894" s="6" t="s">
        <v>13</v>
      </c>
      <c r="J894" s="6" t="s">
        <v>275</v>
      </c>
      <c r="K894" s="6" t="s">
        <v>7206</v>
      </c>
      <c r="M894" s="6"/>
    </row>
    <row r="895" customFormat="false" ht="15" hidden="false" customHeight="false" outlineLevel="0" collapsed="false">
      <c r="A895" s="6" t="s">
        <v>7207</v>
      </c>
      <c r="B895" s="6" t="s">
        <v>5079</v>
      </c>
      <c r="C895" s="6" t="s">
        <v>4975</v>
      </c>
      <c r="D895" s="6" t="s">
        <v>7144</v>
      </c>
      <c r="E895" s="6" t="s">
        <v>7208</v>
      </c>
      <c r="F895" s="6" t="s">
        <v>7209</v>
      </c>
      <c r="G895" s="9" t="n">
        <v>-135028</v>
      </c>
      <c r="H895" s="6" t="s">
        <v>384</v>
      </c>
      <c r="I895" s="6" t="s">
        <v>13</v>
      </c>
      <c r="J895" s="6" t="s">
        <v>233</v>
      </c>
      <c r="K895" s="6" t="s">
        <v>6027</v>
      </c>
      <c r="M895" s="6"/>
    </row>
    <row r="896" customFormat="false" ht="15" hidden="false" customHeight="false" outlineLevel="0" collapsed="false">
      <c r="A896" s="6" t="s">
        <v>7210</v>
      </c>
      <c r="B896" s="6" t="s">
        <v>7211</v>
      </c>
      <c r="C896" s="6" t="s">
        <v>5050</v>
      </c>
      <c r="D896" s="6" t="s">
        <v>7144</v>
      </c>
      <c r="E896" s="6" t="s">
        <v>7212</v>
      </c>
      <c r="F896" s="6" t="s">
        <v>7213</v>
      </c>
      <c r="G896" s="9" t="n">
        <v>870000</v>
      </c>
      <c r="H896" s="6" t="s">
        <v>384</v>
      </c>
      <c r="I896" s="6" t="s">
        <v>13</v>
      </c>
      <c r="J896" s="6" t="s">
        <v>233</v>
      </c>
      <c r="K896" s="6" t="s">
        <v>7151</v>
      </c>
      <c r="M896" s="6"/>
    </row>
    <row r="897" customFormat="false" ht="15" hidden="false" customHeight="false" outlineLevel="0" collapsed="false">
      <c r="A897" s="6" t="s">
        <v>7214</v>
      </c>
      <c r="B897" s="6" t="s">
        <v>7211</v>
      </c>
      <c r="C897" s="6" t="s">
        <v>6234</v>
      </c>
      <c r="D897" s="6" t="s">
        <v>7144</v>
      </c>
      <c r="E897" s="6" t="s">
        <v>7212</v>
      </c>
      <c r="F897" s="6" t="s">
        <v>7215</v>
      </c>
      <c r="G897" s="9" t="n">
        <v>870000</v>
      </c>
      <c r="H897" s="6" t="s">
        <v>384</v>
      </c>
      <c r="I897" s="6" t="s">
        <v>13</v>
      </c>
      <c r="J897" s="6" t="s">
        <v>261</v>
      </c>
      <c r="K897" s="6" t="s">
        <v>7147</v>
      </c>
      <c r="M897" s="6" t="s">
        <v>7216</v>
      </c>
    </row>
    <row r="898" customFormat="false" ht="15" hidden="false" customHeight="false" outlineLevel="0" collapsed="false">
      <c r="A898" s="6" t="s">
        <v>7217</v>
      </c>
      <c r="B898" s="6" t="s">
        <v>7202</v>
      </c>
      <c r="C898" s="6" t="s">
        <v>6234</v>
      </c>
      <c r="D898" s="6" t="s">
        <v>7144</v>
      </c>
      <c r="E898" s="6" t="s">
        <v>7212</v>
      </c>
      <c r="F898" s="6" t="s">
        <v>7218</v>
      </c>
      <c r="G898" s="13" t="n">
        <v>870</v>
      </c>
      <c r="H898" s="6" t="s">
        <v>3751</v>
      </c>
      <c r="I898" s="6" t="s">
        <v>13</v>
      </c>
      <c r="J898" s="6" t="s">
        <v>275</v>
      </c>
      <c r="K898" s="6" t="s">
        <v>7206</v>
      </c>
      <c r="M898" s="6" t="s">
        <v>7219</v>
      </c>
    </row>
    <row r="899" customFormat="false" ht="15" hidden="false" customHeight="false" outlineLevel="0" collapsed="false">
      <c r="A899" s="6" t="s">
        <v>7220</v>
      </c>
      <c r="B899" s="6" t="s">
        <v>5074</v>
      </c>
      <c r="C899" s="6" t="s">
        <v>4975</v>
      </c>
      <c r="D899" s="6" t="s">
        <v>7144</v>
      </c>
      <c r="E899" s="6" t="s">
        <v>7221</v>
      </c>
      <c r="F899" s="6" t="s">
        <v>7222</v>
      </c>
      <c r="G899" s="12" t="n">
        <v>0</v>
      </c>
      <c r="H899" s="6" t="s">
        <v>3739</v>
      </c>
      <c r="I899" s="6" t="s">
        <v>13</v>
      </c>
      <c r="J899" s="6" t="s">
        <v>223</v>
      </c>
      <c r="K899" s="6" t="s">
        <v>7223</v>
      </c>
      <c r="M899" s="6" t="s">
        <v>7224</v>
      </c>
    </row>
    <row r="900" customFormat="false" ht="15" hidden="false" customHeight="false" outlineLevel="0" collapsed="false">
      <c r="A900" s="6" t="s">
        <v>7225</v>
      </c>
      <c r="B900" s="6" t="s">
        <v>5079</v>
      </c>
      <c r="C900" s="6" t="s">
        <v>4975</v>
      </c>
      <c r="D900" s="6" t="s">
        <v>7144</v>
      </c>
      <c r="E900" s="6" t="s">
        <v>7226</v>
      </c>
      <c r="F900" s="6" t="s">
        <v>7227</v>
      </c>
      <c r="G900" s="13" t="n">
        <v>135</v>
      </c>
      <c r="H900" s="6" t="s">
        <v>3751</v>
      </c>
      <c r="I900" s="6" t="s">
        <v>13</v>
      </c>
      <c r="J900" s="6" t="s">
        <v>310</v>
      </c>
      <c r="K900" s="6" t="s">
        <v>5411</v>
      </c>
      <c r="M900" s="6"/>
    </row>
    <row r="901" customFormat="false" ht="15" hidden="false" customHeight="false" outlineLevel="0" collapsed="false">
      <c r="A901" s="6" t="s">
        <v>7228</v>
      </c>
      <c r="B901" s="6" t="s">
        <v>7161</v>
      </c>
      <c r="C901" s="6" t="s">
        <v>7162</v>
      </c>
      <c r="D901" s="6" t="s">
        <v>7144</v>
      </c>
      <c r="E901" s="6" t="s">
        <v>7229</v>
      </c>
      <c r="F901" s="6" t="s">
        <v>7164</v>
      </c>
      <c r="G901" s="12" t="n">
        <v>588978</v>
      </c>
      <c r="H901" s="6" t="s">
        <v>3739</v>
      </c>
      <c r="I901" s="6" t="s">
        <v>13</v>
      </c>
      <c r="J901" s="6" t="s">
        <v>233</v>
      </c>
      <c r="K901" s="6" t="s">
        <v>7165</v>
      </c>
      <c r="M901" s="6"/>
    </row>
    <row r="902" customFormat="false" ht="15" hidden="false" customHeight="false" outlineLevel="0" collapsed="false">
      <c r="A902" s="6" t="s">
        <v>7230</v>
      </c>
      <c r="B902" s="6" t="s">
        <v>7167</v>
      </c>
      <c r="C902" s="6" t="s">
        <v>7162</v>
      </c>
      <c r="D902" s="6" t="s">
        <v>7144</v>
      </c>
      <c r="E902" s="6" t="s">
        <v>7231</v>
      </c>
      <c r="F902" s="6" t="s">
        <v>7169</v>
      </c>
      <c r="G902" s="12" t="n">
        <v>294935</v>
      </c>
      <c r="H902" s="6" t="s">
        <v>3739</v>
      </c>
      <c r="I902" s="6" t="s">
        <v>13</v>
      </c>
      <c r="J902" s="6" t="s">
        <v>233</v>
      </c>
      <c r="K902" s="6" t="s">
        <v>7165</v>
      </c>
      <c r="M902" s="6"/>
    </row>
    <row r="903" customFormat="false" ht="15" hidden="false" customHeight="false" outlineLevel="0" collapsed="false">
      <c r="A903" s="6" t="s">
        <v>7232</v>
      </c>
      <c r="B903" s="6" t="s">
        <v>5079</v>
      </c>
      <c r="C903" s="6" t="s">
        <v>4975</v>
      </c>
      <c r="D903" s="6" t="s">
        <v>7144</v>
      </c>
      <c r="E903" s="6" t="s">
        <v>7233</v>
      </c>
      <c r="F903" s="6" t="s">
        <v>7150</v>
      </c>
      <c r="G903" s="12" t="n">
        <v>883913</v>
      </c>
      <c r="H903" s="6" t="s">
        <v>3739</v>
      </c>
      <c r="I903" s="6" t="s">
        <v>13</v>
      </c>
      <c r="J903" s="6" t="s">
        <v>233</v>
      </c>
      <c r="K903" s="6" t="s">
        <v>7151</v>
      </c>
      <c r="M903" s="6" t="s">
        <v>7234</v>
      </c>
    </row>
    <row r="904" customFormat="false" ht="15" hidden="false" customHeight="false" outlineLevel="0" collapsed="false">
      <c r="A904" s="6" t="s">
        <v>7235</v>
      </c>
      <c r="B904" s="6" t="s">
        <v>5325</v>
      </c>
      <c r="C904" s="6" t="s">
        <v>5316</v>
      </c>
      <c r="D904" s="6" t="s">
        <v>7144</v>
      </c>
      <c r="E904" s="6" t="s">
        <v>7233</v>
      </c>
      <c r="F904" s="6" t="s">
        <v>7236</v>
      </c>
      <c r="G904" s="12" t="n">
        <v>9602294</v>
      </c>
      <c r="H904" s="6" t="s">
        <v>3739</v>
      </c>
      <c r="I904" s="6" t="s">
        <v>13</v>
      </c>
      <c r="J904" s="6" t="s">
        <v>261</v>
      </c>
      <c r="K904" s="6" t="s">
        <v>7147</v>
      </c>
      <c r="M904" s="6" t="s">
        <v>7237</v>
      </c>
    </row>
    <row r="905" customFormat="false" ht="15" hidden="false" customHeight="false" outlineLevel="0" collapsed="false">
      <c r="A905" s="6" t="s">
        <v>7238</v>
      </c>
      <c r="B905" s="6" t="s">
        <v>7154</v>
      </c>
      <c r="C905" s="6" t="s">
        <v>7155</v>
      </c>
      <c r="D905" s="6" t="s">
        <v>7144</v>
      </c>
      <c r="E905" s="6" t="s">
        <v>7239</v>
      </c>
      <c r="F905" s="6" t="s">
        <v>7157</v>
      </c>
      <c r="G905" s="12" t="n">
        <v>7269499</v>
      </c>
      <c r="H905" s="6" t="s">
        <v>3739</v>
      </c>
      <c r="I905" s="6" t="s">
        <v>13</v>
      </c>
      <c r="J905" s="6" t="s">
        <v>233</v>
      </c>
      <c r="K905" s="6" t="s">
        <v>7158</v>
      </c>
      <c r="M905" s="6"/>
    </row>
    <row r="906" customFormat="false" ht="15" hidden="false" customHeight="false" outlineLevel="0" collapsed="false">
      <c r="A906" s="6" t="s">
        <v>7240</v>
      </c>
      <c r="B906" s="6" t="s">
        <v>5102</v>
      </c>
      <c r="C906" s="6" t="s">
        <v>4975</v>
      </c>
      <c r="D906" s="6" t="s">
        <v>7144</v>
      </c>
      <c r="E906" s="6" t="s">
        <v>7241</v>
      </c>
      <c r="F906" s="6" t="s">
        <v>7242</v>
      </c>
      <c r="G906" s="12" t="n">
        <v>0</v>
      </c>
      <c r="H906" s="6" t="s">
        <v>3739</v>
      </c>
      <c r="I906" s="6" t="s">
        <v>13</v>
      </c>
      <c r="J906" s="6" t="s">
        <v>209</v>
      </c>
      <c r="K906" s="6" t="s">
        <v>7243</v>
      </c>
      <c r="M906" s="6" t="s">
        <v>7244</v>
      </c>
    </row>
    <row r="907" customFormat="false" ht="15" hidden="false" customHeight="false" outlineLevel="0" collapsed="false">
      <c r="A907" s="6" t="s">
        <v>7245</v>
      </c>
      <c r="B907" s="6" t="s">
        <v>5097</v>
      </c>
      <c r="C907" s="6" t="s">
        <v>4975</v>
      </c>
      <c r="D907" s="6" t="s">
        <v>7144</v>
      </c>
      <c r="E907" s="6" t="s">
        <v>7246</v>
      </c>
      <c r="F907" s="6" t="s">
        <v>7247</v>
      </c>
      <c r="G907" s="12" t="n">
        <v>0</v>
      </c>
      <c r="H907" s="6" t="s">
        <v>3739</v>
      </c>
      <c r="I907" s="6" t="s">
        <v>13</v>
      </c>
      <c r="J907" s="6" t="s">
        <v>218</v>
      </c>
      <c r="K907" s="6" t="s">
        <v>7248</v>
      </c>
      <c r="M907" s="6" t="s">
        <v>7249</v>
      </c>
    </row>
    <row r="908" customFormat="false" ht="15" hidden="false" customHeight="false" outlineLevel="0" collapsed="false">
      <c r="A908" s="6" t="s">
        <v>7250</v>
      </c>
      <c r="B908" s="6" t="s">
        <v>5113</v>
      </c>
      <c r="C908" s="6" t="s">
        <v>4975</v>
      </c>
      <c r="D908" s="6" t="s">
        <v>7144</v>
      </c>
      <c r="E908" s="6" t="s">
        <v>7246</v>
      </c>
      <c r="F908" s="6" t="s">
        <v>7251</v>
      </c>
      <c r="G908" s="12" t="n">
        <v>0</v>
      </c>
      <c r="H908" s="6" t="s">
        <v>3739</v>
      </c>
      <c r="I908" s="6" t="s">
        <v>13</v>
      </c>
      <c r="J908" s="6" t="s">
        <v>228</v>
      </c>
      <c r="K908" s="6" t="s">
        <v>7252</v>
      </c>
      <c r="M908" s="6" t="s">
        <v>7224</v>
      </c>
    </row>
    <row r="909" customFormat="false" ht="15" hidden="false" customHeight="false" outlineLevel="0" collapsed="false">
      <c r="A909" s="6" t="s">
        <v>7253</v>
      </c>
      <c r="B909" s="6" t="s">
        <v>5468</v>
      </c>
      <c r="C909" s="6" t="s">
        <v>5050</v>
      </c>
      <c r="D909" s="6" t="s">
        <v>7254</v>
      </c>
      <c r="E909" s="6" t="s">
        <v>7255</v>
      </c>
      <c r="F909" s="6" t="s">
        <v>7256</v>
      </c>
      <c r="G909" s="9" t="n">
        <v>2115</v>
      </c>
      <c r="H909" s="6" t="s">
        <v>384</v>
      </c>
      <c r="I909" s="6" t="s">
        <v>13</v>
      </c>
      <c r="J909" s="6" t="s">
        <v>209</v>
      </c>
      <c r="K909" s="6" t="s">
        <v>7257</v>
      </c>
      <c r="M909" s="6"/>
    </row>
    <row r="910" customFormat="false" ht="15" hidden="false" customHeight="false" outlineLevel="0" collapsed="false">
      <c r="A910" s="6" t="s">
        <v>7258</v>
      </c>
      <c r="B910" s="6" t="s">
        <v>5049</v>
      </c>
      <c r="C910" s="6" t="s">
        <v>5050</v>
      </c>
      <c r="D910" s="6" t="s">
        <v>7254</v>
      </c>
      <c r="E910" s="6" t="s">
        <v>7255</v>
      </c>
      <c r="F910" s="6" t="s">
        <v>7259</v>
      </c>
      <c r="G910" s="9" t="n">
        <v>2186</v>
      </c>
      <c r="H910" s="6" t="s">
        <v>384</v>
      </c>
      <c r="I910" s="6" t="s">
        <v>13</v>
      </c>
      <c r="J910" s="6" t="s">
        <v>209</v>
      </c>
      <c r="K910" s="6" t="s">
        <v>7257</v>
      </c>
      <c r="M910" s="6"/>
    </row>
    <row r="911" customFormat="false" ht="15" hidden="false" customHeight="false" outlineLevel="0" collapsed="false">
      <c r="A911" s="6" t="s">
        <v>7260</v>
      </c>
      <c r="B911" s="6" t="s">
        <v>5057</v>
      </c>
      <c r="C911" s="6" t="s">
        <v>5050</v>
      </c>
      <c r="D911" s="6" t="s">
        <v>7254</v>
      </c>
      <c r="E911" s="6" t="s">
        <v>7255</v>
      </c>
      <c r="F911" s="6" t="s">
        <v>7261</v>
      </c>
      <c r="G911" s="9" t="n">
        <v>6871</v>
      </c>
      <c r="H911" s="6" t="s">
        <v>384</v>
      </c>
      <c r="I911" s="6" t="s">
        <v>13</v>
      </c>
      <c r="J911" s="6" t="s">
        <v>223</v>
      </c>
      <c r="K911" s="6" t="s">
        <v>7262</v>
      </c>
      <c r="M911" s="6"/>
    </row>
    <row r="912" customFormat="false" ht="15" hidden="false" customHeight="false" outlineLevel="0" collapsed="false">
      <c r="A912" s="6" t="s">
        <v>7263</v>
      </c>
      <c r="B912" s="6" t="s">
        <v>5062</v>
      </c>
      <c r="C912" s="6" t="s">
        <v>5050</v>
      </c>
      <c r="D912" s="6" t="s">
        <v>7254</v>
      </c>
      <c r="E912" s="6" t="s">
        <v>7255</v>
      </c>
      <c r="F912" s="6" t="s">
        <v>7261</v>
      </c>
      <c r="G912" s="9" t="n">
        <v>6815</v>
      </c>
      <c r="H912" s="6" t="s">
        <v>384</v>
      </c>
      <c r="I912" s="6" t="s">
        <v>13</v>
      </c>
      <c r="J912" s="6" t="s">
        <v>223</v>
      </c>
      <c r="K912" s="6" t="s">
        <v>7262</v>
      </c>
      <c r="M912" s="6"/>
    </row>
    <row r="913" customFormat="false" ht="15" hidden="false" customHeight="false" outlineLevel="0" collapsed="false">
      <c r="A913" s="6" t="s">
        <v>7264</v>
      </c>
      <c r="B913" s="6" t="s">
        <v>5049</v>
      </c>
      <c r="C913" s="6" t="s">
        <v>5050</v>
      </c>
      <c r="D913" s="6" t="s">
        <v>7254</v>
      </c>
      <c r="E913" s="6" t="s">
        <v>7265</v>
      </c>
      <c r="F913" s="6" t="s">
        <v>7266</v>
      </c>
      <c r="G913" s="9" t="n">
        <v>2186</v>
      </c>
      <c r="H913" s="6" t="s">
        <v>384</v>
      </c>
      <c r="I913" s="6" t="s">
        <v>13</v>
      </c>
      <c r="J913" s="6" t="s">
        <v>218</v>
      </c>
      <c r="K913" s="6" t="s">
        <v>7267</v>
      </c>
      <c r="M913" s="6"/>
    </row>
    <row r="914" customFormat="false" ht="15" hidden="false" customHeight="false" outlineLevel="0" collapsed="false">
      <c r="A914" s="6" t="s">
        <v>7268</v>
      </c>
      <c r="B914" s="6" t="s">
        <v>5057</v>
      </c>
      <c r="C914" s="6" t="s">
        <v>5050</v>
      </c>
      <c r="D914" s="6" t="s">
        <v>7254</v>
      </c>
      <c r="E914" s="6" t="s">
        <v>7265</v>
      </c>
      <c r="F914" s="6" t="s">
        <v>7266</v>
      </c>
      <c r="G914" s="9" t="n">
        <v>6871</v>
      </c>
      <c r="H914" s="6" t="s">
        <v>384</v>
      </c>
      <c r="I914" s="6" t="s">
        <v>13</v>
      </c>
      <c r="J914" s="6" t="s">
        <v>218</v>
      </c>
      <c r="K914" s="6" t="s">
        <v>7267</v>
      </c>
      <c r="M914" s="6"/>
    </row>
    <row r="915" customFormat="false" ht="15" hidden="false" customHeight="false" outlineLevel="0" collapsed="false">
      <c r="A915" s="6" t="s">
        <v>7269</v>
      </c>
      <c r="B915" s="6" t="s">
        <v>5062</v>
      </c>
      <c r="C915" s="6" t="s">
        <v>5050</v>
      </c>
      <c r="D915" s="6" t="s">
        <v>7254</v>
      </c>
      <c r="E915" s="6" t="s">
        <v>7265</v>
      </c>
      <c r="F915" s="6" t="s">
        <v>7270</v>
      </c>
      <c r="G915" s="9" t="n">
        <v>6815</v>
      </c>
      <c r="H915" s="6" t="s">
        <v>384</v>
      </c>
      <c r="I915" s="6" t="s">
        <v>13</v>
      </c>
      <c r="J915" s="6" t="s">
        <v>228</v>
      </c>
      <c r="K915" s="6" t="s">
        <v>7271</v>
      </c>
      <c r="M915" s="6"/>
    </row>
    <row r="916" customFormat="false" ht="15" hidden="false" customHeight="false" outlineLevel="0" collapsed="false">
      <c r="A916" s="6" t="s">
        <v>7272</v>
      </c>
      <c r="B916" s="6" t="s">
        <v>5067</v>
      </c>
      <c r="C916" s="6" t="s">
        <v>5050</v>
      </c>
      <c r="D916" s="6" t="s">
        <v>7254</v>
      </c>
      <c r="E916" s="6" t="s">
        <v>7265</v>
      </c>
      <c r="F916" s="6" t="s">
        <v>7270</v>
      </c>
      <c r="G916" s="9" t="n">
        <v>8264</v>
      </c>
      <c r="H916" s="6" t="s">
        <v>384</v>
      </c>
      <c r="I916" s="6" t="s">
        <v>13</v>
      </c>
      <c r="J916" s="6" t="s">
        <v>228</v>
      </c>
      <c r="K916" s="6" t="s">
        <v>7271</v>
      </c>
      <c r="M916" s="6"/>
    </row>
    <row r="917" customFormat="false" ht="15" hidden="false" customHeight="false" outlineLevel="0" collapsed="false">
      <c r="A917" s="6" t="s">
        <v>7273</v>
      </c>
      <c r="B917" s="6" t="s">
        <v>5067</v>
      </c>
      <c r="C917" s="6" t="s">
        <v>5050</v>
      </c>
      <c r="D917" s="6" t="s">
        <v>7254</v>
      </c>
      <c r="E917" s="6" t="s">
        <v>7265</v>
      </c>
      <c r="F917" s="6" t="s">
        <v>7274</v>
      </c>
      <c r="G917" s="9" t="n">
        <v>8264</v>
      </c>
      <c r="H917" s="6" t="s">
        <v>384</v>
      </c>
      <c r="I917" s="6" t="s">
        <v>13</v>
      </c>
      <c r="J917" s="6" t="s">
        <v>233</v>
      </c>
      <c r="K917" s="6" t="s">
        <v>7275</v>
      </c>
      <c r="M917" s="6"/>
    </row>
    <row r="918" customFormat="false" ht="15" hidden="false" customHeight="false" outlineLevel="0" collapsed="false">
      <c r="A918" s="6" t="s">
        <v>7276</v>
      </c>
      <c r="B918" s="6" t="s">
        <v>5072</v>
      </c>
      <c r="C918" s="6" t="s">
        <v>5050</v>
      </c>
      <c r="D918" s="6" t="s">
        <v>7254</v>
      </c>
      <c r="E918" s="6" t="s">
        <v>7265</v>
      </c>
      <c r="F918" s="6" t="s">
        <v>7274</v>
      </c>
      <c r="G918" s="9" t="n">
        <v>19793</v>
      </c>
      <c r="H918" s="6" t="s">
        <v>384</v>
      </c>
      <c r="I918" s="6" t="s">
        <v>13</v>
      </c>
      <c r="J918" s="6" t="s">
        <v>233</v>
      </c>
      <c r="K918" s="6" t="s">
        <v>7275</v>
      </c>
      <c r="M918" s="6"/>
    </row>
    <row r="919" customFormat="false" ht="15" hidden="false" customHeight="false" outlineLevel="0" collapsed="false">
      <c r="A919" s="6" t="s">
        <v>7277</v>
      </c>
      <c r="B919" s="6" t="s">
        <v>5062</v>
      </c>
      <c r="C919" s="6" t="s">
        <v>5050</v>
      </c>
      <c r="D919" s="6" t="s">
        <v>7254</v>
      </c>
      <c r="E919" s="6" t="s">
        <v>7278</v>
      </c>
      <c r="F919" s="6" t="s">
        <v>7279</v>
      </c>
      <c r="G919" s="9" t="n">
        <v>6815</v>
      </c>
      <c r="H919" s="6" t="s">
        <v>384</v>
      </c>
      <c r="I919" s="6" t="s">
        <v>13</v>
      </c>
      <c r="J919" s="6" t="s">
        <v>238</v>
      </c>
      <c r="K919" s="6" t="s">
        <v>7280</v>
      </c>
      <c r="M919" s="6"/>
    </row>
    <row r="920" customFormat="false" ht="15" hidden="false" customHeight="false" outlineLevel="0" collapsed="false">
      <c r="A920" s="6" t="s">
        <v>7281</v>
      </c>
      <c r="B920" s="6" t="s">
        <v>5239</v>
      </c>
      <c r="C920" s="6" t="s">
        <v>5050</v>
      </c>
      <c r="D920" s="6" t="s">
        <v>7254</v>
      </c>
      <c r="E920" s="6" t="s">
        <v>7278</v>
      </c>
      <c r="F920" s="6" t="s">
        <v>7282</v>
      </c>
      <c r="G920" s="9" t="n">
        <v>7391</v>
      </c>
      <c r="H920" s="6" t="s">
        <v>384</v>
      </c>
      <c r="I920" s="6" t="s">
        <v>13</v>
      </c>
      <c r="J920" s="6" t="s">
        <v>238</v>
      </c>
      <c r="K920" s="6" t="s">
        <v>7280</v>
      </c>
      <c r="M920" s="6"/>
    </row>
    <row r="921" customFormat="false" ht="15" hidden="false" customHeight="false" outlineLevel="0" collapsed="false">
      <c r="A921" s="6" t="s">
        <v>7283</v>
      </c>
      <c r="B921" s="6" t="s">
        <v>5067</v>
      </c>
      <c r="C921" s="6" t="s">
        <v>5050</v>
      </c>
      <c r="D921" s="6" t="s">
        <v>7254</v>
      </c>
      <c r="E921" s="6" t="s">
        <v>7278</v>
      </c>
      <c r="F921" s="6" t="s">
        <v>7284</v>
      </c>
      <c r="G921" s="9" t="n">
        <v>8264</v>
      </c>
      <c r="H921" s="6" t="s">
        <v>384</v>
      </c>
      <c r="I921" s="6" t="s">
        <v>13</v>
      </c>
      <c r="J921" s="6" t="s">
        <v>253</v>
      </c>
      <c r="K921" s="6" t="s">
        <v>7285</v>
      </c>
      <c r="M921" s="6"/>
    </row>
    <row r="922" customFormat="false" ht="15" hidden="false" customHeight="false" outlineLevel="0" collapsed="false">
      <c r="A922" s="6" t="s">
        <v>7286</v>
      </c>
      <c r="B922" s="6" t="s">
        <v>5245</v>
      </c>
      <c r="C922" s="6" t="s">
        <v>5050</v>
      </c>
      <c r="D922" s="6" t="s">
        <v>7254</v>
      </c>
      <c r="E922" s="6" t="s">
        <v>7278</v>
      </c>
      <c r="F922" s="6" t="s">
        <v>7287</v>
      </c>
      <c r="G922" s="9" t="n">
        <v>12688</v>
      </c>
      <c r="H922" s="6" t="s">
        <v>384</v>
      </c>
      <c r="I922" s="6" t="s">
        <v>13</v>
      </c>
      <c r="J922" s="6" t="s">
        <v>253</v>
      </c>
      <c r="K922" s="6" t="s">
        <v>7285</v>
      </c>
      <c r="M922" s="6"/>
    </row>
    <row r="923" customFormat="false" ht="15" hidden="false" customHeight="false" outlineLevel="0" collapsed="false">
      <c r="A923" s="6" t="s">
        <v>7288</v>
      </c>
      <c r="B923" s="6" t="s">
        <v>5072</v>
      </c>
      <c r="C923" s="6" t="s">
        <v>5050</v>
      </c>
      <c r="D923" s="6" t="s">
        <v>7254</v>
      </c>
      <c r="E923" s="6" t="s">
        <v>7278</v>
      </c>
      <c r="F923" s="6" t="s">
        <v>7289</v>
      </c>
      <c r="G923" s="9" t="n">
        <v>19793</v>
      </c>
      <c r="H923" s="6" t="s">
        <v>384</v>
      </c>
      <c r="I923" s="6" t="s">
        <v>13</v>
      </c>
      <c r="J923" s="6" t="s">
        <v>261</v>
      </c>
      <c r="K923" s="6" t="s">
        <v>7290</v>
      </c>
      <c r="M923" s="6"/>
    </row>
    <row r="924" customFormat="false" ht="15" hidden="false" customHeight="false" outlineLevel="0" collapsed="false">
      <c r="A924" s="6" t="s">
        <v>7291</v>
      </c>
      <c r="B924" s="6" t="s">
        <v>5249</v>
      </c>
      <c r="C924" s="6" t="s">
        <v>5050</v>
      </c>
      <c r="D924" s="6" t="s">
        <v>7254</v>
      </c>
      <c r="E924" s="6" t="s">
        <v>7278</v>
      </c>
      <c r="F924" s="6" t="s">
        <v>7292</v>
      </c>
      <c r="G924" s="9" t="n">
        <v>16407</v>
      </c>
      <c r="H924" s="6" t="s">
        <v>384</v>
      </c>
      <c r="I924" s="6" t="s">
        <v>13</v>
      </c>
      <c r="J924" s="6" t="s">
        <v>261</v>
      </c>
      <c r="K924" s="6" t="s">
        <v>7290</v>
      </c>
      <c r="M924" s="6" t="s">
        <v>7293</v>
      </c>
    </row>
    <row r="925" customFormat="false" ht="15" hidden="false" customHeight="false" outlineLevel="0" collapsed="false">
      <c r="A925" s="6" t="s">
        <v>7294</v>
      </c>
      <c r="B925" s="6" t="s">
        <v>5049</v>
      </c>
      <c r="C925" s="6" t="s">
        <v>5050</v>
      </c>
      <c r="D925" s="6" t="s">
        <v>7254</v>
      </c>
      <c r="E925" s="6" t="s">
        <v>7295</v>
      </c>
      <c r="F925" s="6" t="s">
        <v>7296</v>
      </c>
      <c r="G925" s="9" t="n">
        <v>84</v>
      </c>
      <c r="H925" s="6" t="s">
        <v>384</v>
      </c>
      <c r="I925" s="6" t="s">
        <v>13</v>
      </c>
      <c r="J925" s="6" t="s">
        <v>209</v>
      </c>
      <c r="K925" s="6" t="s">
        <v>7297</v>
      </c>
      <c r="M925" s="6"/>
    </row>
    <row r="926" customFormat="false" ht="15" hidden="false" customHeight="false" outlineLevel="0" collapsed="false">
      <c r="A926" s="6" t="s">
        <v>7298</v>
      </c>
      <c r="B926" s="6" t="s">
        <v>6365</v>
      </c>
      <c r="C926" s="6" t="s">
        <v>5050</v>
      </c>
      <c r="D926" s="6" t="s">
        <v>7254</v>
      </c>
      <c r="E926" s="6" t="s">
        <v>7299</v>
      </c>
      <c r="F926" s="6" t="s">
        <v>7300</v>
      </c>
      <c r="G926" s="9" t="n">
        <v>68000</v>
      </c>
      <c r="H926" s="6" t="s">
        <v>384</v>
      </c>
      <c r="I926" s="6" t="s">
        <v>13</v>
      </c>
      <c r="J926" s="6" t="s">
        <v>209</v>
      </c>
      <c r="K926" s="6" t="s">
        <v>7301</v>
      </c>
      <c r="M926" s="6"/>
    </row>
    <row r="927" customFormat="false" ht="15" hidden="false" customHeight="false" outlineLevel="0" collapsed="false">
      <c r="A927" s="6" t="s">
        <v>7302</v>
      </c>
      <c r="B927" s="6" t="s">
        <v>6365</v>
      </c>
      <c r="C927" s="6" t="s">
        <v>5050</v>
      </c>
      <c r="D927" s="6" t="s">
        <v>7254</v>
      </c>
      <c r="E927" s="6" t="s">
        <v>7303</v>
      </c>
      <c r="F927" s="6" t="s">
        <v>7304</v>
      </c>
      <c r="G927" s="9" t="n">
        <v>58000</v>
      </c>
      <c r="H927" s="6" t="s">
        <v>384</v>
      </c>
      <c r="I927" s="6" t="s">
        <v>13</v>
      </c>
      <c r="J927" s="6" t="s">
        <v>209</v>
      </c>
      <c r="K927" s="6" t="s">
        <v>7301</v>
      </c>
      <c r="M927" s="6" t="s">
        <v>7305</v>
      </c>
    </row>
    <row r="928" customFormat="false" ht="15" hidden="false" customHeight="false" outlineLevel="0" collapsed="false">
      <c r="A928" s="6" t="s">
        <v>7306</v>
      </c>
      <c r="B928" s="6" t="s">
        <v>5072</v>
      </c>
      <c r="C928" s="6" t="s">
        <v>5050</v>
      </c>
      <c r="D928" s="6" t="s">
        <v>7254</v>
      </c>
      <c r="E928" s="6" t="s">
        <v>7307</v>
      </c>
      <c r="F928" s="6" t="s">
        <v>7308</v>
      </c>
      <c r="G928" s="13" t="n">
        <v>189.5</v>
      </c>
      <c r="H928" s="6" t="s">
        <v>3751</v>
      </c>
      <c r="I928" s="6" t="s">
        <v>13</v>
      </c>
      <c r="J928" s="6" t="s">
        <v>233</v>
      </c>
      <c r="K928" s="6" t="s">
        <v>7309</v>
      </c>
      <c r="M928" s="6"/>
    </row>
    <row r="929" customFormat="false" ht="15" hidden="false" customHeight="false" outlineLevel="0" collapsed="false">
      <c r="A929" s="6" t="s">
        <v>7310</v>
      </c>
      <c r="B929" s="6" t="s">
        <v>5249</v>
      </c>
      <c r="C929" s="6" t="s">
        <v>5050</v>
      </c>
      <c r="D929" s="6" t="s">
        <v>7254</v>
      </c>
      <c r="E929" s="6" t="s">
        <v>7307</v>
      </c>
      <c r="F929" s="6" t="s">
        <v>7311</v>
      </c>
      <c r="G929" s="13" t="n">
        <v>280.6</v>
      </c>
      <c r="H929" s="6" t="s">
        <v>3751</v>
      </c>
      <c r="I929" s="6" t="s">
        <v>13</v>
      </c>
      <c r="J929" s="6" t="s">
        <v>265</v>
      </c>
      <c r="K929" s="6" t="s">
        <v>7312</v>
      </c>
      <c r="M929" s="6"/>
    </row>
    <row r="930" customFormat="false" ht="15" hidden="false" customHeight="false" outlineLevel="0" collapsed="false">
      <c r="A930" s="6" t="s">
        <v>7313</v>
      </c>
      <c r="B930" s="6" t="s">
        <v>5049</v>
      </c>
      <c r="C930" s="6" t="s">
        <v>5050</v>
      </c>
      <c r="D930" s="6" t="s">
        <v>7254</v>
      </c>
      <c r="E930" s="6" t="s">
        <v>7314</v>
      </c>
      <c r="F930" s="6" t="s">
        <v>7315</v>
      </c>
      <c r="G930" s="9" t="n">
        <v>8718</v>
      </c>
      <c r="H930" s="6" t="s">
        <v>384</v>
      </c>
      <c r="I930" s="6" t="s">
        <v>13</v>
      </c>
      <c r="J930" s="6" t="s">
        <v>209</v>
      </c>
      <c r="K930" s="6" t="s">
        <v>7316</v>
      </c>
      <c r="M930" s="6" t="s">
        <v>5055</v>
      </c>
    </row>
    <row r="931" customFormat="false" ht="15" hidden="false" customHeight="false" outlineLevel="0" collapsed="false">
      <c r="A931" s="6" t="s">
        <v>7317</v>
      </c>
      <c r="B931" s="6" t="s">
        <v>5049</v>
      </c>
      <c r="C931" s="6" t="s">
        <v>5050</v>
      </c>
      <c r="D931" s="6" t="s">
        <v>7254</v>
      </c>
      <c r="E931" s="6" t="s">
        <v>7318</v>
      </c>
      <c r="F931" s="6" t="s">
        <v>7319</v>
      </c>
      <c r="G931" s="9" t="n">
        <v>10531</v>
      </c>
      <c r="H931" s="6" t="s">
        <v>384</v>
      </c>
      <c r="I931" s="6" t="s">
        <v>13</v>
      </c>
      <c r="J931" s="6" t="s">
        <v>209</v>
      </c>
      <c r="K931" s="6" t="s">
        <v>7316</v>
      </c>
      <c r="M931" s="6"/>
    </row>
    <row r="932" customFormat="false" ht="15" hidden="false" customHeight="false" outlineLevel="0" collapsed="false">
      <c r="A932" s="6" t="s">
        <v>7320</v>
      </c>
      <c r="B932" s="6" t="s">
        <v>5049</v>
      </c>
      <c r="C932" s="6" t="s">
        <v>5050</v>
      </c>
      <c r="D932" s="6" t="s">
        <v>7254</v>
      </c>
      <c r="E932" s="6" t="s">
        <v>7321</v>
      </c>
      <c r="F932" s="6" t="s">
        <v>7322</v>
      </c>
      <c r="G932" s="9" t="n">
        <v>10964</v>
      </c>
      <c r="H932" s="6" t="s">
        <v>384</v>
      </c>
      <c r="I932" s="6" t="s">
        <v>13</v>
      </c>
      <c r="J932" s="6" t="s">
        <v>209</v>
      </c>
      <c r="K932" s="6" t="s">
        <v>7316</v>
      </c>
      <c r="M932" s="6"/>
    </row>
    <row r="933" customFormat="false" ht="15" hidden="false" customHeight="false" outlineLevel="0" collapsed="false">
      <c r="A933" s="6" t="s">
        <v>7323</v>
      </c>
      <c r="B933" s="6" t="s">
        <v>5049</v>
      </c>
      <c r="C933" s="6" t="s">
        <v>5050</v>
      </c>
      <c r="D933" s="6" t="s">
        <v>7254</v>
      </c>
      <c r="E933" s="6" t="s">
        <v>7324</v>
      </c>
      <c r="F933" s="6" t="s">
        <v>7325</v>
      </c>
      <c r="G933" s="9" t="n">
        <v>11217</v>
      </c>
      <c r="H933" s="6" t="s">
        <v>384</v>
      </c>
      <c r="I933" s="6" t="s">
        <v>13</v>
      </c>
      <c r="J933" s="6" t="s">
        <v>209</v>
      </c>
      <c r="K933" s="6" t="s">
        <v>7316</v>
      </c>
      <c r="M933" s="6"/>
    </row>
    <row r="934" customFormat="false" ht="15" hidden="false" customHeight="false" outlineLevel="0" collapsed="false">
      <c r="A934" s="6" t="s">
        <v>7326</v>
      </c>
      <c r="B934" s="6" t="s">
        <v>5049</v>
      </c>
      <c r="C934" s="6" t="s">
        <v>5050</v>
      </c>
      <c r="D934" s="6" t="s">
        <v>7254</v>
      </c>
      <c r="E934" s="6" t="s">
        <v>7327</v>
      </c>
      <c r="F934" s="6" t="s">
        <v>7328</v>
      </c>
      <c r="G934" s="9" t="n">
        <v>11242</v>
      </c>
      <c r="H934" s="6" t="s">
        <v>384</v>
      </c>
      <c r="I934" s="6" t="s">
        <v>13</v>
      </c>
      <c r="J934" s="6" t="s">
        <v>209</v>
      </c>
      <c r="K934" s="6" t="s">
        <v>7316</v>
      </c>
      <c r="M934" s="6"/>
    </row>
    <row r="935" customFormat="false" ht="15" hidden="false" customHeight="false" outlineLevel="0" collapsed="false">
      <c r="A935" s="6" t="s">
        <v>7329</v>
      </c>
      <c r="B935" s="6" t="s">
        <v>5049</v>
      </c>
      <c r="C935" s="6" t="s">
        <v>5050</v>
      </c>
      <c r="D935" s="6" t="s">
        <v>7254</v>
      </c>
      <c r="E935" s="6" t="s">
        <v>7330</v>
      </c>
      <c r="F935" s="6" t="s">
        <v>7331</v>
      </c>
      <c r="G935" s="9" t="n">
        <v>19093</v>
      </c>
      <c r="H935" s="6" t="s">
        <v>384</v>
      </c>
      <c r="I935" s="6" t="s">
        <v>13</v>
      </c>
      <c r="J935" s="6" t="s">
        <v>209</v>
      </c>
      <c r="K935" s="6" t="s">
        <v>7316</v>
      </c>
      <c r="M935" s="6"/>
    </row>
    <row r="936" customFormat="false" ht="15" hidden="false" customHeight="false" outlineLevel="0" collapsed="false">
      <c r="A936" s="6" t="s">
        <v>7332</v>
      </c>
      <c r="B936" s="6" t="s">
        <v>5049</v>
      </c>
      <c r="C936" s="6" t="s">
        <v>5050</v>
      </c>
      <c r="D936" s="6" t="s">
        <v>7254</v>
      </c>
      <c r="E936" s="6" t="s">
        <v>7333</v>
      </c>
      <c r="F936" s="6" t="s">
        <v>7334</v>
      </c>
      <c r="G936" s="9" t="n">
        <v>71765</v>
      </c>
      <c r="H936" s="6" t="s">
        <v>384</v>
      </c>
      <c r="I936" s="6" t="s">
        <v>13</v>
      </c>
      <c r="J936" s="6" t="s">
        <v>209</v>
      </c>
      <c r="K936" s="6" t="s">
        <v>7316</v>
      </c>
      <c r="M936" s="6"/>
    </row>
    <row r="937" customFormat="false" ht="15" hidden="false" customHeight="false" outlineLevel="0" collapsed="false">
      <c r="A937" s="6" t="s">
        <v>7335</v>
      </c>
      <c r="B937" s="6" t="s">
        <v>7336</v>
      </c>
      <c r="C937" s="6" t="s">
        <v>5050</v>
      </c>
      <c r="D937" s="6" t="s">
        <v>7254</v>
      </c>
      <c r="E937" s="6" t="s">
        <v>7337</v>
      </c>
      <c r="F937" s="6" t="s">
        <v>7338</v>
      </c>
      <c r="G937" s="19" t="n">
        <v>6800000</v>
      </c>
      <c r="H937" s="6" t="s">
        <v>7339</v>
      </c>
      <c r="I937" s="6" t="s">
        <v>13</v>
      </c>
      <c r="J937" s="6" t="s">
        <v>223</v>
      </c>
      <c r="K937" s="6" t="s">
        <v>7340</v>
      </c>
      <c r="M937" s="6" t="s">
        <v>7341</v>
      </c>
    </row>
    <row r="938" customFormat="false" ht="15" hidden="false" customHeight="false" outlineLevel="0" collapsed="false">
      <c r="A938" s="6" t="s">
        <v>7342</v>
      </c>
      <c r="B938" s="6" t="s">
        <v>5062</v>
      </c>
      <c r="C938" s="6" t="s">
        <v>5050</v>
      </c>
      <c r="D938" s="6" t="s">
        <v>7254</v>
      </c>
      <c r="E938" s="6" t="s">
        <v>7343</v>
      </c>
      <c r="F938" s="6" t="s">
        <v>7344</v>
      </c>
      <c r="G938" s="19" t="n">
        <v>15</v>
      </c>
      <c r="H938" s="6" t="s">
        <v>5122</v>
      </c>
      <c r="I938" s="6" t="s">
        <v>13</v>
      </c>
      <c r="J938" s="6" t="s">
        <v>223</v>
      </c>
      <c r="K938" s="6" t="s">
        <v>7345</v>
      </c>
      <c r="M938" s="6" t="s">
        <v>7346</v>
      </c>
    </row>
    <row r="939" customFormat="false" ht="15" hidden="false" customHeight="false" outlineLevel="0" collapsed="false">
      <c r="A939" s="6" t="s">
        <v>7347</v>
      </c>
      <c r="B939" s="6" t="s">
        <v>7348</v>
      </c>
      <c r="C939" s="6" t="s">
        <v>5050</v>
      </c>
      <c r="D939" s="6" t="s">
        <v>7254</v>
      </c>
      <c r="E939" s="6" t="s">
        <v>7349</v>
      </c>
      <c r="F939" s="6" t="s">
        <v>7350</v>
      </c>
      <c r="G939" s="19" t="n">
        <v>120</v>
      </c>
      <c r="H939" s="6" t="s">
        <v>7351</v>
      </c>
      <c r="I939" s="6" t="s">
        <v>13</v>
      </c>
      <c r="J939" s="6" t="s">
        <v>223</v>
      </c>
      <c r="K939" s="6" t="s">
        <v>7352</v>
      </c>
      <c r="M939" s="6" t="s">
        <v>7353</v>
      </c>
    </row>
    <row r="940" customFormat="false" ht="15" hidden="false" customHeight="false" outlineLevel="0" collapsed="false">
      <c r="A940" s="6" t="s">
        <v>7354</v>
      </c>
      <c r="B940" s="6" t="s">
        <v>5049</v>
      </c>
      <c r="C940" s="6" t="s">
        <v>5050</v>
      </c>
      <c r="D940" s="6" t="s">
        <v>7254</v>
      </c>
      <c r="E940" s="6" t="s">
        <v>7355</v>
      </c>
      <c r="F940" s="6" t="s">
        <v>7356</v>
      </c>
      <c r="G940" s="19" t="n">
        <v>120000</v>
      </c>
      <c r="H940" s="6" t="s">
        <v>7357</v>
      </c>
      <c r="I940" s="6" t="s">
        <v>13</v>
      </c>
      <c r="J940" s="6" t="s">
        <v>209</v>
      </c>
      <c r="K940" s="6" t="s">
        <v>7358</v>
      </c>
      <c r="M940" s="6" t="s">
        <v>7359</v>
      </c>
    </row>
    <row r="941" customFormat="false" ht="15" hidden="false" customHeight="false" outlineLevel="0" collapsed="false">
      <c r="A941" s="6" t="s">
        <v>7360</v>
      </c>
      <c r="B941" s="6" t="s">
        <v>7336</v>
      </c>
      <c r="C941" s="6" t="s">
        <v>5050</v>
      </c>
      <c r="D941" s="6" t="s">
        <v>7254</v>
      </c>
      <c r="E941" s="6" t="s">
        <v>7361</v>
      </c>
      <c r="F941" s="6" t="s">
        <v>7362</v>
      </c>
      <c r="G941" s="19" t="n">
        <v>19.4</v>
      </c>
      <c r="H941" s="6" t="s">
        <v>7363</v>
      </c>
      <c r="I941" s="6" t="s">
        <v>13</v>
      </c>
      <c r="J941" s="6" t="s">
        <v>223</v>
      </c>
      <c r="K941" s="6" t="s">
        <v>7364</v>
      </c>
      <c r="M941" s="6"/>
    </row>
    <row r="942" customFormat="false" ht="15" hidden="false" customHeight="false" outlineLevel="0" collapsed="false">
      <c r="A942" s="6" t="s">
        <v>7365</v>
      </c>
      <c r="B942" s="6" t="s">
        <v>7336</v>
      </c>
      <c r="C942" s="6" t="s">
        <v>5050</v>
      </c>
      <c r="D942" s="6" t="s">
        <v>7254</v>
      </c>
      <c r="E942" s="6" t="s">
        <v>7366</v>
      </c>
      <c r="F942" s="6" t="s">
        <v>7367</v>
      </c>
      <c r="G942" s="19" t="n">
        <v>127</v>
      </c>
      <c r="H942" s="6" t="s">
        <v>7363</v>
      </c>
      <c r="I942" s="6" t="s">
        <v>13</v>
      </c>
      <c r="J942" s="6" t="s">
        <v>223</v>
      </c>
      <c r="K942" s="6" t="s">
        <v>7368</v>
      </c>
      <c r="M942" s="6" t="s">
        <v>7369</v>
      </c>
    </row>
    <row r="943" customFormat="false" ht="15" hidden="false" customHeight="false" outlineLevel="0" collapsed="false">
      <c r="A943" s="6" t="s">
        <v>7370</v>
      </c>
      <c r="B943" s="6" t="s">
        <v>7336</v>
      </c>
      <c r="C943" s="6" t="s">
        <v>5050</v>
      </c>
      <c r="D943" s="6" t="s">
        <v>7254</v>
      </c>
      <c r="E943" s="6" t="s">
        <v>7371</v>
      </c>
      <c r="F943" s="6" t="s">
        <v>7372</v>
      </c>
      <c r="G943" s="19" t="n">
        <v>119</v>
      </c>
      <c r="H943" s="6" t="s">
        <v>7363</v>
      </c>
      <c r="I943" s="6" t="s">
        <v>13</v>
      </c>
      <c r="J943" s="6" t="s">
        <v>223</v>
      </c>
      <c r="K943" s="6" t="s">
        <v>7368</v>
      </c>
      <c r="M943" s="6" t="s">
        <v>7373</v>
      </c>
    </row>
    <row r="944" customFormat="false" ht="15" hidden="false" customHeight="false" outlineLevel="0" collapsed="false">
      <c r="A944" s="6" t="s">
        <v>7374</v>
      </c>
      <c r="B944" s="6" t="s">
        <v>7336</v>
      </c>
      <c r="C944" s="6" t="s">
        <v>5050</v>
      </c>
      <c r="D944" s="6" t="s">
        <v>7254</v>
      </c>
      <c r="E944" s="6" t="s">
        <v>7375</v>
      </c>
      <c r="F944" s="6" t="s">
        <v>7376</v>
      </c>
      <c r="H944" s="6" t="s">
        <v>7377</v>
      </c>
      <c r="I944" s="6" t="s">
        <v>13</v>
      </c>
      <c r="J944" s="6" t="s">
        <v>223</v>
      </c>
      <c r="K944" s="6" t="s">
        <v>7378</v>
      </c>
      <c r="M944" s="6" t="s">
        <v>7379</v>
      </c>
    </row>
    <row r="945" customFormat="false" ht="15" hidden="false" customHeight="false" outlineLevel="0" collapsed="false">
      <c r="A945" s="6" t="s">
        <v>7380</v>
      </c>
      <c r="B945" s="6" t="s">
        <v>5057</v>
      </c>
      <c r="C945" s="6" t="s">
        <v>5050</v>
      </c>
      <c r="D945" s="6" t="s">
        <v>7254</v>
      </c>
      <c r="E945" s="6" t="s">
        <v>7381</v>
      </c>
      <c r="F945" s="6" t="s">
        <v>7382</v>
      </c>
      <c r="G945" s="9" t="n">
        <v>5767</v>
      </c>
      <c r="H945" s="6" t="s">
        <v>384</v>
      </c>
      <c r="I945" s="6" t="s">
        <v>13</v>
      </c>
      <c r="J945" s="6" t="s">
        <v>218</v>
      </c>
      <c r="K945" s="6" t="s">
        <v>7383</v>
      </c>
      <c r="M945" s="6"/>
    </row>
    <row r="946" customFormat="false" ht="15" hidden="false" customHeight="false" outlineLevel="0" collapsed="false">
      <c r="A946" s="6" t="s">
        <v>7384</v>
      </c>
      <c r="B946" s="6" t="s">
        <v>5062</v>
      </c>
      <c r="C946" s="6" t="s">
        <v>5050</v>
      </c>
      <c r="D946" s="6" t="s">
        <v>7254</v>
      </c>
      <c r="E946" s="6" t="s">
        <v>7381</v>
      </c>
      <c r="F946" s="6" t="s">
        <v>7385</v>
      </c>
      <c r="G946" s="9" t="n">
        <v>3349</v>
      </c>
      <c r="H946" s="6" t="s">
        <v>384</v>
      </c>
      <c r="I946" s="6" t="s">
        <v>13</v>
      </c>
      <c r="J946" s="6" t="s">
        <v>223</v>
      </c>
      <c r="K946" s="6" t="s">
        <v>7386</v>
      </c>
      <c r="M946" s="6"/>
    </row>
    <row r="947" customFormat="false" ht="15" hidden="false" customHeight="false" outlineLevel="0" collapsed="false">
      <c r="A947" s="6" t="s">
        <v>7387</v>
      </c>
      <c r="B947" s="6" t="s">
        <v>5097</v>
      </c>
      <c r="C947" s="6" t="s">
        <v>4975</v>
      </c>
      <c r="D947" s="6" t="s">
        <v>7254</v>
      </c>
      <c r="E947" s="6" t="s">
        <v>7388</v>
      </c>
      <c r="F947" s="6" t="s">
        <v>7389</v>
      </c>
      <c r="G947" s="13" t="n">
        <v>13.6</v>
      </c>
      <c r="H947" s="6" t="s">
        <v>3751</v>
      </c>
      <c r="I947" s="6" t="s">
        <v>13</v>
      </c>
      <c r="J947" s="6" t="s">
        <v>218</v>
      </c>
      <c r="K947" s="6" t="s">
        <v>7390</v>
      </c>
      <c r="M947" s="6"/>
    </row>
    <row r="948" customFormat="false" ht="15" hidden="false" customHeight="false" outlineLevel="0" collapsed="false">
      <c r="A948" s="6" t="s">
        <v>7391</v>
      </c>
      <c r="B948" s="6" t="s">
        <v>5072</v>
      </c>
      <c r="C948" s="6" t="s">
        <v>5050</v>
      </c>
      <c r="D948" s="6" t="s">
        <v>7254</v>
      </c>
      <c r="E948" s="6" t="s">
        <v>7392</v>
      </c>
      <c r="F948" s="6" t="s">
        <v>7393</v>
      </c>
      <c r="G948" s="9" t="n">
        <v>-20723</v>
      </c>
      <c r="H948" s="6" t="s">
        <v>384</v>
      </c>
      <c r="I948" s="6" t="s">
        <v>13</v>
      </c>
      <c r="J948" s="6" t="s">
        <v>233</v>
      </c>
      <c r="K948" s="6" t="s">
        <v>7394</v>
      </c>
      <c r="M948" s="6"/>
    </row>
    <row r="949" customFormat="false" ht="15" hidden="false" customHeight="false" outlineLevel="0" collapsed="false">
      <c r="A949" s="6" t="s">
        <v>7395</v>
      </c>
      <c r="B949" s="6" t="s">
        <v>5072</v>
      </c>
      <c r="C949" s="6" t="s">
        <v>5050</v>
      </c>
      <c r="D949" s="6" t="s">
        <v>7254</v>
      </c>
      <c r="E949" s="6" t="s">
        <v>7396</v>
      </c>
      <c r="F949" s="6" t="s">
        <v>7393</v>
      </c>
      <c r="G949" s="9" t="n">
        <v>168767</v>
      </c>
      <c r="H949" s="6" t="s">
        <v>384</v>
      </c>
      <c r="I949" s="6" t="s">
        <v>13</v>
      </c>
      <c r="J949" s="6" t="s">
        <v>233</v>
      </c>
      <c r="K949" s="6" t="s">
        <v>7394</v>
      </c>
      <c r="M949" s="6"/>
    </row>
    <row r="950" customFormat="false" ht="15" hidden="false" customHeight="false" outlineLevel="0" collapsed="false">
      <c r="A950" s="6" t="s">
        <v>7397</v>
      </c>
      <c r="B950" s="6" t="s">
        <v>5072</v>
      </c>
      <c r="C950" s="6" t="s">
        <v>5050</v>
      </c>
      <c r="D950" s="6" t="s">
        <v>7254</v>
      </c>
      <c r="E950" s="6" t="s">
        <v>7398</v>
      </c>
      <c r="F950" s="6" t="s">
        <v>7393</v>
      </c>
      <c r="G950" s="9" t="n">
        <v>189490</v>
      </c>
      <c r="H950" s="6" t="s">
        <v>384</v>
      </c>
      <c r="I950" s="6" t="s">
        <v>13</v>
      </c>
      <c r="J950" s="6" t="s">
        <v>233</v>
      </c>
      <c r="K950" s="6" t="s">
        <v>7394</v>
      </c>
      <c r="M950" s="6"/>
    </row>
    <row r="951" customFormat="false" ht="15" hidden="false" customHeight="false" outlineLevel="0" collapsed="false">
      <c r="A951" s="6" t="s">
        <v>7399</v>
      </c>
      <c r="B951" s="6" t="s">
        <v>5067</v>
      </c>
      <c r="C951" s="6" t="s">
        <v>5050</v>
      </c>
      <c r="D951" s="6" t="s">
        <v>7254</v>
      </c>
      <c r="E951" s="6" t="s">
        <v>7400</v>
      </c>
      <c r="F951" s="6" t="s">
        <v>7401</v>
      </c>
      <c r="G951" s="9" t="n">
        <v>-14533</v>
      </c>
      <c r="H951" s="6" t="s">
        <v>384</v>
      </c>
      <c r="I951" s="6" t="s">
        <v>13</v>
      </c>
      <c r="J951" s="6" t="s">
        <v>228</v>
      </c>
      <c r="K951" s="6" t="s">
        <v>7402</v>
      </c>
      <c r="M951" s="6"/>
    </row>
    <row r="952" customFormat="false" ht="15" hidden="false" customHeight="false" outlineLevel="0" collapsed="false">
      <c r="A952" s="6" t="s">
        <v>7403</v>
      </c>
      <c r="B952" s="6" t="s">
        <v>5074</v>
      </c>
      <c r="C952" s="6" t="s">
        <v>4975</v>
      </c>
      <c r="D952" s="6" t="s">
        <v>7254</v>
      </c>
      <c r="E952" s="6" t="s">
        <v>7404</v>
      </c>
      <c r="F952" s="6" t="s">
        <v>7405</v>
      </c>
      <c r="G952" s="9" t="n">
        <v>19782</v>
      </c>
      <c r="H952" s="6" t="s">
        <v>384</v>
      </c>
      <c r="I952" s="6" t="s">
        <v>13</v>
      </c>
      <c r="J952" s="6" t="s">
        <v>218</v>
      </c>
      <c r="K952" s="6" t="s">
        <v>7383</v>
      </c>
      <c r="M952" s="6" t="s">
        <v>7406</v>
      </c>
    </row>
    <row r="953" customFormat="false" ht="15" hidden="false" customHeight="false" outlineLevel="0" collapsed="false">
      <c r="A953" s="6" t="s">
        <v>7407</v>
      </c>
      <c r="B953" s="6" t="s">
        <v>5113</v>
      </c>
      <c r="C953" s="6" t="s">
        <v>4975</v>
      </c>
      <c r="D953" s="6" t="s">
        <v>7254</v>
      </c>
      <c r="E953" s="6" t="s">
        <v>7408</v>
      </c>
      <c r="F953" s="6" t="s">
        <v>7409</v>
      </c>
      <c r="G953" s="9" t="n">
        <v>17843</v>
      </c>
      <c r="H953" s="6" t="s">
        <v>384</v>
      </c>
      <c r="I953" s="6" t="s">
        <v>13</v>
      </c>
      <c r="J953" s="6" t="s">
        <v>218</v>
      </c>
      <c r="K953" s="6" t="s">
        <v>7383</v>
      </c>
      <c r="M953" s="6" t="s">
        <v>7406</v>
      </c>
    </row>
    <row r="954" customFormat="false" ht="15" hidden="false" customHeight="false" outlineLevel="0" collapsed="false">
      <c r="A954" s="6" t="s">
        <v>7410</v>
      </c>
      <c r="B954" s="6" t="s">
        <v>5239</v>
      </c>
      <c r="C954" s="6" t="s">
        <v>5050</v>
      </c>
      <c r="D954" s="6" t="s">
        <v>7254</v>
      </c>
      <c r="E954" s="6" t="s">
        <v>7411</v>
      </c>
      <c r="F954" s="6" t="s">
        <v>7412</v>
      </c>
      <c r="G954" s="9" t="n">
        <v>20142</v>
      </c>
      <c r="H954" s="6" t="s">
        <v>384</v>
      </c>
      <c r="I954" s="6" t="s">
        <v>13</v>
      </c>
      <c r="J954" s="6" t="s">
        <v>238</v>
      </c>
      <c r="K954" s="6" t="s">
        <v>7413</v>
      </c>
      <c r="M954" s="6"/>
    </row>
    <row r="955" customFormat="false" ht="15" hidden="false" customHeight="false" outlineLevel="0" collapsed="false">
      <c r="A955" s="6" t="s">
        <v>7414</v>
      </c>
      <c r="B955" s="6" t="s">
        <v>5067</v>
      </c>
      <c r="C955" s="6" t="s">
        <v>5050</v>
      </c>
      <c r="D955" s="6" t="s">
        <v>7254</v>
      </c>
      <c r="E955" s="6" t="s">
        <v>7411</v>
      </c>
      <c r="F955" s="6" t="s">
        <v>7415</v>
      </c>
      <c r="G955" s="9" t="n">
        <v>29851</v>
      </c>
      <c r="H955" s="6" t="s">
        <v>384</v>
      </c>
      <c r="I955" s="6" t="s">
        <v>13</v>
      </c>
      <c r="J955" s="6" t="s">
        <v>228</v>
      </c>
      <c r="K955" s="6" t="s">
        <v>7402</v>
      </c>
      <c r="M955" s="6"/>
    </row>
    <row r="956" customFormat="false" ht="15" hidden="false" customHeight="false" outlineLevel="0" collapsed="false">
      <c r="A956" s="6" t="s">
        <v>7416</v>
      </c>
      <c r="B956" s="6" t="s">
        <v>5079</v>
      </c>
      <c r="C956" s="6" t="s">
        <v>4975</v>
      </c>
      <c r="D956" s="6" t="s">
        <v>7254</v>
      </c>
      <c r="E956" s="6" t="s">
        <v>7411</v>
      </c>
      <c r="F956" s="6" t="s">
        <v>7417</v>
      </c>
      <c r="G956" s="9" t="n">
        <v>18176</v>
      </c>
      <c r="H956" s="6" t="s">
        <v>384</v>
      </c>
      <c r="I956" s="6" t="s">
        <v>13</v>
      </c>
      <c r="J956" s="6" t="s">
        <v>218</v>
      </c>
      <c r="K956" s="6" t="s">
        <v>7383</v>
      </c>
      <c r="M956" s="6" t="s">
        <v>7406</v>
      </c>
    </row>
    <row r="957" customFormat="false" ht="15" hidden="false" customHeight="false" outlineLevel="0" collapsed="false">
      <c r="A957" s="6" t="s">
        <v>7418</v>
      </c>
      <c r="B957" s="6" t="s">
        <v>5239</v>
      </c>
      <c r="C957" s="6" t="s">
        <v>5050</v>
      </c>
      <c r="D957" s="6" t="s">
        <v>7254</v>
      </c>
      <c r="E957" s="6" t="s">
        <v>7419</v>
      </c>
      <c r="F957" s="6" t="s">
        <v>7420</v>
      </c>
      <c r="G957" s="9" t="n">
        <v>13115</v>
      </c>
      <c r="H957" s="6" t="s">
        <v>384</v>
      </c>
      <c r="I957" s="6" t="s">
        <v>13</v>
      </c>
      <c r="J957" s="6" t="s">
        <v>238</v>
      </c>
      <c r="K957" s="6" t="s">
        <v>7413</v>
      </c>
      <c r="M957" s="6"/>
    </row>
    <row r="958" customFormat="false" ht="15" hidden="false" customHeight="false" outlineLevel="0" collapsed="false">
      <c r="A958" s="6" t="s">
        <v>7421</v>
      </c>
      <c r="B958" s="6" t="s">
        <v>5067</v>
      </c>
      <c r="C958" s="6" t="s">
        <v>5050</v>
      </c>
      <c r="D958" s="6" t="s">
        <v>7254</v>
      </c>
      <c r="E958" s="6" t="s">
        <v>7419</v>
      </c>
      <c r="F958" s="6" t="s">
        <v>7422</v>
      </c>
      <c r="G958" s="9" t="n">
        <v>22916</v>
      </c>
      <c r="H958" s="6" t="s">
        <v>384</v>
      </c>
      <c r="I958" s="6" t="s">
        <v>13</v>
      </c>
      <c r="J958" s="6" t="s">
        <v>228</v>
      </c>
      <c r="K958" s="6" t="s">
        <v>7402</v>
      </c>
      <c r="M958" s="6"/>
    </row>
    <row r="959" customFormat="false" ht="15" hidden="false" customHeight="false" outlineLevel="0" collapsed="false">
      <c r="A959" s="6" t="s">
        <v>7423</v>
      </c>
      <c r="B959" s="6" t="s">
        <v>5245</v>
      </c>
      <c r="C959" s="6" t="s">
        <v>5050</v>
      </c>
      <c r="D959" s="6" t="s">
        <v>7254</v>
      </c>
      <c r="E959" s="6" t="s">
        <v>7419</v>
      </c>
      <c r="F959" s="6" t="s">
        <v>7424</v>
      </c>
      <c r="G959" s="9" t="n">
        <v>25101</v>
      </c>
      <c r="H959" s="6" t="s">
        <v>384</v>
      </c>
      <c r="I959" s="6" t="s">
        <v>13</v>
      </c>
      <c r="J959" s="6" t="s">
        <v>253</v>
      </c>
      <c r="K959" s="6" t="s">
        <v>7425</v>
      </c>
      <c r="M959" s="6" t="s">
        <v>7426</v>
      </c>
    </row>
    <row r="960" customFormat="false" ht="15" hidden="false" customHeight="false" outlineLevel="0" collapsed="false">
      <c r="A960" s="6" t="s">
        <v>7427</v>
      </c>
      <c r="B960" s="6" t="s">
        <v>5072</v>
      </c>
      <c r="C960" s="6" t="s">
        <v>5050</v>
      </c>
      <c r="D960" s="6" t="s">
        <v>7254</v>
      </c>
      <c r="E960" s="6" t="s">
        <v>7419</v>
      </c>
      <c r="F960" s="6" t="s">
        <v>7393</v>
      </c>
      <c r="G960" s="9" t="n">
        <v>28516</v>
      </c>
      <c r="H960" s="6" t="s">
        <v>384</v>
      </c>
      <c r="I960" s="6" t="s">
        <v>13</v>
      </c>
      <c r="J960" s="6" t="s">
        <v>233</v>
      </c>
      <c r="K960" s="6" t="s">
        <v>7394</v>
      </c>
      <c r="M960" s="6"/>
    </row>
    <row r="961" customFormat="false" ht="15" hidden="false" customHeight="false" outlineLevel="0" collapsed="false">
      <c r="A961" s="6" t="s">
        <v>7428</v>
      </c>
      <c r="B961" s="6" t="s">
        <v>6987</v>
      </c>
      <c r="C961" s="6" t="s">
        <v>4975</v>
      </c>
      <c r="D961" s="6" t="s">
        <v>7254</v>
      </c>
      <c r="E961" s="6" t="s">
        <v>7419</v>
      </c>
      <c r="F961" s="6" t="s">
        <v>7429</v>
      </c>
      <c r="G961" s="9" t="n">
        <v>12697</v>
      </c>
      <c r="H961" s="6" t="s">
        <v>384</v>
      </c>
      <c r="I961" s="6" t="s">
        <v>13</v>
      </c>
      <c r="J961" s="6" t="s">
        <v>218</v>
      </c>
      <c r="K961" s="6" t="s">
        <v>7383</v>
      </c>
      <c r="M961" s="6" t="s">
        <v>7406</v>
      </c>
    </row>
    <row r="962" customFormat="false" ht="15" hidden="false" customHeight="false" outlineLevel="0" collapsed="false">
      <c r="A962" s="6" t="s">
        <v>7430</v>
      </c>
      <c r="B962" s="6" t="s">
        <v>5239</v>
      </c>
      <c r="C962" s="6" t="s">
        <v>5050</v>
      </c>
      <c r="D962" s="6" t="s">
        <v>7254</v>
      </c>
      <c r="E962" s="6" t="s">
        <v>7431</v>
      </c>
      <c r="F962" s="6" t="s">
        <v>7432</v>
      </c>
      <c r="G962" s="9" t="n">
        <v>9049</v>
      </c>
      <c r="H962" s="6" t="s">
        <v>384</v>
      </c>
      <c r="I962" s="6" t="s">
        <v>13</v>
      </c>
      <c r="J962" s="6" t="s">
        <v>238</v>
      </c>
      <c r="K962" s="6" t="s">
        <v>7413</v>
      </c>
      <c r="M962" s="6"/>
    </row>
    <row r="963" customFormat="false" ht="15" hidden="false" customHeight="false" outlineLevel="0" collapsed="false">
      <c r="A963" s="6" t="s">
        <v>7433</v>
      </c>
      <c r="B963" s="6" t="s">
        <v>5067</v>
      </c>
      <c r="C963" s="6" t="s">
        <v>5050</v>
      </c>
      <c r="D963" s="6" t="s">
        <v>7254</v>
      </c>
      <c r="E963" s="6" t="s">
        <v>7431</v>
      </c>
      <c r="F963" s="6" t="s">
        <v>7434</v>
      </c>
      <c r="G963" s="9" t="n">
        <v>18872</v>
      </c>
      <c r="H963" s="6" t="s">
        <v>384</v>
      </c>
      <c r="I963" s="6" t="s">
        <v>13</v>
      </c>
      <c r="J963" s="6" t="s">
        <v>228</v>
      </c>
      <c r="K963" s="6" t="s">
        <v>7402</v>
      </c>
      <c r="M963" s="6"/>
    </row>
    <row r="964" customFormat="false" ht="15" hidden="false" customHeight="false" outlineLevel="0" collapsed="false">
      <c r="A964" s="6" t="s">
        <v>7435</v>
      </c>
      <c r="B964" s="6" t="s">
        <v>5245</v>
      </c>
      <c r="C964" s="6" t="s">
        <v>5050</v>
      </c>
      <c r="D964" s="6" t="s">
        <v>7254</v>
      </c>
      <c r="E964" s="6" t="s">
        <v>7431</v>
      </c>
      <c r="F964" s="6" t="s">
        <v>7436</v>
      </c>
      <c r="G964" s="9" t="n">
        <v>21049</v>
      </c>
      <c r="H964" s="6" t="s">
        <v>384</v>
      </c>
      <c r="I964" s="6" t="s">
        <v>13</v>
      </c>
      <c r="J964" s="6" t="s">
        <v>253</v>
      </c>
      <c r="K964" s="6" t="s">
        <v>7425</v>
      </c>
      <c r="M964" s="6" t="s">
        <v>7426</v>
      </c>
    </row>
    <row r="965" customFormat="false" ht="15" hidden="false" customHeight="false" outlineLevel="0" collapsed="false">
      <c r="A965" s="6" t="s">
        <v>7437</v>
      </c>
      <c r="B965" s="6" t="s">
        <v>5072</v>
      </c>
      <c r="C965" s="6" t="s">
        <v>5050</v>
      </c>
      <c r="D965" s="6" t="s">
        <v>7254</v>
      </c>
      <c r="E965" s="6" t="s">
        <v>7431</v>
      </c>
      <c r="F965" s="6" t="s">
        <v>7393</v>
      </c>
      <c r="G965" s="9" t="n">
        <v>33936</v>
      </c>
      <c r="H965" s="6" t="s">
        <v>384</v>
      </c>
      <c r="I965" s="6" t="s">
        <v>13</v>
      </c>
      <c r="J965" s="6" t="s">
        <v>233</v>
      </c>
      <c r="K965" s="6" t="s">
        <v>7394</v>
      </c>
      <c r="M965" s="6"/>
    </row>
    <row r="966" customFormat="false" ht="15" hidden="false" customHeight="false" outlineLevel="0" collapsed="false">
      <c r="A966" s="6" t="s">
        <v>7438</v>
      </c>
      <c r="B966" s="6" t="s">
        <v>5249</v>
      </c>
      <c r="C966" s="6" t="s">
        <v>5050</v>
      </c>
      <c r="D966" s="6" t="s">
        <v>7254</v>
      </c>
      <c r="E966" s="6" t="s">
        <v>7431</v>
      </c>
      <c r="F966" s="6" t="s">
        <v>7439</v>
      </c>
      <c r="G966" s="9" t="n">
        <v>35618</v>
      </c>
      <c r="H966" s="6" t="s">
        <v>384</v>
      </c>
      <c r="I966" s="6" t="s">
        <v>13</v>
      </c>
      <c r="J966" s="6" t="s">
        <v>261</v>
      </c>
      <c r="K966" s="6" t="s">
        <v>7440</v>
      </c>
      <c r="M966" s="6"/>
    </row>
    <row r="967" customFormat="false" ht="15" hidden="false" customHeight="false" outlineLevel="0" collapsed="false">
      <c r="A967" s="6" t="s">
        <v>7441</v>
      </c>
      <c r="B967" s="6" t="s">
        <v>6247</v>
      </c>
      <c r="C967" s="6" t="s">
        <v>4975</v>
      </c>
      <c r="D967" s="6" t="s">
        <v>7254</v>
      </c>
      <c r="E967" s="6" t="s">
        <v>7431</v>
      </c>
      <c r="F967" s="6" t="s">
        <v>7442</v>
      </c>
      <c r="G967" s="9" t="n">
        <v>8708</v>
      </c>
      <c r="H967" s="6" t="s">
        <v>384</v>
      </c>
      <c r="I967" s="6" t="s">
        <v>13</v>
      </c>
      <c r="J967" s="6" t="s">
        <v>218</v>
      </c>
      <c r="K967" s="6" t="s">
        <v>7383</v>
      </c>
      <c r="M967" s="6" t="s">
        <v>7406</v>
      </c>
    </row>
    <row r="968" customFormat="false" ht="15" hidden="false" customHeight="false" outlineLevel="0" collapsed="false">
      <c r="A968" s="6" t="s">
        <v>7443</v>
      </c>
      <c r="B968" s="6" t="s">
        <v>5239</v>
      </c>
      <c r="C968" s="6" t="s">
        <v>5050</v>
      </c>
      <c r="D968" s="6" t="s">
        <v>7254</v>
      </c>
      <c r="E968" s="6" t="s">
        <v>7444</v>
      </c>
      <c r="F968" s="6" t="s">
        <v>7445</v>
      </c>
      <c r="G968" s="9" t="n">
        <v>7060</v>
      </c>
      <c r="H968" s="6" t="s">
        <v>384</v>
      </c>
      <c r="I968" s="6" t="s">
        <v>13</v>
      </c>
      <c r="J968" s="6" t="s">
        <v>238</v>
      </c>
      <c r="K968" s="6" t="s">
        <v>7413</v>
      </c>
      <c r="M968" s="6"/>
    </row>
    <row r="969" customFormat="false" ht="15" hidden="false" customHeight="false" outlineLevel="0" collapsed="false">
      <c r="A969" s="6" t="s">
        <v>7446</v>
      </c>
      <c r="B969" s="6" t="s">
        <v>5067</v>
      </c>
      <c r="C969" s="6" t="s">
        <v>5050</v>
      </c>
      <c r="D969" s="6" t="s">
        <v>7254</v>
      </c>
      <c r="E969" s="6" t="s">
        <v>7444</v>
      </c>
      <c r="F969" s="6" t="s">
        <v>7447</v>
      </c>
      <c r="G969" s="9" t="n">
        <v>16577</v>
      </c>
      <c r="H969" s="6" t="s">
        <v>384</v>
      </c>
      <c r="I969" s="6" t="s">
        <v>13</v>
      </c>
      <c r="J969" s="6" t="s">
        <v>228</v>
      </c>
      <c r="K969" s="6" t="s">
        <v>7402</v>
      </c>
      <c r="M969" s="6"/>
    </row>
    <row r="970" customFormat="false" ht="15" hidden="false" customHeight="false" outlineLevel="0" collapsed="false">
      <c r="A970" s="6" t="s">
        <v>7448</v>
      </c>
      <c r="B970" s="6" t="s">
        <v>5245</v>
      </c>
      <c r="C970" s="6" t="s">
        <v>5050</v>
      </c>
      <c r="D970" s="6" t="s">
        <v>7254</v>
      </c>
      <c r="E970" s="6" t="s">
        <v>7444</v>
      </c>
      <c r="F970" s="6" t="s">
        <v>7449</v>
      </c>
      <c r="G970" s="9" t="n">
        <v>21119</v>
      </c>
      <c r="H970" s="6" t="s">
        <v>384</v>
      </c>
      <c r="I970" s="6" t="s">
        <v>13</v>
      </c>
      <c r="J970" s="6" t="s">
        <v>253</v>
      </c>
      <c r="K970" s="6" t="s">
        <v>7425</v>
      </c>
      <c r="M970" s="6" t="s">
        <v>7426</v>
      </c>
    </row>
    <row r="971" customFormat="false" ht="15" hidden="false" customHeight="false" outlineLevel="0" collapsed="false">
      <c r="A971" s="6" t="s">
        <v>7450</v>
      </c>
      <c r="B971" s="6" t="s">
        <v>5072</v>
      </c>
      <c r="C971" s="6" t="s">
        <v>5050</v>
      </c>
      <c r="D971" s="6" t="s">
        <v>7254</v>
      </c>
      <c r="E971" s="6" t="s">
        <v>7444</v>
      </c>
      <c r="F971" s="6" t="s">
        <v>7393</v>
      </c>
      <c r="G971" s="9" t="n">
        <v>34051</v>
      </c>
      <c r="H971" s="6" t="s">
        <v>384</v>
      </c>
      <c r="I971" s="6" t="s">
        <v>13</v>
      </c>
      <c r="J971" s="6" t="s">
        <v>233</v>
      </c>
      <c r="K971" s="6" t="s">
        <v>7394</v>
      </c>
      <c r="M971" s="6"/>
    </row>
    <row r="972" customFormat="false" ht="15" hidden="false" customHeight="false" outlineLevel="0" collapsed="false">
      <c r="A972" s="6" t="s">
        <v>7451</v>
      </c>
      <c r="B972" s="6" t="s">
        <v>5249</v>
      </c>
      <c r="C972" s="6" t="s">
        <v>5050</v>
      </c>
      <c r="D972" s="6" t="s">
        <v>7254</v>
      </c>
      <c r="E972" s="6" t="s">
        <v>7444</v>
      </c>
      <c r="F972" s="6" t="s">
        <v>7452</v>
      </c>
      <c r="G972" s="9" t="n">
        <v>42129</v>
      </c>
      <c r="H972" s="6" t="s">
        <v>384</v>
      </c>
      <c r="I972" s="6" t="s">
        <v>13</v>
      </c>
      <c r="J972" s="6" t="s">
        <v>261</v>
      </c>
      <c r="K972" s="6" t="s">
        <v>7440</v>
      </c>
      <c r="M972" s="6"/>
    </row>
    <row r="973" customFormat="false" ht="15" hidden="false" customHeight="false" outlineLevel="0" collapsed="false">
      <c r="A973" s="6" t="s">
        <v>7453</v>
      </c>
      <c r="B973" s="6" t="s">
        <v>5067</v>
      </c>
      <c r="C973" s="6" t="s">
        <v>5050</v>
      </c>
      <c r="D973" s="6" t="s">
        <v>7254</v>
      </c>
      <c r="E973" s="6" t="s">
        <v>7454</v>
      </c>
      <c r="F973" s="6" t="s">
        <v>7455</v>
      </c>
      <c r="G973" s="9" t="n">
        <v>9144</v>
      </c>
      <c r="H973" s="6" t="s">
        <v>384</v>
      </c>
      <c r="I973" s="6" t="s">
        <v>13</v>
      </c>
      <c r="J973" s="6" t="s">
        <v>228</v>
      </c>
      <c r="K973" s="6" t="s">
        <v>7402</v>
      </c>
      <c r="M973" s="6"/>
    </row>
    <row r="974" customFormat="false" ht="15" hidden="false" customHeight="false" outlineLevel="0" collapsed="false">
      <c r="A974" s="6" t="s">
        <v>7456</v>
      </c>
      <c r="B974" s="6" t="s">
        <v>5245</v>
      </c>
      <c r="C974" s="6" t="s">
        <v>5050</v>
      </c>
      <c r="D974" s="6" t="s">
        <v>7254</v>
      </c>
      <c r="E974" s="6" t="s">
        <v>7454</v>
      </c>
      <c r="F974" s="6" t="s">
        <v>7457</v>
      </c>
      <c r="G974" s="9" t="n">
        <v>19665</v>
      </c>
      <c r="H974" s="6" t="s">
        <v>384</v>
      </c>
      <c r="I974" s="6" t="s">
        <v>13</v>
      </c>
      <c r="J974" s="6" t="s">
        <v>253</v>
      </c>
      <c r="K974" s="6" t="s">
        <v>7425</v>
      </c>
      <c r="M974" s="6" t="s">
        <v>7426</v>
      </c>
    </row>
    <row r="975" customFormat="false" ht="15" hidden="false" customHeight="false" outlineLevel="0" collapsed="false">
      <c r="A975" s="6" t="s">
        <v>7458</v>
      </c>
      <c r="B975" s="6" t="s">
        <v>5072</v>
      </c>
      <c r="C975" s="6" t="s">
        <v>5050</v>
      </c>
      <c r="D975" s="6" t="s">
        <v>7254</v>
      </c>
      <c r="E975" s="6" t="s">
        <v>7454</v>
      </c>
      <c r="F975" s="6" t="s">
        <v>7393</v>
      </c>
      <c r="G975" s="9" t="n">
        <v>32017</v>
      </c>
      <c r="H975" s="6" t="s">
        <v>384</v>
      </c>
      <c r="I975" s="6" t="s">
        <v>13</v>
      </c>
      <c r="J975" s="6" t="s">
        <v>233</v>
      </c>
      <c r="K975" s="6" t="s">
        <v>7394</v>
      </c>
      <c r="M975" s="6"/>
    </row>
    <row r="976" customFormat="false" ht="15" hidden="false" customHeight="false" outlineLevel="0" collapsed="false">
      <c r="A976" s="6" t="s">
        <v>7459</v>
      </c>
      <c r="B976" s="6" t="s">
        <v>5249</v>
      </c>
      <c r="C976" s="6" t="s">
        <v>5050</v>
      </c>
      <c r="D976" s="6" t="s">
        <v>7254</v>
      </c>
      <c r="E976" s="6" t="s">
        <v>7454</v>
      </c>
      <c r="F976" s="6" t="s">
        <v>7460</v>
      </c>
      <c r="G976" s="9" t="n">
        <v>39998</v>
      </c>
      <c r="H976" s="6" t="s">
        <v>384</v>
      </c>
      <c r="I976" s="6" t="s">
        <v>13</v>
      </c>
      <c r="J976" s="6" t="s">
        <v>261</v>
      </c>
      <c r="K976" s="6" t="s">
        <v>7440</v>
      </c>
      <c r="M976" s="6"/>
    </row>
    <row r="977" customFormat="false" ht="15" hidden="false" customHeight="false" outlineLevel="0" collapsed="false">
      <c r="A977" s="6" t="s">
        <v>7461</v>
      </c>
      <c r="B977" s="6" t="s">
        <v>5072</v>
      </c>
      <c r="C977" s="6" t="s">
        <v>5050</v>
      </c>
      <c r="D977" s="6" t="s">
        <v>7254</v>
      </c>
      <c r="E977" s="6" t="s">
        <v>7462</v>
      </c>
      <c r="F977" s="6" t="s">
        <v>7393</v>
      </c>
      <c r="G977" s="9" t="n">
        <v>31697</v>
      </c>
      <c r="H977" s="6" t="s">
        <v>384</v>
      </c>
      <c r="I977" s="6" t="s">
        <v>13</v>
      </c>
      <c r="J977" s="6" t="s">
        <v>233</v>
      </c>
      <c r="K977" s="6" t="s">
        <v>7394</v>
      </c>
      <c r="M977" s="6"/>
    </row>
    <row r="978" customFormat="false" ht="15" hidden="false" customHeight="false" outlineLevel="0" collapsed="false">
      <c r="A978" s="6" t="s">
        <v>7463</v>
      </c>
      <c r="B978" s="6" t="s">
        <v>5249</v>
      </c>
      <c r="C978" s="6" t="s">
        <v>5050</v>
      </c>
      <c r="D978" s="6" t="s">
        <v>7254</v>
      </c>
      <c r="E978" s="6" t="s">
        <v>7462</v>
      </c>
      <c r="F978" s="6" t="s">
        <v>7464</v>
      </c>
      <c r="G978" s="9" t="n">
        <v>39657</v>
      </c>
      <c r="H978" s="6" t="s">
        <v>384</v>
      </c>
      <c r="I978" s="6" t="s">
        <v>13</v>
      </c>
      <c r="J978" s="6" t="s">
        <v>261</v>
      </c>
      <c r="K978" s="6" t="s">
        <v>7440</v>
      </c>
      <c r="M978" s="6"/>
    </row>
    <row r="979" customFormat="false" ht="15" hidden="false" customHeight="false" outlineLevel="0" collapsed="false">
      <c r="A979" s="6" t="s">
        <v>7465</v>
      </c>
      <c r="B979" s="6" t="s">
        <v>5245</v>
      </c>
      <c r="C979" s="6" t="s">
        <v>5050</v>
      </c>
      <c r="D979" s="6" t="s">
        <v>7254</v>
      </c>
      <c r="E979" s="6" t="s">
        <v>7466</v>
      </c>
      <c r="F979" s="6" t="s">
        <v>7467</v>
      </c>
      <c r="G979" s="9" t="n">
        <v>-14717</v>
      </c>
      <c r="H979" s="6" t="s">
        <v>384</v>
      </c>
      <c r="I979" s="6" t="s">
        <v>13</v>
      </c>
      <c r="J979" s="6" t="s">
        <v>253</v>
      </c>
      <c r="K979" s="6" t="s">
        <v>7425</v>
      </c>
      <c r="M979" s="6" t="s">
        <v>7468</v>
      </c>
    </row>
    <row r="980" customFormat="false" ht="15" hidden="false" customHeight="false" outlineLevel="0" collapsed="false">
      <c r="A980" s="6" t="s">
        <v>7469</v>
      </c>
      <c r="B980" s="6" t="s">
        <v>5249</v>
      </c>
      <c r="C980" s="6" t="s">
        <v>5050</v>
      </c>
      <c r="D980" s="6" t="s">
        <v>7254</v>
      </c>
      <c r="E980" s="6" t="s">
        <v>7466</v>
      </c>
      <c r="F980" s="6" t="s">
        <v>7470</v>
      </c>
      <c r="G980" s="9" t="n">
        <v>-43117</v>
      </c>
      <c r="H980" s="6" t="s">
        <v>384</v>
      </c>
      <c r="I980" s="6" t="s">
        <v>13</v>
      </c>
      <c r="J980" s="6" t="s">
        <v>261</v>
      </c>
      <c r="K980" s="6" t="s">
        <v>7440</v>
      </c>
      <c r="M980" s="6" t="s">
        <v>5055</v>
      </c>
    </row>
    <row r="981" customFormat="false" ht="15" hidden="false" customHeight="false" outlineLevel="0" collapsed="false">
      <c r="A981" s="6" t="s">
        <v>7471</v>
      </c>
      <c r="B981" s="6" t="s">
        <v>5245</v>
      </c>
      <c r="C981" s="6" t="s">
        <v>5050</v>
      </c>
      <c r="D981" s="6" t="s">
        <v>7254</v>
      </c>
      <c r="E981" s="6" t="s">
        <v>7472</v>
      </c>
      <c r="F981" s="6" t="s">
        <v>7473</v>
      </c>
      <c r="G981" s="9" t="n">
        <v>126212</v>
      </c>
      <c r="H981" s="6" t="s">
        <v>384</v>
      </c>
      <c r="I981" s="6" t="s">
        <v>13</v>
      </c>
      <c r="J981" s="6" t="s">
        <v>253</v>
      </c>
      <c r="K981" s="6" t="s">
        <v>7425</v>
      </c>
      <c r="M981" s="6" t="s">
        <v>7468</v>
      </c>
    </row>
    <row r="982" customFormat="false" ht="15" hidden="false" customHeight="false" outlineLevel="0" collapsed="false">
      <c r="A982" s="6" t="s">
        <v>7474</v>
      </c>
      <c r="B982" s="6" t="s">
        <v>5249</v>
      </c>
      <c r="C982" s="6" t="s">
        <v>5050</v>
      </c>
      <c r="D982" s="6" t="s">
        <v>7254</v>
      </c>
      <c r="E982" s="6" t="s">
        <v>7472</v>
      </c>
      <c r="F982" s="6" t="s">
        <v>7475</v>
      </c>
      <c r="G982" s="9" t="n">
        <v>237488</v>
      </c>
      <c r="H982" s="6" t="s">
        <v>384</v>
      </c>
      <c r="I982" s="6" t="s">
        <v>13</v>
      </c>
      <c r="J982" s="6" t="s">
        <v>261</v>
      </c>
      <c r="K982" s="6" t="s">
        <v>7440</v>
      </c>
      <c r="M982" s="6" t="s">
        <v>5055</v>
      </c>
    </row>
    <row r="983" customFormat="false" ht="15" hidden="false" customHeight="false" outlineLevel="0" collapsed="false">
      <c r="A983" s="6" t="s">
        <v>7476</v>
      </c>
      <c r="B983" s="6" t="s">
        <v>5239</v>
      </c>
      <c r="C983" s="6" t="s">
        <v>5050</v>
      </c>
      <c r="D983" s="6" t="s">
        <v>7254</v>
      </c>
      <c r="E983" s="6" t="s">
        <v>7477</v>
      </c>
      <c r="F983" s="6" t="s">
        <v>7478</v>
      </c>
      <c r="G983" s="9" t="n">
        <v>206</v>
      </c>
      <c r="H983" s="6" t="s">
        <v>384</v>
      </c>
      <c r="I983" s="6" t="s">
        <v>13</v>
      </c>
      <c r="J983" s="6" t="s">
        <v>238</v>
      </c>
      <c r="K983" s="6" t="s">
        <v>7413</v>
      </c>
      <c r="M983" s="6"/>
    </row>
    <row r="984" customFormat="false" ht="15" hidden="false" customHeight="false" outlineLevel="0" collapsed="false">
      <c r="A984" s="6" t="s">
        <v>7479</v>
      </c>
      <c r="B984" s="6" t="s">
        <v>5067</v>
      </c>
      <c r="C984" s="6" t="s">
        <v>5050</v>
      </c>
      <c r="D984" s="6" t="s">
        <v>7254</v>
      </c>
      <c r="E984" s="6" t="s">
        <v>7477</v>
      </c>
      <c r="F984" s="6" t="s">
        <v>7480</v>
      </c>
      <c r="G984" s="9" t="n">
        <v>23209</v>
      </c>
      <c r="H984" s="6" t="s">
        <v>384</v>
      </c>
      <c r="I984" s="6" t="s">
        <v>13</v>
      </c>
      <c r="J984" s="6" t="s">
        <v>228</v>
      </c>
      <c r="K984" s="6" t="s">
        <v>7402</v>
      </c>
      <c r="M984" s="6"/>
    </row>
    <row r="985" customFormat="false" ht="15" hidden="false" customHeight="false" outlineLevel="0" collapsed="false">
      <c r="A985" s="6" t="s">
        <v>7481</v>
      </c>
      <c r="B985" s="6" t="s">
        <v>5245</v>
      </c>
      <c r="C985" s="6" t="s">
        <v>5050</v>
      </c>
      <c r="D985" s="6" t="s">
        <v>7254</v>
      </c>
      <c r="E985" s="6" t="s">
        <v>7477</v>
      </c>
      <c r="F985" s="6" t="s">
        <v>7482</v>
      </c>
      <c r="G985" s="9" t="n">
        <v>37948</v>
      </c>
      <c r="H985" s="6" t="s">
        <v>384</v>
      </c>
      <c r="I985" s="6" t="s">
        <v>13</v>
      </c>
      <c r="J985" s="6" t="s">
        <v>253</v>
      </c>
      <c r="K985" s="6" t="s">
        <v>7425</v>
      </c>
      <c r="M985" s="6" t="s">
        <v>7426</v>
      </c>
    </row>
    <row r="986" customFormat="false" ht="15" hidden="false" customHeight="false" outlineLevel="0" collapsed="false">
      <c r="A986" s="6" t="s">
        <v>7483</v>
      </c>
      <c r="B986" s="6" t="s">
        <v>5249</v>
      </c>
      <c r="C986" s="6" t="s">
        <v>5050</v>
      </c>
      <c r="D986" s="6" t="s">
        <v>7254</v>
      </c>
      <c r="E986" s="6" t="s">
        <v>7477</v>
      </c>
      <c r="F986" s="6" t="s">
        <v>7484</v>
      </c>
      <c r="G986" s="9" t="n">
        <v>110022</v>
      </c>
      <c r="H986" s="6" t="s">
        <v>384</v>
      </c>
      <c r="I986" s="6" t="s">
        <v>13</v>
      </c>
      <c r="J986" s="6" t="s">
        <v>261</v>
      </c>
      <c r="K986" s="6" t="s">
        <v>7440</v>
      </c>
      <c r="M986" s="6"/>
    </row>
    <row r="987" customFormat="false" ht="15" hidden="false" customHeight="false" outlineLevel="0" collapsed="false">
      <c r="A987" s="6" t="s">
        <v>7485</v>
      </c>
      <c r="B987" s="6" t="s">
        <v>7486</v>
      </c>
      <c r="C987" s="6" t="s">
        <v>4975</v>
      </c>
      <c r="D987" s="6" t="s">
        <v>7254</v>
      </c>
      <c r="E987" s="6" t="s">
        <v>7477</v>
      </c>
      <c r="F987" s="6" t="s">
        <v>7487</v>
      </c>
      <c r="G987" s="9" t="n">
        <v>6282</v>
      </c>
      <c r="H987" s="6" t="s">
        <v>384</v>
      </c>
      <c r="I987" s="6" t="s">
        <v>13</v>
      </c>
      <c r="J987" s="6" t="s">
        <v>218</v>
      </c>
      <c r="K987" s="6" t="s">
        <v>7383</v>
      </c>
      <c r="M987" s="6" t="s">
        <v>7406</v>
      </c>
    </row>
    <row r="988" customFormat="false" ht="15" hidden="false" customHeight="false" outlineLevel="0" collapsed="false">
      <c r="A988" s="6" t="s">
        <v>7488</v>
      </c>
      <c r="B988" s="6" t="s">
        <v>5245</v>
      </c>
      <c r="C988" s="6" t="s">
        <v>5050</v>
      </c>
      <c r="D988" s="6" t="s">
        <v>7254</v>
      </c>
      <c r="E988" s="6" t="s">
        <v>7489</v>
      </c>
      <c r="F988" s="6" t="s">
        <v>7490</v>
      </c>
      <c r="G988" s="9" t="n">
        <v>140929</v>
      </c>
      <c r="H988" s="6" t="s">
        <v>384</v>
      </c>
      <c r="I988" s="6" t="s">
        <v>13</v>
      </c>
      <c r="J988" s="6" t="s">
        <v>253</v>
      </c>
      <c r="K988" s="6" t="s">
        <v>7425</v>
      </c>
      <c r="M988" s="6" t="s">
        <v>7468</v>
      </c>
    </row>
    <row r="989" customFormat="false" ht="15" hidden="false" customHeight="false" outlineLevel="0" collapsed="false">
      <c r="A989" s="6" t="s">
        <v>7491</v>
      </c>
      <c r="B989" s="6" t="s">
        <v>5249</v>
      </c>
      <c r="C989" s="6" t="s">
        <v>5050</v>
      </c>
      <c r="D989" s="6" t="s">
        <v>7254</v>
      </c>
      <c r="E989" s="6" t="s">
        <v>7489</v>
      </c>
      <c r="F989" s="6" t="s">
        <v>7492</v>
      </c>
      <c r="G989" s="9" t="n">
        <v>280605</v>
      </c>
      <c r="H989" s="6" t="s">
        <v>384</v>
      </c>
      <c r="I989" s="6" t="s">
        <v>13</v>
      </c>
      <c r="J989" s="6" t="s">
        <v>261</v>
      </c>
      <c r="K989" s="6" t="s">
        <v>7440</v>
      </c>
      <c r="M989" s="6" t="s">
        <v>5055</v>
      </c>
    </row>
    <row r="990" customFormat="false" ht="15" hidden="false" customHeight="false" outlineLevel="0" collapsed="false">
      <c r="A990" s="6" t="s">
        <v>7493</v>
      </c>
      <c r="B990" s="6" t="s">
        <v>5239</v>
      </c>
      <c r="C990" s="6" t="s">
        <v>5050</v>
      </c>
      <c r="D990" s="6" t="s">
        <v>7254</v>
      </c>
      <c r="E990" s="6" t="s">
        <v>7494</v>
      </c>
      <c r="F990" s="6" t="s">
        <v>7495</v>
      </c>
      <c r="G990" s="9" t="n">
        <v>10200</v>
      </c>
      <c r="H990" s="6" t="s">
        <v>384</v>
      </c>
      <c r="I990" s="6" t="s">
        <v>13</v>
      </c>
      <c r="J990" s="6" t="s">
        <v>238</v>
      </c>
      <c r="K990" s="6" t="s">
        <v>7413</v>
      </c>
      <c r="M990" s="6" t="s">
        <v>5055</v>
      </c>
    </row>
    <row r="991" customFormat="false" ht="15" hidden="false" customHeight="false" outlineLevel="0" collapsed="false">
      <c r="A991" s="6" t="s">
        <v>7496</v>
      </c>
      <c r="B991" s="6" t="s">
        <v>5245</v>
      </c>
      <c r="C991" s="6" t="s">
        <v>5050</v>
      </c>
      <c r="D991" s="6" t="s">
        <v>7254</v>
      </c>
      <c r="E991" s="6" t="s">
        <v>7497</v>
      </c>
      <c r="F991" s="6" t="s">
        <v>7498</v>
      </c>
      <c r="G991" s="9" t="n">
        <v>16047</v>
      </c>
      <c r="H991" s="6" t="s">
        <v>384</v>
      </c>
      <c r="I991" s="6" t="s">
        <v>13</v>
      </c>
      <c r="J991" s="6" t="s">
        <v>253</v>
      </c>
      <c r="K991" s="6" t="s">
        <v>7425</v>
      </c>
      <c r="M991" s="6" t="s">
        <v>7468</v>
      </c>
    </row>
    <row r="992" customFormat="false" ht="15" hidden="false" customHeight="false" outlineLevel="0" collapsed="false">
      <c r="A992" s="6" t="s">
        <v>7499</v>
      </c>
      <c r="B992" s="6" t="s">
        <v>5249</v>
      </c>
      <c r="C992" s="6" t="s">
        <v>5050</v>
      </c>
      <c r="D992" s="6" t="s">
        <v>7254</v>
      </c>
      <c r="E992" s="6" t="s">
        <v>7500</v>
      </c>
      <c r="F992" s="6" t="s">
        <v>7501</v>
      </c>
      <c r="G992" s="9" t="n">
        <v>13181</v>
      </c>
      <c r="H992" s="6" t="s">
        <v>384</v>
      </c>
      <c r="I992" s="6" t="s">
        <v>13</v>
      </c>
      <c r="J992" s="6" t="s">
        <v>261</v>
      </c>
      <c r="K992" s="6" t="s">
        <v>7440</v>
      </c>
      <c r="M992" s="6" t="s">
        <v>5055</v>
      </c>
    </row>
    <row r="993" customFormat="false" ht="15" hidden="false" customHeight="false" outlineLevel="0" collapsed="false">
      <c r="A993" s="6" t="s">
        <v>7502</v>
      </c>
      <c r="B993" s="6" t="s">
        <v>5072</v>
      </c>
      <c r="C993" s="6" t="s">
        <v>5050</v>
      </c>
      <c r="D993" s="6" t="s">
        <v>7254</v>
      </c>
      <c r="E993" s="6" t="s">
        <v>7503</v>
      </c>
      <c r="F993" s="6" t="s">
        <v>7393</v>
      </c>
      <c r="G993" s="9" t="n">
        <v>29273</v>
      </c>
      <c r="H993" s="6" t="s">
        <v>384</v>
      </c>
      <c r="I993" s="6" t="s">
        <v>13</v>
      </c>
      <c r="J993" s="6" t="s">
        <v>233</v>
      </c>
      <c r="K993" s="6" t="s">
        <v>7394</v>
      </c>
      <c r="M993" s="6"/>
    </row>
    <row r="994" customFormat="false" ht="15" hidden="false" customHeight="false" outlineLevel="0" collapsed="false">
      <c r="A994" s="6" t="s">
        <v>7504</v>
      </c>
      <c r="B994" s="6" t="s">
        <v>5067</v>
      </c>
      <c r="C994" s="6" t="s">
        <v>5050</v>
      </c>
      <c r="D994" s="6" t="s">
        <v>7254</v>
      </c>
      <c r="E994" s="6" t="s">
        <v>7505</v>
      </c>
      <c r="F994" s="6" t="s">
        <v>7506</v>
      </c>
      <c r="G994" s="9" t="n">
        <v>120569</v>
      </c>
      <c r="H994" s="6" t="s">
        <v>384</v>
      </c>
      <c r="I994" s="6" t="s">
        <v>13</v>
      </c>
      <c r="J994" s="6" t="s">
        <v>228</v>
      </c>
      <c r="K994" s="6" t="s">
        <v>7402</v>
      </c>
      <c r="M994" s="6" t="s">
        <v>7507</v>
      </c>
    </row>
    <row r="995" customFormat="false" ht="15" hidden="false" customHeight="false" outlineLevel="0" collapsed="false">
      <c r="A995" s="6" t="s">
        <v>7508</v>
      </c>
      <c r="B995" s="6" t="s">
        <v>5239</v>
      </c>
      <c r="C995" s="6" t="s">
        <v>5050</v>
      </c>
      <c r="D995" s="6" t="s">
        <v>7254</v>
      </c>
      <c r="E995" s="6" t="s">
        <v>7509</v>
      </c>
      <c r="F995" s="6" t="s">
        <v>7510</v>
      </c>
      <c r="G995" s="9" t="n">
        <v>-2927</v>
      </c>
      <c r="H995" s="6" t="s">
        <v>384</v>
      </c>
      <c r="I995" s="6" t="s">
        <v>13</v>
      </c>
      <c r="J995" s="6" t="s">
        <v>238</v>
      </c>
      <c r="K995" s="6" t="s">
        <v>7511</v>
      </c>
      <c r="M995" s="6"/>
    </row>
    <row r="996" customFormat="false" ht="15" hidden="false" customHeight="false" outlineLevel="0" collapsed="false">
      <c r="A996" s="6" t="s">
        <v>7512</v>
      </c>
      <c r="B996" s="6" t="s">
        <v>5239</v>
      </c>
      <c r="C996" s="6" t="s">
        <v>5050</v>
      </c>
      <c r="D996" s="6" t="s">
        <v>7254</v>
      </c>
      <c r="E996" s="6" t="s">
        <v>7513</v>
      </c>
      <c r="F996" s="6" t="s">
        <v>7514</v>
      </c>
      <c r="G996" s="9" t="n">
        <v>59772</v>
      </c>
      <c r="H996" s="6" t="s">
        <v>384</v>
      </c>
      <c r="I996" s="6" t="s">
        <v>13</v>
      </c>
      <c r="J996" s="6" t="s">
        <v>238</v>
      </c>
      <c r="K996" s="6" t="s">
        <v>7511</v>
      </c>
      <c r="M996" s="6"/>
    </row>
    <row r="997" customFormat="false" ht="15" hidden="false" customHeight="false" outlineLevel="0" collapsed="false">
      <c r="A997" s="6" t="s">
        <v>7515</v>
      </c>
      <c r="B997" s="6" t="s">
        <v>5325</v>
      </c>
      <c r="C997" s="6" t="s">
        <v>5316</v>
      </c>
      <c r="D997" s="6" t="s">
        <v>7254</v>
      </c>
      <c r="E997" s="6" t="s">
        <v>7516</v>
      </c>
      <c r="F997" s="6" t="s">
        <v>7517</v>
      </c>
      <c r="G997" s="9" t="n">
        <v>16476</v>
      </c>
      <c r="H997" s="6" t="s">
        <v>384</v>
      </c>
      <c r="I997" s="6" t="s">
        <v>13</v>
      </c>
      <c r="J997" s="6" t="s">
        <v>261</v>
      </c>
      <c r="K997" s="6" t="s">
        <v>7518</v>
      </c>
      <c r="M997" s="6" t="s">
        <v>7519</v>
      </c>
    </row>
    <row r="998" customFormat="false" ht="15" hidden="false" customHeight="false" outlineLevel="0" collapsed="false">
      <c r="A998" s="6" t="s">
        <v>7520</v>
      </c>
      <c r="B998" s="6" t="s">
        <v>5062</v>
      </c>
      <c r="C998" s="6" t="s">
        <v>5050</v>
      </c>
      <c r="D998" s="6" t="s">
        <v>7254</v>
      </c>
      <c r="E998" s="6" t="s">
        <v>7521</v>
      </c>
      <c r="F998" s="6" t="s">
        <v>7522</v>
      </c>
      <c r="G998" s="9" t="n">
        <v>1700</v>
      </c>
      <c r="H998" s="6" t="s">
        <v>384</v>
      </c>
      <c r="I998" s="6" t="s">
        <v>13</v>
      </c>
      <c r="J998" s="6" t="s">
        <v>223</v>
      </c>
      <c r="K998" s="6" t="s">
        <v>7523</v>
      </c>
      <c r="M998" s="6" t="s">
        <v>7524</v>
      </c>
    </row>
    <row r="999" customFormat="false" ht="15" hidden="false" customHeight="false" outlineLevel="0" collapsed="false">
      <c r="A999" s="6" t="s">
        <v>7525</v>
      </c>
      <c r="B999" s="6" t="s">
        <v>5072</v>
      </c>
      <c r="C999" s="6" t="s">
        <v>5050</v>
      </c>
      <c r="D999" s="6" t="s">
        <v>7254</v>
      </c>
      <c r="E999" s="6" t="s">
        <v>7526</v>
      </c>
      <c r="F999" s="6" t="s">
        <v>7527</v>
      </c>
      <c r="G999" s="13" t="n">
        <v>1.5</v>
      </c>
      <c r="H999" s="6" t="s">
        <v>3751</v>
      </c>
      <c r="I999" s="6" t="s">
        <v>13</v>
      </c>
      <c r="J999" s="6" t="s">
        <v>233</v>
      </c>
      <c r="K999" s="6" t="s">
        <v>7309</v>
      </c>
      <c r="M999" s="6"/>
    </row>
    <row r="1000" customFormat="false" ht="15" hidden="false" customHeight="false" outlineLevel="0" collapsed="false">
      <c r="A1000" s="6" t="s">
        <v>7528</v>
      </c>
      <c r="B1000" s="6" t="s">
        <v>5072</v>
      </c>
      <c r="C1000" s="6" t="s">
        <v>5050</v>
      </c>
      <c r="D1000" s="6" t="s">
        <v>7254</v>
      </c>
      <c r="E1000" s="6" t="s">
        <v>7529</v>
      </c>
      <c r="F1000" s="6" t="s">
        <v>7530</v>
      </c>
      <c r="G1000" s="9" t="n">
        <v>51748</v>
      </c>
      <c r="H1000" s="6" t="s">
        <v>384</v>
      </c>
      <c r="I1000" s="6" t="s">
        <v>13</v>
      </c>
      <c r="J1000" s="6" t="s">
        <v>233</v>
      </c>
      <c r="K1000" s="6" t="s">
        <v>7531</v>
      </c>
      <c r="M1000" s="6" t="s">
        <v>7532</v>
      </c>
    </row>
    <row r="1001" customFormat="false" ht="15" hidden="false" customHeight="false" outlineLevel="0" collapsed="false">
      <c r="A1001" s="6" t="s">
        <v>7533</v>
      </c>
      <c r="B1001" s="6" t="s">
        <v>5062</v>
      </c>
      <c r="C1001" s="6" t="s">
        <v>5050</v>
      </c>
      <c r="D1001" s="6" t="s">
        <v>7254</v>
      </c>
      <c r="E1001" s="6" t="s">
        <v>7534</v>
      </c>
      <c r="F1001" s="6" t="s">
        <v>7535</v>
      </c>
      <c r="G1001" s="9" t="n">
        <v>72262</v>
      </c>
      <c r="H1001" s="6" t="s">
        <v>384</v>
      </c>
      <c r="I1001" s="6" t="s">
        <v>13</v>
      </c>
      <c r="J1001" s="6" t="s">
        <v>228</v>
      </c>
      <c r="K1001" s="6" t="s">
        <v>7536</v>
      </c>
      <c r="M1001" s="6"/>
    </row>
    <row r="1002" customFormat="false" ht="15" hidden="false" customHeight="false" outlineLevel="0" collapsed="false">
      <c r="A1002" s="6" t="s">
        <v>7537</v>
      </c>
      <c r="B1002" s="6" t="s">
        <v>5067</v>
      </c>
      <c r="C1002" s="6" t="s">
        <v>5050</v>
      </c>
      <c r="D1002" s="6" t="s">
        <v>7254</v>
      </c>
      <c r="E1002" s="6" t="s">
        <v>7534</v>
      </c>
      <c r="F1002" s="6" t="s">
        <v>7535</v>
      </c>
      <c r="G1002" s="9" t="n">
        <v>72613</v>
      </c>
      <c r="H1002" s="6" t="s">
        <v>384</v>
      </c>
      <c r="I1002" s="6" t="s">
        <v>13</v>
      </c>
      <c r="J1002" s="6" t="s">
        <v>228</v>
      </c>
      <c r="K1002" s="6" t="s">
        <v>7536</v>
      </c>
      <c r="M1002" s="6"/>
    </row>
    <row r="1003" customFormat="false" ht="15" hidden="false" customHeight="false" outlineLevel="0" collapsed="false">
      <c r="A1003" s="6" t="s">
        <v>7538</v>
      </c>
      <c r="B1003" s="6" t="s">
        <v>5062</v>
      </c>
      <c r="C1003" s="6" t="s">
        <v>5050</v>
      </c>
      <c r="D1003" s="6" t="s">
        <v>7254</v>
      </c>
      <c r="E1003" s="6" t="s">
        <v>7539</v>
      </c>
      <c r="F1003" s="6" t="s">
        <v>7540</v>
      </c>
      <c r="G1003" s="9" t="n">
        <v>2246</v>
      </c>
      <c r="H1003" s="6" t="s">
        <v>384</v>
      </c>
      <c r="I1003" s="6" t="s">
        <v>13</v>
      </c>
      <c r="J1003" s="6" t="s">
        <v>228</v>
      </c>
      <c r="K1003" s="6" t="s">
        <v>7536</v>
      </c>
      <c r="M1003" s="6"/>
    </row>
    <row r="1004" customFormat="false" ht="15" hidden="false" customHeight="false" outlineLevel="0" collapsed="false">
      <c r="A1004" s="6" t="s">
        <v>7541</v>
      </c>
      <c r="B1004" s="6" t="s">
        <v>5067</v>
      </c>
      <c r="C1004" s="6" t="s">
        <v>5050</v>
      </c>
      <c r="D1004" s="6" t="s">
        <v>7254</v>
      </c>
      <c r="E1004" s="6" t="s">
        <v>7539</v>
      </c>
      <c r="F1004" s="6" t="s">
        <v>7540</v>
      </c>
      <c r="G1004" s="9" t="n">
        <v>2741</v>
      </c>
      <c r="H1004" s="6" t="s">
        <v>384</v>
      </c>
      <c r="I1004" s="6" t="s">
        <v>13</v>
      </c>
      <c r="J1004" s="6" t="s">
        <v>228</v>
      </c>
      <c r="K1004" s="6" t="s">
        <v>7536</v>
      </c>
      <c r="M1004" s="6"/>
    </row>
    <row r="1005" customFormat="false" ht="15" hidden="false" customHeight="false" outlineLevel="0" collapsed="false">
      <c r="A1005" s="6" t="s">
        <v>7542</v>
      </c>
      <c r="B1005" s="6" t="s">
        <v>5062</v>
      </c>
      <c r="C1005" s="6" t="s">
        <v>5050</v>
      </c>
      <c r="D1005" s="6" t="s">
        <v>7254</v>
      </c>
      <c r="E1005" s="6" t="s">
        <v>7543</v>
      </c>
      <c r="F1005" s="6" t="s">
        <v>7544</v>
      </c>
      <c r="G1005" s="9" t="n">
        <v>99698</v>
      </c>
      <c r="H1005" s="6" t="s">
        <v>384</v>
      </c>
      <c r="I1005" s="6" t="s">
        <v>13</v>
      </c>
      <c r="J1005" s="6" t="s">
        <v>228</v>
      </c>
      <c r="K1005" s="6" t="s">
        <v>7536</v>
      </c>
      <c r="M1005" s="6"/>
    </row>
    <row r="1006" customFormat="false" ht="15" hidden="false" customHeight="false" outlineLevel="0" collapsed="false">
      <c r="A1006" s="6" t="s">
        <v>7545</v>
      </c>
      <c r="B1006" s="6" t="s">
        <v>5067</v>
      </c>
      <c r="C1006" s="6" t="s">
        <v>5050</v>
      </c>
      <c r="D1006" s="6" t="s">
        <v>7254</v>
      </c>
      <c r="E1006" s="6" t="s">
        <v>7543</v>
      </c>
      <c r="F1006" s="6" t="s">
        <v>7544</v>
      </c>
      <c r="G1006" s="9" t="n">
        <v>136279</v>
      </c>
      <c r="H1006" s="6" t="s">
        <v>384</v>
      </c>
      <c r="I1006" s="6" t="s">
        <v>13</v>
      </c>
      <c r="J1006" s="6" t="s">
        <v>228</v>
      </c>
      <c r="K1006" s="6" t="s">
        <v>7536</v>
      </c>
      <c r="M1006" s="6"/>
    </row>
    <row r="1007" customFormat="false" ht="15" hidden="false" customHeight="false" outlineLevel="0" collapsed="false">
      <c r="A1007" s="6" t="s">
        <v>7546</v>
      </c>
      <c r="B1007" s="6" t="s">
        <v>5062</v>
      </c>
      <c r="C1007" s="6" t="s">
        <v>5050</v>
      </c>
      <c r="D1007" s="6" t="s">
        <v>7254</v>
      </c>
      <c r="E1007" s="6" t="s">
        <v>7547</v>
      </c>
      <c r="F1007" s="6" t="s">
        <v>7548</v>
      </c>
      <c r="G1007" s="9" t="n">
        <v>1417</v>
      </c>
      <c r="H1007" s="6" t="s">
        <v>384</v>
      </c>
      <c r="I1007" s="6" t="s">
        <v>13</v>
      </c>
      <c r="J1007" s="6" t="s">
        <v>228</v>
      </c>
      <c r="K1007" s="6" t="s">
        <v>7536</v>
      </c>
      <c r="M1007" s="6"/>
    </row>
    <row r="1008" customFormat="false" ht="15" hidden="false" customHeight="false" outlineLevel="0" collapsed="false">
      <c r="A1008" s="6" t="s">
        <v>7549</v>
      </c>
      <c r="B1008" s="6" t="s">
        <v>5067</v>
      </c>
      <c r="C1008" s="6" t="s">
        <v>5050</v>
      </c>
      <c r="D1008" s="6" t="s">
        <v>7254</v>
      </c>
      <c r="E1008" s="6" t="s">
        <v>7547</v>
      </c>
      <c r="F1008" s="6" t="s">
        <v>7548</v>
      </c>
      <c r="G1008" s="9" t="n">
        <v>43030</v>
      </c>
      <c r="H1008" s="6" t="s">
        <v>384</v>
      </c>
      <c r="I1008" s="6" t="s">
        <v>13</v>
      </c>
      <c r="J1008" s="6" t="s">
        <v>228</v>
      </c>
      <c r="K1008" s="6" t="s">
        <v>7536</v>
      </c>
      <c r="M1008" s="6" t="s">
        <v>7550</v>
      </c>
    </row>
    <row r="1009" customFormat="false" ht="15" hidden="false" customHeight="false" outlineLevel="0" collapsed="false">
      <c r="A1009" s="6" t="s">
        <v>7551</v>
      </c>
      <c r="B1009" s="6" t="s">
        <v>5062</v>
      </c>
      <c r="C1009" s="6" t="s">
        <v>5050</v>
      </c>
      <c r="D1009" s="6" t="s">
        <v>7254</v>
      </c>
      <c r="E1009" s="6" t="s">
        <v>7552</v>
      </c>
      <c r="F1009" s="6" t="s">
        <v>7553</v>
      </c>
      <c r="G1009" s="9" t="n">
        <v>23773</v>
      </c>
      <c r="H1009" s="6" t="s">
        <v>384</v>
      </c>
      <c r="I1009" s="6" t="s">
        <v>13</v>
      </c>
      <c r="J1009" s="6" t="s">
        <v>228</v>
      </c>
      <c r="K1009" s="6" t="s">
        <v>7536</v>
      </c>
      <c r="M1009" s="6"/>
    </row>
    <row r="1010" customFormat="false" ht="15" hidden="false" customHeight="false" outlineLevel="0" collapsed="false">
      <c r="A1010" s="6" t="s">
        <v>7554</v>
      </c>
      <c r="B1010" s="6" t="s">
        <v>5067</v>
      </c>
      <c r="C1010" s="6" t="s">
        <v>5050</v>
      </c>
      <c r="D1010" s="6" t="s">
        <v>7254</v>
      </c>
      <c r="E1010" s="6" t="s">
        <v>7552</v>
      </c>
      <c r="F1010" s="6" t="s">
        <v>7553</v>
      </c>
      <c r="G1010" s="9" t="n">
        <v>17895</v>
      </c>
      <c r="H1010" s="6" t="s">
        <v>384</v>
      </c>
      <c r="I1010" s="6" t="s">
        <v>13</v>
      </c>
      <c r="J1010" s="6" t="s">
        <v>228</v>
      </c>
      <c r="K1010" s="6" t="s">
        <v>7536</v>
      </c>
      <c r="M1010" s="6"/>
    </row>
    <row r="1011" customFormat="false" ht="15" hidden="false" customHeight="false" outlineLevel="0" collapsed="false">
      <c r="A1011" s="6" t="s">
        <v>7555</v>
      </c>
      <c r="B1011" s="6" t="s">
        <v>7556</v>
      </c>
      <c r="C1011" s="6" t="s">
        <v>5050</v>
      </c>
      <c r="D1011" s="6" t="s">
        <v>7254</v>
      </c>
      <c r="E1011" s="6" t="s">
        <v>7557</v>
      </c>
      <c r="F1011" s="6" t="s">
        <v>7558</v>
      </c>
      <c r="G1011" s="9" t="n">
        <v>4318</v>
      </c>
      <c r="H1011" s="6" t="s">
        <v>384</v>
      </c>
      <c r="I1011" s="6" t="s">
        <v>13</v>
      </c>
      <c r="J1011" s="6" t="s">
        <v>223</v>
      </c>
      <c r="K1011" s="6" t="s">
        <v>7559</v>
      </c>
      <c r="M1011" s="6" t="s">
        <v>7560</v>
      </c>
    </row>
    <row r="1012" customFormat="false" ht="15" hidden="false" customHeight="false" outlineLevel="0" collapsed="false">
      <c r="A1012" s="6" t="s">
        <v>7561</v>
      </c>
      <c r="B1012" s="6" t="s">
        <v>7562</v>
      </c>
      <c r="C1012" s="6" t="s">
        <v>6234</v>
      </c>
      <c r="D1012" s="6" t="s">
        <v>7254</v>
      </c>
      <c r="E1012" s="6" t="s">
        <v>7563</v>
      </c>
      <c r="F1012" s="6" t="s">
        <v>7564</v>
      </c>
      <c r="G1012" s="9" t="n">
        <v>34950</v>
      </c>
      <c r="H1012" s="6" t="s">
        <v>384</v>
      </c>
      <c r="I1012" s="6" t="s">
        <v>13</v>
      </c>
      <c r="J1012" s="6" t="s">
        <v>253</v>
      </c>
      <c r="K1012" s="6" t="s">
        <v>7565</v>
      </c>
      <c r="M1012" s="6" t="s">
        <v>7566</v>
      </c>
    </row>
    <row r="1013" customFormat="false" ht="15" hidden="false" customHeight="false" outlineLevel="0" collapsed="false">
      <c r="A1013" s="6" t="s">
        <v>7567</v>
      </c>
      <c r="B1013" s="6" t="s">
        <v>7562</v>
      </c>
      <c r="C1013" s="6" t="s">
        <v>5050</v>
      </c>
      <c r="D1013" s="6" t="s">
        <v>7254</v>
      </c>
      <c r="E1013" s="6" t="s">
        <v>7568</v>
      </c>
      <c r="F1013" s="6" t="s">
        <v>7569</v>
      </c>
      <c r="G1013" s="9" t="n">
        <v>39205</v>
      </c>
      <c r="H1013" s="6" t="s">
        <v>384</v>
      </c>
      <c r="I1013" s="6" t="s">
        <v>13</v>
      </c>
      <c r="J1013" s="6" t="s">
        <v>228</v>
      </c>
      <c r="K1013" s="6" t="s">
        <v>7570</v>
      </c>
      <c r="M1013" s="6" t="s">
        <v>7571</v>
      </c>
    </row>
    <row r="1014" customFormat="false" ht="15" hidden="false" customHeight="false" outlineLevel="0" collapsed="false">
      <c r="A1014" s="6" t="s">
        <v>7572</v>
      </c>
      <c r="B1014" s="6" t="s">
        <v>7573</v>
      </c>
      <c r="C1014" s="6" t="s">
        <v>6234</v>
      </c>
      <c r="D1014" s="6" t="s">
        <v>7254</v>
      </c>
      <c r="E1014" s="6" t="s">
        <v>7574</v>
      </c>
      <c r="F1014" s="6" t="s">
        <v>7575</v>
      </c>
      <c r="G1014" s="9" t="n">
        <v>67052</v>
      </c>
      <c r="H1014" s="6" t="s">
        <v>384</v>
      </c>
      <c r="I1014" s="6" t="s">
        <v>13</v>
      </c>
      <c r="J1014" s="6" t="s">
        <v>238</v>
      </c>
      <c r="K1014" s="6" t="s">
        <v>7576</v>
      </c>
      <c r="M1014" s="6" t="s">
        <v>7577</v>
      </c>
    </row>
    <row r="1015" customFormat="false" ht="15" hidden="false" customHeight="false" outlineLevel="0" collapsed="false">
      <c r="A1015" s="6" t="s">
        <v>7578</v>
      </c>
      <c r="B1015" s="6" t="s">
        <v>5057</v>
      </c>
      <c r="C1015" s="6" t="s">
        <v>5050</v>
      </c>
      <c r="D1015" s="6" t="s">
        <v>7254</v>
      </c>
      <c r="E1015" s="6" t="s">
        <v>7579</v>
      </c>
      <c r="F1015" s="6" t="s">
        <v>7580</v>
      </c>
      <c r="G1015" s="9" t="n">
        <v>80197</v>
      </c>
      <c r="H1015" s="6" t="s">
        <v>384</v>
      </c>
      <c r="I1015" s="6" t="s">
        <v>13</v>
      </c>
      <c r="J1015" s="6" t="s">
        <v>223</v>
      </c>
      <c r="K1015" s="6" t="s">
        <v>6065</v>
      </c>
      <c r="M1015" s="6"/>
    </row>
    <row r="1016" customFormat="false" ht="15" hidden="false" customHeight="false" outlineLevel="0" collapsed="false">
      <c r="A1016" s="6" t="s">
        <v>7581</v>
      </c>
      <c r="B1016" s="6" t="s">
        <v>5062</v>
      </c>
      <c r="C1016" s="6" t="s">
        <v>5050</v>
      </c>
      <c r="D1016" s="6" t="s">
        <v>7254</v>
      </c>
      <c r="E1016" s="6" t="s">
        <v>7579</v>
      </c>
      <c r="F1016" s="6" t="s">
        <v>7580</v>
      </c>
      <c r="G1016" s="9" t="n">
        <v>62280</v>
      </c>
      <c r="H1016" s="6" t="s">
        <v>384</v>
      </c>
      <c r="I1016" s="6" t="s">
        <v>13</v>
      </c>
      <c r="J1016" s="6" t="s">
        <v>223</v>
      </c>
      <c r="K1016" s="6" t="s">
        <v>6065</v>
      </c>
      <c r="M1016" s="6"/>
    </row>
    <row r="1017" customFormat="false" ht="15" hidden="false" customHeight="false" outlineLevel="0" collapsed="false">
      <c r="A1017" s="6" t="s">
        <v>7582</v>
      </c>
      <c r="B1017" s="6" t="s">
        <v>5057</v>
      </c>
      <c r="C1017" s="6" t="s">
        <v>5050</v>
      </c>
      <c r="D1017" s="6" t="s">
        <v>7254</v>
      </c>
      <c r="E1017" s="6" t="s">
        <v>7583</v>
      </c>
      <c r="F1017" s="6" t="s">
        <v>7584</v>
      </c>
      <c r="G1017" s="9" t="n">
        <v>19083</v>
      </c>
      <c r="H1017" s="6" t="s">
        <v>384</v>
      </c>
      <c r="I1017" s="6" t="s">
        <v>13</v>
      </c>
      <c r="J1017" s="6" t="s">
        <v>218</v>
      </c>
      <c r="K1017" s="6" t="s">
        <v>6065</v>
      </c>
      <c r="M1017" s="6"/>
    </row>
    <row r="1018" customFormat="false" ht="15" hidden="false" customHeight="false" outlineLevel="0" collapsed="false">
      <c r="A1018" s="6" t="s">
        <v>7585</v>
      </c>
      <c r="B1018" s="6" t="s">
        <v>5057</v>
      </c>
      <c r="C1018" s="6" t="s">
        <v>5050</v>
      </c>
      <c r="D1018" s="6" t="s">
        <v>7254</v>
      </c>
      <c r="E1018" s="6" t="s">
        <v>7583</v>
      </c>
      <c r="F1018" s="6" t="s">
        <v>7586</v>
      </c>
      <c r="G1018" s="9" t="n">
        <v>19083</v>
      </c>
      <c r="H1018" s="6" t="s">
        <v>384</v>
      </c>
      <c r="I1018" s="6" t="s">
        <v>13</v>
      </c>
      <c r="J1018" s="6" t="s">
        <v>223</v>
      </c>
      <c r="K1018" s="6" t="s">
        <v>6065</v>
      </c>
      <c r="M1018" s="6"/>
    </row>
    <row r="1019" customFormat="false" ht="15" hidden="false" customHeight="false" outlineLevel="0" collapsed="false">
      <c r="A1019" s="6" t="s">
        <v>7587</v>
      </c>
      <c r="B1019" s="6" t="s">
        <v>5062</v>
      </c>
      <c r="C1019" s="6" t="s">
        <v>5050</v>
      </c>
      <c r="D1019" s="6" t="s">
        <v>7254</v>
      </c>
      <c r="E1019" s="6" t="s">
        <v>7583</v>
      </c>
      <c r="F1019" s="6" t="s">
        <v>7586</v>
      </c>
      <c r="G1019" s="9" t="n">
        <v>18201</v>
      </c>
      <c r="H1019" s="6" t="s">
        <v>384</v>
      </c>
      <c r="I1019" s="6" t="s">
        <v>13</v>
      </c>
      <c r="J1019" s="6" t="s">
        <v>223</v>
      </c>
      <c r="K1019" s="6" t="s">
        <v>6065</v>
      </c>
      <c r="M1019" s="6"/>
    </row>
    <row r="1020" customFormat="false" ht="15" hidden="false" customHeight="false" outlineLevel="0" collapsed="false">
      <c r="A1020" s="6" t="s">
        <v>7588</v>
      </c>
      <c r="B1020" s="6" t="s">
        <v>5062</v>
      </c>
      <c r="C1020" s="6" t="s">
        <v>5050</v>
      </c>
      <c r="D1020" s="6" t="s">
        <v>7254</v>
      </c>
      <c r="E1020" s="6" t="s">
        <v>7583</v>
      </c>
      <c r="F1020" s="6" t="s">
        <v>7589</v>
      </c>
      <c r="G1020" s="9" t="n">
        <v>18201</v>
      </c>
      <c r="H1020" s="6" t="s">
        <v>384</v>
      </c>
      <c r="I1020" s="6" t="s">
        <v>13</v>
      </c>
      <c r="J1020" s="6" t="s">
        <v>228</v>
      </c>
      <c r="K1020" s="6" t="s">
        <v>6075</v>
      </c>
      <c r="M1020" s="6"/>
    </row>
    <row r="1021" customFormat="false" ht="15" hidden="false" customHeight="false" outlineLevel="0" collapsed="false">
      <c r="A1021" s="6" t="s">
        <v>7590</v>
      </c>
      <c r="B1021" s="6" t="s">
        <v>5239</v>
      </c>
      <c r="C1021" s="6" t="s">
        <v>5050</v>
      </c>
      <c r="D1021" s="6" t="s">
        <v>7254</v>
      </c>
      <c r="E1021" s="6" t="s">
        <v>7583</v>
      </c>
      <c r="F1021" s="6" t="s">
        <v>7591</v>
      </c>
      <c r="G1021" s="9" t="n">
        <v>19510</v>
      </c>
      <c r="H1021" s="6" t="s">
        <v>384</v>
      </c>
      <c r="I1021" s="6" t="s">
        <v>13</v>
      </c>
      <c r="J1021" s="6" t="s">
        <v>238</v>
      </c>
      <c r="K1021" s="6" t="s">
        <v>6112</v>
      </c>
      <c r="M1021" s="6"/>
    </row>
    <row r="1022" customFormat="false" ht="15" hidden="false" customHeight="false" outlineLevel="0" collapsed="false">
      <c r="A1022" s="6" t="s">
        <v>7592</v>
      </c>
      <c r="B1022" s="6" t="s">
        <v>5067</v>
      </c>
      <c r="C1022" s="6" t="s">
        <v>5050</v>
      </c>
      <c r="D1022" s="6" t="s">
        <v>7254</v>
      </c>
      <c r="E1022" s="6" t="s">
        <v>7583</v>
      </c>
      <c r="F1022" s="6" t="s">
        <v>7589</v>
      </c>
      <c r="G1022" s="9" t="n">
        <v>29013</v>
      </c>
      <c r="H1022" s="6" t="s">
        <v>384</v>
      </c>
      <c r="I1022" s="6" t="s">
        <v>13</v>
      </c>
      <c r="J1022" s="6" t="s">
        <v>228</v>
      </c>
      <c r="K1022" s="6" t="s">
        <v>6075</v>
      </c>
      <c r="M1022" s="6"/>
    </row>
    <row r="1023" customFormat="false" ht="15" hidden="false" customHeight="false" outlineLevel="0" collapsed="false">
      <c r="A1023" s="6" t="s">
        <v>7593</v>
      </c>
      <c r="B1023" s="6" t="s">
        <v>5067</v>
      </c>
      <c r="C1023" s="6" t="s">
        <v>5050</v>
      </c>
      <c r="D1023" s="6" t="s">
        <v>7254</v>
      </c>
      <c r="E1023" s="6" t="s">
        <v>7583</v>
      </c>
      <c r="F1023" s="6" t="s">
        <v>7594</v>
      </c>
      <c r="G1023" s="9" t="n">
        <v>29013</v>
      </c>
      <c r="H1023" s="6" t="s">
        <v>384</v>
      </c>
      <c r="I1023" s="6" t="s">
        <v>13</v>
      </c>
      <c r="J1023" s="6" t="s">
        <v>233</v>
      </c>
      <c r="K1023" s="6" t="s">
        <v>6116</v>
      </c>
      <c r="M1023" s="6"/>
    </row>
    <row r="1024" customFormat="false" ht="15" hidden="false" customHeight="false" outlineLevel="0" collapsed="false">
      <c r="A1024" s="6" t="s">
        <v>7595</v>
      </c>
      <c r="B1024" s="6" t="s">
        <v>5245</v>
      </c>
      <c r="C1024" s="6" t="s">
        <v>5050</v>
      </c>
      <c r="D1024" s="6" t="s">
        <v>7254</v>
      </c>
      <c r="E1024" s="6" t="s">
        <v>7583</v>
      </c>
      <c r="F1024" s="6" t="s">
        <v>7596</v>
      </c>
      <c r="G1024" s="9" t="n">
        <v>29828</v>
      </c>
      <c r="H1024" s="6" t="s">
        <v>384</v>
      </c>
      <c r="I1024" s="6" t="s">
        <v>13</v>
      </c>
      <c r="J1024" s="6" t="s">
        <v>253</v>
      </c>
      <c r="K1024" s="6" t="s">
        <v>6119</v>
      </c>
      <c r="M1024" s="6"/>
    </row>
    <row r="1025" customFormat="false" ht="15" hidden="false" customHeight="false" outlineLevel="0" collapsed="false">
      <c r="A1025" s="6" t="s">
        <v>7597</v>
      </c>
      <c r="B1025" s="6" t="s">
        <v>5072</v>
      </c>
      <c r="C1025" s="6" t="s">
        <v>5050</v>
      </c>
      <c r="D1025" s="6" t="s">
        <v>7254</v>
      </c>
      <c r="E1025" s="6" t="s">
        <v>7583</v>
      </c>
      <c r="F1025" s="6" t="s">
        <v>7594</v>
      </c>
      <c r="G1025" s="9" t="n">
        <v>25819</v>
      </c>
      <c r="H1025" s="6" t="s">
        <v>384</v>
      </c>
      <c r="I1025" s="6" t="s">
        <v>13</v>
      </c>
      <c r="J1025" s="6" t="s">
        <v>233</v>
      </c>
      <c r="K1025" s="6" t="s">
        <v>6116</v>
      </c>
      <c r="M1025" s="6"/>
    </row>
    <row r="1026" customFormat="false" ht="15" hidden="false" customHeight="false" outlineLevel="0" collapsed="false">
      <c r="A1026" s="6" t="s">
        <v>7598</v>
      </c>
      <c r="B1026" s="6" t="s">
        <v>5249</v>
      </c>
      <c r="C1026" s="6" t="s">
        <v>5050</v>
      </c>
      <c r="D1026" s="6" t="s">
        <v>7254</v>
      </c>
      <c r="E1026" s="6" t="s">
        <v>7583</v>
      </c>
      <c r="F1026" s="6" t="s">
        <v>7599</v>
      </c>
      <c r="G1026" s="9" t="n">
        <v>27512</v>
      </c>
      <c r="H1026" s="6" t="s">
        <v>384</v>
      </c>
      <c r="I1026" s="6" t="s">
        <v>13</v>
      </c>
      <c r="J1026" s="6" t="s">
        <v>261</v>
      </c>
      <c r="K1026" s="6" t="s">
        <v>6124</v>
      </c>
      <c r="M1026" s="6"/>
    </row>
    <row r="1027" customFormat="false" ht="15" hidden="false" customHeight="false" outlineLevel="0" collapsed="false">
      <c r="A1027" s="6" t="s">
        <v>7600</v>
      </c>
      <c r="B1027" s="6" t="s">
        <v>5057</v>
      </c>
      <c r="C1027" s="6" t="s">
        <v>5050</v>
      </c>
      <c r="D1027" s="6" t="s">
        <v>7254</v>
      </c>
      <c r="E1027" s="6" t="s">
        <v>7601</v>
      </c>
      <c r="F1027" s="6" t="s">
        <v>7602</v>
      </c>
      <c r="G1027" s="9" t="n">
        <v>58638</v>
      </c>
      <c r="H1027" s="6" t="s">
        <v>384</v>
      </c>
      <c r="I1027" s="6" t="s">
        <v>13</v>
      </c>
      <c r="J1027" s="6" t="s">
        <v>218</v>
      </c>
      <c r="K1027" s="6" t="s">
        <v>6065</v>
      </c>
      <c r="M1027" s="6"/>
    </row>
    <row r="1028" customFormat="false" ht="15" hidden="false" customHeight="false" outlineLevel="0" collapsed="false">
      <c r="A1028" s="6" t="s">
        <v>7603</v>
      </c>
      <c r="B1028" s="6" t="s">
        <v>5057</v>
      </c>
      <c r="C1028" s="6" t="s">
        <v>5050</v>
      </c>
      <c r="D1028" s="6" t="s">
        <v>7254</v>
      </c>
      <c r="E1028" s="6" t="s">
        <v>7601</v>
      </c>
      <c r="F1028" s="6" t="s">
        <v>7604</v>
      </c>
      <c r="G1028" s="9" t="n">
        <v>58638</v>
      </c>
      <c r="H1028" s="6" t="s">
        <v>384</v>
      </c>
      <c r="I1028" s="6" t="s">
        <v>13</v>
      </c>
      <c r="J1028" s="6" t="s">
        <v>223</v>
      </c>
      <c r="K1028" s="6" t="s">
        <v>6065</v>
      </c>
      <c r="M1028" s="6"/>
    </row>
    <row r="1029" customFormat="false" ht="15" hidden="false" customHeight="false" outlineLevel="0" collapsed="false">
      <c r="A1029" s="6" t="s">
        <v>7605</v>
      </c>
      <c r="B1029" s="6" t="s">
        <v>5062</v>
      </c>
      <c r="C1029" s="6" t="s">
        <v>5050</v>
      </c>
      <c r="D1029" s="6" t="s">
        <v>7254</v>
      </c>
      <c r="E1029" s="6" t="s">
        <v>7601</v>
      </c>
      <c r="F1029" s="6" t="s">
        <v>7604</v>
      </c>
      <c r="G1029" s="9" t="n">
        <v>42946</v>
      </c>
      <c r="H1029" s="6" t="s">
        <v>384</v>
      </c>
      <c r="I1029" s="6" t="s">
        <v>13</v>
      </c>
      <c r="J1029" s="6" t="s">
        <v>223</v>
      </c>
      <c r="K1029" s="6" t="s">
        <v>6065</v>
      </c>
      <c r="M1029" s="6"/>
    </row>
    <row r="1030" customFormat="false" ht="15" hidden="false" customHeight="false" outlineLevel="0" collapsed="false">
      <c r="A1030" s="6" t="s">
        <v>7606</v>
      </c>
      <c r="B1030" s="6" t="s">
        <v>5062</v>
      </c>
      <c r="C1030" s="6" t="s">
        <v>5050</v>
      </c>
      <c r="D1030" s="6" t="s">
        <v>7254</v>
      </c>
      <c r="E1030" s="6" t="s">
        <v>7601</v>
      </c>
      <c r="F1030" s="6" t="s">
        <v>7607</v>
      </c>
      <c r="G1030" s="9" t="n">
        <v>42946</v>
      </c>
      <c r="H1030" s="6" t="s">
        <v>384</v>
      </c>
      <c r="I1030" s="6" t="s">
        <v>13</v>
      </c>
      <c r="J1030" s="6" t="s">
        <v>228</v>
      </c>
      <c r="K1030" s="6" t="s">
        <v>6075</v>
      </c>
      <c r="M1030" s="6"/>
    </row>
    <row r="1031" customFormat="false" ht="15" hidden="false" customHeight="false" outlineLevel="0" collapsed="false">
      <c r="A1031" s="6" t="s">
        <v>7608</v>
      </c>
      <c r="B1031" s="6" t="s">
        <v>5239</v>
      </c>
      <c r="C1031" s="6" t="s">
        <v>5050</v>
      </c>
      <c r="D1031" s="6" t="s">
        <v>7254</v>
      </c>
      <c r="E1031" s="6" t="s">
        <v>7601</v>
      </c>
      <c r="F1031" s="6" t="s">
        <v>7609</v>
      </c>
      <c r="G1031" s="9" t="n">
        <v>37335</v>
      </c>
      <c r="H1031" s="6" t="s">
        <v>384</v>
      </c>
      <c r="I1031" s="6" t="s">
        <v>13</v>
      </c>
      <c r="J1031" s="6" t="s">
        <v>238</v>
      </c>
      <c r="K1031" s="6" t="s">
        <v>6112</v>
      </c>
      <c r="M1031" s="6"/>
    </row>
    <row r="1032" customFormat="false" ht="15" hidden="false" customHeight="false" outlineLevel="0" collapsed="false">
      <c r="A1032" s="6" t="s">
        <v>7610</v>
      </c>
      <c r="B1032" s="6" t="s">
        <v>5067</v>
      </c>
      <c r="C1032" s="6" t="s">
        <v>5050</v>
      </c>
      <c r="D1032" s="6" t="s">
        <v>7254</v>
      </c>
      <c r="E1032" s="6" t="s">
        <v>7601</v>
      </c>
      <c r="F1032" s="6" t="s">
        <v>7607</v>
      </c>
      <c r="G1032" s="9" t="n">
        <v>77023</v>
      </c>
      <c r="H1032" s="6" t="s">
        <v>384</v>
      </c>
      <c r="I1032" s="6" t="s">
        <v>13</v>
      </c>
      <c r="J1032" s="6" t="s">
        <v>228</v>
      </c>
      <c r="K1032" s="6" t="s">
        <v>6075</v>
      </c>
      <c r="M1032" s="6"/>
    </row>
    <row r="1033" customFormat="false" ht="15" hidden="false" customHeight="false" outlineLevel="0" collapsed="false">
      <c r="A1033" s="6" t="s">
        <v>7611</v>
      </c>
      <c r="B1033" s="6" t="s">
        <v>5067</v>
      </c>
      <c r="C1033" s="6" t="s">
        <v>5050</v>
      </c>
      <c r="D1033" s="6" t="s">
        <v>7254</v>
      </c>
      <c r="E1033" s="6" t="s">
        <v>7601</v>
      </c>
      <c r="F1033" s="6" t="s">
        <v>7612</v>
      </c>
      <c r="G1033" s="9" t="n">
        <v>77023</v>
      </c>
      <c r="H1033" s="6" t="s">
        <v>384</v>
      </c>
      <c r="I1033" s="6" t="s">
        <v>13</v>
      </c>
      <c r="J1033" s="6" t="s">
        <v>233</v>
      </c>
      <c r="K1033" s="6" t="s">
        <v>6116</v>
      </c>
      <c r="M1033" s="6"/>
    </row>
    <row r="1034" customFormat="false" ht="15" hidden="false" customHeight="false" outlineLevel="0" collapsed="false">
      <c r="A1034" s="6" t="s">
        <v>7613</v>
      </c>
      <c r="B1034" s="6" t="s">
        <v>5245</v>
      </c>
      <c r="C1034" s="6" t="s">
        <v>5050</v>
      </c>
      <c r="D1034" s="6" t="s">
        <v>7254</v>
      </c>
      <c r="E1034" s="6" t="s">
        <v>7601</v>
      </c>
      <c r="F1034" s="6" t="s">
        <v>7614</v>
      </c>
      <c r="G1034" s="9" t="n">
        <v>96384</v>
      </c>
      <c r="H1034" s="6" t="s">
        <v>384</v>
      </c>
      <c r="I1034" s="6" t="s">
        <v>13</v>
      </c>
      <c r="J1034" s="6" t="s">
        <v>253</v>
      </c>
      <c r="K1034" s="6" t="s">
        <v>6119</v>
      </c>
      <c r="M1034" s="6"/>
    </row>
    <row r="1035" customFormat="false" ht="15" hidden="false" customHeight="false" outlineLevel="0" collapsed="false">
      <c r="A1035" s="6" t="s">
        <v>7615</v>
      </c>
      <c r="B1035" s="6" t="s">
        <v>5072</v>
      </c>
      <c r="C1035" s="6" t="s">
        <v>5050</v>
      </c>
      <c r="D1035" s="6" t="s">
        <v>7254</v>
      </c>
      <c r="E1035" s="6" t="s">
        <v>7601</v>
      </c>
      <c r="F1035" s="6" t="s">
        <v>7612</v>
      </c>
      <c r="G1035" s="9" t="n">
        <v>142948</v>
      </c>
      <c r="H1035" s="6" t="s">
        <v>384</v>
      </c>
      <c r="I1035" s="6" t="s">
        <v>13</v>
      </c>
      <c r="J1035" s="6" t="s">
        <v>233</v>
      </c>
      <c r="K1035" s="6" t="s">
        <v>6116</v>
      </c>
      <c r="M1035" s="6"/>
    </row>
    <row r="1036" customFormat="false" ht="15" hidden="false" customHeight="false" outlineLevel="0" collapsed="false">
      <c r="A1036" s="6" t="s">
        <v>7616</v>
      </c>
      <c r="B1036" s="6" t="s">
        <v>5249</v>
      </c>
      <c r="C1036" s="6" t="s">
        <v>5050</v>
      </c>
      <c r="D1036" s="6" t="s">
        <v>7254</v>
      </c>
      <c r="E1036" s="6" t="s">
        <v>7601</v>
      </c>
      <c r="F1036" s="6" t="s">
        <v>7617</v>
      </c>
      <c r="G1036" s="9" t="n">
        <v>209976</v>
      </c>
      <c r="H1036" s="6" t="s">
        <v>384</v>
      </c>
      <c r="I1036" s="6" t="s">
        <v>13</v>
      </c>
      <c r="J1036" s="6" t="s">
        <v>261</v>
      </c>
      <c r="K1036" s="6" t="s">
        <v>6124</v>
      </c>
      <c r="M1036" s="6"/>
    </row>
    <row r="1037" customFormat="false" ht="15" hidden="false" customHeight="false" outlineLevel="0" collapsed="false">
      <c r="A1037" s="6" t="s">
        <v>7618</v>
      </c>
      <c r="B1037" s="6" t="s">
        <v>5062</v>
      </c>
      <c r="C1037" s="6" t="s">
        <v>5050</v>
      </c>
      <c r="D1037" s="6" t="s">
        <v>7254</v>
      </c>
      <c r="E1037" s="6" t="s">
        <v>7619</v>
      </c>
      <c r="F1037" s="6" t="s">
        <v>7620</v>
      </c>
      <c r="G1037" s="9" t="n">
        <v>18830</v>
      </c>
      <c r="H1037" s="6" t="s">
        <v>384</v>
      </c>
      <c r="I1037" s="6" t="s">
        <v>13</v>
      </c>
      <c r="J1037" s="6" t="s">
        <v>223</v>
      </c>
      <c r="K1037" s="6" t="s">
        <v>7386</v>
      </c>
      <c r="M1037" s="6"/>
    </row>
    <row r="1038" customFormat="false" ht="15" hidden="false" customHeight="false" outlineLevel="0" collapsed="false">
      <c r="A1038" s="6" t="s">
        <v>7621</v>
      </c>
      <c r="B1038" s="6" t="s">
        <v>5062</v>
      </c>
      <c r="C1038" s="6" t="s">
        <v>5050</v>
      </c>
      <c r="D1038" s="6" t="s">
        <v>7254</v>
      </c>
      <c r="E1038" s="6" t="s">
        <v>7622</v>
      </c>
      <c r="F1038" s="6" t="s">
        <v>7623</v>
      </c>
      <c r="G1038" s="9" t="n">
        <v>18683</v>
      </c>
      <c r="H1038" s="6" t="s">
        <v>384</v>
      </c>
      <c r="I1038" s="6" t="s">
        <v>13</v>
      </c>
      <c r="J1038" s="6" t="s">
        <v>223</v>
      </c>
      <c r="K1038" s="6" t="s">
        <v>7386</v>
      </c>
      <c r="M1038" s="6"/>
    </row>
    <row r="1039" customFormat="false" ht="15" hidden="false" customHeight="false" outlineLevel="0" collapsed="false">
      <c r="A1039" s="6" t="s">
        <v>7624</v>
      </c>
      <c r="B1039" s="6" t="s">
        <v>5062</v>
      </c>
      <c r="C1039" s="6" t="s">
        <v>5050</v>
      </c>
      <c r="D1039" s="6" t="s">
        <v>7254</v>
      </c>
      <c r="E1039" s="6" t="s">
        <v>7625</v>
      </c>
      <c r="F1039" s="6" t="s">
        <v>7626</v>
      </c>
      <c r="G1039" s="9" t="n">
        <v>12439</v>
      </c>
      <c r="H1039" s="6" t="s">
        <v>384</v>
      </c>
      <c r="I1039" s="6" t="s">
        <v>13</v>
      </c>
      <c r="J1039" s="6" t="s">
        <v>223</v>
      </c>
      <c r="K1039" s="6" t="s">
        <v>7386</v>
      </c>
      <c r="M1039" s="6"/>
    </row>
    <row r="1040" customFormat="false" ht="15" hidden="false" customHeight="false" outlineLevel="0" collapsed="false">
      <c r="A1040" s="6" t="s">
        <v>7627</v>
      </c>
      <c r="B1040" s="6" t="s">
        <v>5062</v>
      </c>
      <c r="C1040" s="6" t="s">
        <v>5050</v>
      </c>
      <c r="D1040" s="6" t="s">
        <v>7254</v>
      </c>
      <c r="E1040" s="6" t="s">
        <v>7628</v>
      </c>
      <c r="F1040" s="6" t="s">
        <v>7629</v>
      </c>
      <c r="G1040" s="9" t="n">
        <v>8449</v>
      </c>
      <c r="H1040" s="6" t="s">
        <v>384</v>
      </c>
      <c r="I1040" s="6" t="s">
        <v>13</v>
      </c>
      <c r="J1040" s="6" t="s">
        <v>223</v>
      </c>
      <c r="K1040" s="6" t="s">
        <v>7386</v>
      </c>
      <c r="M1040" s="6"/>
    </row>
    <row r="1041" customFormat="false" ht="15" hidden="false" customHeight="false" outlineLevel="0" collapsed="false">
      <c r="A1041" s="6" t="s">
        <v>7630</v>
      </c>
      <c r="B1041" s="6" t="s">
        <v>5062</v>
      </c>
      <c r="C1041" s="6" t="s">
        <v>5050</v>
      </c>
      <c r="D1041" s="6" t="s">
        <v>7254</v>
      </c>
      <c r="E1041" s="6" t="s">
        <v>7631</v>
      </c>
      <c r="F1041" s="6" t="s">
        <v>7632</v>
      </c>
      <c r="G1041" s="9" t="n">
        <v>6095</v>
      </c>
      <c r="H1041" s="6" t="s">
        <v>384</v>
      </c>
      <c r="I1041" s="6" t="s">
        <v>13</v>
      </c>
      <c r="J1041" s="6" t="s">
        <v>223</v>
      </c>
      <c r="K1041" s="6" t="s">
        <v>7386</v>
      </c>
      <c r="M1041" s="6"/>
    </row>
    <row r="1042" customFormat="false" ht="15" hidden="false" customHeight="false" outlineLevel="0" collapsed="false">
      <c r="A1042" s="6" t="s">
        <v>7633</v>
      </c>
      <c r="B1042" s="6" t="s">
        <v>5062</v>
      </c>
      <c r="C1042" s="6" t="s">
        <v>5050</v>
      </c>
      <c r="D1042" s="6" t="s">
        <v>7254</v>
      </c>
      <c r="E1042" s="6" t="s">
        <v>7634</v>
      </c>
      <c r="F1042" s="6" t="s">
        <v>7635</v>
      </c>
      <c r="G1042" s="9" t="n">
        <v>0</v>
      </c>
      <c r="H1042" s="6" t="s">
        <v>384</v>
      </c>
      <c r="I1042" s="6" t="s">
        <v>13</v>
      </c>
      <c r="J1042" s="6" t="s">
        <v>223</v>
      </c>
      <c r="K1042" s="6" t="s">
        <v>7386</v>
      </c>
      <c r="M1042" s="6" t="s">
        <v>7636</v>
      </c>
    </row>
    <row r="1043" customFormat="false" ht="15" hidden="false" customHeight="false" outlineLevel="0" collapsed="false">
      <c r="A1043" s="6" t="s">
        <v>7637</v>
      </c>
      <c r="B1043" s="6" t="s">
        <v>5057</v>
      </c>
      <c r="C1043" s="6" t="s">
        <v>5050</v>
      </c>
      <c r="D1043" s="6" t="s">
        <v>7254</v>
      </c>
      <c r="E1043" s="6" t="s">
        <v>7638</v>
      </c>
      <c r="F1043" s="6" t="s">
        <v>7639</v>
      </c>
      <c r="G1043" s="9" t="n">
        <v>2207</v>
      </c>
      <c r="H1043" s="6" t="s">
        <v>384</v>
      </c>
      <c r="I1043" s="6" t="s">
        <v>13</v>
      </c>
      <c r="J1043" s="6" t="s">
        <v>218</v>
      </c>
      <c r="K1043" s="6" t="s">
        <v>7640</v>
      </c>
      <c r="M1043" s="6"/>
    </row>
    <row r="1044" customFormat="false" ht="15" hidden="false" customHeight="false" outlineLevel="0" collapsed="false">
      <c r="A1044" s="6" t="s">
        <v>7641</v>
      </c>
      <c r="B1044" s="6" t="s">
        <v>5057</v>
      </c>
      <c r="C1044" s="6" t="s">
        <v>5050</v>
      </c>
      <c r="D1044" s="6" t="s">
        <v>7254</v>
      </c>
      <c r="E1044" s="6" t="s">
        <v>7642</v>
      </c>
      <c r="F1044" s="6" t="s">
        <v>7643</v>
      </c>
      <c r="G1044" s="9" t="n">
        <v>80197</v>
      </c>
      <c r="H1044" s="6" t="s">
        <v>384</v>
      </c>
      <c r="I1044" s="6" t="s">
        <v>13</v>
      </c>
      <c r="J1044" s="6" t="s">
        <v>218</v>
      </c>
      <c r="K1044" s="6" t="s">
        <v>6065</v>
      </c>
      <c r="M1044" s="6" t="s">
        <v>7644</v>
      </c>
    </row>
    <row r="1045" customFormat="false" ht="15" hidden="false" customHeight="false" outlineLevel="0" collapsed="false">
      <c r="A1045" s="6" t="s">
        <v>7645</v>
      </c>
      <c r="B1045" s="6" t="s">
        <v>5062</v>
      </c>
      <c r="C1045" s="6" t="s">
        <v>5050</v>
      </c>
      <c r="D1045" s="6" t="s">
        <v>7254</v>
      </c>
      <c r="E1045" s="6" t="s">
        <v>7642</v>
      </c>
      <c r="F1045" s="6" t="s">
        <v>7646</v>
      </c>
      <c r="G1045" s="9" t="n">
        <v>62280</v>
      </c>
      <c r="H1045" s="6" t="s">
        <v>384</v>
      </c>
      <c r="I1045" s="6" t="s">
        <v>13</v>
      </c>
      <c r="J1045" s="6" t="s">
        <v>228</v>
      </c>
      <c r="K1045" s="6" t="s">
        <v>6075</v>
      </c>
      <c r="M1045" s="6"/>
    </row>
    <row r="1046" customFormat="false" ht="15" hidden="false" customHeight="false" outlineLevel="0" collapsed="false">
      <c r="A1046" s="6" t="s">
        <v>7647</v>
      </c>
      <c r="B1046" s="6" t="s">
        <v>5062</v>
      </c>
      <c r="C1046" s="6" t="s">
        <v>5050</v>
      </c>
      <c r="D1046" s="6" t="s">
        <v>7254</v>
      </c>
      <c r="E1046" s="6" t="s">
        <v>7642</v>
      </c>
      <c r="F1046" s="6" t="s">
        <v>7648</v>
      </c>
      <c r="G1046" s="9" t="n">
        <v>62280</v>
      </c>
      <c r="H1046" s="6" t="s">
        <v>384</v>
      </c>
      <c r="I1046" s="6" t="s">
        <v>13</v>
      </c>
      <c r="J1046" s="6" t="s">
        <v>238</v>
      </c>
      <c r="K1046" s="6" t="s">
        <v>6112</v>
      </c>
      <c r="M1046" s="6"/>
    </row>
    <row r="1047" customFormat="false" ht="15" hidden="false" customHeight="false" outlineLevel="0" collapsed="false">
      <c r="A1047" s="6" t="s">
        <v>7649</v>
      </c>
      <c r="B1047" s="6" t="s">
        <v>5239</v>
      </c>
      <c r="C1047" s="6" t="s">
        <v>5050</v>
      </c>
      <c r="D1047" s="6" t="s">
        <v>7254</v>
      </c>
      <c r="E1047" s="6" t="s">
        <v>7642</v>
      </c>
      <c r="F1047" s="6" t="s">
        <v>7648</v>
      </c>
      <c r="G1047" s="9" t="n">
        <v>60910</v>
      </c>
      <c r="H1047" s="6" t="s">
        <v>384</v>
      </c>
      <c r="I1047" s="6" t="s">
        <v>13</v>
      </c>
      <c r="J1047" s="6" t="s">
        <v>238</v>
      </c>
      <c r="K1047" s="6" t="s">
        <v>6112</v>
      </c>
      <c r="M1047" s="6"/>
    </row>
    <row r="1048" customFormat="false" ht="15" hidden="false" customHeight="false" outlineLevel="0" collapsed="false">
      <c r="A1048" s="6" t="s">
        <v>7650</v>
      </c>
      <c r="B1048" s="6" t="s">
        <v>5067</v>
      </c>
      <c r="C1048" s="6" t="s">
        <v>5050</v>
      </c>
      <c r="D1048" s="6" t="s">
        <v>7254</v>
      </c>
      <c r="E1048" s="6" t="s">
        <v>7642</v>
      </c>
      <c r="F1048" s="6" t="s">
        <v>7646</v>
      </c>
      <c r="G1048" s="9" t="n">
        <v>94703</v>
      </c>
      <c r="H1048" s="6" t="s">
        <v>384</v>
      </c>
      <c r="I1048" s="6" t="s">
        <v>13</v>
      </c>
      <c r="J1048" s="6" t="s">
        <v>228</v>
      </c>
      <c r="K1048" s="6" t="s">
        <v>6075</v>
      </c>
      <c r="M1048" s="6"/>
    </row>
    <row r="1049" customFormat="false" ht="15" hidden="false" customHeight="false" outlineLevel="0" collapsed="false">
      <c r="A1049" s="6" t="s">
        <v>7651</v>
      </c>
      <c r="B1049" s="6" t="s">
        <v>5067</v>
      </c>
      <c r="C1049" s="6" t="s">
        <v>5050</v>
      </c>
      <c r="D1049" s="6" t="s">
        <v>7254</v>
      </c>
      <c r="E1049" s="6" t="s">
        <v>7642</v>
      </c>
      <c r="F1049" s="6" t="s">
        <v>7652</v>
      </c>
      <c r="G1049" s="9" t="n">
        <v>94703</v>
      </c>
      <c r="H1049" s="6" t="s">
        <v>384</v>
      </c>
      <c r="I1049" s="6" t="s">
        <v>13</v>
      </c>
      <c r="J1049" s="6" t="s">
        <v>233</v>
      </c>
      <c r="K1049" s="6" t="s">
        <v>6116</v>
      </c>
      <c r="M1049" s="6"/>
    </row>
    <row r="1050" customFormat="false" ht="15" hidden="false" customHeight="false" outlineLevel="0" collapsed="false">
      <c r="A1050" s="6" t="s">
        <v>7653</v>
      </c>
      <c r="B1050" s="6" t="s">
        <v>5067</v>
      </c>
      <c r="C1050" s="6" t="s">
        <v>5050</v>
      </c>
      <c r="D1050" s="6" t="s">
        <v>7254</v>
      </c>
      <c r="E1050" s="6" t="s">
        <v>7642</v>
      </c>
      <c r="F1050" s="6" t="s">
        <v>7654</v>
      </c>
      <c r="G1050" s="9" t="n">
        <v>94703</v>
      </c>
      <c r="H1050" s="6" t="s">
        <v>384</v>
      </c>
      <c r="I1050" s="6" t="s">
        <v>13</v>
      </c>
      <c r="J1050" s="6" t="s">
        <v>253</v>
      </c>
      <c r="K1050" s="6" t="s">
        <v>6119</v>
      </c>
      <c r="M1050" s="6"/>
    </row>
    <row r="1051" customFormat="false" ht="15" hidden="false" customHeight="false" outlineLevel="0" collapsed="false">
      <c r="A1051" s="6" t="s">
        <v>7655</v>
      </c>
      <c r="B1051" s="6" t="s">
        <v>5245</v>
      </c>
      <c r="C1051" s="6" t="s">
        <v>5050</v>
      </c>
      <c r="D1051" s="6" t="s">
        <v>7254</v>
      </c>
      <c r="E1051" s="6" t="s">
        <v>7642</v>
      </c>
      <c r="F1051" s="6" t="s">
        <v>7654</v>
      </c>
      <c r="G1051" s="9" t="n">
        <v>109612</v>
      </c>
      <c r="H1051" s="6" t="s">
        <v>384</v>
      </c>
      <c r="I1051" s="6" t="s">
        <v>13</v>
      </c>
      <c r="J1051" s="6" t="s">
        <v>253</v>
      </c>
      <c r="K1051" s="6" t="s">
        <v>6119</v>
      </c>
      <c r="M1051" s="6"/>
    </row>
    <row r="1052" customFormat="false" ht="15" hidden="false" customHeight="false" outlineLevel="0" collapsed="false">
      <c r="A1052" s="6" t="s">
        <v>7656</v>
      </c>
      <c r="B1052" s="6" t="s">
        <v>5072</v>
      </c>
      <c r="C1052" s="6" t="s">
        <v>5050</v>
      </c>
      <c r="D1052" s="6" t="s">
        <v>7254</v>
      </c>
      <c r="E1052" s="6" t="s">
        <v>7642</v>
      </c>
      <c r="F1052" s="6" t="s">
        <v>7652</v>
      </c>
      <c r="G1052" s="9" t="n">
        <v>149149</v>
      </c>
      <c r="H1052" s="6" t="s">
        <v>384</v>
      </c>
      <c r="I1052" s="6" t="s">
        <v>13</v>
      </c>
      <c r="J1052" s="6" t="s">
        <v>233</v>
      </c>
      <c r="K1052" s="6" t="s">
        <v>6116</v>
      </c>
      <c r="M1052" s="6"/>
    </row>
    <row r="1053" customFormat="false" ht="15" hidden="false" customHeight="false" outlineLevel="0" collapsed="false">
      <c r="A1053" s="6" t="s">
        <v>7657</v>
      </c>
      <c r="B1053" s="6" t="s">
        <v>5072</v>
      </c>
      <c r="C1053" s="6" t="s">
        <v>5050</v>
      </c>
      <c r="D1053" s="6" t="s">
        <v>7254</v>
      </c>
      <c r="E1053" s="6" t="s">
        <v>7642</v>
      </c>
      <c r="F1053" s="6" t="s">
        <v>7658</v>
      </c>
      <c r="G1053" s="9" t="n">
        <v>149149</v>
      </c>
      <c r="H1053" s="6" t="s">
        <v>384</v>
      </c>
      <c r="I1053" s="6" t="s">
        <v>13</v>
      </c>
      <c r="J1053" s="6" t="s">
        <v>261</v>
      </c>
      <c r="K1053" s="6" t="s">
        <v>6124</v>
      </c>
      <c r="M1053" s="6"/>
    </row>
    <row r="1054" customFormat="false" ht="15" hidden="false" customHeight="false" outlineLevel="0" collapsed="false">
      <c r="A1054" s="6" t="s">
        <v>7659</v>
      </c>
      <c r="B1054" s="6" t="s">
        <v>5249</v>
      </c>
      <c r="C1054" s="6" t="s">
        <v>5050</v>
      </c>
      <c r="D1054" s="6" t="s">
        <v>7254</v>
      </c>
      <c r="E1054" s="6" t="s">
        <v>7642</v>
      </c>
      <c r="F1054" s="6" t="s">
        <v>7658</v>
      </c>
      <c r="G1054" s="9" t="n">
        <v>202865</v>
      </c>
      <c r="H1054" s="6" t="s">
        <v>384</v>
      </c>
      <c r="I1054" s="6" t="s">
        <v>13</v>
      </c>
      <c r="J1054" s="6" t="s">
        <v>261</v>
      </c>
      <c r="K1054" s="6" t="s">
        <v>6124</v>
      </c>
      <c r="M1054" s="6"/>
    </row>
    <row r="1055" customFormat="false" ht="15" hidden="false" customHeight="false" outlineLevel="0" collapsed="false">
      <c r="A1055" s="6" t="s">
        <v>7660</v>
      </c>
      <c r="B1055" s="6" t="s">
        <v>5239</v>
      </c>
      <c r="C1055" s="6" t="s">
        <v>5050</v>
      </c>
      <c r="D1055" s="6" t="s">
        <v>7254</v>
      </c>
      <c r="E1055" s="6" t="s">
        <v>7661</v>
      </c>
      <c r="F1055" s="6" t="s">
        <v>7662</v>
      </c>
      <c r="H1055" s="6" t="s">
        <v>7024</v>
      </c>
      <c r="I1055" s="6" t="s">
        <v>13</v>
      </c>
      <c r="J1055" s="6" t="s">
        <v>238</v>
      </c>
      <c r="K1055" s="6" t="s">
        <v>7511</v>
      </c>
      <c r="M1055" s="6"/>
    </row>
    <row r="1056" customFormat="false" ht="15" hidden="false" customHeight="false" outlineLevel="0" collapsed="false">
      <c r="A1056" s="6" t="s">
        <v>7663</v>
      </c>
      <c r="B1056" s="6" t="s">
        <v>5245</v>
      </c>
      <c r="C1056" s="6" t="s">
        <v>5050</v>
      </c>
      <c r="D1056" s="6" t="s">
        <v>7254</v>
      </c>
      <c r="E1056" s="6" t="s">
        <v>7661</v>
      </c>
      <c r="F1056" s="6" t="s">
        <v>7664</v>
      </c>
      <c r="H1056" s="6" t="s">
        <v>7024</v>
      </c>
      <c r="I1056" s="6" t="s">
        <v>13</v>
      </c>
      <c r="J1056" s="6" t="s">
        <v>253</v>
      </c>
      <c r="K1056" s="6" t="s">
        <v>7665</v>
      </c>
      <c r="M1056" s="6"/>
    </row>
    <row r="1057" customFormat="false" ht="15" hidden="false" customHeight="false" outlineLevel="0" collapsed="false">
      <c r="A1057" s="6" t="s">
        <v>7666</v>
      </c>
      <c r="B1057" s="6" t="s">
        <v>5249</v>
      </c>
      <c r="C1057" s="6" t="s">
        <v>5050</v>
      </c>
      <c r="D1057" s="6" t="s">
        <v>7254</v>
      </c>
      <c r="E1057" s="6" t="s">
        <v>7661</v>
      </c>
      <c r="F1057" s="6" t="s">
        <v>7667</v>
      </c>
      <c r="H1057" s="6" t="s">
        <v>7024</v>
      </c>
      <c r="I1057" s="6" t="s">
        <v>13</v>
      </c>
      <c r="J1057" s="6" t="s">
        <v>261</v>
      </c>
      <c r="K1057" s="6" t="s">
        <v>7518</v>
      </c>
      <c r="M1057" s="6"/>
    </row>
    <row r="1058" customFormat="false" ht="15" hidden="false" customHeight="false" outlineLevel="0" collapsed="false">
      <c r="A1058" s="6" t="s">
        <v>7668</v>
      </c>
      <c r="B1058" s="6" t="s">
        <v>7669</v>
      </c>
      <c r="C1058" s="6" t="s">
        <v>5050</v>
      </c>
      <c r="D1058" s="6" t="s">
        <v>7254</v>
      </c>
      <c r="E1058" s="6" t="s">
        <v>7670</v>
      </c>
      <c r="F1058" s="6" t="s">
        <v>7671</v>
      </c>
      <c r="G1058" s="19" t="n">
        <v>50000</v>
      </c>
      <c r="H1058" s="6" t="s">
        <v>7357</v>
      </c>
      <c r="I1058" s="6" t="s">
        <v>13</v>
      </c>
      <c r="J1058" s="6" t="s">
        <v>223</v>
      </c>
      <c r="K1058" s="6" t="s">
        <v>7672</v>
      </c>
      <c r="M1058" s="6"/>
    </row>
    <row r="1059" customFormat="false" ht="15" hidden="false" customHeight="false" outlineLevel="0" collapsed="false">
      <c r="A1059" s="6" t="s">
        <v>7673</v>
      </c>
      <c r="B1059" s="6" t="s">
        <v>7674</v>
      </c>
      <c r="C1059" s="6" t="s">
        <v>5050</v>
      </c>
      <c r="D1059" s="6" t="s">
        <v>7254</v>
      </c>
      <c r="E1059" s="6" t="s">
        <v>7675</v>
      </c>
      <c r="F1059" s="6" t="s">
        <v>7676</v>
      </c>
      <c r="G1059" s="19" t="n">
        <v>80000</v>
      </c>
      <c r="H1059" s="6" t="s">
        <v>7357</v>
      </c>
      <c r="I1059" s="6" t="s">
        <v>13</v>
      </c>
      <c r="J1059" s="6" t="s">
        <v>209</v>
      </c>
      <c r="K1059" s="6" t="s">
        <v>7358</v>
      </c>
      <c r="M1059" s="6"/>
    </row>
    <row r="1060" customFormat="false" ht="15" hidden="false" customHeight="false" outlineLevel="0" collapsed="false">
      <c r="A1060" s="6" t="s">
        <v>7677</v>
      </c>
      <c r="B1060" s="6" t="s">
        <v>7678</v>
      </c>
      <c r="C1060" s="6" t="s">
        <v>5050</v>
      </c>
      <c r="D1060" s="6" t="s">
        <v>7254</v>
      </c>
      <c r="E1060" s="6" t="s">
        <v>7675</v>
      </c>
      <c r="F1060" s="6" t="s">
        <v>7679</v>
      </c>
      <c r="G1060" s="19" t="n">
        <v>27000</v>
      </c>
      <c r="H1060" s="6" t="s">
        <v>7357</v>
      </c>
      <c r="I1060" s="6" t="s">
        <v>13</v>
      </c>
      <c r="J1060" s="6" t="s">
        <v>218</v>
      </c>
      <c r="K1060" s="6" t="s">
        <v>7680</v>
      </c>
      <c r="M1060" s="6"/>
    </row>
    <row r="1061" customFormat="false" ht="15" hidden="false" customHeight="false" outlineLevel="0" collapsed="false">
      <c r="A1061" s="6" t="s">
        <v>7681</v>
      </c>
      <c r="B1061" s="6" t="s">
        <v>7682</v>
      </c>
      <c r="C1061" s="6" t="s">
        <v>5050</v>
      </c>
      <c r="D1061" s="6" t="s">
        <v>7254</v>
      </c>
      <c r="E1061" s="6" t="s">
        <v>7683</v>
      </c>
      <c r="F1061" s="6" t="s">
        <v>7684</v>
      </c>
      <c r="G1061" s="19" t="n">
        <v>118000</v>
      </c>
      <c r="H1061" s="6" t="s">
        <v>7357</v>
      </c>
      <c r="I1061" s="6" t="s">
        <v>13</v>
      </c>
      <c r="J1061" s="6" t="s">
        <v>233</v>
      </c>
      <c r="K1061" s="6" t="s">
        <v>7685</v>
      </c>
      <c r="M1061" s="6" t="s">
        <v>7686</v>
      </c>
    </row>
    <row r="1062" customFormat="false" ht="15" hidden="false" customHeight="false" outlineLevel="0" collapsed="false">
      <c r="A1062" s="6" t="s">
        <v>7687</v>
      </c>
      <c r="B1062" s="6" t="s">
        <v>5079</v>
      </c>
      <c r="C1062" s="6" t="s">
        <v>4975</v>
      </c>
      <c r="D1062" s="6" t="s">
        <v>7254</v>
      </c>
      <c r="E1062" s="6" t="s">
        <v>7688</v>
      </c>
      <c r="F1062" s="6" t="s">
        <v>7689</v>
      </c>
      <c r="G1062" s="19" t="n">
        <v>118000</v>
      </c>
      <c r="H1062" s="6" t="s">
        <v>7357</v>
      </c>
      <c r="I1062" s="6" t="s">
        <v>13</v>
      </c>
      <c r="J1062" s="6" t="s">
        <v>228</v>
      </c>
      <c r="K1062" s="6" t="s">
        <v>7690</v>
      </c>
      <c r="M1062" s="6" t="s">
        <v>7691</v>
      </c>
    </row>
    <row r="1063" customFormat="false" ht="15" hidden="false" customHeight="false" outlineLevel="0" collapsed="false">
      <c r="A1063" s="6" t="s">
        <v>7692</v>
      </c>
      <c r="B1063" s="6" t="s">
        <v>5057</v>
      </c>
      <c r="C1063" s="6" t="s">
        <v>5050</v>
      </c>
      <c r="D1063" s="6" t="s">
        <v>7254</v>
      </c>
      <c r="E1063" s="6" t="s">
        <v>7693</v>
      </c>
      <c r="F1063" s="6" t="s">
        <v>7694</v>
      </c>
      <c r="G1063" s="9" t="n">
        <v>77721</v>
      </c>
      <c r="H1063" s="6" t="s">
        <v>384</v>
      </c>
      <c r="I1063" s="6" t="s">
        <v>13</v>
      </c>
      <c r="J1063" s="6" t="s">
        <v>218</v>
      </c>
      <c r="K1063" s="6" t="s">
        <v>7383</v>
      </c>
      <c r="M1063" s="6"/>
    </row>
    <row r="1064" customFormat="false" ht="15" hidden="false" customHeight="false" outlineLevel="0" collapsed="false">
      <c r="A1064" s="6" t="s">
        <v>7695</v>
      </c>
      <c r="B1064" s="6" t="s">
        <v>5062</v>
      </c>
      <c r="C1064" s="6" t="s">
        <v>5050</v>
      </c>
      <c r="D1064" s="6" t="s">
        <v>7254</v>
      </c>
      <c r="E1064" s="6" t="s">
        <v>7693</v>
      </c>
      <c r="F1064" s="6" t="s">
        <v>7696</v>
      </c>
      <c r="G1064" s="9" t="n">
        <v>61147</v>
      </c>
      <c r="H1064" s="6" t="s">
        <v>384</v>
      </c>
      <c r="I1064" s="6" t="s">
        <v>13</v>
      </c>
      <c r="J1064" s="6" t="s">
        <v>223</v>
      </c>
      <c r="K1064" s="6" t="s">
        <v>7386</v>
      </c>
      <c r="M1064" s="6"/>
    </row>
    <row r="1065" customFormat="false" ht="15" hidden="false" customHeight="false" outlineLevel="0" collapsed="false">
      <c r="A1065" s="6" t="s">
        <v>7697</v>
      </c>
      <c r="B1065" s="6" t="s">
        <v>5239</v>
      </c>
      <c r="C1065" s="6" t="s">
        <v>5050</v>
      </c>
      <c r="D1065" s="6" t="s">
        <v>7254</v>
      </c>
      <c r="E1065" s="6" t="s">
        <v>7693</v>
      </c>
      <c r="F1065" s="6" t="s">
        <v>7698</v>
      </c>
      <c r="G1065" s="9" t="n">
        <v>56845</v>
      </c>
      <c r="H1065" s="6" t="s">
        <v>384</v>
      </c>
      <c r="I1065" s="6" t="s">
        <v>13</v>
      </c>
      <c r="J1065" s="6" t="s">
        <v>238</v>
      </c>
      <c r="K1065" s="6" t="s">
        <v>7511</v>
      </c>
      <c r="M1065" s="6"/>
    </row>
    <row r="1066" customFormat="false" ht="15" hidden="false" customHeight="false" outlineLevel="0" collapsed="false">
      <c r="A1066" s="6" t="s">
        <v>7699</v>
      </c>
      <c r="B1066" s="6" t="s">
        <v>5067</v>
      </c>
      <c r="C1066" s="6" t="s">
        <v>5050</v>
      </c>
      <c r="D1066" s="6" t="s">
        <v>7254</v>
      </c>
      <c r="E1066" s="6" t="s">
        <v>7693</v>
      </c>
      <c r="F1066" s="6" t="s">
        <v>7700</v>
      </c>
      <c r="G1066" s="9" t="n">
        <v>106036</v>
      </c>
      <c r="H1066" s="6" t="s">
        <v>384</v>
      </c>
      <c r="I1066" s="6" t="s">
        <v>13</v>
      </c>
      <c r="J1066" s="6" t="s">
        <v>228</v>
      </c>
      <c r="K1066" s="6" t="s">
        <v>7402</v>
      </c>
      <c r="M1066" s="6"/>
    </row>
    <row r="1067" customFormat="false" ht="15" hidden="false" customHeight="false" outlineLevel="0" collapsed="false">
      <c r="A1067" s="6" t="s">
        <v>7701</v>
      </c>
      <c r="B1067" s="6" t="s">
        <v>6365</v>
      </c>
      <c r="C1067" s="6" t="s">
        <v>5050</v>
      </c>
      <c r="D1067" s="6" t="s">
        <v>7254</v>
      </c>
      <c r="E1067" s="6" t="s">
        <v>7702</v>
      </c>
      <c r="F1067" s="6" t="s">
        <v>7703</v>
      </c>
      <c r="G1067" s="9" t="n">
        <v>58084</v>
      </c>
      <c r="H1067" s="6" t="s">
        <v>384</v>
      </c>
      <c r="I1067" s="6" t="s">
        <v>13</v>
      </c>
      <c r="J1067" s="6" t="s">
        <v>218</v>
      </c>
      <c r="K1067" s="6" t="s">
        <v>7704</v>
      </c>
      <c r="M1067" s="6"/>
    </row>
    <row r="1068" customFormat="false" ht="15" hidden="false" customHeight="false" outlineLevel="0" collapsed="false">
      <c r="A1068" s="6" t="s">
        <v>7705</v>
      </c>
      <c r="B1068" s="6" t="s">
        <v>6365</v>
      </c>
      <c r="C1068" s="6" t="s">
        <v>5050</v>
      </c>
      <c r="D1068" s="6" t="s">
        <v>7254</v>
      </c>
      <c r="E1068" s="6" t="s">
        <v>7702</v>
      </c>
      <c r="F1068" s="6" t="s">
        <v>7703</v>
      </c>
      <c r="G1068" s="9" t="n">
        <v>58084</v>
      </c>
      <c r="H1068" s="6" t="s">
        <v>384</v>
      </c>
      <c r="I1068" s="6" t="s">
        <v>13</v>
      </c>
      <c r="J1068" s="6" t="s">
        <v>223</v>
      </c>
      <c r="K1068" s="6" t="s">
        <v>7706</v>
      </c>
      <c r="M1068" s="6"/>
    </row>
    <row r="1069" customFormat="false" ht="15" hidden="false" customHeight="false" outlineLevel="0" collapsed="false">
      <c r="A1069" s="6" t="s">
        <v>7707</v>
      </c>
      <c r="B1069" s="6" t="s">
        <v>5249</v>
      </c>
      <c r="C1069" s="6" t="s">
        <v>5050</v>
      </c>
      <c r="D1069" s="6" t="s">
        <v>7254</v>
      </c>
      <c r="E1069" s="6" t="s">
        <v>7708</v>
      </c>
      <c r="F1069" s="6" t="s">
        <v>7709</v>
      </c>
      <c r="G1069" s="9" t="n">
        <v>18233</v>
      </c>
      <c r="H1069" s="6" t="s">
        <v>384</v>
      </c>
      <c r="I1069" s="6" t="s">
        <v>13</v>
      </c>
      <c r="J1069" s="6" t="s">
        <v>261</v>
      </c>
      <c r="K1069" s="6" t="s">
        <v>7518</v>
      </c>
      <c r="M1069" s="6"/>
    </row>
    <row r="1070" customFormat="false" ht="15" hidden="false" customHeight="false" outlineLevel="0" collapsed="false">
      <c r="A1070" s="6" t="s">
        <v>7710</v>
      </c>
      <c r="B1070" s="6" t="s">
        <v>5102</v>
      </c>
      <c r="C1070" s="6" t="s">
        <v>4975</v>
      </c>
      <c r="D1070" s="6" t="s">
        <v>7254</v>
      </c>
      <c r="E1070" s="6" t="s">
        <v>7711</v>
      </c>
      <c r="F1070" s="6" t="s">
        <v>7712</v>
      </c>
      <c r="G1070" s="9" t="n">
        <v>4326</v>
      </c>
      <c r="H1070" s="6" t="s">
        <v>384</v>
      </c>
      <c r="I1070" s="6" t="s">
        <v>13</v>
      </c>
      <c r="J1070" s="6" t="s">
        <v>223</v>
      </c>
      <c r="K1070" s="6" t="s">
        <v>7713</v>
      </c>
      <c r="M1070" s="6" t="s">
        <v>7714</v>
      </c>
    </row>
    <row r="1071" customFormat="false" ht="15" hidden="false" customHeight="false" outlineLevel="0" collapsed="false">
      <c r="A1071" s="6" t="s">
        <v>7715</v>
      </c>
      <c r="B1071" s="6" t="s">
        <v>5097</v>
      </c>
      <c r="C1071" s="6" t="s">
        <v>4975</v>
      </c>
      <c r="D1071" s="6" t="s">
        <v>7254</v>
      </c>
      <c r="E1071" s="6" t="s">
        <v>7711</v>
      </c>
      <c r="F1071" s="6" t="s">
        <v>7712</v>
      </c>
      <c r="G1071" s="9" t="n">
        <v>16396</v>
      </c>
      <c r="H1071" s="6" t="s">
        <v>384</v>
      </c>
      <c r="I1071" s="6" t="s">
        <v>13</v>
      </c>
      <c r="J1071" s="6" t="s">
        <v>223</v>
      </c>
      <c r="K1071" s="6" t="s">
        <v>7713</v>
      </c>
      <c r="M1071" s="6" t="s">
        <v>7714</v>
      </c>
    </row>
    <row r="1072" customFormat="false" ht="15" hidden="false" customHeight="false" outlineLevel="0" collapsed="false">
      <c r="A1072" s="6" t="s">
        <v>7716</v>
      </c>
      <c r="B1072" s="6" t="s">
        <v>5074</v>
      </c>
      <c r="C1072" s="6" t="s">
        <v>4975</v>
      </c>
      <c r="D1072" s="6" t="s">
        <v>7254</v>
      </c>
      <c r="E1072" s="6" t="s">
        <v>7711</v>
      </c>
      <c r="F1072" s="6" t="s">
        <v>7712</v>
      </c>
      <c r="G1072" s="9" t="n">
        <v>21369</v>
      </c>
      <c r="H1072" s="6" t="s">
        <v>384</v>
      </c>
      <c r="I1072" s="6" t="s">
        <v>13</v>
      </c>
      <c r="J1072" s="6" t="s">
        <v>223</v>
      </c>
      <c r="K1072" s="6" t="s">
        <v>7713</v>
      </c>
      <c r="M1072" s="6" t="s">
        <v>7714</v>
      </c>
    </row>
    <row r="1073" customFormat="false" ht="15" hidden="false" customHeight="false" outlineLevel="0" collapsed="false">
      <c r="A1073" s="6" t="s">
        <v>7717</v>
      </c>
      <c r="B1073" s="6" t="s">
        <v>5203</v>
      </c>
      <c r="C1073" s="6" t="s">
        <v>4975</v>
      </c>
      <c r="D1073" s="6" t="s">
        <v>7254</v>
      </c>
      <c r="E1073" s="6" t="s">
        <v>7718</v>
      </c>
      <c r="F1073" s="6" t="s">
        <v>7719</v>
      </c>
      <c r="G1073" s="9" t="n">
        <v>3287</v>
      </c>
      <c r="H1073" s="6" t="s">
        <v>384</v>
      </c>
      <c r="I1073" s="6" t="s">
        <v>13</v>
      </c>
      <c r="J1073" s="6" t="s">
        <v>218</v>
      </c>
      <c r="K1073" s="6" t="s">
        <v>7720</v>
      </c>
      <c r="M1073" s="6" t="s">
        <v>7721</v>
      </c>
    </row>
    <row r="1074" customFormat="false" ht="15" hidden="false" customHeight="false" outlineLevel="0" collapsed="false">
      <c r="A1074" s="6" t="s">
        <v>7722</v>
      </c>
      <c r="B1074" s="6" t="s">
        <v>5102</v>
      </c>
      <c r="C1074" s="6" t="s">
        <v>4975</v>
      </c>
      <c r="D1074" s="6" t="s">
        <v>7254</v>
      </c>
      <c r="E1074" s="6" t="s">
        <v>7718</v>
      </c>
      <c r="F1074" s="6" t="s">
        <v>7719</v>
      </c>
      <c r="G1074" s="9" t="n">
        <v>4326</v>
      </c>
      <c r="H1074" s="6" t="s">
        <v>384</v>
      </c>
      <c r="I1074" s="6" t="s">
        <v>13</v>
      </c>
      <c r="J1074" s="6" t="s">
        <v>218</v>
      </c>
      <c r="K1074" s="6" t="s">
        <v>7720</v>
      </c>
      <c r="M1074" s="6" t="s">
        <v>7721</v>
      </c>
    </row>
    <row r="1075" customFormat="false" ht="15" hidden="false" customHeight="false" outlineLevel="0" collapsed="false">
      <c r="A1075" s="6" t="s">
        <v>7723</v>
      </c>
      <c r="B1075" s="6" t="s">
        <v>5097</v>
      </c>
      <c r="C1075" s="6" t="s">
        <v>4975</v>
      </c>
      <c r="D1075" s="6" t="s">
        <v>7254</v>
      </c>
      <c r="E1075" s="6" t="s">
        <v>7718</v>
      </c>
      <c r="F1075" s="6" t="s">
        <v>7719</v>
      </c>
      <c r="G1075" s="9" t="n">
        <v>16396</v>
      </c>
      <c r="H1075" s="6" t="s">
        <v>384</v>
      </c>
      <c r="I1075" s="6" t="s">
        <v>13</v>
      </c>
      <c r="J1075" s="6" t="s">
        <v>218</v>
      </c>
      <c r="K1075" s="6" t="s">
        <v>7720</v>
      </c>
      <c r="M1075" s="6" t="s">
        <v>7721</v>
      </c>
    </row>
    <row r="1076" customFormat="false" ht="15" hidden="false" customHeight="false" outlineLevel="0" collapsed="false">
      <c r="A1076" s="6" t="s">
        <v>7724</v>
      </c>
      <c r="B1076" s="6" t="s">
        <v>5097</v>
      </c>
      <c r="C1076" s="6" t="s">
        <v>4975</v>
      </c>
      <c r="D1076" s="6" t="s">
        <v>7254</v>
      </c>
      <c r="E1076" s="6" t="s">
        <v>7718</v>
      </c>
      <c r="F1076" s="6" t="s">
        <v>7725</v>
      </c>
      <c r="G1076" s="9" t="n">
        <v>16396</v>
      </c>
      <c r="H1076" s="6" t="s">
        <v>384</v>
      </c>
      <c r="I1076" s="6" t="s">
        <v>13</v>
      </c>
      <c r="J1076" s="6" t="s">
        <v>228</v>
      </c>
      <c r="K1076" s="6" t="s">
        <v>7726</v>
      </c>
      <c r="M1076" s="6" t="s">
        <v>7727</v>
      </c>
    </row>
    <row r="1077" customFormat="false" ht="15" hidden="false" customHeight="false" outlineLevel="0" collapsed="false">
      <c r="A1077" s="6" t="s">
        <v>7728</v>
      </c>
      <c r="B1077" s="6" t="s">
        <v>5074</v>
      </c>
      <c r="C1077" s="6" t="s">
        <v>4975</v>
      </c>
      <c r="D1077" s="6" t="s">
        <v>7254</v>
      </c>
      <c r="E1077" s="6" t="s">
        <v>7718</v>
      </c>
      <c r="F1077" s="6" t="s">
        <v>7725</v>
      </c>
      <c r="G1077" s="9" t="n">
        <v>21369</v>
      </c>
      <c r="H1077" s="6" t="s">
        <v>384</v>
      </c>
      <c r="I1077" s="6" t="s">
        <v>13</v>
      </c>
      <c r="J1077" s="6" t="s">
        <v>228</v>
      </c>
      <c r="K1077" s="6" t="s">
        <v>7726</v>
      </c>
      <c r="M1077" s="6" t="s">
        <v>7727</v>
      </c>
    </row>
    <row r="1078" customFormat="false" ht="15" hidden="false" customHeight="false" outlineLevel="0" collapsed="false">
      <c r="A1078" s="6" t="s">
        <v>7729</v>
      </c>
      <c r="B1078" s="6" t="s">
        <v>5074</v>
      </c>
      <c r="C1078" s="6" t="s">
        <v>4975</v>
      </c>
      <c r="D1078" s="6" t="s">
        <v>7254</v>
      </c>
      <c r="E1078" s="6" t="s">
        <v>7718</v>
      </c>
      <c r="F1078" s="6" t="s">
        <v>7730</v>
      </c>
      <c r="G1078" s="9" t="n">
        <v>21369</v>
      </c>
      <c r="H1078" s="6" t="s">
        <v>384</v>
      </c>
      <c r="I1078" s="6" t="s">
        <v>13</v>
      </c>
      <c r="J1078" s="6" t="s">
        <v>233</v>
      </c>
      <c r="K1078" s="6" t="s">
        <v>7731</v>
      </c>
      <c r="M1078" s="6" t="s">
        <v>7732</v>
      </c>
    </row>
    <row r="1079" customFormat="false" ht="15" hidden="false" customHeight="false" outlineLevel="0" collapsed="false">
      <c r="A1079" s="6" t="s">
        <v>7733</v>
      </c>
      <c r="B1079" s="6" t="s">
        <v>5113</v>
      </c>
      <c r="C1079" s="6" t="s">
        <v>4975</v>
      </c>
      <c r="D1079" s="6" t="s">
        <v>7254</v>
      </c>
      <c r="E1079" s="6" t="s">
        <v>7718</v>
      </c>
      <c r="F1079" s="6" t="s">
        <v>7725</v>
      </c>
      <c r="G1079" s="9" t="n">
        <v>27038</v>
      </c>
      <c r="H1079" s="6" t="s">
        <v>384</v>
      </c>
      <c r="I1079" s="6" t="s">
        <v>13</v>
      </c>
      <c r="J1079" s="6" t="s">
        <v>228</v>
      </c>
      <c r="K1079" s="6" t="s">
        <v>7726</v>
      </c>
      <c r="M1079" s="6" t="s">
        <v>7727</v>
      </c>
    </row>
    <row r="1080" customFormat="false" ht="15" hidden="false" customHeight="false" outlineLevel="0" collapsed="false">
      <c r="A1080" s="6" t="s">
        <v>7734</v>
      </c>
      <c r="B1080" s="6" t="s">
        <v>5113</v>
      </c>
      <c r="C1080" s="6" t="s">
        <v>4975</v>
      </c>
      <c r="D1080" s="6" t="s">
        <v>7254</v>
      </c>
      <c r="E1080" s="6" t="s">
        <v>7718</v>
      </c>
      <c r="F1080" s="6" t="s">
        <v>7730</v>
      </c>
      <c r="G1080" s="9" t="n">
        <v>27038</v>
      </c>
      <c r="H1080" s="6" t="s">
        <v>384</v>
      </c>
      <c r="I1080" s="6" t="s">
        <v>13</v>
      </c>
      <c r="J1080" s="6" t="s">
        <v>233</v>
      </c>
      <c r="K1080" s="6" t="s">
        <v>7731</v>
      </c>
      <c r="M1080" s="6" t="s">
        <v>7732</v>
      </c>
    </row>
    <row r="1081" customFormat="false" ht="15" hidden="false" customHeight="false" outlineLevel="0" collapsed="false">
      <c r="A1081" s="6" t="s">
        <v>7735</v>
      </c>
      <c r="B1081" s="6" t="s">
        <v>5079</v>
      </c>
      <c r="C1081" s="6" t="s">
        <v>4975</v>
      </c>
      <c r="D1081" s="6" t="s">
        <v>7254</v>
      </c>
      <c r="E1081" s="6" t="s">
        <v>7718</v>
      </c>
      <c r="F1081" s="6" t="s">
        <v>7730</v>
      </c>
      <c r="G1081" s="9" t="n">
        <v>34040</v>
      </c>
      <c r="H1081" s="6" t="s">
        <v>384</v>
      </c>
      <c r="I1081" s="6" t="s">
        <v>13</v>
      </c>
      <c r="J1081" s="6" t="s">
        <v>233</v>
      </c>
      <c r="K1081" s="6" t="s">
        <v>7731</v>
      </c>
      <c r="M1081" s="6" t="s">
        <v>7732</v>
      </c>
    </row>
    <row r="1082" customFormat="false" ht="15" hidden="false" customHeight="false" outlineLevel="0" collapsed="false">
      <c r="A1082" s="6" t="s">
        <v>7736</v>
      </c>
      <c r="B1082" s="6" t="s">
        <v>5097</v>
      </c>
      <c r="C1082" s="6" t="s">
        <v>4975</v>
      </c>
      <c r="D1082" s="6" t="s">
        <v>7254</v>
      </c>
      <c r="E1082" s="6" t="s">
        <v>7737</v>
      </c>
      <c r="F1082" s="6" t="s">
        <v>7738</v>
      </c>
      <c r="G1082" s="9" t="n">
        <v>97289</v>
      </c>
      <c r="H1082" s="6" t="s">
        <v>384</v>
      </c>
      <c r="I1082" s="6" t="s">
        <v>13</v>
      </c>
      <c r="J1082" s="6" t="s">
        <v>218</v>
      </c>
      <c r="K1082" s="6" t="s">
        <v>6764</v>
      </c>
      <c r="M1082" s="6"/>
    </row>
    <row r="1083" customFormat="false" ht="15" hidden="false" customHeight="false" outlineLevel="0" collapsed="false">
      <c r="A1083" s="6" t="s">
        <v>7739</v>
      </c>
      <c r="B1083" s="6" t="s">
        <v>5097</v>
      </c>
      <c r="C1083" s="6" t="s">
        <v>4975</v>
      </c>
      <c r="D1083" s="6" t="s">
        <v>7254</v>
      </c>
      <c r="E1083" s="6" t="s">
        <v>7737</v>
      </c>
      <c r="F1083" s="6" t="s">
        <v>7740</v>
      </c>
      <c r="G1083" s="9" t="n">
        <v>97289</v>
      </c>
      <c r="H1083" s="6" t="s">
        <v>384</v>
      </c>
      <c r="I1083" s="6" t="s">
        <v>13</v>
      </c>
      <c r="J1083" s="6" t="s">
        <v>223</v>
      </c>
      <c r="K1083" s="6" t="s">
        <v>6764</v>
      </c>
      <c r="M1083" s="6"/>
    </row>
    <row r="1084" customFormat="false" ht="15" hidden="false" customHeight="false" outlineLevel="0" collapsed="false">
      <c r="A1084" s="6" t="s">
        <v>7741</v>
      </c>
      <c r="B1084" s="6" t="s">
        <v>5097</v>
      </c>
      <c r="C1084" s="6" t="s">
        <v>4975</v>
      </c>
      <c r="D1084" s="6" t="s">
        <v>7254</v>
      </c>
      <c r="E1084" s="6" t="s">
        <v>7737</v>
      </c>
      <c r="F1084" s="6" t="s">
        <v>7742</v>
      </c>
      <c r="G1084" s="9" t="n">
        <v>97289</v>
      </c>
      <c r="H1084" s="6" t="s">
        <v>384</v>
      </c>
      <c r="I1084" s="6" t="s">
        <v>13</v>
      </c>
      <c r="J1084" s="6" t="s">
        <v>228</v>
      </c>
      <c r="K1084" s="6" t="s">
        <v>7743</v>
      </c>
      <c r="M1084" s="6"/>
    </row>
    <row r="1085" customFormat="false" ht="15" hidden="false" customHeight="false" outlineLevel="0" collapsed="false">
      <c r="A1085" s="6" t="s">
        <v>7744</v>
      </c>
      <c r="B1085" s="6" t="s">
        <v>5074</v>
      </c>
      <c r="C1085" s="6" t="s">
        <v>4975</v>
      </c>
      <c r="D1085" s="6" t="s">
        <v>7254</v>
      </c>
      <c r="E1085" s="6" t="s">
        <v>7737</v>
      </c>
      <c r="F1085" s="6" t="s">
        <v>7740</v>
      </c>
      <c r="G1085" s="9" t="n">
        <v>93</v>
      </c>
      <c r="H1085" s="6" t="s">
        <v>384</v>
      </c>
      <c r="I1085" s="6" t="s">
        <v>13</v>
      </c>
      <c r="J1085" s="6" t="s">
        <v>223</v>
      </c>
      <c r="K1085" s="6" t="s">
        <v>6764</v>
      </c>
      <c r="M1085" s="6"/>
    </row>
    <row r="1086" customFormat="false" ht="15" hidden="false" customHeight="false" outlineLevel="0" collapsed="false">
      <c r="A1086" s="6" t="s">
        <v>7745</v>
      </c>
      <c r="B1086" s="6" t="s">
        <v>5074</v>
      </c>
      <c r="C1086" s="6" t="s">
        <v>4975</v>
      </c>
      <c r="D1086" s="6" t="s">
        <v>7254</v>
      </c>
      <c r="E1086" s="6" t="s">
        <v>7737</v>
      </c>
      <c r="F1086" s="6" t="s">
        <v>7742</v>
      </c>
      <c r="G1086" s="9" t="n">
        <v>93</v>
      </c>
      <c r="H1086" s="6" t="s">
        <v>384</v>
      </c>
      <c r="I1086" s="6" t="s">
        <v>13</v>
      </c>
      <c r="J1086" s="6" t="s">
        <v>228</v>
      </c>
      <c r="K1086" s="6" t="s">
        <v>7743</v>
      </c>
      <c r="M1086" s="6"/>
    </row>
    <row r="1087" customFormat="false" ht="15" hidden="false" customHeight="false" outlineLevel="0" collapsed="false">
      <c r="A1087" s="6" t="s">
        <v>7746</v>
      </c>
      <c r="B1087" s="6" t="s">
        <v>5074</v>
      </c>
      <c r="C1087" s="6" t="s">
        <v>4975</v>
      </c>
      <c r="D1087" s="6" t="s">
        <v>7254</v>
      </c>
      <c r="E1087" s="6" t="s">
        <v>7737</v>
      </c>
      <c r="F1087" s="6" t="s">
        <v>7747</v>
      </c>
      <c r="G1087" s="9" t="n">
        <v>93</v>
      </c>
      <c r="H1087" s="6" t="s">
        <v>384</v>
      </c>
      <c r="I1087" s="6" t="s">
        <v>13</v>
      </c>
      <c r="J1087" s="6" t="s">
        <v>233</v>
      </c>
      <c r="K1087" s="6" t="s">
        <v>7748</v>
      </c>
      <c r="M1087" s="6"/>
    </row>
    <row r="1088" customFormat="false" ht="15" hidden="false" customHeight="false" outlineLevel="0" collapsed="false">
      <c r="A1088" s="6" t="s">
        <v>7749</v>
      </c>
      <c r="B1088" s="6" t="s">
        <v>5113</v>
      </c>
      <c r="C1088" s="6" t="s">
        <v>4975</v>
      </c>
      <c r="D1088" s="6" t="s">
        <v>7254</v>
      </c>
      <c r="E1088" s="6" t="s">
        <v>7737</v>
      </c>
      <c r="F1088" s="6" t="s">
        <v>7742</v>
      </c>
      <c r="G1088" s="9" t="n">
        <v>68743</v>
      </c>
      <c r="H1088" s="6" t="s">
        <v>384</v>
      </c>
      <c r="I1088" s="6" t="s">
        <v>13</v>
      </c>
      <c r="J1088" s="6" t="s">
        <v>228</v>
      </c>
      <c r="K1088" s="6" t="s">
        <v>7743</v>
      </c>
      <c r="M1088" s="6"/>
    </row>
    <row r="1089" customFormat="false" ht="15" hidden="false" customHeight="false" outlineLevel="0" collapsed="false">
      <c r="A1089" s="6" t="s">
        <v>7750</v>
      </c>
      <c r="B1089" s="6" t="s">
        <v>5113</v>
      </c>
      <c r="C1089" s="6" t="s">
        <v>4975</v>
      </c>
      <c r="D1089" s="6" t="s">
        <v>7254</v>
      </c>
      <c r="E1089" s="6" t="s">
        <v>7737</v>
      </c>
      <c r="F1089" s="6" t="s">
        <v>7747</v>
      </c>
      <c r="G1089" s="9" t="n">
        <v>68743</v>
      </c>
      <c r="H1089" s="6" t="s">
        <v>384</v>
      </c>
      <c r="I1089" s="6" t="s">
        <v>13</v>
      </c>
      <c r="J1089" s="6" t="s">
        <v>233</v>
      </c>
      <c r="K1089" s="6" t="s">
        <v>7748</v>
      </c>
      <c r="M1089" s="6"/>
    </row>
    <row r="1090" customFormat="false" ht="15" hidden="false" customHeight="false" outlineLevel="0" collapsed="false">
      <c r="A1090" s="6" t="s">
        <v>7751</v>
      </c>
      <c r="B1090" s="6" t="s">
        <v>5079</v>
      </c>
      <c r="C1090" s="6" t="s">
        <v>4975</v>
      </c>
      <c r="D1090" s="6" t="s">
        <v>7254</v>
      </c>
      <c r="E1090" s="6" t="s">
        <v>7737</v>
      </c>
      <c r="F1090" s="6" t="s">
        <v>7747</v>
      </c>
      <c r="G1090" s="9" t="n">
        <v>79189</v>
      </c>
      <c r="H1090" s="6" t="s">
        <v>384</v>
      </c>
      <c r="I1090" s="6" t="s">
        <v>13</v>
      </c>
      <c r="J1090" s="6" t="s">
        <v>233</v>
      </c>
      <c r="K1090" s="6" t="s">
        <v>7748</v>
      </c>
      <c r="M1090" s="6"/>
    </row>
    <row r="1091" customFormat="false" ht="15" hidden="false" customHeight="false" outlineLevel="0" collapsed="false">
      <c r="A1091" s="6" t="s">
        <v>7752</v>
      </c>
      <c r="B1091" s="6" t="s">
        <v>5315</v>
      </c>
      <c r="C1091" s="6" t="s">
        <v>5316</v>
      </c>
      <c r="D1091" s="6" t="s">
        <v>7254</v>
      </c>
      <c r="E1091" s="6" t="s">
        <v>7737</v>
      </c>
      <c r="F1091" s="6" t="s">
        <v>7753</v>
      </c>
      <c r="G1091" s="9" t="n">
        <v>8753</v>
      </c>
      <c r="H1091" s="6" t="s">
        <v>384</v>
      </c>
      <c r="I1091" s="6" t="s">
        <v>13</v>
      </c>
      <c r="J1091" s="6" t="s">
        <v>238</v>
      </c>
      <c r="K1091" s="6" t="s">
        <v>7754</v>
      </c>
      <c r="M1091" s="6"/>
    </row>
    <row r="1092" customFormat="false" ht="15" hidden="false" customHeight="false" outlineLevel="0" collapsed="false">
      <c r="A1092" s="6" t="s">
        <v>7755</v>
      </c>
      <c r="B1092" s="6" t="s">
        <v>5320</v>
      </c>
      <c r="C1092" s="6" t="s">
        <v>5316</v>
      </c>
      <c r="D1092" s="6" t="s">
        <v>7254</v>
      </c>
      <c r="E1092" s="6" t="s">
        <v>7737</v>
      </c>
      <c r="F1092" s="6" t="s">
        <v>7756</v>
      </c>
      <c r="G1092" s="9" t="n">
        <v>27111</v>
      </c>
      <c r="H1092" s="6" t="s">
        <v>384</v>
      </c>
      <c r="I1092" s="6" t="s">
        <v>13</v>
      </c>
      <c r="J1092" s="6" t="s">
        <v>253</v>
      </c>
      <c r="K1092" s="6" t="s">
        <v>7757</v>
      </c>
      <c r="M1092" s="6"/>
    </row>
    <row r="1093" customFormat="false" ht="15" hidden="false" customHeight="false" outlineLevel="0" collapsed="false">
      <c r="A1093" s="6" t="s">
        <v>7758</v>
      </c>
      <c r="B1093" s="6" t="s">
        <v>5325</v>
      </c>
      <c r="C1093" s="6" t="s">
        <v>5316</v>
      </c>
      <c r="D1093" s="6" t="s">
        <v>7254</v>
      </c>
      <c r="E1093" s="6" t="s">
        <v>7737</v>
      </c>
      <c r="F1093" s="6" t="s">
        <v>7759</v>
      </c>
      <c r="G1093" s="9" t="n">
        <v>76354</v>
      </c>
      <c r="H1093" s="6" t="s">
        <v>384</v>
      </c>
      <c r="I1093" s="6" t="s">
        <v>13</v>
      </c>
      <c r="J1093" s="6" t="s">
        <v>261</v>
      </c>
      <c r="K1093" s="6" t="s">
        <v>7058</v>
      </c>
      <c r="M1093" s="6"/>
    </row>
    <row r="1094" customFormat="false" ht="15" hidden="false" customHeight="false" outlineLevel="0" collapsed="false">
      <c r="A1094" s="6" t="s">
        <v>7760</v>
      </c>
      <c r="B1094" s="6" t="s">
        <v>5057</v>
      </c>
      <c r="C1094" s="6" t="s">
        <v>5050</v>
      </c>
      <c r="D1094" s="6" t="s">
        <v>7254</v>
      </c>
      <c r="E1094" s="6" t="s">
        <v>7761</v>
      </c>
      <c r="F1094" s="6" t="s">
        <v>7762</v>
      </c>
      <c r="G1094" s="19" t="n">
        <v>160000</v>
      </c>
      <c r="H1094" s="6" t="s">
        <v>7357</v>
      </c>
      <c r="I1094" s="6" t="s">
        <v>13</v>
      </c>
      <c r="J1094" s="6" t="s">
        <v>218</v>
      </c>
      <c r="K1094" s="6" t="s">
        <v>7680</v>
      </c>
      <c r="M1094" s="6" t="s">
        <v>7763</v>
      </c>
    </row>
    <row r="1095" customFormat="false" ht="15" hidden="false" customHeight="false" outlineLevel="0" collapsed="false">
      <c r="A1095" s="6" t="s">
        <v>7764</v>
      </c>
      <c r="B1095" s="6" t="s">
        <v>5062</v>
      </c>
      <c r="C1095" s="6" t="s">
        <v>5050</v>
      </c>
      <c r="D1095" s="6" t="s">
        <v>7254</v>
      </c>
      <c r="E1095" s="6" t="s">
        <v>7761</v>
      </c>
      <c r="F1095" s="6" t="s">
        <v>7765</v>
      </c>
      <c r="G1095" s="19" t="n">
        <v>200000</v>
      </c>
      <c r="H1095" s="6" t="s">
        <v>7357</v>
      </c>
      <c r="I1095" s="6" t="s">
        <v>13</v>
      </c>
      <c r="J1095" s="6" t="s">
        <v>223</v>
      </c>
      <c r="K1095" s="6" t="s">
        <v>7672</v>
      </c>
      <c r="M1095" s="6" t="s">
        <v>7766</v>
      </c>
    </row>
    <row r="1096" customFormat="false" ht="15" hidden="false" customHeight="false" outlineLevel="0" collapsed="false">
      <c r="A1096" s="6" t="s">
        <v>7767</v>
      </c>
      <c r="B1096" s="6" t="s">
        <v>5067</v>
      </c>
      <c r="C1096" s="6" t="s">
        <v>5050</v>
      </c>
      <c r="D1096" s="6" t="s">
        <v>7254</v>
      </c>
      <c r="E1096" s="6" t="s">
        <v>7761</v>
      </c>
      <c r="F1096" s="6" t="s">
        <v>7768</v>
      </c>
      <c r="G1096" s="19" t="n">
        <v>230000</v>
      </c>
      <c r="H1096" s="6" t="s">
        <v>7357</v>
      </c>
      <c r="I1096" s="6" t="s">
        <v>13</v>
      </c>
      <c r="J1096" s="6" t="s">
        <v>228</v>
      </c>
      <c r="K1096" s="6" t="s">
        <v>7690</v>
      </c>
      <c r="M1096" s="6"/>
    </row>
    <row r="1097" customFormat="false" ht="15" hidden="false" customHeight="false" outlineLevel="0" collapsed="false">
      <c r="A1097" s="6" t="s">
        <v>7769</v>
      </c>
      <c r="B1097" s="6" t="s">
        <v>5072</v>
      </c>
      <c r="C1097" s="6" t="s">
        <v>5050</v>
      </c>
      <c r="D1097" s="6" t="s">
        <v>7254</v>
      </c>
      <c r="E1097" s="6" t="s">
        <v>7761</v>
      </c>
      <c r="F1097" s="6" t="s">
        <v>7770</v>
      </c>
      <c r="G1097" s="19" t="n">
        <v>230000</v>
      </c>
      <c r="H1097" s="6" t="s">
        <v>7357</v>
      </c>
      <c r="I1097" s="6" t="s">
        <v>13</v>
      </c>
      <c r="J1097" s="6" t="s">
        <v>233</v>
      </c>
      <c r="K1097" s="6" t="s">
        <v>7685</v>
      </c>
      <c r="M1097" s="6"/>
    </row>
    <row r="1098" customFormat="false" ht="15" hidden="false" customHeight="false" outlineLevel="0" collapsed="false">
      <c r="A1098" s="6" t="s">
        <v>7771</v>
      </c>
      <c r="B1098" s="6" t="s">
        <v>6032</v>
      </c>
      <c r="C1098" s="6" t="s">
        <v>4975</v>
      </c>
      <c r="D1098" s="6" t="s">
        <v>7254</v>
      </c>
      <c r="E1098" s="6" t="s">
        <v>7772</v>
      </c>
      <c r="F1098" s="6" t="s">
        <v>7773</v>
      </c>
      <c r="G1098" s="9" t="n">
        <v>1943</v>
      </c>
      <c r="H1098" s="6" t="s">
        <v>384</v>
      </c>
      <c r="I1098" s="6" t="s">
        <v>13</v>
      </c>
      <c r="J1098" s="6" t="s">
        <v>209</v>
      </c>
      <c r="K1098" s="6" t="s">
        <v>7774</v>
      </c>
      <c r="M1098" s="6" t="s">
        <v>7775</v>
      </c>
    </row>
    <row r="1099" customFormat="false" ht="15" hidden="false" customHeight="false" outlineLevel="0" collapsed="false">
      <c r="A1099" s="6" t="s">
        <v>7776</v>
      </c>
      <c r="B1099" s="6" t="s">
        <v>5203</v>
      </c>
      <c r="C1099" s="6" t="s">
        <v>4975</v>
      </c>
      <c r="D1099" s="6" t="s">
        <v>7254</v>
      </c>
      <c r="E1099" s="6" t="s">
        <v>7772</v>
      </c>
      <c r="F1099" s="6" t="s">
        <v>7773</v>
      </c>
      <c r="G1099" s="9" t="n">
        <v>3287</v>
      </c>
      <c r="H1099" s="6" t="s">
        <v>384</v>
      </c>
      <c r="I1099" s="6" t="s">
        <v>13</v>
      </c>
      <c r="J1099" s="6" t="s">
        <v>209</v>
      </c>
      <c r="K1099" s="6" t="s">
        <v>7774</v>
      </c>
      <c r="M1099" s="6" t="s">
        <v>7775</v>
      </c>
    </row>
    <row r="1100" customFormat="false" ht="15" hidden="false" customHeight="false" outlineLevel="0" collapsed="false">
      <c r="A1100" s="6" t="s">
        <v>7777</v>
      </c>
      <c r="B1100" s="6" t="s">
        <v>5102</v>
      </c>
      <c r="C1100" s="6" t="s">
        <v>4975</v>
      </c>
      <c r="D1100" s="6" t="s">
        <v>7254</v>
      </c>
      <c r="E1100" s="6" t="s">
        <v>7772</v>
      </c>
      <c r="F1100" s="6" t="s">
        <v>7773</v>
      </c>
      <c r="G1100" s="9" t="n">
        <v>4326</v>
      </c>
      <c r="H1100" s="6" t="s">
        <v>384</v>
      </c>
      <c r="I1100" s="6" t="s">
        <v>13</v>
      </c>
      <c r="J1100" s="6" t="s">
        <v>209</v>
      </c>
      <c r="K1100" s="6" t="s">
        <v>7774</v>
      </c>
      <c r="M1100" s="6" t="s">
        <v>7775</v>
      </c>
    </row>
    <row r="1101" customFormat="false" ht="15" hidden="false" customHeight="false" outlineLevel="0" collapsed="false">
      <c r="A1101" s="6" t="s">
        <v>7778</v>
      </c>
      <c r="B1101" s="6" t="s">
        <v>5062</v>
      </c>
      <c r="C1101" s="6" t="s">
        <v>5050</v>
      </c>
      <c r="D1101" s="6" t="s">
        <v>7254</v>
      </c>
      <c r="E1101" s="6" t="s">
        <v>7779</v>
      </c>
      <c r="F1101" s="6" t="s">
        <v>7780</v>
      </c>
      <c r="G1101" s="9" t="n">
        <v>64496</v>
      </c>
      <c r="H1101" s="6" t="s">
        <v>384</v>
      </c>
      <c r="I1101" s="6" t="s">
        <v>13</v>
      </c>
      <c r="J1101" s="6" t="s">
        <v>223</v>
      </c>
      <c r="K1101" s="6" t="s">
        <v>7386</v>
      </c>
      <c r="M1101" s="6"/>
    </row>
    <row r="1102" customFormat="false" ht="15" hidden="false" customHeight="false" outlineLevel="0" collapsed="false">
      <c r="A1102" s="6" t="s">
        <v>7781</v>
      </c>
      <c r="B1102" s="6" t="s">
        <v>5057</v>
      </c>
      <c r="C1102" s="6" t="s">
        <v>5050</v>
      </c>
      <c r="D1102" s="6" t="s">
        <v>7254</v>
      </c>
      <c r="E1102" s="6" t="s">
        <v>7782</v>
      </c>
      <c r="F1102" s="6" t="s">
        <v>7783</v>
      </c>
      <c r="G1102" s="9" t="n">
        <v>83488</v>
      </c>
      <c r="H1102" s="6" t="s">
        <v>384</v>
      </c>
      <c r="I1102" s="6" t="s">
        <v>13</v>
      </c>
      <c r="J1102" s="6" t="s">
        <v>218</v>
      </c>
      <c r="K1102" s="6" t="s">
        <v>7383</v>
      </c>
      <c r="M1102" s="6"/>
    </row>
    <row r="1103" customFormat="false" ht="15" hidden="false" customHeight="false" outlineLevel="0" collapsed="false">
      <c r="A1103" s="6" t="s">
        <v>7784</v>
      </c>
      <c r="B1103" s="6" t="s">
        <v>5057</v>
      </c>
      <c r="C1103" s="6" t="s">
        <v>5050</v>
      </c>
      <c r="D1103" s="6" t="s">
        <v>7254</v>
      </c>
      <c r="E1103" s="6" t="s">
        <v>7785</v>
      </c>
      <c r="F1103" s="6" t="s">
        <v>7786</v>
      </c>
      <c r="G1103" s="19" t="n">
        <v>3.6</v>
      </c>
      <c r="H1103" s="6" t="s">
        <v>5105</v>
      </c>
      <c r="I1103" s="6" t="s">
        <v>13</v>
      </c>
      <c r="J1103" s="6" t="s">
        <v>218</v>
      </c>
      <c r="K1103" s="6" t="s">
        <v>7787</v>
      </c>
      <c r="M1103" s="6"/>
    </row>
    <row r="1104" customFormat="false" ht="15" hidden="false" customHeight="false" outlineLevel="0" collapsed="false">
      <c r="A1104" s="6" t="s">
        <v>7788</v>
      </c>
      <c r="B1104" s="6" t="s">
        <v>5057</v>
      </c>
      <c r="C1104" s="6" t="s">
        <v>5050</v>
      </c>
      <c r="D1104" s="6" t="s">
        <v>7254</v>
      </c>
      <c r="E1104" s="6" t="s">
        <v>7785</v>
      </c>
      <c r="F1104" s="6" t="s">
        <v>7789</v>
      </c>
      <c r="G1104" s="19" t="n">
        <v>3.6</v>
      </c>
      <c r="H1104" s="6" t="s">
        <v>5105</v>
      </c>
      <c r="I1104" s="6" t="s">
        <v>13</v>
      </c>
      <c r="J1104" s="6" t="s">
        <v>223</v>
      </c>
      <c r="K1104" s="6" t="s">
        <v>7790</v>
      </c>
      <c r="M1104" s="6"/>
    </row>
    <row r="1105" customFormat="false" ht="15" hidden="false" customHeight="false" outlineLevel="0" collapsed="false">
      <c r="A1105" s="6" t="s">
        <v>7791</v>
      </c>
      <c r="B1105" s="6" t="s">
        <v>5062</v>
      </c>
      <c r="C1105" s="6" t="s">
        <v>5050</v>
      </c>
      <c r="D1105" s="6" t="s">
        <v>7254</v>
      </c>
      <c r="E1105" s="6" t="s">
        <v>7785</v>
      </c>
      <c r="F1105" s="6" t="s">
        <v>7789</v>
      </c>
      <c r="G1105" s="19" t="n">
        <v>3.5</v>
      </c>
      <c r="H1105" s="6" t="s">
        <v>5105</v>
      </c>
      <c r="I1105" s="6" t="s">
        <v>13</v>
      </c>
      <c r="J1105" s="6" t="s">
        <v>223</v>
      </c>
      <c r="K1105" s="6" t="s">
        <v>7790</v>
      </c>
      <c r="M1105" s="6"/>
    </row>
    <row r="1106" customFormat="false" ht="15" hidden="false" customHeight="false" outlineLevel="0" collapsed="false">
      <c r="A1106" s="6" t="s">
        <v>7792</v>
      </c>
      <c r="B1106" s="6" t="s">
        <v>5062</v>
      </c>
      <c r="C1106" s="6" t="s">
        <v>5050</v>
      </c>
      <c r="D1106" s="6" t="s">
        <v>7254</v>
      </c>
      <c r="E1106" s="6" t="s">
        <v>7785</v>
      </c>
      <c r="F1106" s="6" t="s">
        <v>7793</v>
      </c>
      <c r="G1106" s="19" t="n">
        <v>3.5</v>
      </c>
      <c r="H1106" s="6" t="s">
        <v>5105</v>
      </c>
      <c r="I1106" s="6" t="s">
        <v>13</v>
      </c>
      <c r="J1106" s="6" t="s">
        <v>228</v>
      </c>
      <c r="K1106" s="6" t="s">
        <v>7794</v>
      </c>
      <c r="M1106" s="6"/>
    </row>
    <row r="1107" customFormat="false" ht="15" hidden="false" customHeight="false" outlineLevel="0" collapsed="false">
      <c r="A1107" s="6" t="s">
        <v>7795</v>
      </c>
      <c r="B1107" s="6" t="s">
        <v>5062</v>
      </c>
      <c r="C1107" s="6" t="s">
        <v>5050</v>
      </c>
      <c r="D1107" s="6" t="s">
        <v>7254</v>
      </c>
      <c r="E1107" s="6" t="s">
        <v>7785</v>
      </c>
      <c r="F1107" s="6" t="s">
        <v>7796</v>
      </c>
      <c r="G1107" s="19" t="n">
        <v>3.5</v>
      </c>
      <c r="H1107" s="6" t="s">
        <v>5105</v>
      </c>
      <c r="I1107" s="6" t="s">
        <v>13</v>
      </c>
      <c r="J1107" s="6" t="s">
        <v>238</v>
      </c>
      <c r="K1107" s="6" t="s">
        <v>7511</v>
      </c>
      <c r="M1107" s="6"/>
    </row>
    <row r="1108" customFormat="false" ht="15" hidden="false" customHeight="false" outlineLevel="0" collapsed="false">
      <c r="A1108" s="6" t="s">
        <v>7797</v>
      </c>
      <c r="B1108" s="6" t="s">
        <v>5239</v>
      </c>
      <c r="C1108" s="6" t="s">
        <v>5050</v>
      </c>
      <c r="D1108" s="6" t="s">
        <v>7254</v>
      </c>
      <c r="E1108" s="6" t="s">
        <v>7785</v>
      </c>
      <c r="F1108" s="6" t="s">
        <v>7796</v>
      </c>
      <c r="G1108" s="19" t="n">
        <v>3.6</v>
      </c>
      <c r="H1108" s="6" t="s">
        <v>5105</v>
      </c>
      <c r="I1108" s="6" t="s">
        <v>13</v>
      </c>
      <c r="J1108" s="6" t="s">
        <v>238</v>
      </c>
      <c r="K1108" s="6" t="s">
        <v>7511</v>
      </c>
      <c r="M1108" s="6"/>
    </row>
    <row r="1109" customFormat="false" ht="15" hidden="false" customHeight="false" outlineLevel="0" collapsed="false">
      <c r="A1109" s="6" t="s">
        <v>7798</v>
      </c>
      <c r="B1109" s="6" t="s">
        <v>5067</v>
      </c>
      <c r="C1109" s="6" t="s">
        <v>5050</v>
      </c>
      <c r="D1109" s="6" t="s">
        <v>7254</v>
      </c>
      <c r="E1109" s="6" t="s">
        <v>7785</v>
      </c>
      <c r="F1109" s="6" t="s">
        <v>7793</v>
      </c>
      <c r="G1109" s="19" t="n">
        <v>4.2</v>
      </c>
      <c r="H1109" s="6" t="s">
        <v>5105</v>
      </c>
      <c r="I1109" s="6" t="s">
        <v>13</v>
      </c>
      <c r="J1109" s="6" t="s">
        <v>228</v>
      </c>
      <c r="K1109" s="6" t="s">
        <v>7794</v>
      </c>
      <c r="M1109" s="6"/>
    </row>
    <row r="1110" customFormat="false" ht="15" hidden="false" customHeight="false" outlineLevel="0" collapsed="false">
      <c r="A1110" s="6" t="s">
        <v>7799</v>
      </c>
      <c r="B1110" s="6" t="s">
        <v>5067</v>
      </c>
      <c r="C1110" s="6" t="s">
        <v>5050</v>
      </c>
      <c r="D1110" s="6" t="s">
        <v>7254</v>
      </c>
      <c r="E1110" s="6" t="s">
        <v>7785</v>
      </c>
      <c r="F1110" s="6" t="s">
        <v>7800</v>
      </c>
      <c r="G1110" s="19" t="n">
        <v>4.2</v>
      </c>
      <c r="H1110" s="6" t="s">
        <v>5105</v>
      </c>
      <c r="I1110" s="6" t="s">
        <v>13</v>
      </c>
      <c r="J1110" s="6" t="s">
        <v>233</v>
      </c>
      <c r="K1110" s="6" t="s">
        <v>7801</v>
      </c>
      <c r="M1110" s="6"/>
    </row>
    <row r="1111" customFormat="false" ht="15" hidden="false" customHeight="false" outlineLevel="0" collapsed="false">
      <c r="A1111" s="6" t="s">
        <v>7802</v>
      </c>
      <c r="B1111" s="6" t="s">
        <v>5067</v>
      </c>
      <c r="C1111" s="6" t="s">
        <v>5050</v>
      </c>
      <c r="D1111" s="6" t="s">
        <v>7254</v>
      </c>
      <c r="E1111" s="6" t="s">
        <v>7785</v>
      </c>
      <c r="F1111" s="6" t="s">
        <v>7803</v>
      </c>
      <c r="G1111" s="19" t="n">
        <v>4.2</v>
      </c>
      <c r="H1111" s="6" t="s">
        <v>5105</v>
      </c>
      <c r="I1111" s="6" t="s">
        <v>13</v>
      </c>
      <c r="J1111" s="6" t="s">
        <v>253</v>
      </c>
      <c r="K1111" s="6" t="s">
        <v>7665</v>
      </c>
      <c r="M1111" s="6"/>
    </row>
    <row r="1112" customFormat="false" ht="15" hidden="false" customHeight="false" outlineLevel="0" collapsed="false">
      <c r="A1112" s="6" t="s">
        <v>7804</v>
      </c>
      <c r="B1112" s="6" t="s">
        <v>5245</v>
      </c>
      <c r="C1112" s="6" t="s">
        <v>5050</v>
      </c>
      <c r="D1112" s="6" t="s">
        <v>7254</v>
      </c>
      <c r="E1112" s="6" t="s">
        <v>7785</v>
      </c>
      <c r="F1112" s="6" t="s">
        <v>7803</v>
      </c>
      <c r="G1112" s="19" t="n">
        <v>3.9</v>
      </c>
      <c r="H1112" s="6" t="s">
        <v>5105</v>
      </c>
      <c r="I1112" s="6" t="s">
        <v>13</v>
      </c>
      <c r="J1112" s="6" t="s">
        <v>253</v>
      </c>
      <c r="K1112" s="6" t="s">
        <v>7665</v>
      </c>
      <c r="M1112" s="6"/>
    </row>
    <row r="1113" customFormat="false" ht="15" hidden="false" customHeight="false" outlineLevel="0" collapsed="false">
      <c r="A1113" s="6" t="s">
        <v>7805</v>
      </c>
      <c r="B1113" s="6" t="s">
        <v>5072</v>
      </c>
      <c r="C1113" s="6" t="s">
        <v>5050</v>
      </c>
      <c r="D1113" s="6" t="s">
        <v>7254</v>
      </c>
      <c r="E1113" s="6" t="s">
        <v>7785</v>
      </c>
      <c r="F1113" s="6" t="s">
        <v>7800</v>
      </c>
      <c r="G1113" s="19" t="n">
        <v>4</v>
      </c>
      <c r="H1113" s="6" t="s">
        <v>5105</v>
      </c>
      <c r="I1113" s="6" t="s">
        <v>13</v>
      </c>
      <c r="J1113" s="6" t="s">
        <v>233</v>
      </c>
      <c r="K1113" s="6" t="s">
        <v>7801</v>
      </c>
      <c r="M1113" s="6"/>
    </row>
    <row r="1114" customFormat="false" ht="15" hidden="false" customHeight="false" outlineLevel="0" collapsed="false">
      <c r="A1114" s="6" t="s">
        <v>7806</v>
      </c>
      <c r="B1114" s="6" t="s">
        <v>5072</v>
      </c>
      <c r="C1114" s="6" t="s">
        <v>5050</v>
      </c>
      <c r="D1114" s="6" t="s">
        <v>7254</v>
      </c>
      <c r="E1114" s="6" t="s">
        <v>7785</v>
      </c>
      <c r="F1114" s="6" t="s">
        <v>7807</v>
      </c>
      <c r="G1114" s="19" t="n">
        <v>4</v>
      </c>
      <c r="H1114" s="6" t="s">
        <v>5105</v>
      </c>
      <c r="I1114" s="6" t="s">
        <v>13</v>
      </c>
      <c r="J1114" s="6" t="s">
        <v>261</v>
      </c>
      <c r="K1114" s="6" t="s">
        <v>7518</v>
      </c>
      <c r="M1114" s="6"/>
    </row>
    <row r="1115" customFormat="false" ht="15" hidden="false" customHeight="false" outlineLevel="0" collapsed="false">
      <c r="A1115" s="6" t="s">
        <v>7808</v>
      </c>
      <c r="B1115" s="6" t="s">
        <v>5249</v>
      </c>
      <c r="C1115" s="6" t="s">
        <v>5050</v>
      </c>
      <c r="D1115" s="6" t="s">
        <v>7254</v>
      </c>
      <c r="E1115" s="6" t="s">
        <v>7785</v>
      </c>
      <c r="F1115" s="6" t="s">
        <v>7807</v>
      </c>
      <c r="G1115" s="19" t="n">
        <v>4.14</v>
      </c>
      <c r="H1115" s="6" t="s">
        <v>5105</v>
      </c>
      <c r="I1115" s="6" t="s">
        <v>13</v>
      </c>
      <c r="J1115" s="6" t="s">
        <v>261</v>
      </c>
      <c r="K1115" s="6" t="s">
        <v>7518</v>
      </c>
      <c r="M1115" s="6"/>
    </row>
    <row r="1116" customFormat="false" ht="15" hidden="false" customHeight="false" outlineLevel="0" collapsed="false">
      <c r="A1116" s="6" t="s">
        <v>7809</v>
      </c>
      <c r="B1116" s="6" t="s">
        <v>5057</v>
      </c>
      <c r="C1116" s="6" t="s">
        <v>5050</v>
      </c>
      <c r="D1116" s="6" t="s">
        <v>7254</v>
      </c>
      <c r="E1116" s="6" t="s">
        <v>7810</v>
      </c>
      <c r="F1116" s="6" t="s">
        <v>7811</v>
      </c>
      <c r="G1116" s="19" t="n">
        <v>4.5</v>
      </c>
      <c r="H1116" s="6" t="s">
        <v>5307</v>
      </c>
      <c r="I1116" s="6" t="s">
        <v>13</v>
      </c>
      <c r="J1116" s="6" t="s">
        <v>218</v>
      </c>
      <c r="K1116" s="6" t="s">
        <v>7787</v>
      </c>
      <c r="M1116" s="6"/>
    </row>
    <row r="1117" customFormat="false" ht="15" hidden="false" customHeight="false" outlineLevel="0" collapsed="false">
      <c r="A1117" s="6" t="s">
        <v>7812</v>
      </c>
      <c r="B1117" s="6" t="s">
        <v>5057</v>
      </c>
      <c r="C1117" s="6" t="s">
        <v>5050</v>
      </c>
      <c r="D1117" s="6" t="s">
        <v>7254</v>
      </c>
      <c r="E1117" s="6" t="s">
        <v>7810</v>
      </c>
      <c r="F1117" s="6" t="s">
        <v>7813</v>
      </c>
      <c r="G1117" s="19" t="n">
        <v>4.5</v>
      </c>
      <c r="H1117" s="6" t="s">
        <v>5307</v>
      </c>
      <c r="I1117" s="6" t="s">
        <v>13</v>
      </c>
      <c r="J1117" s="6" t="s">
        <v>223</v>
      </c>
      <c r="K1117" s="6" t="s">
        <v>7790</v>
      </c>
      <c r="M1117" s="6"/>
    </row>
    <row r="1118" customFormat="false" ht="15" hidden="false" customHeight="false" outlineLevel="0" collapsed="false">
      <c r="A1118" s="6" t="s">
        <v>7814</v>
      </c>
      <c r="B1118" s="6" t="s">
        <v>5062</v>
      </c>
      <c r="C1118" s="6" t="s">
        <v>5050</v>
      </c>
      <c r="D1118" s="6" t="s">
        <v>7254</v>
      </c>
      <c r="E1118" s="6" t="s">
        <v>7810</v>
      </c>
      <c r="F1118" s="6" t="s">
        <v>7813</v>
      </c>
      <c r="G1118" s="19" t="n">
        <v>3.7</v>
      </c>
      <c r="H1118" s="6" t="s">
        <v>5307</v>
      </c>
      <c r="I1118" s="6" t="s">
        <v>13</v>
      </c>
      <c r="J1118" s="6" t="s">
        <v>223</v>
      </c>
      <c r="K1118" s="6" t="s">
        <v>7790</v>
      </c>
      <c r="M1118" s="6"/>
    </row>
    <row r="1119" customFormat="false" ht="15" hidden="false" customHeight="false" outlineLevel="0" collapsed="false">
      <c r="A1119" s="6" t="s">
        <v>7815</v>
      </c>
      <c r="B1119" s="6" t="s">
        <v>5062</v>
      </c>
      <c r="C1119" s="6" t="s">
        <v>5050</v>
      </c>
      <c r="D1119" s="6" t="s">
        <v>7254</v>
      </c>
      <c r="E1119" s="6" t="s">
        <v>7810</v>
      </c>
      <c r="F1119" s="6" t="s">
        <v>7816</v>
      </c>
      <c r="G1119" s="19" t="n">
        <v>3.7</v>
      </c>
      <c r="H1119" s="6" t="s">
        <v>5307</v>
      </c>
      <c r="I1119" s="6" t="s">
        <v>13</v>
      </c>
      <c r="J1119" s="6" t="s">
        <v>228</v>
      </c>
      <c r="K1119" s="6" t="s">
        <v>7794</v>
      </c>
      <c r="M1119" s="6"/>
    </row>
    <row r="1120" customFormat="false" ht="15" hidden="false" customHeight="false" outlineLevel="0" collapsed="false">
      <c r="A1120" s="6" t="s">
        <v>7817</v>
      </c>
      <c r="B1120" s="6" t="s">
        <v>5062</v>
      </c>
      <c r="C1120" s="6" t="s">
        <v>5050</v>
      </c>
      <c r="D1120" s="6" t="s">
        <v>7254</v>
      </c>
      <c r="E1120" s="6" t="s">
        <v>7810</v>
      </c>
      <c r="F1120" s="6" t="s">
        <v>7818</v>
      </c>
      <c r="G1120" s="19" t="n">
        <v>3.7</v>
      </c>
      <c r="H1120" s="6" t="s">
        <v>5307</v>
      </c>
      <c r="I1120" s="6" t="s">
        <v>13</v>
      </c>
      <c r="J1120" s="6" t="s">
        <v>238</v>
      </c>
      <c r="K1120" s="6" t="s">
        <v>7511</v>
      </c>
      <c r="M1120" s="6"/>
    </row>
    <row r="1121" customFormat="false" ht="15" hidden="false" customHeight="false" outlineLevel="0" collapsed="false">
      <c r="A1121" s="6" t="s">
        <v>7819</v>
      </c>
      <c r="B1121" s="6" t="s">
        <v>5239</v>
      </c>
      <c r="C1121" s="6" t="s">
        <v>5050</v>
      </c>
      <c r="D1121" s="6" t="s">
        <v>7254</v>
      </c>
      <c r="E1121" s="6" t="s">
        <v>7810</v>
      </c>
      <c r="F1121" s="6" t="s">
        <v>7818</v>
      </c>
      <c r="G1121" s="19" t="n">
        <v>3.3</v>
      </c>
      <c r="H1121" s="6" t="s">
        <v>5307</v>
      </c>
      <c r="I1121" s="6" t="s">
        <v>13</v>
      </c>
      <c r="J1121" s="6" t="s">
        <v>238</v>
      </c>
      <c r="K1121" s="6" t="s">
        <v>7511</v>
      </c>
      <c r="M1121" s="6"/>
    </row>
    <row r="1122" customFormat="false" ht="15" hidden="false" customHeight="false" outlineLevel="0" collapsed="false">
      <c r="A1122" s="6" t="s">
        <v>7820</v>
      </c>
      <c r="B1122" s="6" t="s">
        <v>5067</v>
      </c>
      <c r="C1122" s="6" t="s">
        <v>5050</v>
      </c>
      <c r="D1122" s="6" t="s">
        <v>7254</v>
      </c>
      <c r="E1122" s="6" t="s">
        <v>7810</v>
      </c>
      <c r="F1122" s="6" t="s">
        <v>7816</v>
      </c>
      <c r="G1122" s="19" t="n">
        <v>5.2</v>
      </c>
      <c r="H1122" s="6" t="s">
        <v>5307</v>
      </c>
      <c r="I1122" s="6" t="s">
        <v>13</v>
      </c>
      <c r="J1122" s="6" t="s">
        <v>228</v>
      </c>
      <c r="K1122" s="6" t="s">
        <v>7794</v>
      </c>
      <c r="M1122" s="6"/>
    </row>
    <row r="1123" customFormat="false" ht="15" hidden="false" customHeight="false" outlineLevel="0" collapsed="false">
      <c r="A1123" s="6" t="s">
        <v>7821</v>
      </c>
      <c r="B1123" s="6" t="s">
        <v>5067</v>
      </c>
      <c r="C1123" s="6" t="s">
        <v>5050</v>
      </c>
      <c r="D1123" s="6" t="s">
        <v>7254</v>
      </c>
      <c r="E1123" s="6" t="s">
        <v>7810</v>
      </c>
      <c r="F1123" s="6" t="s">
        <v>7822</v>
      </c>
      <c r="G1123" s="19" t="n">
        <v>5.2</v>
      </c>
      <c r="H1123" s="6" t="s">
        <v>5307</v>
      </c>
      <c r="I1123" s="6" t="s">
        <v>13</v>
      </c>
      <c r="J1123" s="6" t="s">
        <v>233</v>
      </c>
      <c r="K1123" s="6" t="s">
        <v>7801</v>
      </c>
      <c r="M1123" s="6"/>
    </row>
    <row r="1124" customFormat="false" ht="15" hidden="false" customHeight="false" outlineLevel="0" collapsed="false">
      <c r="A1124" s="6" t="s">
        <v>7823</v>
      </c>
      <c r="B1124" s="6" t="s">
        <v>5067</v>
      </c>
      <c r="C1124" s="6" t="s">
        <v>5050</v>
      </c>
      <c r="D1124" s="6" t="s">
        <v>7254</v>
      </c>
      <c r="E1124" s="6" t="s">
        <v>7810</v>
      </c>
      <c r="F1124" s="6" t="s">
        <v>7824</v>
      </c>
      <c r="G1124" s="19" t="n">
        <v>5.2</v>
      </c>
      <c r="H1124" s="6" t="s">
        <v>5307</v>
      </c>
      <c r="I1124" s="6" t="s">
        <v>13</v>
      </c>
      <c r="J1124" s="6" t="s">
        <v>253</v>
      </c>
      <c r="K1124" s="6" t="s">
        <v>7665</v>
      </c>
      <c r="M1124" s="6"/>
    </row>
    <row r="1125" customFormat="false" ht="15" hidden="false" customHeight="false" outlineLevel="0" collapsed="false">
      <c r="A1125" s="6" t="s">
        <v>7825</v>
      </c>
      <c r="B1125" s="6" t="s">
        <v>5245</v>
      </c>
      <c r="C1125" s="6" t="s">
        <v>5050</v>
      </c>
      <c r="D1125" s="6" t="s">
        <v>7254</v>
      </c>
      <c r="E1125" s="6" t="s">
        <v>7810</v>
      </c>
      <c r="F1125" s="6" t="s">
        <v>7824</v>
      </c>
      <c r="G1125" s="19" t="n">
        <v>5.9</v>
      </c>
      <c r="H1125" s="6" t="s">
        <v>5307</v>
      </c>
      <c r="I1125" s="6" t="s">
        <v>13</v>
      </c>
      <c r="J1125" s="6" t="s">
        <v>253</v>
      </c>
      <c r="K1125" s="6" t="s">
        <v>7665</v>
      </c>
      <c r="M1125" s="6" t="s">
        <v>7826</v>
      </c>
    </row>
    <row r="1126" customFormat="false" ht="15" hidden="false" customHeight="false" outlineLevel="0" collapsed="false">
      <c r="A1126" s="6" t="s">
        <v>7827</v>
      </c>
      <c r="B1126" s="6" t="s">
        <v>5072</v>
      </c>
      <c r="C1126" s="6" t="s">
        <v>5050</v>
      </c>
      <c r="D1126" s="6" t="s">
        <v>7254</v>
      </c>
      <c r="E1126" s="6" t="s">
        <v>7810</v>
      </c>
      <c r="F1126" s="6" t="s">
        <v>7822</v>
      </c>
      <c r="G1126" s="19" t="n">
        <v>5.8</v>
      </c>
      <c r="H1126" s="6" t="s">
        <v>5307</v>
      </c>
      <c r="I1126" s="6" t="s">
        <v>13</v>
      </c>
      <c r="J1126" s="6" t="s">
        <v>233</v>
      </c>
      <c r="K1126" s="6" t="s">
        <v>7801</v>
      </c>
      <c r="M1126" s="6"/>
    </row>
    <row r="1127" customFormat="false" ht="15" hidden="false" customHeight="false" outlineLevel="0" collapsed="false">
      <c r="A1127" s="6" t="s">
        <v>7828</v>
      </c>
      <c r="B1127" s="6" t="s">
        <v>5072</v>
      </c>
      <c r="C1127" s="6" t="s">
        <v>5050</v>
      </c>
      <c r="D1127" s="6" t="s">
        <v>7254</v>
      </c>
      <c r="E1127" s="6" t="s">
        <v>7810</v>
      </c>
      <c r="F1127" s="6" t="s">
        <v>7829</v>
      </c>
      <c r="G1127" s="19" t="n">
        <v>5.8</v>
      </c>
      <c r="H1127" s="6" t="s">
        <v>5307</v>
      </c>
      <c r="I1127" s="6" t="s">
        <v>13</v>
      </c>
      <c r="J1127" s="6" t="s">
        <v>261</v>
      </c>
      <c r="K1127" s="6" t="s">
        <v>7518</v>
      </c>
      <c r="M1127" s="6"/>
    </row>
    <row r="1128" customFormat="false" ht="15" hidden="false" customHeight="false" outlineLevel="0" collapsed="false">
      <c r="A1128" s="6" t="s">
        <v>7830</v>
      </c>
      <c r="B1128" s="6" t="s">
        <v>5249</v>
      </c>
      <c r="C1128" s="6" t="s">
        <v>5050</v>
      </c>
      <c r="D1128" s="6" t="s">
        <v>7254</v>
      </c>
      <c r="E1128" s="6" t="s">
        <v>7810</v>
      </c>
      <c r="F1128" s="6" t="s">
        <v>7829</v>
      </c>
      <c r="G1128" s="19" t="n">
        <v>7.7</v>
      </c>
      <c r="H1128" s="6" t="s">
        <v>5307</v>
      </c>
      <c r="I1128" s="6" t="s">
        <v>13</v>
      </c>
      <c r="J1128" s="6" t="s">
        <v>261</v>
      </c>
      <c r="K1128" s="6" t="s">
        <v>7518</v>
      </c>
      <c r="M1128" s="6"/>
    </row>
    <row r="1129" customFormat="false" ht="15" hidden="false" customHeight="false" outlineLevel="0" collapsed="false">
      <c r="A1129" s="6" t="s">
        <v>7831</v>
      </c>
      <c r="B1129" s="6" t="s">
        <v>5113</v>
      </c>
      <c r="C1129" s="6" t="s">
        <v>4975</v>
      </c>
      <c r="D1129" s="6" t="s">
        <v>7832</v>
      </c>
      <c r="E1129" s="6" t="s">
        <v>7833</v>
      </c>
      <c r="F1129" s="6" t="s">
        <v>7834</v>
      </c>
      <c r="G1129" s="9" t="n">
        <v>1500</v>
      </c>
      <c r="H1129" s="6" t="s">
        <v>384</v>
      </c>
      <c r="I1129" s="6" t="s">
        <v>13</v>
      </c>
      <c r="J1129" s="6" t="s">
        <v>228</v>
      </c>
      <c r="K1129" s="6" t="s">
        <v>7835</v>
      </c>
      <c r="M1129" s="6" t="s">
        <v>7836</v>
      </c>
    </row>
    <row r="1130" customFormat="false" ht="15" hidden="false" customHeight="false" outlineLevel="0" collapsed="false">
      <c r="A1130" s="6" t="s">
        <v>7837</v>
      </c>
      <c r="B1130" s="6" t="s">
        <v>7838</v>
      </c>
      <c r="C1130" s="6" t="s">
        <v>5050</v>
      </c>
      <c r="D1130" s="6" t="s">
        <v>7832</v>
      </c>
      <c r="E1130" s="6" t="s">
        <v>7839</v>
      </c>
      <c r="F1130" s="6" t="s">
        <v>7834</v>
      </c>
      <c r="G1130" s="13" t="n">
        <v>1.5</v>
      </c>
      <c r="H1130" s="6" t="s">
        <v>3751</v>
      </c>
      <c r="I1130" s="6" t="s">
        <v>13</v>
      </c>
      <c r="J1130" s="6" t="s">
        <v>233</v>
      </c>
      <c r="K1130" s="6" t="s">
        <v>7840</v>
      </c>
      <c r="M1130" s="6"/>
    </row>
    <row r="1131" customFormat="false" ht="15" hidden="false" customHeight="false" outlineLevel="0" collapsed="false">
      <c r="A1131" s="6" t="s">
        <v>7841</v>
      </c>
      <c r="B1131" s="6" t="s">
        <v>5049</v>
      </c>
      <c r="C1131" s="6" t="s">
        <v>5050</v>
      </c>
      <c r="D1131" s="6" t="s">
        <v>7832</v>
      </c>
      <c r="E1131" s="6" t="s">
        <v>7842</v>
      </c>
      <c r="F1131" s="6" t="s">
        <v>7843</v>
      </c>
      <c r="G1131" s="9" t="n">
        <v>16611</v>
      </c>
      <c r="H1131" s="6" t="s">
        <v>384</v>
      </c>
      <c r="I1131" s="6" t="s">
        <v>13</v>
      </c>
      <c r="J1131" s="6" t="s">
        <v>209</v>
      </c>
      <c r="K1131" s="6" t="s">
        <v>7844</v>
      </c>
      <c r="M1131" s="6" t="s">
        <v>7845</v>
      </c>
    </row>
    <row r="1132" customFormat="false" ht="15" hidden="false" customHeight="false" outlineLevel="0" collapsed="false">
      <c r="A1132" s="6" t="s">
        <v>7846</v>
      </c>
      <c r="B1132" s="6" t="s">
        <v>5049</v>
      </c>
      <c r="C1132" s="6" t="s">
        <v>5050</v>
      </c>
      <c r="D1132" s="6" t="s">
        <v>7832</v>
      </c>
      <c r="E1132" s="6" t="s">
        <v>7847</v>
      </c>
      <c r="F1132" s="6" t="s">
        <v>7848</v>
      </c>
      <c r="G1132" s="9" t="n">
        <v>12121</v>
      </c>
      <c r="H1132" s="6" t="s">
        <v>384</v>
      </c>
      <c r="I1132" s="6" t="s">
        <v>13</v>
      </c>
      <c r="J1132" s="6" t="s">
        <v>209</v>
      </c>
      <c r="K1132" s="6" t="s">
        <v>7844</v>
      </c>
      <c r="M1132" s="6" t="s">
        <v>7845</v>
      </c>
    </row>
    <row r="1133" customFormat="false" ht="15" hidden="false" customHeight="false" outlineLevel="0" collapsed="false">
      <c r="A1133" s="6" t="s">
        <v>7849</v>
      </c>
      <c r="B1133" s="6" t="s">
        <v>5049</v>
      </c>
      <c r="C1133" s="6" t="s">
        <v>5050</v>
      </c>
      <c r="D1133" s="6" t="s">
        <v>7832</v>
      </c>
      <c r="E1133" s="6" t="s">
        <v>7850</v>
      </c>
      <c r="F1133" s="6" t="s">
        <v>7851</v>
      </c>
      <c r="G1133" s="9" t="n">
        <v>6224</v>
      </c>
      <c r="H1133" s="6" t="s">
        <v>384</v>
      </c>
      <c r="I1133" s="6" t="s">
        <v>13</v>
      </c>
      <c r="J1133" s="6" t="s">
        <v>209</v>
      </c>
      <c r="K1133" s="6" t="s">
        <v>7844</v>
      </c>
      <c r="M1133" s="6" t="s">
        <v>7845</v>
      </c>
    </row>
    <row r="1134" customFormat="false" ht="15" hidden="false" customHeight="false" outlineLevel="0" collapsed="false">
      <c r="A1134" s="6" t="s">
        <v>7852</v>
      </c>
      <c r="B1134" s="6" t="s">
        <v>5049</v>
      </c>
      <c r="C1134" s="6" t="s">
        <v>5050</v>
      </c>
      <c r="D1134" s="6" t="s">
        <v>7832</v>
      </c>
      <c r="E1134" s="6" t="s">
        <v>7853</v>
      </c>
      <c r="F1134" s="6" t="s">
        <v>7854</v>
      </c>
      <c r="G1134" s="9" t="n">
        <v>34956</v>
      </c>
      <c r="H1134" s="6" t="s">
        <v>384</v>
      </c>
      <c r="I1134" s="6" t="s">
        <v>13</v>
      </c>
      <c r="J1134" s="6" t="s">
        <v>209</v>
      </c>
      <c r="K1134" s="6" t="s">
        <v>7844</v>
      </c>
      <c r="M1134" s="6" t="s">
        <v>7845</v>
      </c>
    </row>
    <row r="1135" customFormat="false" ht="15" hidden="false" customHeight="false" outlineLevel="0" collapsed="false">
      <c r="A1135" s="6" t="s">
        <v>7855</v>
      </c>
      <c r="B1135" s="6" t="s">
        <v>5239</v>
      </c>
      <c r="C1135" s="6" t="s">
        <v>5050</v>
      </c>
      <c r="D1135" s="6" t="s">
        <v>7832</v>
      </c>
      <c r="E1135" s="6" t="s">
        <v>7856</v>
      </c>
      <c r="F1135" s="6" t="s">
        <v>7857</v>
      </c>
      <c r="G1135" s="9" t="n">
        <v>35910</v>
      </c>
      <c r="H1135" s="6" t="s">
        <v>384</v>
      </c>
      <c r="I1135" s="6" t="s">
        <v>13</v>
      </c>
      <c r="J1135" s="6" t="s">
        <v>238</v>
      </c>
      <c r="K1135" s="6" t="s">
        <v>7858</v>
      </c>
      <c r="M1135" s="6" t="s">
        <v>7859</v>
      </c>
    </row>
    <row r="1136" customFormat="false" ht="15" hidden="false" customHeight="false" outlineLevel="0" collapsed="false">
      <c r="A1136" s="6" t="s">
        <v>7860</v>
      </c>
      <c r="B1136" s="6" t="s">
        <v>5239</v>
      </c>
      <c r="C1136" s="6" t="s">
        <v>5050</v>
      </c>
      <c r="D1136" s="6" t="s">
        <v>7832</v>
      </c>
      <c r="E1136" s="6" t="s">
        <v>7861</v>
      </c>
      <c r="F1136" s="6" t="s">
        <v>7862</v>
      </c>
      <c r="G1136" s="9" t="n">
        <v>34139</v>
      </c>
      <c r="H1136" s="6" t="s">
        <v>384</v>
      </c>
      <c r="I1136" s="6" t="s">
        <v>13</v>
      </c>
      <c r="J1136" s="6" t="s">
        <v>238</v>
      </c>
      <c r="K1136" s="6" t="s">
        <v>7858</v>
      </c>
      <c r="M1136" s="6" t="s">
        <v>7859</v>
      </c>
    </row>
    <row r="1137" customFormat="false" ht="15" hidden="false" customHeight="false" outlineLevel="0" collapsed="false">
      <c r="A1137" s="6" t="s">
        <v>7863</v>
      </c>
      <c r="B1137" s="6" t="s">
        <v>5245</v>
      </c>
      <c r="C1137" s="6" t="s">
        <v>5050</v>
      </c>
      <c r="D1137" s="6" t="s">
        <v>7832</v>
      </c>
      <c r="E1137" s="6" t="s">
        <v>7861</v>
      </c>
      <c r="F1137" s="6" t="s">
        <v>7864</v>
      </c>
      <c r="G1137" s="9" t="n">
        <v>34762</v>
      </c>
      <c r="H1137" s="6" t="s">
        <v>384</v>
      </c>
      <c r="I1137" s="6" t="s">
        <v>13</v>
      </c>
      <c r="J1137" s="6" t="s">
        <v>253</v>
      </c>
      <c r="K1137" s="6" t="s">
        <v>7865</v>
      </c>
      <c r="M1137" s="6"/>
    </row>
    <row r="1138" customFormat="false" ht="15" hidden="false" customHeight="false" outlineLevel="0" collapsed="false">
      <c r="A1138" s="6" t="s">
        <v>7866</v>
      </c>
      <c r="B1138" s="6" t="s">
        <v>5239</v>
      </c>
      <c r="C1138" s="6" t="s">
        <v>5050</v>
      </c>
      <c r="D1138" s="6" t="s">
        <v>7832</v>
      </c>
      <c r="E1138" s="6" t="s">
        <v>7867</v>
      </c>
      <c r="F1138" s="6" t="s">
        <v>7868</v>
      </c>
      <c r="G1138" s="9" t="n">
        <v>17150</v>
      </c>
      <c r="H1138" s="6" t="s">
        <v>384</v>
      </c>
      <c r="I1138" s="6" t="s">
        <v>13</v>
      </c>
      <c r="J1138" s="6" t="s">
        <v>238</v>
      </c>
      <c r="K1138" s="6" t="s">
        <v>7858</v>
      </c>
      <c r="M1138" s="6" t="s">
        <v>7859</v>
      </c>
    </row>
    <row r="1139" customFormat="false" ht="15" hidden="false" customHeight="false" outlineLevel="0" collapsed="false">
      <c r="A1139" s="6" t="s">
        <v>7869</v>
      </c>
      <c r="B1139" s="6" t="s">
        <v>5245</v>
      </c>
      <c r="C1139" s="6" t="s">
        <v>5050</v>
      </c>
      <c r="D1139" s="6" t="s">
        <v>7832</v>
      </c>
      <c r="E1139" s="6" t="s">
        <v>7867</v>
      </c>
      <c r="F1139" s="6" t="s">
        <v>7870</v>
      </c>
      <c r="G1139" s="9" t="n">
        <v>17710</v>
      </c>
      <c r="H1139" s="6" t="s">
        <v>384</v>
      </c>
      <c r="I1139" s="6" t="s">
        <v>13</v>
      </c>
      <c r="J1139" s="6" t="s">
        <v>253</v>
      </c>
      <c r="K1139" s="6" t="s">
        <v>7865</v>
      </c>
      <c r="M1139" s="6"/>
    </row>
    <row r="1140" customFormat="false" ht="15" hidden="false" customHeight="false" outlineLevel="0" collapsed="false">
      <c r="A1140" s="6" t="s">
        <v>7871</v>
      </c>
      <c r="B1140" s="6" t="s">
        <v>5249</v>
      </c>
      <c r="C1140" s="6" t="s">
        <v>5050</v>
      </c>
      <c r="D1140" s="6" t="s">
        <v>7832</v>
      </c>
      <c r="E1140" s="6" t="s">
        <v>7867</v>
      </c>
      <c r="F1140" s="6" t="s">
        <v>7872</v>
      </c>
      <c r="G1140" s="9" t="n">
        <v>28235</v>
      </c>
      <c r="H1140" s="6" t="s">
        <v>384</v>
      </c>
      <c r="I1140" s="6" t="s">
        <v>13</v>
      </c>
      <c r="J1140" s="6" t="s">
        <v>261</v>
      </c>
      <c r="K1140" s="6" t="s">
        <v>7873</v>
      </c>
      <c r="M1140" s="6" t="s">
        <v>7874</v>
      </c>
    </row>
    <row r="1141" customFormat="false" ht="15" hidden="false" customHeight="false" outlineLevel="0" collapsed="false">
      <c r="A1141" s="6" t="s">
        <v>7875</v>
      </c>
      <c r="B1141" s="6" t="s">
        <v>5245</v>
      </c>
      <c r="C1141" s="6" t="s">
        <v>5050</v>
      </c>
      <c r="D1141" s="6" t="s">
        <v>7832</v>
      </c>
      <c r="E1141" s="6" t="s">
        <v>7876</v>
      </c>
      <c r="F1141" s="6" t="s">
        <v>7877</v>
      </c>
      <c r="G1141" s="9" t="n">
        <v>0</v>
      </c>
      <c r="H1141" s="6" t="s">
        <v>384</v>
      </c>
      <c r="I1141" s="6" t="s">
        <v>13</v>
      </c>
      <c r="J1141" s="6" t="s">
        <v>253</v>
      </c>
      <c r="K1141" s="6" t="s">
        <v>7865</v>
      </c>
      <c r="M1141" s="6" t="s">
        <v>5055</v>
      </c>
    </row>
    <row r="1142" customFormat="false" ht="15" hidden="false" customHeight="false" outlineLevel="0" collapsed="false">
      <c r="A1142" s="6" t="s">
        <v>7878</v>
      </c>
      <c r="B1142" s="6" t="s">
        <v>5249</v>
      </c>
      <c r="C1142" s="6" t="s">
        <v>5050</v>
      </c>
      <c r="D1142" s="6" t="s">
        <v>7832</v>
      </c>
      <c r="E1142" s="6" t="s">
        <v>7876</v>
      </c>
      <c r="F1142" s="6" t="s">
        <v>7879</v>
      </c>
      <c r="G1142" s="9" t="n">
        <v>3966</v>
      </c>
      <c r="H1142" s="6" t="s">
        <v>384</v>
      </c>
      <c r="I1142" s="6" t="s">
        <v>13</v>
      </c>
      <c r="J1142" s="6" t="s">
        <v>261</v>
      </c>
      <c r="K1142" s="6" t="s">
        <v>7873</v>
      </c>
      <c r="M1142" s="6" t="s">
        <v>7874</v>
      </c>
    </row>
    <row r="1143" customFormat="false" ht="15" hidden="false" customHeight="false" outlineLevel="0" collapsed="false">
      <c r="A1143" s="6" t="s">
        <v>7880</v>
      </c>
      <c r="B1143" s="6" t="s">
        <v>5249</v>
      </c>
      <c r="C1143" s="6" t="s">
        <v>5050</v>
      </c>
      <c r="D1143" s="6" t="s">
        <v>7832</v>
      </c>
      <c r="E1143" s="6" t="s">
        <v>7881</v>
      </c>
      <c r="F1143" s="6" t="s">
        <v>7882</v>
      </c>
      <c r="G1143" s="9" t="n">
        <v>0</v>
      </c>
      <c r="H1143" s="6" t="s">
        <v>384</v>
      </c>
      <c r="I1143" s="6" t="s">
        <v>13</v>
      </c>
      <c r="J1143" s="6" t="s">
        <v>261</v>
      </c>
      <c r="K1143" s="6" t="s">
        <v>7873</v>
      </c>
      <c r="M1143" s="6" t="s">
        <v>7883</v>
      </c>
    </row>
    <row r="1144" customFormat="false" ht="15" hidden="false" customHeight="false" outlineLevel="0" collapsed="false">
      <c r="A1144" s="6" t="s">
        <v>7884</v>
      </c>
      <c r="B1144" s="6" t="s">
        <v>5239</v>
      </c>
      <c r="C1144" s="6" t="s">
        <v>5050</v>
      </c>
      <c r="D1144" s="6" t="s">
        <v>7832</v>
      </c>
      <c r="E1144" s="6" t="s">
        <v>7885</v>
      </c>
      <c r="F1144" s="6" t="s">
        <v>7886</v>
      </c>
      <c r="G1144" s="9" t="n">
        <v>119616</v>
      </c>
      <c r="H1144" s="6" t="s">
        <v>384</v>
      </c>
      <c r="I1144" s="6" t="s">
        <v>13</v>
      </c>
      <c r="J1144" s="6" t="s">
        <v>238</v>
      </c>
      <c r="K1144" s="6" t="s">
        <v>7858</v>
      </c>
      <c r="M1144" s="6" t="s">
        <v>7887</v>
      </c>
    </row>
    <row r="1145" customFormat="false" ht="15" hidden="false" customHeight="false" outlineLevel="0" collapsed="false">
      <c r="A1145" s="6" t="s">
        <v>7888</v>
      </c>
      <c r="B1145" s="6" t="s">
        <v>5245</v>
      </c>
      <c r="C1145" s="6" t="s">
        <v>5050</v>
      </c>
      <c r="D1145" s="6" t="s">
        <v>7832</v>
      </c>
      <c r="E1145" s="6" t="s">
        <v>7885</v>
      </c>
      <c r="F1145" s="6" t="s">
        <v>7889</v>
      </c>
      <c r="G1145" s="9" t="n">
        <v>70833</v>
      </c>
      <c r="H1145" s="6" t="s">
        <v>384</v>
      </c>
      <c r="I1145" s="6" t="s">
        <v>13</v>
      </c>
      <c r="J1145" s="6" t="s">
        <v>253</v>
      </c>
      <c r="K1145" s="6" t="s">
        <v>7865</v>
      </c>
      <c r="M1145" s="6" t="s">
        <v>5055</v>
      </c>
    </row>
    <row r="1146" customFormat="false" ht="15" hidden="false" customHeight="false" outlineLevel="0" collapsed="false">
      <c r="A1146" s="6" t="s">
        <v>7890</v>
      </c>
      <c r="B1146" s="6" t="s">
        <v>5249</v>
      </c>
      <c r="C1146" s="6" t="s">
        <v>5050</v>
      </c>
      <c r="D1146" s="6" t="s">
        <v>7832</v>
      </c>
      <c r="E1146" s="6" t="s">
        <v>7885</v>
      </c>
      <c r="F1146" s="6" t="s">
        <v>7891</v>
      </c>
      <c r="G1146" s="9" t="n">
        <v>68856</v>
      </c>
      <c r="H1146" s="6" t="s">
        <v>384</v>
      </c>
      <c r="I1146" s="6" t="s">
        <v>13</v>
      </c>
      <c r="J1146" s="6" t="s">
        <v>261</v>
      </c>
      <c r="K1146" s="6" t="s">
        <v>7873</v>
      </c>
      <c r="M1146" s="6" t="s">
        <v>7883</v>
      </c>
    </row>
    <row r="1147" customFormat="false" ht="15" hidden="false" customHeight="false" outlineLevel="0" collapsed="false">
      <c r="A1147" s="6" t="s">
        <v>7892</v>
      </c>
      <c r="B1147" s="6" t="s">
        <v>5239</v>
      </c>
      <c r="C1147" s="6" t="s">
        <v>5050</v>
      </c>
      <c r="D1147" s="6" t="s">
        <v>7832</v>
      </c>
      <c r="E1147" s="6" t="s">
        <v>7893</v>
      </c>
      <c r="F1147" s="6" t="s">
        <v>7894</v>
      </c>
      <c r="G1147" s="9" t="n">
        <v>32417</v>
      </c>
      <c r="H1147" s="6" t="s">
        <v>384</v>
      </c>
      <c r="I1147" s="6" t="s">
        <v>13</v>
      </c>
      <c r="J1147" s="6" t="s">
        <v>238</v>
      </c>
      <c r="K1147" s="6" t="s">
        <v>7858</v>
      </c>
      <c r="M1147" s="6" t="s">
        <v>7887</v>
      </c>
    </row>
    <row r="1148" customFormat="false" ht="15" hidden="false" customHeight="false" outlineLevel="0" collapsed="false">
      <c r="A1148" s="6" t="s">
        <v>7895</v>
      </c>
      <c r="B1148" s="6" t="s">
        <v>5245</v>
      </c>
      <c r="C1148" s="6" t="s">
        <v>5050</v>
      </c>
      <c r="D1148" s="6" t="s">
        <v>7832</v>
      </c>
      <c r="E1148" s="6" t="s">
        <v>7896</v>
      </c>
      <c r="F1148" s="6" t="s">
        <v>7897</v>
      </c>
      <c r="G1148" s="9" t="n">
        <v>18361</v>
      </c>
      <c r="H1148" s="6" t="s">
        <v>384</v>
      </c>
      <c r="I1148" s="6" t="s">
        <v>13</v>
      </c>
      <c r="J1148" s="6" t="s">
        <v>253</v>
      </c>
      <c r="K1148" s="6" t="s">
        <v>7865</v>
      </c>
      <c r="M1148" s="6" t="s">
        <v>5055</v>
      </c>
    </row>
    <row r="1149" customFormat="false" ht="15" hidden="false" customHeight="false" outlineLevel="0" collapsed="false">
      <c r="A1149" s="6" t="s">
        <v>7898</v>
      </c>
      <c r="B1149" s="6" t="s">
        <v>5249</v>
      </c>
      <c r="C1149" s="6" t="s">
        <v>5050</v>
      </c>
      <c r="D1149" s="6" t="s">
        <v>7832</v>
      </c>
      <c r="E1149" s="6" t="s">
        <v>7899</v>
      </c>
      <c r="F1149" s="6" t="s">
        <v>7900</v>
      </c>
      <c r="G1149" s="9" t="n">
        <v>36655</v>
      </c>
      <c r="H1149" s="6" t="s">
        <v>384</v>
      </c>
      <c r="I1149" s="6" t="s">
        <v>13</v>
      </c>
      <c r="J1149" s="6" t="s">
        <v>261</v>
      </c>
      <c r="K1149" s="6" t="s">
        <v>7873</v>
      </c>
      <c r="M1149" s="6" t="s">
        <v>7883</v>
      </c>
    </row>
    <row r="1150" customFormat="false" ht="15" hidden="false" customHeight="false" outlineLevel="0" collapsed="false">
      <c r="A1150" s="6" t="s">
        <v>7901</v>
      </c>
      <c r="B1150" s="6" t="s">
        <v>5072</v>
      </c>
      <c r="C1150" s="6" t="s">
        <v>5050</v>
      </c>
      <c r="D1150" s="6" t="s">
        <v>7832</v>
      </c>
      <c r="E1150" s="6" t="s">
        <v>7902</v>
      </c>
      <c r="F1150" s="6" t="s">
        <v>7903</v>
      </c>
      <c r="G1150" s="9" t="n">
        <v>55729</v>
      </c>
      <c r="H1150" s="6" t="s">
        <v>384</v>
      </c>
      <c r="I1150" s="6" t="s">
        <v>13</v>
      </c>
      <c r="J1150" s="6" t="s">
        <v>233</v>
      </c>
      <c r="K1150" s="6" t="s">
        <v>7531</v>
      </c>
      <c r="M1150" s="6" t="s">
        <v>7904</v>
      </c>
    </row>
    <row r="1151" customFormat="false" ht="15" hidden="false" customHeight="false" outlineLevel="0" collapsed="false">
      <c r="A1151" s="6" t="s">
        <v>7905</v>
      </c>
      <c r="B1151" s="6" t="s">
        <v>5072</v>
      </c>
      <c r="C1151" s="6" t="s">
        <v>5050</v>
      </c>
      <c r="D1151" s="6" t="s">
        <v>7832</v>
      </c>
      <c r="E1151" s="6" t="s">
        <v>7906</v>
      </c>
      <c r="F1151" s="6" t="s">
        <v>7903</v>
      </c>
      <c r="G1151" s="9" t="n">
        <v>17468</v>
      </c>
      <c r="H1151" s="6" t="s">
        <v>384</v>
      </c>
      <c r="I1151" s="6" t="s">
        <v>13</v>
      </c>
      <c r="J1151" s="6" t="s">
        <v>233</v>
      </c>
      <c r="K1151" s="6" t="s">
        <v>7531</v>
      </c>
      <c r="M1151" s="6" t="s">
        <v>7904</v>
      </c>
    </row>
    <row r="1152" customFormat="false" ht="15" hidden="false" customHeight="false" outlineLevel="0" collapsed="false">
      <c r="A1152" s="6" t="s">
        <v>7907</v>
      </c>
      <c r="B1152" s="6" t="s">
        <v>5072</v>
      </c>
      <c r="C1152" s="6" t="s">
        <v>5050</v>
      </c>
      <c r="D1152" s="6" t="s">
        <v>7832</v>
      </c>
      <c r="E1152" s="6" t="s">
        <v>7908</v>
      </c>
      <c r="F1152" s="6" t="s">
        <v>7903</v>
      </c>
      <c r="G1152" s="9" t="n">
        <v>0</v>
      </c>
      <c r="H1152" s="6" t="s">
        <v>384</v>
      </c>
      <c r="I1152" s="6" t="s">
        <v>13</v>
      </c>
      <c r="J1152" s="6" t="s">
        <v>233</v>
      </c>
      <c r="K1152" s="6" t="s">
        <v>7531</v>
      </c>
      <c r="M1152" s="6" t="s">
        <v>7904</v>
      </c>
    </row>
    <row r="1153" customFormat="false" ht="15" hidden="false" customHeight="false" outlineLevel="0" collapsed="false">
      <c r="A1153" s="6" t="s">
        <v>7909</v>
      </c>
      <c r="B1153" s="6" t="s">
        <v>5072</v>
      </c>
      <c r="C1153" s="6" t="s">
        <v>5050</v>
      </c>
      <c r="D1153" s="6" t="s">
        <v>7832</v>
      </c>
      <c r="E1153" s="6" t="s">
        <v>7910</v>
      </c>
      <c r="F1153" s="6" t="s">
        <v>7903</v>
      </c>
      <c r="G1153" s="9" t="n">
        <v>73197</v>
      </c>
      <c r="H1153" s="6" t="s">
        <v>384</v>
      </c>
      <c r="I1153" s="6" t="s">
        <v>13</v>
      </c>
      <c r="J1153" s="6" t="s">
        <v>233</v>
      </c>
      <c r="K1153" s="6" t="s">
        <v>7531</v>
      </c>
      <c r="M1153" s="6" t="s">
        <v>7904</v>
      </c>
    </row>
    <row r="1154" customFormat="false" ht="15" hidden="false" customHeight="false" outlineLevel="0" collapsed="false">
      <c r="A1154" s="6" t="s">
        <v>7911</v>
      </c>
      <c r="B1154" s="6" t="s">
        <v>5067</v>
      </c>
      <c r="C1154" s="6" t="s">
        <v>5050</v>
      </c>
      <c r="D1154" s="6" t="s">
        <v>7832</v>
      </c>
      <c r="E1154" s="6" t="s">
        <v>7912</v>
      </c>
      <c r="F1154" s="6" t="s">
        <v>7913</v>
      </c>
      <c r="G1154" s="9" t="n">
        <v>58825</v>
      </c>
      <c r="H1154" s="6" t="s">
        <v>384</v>
      </c>
      <c r="I1154" s="6" t="s">
        <v>13</v>
      </c>
      <c r="J1154" s="6" t="s">
        <v>228</v>
      </c>
      <c r="K1154" s="6" t="s">
        <v>7570</v>
      </c>
      <c r="M1154" s="6" t="s">
        <v>7914</v>
      </c>
    </row>
    <row r="1155" customFormat="false" ht="15" hidden="false" customHeight="false" outlineLevel="0" collapsed="false">
      <c r="A1155" s="6" t="s">
        <v>7915</v>
      </c>
      <c r="B1155" s="6" t="s">
        <v>5067</v>
      </c>
      <c r="C1155" s="6" t="s">
        <v>5050</v>
      </c>
      <c r="D1155" s="6" t="s">
        <v>7832</v>
      </c>
      <c r="E1155" s="6" t="s">
        <v>7916</v>
      </c>
      <c r="F1155" s="6" t="s">
        <v>7917</v>
      </c>
      <c r="G1155" s="9" t="n">
        <v>36541</v>
      </c>
      <c r="H1155" s="6" t="s">
        <v>384</v>
      </c>
      <c r="I1155" s="6" t="s">
        <v>13</v>
      </c>
      <c r="J1155" s="6" t="s">
        <v>228</v>
      </c>
      <c r="K1155" s="6" t="s">
        <v>7570</v>
      </c>
      <c r="M1155" s="6" t="s">
        <v>7914</v>
      </c>
    </row>
    <row r="1156" customFormat="false" ht="15" hidden="false" customHeight="false" outlineLevel="0" collapsed="false">
      <c r="A1156" s="6" t="s">
        <v>7918</v>
      </c>
      <c r="B1156" s="6" t="s">
        <v>5067</v>
      </c>
      <c r="C1156" s="6" t="s">
        <v>5050</v>
      </c>
      <c r="D1156" s="6" t="s">
        <v>7832</v>
      </c>
      <c r="E1156" s="6" t="s">
        <v>7919</v>
      </c>
      <c r="F1156" s="6" t="s">
        <v>7920</v>
      </c>
      <c r="G1156" s="9" t="n">
        <v>17942</v>
      </c>
      <c r="H1156" s="6" t="s">
        <v>384</v>
      </c>
      <c r="I1156" s="6" t="s">
        <v>13</v>
      </c>
      <c r="J1156" s="6" t="s">
        <v>228</v>
      </c>
      <c r="K1156" s="6" t="s">
        <v>7570</v>
      </c>
      <c r="M1156" s="6" t="s">
        <v>7914</v>
      </c>
    </row>
    <row r="1157" customFormat="false" ht="15" hidden="false" customHeight="false" outlineLevel="0" collapsed="false">
      <c r="A1157" s="6" t="s">
        <v>7921</v>
      </c>
      <c r="B1157" s="6" t="s">
        <v>5067</v>
      </c>
      <c r="C1157" s="6" t="s">
        <v>5050</v>
      </c>
      <c r="D1157" s="6" t="s">
        <v>7832</v>
      </c>
      <c r="E1157" s="6" t="s">
        <v>7922</v>
      </c>
      <c r="F1157" s="6" t="s">
        <v>7923</v>
      </c>
      <c r="G1157" s="9" t="n">
        <v>113308</v>
      </c>
      <c r="H1157" s="6" t="s">
        <v>384</v>
      </c>
      <c r="I1157" s="6" t="s">
        <v>13</v>
      </c>
      <c r="J1157" s="6" t="s">
        <v>228</v>
      </c>
      <c r="K1157" s="6" t="s">
        <v>7570</v>
      </c>
      <c r="M1157" s="6" t="s">
        <v>7914</v>
      </c>
    </row>
    <row r="1158" customFormat="false" ht="15" hidden="false" customHeight="false" outlineLevel="0" collapsed="false">
      <c r="A1158" s="6" t="s">
        <v>7924</v>
      </c>
      <c r="B1158" s="6" t="s">
        <v>5074</v>
      </c>
      <c r="C1158" s="6" t="s">
        <v>4975</v>
      </c>
      <c r="D1158" s="6" t="s">
        <v>7832</v>
      </c>
      <c r="E1158" s="6" t="s">
        <v>7925</v>
      </c>
      <c r="F1158" s="6" t="s">
        <v>7926</v>
      </c>
      <c r="G1158" s="9" t="n">
        <v>15185</v>
      </c>
      <c r="H1158" s="6" t="s">
        <v>384</v>
      </c>
      <c r="I1158" s="6" t="s">
        <v>13</v>
      </c>
      <c r="J1158" s="6" t="s">
        <v>218</v>
      </c>
      <c r="K1158" s="6" t="s">
        <v>7927</v>
      </c>
      <c r="M1158" s="6" t="s">
        <v>7928</v>
      </c>
    </row>
    <row r="1159" customFormat="false" ht="15" hidden="false" customHeight="false" outlineLevel="0" collapsed="false">
      <c r="A1159" s="6" t="s">
        <v>7929</v>
      </c>
      <c r="B1159" s="6" t="s">
        <v>5113</v>
      </c>
      <c r="C1159" s="6" t="s">
        <v>4975</v>
      </c>
      <c r="D1159" s="6" t="s">
        <v>7832</v>
      </c>
      <c r="E1159" s="6" t="s">
        <v>7925</v>
      </c>
      <c r="F1159" s="6" t="s">
        <v>7930</v>
      </c>
      <c r="G1159" s="9" t="n">
        <v>7211</v>
      </c>
      <c r="H1159" s="6" t="s">
        <v>384</v>
      </c>
      <c r="I1159" s="6" t="s">
        <v>13</v>
      </c>
      <c r="J1159" s="6" t="s">
        <v>218</v>
      </c>
      <c r="K1159" s="6" t="s">
        <v>7927</v>
      </c>
      <c r="M1159" s="6" t="s">
        <v>7928</v>
      </c>
    </row>
    <row r="1160" customFormat="false" ht="15" hidden="false" customHeight="false" outlineLevel="0" collapsed="false">
      <c r="A1160" s="6" t="s">
        <v>7931</v>
      </c>
      <c r="B1160" s="6" t="s">
        <v>5079</v>
      </c>
      <c r="C1160" s="6" t="s">
        <v>4975</v>
      </c>
      <c r="D1160" s="6" t="s">
        <v>7832</v>
      </c>
      <c r="E1160" s="6" t="s">
        <v>7925</v>
      </c>
      <c r="F1160" s="6" t="s">
        <v>7932</v>
      </c>
      <c r="G1160" s="9" t="n">
        <v>820</v>
      </c>
      <c r="H1160" s="6" t="s">
        <v>384</v>
      </c>
      <c r="I1160" s="6" t="s">
        <v>13</v>
      </c>
      <c r="J1160" s="6" t="s">
        <v>218</v>
      </c>
      <c r="K1160" s="6" t="s">
        <v>7927</v>
      </c>
      <c r="M1160" s="6" t="s">
        <v>7933</v>
      </c>
    </row>
    <row r="1161" customFormat="false" ht="15" hidden="false" customHeight="false" outlineLevel="0" collapsed="false">
      <c r="A1161" s="6" t="s">
        <v>7934</v>
      </c>
      <c r="B1161" s="6" t="s">
        <v>5062</v>
      </c>
      <c r="C1161" s="6" t="s">
        <v>5050</v>
      </c>
      <c r="D1161" s="6" t="s">
        <v>7832</v>
      </c>
      <c r="E1161" s="6" t="s">
        <v>7935</v>
      </c>
      <c r="F1161" s="6" t="s">
        <v>7936</v>
      </c>
      <c r="G1161" s="9" t="n">
        <v>15105</v>
      </c>
      <c r="H1161" s="6" t="s">
        <v>384</v>
      </c>
      <c r="I1161" s="6" t="s">
        <v>13</v>
      </c>
      <c r="J1161" s="6" t="s">
        <v>223</v>
      </c>
      <c r="K1161" s="6" t="s">
        <v>7559</v>
      </c>
      <c r="M1161" s="6" t="s">
        <v>7937</v>
      </c>
    </row>
    <row r="1162" customFormat="false" ht="15" hidden="false" customHeight="false" outlineLevel="0" collapsed="false">
      <c r="A1162" s="6" t="s">
        <v>7938</v>
      </c>
      <c r="B1162" s="6" t="s">
        <v>5062</v>
      </c>
      <c r="C1162" s="6" t="s">
        <v>5050</v>
      </c>
      <c r="D1162" s="6" t="s">
        <v>7832</v>
      </c>
      <c r="E1162" s="6" t="s">
        <v>7939</v>
      </c>
      <c r="F1162" s="6" t="s">
        <v>7940</v>
      </c>
      <c r="G1162" s="9" t="n">
        <v>1564</v>
      </c>
      <c r="H1162" s="6" t="s">
        <v>384</v>
      </c>
      <c r="I1162" s="6" t="s">
        <v>13</v>
      </c>
      <c r="J1162" s="6" t="s">
        <v>223</v>
      </c>
      <c r="K1162" s="6" t="s">
        <v>7559</v>
      </c>
      <c r="M1162" s="6" t="s">
        <v>7937</v>
      </c>
    </row>
    <row r="1163" customFormat="false" ht="15" hidden="false" customHeight="false" outlineLevel="0" collapsed="false">
      <c r="A1163" s="6" t="s">
        <v>7941</v>
      </c>
      <c r="B1163" s="6" t="s">
        <v>5062</v>
      </c>
      <c r="C1163" s="6" t="s">
        <v>5050</v>
      </c>
      <c r="D1163" s="6" t="s">
        <v>7832</v>
      </c>
      <c r="E1163" s="6" t="s">
        <v>7942</v>
      </c>
      <c r="F1163" s="6" t="s">
        <v>7943</v>
      </c>
      <c r="G1163" s="9" t="n">
        <v>143</v>
      </c>
      <c r="H1163" s="6" t="s">
        <v>384</v>
      </c>
      <c r="I1163" s="6" t="s">
        <v>13</v>
      </c>
      <c r="J1163" s="6" t="s">
        <v>223</v>
      </c>
      <c r="K1163" s="6" t="s">
        <v>7559</v>
      </c>
      <c r="M1163" s="6" t="s">
        <v>7944</v>
      </c>
    </row>
    <row r="1164" customFormat="false" ht="15" hidden="false" customHeight="false" outlineLevel="0" collapsed="false">
      <c r="A1164" s="6" t="s">
        <v>7945</v>
      </c>
      <c r="B1164" s="6" t="s">
        <v>5062</v>
      </c>
      <c r="C1164" s="6" t="s">
        <v>5050</v>
      </c>
      <c r="D1164" s="6" t="s">
        <v>7832</v>
      </c>
      <c r="E1164" s="6" t="s">
        <v>7946</v>
      </c>
      <c r="F1164" s="6" t="s">
        <v>7947</v>
      </c>
      <c r="G1164" s="9" t="n">
        <v>16812</v>
      </c>
      <c r="H1164" s="6" t="s">
        <v>384</v>
      </c>
      <c r="I1164" s="6" t="s">
        <v>13</v>
      </c>
      <c r="J1164" s="6" t="s">
        <v>223</v>
      </c>
      <c r="K1164" s="6" t="s">
        <v>7559</v>
      </c>
      <c r="M1164" s="6" t="s">
        <v>7937</v>
      </c>
    </row>
    <row r="1165" customFormat="false" ht="15" hidden="false" customHeight="false" outlineLevel="0" collapsed="false">
      <c r="A1165" s="6" t="s">
        <v>7948</v>
      </c>
      <c r="B1165" s="6" t="s">
        <v>5057</v>
      </c>
      <c r="C1165" s="6" t="s">
        <v>5050</v>
      </c>
      <c r="D1165" s="6" t="s">
        <v>7832</v>
      </c>
      <c r="E1165" s="6" t="s">
        <v>7949</v>
      </c>
      <c r="F1165" s="6" t="s">
        <v>7950</v>
      </c>
      <c r="G1165" s="9" t="n">
        <v>23216</v>
      </c>
      <c r="H1165" s="6" t="s">
        <v>384</v>
      </c>
      <c r="I1165" s="6" t="s">
        <v>13</v>
      </c>
      <c r="J1165" s="6" t="s">
        <v>218</v>
      </c>
      <c r="K1165" s="6" t="s">
        <v>7927</v>
      </c>
      <c r="M1165" s="6" t="s">
        <v>7951</v>
      </c>
    </row>
    <row r="1166" customFormat="false" ht="15" hidden="false" customHeight="false" outlineLevel="0" collapsed="false">
      <c r="A1166" s="6" t="s">
        <v>7952</v>
      </c>
      <c r="B1166" s="6" t="s">
        <v>5249</v>
      </c>
      <c r="C1166" s="6" t="s">
        <v>5050</v>
      </c>
      <c r="D1166" s="6" t="s">
        <v>7832</v>
      </c>
      <c r="E1166" s="6" t="s">
        <v>7953</v>
      </c>
      <c r="F1166" s="6" t="s">
        <v>7954</v>
      </c>
      <c r="G1166" s="13" t="n">
        <v>62.9</v>
      </c>
      <c r="H1166" s="6" t="s">
        <v>3751</v>
      </c>
      <c r="I1166" s="6" t="s">
        <v>13</v>
      </c>
      <c r="J1166" s="6" t="s">
        <v>265</v>
      </c>
      <c r="K1166" s="6" t="s">
        <v>7955</v>
      </c>
      <c r="M1166" s="6" t="s">
        <v>7956</v>
      </c>
    </row>
    <row r="1167" customFormat="false" ht="15" hidden="false" customHeight="false" outlineLevel="0" collapsed="false">
      <c r="A1167" s="6" t="s">
        <v>7957</v>
      </c>
      <c r="B1167" s="6" t="s">
        <v>5320</v>
      </c>
      <c r="C1167" s="6" t="s">
        <v>5316</v>
      </c>
      <c r="D1167" s="6" t="s">
        <v>7958</v>
      </c>
      <c r="E1167" s="6" t="s">
        <v>7959</v>
      </c>
      <c r="F1167" s="6" t="s">
        <v>7960</v>
      </c>
      <c r="G1167" s="9" t="n">
        <v>1313</v>
      </c>
      <c r="H1167" s="6" t="s">
        <v>384</v>
      </c>
      <c r="I1167" s="6" t="s">
        <v>13</v>
      </c>
      <c r="J1167" s="6" t="s">
        <v>253</v>
      </c>
      <c r="K1167" s="6" t="s">
        <v>7961</v>
      </c>
      <c r="M1167" s="6"/>
    </row>
    <row r="1168" customFormat="false" ht="15" hidden="false" customHeight="false" outlineLevel="0" collapsed="false">
      <c r="A1168" s="6" t="s">
        <v>7962</v>
      </c>
      <c r="B1168" s="6" t="s">
        <v>5049</v>
      </c>
      <c r="C1168" s="6" t="s">
        <v>5050</v>
      </c>
      <c r="D1168" s="6" t="s">
        <v>7958</v>
      </c>
      <c r="E1168" s="6" t="s">
        <v>7963</v>
      </c>
      <c r="F1168" s="6" t="s">
        <v>7964</v>
      </c>
      <c r="G1168" s="13" t="n">
        <v>445.7</v>
      </c>
      <c r="H1168" s="6" t="s">
        <v>3751</v>
      </c>
      <c r="I1168" s="6" t="s">
        <v>13</v>
      </c>
      <c r="J1168" s="6" t="s">
        <v>218</v>
      </c>
      <c r="K1168" s="6" t="s">
        <v>6080</v>
      </c>
      <c r="M1168" s="6"/>
    </row>
    <row r="1169" customFormat="false" ht="15" hidden="false" customHeight="false" outlineLevel="0" collapsed="false">
      <c r="A1169" s="6" t="s">
        <v>7965</v>
      </c>
      <c r="B1169" s="6" t="s">
        <v>5057</v>
      </c>
      <c r="C1169" s="6" t="s">
        <v>5050</v>
      </c>
      <c r="D1169" s="6" t="s">
        <v>7958</v>
      </c>
      <c r="E1169" s="6" t="s">
        <v>7963</v>
      </c>
      <c r="F1169" s="6" t="s">
        <v>7964</v>
      </c>
      <c r="G1169" s="13" t="n">
        <v>582.5</v>
      </c>
      <c r="H1169" s="6" t="s">
        <v>3751</v>
      </c>
      <c r="I1169" s="6" t="s">
        <v>13</v>
      </c>
      <c r="J1169" s="6" t="s">
        <v>218</v>
      </c>
      <c r="K1169" s="6" t="s">
        <v>6080</v>
      </c>
      <c r="M1169" s="6"/>
    </row>
    <row r="1170" customFormat="false" ht="15" hidden="false" customHeight="false" outlineLevel="0" collapsed="false">
      <c r="A1170" s="6" t="s">
        <v>7966</v>
      </c>
      <c r="B1170" s="6" t="s">
        <v>5062</v>
      </c>
      <c r="C1170" s="6" t="s">
        <v>5050</v>
      </c>
      <c r="D1170" s="6" t="s">
        <v>7958</v>
      </c>
      <c r="E1170" s="6" t="s">
        <v>7963</v>
      </c>
      <c r="F1170" s="6" t="s">
        <v>7967</v>
      </c>
      <c r="G1170" s="13" t="n">
        <v>584.4</v>
      </c>
      <c r="H1170" s="6" t="s">
        <v>3751</v>
      </c>
      <c r="I1170" s="6" t="s">
        <v>13</v>
      </c>
      <c r="J1170" s="6" t="s">
        <v>223</v>
      </c>
      <c r="K1170" s="6" t="s">
        <v>6096</v>
      </c>
      <c r="M1170" s="6"/>
    </row>
    <row r="1171" customFormat="false" ht="15" hidden="false" customHeight="false" outlineLevel="0" collapsed="false">
      <c r="A1171" s="6" t="s">
        <v>7968</v>
      </c>
      <c r="B1171" s="6" t="s">
        <v>5062</v>
      </c>
      <c r="C1171" s="6" t="s">
        <v>5050</v>
      </c>
      <c r="D1171" s="6" t="s">
        <v>7958</v>
      </c>
      <c r="E1171" s="6" t="s">
        <v>7963</v>
      </c>
      <c r="F1171" s="6" t="s">
        <v>7969</v>
      </c>
      <c r="G1171" s="9" t="n">
        <v>-584404</v>
      </c>
      <c r="H1171" s="6" t="s">
        <v>384</v>
      </c>
      <c r="I1171" s="6" t="s">
        <v>13</v>
      </c>
      <c r="J1171" s="6" t="s">
        <v>228</v>
      </c>
      <c r="K1171" s="6" t="s">
        <v>6075</v>
      </c>
      <c r="M1171" s="6"/>
    </row>
    <row r="1172" customFormat="false" ht="15" hidden="false" customHeight="false" outlineLevel="0" collapsed="false">
      <c r="A1172" s="6" t="s">
        <v>7970</v>
      </c>
      <c r="B1172" s="6" t="s">
        <v>5067</v>
      </c>
      <c r="C1172" s="6" t="s">
        <v>5050</v>
      </c>
      <c r="D1172" s="6" t="s">
        <v>7958</v>
      </c>
      <c r="E1172" s="6" t="s">
        <v>7963</v>
      </c>
      <c r="F1172" s="6" t="s">
        <v>7969</v>
      </c>
      <c r="G1172" s="9" t="n">
        <v>-552032</v>
      </c>
      <c r="H1172" s="6" t="s">
        <v>384</v>
      </c>
      <c r="I1172" s="6" t="s">
        <v>13</v>
      </c>
      <c r="J1172" s="6" t="s">
        <v>228</v>
      </c>
      <c r="K1172" s="6" t="s">
        <v>6075</v>
      </c>
      <c r="M1172" s="6"/>
    </row>
    <row r="1173" customFormat="false" ht="15" hidden="false" customHeight="false" outlineLevel="0" collapsed="false">
      <c r="A1173" s="6" t="s">
        <v>7971</v>
      </c>
      <c r="B1173" s="6" t="s">
        <v>5067</v>
      </c>
      <c r="C1173" s="6" t="s">
        <v>5050</v>
      </c>
      <c r="D1173" s="6" t="s">
        <v>7958</v>
      </c>
      <c r="E1173" s="6" t="s">
        <v>7963</v>
      </c>
      <c r="F1173" s="6" t="s">
        <v>7972</v>
      </c>
      <c r="G1173" s="9" t="n">
        <v>-552032</v>
      </c>
      <c r="H1173" s="6" t="s">
        <v>384</v>
      </c>
      <c r="I1173" s="6" t="s">
        <v>13</v>
      </c>
      <c r="J1173" s="6" t="s">
        <v>233</v>
      </c>
      <c r="K1173" s="6" t="s">
        <v>6116</v>
      </c>
      <c r="M1173" s="6"/>
    </row>
    <row r="1174" customFormat="false" ht="15" hidden="false" customHeight="false" outlineLevel="0" collapsed="false">
      <c r="A1174" s="6" t="s">
        <v>7973</v>
      </c>
      <c r="B1174" s="6" t="s">
        <v>5072</v>
      </c>
      <c r="C1174" s="6" t="s">
        <v>5050</v>
      </c>
      <c r="D1174" s="6" t="s">
        <v>7958</v>
      </c>
      <c r="E1174" s="6" t="s">
        <v>7963</v>
      </c>
      <c r="F1174" s="6" t="s">
        <v>7972</v>
      </c>
      <c r="G1174" s="9" t="n">
        <v>-433290</v>
      </c>
      <c r="H1174" s="6" t="s">
        <v>384</v>
      </c>
      <c r="I1174" s="6" t="s">
        <v>13</v>
      </c>
      <c r="J1174" s="6" t="s">
        <v>233</v>
      </c>
      <c r="K1174" s="6" t="s">
        <v>6116</v>
      </c>
      <c r="M1174" s="6"/>
    </row>
    <row r="1175" customFormat="false" ht="15" hidden="false" customHeight="false" outlineLevel="0" collapsed="false">
      <c r="A1175" s="6" t="s">
        <v>7974</v>
      </c>
      <c r="B1175" s="6" t="s">
        <v>5325</v>
      </c>
      <c r="C1175" s="6" t="s">
        <v>5316</v>
      </c>
      <c r="D1175" s="6" t="s">
        <v>7958</v>
      </c>
      <c r="E1175" s="6" t="s">
        <v>7975</v>
      </c>
      <c r="F1175" s="6" t="s">
        <v>7976</v>
      </c>
      <c r="G1175" s="9" t="n">
        <v>13200</v>
      </c>
      <c r="H1175" s="6" t="s">
        <v>384</v>
      </c>
      <c r="I1175" s="6" t="s">
        <v>13</v>
      </c>
      <c r="J1175" s="6" t="s">
        <v>261</v>
      </c>
      <c r="K1175" s="6" t="s">
        <v>6109</v>
      </c>
      <c r="M1175" s="6" t="s">
        <v>7200</v>
      </c>
    </row>
    <row r="1176" customFormat="false" ht="15" hidden="false" customHeight="false" outlineLevel="0" collapsed="false">
      <c r="A1176" s="6" t="s">
        <v>7977</v>
      </c>
      <c r="B1176" s="6" t="s">
        <v>6032</v>
      </c>
      <c r="C1176" s="6" t="s">
        <v>4975</v>
      </c>
      <c r="D1176" s="6" t="s">
        <v>7958</v>
      </c>
      <c r="E1176" s="6" t="s">
        <v>4887</v>
      </c>
      <c r="F1176" s="6" t="s">
        <v>7978</v>
      </c>
      <c r="G1176" s="9" t="n">
        <v>-38417</v>
      </c>
      <c r="H1176" s="6" t="s">
        <v>384</v>
      </c>
      <c r="I1176" s="6" t="s">
        <v>13</v>
      </c>
      <c r="J1176" s="6" t="s">
        <v>209</v>
      </c>
      <c r="K1176" s="6" t="s">
        <v>7979</v>
      </c>
      <c r="M1176" s="6"/>
    </row>
    <row r="1177" customFormat="false" ht="15" hidden="false" customHeight="false" outlineLevel="0" collapsed="false">
      <c r="A1177" s="6" t="s">
        <v>7980</v>
      </c>
      <c r="B1177" s="6" t="s">
        <v>5203</v>
      </c>
      <c r="C1177" s="6" t="s">
        <v>4975</v>
      </c>
      <c r="D1177" s="6" t="s">
        <v>7958</v>
      </c>
      <c r="E1177" s="6" t="s">
        <v>4887</v>
      </c>
      <c r="F1177" s="6" t="s">
        <v>7978</v>
      </c>
      <c r="G1177" s="9" t="n">
        <v>-40692</v>
      </c>
      <c r="H1177" s="6" t="s">
        <v>384</v>
      </c>
      <c r="I1177" s="6" t="s">
        <v>13</v>
      </c>
      <c r="J1177" s="6" t="s">
        <v>209</v>
      </c>
      <c r="K1177" s="6" t="s">
        <v>7979</v>
      </c>
      <c r="M1177" s="6"/>
    </row>
    <row r="1178" customFormat="false" ht="15" hidden="false" customHeight="false" outlineLevel="0" collapsed="false">
      <c r="A1178" s="6" t="s">
        <v>7981</v>
      </c>
      <c r="B1178" s="6" t="s">
        <v>5102</v>
      </c>
      <c r="C1178" s="6" t="s">
        <v>4975</v>
      </c>
      <c r="D1178" s="6" t="s">
        <v>7958</v>
      </c>
      <c r="E1178" s="6" t="s">
        <v>4887</v>
      </c>
      <c r="F1178" s="6" t="s">
        <v>7978</v>
      </c>
      <c r="G1178" s="9" t="n">
        <v>9900</v>
      </c>
      <c r="H1178" s="6" t="s">
        <v>384</v>
      </c>
      <c r="I1178" s="6" t="s">
        <v>13</v>
      </c>
      <c r="J1178" s="6" t="s">
        <v>209</v>
      </c>
      <c r="K1178" s="6" t="s">
        <v>7979</v>
      </c>
      <c r="M1178" s="6"/>
    </row>
    <row r="1179" customFormat="false" ht="15" hidden="false" customHeight="false" outlineLevel="0" collapsed="false">
      <c r="A1179" s="6" t="s">
        <v>7982</v>
      </c>
      <c r="B1179" s="6" t="s">
        <v>5203</v>
      </c>
      <c r="C1179" s="6" t="s">
        <v>4975</v>
      </c>
      <c r="D1179" s="6" t="s">
        <v>7958</v>
      </c>
      <c r="E1179" s="6" t="s">
        <v>7983</v>
      </c>
      <c r="F1179" s="6" t="s">
        <v>7984</v>
      </c>
      <c r="G1179" s="9" t="n">
        <v>-40692</v>
      </c>
      <c r="H1179" s="6" t="s">
        <v>384</v>
      </c>
      <c r="I1179" s="6" t="s">
        <v>13</v>
      </c>
      <c r="J1179" s="6" t="s">
        <v>218</v>
      </c>
      <c r="K1179" s="6" t="s">
        <v>7985</v>
      </c>
      <c r="M1179" s="6"/>
    </row>
    <row r="1180" customFormat="false" ht="15" hidden="false" customHeight="false" outlineLevel="0" collapsed="false">
      <c r="A1180" s="6" t="s">
        <v>7986</v>
      </c>
      <c r="B1180" s="6" t="s">
        <v>5102</v>
      </c>
      <c r="C1180" s="6" t="s">
        <v>4975</v>
      </c>
      <c r="D1180" s="6" t="s">
        <v>7958</v>
      </c>
      <c r="E1180" s="6" t="s">
        <v>7983</v>
      </c>
      <c r="F1180" s="6" t="s">
        <v>7984</v>
      </c>
      <c r="G1180" s="9" t="n">
        <v>9900</v>
      </c>
      <c r="H1180" s="6" t="s">
        <v>384</v>
      </c>
      <c r="I1180" s="6" t="s">
        <v>13</v>
      </c>
      <c r="J1180" s="6" t="s">
        <v>218</v>
      </c>
      <c r="K1180" s="6" t="s">
        <v>7985</v>
      </c>
      <c r="M1180" s="6"/>
    </row>
    <row r="1181" customFormat="false" ht="15" hidden="false" customHeight="false" outlineLevel="0" collapsed="false">
      <c r="A1181" s="6" t="s">
        <v>7987</v>
      </c>
      <c r="B1181" s="6" t="s">
        <v>5102</v>
      </c>
      <c r="C1181" s="6" t="s">
        <v>4975</v>
      </c>
      <c r="D1181" s="6" t="s">
        <v>7958</v>
      </c>
      <c r="E1181" s="6" t="s">
        <v>7983</v>
      </c>
      <c r="F1181" s="6" t="s">
        <v>7988</v>
      </c>
      <c r="G1181" s="9" t="n">
        <v>9900</v>
      </c>
      <c r="H1181" s="6" t="s">
        <v>384</v>
      </c>
      <c r="I1181" s="6" t="s">
        <v>13</v>
      </c>
      <c r="J1181" s="6" t="s">
        <v>223</v>
      </c>
      <c r="K1181" s="6" t="s">
        <v>7989</v>
      </c>
      <c r="M1181" s="6" t="s">
        <v>7990</v>
      </c>
    </row>
    <row r="1182" customFormat="false" ht="15" hidden="false" customHeight="false" outlineLevel="0" collapsed="false">
      <c r="A1182" s="6" t="s">
        <v>7991</v>
      </c>
      <c r="B1182" s="6" t="s">
        <v>5097</v>
      </c>
      <c r="C1182" s="6" t="s">
        <v>4975</v>
      </c>
      <c r="D1182" s="6" t="s">
        <v>7958</v>
      </c>
      <c r="E1182" s="6" t="s">
        <v>7983</v>
      </c>
      <c r="F1182" s="6" t="s">
        <v>7984</v>
      </c>
      <c r="G1182" s="9" t="n">
        <v>8137</v>
      </c>
      <c r="H1182" s="6" t="s">
        <v>384</v>
      </c>
      <c r="I1182" s="6" t="s">
        <v>13</v>
      </c>
      <c r="J1182" s="6" t="s">
        <v>218</v>
      </c>
      <c r="K1182" s="6" t="s">
        <v>7985</v>
      </c>
      <c r="M1182" s="6"/>
    </row>
    <row r="1183" customFormat="false" ht="15" hidden="false" customHeight="false" outlineLevel="0" collapsed="false">
      <c r="A1183" s="6" t="s">
        <v>7992</v>
      </c>
      <c r="B1183" s="6" t="s">
        <v>5097</v>
      </c>
      <c r="C1183" s="6" t="s">
        <v>4975</v>
      </c>
      <c r="D1183" s="6" t="s">
        <v>7958</v>
      </c>
      <c r="E1183" s="6" t="s">
        <v>7983</v>
      </c>
      <c r="F1183" s="6" t="s">
        <v>7988</v>
      </c>
      <c r="G1183" s="9" t="n">
        <v>8137</v>
      </c>
      <c r="H1183" s="6" t="s">
        <v>384</v>
      </c>
      <c r="I1183" s="6" t="s">
        <v>13</v>
      </c>
      <c r="J1183" s="6" t="s">
        <v>223</v>
      </c>
      <c r="K1183" s="6" t="s">
        <v>7989</v>
      </c>
      <c r="M1183" s="6"/>
    </row>
    <row r="1184" customFormat="false" ht="15" hidden="false" customHeight="false" outlineLevel="0" collapsed="false">
      <c r="A1184" s="6" t="s">
        <v>7993</v>
      </c>
      <c r="B1184" s="6" t="s">
        <v>5074</v>
      </c>
      <c r="C1184" s="6" t="s">
        <v>4975</v>
      </c>
      <c r="D1184" s="6" t="s">
        <v>7958</v>
      </c>
      <c r="E1184" s="6" t="s">
        <v>7983</v>
      </c>
      <c r="F1184" s="6" t="s">
        <v>7988</v>
      </c>
      <c r="G1184" s="9" t="n">
        <v>204945</v>
      </c>
      <c r="H1184" s="6" t="s">
        <v>384</v>
      </c>
      <c r="I1184" s="6" t="s">
        <v>13</v>
      </c>
      <c r="J1184" s="6" t="s">
        <v>223</v>
      </c>
      <c r="K1184" s="6" t="s">
        <v>7989</v>
      </c>
      <c r="M1184" s="6"/>
    </row>
    <row r="1185" customFormat="false" ht="15" hidden="false" customHeight="false" outlineLevel="0" collapsed="false">
      <c r="A1185" s="6" t="s">
        <v>7994</v>
      </c>
      <c r="B1185" s="6" t="s">
        <v>6032</v>
      </c>
      <c r="C1185" s="6" t="s">
        <v>4975</v>
      </c>
      <c r="D1185" s="6" t="s">
        <v>7958</v>
      </c>
      <c r="E1185" s="6" t="s">
        <v>7995</v>
      </c>
      <c r="F1185" s="6" t="s">
        <v>7996</v>
      </c>
      <c r="G1185" s="9" t="n">
        <v>94</v>
      </c>
      <c r="H1185" s="6" t="s">
        <v>384</v>
      </c>
      <c r="I1185" s="6" t="s">
        <v>13</v>
      </c>
      <c r="J1185" s="6" t="s">
        <v>209</v>
      </c>
      <c r="K1185" s="6" t="s">
        <v>7997</v>
      </c>
      <c r="M1185" s="6"/>
    </row>
    <row r="1186" customFormat="false" ht="15" hidden="false" customHeight="false" outlineLevel="0" collapsed="false">
      <c r="A1186" s="6" t="s">
        <v>7998</v>
      </c>
      <c r="B1186" s="6" t="s">
        <v>5203</v>
      </c>
      <c r="C1186" s="6" t="s">
        <v>4975</v>
      </c>
      <c r="D1186" s="6" t="s">
        <v>7958</v>
      </c>
      <c r="E1186" s="6" t="s">
        <v>7995</v>
      </c>
      <c r="F1186" s="6" t="s">
        <v>7996</v>
      </c>
      <c r="G1186" s="9" t="n">
        <v>232</v>
      </c>
      <c r="H1186" s="6" t="s">
        <v>384</v>
      </c>
      <c r="I1186" s="6" t="s">
        <v>13</v>
      </c>
      <c r="J1186" s="6" t="s">
        <v>209</v>
      </c>
      <c r="K1186" s="6" t="s">
        <v>7997</v>
      </c>
      <c r="M1186" s="6"/>
    </row>
    <row r="1187" customFormat="false" ht="15" hidden="false" customHeight="false" outlineLevel="0" collapsed="false">
      <c r="A1187" s="6" t="s">
        <v>7999</v>
      </c>
      <c r="B1187" s="6" t="s">
        <v>5203</v>
      </c>
      <c r="C1187" s="6" t="s">
        <v>4975</v>
      </c>
      <c r="D1187" s="6" t="s">
        <v>7958</v>
      </c>
      <c r="E1187" s="6" t="s">
        <v>7995</v>
      </c>
      <c r="F1187" s="6" t="s">
        <v>8000</v>
      </c>
      <c r="G1187" s="9" t="n">
        <v>232</v>
      </c>
      <c r="H1187" s="6" t="s">
        <v>384</v>
      </c>
      <c r="I1187" s="6" t="s">
        <v>13</v>
      </c>
      <c r="J1187" s="6" t="s">
        <v>218</v>
      </c>
      <c r="K1187" s="6" t="s">
        <v>8001</v>
      </c>
      <c r="M1187" s="6"/>
    </row>
    <row r="1188" customFormat="false" ht="15" hidden="false" customHeight="false" outlineLevel="0" collapsed="false">
      <c r="A1188" s="6" t="s">
        <v>8002</v>
      </c>
      <c r="B1188" s="6" t="s">
        <v>5102</v>
      </c>
      <c r="C1188" s="6" t="s">
        <v>4975</v>
      </c>
      <c r="D1188" s="6" t="s">
        <v>7958</v>
      </c>
      <c r="E1188" s="6" t="s">
        <v>7995</v>
      </c>
      <c r="F1188" s="6" t="s">
        <v>7996</v>
      </c>
      <c r="G1188" s="9" t="n">
        <v>547</v>
      </c>
      <c r="H1188" s="6" t="s">
        <v>384</v>
      </c>
      <c r="I1188" s="6" t="s">
        <v>13</v>
      </c>
      <c r="J1188" s="6" t="s">
        <v>209</v>
      </c>
      <c r="K1188" s="6" t="s">
        <v>7997</v>
      </c>
      <c r="M1188" s="6"/>
    </row>
    <row r="1189" customFormat="false" ht="15" hidden="false" customHeight="false" outlineLevel="0" collapsed="false">
      <c r="A1189" s="6" t="s">
        <v>8003</v>
      </c>
      <c r="B1189" s="6" t="s">
        <v>5102</v>
      </c>
      <c r="C1189" s="6" t="s">
        <v>4975</v>
      </c>
      <c r="D1189" s="6" t="s">
        <v>7958</v>
      </c>
      <c r="E1189" s="6" t="s">
        <v>7995</v>
      </c>
      <c r="F1189" s="6" t="s">
        <v>8000</v>
      </c>
      <c r="G1189" s="9" t="n">
        <v>547</v>
      </c>
      <c r="H1189" s="6" t="s">
        <v>384</v>
      </c>
      <c r="I1189" s="6" t="s">
        <v>13</v>
      </c>
      <c r="J1189" s="6" t="s">
        <v>218</v>
      </c>
      <c r="K1189" s="6" t="s">
        <v>8001</v>
      </c>
      <c r="M1189" s="6"/>
    </row>
    <row r="1190" customFormat="false" ht="15" hidden="false" customHeight="false" outlineLevel="0" collapsed="false">
      <c r="A1190" s="6" t="s">
        <v>8004</v>
      </c>
      <c r="B1190" s="6" t="s">
        <v>5102</v>
      </c>
      <c r="C1190" s="6" t="s">
        <v>4975</v>
      </c>
      <c r="D1190" s="6" t="s">
        <v>7958</v>
      </c>
      <c r="E1190" s="6" t="s">
        <v>7995</v>
      </c>
      <c r="F1190" s="6" t="s">
        <v>8005</v>
      </c>
      <c r="G1190" s="9" t="n">
        <v>547</v>
      </c>
      <c r="H1190" s="6" t="s">
        <v>384</v>
      </c>
      <c r="I1190" s="6" t="s">
        <v>13</v>
      </c>
      <c r="J1190" s="6" t="s">
        <v>223</v>
      </c>
      <c r="K1190" s="6" t="s">
        <v>8006</v>
      </c>
      <c r="M1190" s="6"/>
    </row>
    <row r="1191" customFormat="false" ht="15" hidden="false" customHeight="false" outlineLevel="0" collapsed="false">
      <c r="A1191" s="6" t="s">
        <v>8007</v>
      </c>
      <c r="B1191" s="6" t="s">
        <v>5097</v>
      </c>
      <c r="C1191" s="6" t="s">
        <v>4975</v>
      </c>
      <c r="D1191" s="6" t="s">
        <v>7958</v>
      </c>
      <c r="E1191" s="6" t="s">
        <v>7995</v>
      </c>
      <c r="F1191" s="6" t="s">
        <v>8000</v>
      </c>
      <c r="G1191" s="9" t="n">
        <v>1492</v>
      </c>
      <c r="H1191" s="6" t="s">
        <v>384</v>
      </c>
      <c r="I1191" s="6" t="s">
        <v>13</v>
      </c>
      <c r="J1191" s="6" t="s">
        <v>218</v>
      </c>
      <c r="K1191" s="6" t="s">
        <v>8001</v>
      </c>
      <c r="M1191" s="6"/>
    </row>
    <row r="1192" customFormat="false" ht="15" hidden="false" customHeight="false" outlineLevel="0" collapsed="false">
      <c r="A1192" s="6" t="s">
        <v>8008</v>
      </c>
      <c r="B1192" s="6" t="s">
        <v>5097</v>
      </c>
      <c r="C1192" s="6" t="s">
        <v>4975</v>
      </c>
      <c r="D1192" s="6" t="s">
        <v>7958</v>
      </c>
      <c r="E1192" s="6" t="s">
        <v>7995</v>
      </c>
      <c r="F1192" s="6" t="s">
        <v>8005</v>
      </c>
      <c r="G1192" s="9" t="n">
        <v>1492</v>
      </c>
      <c r="H1192" s="6" t="s">
        <v>384</v>
      </c>
      <c r="I1192" s="6" t="s">
        <v>13</v>
      </c>
      <c r="J1192" s="6" t="s">
        <v>223</v>
      </c>
      <c r="K1192" s="6" t="s">
        <v>8006</v>
      </c>
      <c r="M1192" s="6"/>
    </row>
    <row r="1193" customFormat="false" ht="15" hidden="false" customHeight="false" outlineLevel="0" collapsed="false">
      <c r="A1193" s="6" t="s">
        <v>8009</v>
      </c>
      <c r="B1193" s="6" t="s">
        <v>5097</v>
      </c>
      <c r="C1193" s="6" t="s">
        <v>4975</v>
      </c>
      <c r="D1193" s="6" t="s">
        <v>7958</v>
      </c>
      <c r="E1193" s="6" t="s">
        <v>7995</v>
      </c>
      <c r="F1193" s="6" t="s">
        <v>8010</v>
      </c>
      <c r="G1193" s="9" t="n">
        <v>1492</v>
      </c>
      <c r="H1193" s="6" t="s">
        <v>384</v>
      </c>
      <c r="I1193" s="6" t="s">
        <v>13</v>
      </c>
      <c r="J1193" s="6" t="s">
        <v>228</v>
      </c>
      <c r="K1193" s="6" t="s">
        <v>8011</v>
      </c>
      <c r="M1193" s="6"/>
    </row>
    <row r="1194" customFormat="false" ht="15" hidden="false" customHeight="false" outlineLevel="0" collapsed="false">
      <c r="A1194" s="6" t="s">
        <v>8012</v>
      </c>
      <c r="B1194" s="6" t="s">
        <v>5074</v>
      </c>
      <c r="C1194" s="6" t="s">
        <v>4975</v>
      </c>
      <c r="D1194" s="6" t="s">
        <v>7958</v>
      </c>
      <c r="E1194" s="6" t="s">
        <v>7995</v>
      </c>
      <c r="F1194" s="6" t="s">
        <v>8005</v>
      </c>
      <c r="G1194" s="9" t="n">
        <v>2558</v>
      </c>
      <c r="H1194" s="6" t="s">
        <v>384</v>
      </c>
      <c r="I1194" s="6" t="s">
        <v>13</v>
      </c>
      <c r="J1194" s="6" t="s">
        <v>223</v>
      </c>
      <c r="K1194" s="6" t="s">
        <v>8006</v>
      </c>
      <c r="M1194" s="6"/>
    </row>
    <row r="1195" customFormat="false" ht="15" hidden="false" customHeight="false" outlineLevel="0" collapsed="false">
      <c r="A1195" s="6" t="s">
        <v>8013</v>
      </c>
      <c r="B1195" s="6" t="s">
        <v>5074</v>
      </c>
      <c r="C1195" s="6" t="s">
        <v>4975</v>
      </c>
      <c r="D1195" s="6" t="s">
        <v>7958</v>
      </c>
      <c r="E1195" s="6" t="s">
        <v>7995</v>
      </c>
      <c r="F1195" s="6" t="s">
        <v>8010</v>
      </c>
      <c r="G1195" s="9" t="n">
        <v>2558</v>
      </c>
      <c r="H1195" s="6" t="s">
        <v>384</v>
      </c>
      <c r="I1195" s="6" t="s">
        <v>13</v>
      </c>
      <c r="J1195" s="6" t="s">
        <v>228</v>
      </c>
      <c r="K1195" s="6" t="s">
        <v>8011</v>
      </c>
      <c r="M1195" s="6"/>
    </row>
    <row r="1196" customFormat="false" ht="15" hidden="false" customHeight="false" outlineLevel="0" collapsed="false">
      <c r="A1196" s="6" t="s">
        <v>8014</v>
      </c>
      <c r="B1196" s="6" t="s">
        <v>5074</v>
      </c>
      <c r="C1196" s="6" t="s">
        <v>4975</v>
      </c>
      <c r="D1196" s="6" t="s">
        <v>7958</v>
      </c>
      <c r="E1196" s="6" t="s">
        <v>7995</v>
      </c>
      <c r="F1196" s="6" t="s">
        <v>8015</v>
      </c>
      <c r="G1196" s="9" t="n">
        <v>2558</v>
      </c>
      <c r="H1196" s="6" t="s">
        <v>384</v>
      </c>
      <c r="I1196" s="6" t="s">
        <v>13</v>
      </c>
      <c r="J1196" s="6" t="s">
        <v>233</v>
      </c>
      <c r="K1196" s="6" t="s">
        <v>8016</v>
      </c>
      <c r="M1196" s="6"/>
    </row>
    <row r="1197" customFormat="false" ht="15" hidden="false" customHeight="false" outlineLevel="0" collapsed="false">
      <c r="A1197" s="6" t="s">
        <v>8017</v>
      </c>
      <c r="B1197" s="6" t="s">
        <v>5113</v>
      </c>
      <c r="C1197" s="6" t="s">
        <v>4975</v>
      </c>
      <c r="D1197" s="6" t="s">
        <v>7958</v>
      </c>
      <c r="E1197" s="6" t="s">
        <v>7995</v>
      </c>
      <c r="F1197" s="6" t="s">
        <v>8010</v>
      </c>
      <c r="G1197" s="9" t="n">
        <v>3883</v>
      </c>
      <c r="H1197" s="6" t="s">
        <v>384</v>
      </c>
      <c r="I1197" s="6" t="s">
        <v>13</v>
      </c>
      <c r="J1197" s="6" t="s">
        <v>228</v>
      </c>
      <c r="K1197" s="6" t="s">
        <v>8011</v>
      </c>
      <c r="M1197" s="6"/>
    </row>
    <row r="1198" customFormat="false" ht="15" hidden="false" customHeight="false" outlineLevel="0" collapsed="false">
      <c r="A1198" s="6" t="s">
        <v>8018</v>
      </c>
      <c r="B1198" s="6" t="s">
        <v>5113</v>
      </c>
      <c r="C1198" s="6" t="s">
        <v>4975</v>
      </c>
      <c r="D1198" s="6" t="s">
        <v>7958</v>
      </c>
      <c r="E1198" s="6" t="s">
        <v>7995</v>
      </c>
      <c r="F1198" s="6" t="s">
        <v>8015</v>
      </c>
      <c r="G1198" s="9" t="n">
        <v>3883</v>
      </c>
      <c r="H1198" s="6" t="s">
        <v>384</v>
      </c>
      <c r="I1198" s="6" t="s">
        <v>13</v>
      </c>
      <c r="J1198" s="6" t="s">
        <v>233</v>
      </c>
      <c r="K1198" s="6" t="s">
        <v>8016</v>
      </c>
      <c r="M1198" s="6"/>
    </row>
    <row r="1199" customFormat="false" ht="15" hidden="false" customHeight="false" outlineLevel="0" collapsed="false">
      <c r="A1199" s="6" t="s">
        <v>8019</v>
      </c>
      <c r="B1199" s="6" t="s">
        <v>5079</v>
      </c>
      <c r="C1199" s="6" t="s">
        <v>4975</v>
      </c>
      <c r="D1199" s="6" t="s">
        <v>7958</v>
      </c>
      <c r="E1199" s="6" t="s">
        <v>7995</v>
      </c>
      <c r="F1199" s="6" t="s">
        <v>8015</v>
      </c>
      <c r="G1199" s="9" t="n">
        <v>3840</v>
      </c>
      <c r="H1199" s="6" t="s">
        <v>384</v>
      </c>
      <c r="I1199" s="6" t="s">
        <v>13</v>
      </c>
      <c r="J1199" s="6" t="s">
        <v>233</v>
      </c>
      <c r="K1199" s="6" t="s">
        <v>8016</v>
      </c>
      <c r="M1199" s="6"/>
    </row>
    <row r="1200" customFormat="false" ht="15" hidden="false" customHeight="false" outlineLevel="0" collapsed="false">
      <c r="A1200" s="6" t="s">
        <v>8020</v>
      </c>
      <c r="B1200" s="6" t="s">
        <v>5067</v>
      </c>
      <c r="C1200" s="6" t="s">
        <v>5050</v>
      </c>
      <c r="D1200" s="6" t="s">
        <v>7958</v>
      </c>
      <c r="E1200" s="6" t="s">
        <v>8021</v>
      </c>
      <c r="F1200" s="6" t="s">
        <v>8022</v>
      </c>
      <c r="G1200" s="9" t="n">
        <v>21936</v>
      </c>
      <c r="H1200" s="6" t="s">
        <v>384</v>
      </c>
      <c r="I1200" s="6" t="s">
        <v>13</v>
      </c>
      <c r="J1200" s="6" t="s">
        <v>253</v>
      </c>
      <c r="K1200" s="6" t="s">
        <v>8023</v>
      </c>
      <c r="M1200" s="6"/>
    </row>
    <row r="1201" customFormat="false" ht="15" hidden="false" customHeight="false" outlineLevel="0" collapsed="false">
      <c r="A1201" s="6" t="s">
        <v>8024</v>
      </c>
      <c r="B1201" s="6" t="s">
        <v>5245</v>
      </c>
      <c r="C1201" s="6" t="s">
        <v>5050</v>
      </c>
      <c r="D1201" s="6" t="s">
        <v>7958</v>
      </c>
      <c r="E1201" s="6" t="s">
        <v>8021</v>
      </c>
      <c r="F1201" s="6" t="s">
        <v>8022</v>
      </c>
      <c r="G1201" s="9" t="n">
        <v>182327</v>
      </c>
      <c r="H1201" s="6" t="s">
        <v>384</v>
      </c>
      <c r="I1201" s="6" t="s">
        <v>13</v>
      </c>
      <c r="J1201" s="6" t="s">
        <v>253</v>
      </c>
      <c r="K1201" s="6" t="s">
        <v>8023</v>
      </c>
      <c r="M1201" s="6"/>
    </row>
    <row r="1202" customFormat="false" ht="15" hidden="false" customHeight="false" outlineLevel="0" collapsed="false">
      <c r="A1202" s="6" t="s">
        <v>8025</v>
      </c>
      <c r="B1202" s="6" t="s">
        <v>5072</v>
      </c>
      <c r="C1202" s="6" t="s">
        <v>5050</v>
      </c>
      <c r="D1202" s="6" t="s">
        <v>7958</v>
      </c>
      <c r="E1202" s="6" t="s">
        <v>8021</v>
      </c>
      <c r="F1202" s="6" t="s">
        <v>8026</v>
      </c>
      <c r="G1202" s="9" t="n">
        <v>331370</v>
      </c>
      <c r="H1202" s="6" t="s">
        <v>384</v>
      </c>
      <c r="I1202" s="6" t="s">
        <v>13</v>
      </c>
      <c r="J1202" s="6" t="s">
        <v>261</v>
      </c>
      <c r="K1202" s="6" t="s">
        <v>8027</v>
      </c>
      <c r="M1202" s="6"/>
    </row>
    <row r="1203" customFormat="false" ht="15" hidden="false" customHeight="false" outlineLevel="0" collapsed="false">
      <c r="A1203" s="6" t="s">
        <v>8028</v>
      </c>
      <c r="B1203" s="6" t="s">
        <v>5249</v>
      </c>
      <c r="C1203" s="6" t="s">
        <v>5050</v>
      </c>
      <c r="D1203" s="6" t="s">
        <v>7958</v>
      </c>
      <c r="E1203" s="6" t="s">
        <v>8021</v>
      </c>
      <c r="F1203" s="6" t="s">
        <v>8026</v>
      </c>
      <c r="G1203" s="9" t="n">
        <v>426704</v>
      </c>
      <c r="H1203" s="6" t="s">
        <v>384</v>
      </c>
      <c r="I1203" s="6" t="s">
        <v>13</v>
      </c>
      <c r="J1203" s="6" t="s">
        <v>261</v>
      </c>
      <c r="K1203" s="6" t="s">
        <v>8027</v>
      </c>
      <c r="M1203" s="6"/>
    </row>
    <row r="1204" customFormat="false" ht="15" hidden="false" customHeight="false" outlineLevel="0" collapsed="false">
      <c r="A1204" s="6" t="s">
        <v>8029</v>
      </c>
      <c r="B1204" s="6" t="s">
        <v>5057</v>
      </c>
      <c r="C1204" s="6" t="s">
        <v>5050</v>
      </c>
      <c r="D1204" s="6" t="s">
        <v>7958</v>
      </c>
      <c r="E1204" s="6" t="s">
        <v>8030</v>
      </c>
      <c r="F1204" s="6" t="s">
        <v>8031</v>
      </c>
      <c r="G1204" s="9" t="n">
        <v>625000</v>
      </c>
      <c r="H1204" s="6" t="s">
        <v>384</v>
      </c>
      <c r="I1204" s="6" t="s">
        <v>13</v>
      </c>
      <c r="J1204" s="6" t="s">
        <v>223</v>
      </c>
      <c r="K1204" s="6" t="s">
        <v>8032</v>
      </c>
      <c r="M1204" s="6"/>
    </row>
    <row r="1205" customFormat="false" ht="15" hidden="false" customHeight="false" outlineLevel="0" collapsed="false">
      <c r="A1205" s="6" t="s">
        <v>8033</v>
      </c>
      <c r="B1205" s="6" t="s">
        <v>5062</v>
      </c>
      <c r="C1205" s="6" t="s">
        <v>5050</v>
      </c>
      <c r="D1205" s="6" t="s">
        <v>7958</v>
      </c>
      <c r="E1205" s="6" t="s">
        <v>8030</v>
      </c>
      <c r="F1205" s="6" t="s">
        <v>8031</v>
      </c>
      <c r="G1205" s="9" t="n">
        <v>0</v>
      </c>
      <c r="H1205" s="6" t="s">
        <v>384</v>
      </c>
      <c r="I1205" s="6" t="s">
        <v>13</v>
      </c>
      <c r="J1205" s="6" t="s">
        <v>223</v>
      </c>
      <c r="K1205" s="6" t="s">
        <v>8032</v>
      </c>
      <c r="M1205" s="6"/>
    </row>
    <row r="1206" customFormat="false" ht="15" hidden="false" customHeight="false" outlineLevel="0" collapsed="false">
      <c r="A1206" s="6" t="s">
        <v>8034</v>
      </c>
      <c r="B1206" s="6" t="s">
        <v>5062</v>
      </c>
      <c r="C1206" s="6" t="s">
        <v>5050</v>
      </c>
      <c r="D1206" s="6" t="s">
        <v>7958</v>
      </c>
      <c r="E1206" s="6" t="s">
        <v>8030</v>
      </c>
      <c r="F1206" s="6" t="s">
        <v>8035</v>
      </c>
      <c r="G1206" s="9" t="n">
        <v>0</v>
      </c>
      <c r="H1206" s="6" t="s">
        <v>384</v>
      </c>
      <c r="I1206" s="6" t="s">
        <v>13</v>
      </c>
      <c r="J1206" s="6" t="s">
        <v>228</v>
      </c>
      <c r="K1206" s="6" t="s">
        <v>8036</v>
      </c>
      <c r="M1206" s="6"/>
    </row>
    <row r="1207" customFormat="false" ht="15" hidden="false" customHeight="false" outlineLevel="0" collapsed="false">
      <c r="A1207" s="6" t="s">
        <v>8037</v>
      </c>
      <c r="B1207" s="6" t="s">
        <v>5067</v>
      </c>
      <c r="C1207" s="6" t="s">
        <v>5050</v>
      </c>
      <c r="D1207" s="6" t="s">
        <v>7958</v>
      </c>
      <c r="E1207" s="6" t="s">
        <v>8030</v>
      </c>
      <c r="F1207" s="6" t="s">
        <v>8035</v>
      </c>
      <c r="G1207" s="9" t="n">
        <v>21936</v>
      </c>
      <c r="H1207" s="6" t="s">
        <v>384</v>
      </c>
      <c r="I1207" s="6" t="s">
        <v>13</v>
      </c>
      <c r="J1207" s="6" t="s">
        <v>228</v>
      </c>
      <c r="K1207" s="6" t="s">
        <v>8036</v>
      </c>
      <c r="M1207" s="6"/>
    </row>
    <row r="1208" customFormat="false" ht="15" hidden="false" customHeight="false" outlineLevel="0" collapsed="false">
      <c r="A1208" s="6" t="s">
        <v>8038</v>
      </c>
      <c r="B1208" s="6" t="s">
        <v>5067</v>
      </c>
      <c r="C1208" s="6" t="s">
        <v>5050</v>
      </c>
      <c r="D1208" s="6" t="s">
        <v>7958</v>
      </c>
      <c r="E1208" s="6" t="s">
        <v>8030</v>
      </c>
      <c r="F1208" s="6" t="s">
        <v>8039</v>
      </c>
      <c r="G1208" s="9" t="n">
        <v>21936</v>
      </c>
      <c r="H1208" s="6" t="s">
        <v>384</v>
      </c>
      <c r="I1208" s="6" t="s">
        <v>13</v>
      </c>
      <c r="J1208" s="6" t="s">
        <v>233</v>
      </c>
      <c r="K1208" s="6" t="s">
        <v>8040</v>
      </c>
      <c r="M1208" s="6"/>
    </row>
    <row r="1209" customFormat="false" ht="15" hidden="false" customHeight="false" outlineLevel="0" collapsed="false">
      <c r="A1209" s="6" t="s">
        <v>8041</v>
      </c>
      <c r="B1209" s="6" t="s">
        <v>5072</v>
      </c>
      <c r="C1209" s="6" t="s">
        <v>5050</v>
      </c>
      <c r="D1209" s="6" t="s">
        <v>7958</v>
      </c>
      <c r="E1209" s="6" t="s">
        <v>8030</v>
      </c>
      <c r="F1209" s="6" t="s">
        <v>8039</v>
      </c>
      <c r="G1209" s="9" t="n">
        <v>331370</v>
      </c>
      <c r="H1209" s="6" t="s">
        <v>384</v>
      </c>
      <c r="I1209" s="6" t="s">
        <v>13</v>
      </c>
      <c r="J1209" s="6" t="s">
        <v>233</v>
      </c>
      <c r="K1209" s="6" t="s">
        <v>8040</v>
      </c>
      <c r="M1209" s="6"/>
    </row>
    <row r="1210" customFormat="false" ht="15" hidden="false" customHeight="false" outlineLevel="0" collapsed="false">
      <c r="A1210" s="6" t="s">
        <v>8042</v>
      </c>
      <c r="B1210" s="6" t="s">
        <v>5049</v>
      </c>
      <c r="C1210" s="6" t="s">
        <v>5050</v>
      </c>
      <c r="D1210" s="6" t="s">
        <v>7958</v>
      </c>
      <c r="E1210" s="6" t="s">
        <v>8043</v>
      </c>
      <c r="F1210" s="6" t="s">
        <v>8044</v>
      </c>
      <c r="G1210" s="9" t="n">
        <v>604000</v>
      </c>
      <c r="H1210" s="6" t="s">
        <v>384</v>
      </c>
      <c r="I1210" s="6" t="s">
        <v>13</v>
      </c>
      <c r="J1210" s="6" t="s">
        <v>218</v>
      </c>
      <c r="K1210" s="6" t="s">
        <v>8045</v>
      </c>
      <c r="M1210" s="6"/>
    </row>
    <row r="1211" customFormat="false" ht="15" hidden="false" customHeight="false" outlineLevel="0" collapsed="false">
      <c r="A1211" s="6" t="s">
        <v>8046</v>
      </c>
      <c r="B1211" s="6" t="s">
        <v>5057</v>
      </c>
      <c r="C1211" s="6" t="s">
        <v>5050</v>
      </c>
      <c r="D1211" s="6" t="s">
        <v>7958</v>
      </c>
      <c r="E1211" s="6" t="s">
        <v>8043</v>
      </c>
      <c r="F1211" s="6" t="s">
        <v>8044</v>
      </c>
      <c r="G1211" s="9" t="n">
        <v>625000</v>
      </c>
      <c r="H1211" s="6" t="s">
        <v>384</v>
      </c>
      <c r="I1211" s="6" t="s">
        <v>13</v>
      </c>
      <c r="J1211" s="6" t="s">
        <v>218</v>
      </c>
      <c r="K1211" s="6" t="s">
        <v>8045</v>
      </c>
      <c r="M1211" s="6"/>
    </row>
    <row r="1212" customFormat="false" ht="15" hidden="false" customHeight="false" outlineLevel="0" collapsed="false">
      <c r="A1212" s="6" t="s">
        <v>8047</v>
      </c>
      <c r="B1212" s="6" t="s">
        <v>5049</v>
      </c>
      <c r="C1212" s="6" t="s">
        <v>5050</v>
      </c>
      <c r="D1212" s="6" t="s">
        <v>7958</v>
      </c>
      <c r="E1212" s="6" t="s">
        <v>8048</v>
      </c>
      <c r="F1212" s="6" t="s">
        <v>8049</v>
      </c>
      <c r="G1212" s="9" t="n">
        <v>5666</v>
      </c>
      <c r="H1212" s="6" t="s">
        <v>384</v>
      </c>
      <c r="I1212" s="6" t="s">
        <v>13</v>
      </c>
      <c r="J1212" s="6" t="s">
        <v>218</v>
      </c>
      <c r="K1212" s="6" t="s">
        <v>8001</v>
      </c>
      <c r="M1212" s="6"/>
    </row>
    <row r="1213" customFormat="false" ht="15" hidden="false" customHeight="false" outlineLevel="0" collapsed="false">
      <c r="A1213" s="6" t="s">
        <v>8050</v>
      </c>
      <c r="B1213" s="6" t="s">
        <v>5057</v>
      </c>
      <c r="C1213" s="6" t="s">
        <v>5050</v>
      </c>
      <c r="D1213" s="6" t="s">
        <v>7958</v>
      </c>
      <c r="E1213" s="6" t="s">
        <v>8048</v>
      </c>
      <c r="F1213" s="6" t="s">
        <v>8049</v>
      </c>
      <c r="G1213" s="9" t="n">
        <v>10597</v>
      </c>
      <c r="H1213" s="6" t="s">
        <v>384</v>
      </c>
      <c r="I1213" s="6" t="s">
        <v>13</v>
      </c>
      <c r="J1213" s="6" t="s">
        <v>218</v>
      </c>
      <c r="K1213" s="6" t="s">
        <v>8001</v>
      </c>
      <c r="M1213" s="6"/>
    </row>
    <row r="1214" customFormat="false" ht="15" hidden="false" customHeight="false" outlineLevel="0" collapsed="false">
      <c r="A1214" s="6" t="s">
        <v>8051</v>
      </c>
      <c r="B1214" s="6" t="s">
        <v>5062</v>
      </c>
      <c r="C1214" s="6" t="s">
        <v>5050</v>
      </c>
      <c r="D1214" s="6" t="s">
        <v>7958</v>
      </c>
      <c r="E1214" s="6" t="s">
        <v>8052</v>
      </c>
      <c r="F1214" s="6" t="s">
        <v>8053</v>
      </c>
      <c r="G1214" s="9" t="n">
        <v>14616</v>
      </c>
      <c r="H1214" s="6" t="s">
        <v>384</v>
      </c>
      <c r="I1214" s="6" t="s">
        <v>13</v>
      </c>
      <c r="J1214" s="6" t="s">
        <v>228</v>
      </c>
      <c r="K1214" s="6" t="s">
        <v>8011</v>
      </c>
      <c r="M1214" s="6"/>
    </row>
    <row r="1215" customFormat="false" ht="15" hidden="false" customHeight="false" outlineLevel="0" collapsed="false">
      <c r="A1215" s="6" t="s">
        <v>8054</v>
      </c>
      <c r="B1215" s="6" t="s">
        <v>5067</v>
      </c>
      <c r="C1215" s="6" t="s">
        <v>5050</v>
      </c>
      <c r="D1215" s="6" t="s">
        <v>7958</v>
      </c>
      <c r="E1215" s="6" t="s">
        <v>8052</v>
      </c>
      <c r="F1215" s="6" t="s">
        <v>8053</v>
      </c>
      <c r="G1215" s="9" t="n">
        <v>17629</v>
      </c>
      <c r="H1215" s="6" t="s">
        <v>384</v>
      </c>
      <c r="I1215" s="6" t="s">
        <v>13</v>
      </c>
      <c r="J1215" s="6" t="s">
        <v>228</v>
      </c>
      <c r="K1215" s="6" t="s">
        <v>8011</v>
      </c>
      <c r="M1215" s="6"/>
    </row>
    <row r="1216" customFormat="false" ht="15" hidden="false" customHeight="false" outlineLevel="0" collapsed="false">
      <c r="A1216" s="6" t="s">
        <v>8055</v>
      </c>
      <c r="B1216" s="6" t="s">
        <v>5102</v>
      </c>
      <c r="C1216" s="6" t="s">
        <v>4975</v>
      </c>
      <c r="D1216" s="6" t="s">
        <v>7958</v>
      </c>
      <c r="E1216" s="6" t="s">
        <v>8056</v>
      </c>
      <c r="F1216" s="6" t="s">
        <v>8057</v>
      </c>
      <c r="G1216" s="9" t="n">
        <v>3702</v>
      </c>
      <c r="H1216" s="6" t="s">
        <v>384</v>
      </c>
      <c r="I1216" s="6" t="s">
        <v>13</v>
      </c>
      <c r="J1216" s="6" t="s">
        <v>223</v>
      </c>
      <c r="K1216" s="6" t="s">
        <v>8006</v>
      </c>
      <c r="M1216" s="6"/>
    </row>
    <row r="1217" customFormat="false" ht="15" hidden="false" customHeight="false" outlineLevel="0" collapsed="false">
      <c r="A1217" s="6" t="s">
        <v>8058</v>
      </c>
      <c r="B1217" s="6" t="s">
        <v>5097</v>
      </c>
      <c r="C1217" s="6" t="s">
        <v>4975</v>
      </c>
      <c r="D1217" s="6" t="s">
        <v>7958</v>
      </c>
      <c r="E1217" s="6" t="s">
        <v>8056</v>
      </c>
      <c r="F1217" s="6" t="s">
        <v>8057</v>
      </c>
      <c r="G1217" s="9" t="n">
        <v>4931</v>
      </c>
      <c r="H1217" s="6" t="s">
        <v>384</v>
      </c>
      <c r="I1217" s="6" t="s">
        <v>13</v>
      </c>
      <c r="J1217" s="6" t="s">
        <v>223</v>
      </c>
      <c r="K1217" s="6" t="s">
        <v>8006</v>
      </c>
      <c r="M1217" s="6"/>
    </row>
    <row r="1218" customFormat="false" ht="15" hidden="false" customHeight="false" outlineLevel="0" collapsed="false">
      <c r="A1218" s="6" t="s">
        <v>8059</v>
      </c>
      <c r="B1218" s="6" t="s">
        <v>5074</v>
      </c>
      <c r="C1218" s="6" t="s">
        <v>4975</v>
      </c>
      <c r="D1218" s="6" t="s">
        <v>7958</v>
      </c>
      <c r="E1218" s="6" t="s">
        <v>8056</v>
      </c>
      <c r="F1218" s="6" t="s">
        <v>8057</v>
      </c>
      <c r="G1218" s="9" t="n">
        <v>4019</v>
      </c>
      <c r="H1218" s="6" t="s">
        <v>384</v>
      </c>
      <c r="I1218" s="6" t="s">
        <v>13</v>
      </c>
      <c r="J1218" s="6" t="s">
        <v>223</v>
      </c>
      <c r="K1218" s="6" t="s">
        <v>8006</v>
      </c>
      <c r="M1218" s="6"/>
    </row>
    <row r="1219" customFormat="false" ht="15" hidden="false" customHeight="false" outlineLevel="0" collapsed="false">
      <c r="A1219" s="6" t="s">
        <v>8060</v>
      </c>
      <c r="B1219" s="6" t="s">
        <v>6032</v>
      </c>
      <c r="C1219" s="6" t="s">
        <v>4975</v>
      </c>
      <c r="D1219" s="6" t="s">
        <v>7958</v>
      </c>
      <c r="E1219" s="6" t="s">
        <v>8061</v>
      </c>
      <c r="F1219" s="6" t="s">
        <v>8062</v>
      </c>
      <c r="G1219" s="9" t="n">
        <v>465</v>
      </c>
      <c r="H1219" s="6" t="s">
        <v>384</v>
      </c>
      <c r="I1219" s="6" t="s">
        <v>13</v>
      </c>
      <c r="J1219" s="6" t="s">
        <v>209</v>
      </c>
      <c r="K1219" s="6" t="s">
        <v>7997</v>
      </c>
      <c r="M1219" s="6"/>
    </row>
    <row r="1220" customFormat="false" ht="15" hidden="false" customHeight="false" outlineLevel="0" collapsed="false">
      <c r="A1220" s="6" t="s">
        <v>8063</v>
      </c>
      <c r="B1220" s="6" t="s">
        <v>5203</v>
      </c>
      <c r="C1220" s="6" t="s">
        <v>4975</v>
      </c>
      <c r="D1220" s="6" t="s">
        <v>7958</v>
      </c>
      <c r="E1220" s="6" t="s">
        <v>8061</v>
      </c>
      <c r="F1220" s="6" t="s">
        <v>8062</v>
      </c>
      <c r="G1220" s="9" t="n">
        <v>1499</v>
      </c>
      <c r="H1220" s="6" t="s">
        <v>384</v>
      </c>
      <c r="I1220" s="6" t="s">
        <v>13</v>
      </c>
      <c r="J1220" s="6" t="s">
        <v>209</v>
      </c>
      <c r="K1220" s="6" t="s">
        <v>7997</v>
      </c>
      <c r="M1220" s="6"/>
    </row>
    <row r="1221" customFormat="false" ht="15" hidden="false" customHeight="false" outlineLevel="0" collapsed="false">
      <c r="A1221" s="6" t="s">
        <v>8064</v>
      </c>
      <c r="B1221" s="6" t="s">
        <v>5102</v>
      </c>
      <c r="C1221" s="6" t="s">
        <v>4975</v>
      </c>
      <c r="D1221" s="6" t="s">
        <v>7958</v>
      </c>
      <c r="E1221" s="6" t="s">
        <v>8061</v>
      </c>
      <c r="F1221" s="6" t="s">
        <v>8062</v>
      </c>
      <c r="G1221" s="9" t="n">
        <v>3702</v>
      </c>
      <c r="H1221" s="6" t="s">
        <v>384</v>
      </c>
      <c r="I1221" s="6" t="s">
        <v>13</v>
      </c>
      <c r="J1221" s="6" t="s">
        <v>209</v>
      </c>
      <c r="K1221" s="6" t="s">
        <v>7997</v>
      </c>
      <c r="M1221" s="6"/>
    </row>
    <row r="1222" customFormat="false" ht="15" hidden="false" customHeight="false" outlineLevel="0" collapsed="false">
      <c r="A1222" s="6" t="s">
        <v>8065</v>
      </c>
      <c r="B1222" s="6" t="s">
        <v>5097</v>
      </c>
      <c r="C1222" s="6" t="s">
        <v>4975</v>
      </c>
      <c r="D1222" s="6" t="s">
        <v>7958</v>
      </c>
      <c r="E1222" s="6" t="s">
        <v>8066</v>
      </c>
      <c r="F1222" s="6" t="s">
        <v>8067</v>
      </c>
      <c r="G1222" s="9" t="n">
        <v>4931</v>
      </c>
      <c r="H1222" s="6" t="s">
        <v>384</v>
      </c>
      <c r="I1222" s="6" t="s">
        <v>13</v>
      </c>
      <c r="J1222" s="6" t="s">
        <v>228</v>
      </c>
      <c r="K1222" s="6" t="s">
        <v>8011</v>
      </c>
      <c r="M1222" s="6" t="s">
        <v>8068</v>
      </c>
    </row>
    <row r="1223" customFormat="false" ht="15" hidden="false" customHeight="false" outlineLevel="0" collapsed="false">
      <c r="A1223" s="6" t="s">
        <v>8069</v>
      </c>
      <c r="B1223" s="6" t="s">
        <v>5074</v>
      </c>
      <c r="C1223" s="6" t="s">
        <v>4975</v>
      </c>
      <c r="D1223" s="6" t="s">
        <v>7958</v>
      </c>
      <c r="E1223" s="6" t="s">
        <v>8066</v>
      </c>
      <c r="F1223" s="6" t="s">
        <v>8067</v>
      </c>
      <c r="G1223" s="9" t="n">
        <v>4019</v>
      </c>
      <c r="H1223" s="6" t="s">
        <v>384</v>
      </c>
      <c r="I1223" s="6" t="s">
        <v>13</v>
      </c>
      <c r="J1223" s="6" t="s">
        <v>228</v>
      </c>
      <c r="K1223" s="6" t="s">
        <v>8011</v>
      </c>
      <c r="M1223" s="6" t="s">
        <v>8068</v>
      </c>
    </row>
    <row r="1224" customFormat="false" ht="15" hidden="false" customHeight="false" outlineLevel="0" collapsed="false">
      <c r="A1224" s="6" t="s">
        <v>8070</v>
      </c>
      <c r="B1224" s="6" t="s">
        <v>5113</v>
      </c>
      <c r="C1224" s="6" t="s">
        <v>4975</v>
      </c>
      <c r="D1224" s="6" t="s">
        <v>7958</v>
      </c>
      <c r="E1224" s="6" t="s">
        <v>8066</v>
      </c>
      <c r="F1224" s="6" t="s">
        <v>8067</v>
      </c>
      <c r="G1224" s="9" t="n">
        <v>3013</v>
      </c>
      <c r="H1224" s="6" t="s">
        <v>384</v>
      </c>
      <c r="I1224" s="6" t="s">
        <v>13</v>
      </c>
      <c r="J1224" s="6" t="s">
        <v>228</v>
      </c>
      <c r="K1224" s="6" t="s">
        <v>8011</v>
      </c>
      <c r="M1224" s="6" t="s">
        <v>8068</v>
      </c>
    </row>
    <row r="1225" customFormat="false" ht="15" hidden="false" customHeight="false" outlineLevel="0" collapsed="false">
      <c r="A1225" s="6" t="s">
        <v>8071</v>
      </c>
      <c r="B1225" s="6" t="s">
        <v>5203</v>
      </c>
      <c r="C1225" s="6" t="s">
        <v>4975</v>
      </c>
      <c r="D1225" s="6" t="s">
        <v>7958</v>
      </c>
      <c r="E1225" s="6" t="s">
        <v>8072</v>
      </c>
      <c r="F1225" s="6" t="s">
        <v>8073</v>
      </c>
      <c r="G1225" s="9" t="n">
        <v>1499</v>
      </c>
      <c r="H1225" s="6" t="s">
        <v>384</v>
      </c>
      <c r="I1225" s="6" t="s">
        <v>13</v>
      </c>
      <c r="J1225" s="6" t="s">
        <v>218</v>
      </c>
      <c r="K1225" s="6" t="s">
        <v>8001</v>
      </c>
      <c r="M1225" s="6"/>
    </row>
    <row r="1226" customFormat="false" ht="15" hidden="false" customHeight="false" outlineLevel="0" collapsed="false">
      <c r="A1226" s="6" t="s">
        <v>8074</v>
      </c>
      <c r="B1226" s="6" t="s">
        <v>5102</v>
      </c>
      <c r="C1226" s="6" t="s">
        <v>4975</v>
      </c>
      <c r="D1226" s="6" t="s">
        <v>7958</v>
      </c>
      <c r="E1226" s="6" t="s">
        <v>8072</v>
      </c>
      <c r="F1226" s="6" t="s">
        <v>8073</v>
      </c>
      <c r="G1226" s="9" t="n">
        <v>3702</v>
      </c>
      <c r="H1226" s="6" t="s">
        <v>384</v>
      </c>
      <c r="I1226" s="6" t="s">
        <v>13</v>
      </c>
      <c r="J1226" s="6" t="s">
        <v>218</v>
      </c>
      <c r="K1226" s="6" t="s">
        <v>8001</v>
      </c>
      <c r="M1226" s="6"/>
    </row>
    <row r="1227" customFormat="false" ht="15" hidden="false" customHeight="false" outlineLevel="0" collapsed="false">
      <c r="A1227" s="6" t="s">
        <v>8075</v>
      </c>
      <c r="B1227" s="6" t="s">
        <v>5097</v>
      </c>
      <c r="C1227" s="6" t="s">
        <v>4975</v>
      </c>
      <c r="D1227" s="6" t="s">
        <v>7958</v>
      </c>
      <c r="E1227" s="6" t="s">
        <v>8072</v>
      </c>
      <c r="F1227" s="6" t="s">
        <v>8073</v>
      </c>
      <c r="G1227" s="9" t="n">
        <v>4931</v>
      </c>
      <c r="H1227" s="6" t="s">
        <v>384</v>
      </c>
      <c r="I1227" s="6" t="s">
        <v>13</v>
      </c>
      <c r="J1227" s="6" t="s">
        <v>218</v>
      </c>
      <c r="K1227" s="6" t="s">
        <v>8001</v>
      </c>
      <c r="M1227" s="6"/>
    </row>
    <row r="1228" customFormat="false" ht="15" hidden="false" customHeight="false" outlineLevel="0" collapsed="false">
      <c r="A1228" s="6" t="s">
        <v>8076</v>
      </c>
      <c r="B1228" s="6" t="s">
        <v>5315</v>
      </c>
      <c r="C1228" s="6" t="s">
        <v>5316</v>
      </c>
      <c r="D1228" s="6" t="s">
        <v>7958</v>
      </c>
      <c r="E1228" s="6" t="s">
        <v>8077</v>
      </c>
      <c r="F1228" s="6" t="s">
        <v>8078</v>
      </c>
      <c r="G1228" s="9" t="n">
        <v>648</v>
      </c>
      <c r="H1228" s="6" t="s">
        <v>384</v>
      </c>
      <c r="I1228" s="6" t="s">
        <v>13</v>
      </c>
      <c r="J1228" s="6" t="s">
        <v>238</v>
      </c>
      <c r="K1228" s="6" t="s">
        <v>8079</v>
      </c>
      <c r="M1228" s="6"/>
    </row>
    <row r="1229" customFormat="false" ht="15" hidden="false" customHeight="false" outlineLevel="0" collapsed="false">
      <c r="A1229" s="6" t="s">
        <v>8080</v>
      </c>
      <c r="B1229" s="6" t="s">
        <v>5519</v>
      </c>
      <c r="C1229" s="6" t="s">
        <v>5316</v>
      </c>
      <c r="D1229" s="6" t="s">
        <v>7958</v>
      </c>
      <c r="E1229" s="6" t="s">
        <v>8081</v>
      </c>
      <c r="F1229" s="6" t="s">
        <v>8082</v>
      </c>
      <c r="G1229" s="9" t="n">
        <v>1019</v>
      </c>
      <c r="H1229" s="6" t="s">
        <v>384</v>
      </c>
      <c r="I1229" s="6" t="s">
        <v>13</v>
      </c>
      <c r="J1229" s="6" t="s">
        <v>238</v>
      </c>
      <c r="K1229" s="6" t="s">
        <v>6102</v>
      </c>
      <c r="M1229" s="6" t="s">
        <v>8083</v>
      </c>
    </row>
    <row r="1230" customFormat="false" ht="15" hidden="false" customHeight="false" outlineLevel="0" collapsed="false">
      <c r="A1230" s="6" t="s">
        <v>8084</v>
      </c>
      <c r="B1230" s="6" t="s">
        <v>5315</v>
      </c>
      <c r="C1230" s="6" t="s">
        <v>5316</v>
      </c>
      <c r="D1230" s="6" t="s">
        <v>7958</v>
      </c>
      <c r="E1230" s="6" t="s">
        <v>8081</v>
      </c>
      <c r="F1230" s="6" t="s">
        <v>8082</v>
      </c>
      <c r="G1230" s="9" t="n">
        <v>1070</v>
      </c>
      <c r="H1230" s="6" t="s">
        <v>384</v>
      </c>
      <c r="I1230" s="6" t="s">
        <v>13</v>
      </c>
      <c r="J1230" s="6" t="s">
        <v>238</v>
      </c>
      <c r="K1230" s="6" t="s">
        <v>6102</v>
      </c>
      <c r="M1230" s="6" t="s">
        <v>8083</v>
      </c>
    </row>
    <row r="1231" customFormat="false" ht="15" hidden="false" customHeight="false" outlineLevel="0" collapsed="false">
      <c r="A1231" s="6" t="s">
        <v>8085</v>
      </c>
      <c r="B1231" s="6" t="s">
        <v>5320</v>
      </c>
      <c r="C1231" s="6" t="s">
        <v>5316</v>
      </c>
      <c r="D1231" s="6" t="s">
        <v>7958</v>
      </c>
      <c r="E1231" s="6" t="s">
        <v>8081</v>
      </c>
      <c r="F1231" s="6" t="s">
        <v>8086</v>
      </c>
      <c r="G1231" s="9" t="n">
        <v>1703</v>
      </c>
      <c r="H1231" s="6" t="s">
        <v>384</v>
      </c>
      <c r="I1231" s="6" t="s">
        <v>13</v>
      </c>
      <c r="J1231" s="6" t="s">
        <v>253</v>
      </c>
      <c r="K1231" s="6" t="s">
        <v>6106</v>
      </c>
      <c r="M1231" s="6" t="s">
        <v>8087</v>
      </c>
    </row>
    <row r="1232" customFormat="false" ht="15" hidden="false" customHeight="false" outlineLevel="0" collapsed="false">
      <c r="A1232" s="6" t="s">
        <v>8088</v>
      </c>
      <c r="B1232" s="6" t="s">
        <v>5325</v>
      </c>
      <c r="C1232" s="6" t="s">
        <v>5316</v>
      </c>
      <c r="D1232" s="6" t="s">
        <v>7958</v>
      </c>
      <c r="E1232" s="6" t="s">
        <v>8081</v>
      </c>
      <c r="F1232" s="6" t="s">
        <v>8089</v>
      </c>
      <c r="G1232" s="9" t="n">
        <v>1590</v>
      </c>
      <c r="H1232" s="6" t="s">
        <v>384</v>
      </c>
      <c r="I1232" s="6" t="s">
        <v>13</v>
      </c>
      <c r="J1232" s="6" t="s">
        <v>261</v>
      </c>
      <c r="K1232" s="6" t="s">
        <v>6109</v>
      </c>
      <c r="M1232" s="6" t="s">
        <v>7200</v>
      </c>
    </row>
    <row r="1233" customFormat="false" ht="15" hidden="false" customHeight="false" outlineLevel="0" collapsed="false">
      <c r="A1233" s="6" t="s">
        <v>8090</v>
      </c>
      <c r="B1233" s="6" t="s">
        <v>5102</v>
      </c>
      <c r="C1233" s="6" t="s">
        <v>4975</v>
      </c>
      <c r="D1233" s="6" t="s">
        <v>7958</v>
      </c>
      <c r="E1233" s="6" t="s">
        <v>8091</v>
      </c>
      <c r="F1233" s="6" t="s">
        <v>8092</v>
      </c>
      <c r="G1233" s="9" t="n">
        <v>-2180</v>
      </c>
      <c r="H1233" s="6" t="s">
        <v>384</v>
      </c>
      <c r="I1233" s="6" t="s">
        <v>13</v>
      </c>
      <c r="J1233" s="6" t="s">
        <v>223</v>
      </c>
      <c r="K1233" s="6" t="s">
        <v>6013</v>
      </c>
      <c r="M1233" s="6" t="s">
        <v>8093</v>
      </c>
    </row>
    <row r="1234" customFormat="false" ht="15" hidden="false" customHeight="false" outlineLevel="0" collapsed="false">
      <c r="A1234" s="6" t="s">
        <v>8094</v>
      </c>
      <c r="B1234" s="6" t="s">
        <v>5097</v>
      </c>
      <c r="C1234" s="6" t="s">
        <v>4975</v>
      </c>
      <c r="D1234" s="6" t="s">
        <v>7958</v>
      </c>
      <c r="E1234" s="6" t="s">
        <v>8091</v>
      </c>
      <c r="F1234" s="6" t="s">
        <v>8092</v>
      </c>
      <c r="G1234" s="9" t="n">
        <v>-2998</v>
      </c>
      <c r="H1234" s="6" t="s">
        <v>384</v>
      </c>
      <c r="I1234" s="6" t="s">
        <v>13</v>
      </c>
      <c r="J1234" s="6" t="s">
        <v>223</v>
      </c>
      <c r="K1234" s="6" t="s">
        <v>6013</v>
      </c>
      <c r="M1234" s="6" t="s">
        <v>8093</v>
      </c>
    </row>
    <row r="1235" customFormat="false" ht="15" hidden="false" customHeight="false" outlineLevel="0" collapsed="false">
      <c r="A1235" s="6" t="s">
        <v>8095</v>
      </c>
      <c r="B1235" s="6" t="s">
        <v>5074</v>
      </c>
      <c r="C1235" s="6" t="s">
        <v>4975</v>
      </c>
      <c r="D1235" s="6" t="s">
        <v>7958</v>
      </c>
      <c r="E1235" s="6" t="s">
        <v>8091</v>
      </c>
      <c r="F1235" s="6" t="s">
        <v>8092</v>
      </c>
      <c r="G1235" s="9" t="n">
        <v>-2558</v>
      </c>
      <c r="H1235" s="6" t="s">
        <v>384</v>
      </c>
      <c r="I1235" s="6" t="s">
        <v>13</v>
      </c>
      <c r="J1235" s="6" t="s">
        <v>223</v>
      </c>
      <c r="K1235" s="6" t="s">
        <v>6013</v>
      </c>
      <c r="M1235" s="6" t="s">
        <v>8093</v>
      </c>
    </row>
    <row r="1236" customFormat="false" ht="15" hidden="false" customHeight="false" outlineLevel="0" collapsed="false">
      <c r="A1236" s="6" t="s">
        <v>8096</v>
      </c>
      <c r="B1236" s="6" t="s">
        <v>5074</v>
      </c>
      <c r="C1236" s="6" t="s">
        <v>4975</v>
      </c>
      <c r="D1236" s="6" t="s">
        <v>7958</v>
      </c>
      <c r="E1236" s="6" t="s">
        <v>8091</v>
      </c>
      <c r="F1236" s="6" t="s">
        <v>8097</v>
      </c>
      <c r="G1236" s="9" t="n">
        <v>-2558</v>
      </c>
      <c r="H1236" s="6" t="s">
        <v>384</v>
      </c>
      <c r="I1236" s="6" t="s">
        <v>13</v>
      </c>
      <c r="J1236" s="6" t="s">
        <v>233</v>
      </c>
      <c r="K1236" s="6" t="s">
        <v>6027</v>
      </c>
      <c r="M1236" s="6"/>
    </row>
    <row r="1237" customFormat="false" ht="15" hidden="false" customHeight="false" outlineLevel="0" collapsed="false">
      <c r="A1237" s="6" t="s">
        <v>8098</v>
      </c>
      <c r="B1237" s="6" t="s">
        <v>5113</v>
      </c>
      <c r="C1237" s="6" t="s">
        <v>4975</v>
      </c>
      <c r="D1237" s="6" t="s">
        <v>7958</v>
      </c>
      <c r="E1237" s="6" t="s">
        <v>8091</v>
      </c>
      <c r="F1237" s="6" t="s">
        <v>8097</v>
      </c>
      <c r="G1237" s="9" t="n">
        <v>-2024</v>
      </c>
      <c r="H1237" s="6" t="s">
        <v>384</v>
      </c>
      <c r="I1237" s="6" t="s">
        <v>13</v>
      </c>
      <c r="J1237" s="6" t="s">
        <v>233</v>
      </c>
      <c r="K1237" s="6" t="s">
        <v>6027</v>
      </c>
      <c r="M1237" s="6"/>
    </row>
    <row r="1238" customFormat="false" ht="15" hidden="false" customHeight="false" outlineLevel="0" collapsed="false">
      <c r="A1238" s="6" t="s">
        <v>8099</v>
      </c>
      <c r="B1238" s="6" t="s">
        <v>5079</v>
      </c>
      <c r="C1238" s="6" t="s">
        <v>4975</v>
      </c>
      <c r="D1238" s="6" t="s">
        <v>7958</v>
      </c>
      <c r="E1238" s="6" t="s">
        <v>8091</v>
      </c>
      <c r="F1238" s="6" t="s">
        <v>8097</v>
      </c>
      <c r="G1238" s="9" t="n">
        <v>-3380</v>
      </c>
      <c r="H1238" s="6" t="s">
        <v>384</v>
      </c>
      <c r="I1238" s="6" t="s">
        <v>13</v>
      </c>
      <c r="J1238" s="6" t="s">
        <v>233</v>
      </c>
      <c r="K1238" s="6" t="s">
        <v>6027</v>
      </c>
      <c r="M1238" s="6"/>
    </row>
    <row r="1239" customFormat="false" ht="15" hidden="false" customHeight="false" outlineLevel="0" collapsed="false">
      <c r="A1239" s="6" t="s">
        <v>8100</v>
      </c>
      <c r="B1239" s="6" t="s">
        <v>6032</v>
      </c>
      <c r="C1239" s="6" t="s">
        <v>4975</v>
      </c>
      <c r="D1239" s="6" t="s">
        <v>7958</v>
      </c>
      <c r="E1239" s="6" t="s">
        <v>8101</v>
      </c>
      <c r="F1239" s="6" t="s">
        <v>8102</v>
      </c>
      <c r="G1239" s="9" t="n">
        <v>-365</v>
      </c>
      <c r="H1239" s="6" t="s">
        <v>384</v>
      </c>
      <c r="I1239" s="6" t="s">
        <v>13</v>
      </c>
      <c r="J1239" s="6" t="s">
        <v>209</v>
      </c>
      <c r="K1239" s="6" t="s">
        <v>8103</v>
      </c>
      <c r="M1239" s="6"/>
    </row>
    <row r="1240" customFormat="false" ht="15" hidden="false" customHeight="false" outlineLevel="0" collapsed="false">
      <c r="A1240" s="6" t="s">
        <v>8104</v>
      </c>
      <c r="B1240" s="6" t="s">
        <v>5203</v>
      </c>
      <c r="C1240" s="6" t="s">
        <v>4975</v>
      </c>
      <c r="D1240" s="6" t="s">
        <v>7958</v>
      </c>
      <c r="E1240" s="6" t="s">
        <v>8101</v>
      </c>
      <c r="F1240" s="6" t="s">
        <v>8102</v>
      </c>
      <c r="G1240" s="9" t="n">
        <v>-1119</v>
      </c>
      <c r="H1240" s="6" t="s">
        <v>384</v>
      </c>
      <c r="I1240" s="6" t="s">
        <v>13</v>
      </c>
      <c r="J1240" s="6" t="s">
        <v>209</v>
      </c>
      <c r="K1240" s="6" t="s">
        <v>8103</v>
      </c>
      <c r="M1240" s="6"/>
    </row>
    <row r="1241" customFormat="false" ht="15" hidden="false" customHeight="false" outlineLevel="0" collapsed="false">
      <c r="A1241" s="6" t="s">
        <v>8105</v>
      </c>
      <c r="B1241" s="6" t="s">
        <v>5203</v>
      </c>
      <c r="C1241" s="6" t="s">
        <v>4975</v>
      </c>
      <c r="D1241" s="6" t="s">
        <v>7958</v>
      </c>
      <c r="E1241" s="6" t="s">
        <v>8101</v>
      </c>
      <c r="F1241" s="6" t="s">
        <v>8106</v>
      </c>
      <c r="G1241" s="9" t="n">
        <v>1119</v>
      </c>
      <c r="H1241" s="6" t="s">
        <v>384</v>
      </c>
      <c r="I1241" s="6" t="s">
        <v>13</v>
      </c>
      <c r="J1241" s="6" t="s">
        <v>218</v>
      </c>
      <c r="K1241" s="6" t="s">
        <v>6013</v>
      </c>
      <c r="M1241" s="6" t="s">
        <v>8107</v>
      </c>
    </row>
    <row r="1242" customFormat="false" ht="15" hidden="false" customHeight="false" outlineLevel="0" collapsed="false">
      <c r="A1242" s="6" t="s">
        <v>8108</v>
      </c>
      <c r="B1242" s="6" t="s">
        <v>5102</v>
      </c>
      <c r="C1242" s="6" t="s">
        <v>4975</v>
      </c>
      <c r="D1242" s="6" t="s">
        <v>7958</v>
      </c>
      <c r="E1242" s="6" t="s">
        <v>8101</v>
      </c>
      <c r="F1242" s="6" t="s">
        <v>8102</v>
      </c>
      <c r="G1242" s="9" t="n">
        <v>-2180</v>
      </c>
      <c r="H1242" s="6" t="s">
        <v>384</v>
      </c>
      <c r="I1242" s="6" t="s">
        <v>13</v>
      </c>
      <c r="J1242" s="6" t="s">
        <v>209</v>
      </c>
      <c r="K1242" s="6" t="s">
        <v>8103</v>
      </c>
      <c r="M1242" s="6"/>
    </row>
    <row r="1243" customFormat="false" ht="15" hidden="false" customHeight="false" outlineLevel="0" collapsed="false">
      <c r="A1243" s="6" t="s">
        <v>8109</v>
      </c>
      <c r="B1243" s="6" t="s">
        <v>5102</v>
      </c>
      <c r="C1243" s="6" t="s">
        <v>4975</v>
      </c>
      <c r="D1243" s="6" t="s">
        <v>7958</v>
      </c>
      <c r="E1243" s="6" t="s">
        <v>8101</v>
      </c>
      <c r="F1243" s="6" t="s">
        <v>8106</v>
      </c>
      <c r="G1243" s="9" t="n">
        <v>2180</v>
      </c>
      <c r="H1243" s="6" t="s">
        <v>384</v>
      </c>
      <c r="I1243" s="6" t="s">
        <v>13</v>
      </c>
      <c r="J1243" s="6" t="s">
        <v>218</v>
      </c>
      <c r="K1243" s="6" t="s">
        <v>6013</v>
      </c>
      <c r="M1243" s="6" t="s">
        <v>8107</v>
      </c>
    </row>
    <row r="1244" customFormat="false" ht="15" hidden="false" customHeight="false" outlineLevel="0" collapsed="false">
      <c r="A1244" s="6" t="s">
        <v>8110</v>
      </c>
      <c r="B1244" s="6" t="s">
        <v>5097</v>
      </c>
      <c r="C1244" s="6" t="s">
        <v>4975</v>
      </c>
      <c r="D1244" s="6" t="s">
        <v>7958</v>
      </c>
      <c r="E1244" s="6" t="s">
        <v>8101</v>
      </c>
      <c r="F1244" s="6" t="s">
        <v>8106</v>
      </c>
      <c r="G1244" s="9" t="n">
        <v>2998</v>
      </c>
      <c r="H1244" s="6" t="s">
        <v>384</v>
      </c>
      <c r="I1244" s="6" t="s">
        <v>13</v>
      </c>
      <c r="J1244" s="6" t="s">
        <v>218</v>
      </c>
      <c r="K1244" s="6" t="s">
        <v>6013</v>
      </c>
      <c r="M1244" s="6" t="s">
        <v>8107</v>
      </c>
    </row>
    <row r="1245" customFormat="false" ht="15" hidden="false" customHeight="false" outlineLevel="0" collapsed="false">
      <c r="A1245" s="6" t="s">
        <v>8111</v>
      </c>
      <c r="B1245" s="6" t="s">
        <v>5097</v>
      </c>
      <c r="C1245" s="6" t="s">
        <v>4975</v>
      </c>
      <c r="D1245" s="6" t="s">
        <v>7958</v>
      </c>
      <c r="E1245" s="6" t="s">
        <v>8101</v>
      </c>
      <c r="F1245" s="6" t="s">
        <v>8112</v>
      </c>
      <c r="G1245" s="9" t="n">
        <v>-2998</v>
      </c>
      <c r="H1245" s="6" t="s">
        <v>384</v>
      </c>
      <c r="I1245" s="6" t="s">
        <v>13</v>
      </c>
      <c r="J1245" s="6" t="s">
        <v>228</v>
      </c>
      <c r="K1245" s="6" t="s">
        <v>6022</v>
      </c>
      <c r="M1245" s="6"/>
    </row>
    <row r="1246" customFormat="false" ht="15" hidden="false" customHeight="false" outlineLevel="0" collapsed="false">
      <c r="A1246" s="6" t="s">
        <v>8113</v>
      </c>
      <c r="B1246" s="6" t="s">
        <v>5074</v>
      </c>
      <c r="C1246" s="6" t="s">
        <v>4975</v>
      </c>
      <c r="D1246" s="6" t="s">
        <v>7958</v>
      </c>
      <c r="E1246" s="6" t="s">
        <v>8101</v>
      </c>
      <c r="F1246" s="6" t="s">
        <v>8112</v>
      </c>
      <c r="G1246" s="9" t="n">
        <v>-2558</v>
      </c>
      <c r="H1246" s="6" t="s">
        <v>384</v>
      </c>
      <c r="I1246" s="6" t="s">
        <v>13</v>
      </c>
      <c r="J1246" s="6" t="s">
        <v>228</v>
      </c>
      <c r="K1246" s="6" t="s">
        <v>6022</v>
      </c>
      <c r="M1246" s="6"/>
    </row>
    <row r="1247" customFormat="false" ht="15" hidden="false" customHeight="false" outlineLevel="0" collapsed="false">
      <c r="A1247" s="6" t="s">
        <v>8114</v>
      </c>
      <c r="B1247" s="6" t="s">
        <v>5113</v>
      </c>
      <c r="C1247" s="6" t="s">
        <v>4975</v>
      </c>
      <c r="D1247" s="6" t="s">
        <v>7958</v>
      </c>
      <c r="E1247" s="6" t="s">
        <v>8101</v>
      </c>
      <c r="F1247" s="6" t="s">
        <v>8112</v>
      </c>
      <c r="G1247" s="9" t="n">
        <v>-2024</v>
      </c>
      <c r="H1247" s="6" t="s">
        <v>384</v>
      </c>
      <c r="I1247" s="6" t="s">
        <v>13</v>
      </c>
      <c r="J1247" s="6" t="s">
        <v>228</v>
      </c>
      <c r="K1247" s="6" t="s">
        <v>6022</v>
      </c>
      <c r="M1247" s="6"/>
    </row>
    <row r="1248" customFormat="false" ht="15" hidden="false" customHeight="false" outlineLevel="0" collapsed="false">
      <c r="A1248" s="6" t="s">
        <v>8115</v>
      </c>
      <c r="B1248" s="6" t="s">
        <v>5062</v>
      </c>
      <c r="C1248" s="6" t="s">
        <v>5050</v>
      </c>
      <c r="D1248" s="6" t="s">
        <v>7958</v>
      </c>
      <c r="E1248" s="6" t="s">
        <v>8116</v>
      </c>
      <c r="F1248" s="6" t="s">
        <v>8117</v>
      </c>
      <c r="G1248" s="9" t="n">
        <v>91470</v>
      </c>
      <c r="H1248" s="6" t="s">
        <v>384</v>
      </c>
      <c r="I1248" s="6" t="s">
        <v>13</v>
      </c>
      <c r="J1248" s="6" t="s">
        <v>228</v>
      </c>
      <c r="K1248" s="6" t="s">
        <v>8036</v>
      </c>
      <c r="M1248" s="6"/>
    </row>
    <row r="1249" customFormat="false" ht="15" hidden="false" customHeight="false" outlineLevel="0" collapsed="false">
      <c r="A1249" s="6" t="s">
        <v>8118</v>
      </c>
      <c r="B1249" s="6" t="s">
        <v>5067</v>
      </c>
      <c r="C1249" s="6" t="s">
        <v>5050</v>
      </c>
      <c r="D1249" s="6" t="s">
        <v>7958</v>
      </c>
      <c r="E1249" s="6" t="s">
        <v>8116</v>
      </c>
      <c r="F1249" s="6" t="s">
        <v>8117</v>
      </c>
      <c r="G1249" s="9" t="n">
        <v>98392</v>
      </c>
      <c r="H1249" s="6" t="s">
        <v>384</v>
      </c>
      <c r="I1249" s="6" t="s">
        <v>13</v>
      </c>
      <c r="J1249" s="6" t="s">
        <v>228</v>
      </c>
      <c r="K1249" s="6" t="s">
        <v>8036</v>
      </c>
      <c r="M1249" s="6"/>
    </row>
    <row r="1250" customFormat="false" ht="15" hidden="false" customHeight="false" outlineLevel="0" collapsed="false">
      <c r="A1250" s="6" t="s">
        <v>8119</v>
      </c>
      <c r="B1250" s="6" t="s">
        <v>5067</v>
      </c>
      <c r="C1250" s="6" t="s">
        <v>5050</v>
      </c>
      <c r="D1250" s="6" t="s">
        <v>7958</v>
      </c>
      <c r="E1250" s="6" t="s">
        <v>8116</v>
      </c>
      <c r="F1250" s="6" t="s">
        <v>8120</v>
      </c>
      <c r="G1250" s="9" t="n">
        <v>98392</v>
      </c>
      <c r="H1250" s="6" t="s">
        <v>384</v>
      </c>
      <c r="I1250" s="6" t="s">
        <v>13</v>
      </c>
      <c r="J1250" s="6" t="s">
        <v>233</v>
      </c>
      <c r="K1250" s="6" t="s">
        <v>8040</v>
      </c>
      <c r="M1250" s="6"/>
    </row>
    <row r="1251" customFormat="false" ht="15" hidden="false" customHeight="false" outlineLevel="0" collapsed="false">
      <c r="A1251" s="6" t="s">
        <v>8121</v>
      </c>
      <c r="B1251" s="6" t="s">
        <v>5067</v>
      </c>
      <c r="C1251" s="6" t="s">
        <v>5050</v>
      </c>
      <c r="D1251" s="6" t="s">
        <v>7958</v>
      </c>
      <c r="E1251" s="6" t="s">
        <v>8116</v>
      </c>
      <c r="F1251" s="6" t="s">
        <v>8122</v>
      </c>
      <c r="G1251" s="9" t="n">
        <v>98392</v>
      </c>
      <c r="H1251" s="6" t="s">
        <v>384</v>
      </c>
      <c r="I1251" s="6" t="s">
        <v>13</v>
      </c>
      <c r="J1251" s="6" t="s">
        <v>253</v>
      </c>
      <c r="K1251" s="6" t="s">
        <v>8023</v>
      </c>
      <c r="M1251" s="6" t="s">
        <v>5055</v>
      </c>
    </row>
    <row r="1252" customFormat="false" ht="15" hidden="false" customHeight="false" outlineLevel="0" collapsed="false">
      <c r="A1252" s="6" t="s">
        <v>8123</v>
      </c>
      <c r="B1252" s="6" t="s">
        <v>5245</v>
      </c>
      <c r="C1252" s="6" t="s">
        <v>5050</v>
      </c>
      <c r="D1252" s="6" t="s">
        <v>7958</v>
      </c>
      <c r="E1252" s="6" t="s">
        <v>8116</v>
      </c>
      <c r="F1252" s="6" t="s">
        <v>8122</v>
      </c>
      <c r="G1252" s="9" t="n">
        <v>73804</v>
      </c>
      <c r="H1252" s="6" t="s">
        <v>384</v>
      </c>
      <c r="I1252" s="6" t="s">
        <v>13</v>
      </c>
      <c r="J1252" s="6" t="s">
        <v>253</v>
      </c>
      <c r="K1252" s="6" t="s">
        <v>8023</v>
      </c>
      <c r="M1252" s="6" t="s">
        <v>5055</v>
      </c>
    </row>
    <row r="1253" customFormat="false" ht="15" hidden="false" customHeight="false" outlineLevel="0" collapsed="false">
      <c r="A1253" s="6" t="s">
        <v>8124</v>
      </c>
      <c r="B1253" s="6" t="s">
        <v>5072</v>
      </c>
      <c r="C1253" s="6" t="s">
        <v>5050</v>
      </c>
      <c r="D1253" s="6" t="s">
        <v>7958</v>
      </c>
      <c r="E1253" s="6" t="s">
        <v>8116</v>
      </c>
      <c r="F1253" s="6" t="s">
        <v>8120</v>
      </c>
      <c r="G1253" s="9" t="n">
        <v>132131</v>
      </c>
      <c r="H1253" s="6" t="s">
        <v>384</v>
      </c>
      <c r="I1253" s="6" t="s">
        <v>13</v>
      </c>
      <c r="J1253" s="6" t="s">
        <v>233</v>
      </c>
      <c r="K1253" s="6" t="s">
        <v>8040</v>
      </c>
      <c r="M1253" s="6"/>
    </row>
    <row r="1254" customFormat="false" ht="15" hidden="false" customHeight="false" outlineLevel="0" collapsed="false">
      <c r="A1254" s="6" t="s">
        <v>8125</v>
      </c>
      <c r="B1254" s="6" t="s">
        <v>5072</v>
      </c>
      <c r="C1254" s="6" t="s">
        <v>5050</v>
      </c>
      <c r="D1254" s="6" t="s">
        <v>7958</v>
      </c>
      <c r="E1254" s="6" t="s">
        <v>8116</v>
      </c>
      <c r="F1254" s="6" t="s">
        <v>8126</v>
      </c>
      <c r="G1254" s="9" t="n">
        <v>132131</v>
      </c>
      <c r="H1254" s="6" t="s">
        <v>384</v>
      </c>
      <c r="I1254" s="6" t="s">
        <v>13</v>
      </c>
      <c r="J1254" s="6" t="s">
        <v>261</v>
      </c>
      <c r="K1254" s="6" t="s">
        <v>8027</v>
      </c>
      <c r="M1254" s="6" t="s">
        <v>5055</v>
      </c>
    </row>
    <row r="1255" customFormat="false" ht="15" hidden="false" customHeight="false" outlineLevel="0" collapsed="false">
      <c r="A1255" s="6" t="s">
        <v>8127</v>
      </c>
      <c r="B1255" s="6" t="s">
        <v>5249</v>
      </c>
      <c r="C1255" s="6" t="s">
        <v>5050</v>
      </c>
      <c r="D1255" s="6" t="s">
        <v>7958</v>
      </c>
      <c r="E1255" s="6" t="s">
        <v>8116</v>
      </c>
      <c r="F1255" s="6" t="s">
        <v>8126</v>
      </c>
      <c r="G1255" s="9" t="n">
        <v>207113</v>
      </c>
      <c r="H1255" s="6" t="s">
        <v>384</v>
      </c>
      <c r="I1255" s="6" t="s">
        <v>13</v>
      </c>
      <c r="J1255" s="6" t="s">
        <v>261</v>
      </c>
      <c r="K1255" s="6" t="s">
        <v>8027</v>
      </c>
      <c r="M1255" s="6" t="s">
        <v>5055</v>
      </c>
    </row>
    <row r="1256" customFormat="false" ht="15" hidden="false" customHeight="false" outlineLevel="0" collapsed="false">
      <c r="A1256" s="6" t="s">
        <v>8128</v>
      </c>
      <c r="B1256" s="6" t="s">
        <v>5468</v>
      </c>
      <c r="C1256" s="6" t="s">
        <v>5050</v>
      </c>
      <c r="D1256" s="6" t="s">
        <v>7958</v>
      </c>
      <c r="E1256" s="6" t="s">
        <v>3767</v>
      </c>
      <c r="F1256" s="6" t="s">
        <v>8129</v>
      </c>
      <c r="G1256" s="9" t="n">
        <v>129814</v>
      </c>
      <c r="H1256" s="6" t="s">
        <v>384</v>
      </c>
      <c r="I1256" s="6" t="s">
        <v>13</v>
      </c>
      <c r="J1256" s="6" t="s">
        <v>209</v>
      </c>
      <c r="K1256" s="6" t="s">
        <v>6065</v>
      </c>
      <c r="M1256" s="6"/>
    </row>
    <row r="1257" customFormat="false" ht="15" hidden="false" customHeight="false" outlineLevel="0" collapsed="false">
      <c r="A1257" s="6" t="s">
        <v>8130</v>
      </c>
      <c r="B1257" s="6" t="s">
        <v>5049</v>
      </c>
      <c r="C1257" s="6" t="s">
        <v>5050</v>
      </c>
      <c r="D1257" s="6" t="s">
        <v>7958</v>
      </c>
      <c r="E1257" s="6" t="s">
        <v>3767</v>
      </c>
      <c r="F1257" s="6" t="s">
        <v>8129</v>
      </c>
      <c r="G1257" s="9" t="n">
        <v>886812</v>
      </c>
      <c r="H1257" s="6" t="s">
        <v>384</v>
      </c>
      <c r="I1257" s="6" t="s">
        <v>13</v>
      </c>
      <c r="J1257" s="6" t="s">
        <v>209</v>
      </c>
      <c r="K1257" s="6" t="s">
        <v>6065</v>
      </c>
      <c r="M1257" s="6"/>
    </row>
    <row r="1258" customFormat="false" ht="15" hidden="false" customHeight="false" outlineLevel="0" collapsed="false">
      <c r="A1258" s="6" t="s">
        <v>8131</v>
      </c>
      <c r="B1258" s="6" t="s">
        <v>5049</v>
      </c>
      <c r="C1258" s="6" t="s">
        <v>5050</v>
      </c>
      <c r="D1258" s="6" t="s">
        <v>7958</v>
      </c>
      <c r="E1258" s="6" t="s">
        <v>3767</v>
      </c>
      <c r="F1258" s="6" t="s">
        <v>8132</v>
      </c>
      <c r="G1258" s="9" t="n">
        <v>886812</v>
      </c>
      <c r="H1258" s="6" t="s">
        <v>384</v>
      </c>
      <c r="I1258" s="6" t="s">
        <v>13</v>
      </c>
      <c r="J1258" s="6" t="s">
        <v>218</v>
      </c>
      <c r="K1258" s="6" t="s">
        <v>6065</v>
      </c>
      <c r="M1258" s="6"/>
    </row>
    <row r="1259" customFormat="false" ht="15" hidden="false" customHeight="false" outlineLevel="0" collapsed="false">
      <c r="A1259" s="6" t="s">
        <v>8133</v>
      </c>
      <c r="B1259" s="6" t="s">
        <v>5049</v>
      </c>
      <c r="C1259" s="6" t="s">
        <v>5050</v>
      </c>
      <c r="D1259" s="6" t="s">
        <v>7958</v>
      </c>
      <c r="E1259" s="6" t="s">
        <v>3767</v>
      </c>
      <c r="F1259" s="6" t="s">
        <v>8134</v>
      </c>
      <c r="G1259" s="9" t="n">
        <v>886812</v>
      </c>
      <c r="H1259" s="6" t="s">
        <v>384</v>
      </c>
      <c r="I1259" s="6" t="s">
        <v>13</v>
      </c>
      <c r="J1259" s="6" t="s">
        <v>223</v>
      </c>
      <c r="K1259" s="6" t="s">
        <v>6013</v>
      </c>
      <c r="M1259" s="6"/>
    </row>
    <row r="1260" customFormat="false" ht="15" hidden="false" customHeight="false" outlineLevel="0" collapsed="false">
      <c r="A1260" s="6" t="s">
        <v>8135</v>
      </c>
      <c r="B1260" s="6" t="s">
        <v>5057</v>
      </c>
      <c r="C1260" s="6" t="s">
        <v>5050</v>
      </c>
      <c r="D1260" s="6" t="s">
        <v>7958</v>
      </c>
      <c r="E1260" s="6" t="s">
        <v>3767</v>
      </c>
      <c r="F1260" s="6" t="s">
        <v>8132</v>
      </c>
      <c r="G1260" s="9" t="n">
        <v>885894</v>
      </c>
      <c r="H1260" s="6" t="s">
        <v>384</v>
      </c>
      <c r="I1260" s="6" t="s">
        <v>13</v>
      </c>
      <c r="J1260" s="6" t="s">
        <v>218</v>
      </c>
      <c r="K1260" s="6" t="s">
        <v>6065</v>
      </c>
      <c r="M1260" s="6"/>
    </row>
    <row r="1261" customFormat="false" ht="15" hidden="false" customHeight="false" outlineLevel="0" collapsed="false">
      <c r="A1261" s="6" t="s">
        <v>8136</v>
      </c>
      <c r="B1261" s="6" t="s">
        <v>5057</v>
      </c>
      <c r="C1261" s="6" t="s">
        <v>5050</v>
      </c>
      <c r="D1261" s="6" t="s">
        <v>7958</v>
      </c>
      <c r="E1261" s="6" t="s">
        <v>3767</v>
      </c>
      <c r="F1261" s="6" t="s">
        <v>8137</v>
      </c>
      <c r="G1261" s="9" t="n">
        <v>885894</v>
      </c>
      <c r="H1261" s="6" t="s">
        <v>384</v>
      </c>
      <c r="I1261" s="6" t="s">
        <v>13</v>
      </c>
      <c r="J1261" s="6" t="s">
        <v>223</v>
      </c>
      <c r="K1261" s="6" t="s">
        <v>6065</v>
      </c>
      <c r="M1261" s="6"/>
    </row>
    <row r="1262" customFormat="false" ht="15" hidden="false" customHeight="false" outlineLevel="0" collapsed="false">
      <c r="A1262" s="6" t="s">
        <v>8138</v>
      </c>
      <c r="B1262" s="6" t="s">
        <v>5062</v>
      </c>
      <c r="C1262" s="6" t="s">
        <v>5050</v>
      </c>
      <c r="D1262" s="6" t="s">
        <v>7958</v>
      </c>
      <c r="E1262" s="6" t="s">
        <v>3767</v>
      </c>
      <c r="F1262" s="6" t="s">
        <v>8137</v>
      </c>
      <c r="G1262" s="9" t="n">
        <v>1116128</v>
      </c>
      <c r="H1262" s="6" t="s">
        <v>384</v>
      </c>
      <c r="I1262" s="6" t="s">
        <v>13</v>
      </c>
      <c r="J1262" s="6" t="s">
        <v>223</v>
      </c>
      <c r="K1262" s="6" t="s">
        <v>6065</v>
      </c>
      <c r="M1262" s="6" t="s">
        <v>8139</v>
      </c>
    </row>
    <row r="1263" customFormat="false" ht="15" hidden="false" customHeight="false" outlineLevel="0" collapsed="false">
      <c r="A1263" s="6" t="s">
        <v>8140</v>
      </c>
      <c r="B1263" s="6" t="s">
        <v>5062</v>
      </c>
      <c r="C1263" s="6" t="s">
        <v>5050</v>
      </c>
      <c r="D1263" s="6" t="s">
        <v>7958</v>
      </c>
      <c r="E1263" s="6" t="s">
        <v>3767</v>
      </c>
      <c r="F1263" s="6" t="s">
        <v>8141</v>
      </c>
      <c r="G1263" s="9" t="n">
        <v>1116128</v>
      </c>
      <c r="H1263" s="6" t="s">
        <v>384</v>
      </c>
      <c r="I1263" s="6" t="s">
        <v>13</v>
      </c>
      <c r="J1263" s="6" t="s">
        <v>238</v>
      </c>
      <c r="K1263" s="6" t="s">
        <v>6112</v>
      </c>
      <c r="M1263" s="6"/>
    </row>
    <row r="1264" customFormat="false" ht="15" hidden="false" customHeight="false" outlineLevel="0" collapsed="false">
      <c r="A1264" s="6" t="s">
        <v>8142</v>
      </c>
      <c r="B1264" s="6" t="s">
        <v>5239</v>
      </c>
      <c r="C1264" s="6" t="s">
        <v>5050</v>
      </c>
      <c r="D1264" s="6" t="s">
        <v>7958</v>
      </c>
      <c r="E1264" s="6" t="s">
        <v>3767</v>
      </c>
      <c r="F1264" s="6" t="s">
        <v>8141</v>
      </c>
      <c r="G1264" s="9" t="n">
        <v>1290242</v>
      </c>
      <c r="H1264" s="6" t="s">
        <v>384</v>
      </c>
      <c r="I1264" s="6" t="s">
        <v>13</v>
      </c>
      <c r="J1264" s="6" t="s">
        <v>238</v>
      </c>
      <c r="K1264" s="6" t="s">
        <v>6112</v>
      </c>
      <c r="M1264" s="6"/>
    </row>
    <row r="1265" customFormat="false" ht="15" hidden="false" customHeight="false" outlineLevel="0" collapsed="false">
      <c r="A1265" s="6" t="s">
        <v>8143</v>
      </c>
      <c r="B1265" s="6" t="s">
        <v>5067</v>
      </c>
      <c r="C1265" s="6" t="s">
        <v>5050</v>
      </c>
      <c r="D1265" s="6" t="s">
        <v>7958</v>
      </c>
      <c r="E1265" s="6" t="s">
        <v>3767</v>
      </c>
      <c r="F1265" s="6" t="s">
        <v>8144</v>
      </c>
      <c r="G1265" s="9" t="n">
        <v>1411602</v>
      </c>
      <c r="H1265" s="6" t="s">
        <v>384</v>
      </c>
      <c r="I1265" s="6" t="s">
        <v>13</v>
      </c>
      <c r="J1265" s="6" t="s">
        <v>233</v>
      </c>
      <c r="K1265" s="6" t="s">
        <v>8040</v>
      </c>
      <c r="M1265" s="6"/>
    </row>
    <row r="1266" customFormat="false" ht="15" hidden="false" customHeight="false" outlineLevel="0" collapsed="false">
      <c r="A1266" s="6" t="s">
        <v>8145</v>
      </c>
      <c r="B1266" s="6" t="s">
        <v>5072</v>
      </c>
      <c r="C1266" s="6" t="s">
        <v>5050</v>
      </c>
      <c r="D1266" s="6" t="s">
        <v>7958</v>
      </c>
      <c r="E1266" s="6" t="s">
        <v>3767</v>
      </c>
      <c r="F1266" s="6" t="s">
        <v>8144</v>
      </c>
      <c r="G1266" s="9" t="n">
        <v>1503149</v>
      </c>
      <c r="H1266" s="6" t="s">
        <v>384</v>
      </c>
      <c r="I1266" s="6" t="s">
        <v>13</v>
      </c>
      <c r="J1266" s="6" t="s">
        <v>233</v>
      </c>
      <c r="K1266" s="6" t="s">
        <v>8040</v>
      </c>
      <c r="M1266" s="6"/>
    </row>
    <row r="1267" customFormat="false" ht="15" hidden="false" customHeight="false" outlineLevel="0" collapsed="false">
      <c r="A1267" s="6" t="s">
        <v>8146</v>
      </c>
      <c r="B1267" s="6" t="s">
        <v>5067</v>
      </c>
      <c r="C1267" s="6" t="s">
        <v>5050</v>
      </c>
      <c r="D1267" s="6" t="s">
        <v>7958</v>
      </c>
      <c r="E1267" s="6" t="s">
        <v>8147</v>
      </c>
      <c r="F1267" s="6" t="s">
        <v>8148</v>
      </c>
      <c r="G1267" s="9" t="n">
        <v>1411600</v>
      </c>
      <c r="H1267" s="6" t="s">
        <v>384</v>
      </c>
      <c r="I1267" s="6" t="s">
        <v>13</v>
      </c>
      <c r="J1267" s="6" t="s">
        <v>228</v>
      </c>
      <c r="K1267" s="6" t="s">
        <v>6084</v>
      </c>
      <c r="M1267" s="6" t="s">
        <v>8149</v>
      </c>
    </row>
    <row r="1268" customFormat="false" ht="15" hidden="false" customHeight="false" outlineLevel="0" collapsed="false">
      <c r="A1268" s="6" t="s">
        <v>8150</v>
      </c>
      <c r="B1268" s="6" t="s">
        <v>5403</v>
      </c>
      <c r="C1268" s="6" t="s">
        <v>5050</v>
      </c>
      <c r="D1268" s="6" t="s">
        <v>7958</v>
      </c>
      <c r="E1268" s="6" t="s">
        <v>8151</v>
      </c>
      <c r="F1268" s="6" t="s">
        <v>8152</v>
      </c>
      <c r="G1268" s="19" t="n">
        <v>1.2</v>
      </c>
      <c r="H1268" s="6" t="s">
        <v>5337</v>
      </c>
      <c r="I1268" s="6" t="s">
        <v>13</v>
      </c>
      <c r="J1268" s="6" t="s">
        <v>310</v>
      </c>
      <c r="K1268" s="6" t="s">
        <v>5411</v>
      </c>
      <c r="M1268" s="6"/>
    </row>
    <row r="1269" customFormat="false" ht="15" hidden="false" customHeight="false" outlineLevel="0" collapsed="false">
      <c r="A1269" s="6" t="s">
        <v>8153</v>
      </c>
      <c r="B1269" s="6" t="s">
        <v>5074</v>
      </c>
      <c r="C1269" s="6" t="s">
        <v>4975</v>
      </c>
      <c r="D1269" s="6" t="s">
        <v>7958</v>
      </c>
      <c r="E1269" s="6" t="s">
        <v>8154</v>
      </c>
      <c r="F1269" s="6" t="s">
        <v>8155</v>
      </c>
      <c r="G1269" s="9" t="n">
        <v>7560</v>
      </c>
      <c r="H1269" s="6" t="s">
        <v>384</v>
      </c>
      <c r="I1269" s="6" t="s">
        <v>13</v>
      </c>
      <c r="J1269" s="6" t="s">
        <v>233</v>
      </c>
      <c r="K1269" s="6" t="s">
        <v>8156</v>
      </c>
      <c r="M1269" s="6"/>
    </row>
    <row r="1270" customFormat="false" ht="15" hidden="false" customHeight="false" outlineLevel="0" collapsed="false">
      <c r="A1270" s="6" t="s">
        <v>8157</v>
      </c>
      <c r="B1270" s="6" t="s">
        <v>5113</v>
      </c>
      <c r="C1270" s="6" t="s">
        <v>4975</v>
      </c>
      <c r="D1270" s="6" t="s">
        <v>7958</v>
      </c>
      <c r="E1270" s="6" t="s">
        <v>8154</v>
      </c>
      <c r="F1270" s="6" t="s">
        <v>8155</v>
      </c>
      <c r="G1270" s="9" t="n">
        <v>6210</v>
      </c>
      <c r="H1270" s="6" t="s">
        <v>384</v>
      </c>
      <c r="I1270" s="6" t="s">
        <v>13</v>
      </c>
      <c r="J1270" s="6" t="s">
        <v>233</v>
      </c>
      <c r="K1270" s="6" t="s">
        <v>8156</v>
      </c>
      <c r="M1270" s="6"/>
    </row>
    <row r="1271" customFormat="false" ht="15" hidden="false" customHeight="false" outlineLevel="0" collapsed="false">
      <c r="A1271" s="6" t="s">
        <v>8158</v>
      </c>
      <c r="B1271" s="6" t="s">
        <v>5079</v>
      </c>
      <c r="C1271" s="6" t="s">
        <v>4975</v>
      </c>
      <c r="D1271" s="6" t="s">
        <v>7958</v>
      </c>
      <c r="E1271" s="6" t="s">
        <v>8154</v>
      </c>
      <c r="F1271" s="6" t="s">
        <v>8155</v>
      </c>
      <c r="G1271" s="9" t="n">
        <v>4858</v>
      </c>
      <c r="H1271" s="6" t="s">
        <v>384</v>
      </c>
      <c r="I1271" s="6" t="s">
        <v>13</v>
      </c>
      <c r="J1271" s="6" t="s">
        <v>233</v>
      </c>
      <c r="K1271" s="6" t="s">
        <v>8156</v>
      </c>
      <c r="M1271" s="6"/>
    </row>
    <row r="1272" customFormat="false" ht="15" hidden="false" customHeight="false" outlineLevel="0" collapsed="false">
      <c r="A1272" s="6" t="s">
        <v>8159</v>
      </c>
      <c r="B1272" s="6" t="s">
        <v>5097</v>
      </c>
      <c r="C1272" s="6" t="s">
        <v>4975</v>
      </c>
      <c r="D1272" s="6" t="s">
        <v>7958</v>
      </c>
      <c r="E1272" s="6" t="s">
        <v>8160</v>
      </c>
      <c r="F1272" s="6" t="s">
        <v>8161</v>
      </c>
      <c r="G1272" s="9" t="n">
        <v>5909</v>
      </c>
      <c r="H1272" s="6" t="s">
        <v>384</v>
      </c>
      <c r="I1272" s="6" t="s">
        <v>13</v>
      </c>
      <c r="J1272" s="6" t="s">
        <v>228</v>
      </c>
      <c r="K1272" s="6" t="s">
        <v>6022</v>
      </c>
      <c r="M1272" s="6"/>
    </row>
    <row r="1273" customFormat="false" ht="15" hidden="false" customHeight="false" outlineLevel="0" collapsed="false">
      <c r="A1273" s="6" t="s">
        <v>8162</v>
      </c>
      <c r="B1273" s="6" t="s">
        <v>5074</v>
      </c>
      <c r="C1273" s="6" t="s">
        <v>4975</v>
      </c>
      <c r="D1273" s="6" t="s">
        <v>7958</v>
      </c>
      <c r="E1273" s="6" t="s">
        <v>8160</v>
      </c>
      <c r="F1273" s="6" t="s">
        <v>8161</v>
      </c>
      <c r="G1273" s="9" t="n">
        <v>7560</v>
      </c>
      <c r="H1273" s="6" t="s">
        <v>384</v>
      </c>
      <c r="I1273" s="6" t="s">
        <v>13</v>
      </c>
      <c r="J1273" s="6" t="s">
        <v>228</v>
      </c>
      <c r="K1273" s="6" t="s">
        <v>6022</v>
      </c>
      <c r="M1273" s="6"/>
    </row>
    <row r="1274" customFormat="false" ht="15" hidden="false" customHeight="false" outlineLevel="0" collapsed="false">
      <c r="A1274" s="6" t="s">
        <v>8163</v>
      </c>
      <c r="B1274" s="6" t="s">
        <v>5113</v>
      </c>
      <c r="C1274" s="6" t="s">
        <v>4975</v>
      </c>
      <c r="D1274" s="6" t="s">
        <v>7958</v>
      </c>
      <c r="E1274" s="6" t="s">
        <v>8160</v>
      </c>
      <c r="F1274" s="6" t="s">
        <v>8161</v>
      </c>
      <c r="G1274" s="9" t="n">
        <v>6210</v>
      </c>
      <c r="H1274" s="6" t="s">
        <v>384</v>
      </c>
      <c r="I1274" s="6" t="s">
        <v>13</v>
      </c>
      <c r="J1274" s="6" t="s">
        <v>228</v>
      </c>
      <c r="K1274" s="6" t="s">
        <v>6022</v>
      </c>
      <c r="M1274" s="6"/>
    </row>
    <row r="1275" customFormat="false" ht="15" hidden="false" customHeight="false" outlineLevel="0" collapsed="false">
      <c r="A1275" s="6" t="s">
        <v>8164</v>
      </c>
      <c r="B1275" s="6" t="s">
        <v>5057</v>
      </c>
      <c r="C1275" s="6" t="s">
        <v>5050</v>
      </c>
      <c r="D1275" s="6" t="s">
        <v>7958</v>
      </c>
      <c r="E1275" s="6" t="s">
        <v>8165</v>
      </c>
      <c r="F1275" s="6" t="s">
        <v>8166</v>
      </c>
      <c r="G1275" s="13" t="n">
        <v>6.3</v>
      </c>
      <c r="H1275" s="6" t="s">
        <v>3751</v>
      </c>
      <c r="I1275" s="6" t="s">
        <v>13</v>
      </c>
      <c r="J1275" s="6" t="s">
        <v>218</v>
      </c>
      <c r="K1275" s="6" t="s">
        <v>6080</v>
      </c>
      <c r="M1275" s="6"/>
    </row>
    <row r="1276" customFormat="false" ht="15" hidden="false" customHeight="false" outlineLevel="0" collapsed="false">
      <c r="A1276" s="6" t="s">
        <v>8167</v>
      </c>
      <c r="B1276" s="6" t="s">
        <v>5049</v>
      </c>
      <c r="C1276" s="6" t="s">
        <v>5050</v>
      </c>
      <c r="D1276" s="6" t="s">
        <v>7958</v>
      </c>
      <c r="E1276" s="6" t="s">
        <v>8168</v>
      </c>
      <c r="F1276" s="6" t="s">
        <v>8169</v>
      </c>
      <c r="G1276" s="13" t="n">
        <v>6.3</v>
      </c>
      <c r="H1276" s="6" t="s">
        <v>3751</v>
      </c>
      <c r="I1276" s="6" t="s">
        <v>13</v>
      </c>
      <c r="J1276" s="6" t="s">
        <v>209</v>
      </c>
      <c r="K1276" s="6" t="s">
        <v>8170</v>
      </c>
      <c r="M1276" s="6" t="s">
        <v>8171</v>
      </c>
    </row>
    <row r="1277" customFormat="false" ht="15" hidden="false" customHeight="false" outlineLevel="0" collapsed="false">
      <c r="A1277" s="6" t="s">
        <v>8172</v>
      </c>
      <c r="B1277" s="6" t="s">
        <v>5049</v>
      </c>
      <c r="C1277" s="6" t="s">
        <v>5050</v>
      </c>
      <c r="D1277" s="6" t="s">
        <v>7958</v>
      </c>
      <c r="E1277" s="6" t="s">
        <v>8173</v>
      </c>
      <c r="F1277" s="6" t="s">
        <v>8174</v>
      </c>
      <c r="G1277" s="9" t="n">
        <v>8095</v>
      </c>
      <c r="H1277" s="6" t="s">
        <v>384</v>
      </c>
      <c r="I1277" s="6" t="s">
        <v>13</v>
      </c>
      <c r="J1277" s="6" t="s">
        <v>218</v>
      </c>
      <c r="K1277" s="6" t="s">
        <v>8001</v>
      </c>
      <c r="M1277" s="6"/>
    </row>
    <row r="1278" customFormat="false" ht="15" hidden="false" customHeight="false" outlineLevel="0" collapsed="false">
      <c r="A1278" s="6" t="s">
        <v>8175</v>
      </c>
      <c r="B1278" s="6" t="s">
        <v>5057</v>
      </c>
      <c r="C1278" s="6" t="s">
        <v>5050</v>
      </c>
      <c r="D1278" s="6" t="s">
        <v>7958</v>
      </c>
      <c r="E1278" s="6" t="s">
        <v>8173</v>
      </c>
      <c r="F1278" s="6" t="s">
        <v>8174</v>
      </c>
      <c r="G1278" s="9" t="n">
        <v>12569</v>
      </c>
      <c r="H1278" s="6" t="s">
        <v>384</v>
      </c>
      <c r="I1278" s="6" t="s">
        <v>13</v>
      </c>
      <c r="J1278" s="6" t="s">
        <v>218</v>
      </c>
      <c r="K1278" s="6" t="s">
        <v>8001</v>
      </c>
      <c r="M1278" s="6"/>
    </row>
    <row r="1279" customFormat="false" ht="15" hidden="false" customHeight="false" outlineLevel="0" collapsed="false">
      <c r="A1279" s="6" t="s">
        <v>8176</v>
      </c>
      <c r="B1279" s="6" t="s">
        <v>5062</v>
      </c>
      <c r="C1279" s="6" t="s">
        <v>5050</v>
      </c>
      <c r="D1279" s="6" t="s">
        <v>7958</v>
      </c>
      <c r="E1279" s="6" t="s">
        <v>8177</v>
      </c>
      <c r="F1279" s="6" t="s">
        <v>8178</v>
      </c>
      <c r="G1279" s="9" t="n">
        <v>14995</v>
      </c>
      <c r="H1279" s="6" t="s">
        <v>384</v>
      </c>
      <c r="I1279" s="6" t="s">
        <v>13</v>
      </c>
      <c r="J1279" s="6" t="s">
        <v>228</v>
      </c>
      <c r="K1279" s="6" t="s">
        <v>8011</v>
      </c>
      <c r="M1279" s="6"/>
    </row>
    <row r="1280" customFormat="false" ht="15" hidden="false" customHeight="false" outlineLevel="0" collapsed="false">
      <c r="A1280" s="6" t="s">
        <v>8179</v>
      </c>
      <c r="B1280" s="6" t="s">
        <v>5067</v>
      </c>
      <c r="C1280" s="6" t="s">
        <v>5050</v>
      </c>
      <c r="D1280" s="6" t="s">
        <v>7958</v>
      </c>
      <c r="E1280" s="6" t="s">
        <v>8177</v>
      </c>
      <c r="F1280" s="6" t="s">
        <v>8178</v>
      </c>
      <c r="G1280" s="9" t="n">
        <v>20912</v>
      </c>
      <c r="H1280" s="6" t="s">
        <v>384</v>
      </c>
      <c r="I1280" s="6" t="s">
        <v>13</v>
      </c>
      <c r="J1280" s="6" t="s">
        <v>228</v>
      </c>
      <c r="K1280" s="6" t="s">
        <v>8011</v>
      </c>
      <c r="M1280" s="6"/>
    </row>
    <row r="1281" customFormat="false" ht="15" hidden="false" customHeight="false" outlineLevel="0" collapsed="false">
      <c r="A1281" s="6" t="s">
        <v>8180</v>
      </c>
      <c r="B1281" s="6" t="s">
        <v>5049</v>
      </c>
      <c r="C1281" s="6" t="s">
        <v>5050</v>
      </c>
      <c r="D1281" s="6" t="s">
        <v>7958</v>
      </c>
      <c r="E1281" s="6" t="s">
        <v>8181</v>
      </c>
      <c r="F1281" s="6" t="s">
        <v>8182</v>
      </c>
      <c r="G1281" s="9" t="n">
        <v>30000</v>
      </c>
      <c r="H1281" s="6" t="s">
        <v>384</v>
      </c>
      <c r="I1281" s="6" t="s">
        <v>13</v>
      </c>
      <c r="J1281" s="6" t="s">
        <v>209</v>
      </c>
      <c r="K1281" s="6" t="s">
        <v>8183</v>
      </c>
      <c r="M1281" s="6"/>
    </row>
    <row r="1282" customFormat="false" ht="15" hidden="false" customHeight="false" outlineLevel="0" collapsed="false">
      <c r="A1282" s="6" t="s">
        <v>8184</v>
      </c>
      <c r="B1282" s="6" t="s">
        <v>5062</v>
      </c>
      <c r="C1282" s="6" t="s">
        <v>5050</v>
      </c>
      <c r="D1282" s="6" t="s">
        <v>7958</v>
      </c>
      <c r="E1282" s="6" t="s">
        <v>8185</v>
      </c>
      <c r="F1282" s="6" t="s">
        <v>8186</v>
      </c>
      <c r="G1282" s="9" t="n">
        <v>1810</v>
      </c>
      <c r="H1282" s="6" t="s">
        <v>384</v>
      </c>
      <c r="I1282" s="6" t="s">
        <v>13</v>
      </c>
      <c r="J1282" s="6" t="s">
        <v>223</v>
      </c>
      <c r="K1282" s="6" t="s">
        <v>8187</v>
      </c>
      <c r="M1282" s="6"/>
    </row>
    <row r="1283" customFormat="false" ht="15" hidden="false" customHeight="false" outlineLevel="0" collapsed="false">
      <c r="A1283" s="6" t="s">
        <v>8188</v>
      </c>
      <c r="B1283" s="6" t="s">
        <v>6032</v>
      </c>
      <c r="C1283" s="6" t="s">
        <v>4975</v>
      </c>
      <c r="D1283" s="6" t="s">
        <v>7958</v>
      </c>
      <c r="E1283" s="6" t="s">
        <v>8189</v>
      </c>
      <c r="F1283" s="6" t="s">
        <v>8190</v>
      </c>
      <c r="G1283" s="9" t="n">
        <v>579</v>
      </c>
      <c r="H1283" s="6" t="s">
        <v>384</v>
      </c>
      <c r="I1283" s="6" t="s">
        <v>13</v>
      </c>
      <c r="J1283" s="6" t="s">
        <v>209</v>
      </c>
      <c r="K1283" s="6" t="s">
        <v>7997</v>
      </c>
      <c r="M1283" s="6"/>
    </row>
    <row r="1284" customFormat="false" ht="15" hidden="false" customHeight="false" outlineLevel="0" collapsed="false">
      <c r="A1284" s="6" t="s">
        <v>8191</v>
      </c>
      <c r="B1284" s="6" t="s">
        <v>5203</v>
      </c>
      <c r="C1284" s="6" t="s">
        <v>4975</v>
      </c>
      <c r="D1284" s="6" t="s">
        <v>7958</v>
      </c>
      <c r="E1284" s="6" t="s">
        <v>8189</v>
      </c>
      <c r="F1284" s="6" t="s">
        <v>8190</v>
      </c>
      <c r="G1284" s="9" t="n">
        <v>1888</v>
      </c>
      <c r="H1284" s="6" t="s">
        <v>384</v>
      </c>
      <c r="I1284" s="6" t="s">
        <v>13</v>
      </c>
      <c r="J1284" s="6" t="s">
        <v>209</v>
      </c>
      <c r="K1284" s="6" t="s">
        <v>7997</v>
      </c>
      <c r="M1284" s="6"/>
    </row>
    <row r="1285" customFormat="false" ht="15" hidden="false" customHeight="false" outlineLevel="0" collapsed="false">
      <c r="A1285" s="6" t="s">
        <v>8192</v>
      </c>
      <c r="B1285" s="6" t="s">
        <v>5102</v>
      </c>
      <c r="C1285" s="6" t="s">
        <v>4975</v>
      </c>
      <c r="D1285" s="6" t="s">
        <v>7958</v>
      </c>
      <c r="E1285" s="6" t="s">
        <v>8189</v>
      </c>
      <c r="F1285" s="6" t="s">
        <v>8190</v>
      </c>
      <c r="G1285" s="9" t="n">
        <v>2746</v>
      </c>
      <c r="H1285" s="6" t="s">
        <v>384</v>
      </c>
      <c r="I1285" s="6" t="s">
        <v>13</v>
      </c>
      <c r="J1285" s="6" t="s">
        <v>209</v>
      </c>
      <c r="K1285" s="6" t="s">
        <v>7997</v>
      </c>
      <c r="M1285" s="6"/>
    </row>
    <row r="1286" customFormat="false" ht="15" hidden="false" customHeight="false" outlineLevel="0" collapsed="false">
      <c r="A1286" s="6" t="s">
        <v>8193</v>
      </c>
      <c r="B1286" s="6" t="s">
        <v>5519</v>
      </c>
      <c r="C1286" s="6" t="s">
        <v>5316</v>
      </c>
      <c r="D1286" s="6" t="s">
        <v>7958</v>
      </c>
      <c r="E1286" s="6" t="s">
        <v>8189</v>
      </c>
      <c r="F1286" s="6" t="s">
        <v>8194</v>
      </c>
      <c r="G1286" s="9" t="n">
        <v>4136</v>
      </c>
      <c r="H1286" s="6" t="s">
        <v>384</v>
      </c>
      <c r="I1286" s="6" t="s">
        <v>13</v>
      </c>
      <c r="J1286" s="6" t="s">
        <v>238</v>
      </c>
      <c r="K1286" s="6" t="s">
        <v>6102</v>
      </c>
      <c r="M1286" s="6"/>
    </row>
    <row r="1287" customFormat="false" ht="15" hidden="false" customHeight="false" outlineLevel="0" collapsed="false">
      <c r="A1287" s="6" t="s">
        <v>8195</v>
      </c>
      <c r="B1287" s="6" t="s">
        <v>5315</v>
      </c>
      <c r="C1287" s="6" t="s">
        <v>5316</v>
      </c>
      <c r="D1287" s="6" t="s">
        <v>7958</v>
      </c>
      <c r="E1287" s="6" t="s">
        <v>8189</v>
      </c>
      <c r="F1287" s="6" t="s">
        <v>8194</v>
      </c>
      <c r="G1287" s="9" t="n">
        <v>5453</v>
      </c>
      <c r="H1287" s="6" t="s">
        <v>384</v>
      </c>
      <c r="I1287" s="6" t="s">
        <v>13</v>
      </c>
      <c r="J1287" s="6" t="s">
        <v>238</v>
      </c>
      <c r="K1287" s="6" t="s">
        <v>6102</v>
      </c>
      <c r="M1287" s="6"/>
    </row>
    <row r="1288" customFormat="false" ht="15" hidden="false" customHeight="false" outlineLevel="0" collapsed="false">
      <c r="A1288" s="6" t="s">
        <v>8196</v>
      </c>
      <c r="B1288" s="6" t="s">
        <v>5320</v>
      </c>
      <c r="C1288" s="6" t="s">
        <v>5316</v>
      </c>
      <c r="D1288" s="6" t="s">
        <v>7958</v>
      </c>
      <c r="E1288" s="6" t="s">
        <v>8189</v>
      </c>
      <c r="F1288" s="6" t="s">
        <v>8197</v>
      </c>
      <c r="G1288" s="9" t="n">
        <v>6625</v>
      </c>
      <c r="H1288" s="6" t="s">
        <v>384</v>
      </c>
      <c r="I1288" s="6" t="s">
        <v>13</v>
      </c>
      <c r="J1288" s="6" t="s">
        <v>253</v>
      </c>
      <c r="K1288" s="6" t="s">
        <v>6106</v>
      </c>
      <c r="M1288" s="6"/>
    </row>
    <row r="1289" customFormat="false" ht="15" hidden="false" customHeight="false" outlineLevel="0" collapsed="false">
      <c r="A1289" s="6" t="s">
        <v>8198</v>
      </c>
      <c r="B1289" s="6" t="s">
        <v>5325</v>
      </c>
      <c r="C1289" s="6" t="s">
        <v>5316</v>
      </c>
      <c r="D1289" s="6" t="s">
        <v>7958</v>
      </c>
      <c r="E1289" s="6" t="s">
        <v>8189</v>
      </c>
      <c r="F1289" s="6" t="s">
        <v>8199</v>
      </c>
      <c r="G1289" s="9" t="n">
        <v>7815</v>
      </c>
      <c r="H1289" s="6" t="s">
        <v>384</v>
      </c>
      <c r="I1289" s="6" t="s">
        <v>13</v>
      </c>
      <c r="J1289" s="6" t="s">
        <v>261</v>
      </c>
      <c r="K1289" s="6" t="s">
        <v>6109</v>
      </c>
      <c r="M1289" s="6"/>
    </row>
    <row r="1290" customFormat="false" ht="15" hidden="false" customHeight="false" outlineLevel="0" collapsed="false">
      <c r="A1290" s="6" t="s">
        <v>8200</v>
      </c>
      <c r="B1290" s="6" t="s">
        <v>5203</v>
      </c>
      <c r="C1290" s="6" t="s">
        <v>4975</v>
      </c>
      <c r="D1290" s="6" t="s">
        <v>7958</v>
      </c>
      <c r="E1290" s="6" t="s">
        <v>3551</v>
      </c>
      <c r="F1290" s="6" t="s">
        <v>8201</v>
      </c>
      <c r="G1290" s="9" t="n">
        <v>1888</v>
      </c>
      <c r="H1290" s="6" t="s">
        <v>384</v>
      </c>
      <c r="I1290" s="6" t="s">
        <v>13</v>
      </c>
      <c r="J1290" s="6" t="s">
        <v>218</v>
      </c>
      <c r="K1290" s="6" t="s">
        <v>6013</v>
      </c>
      <c r="M1290" s="6"/>
    </row>
    <row r="1291" customFormat="false" ht="15" hidden="false" customHeight="false" outlineLevel="0" collapsed="false">
      <c r="A1291" s="6" t="s">
        <v>8202</v>
      </c>
      <c r="B1291" s="6" t="s">
        <v>5102</v>
      </c>
      <c r="C1291" s="6" t="s">
        <v>4975</v>
      </c>
      <c r="D1291" s="6" t="s">
        <v>7958</v>
      </c>
      <c r="E1291" s="6" t="s">
        <v>3551</v>
      </c>
      <c r="F1291" s="6" t="s">
        <v>8201</v>
      </c>
      <c r="G1291" s="9" t="n">
        <v>2746</v>
      </c>
      <c r="H1291" s="6" t="s">
        <v>384</v>
      </c>
      <c r="I1291" s="6" t="s">
        <v>13</v>
      </c>
      <c r="J1291" s="6" t="s">
        <v>218</v>
      </c>
      <c r="K1291" s="6" t="s">
        <v>6013</v>
      </c>
      <c r="M1291" s="6"/>
    </row>
    <row r="1292" customFormat="false" ht="15" hidden="false" customHeight="false" outlineLevel="0" collapsed="false">
      <c r="A1292" s="6" t="s">
        <v>8203</v>
      </c>
      <c r="B1292" s="6" t="s">
        <v>5097</v>
      </c>
      <c r="C1292" s="6" t="s">
        <v>4975</v>
      </c>
      <c r="D1292" s="6" t="s">
        <v>7958</v>
      </c>
      <c r="E1292" s="6" t="s">
        <v>3551</v>
      </c>
      <c r="F1292" s="6" t="s">
        <v>8201</v>
      </c>
      <c r="G1292" s="9" t="n">
        <v>8567</v>
      </c>
      <c r="H1292" s="6" t="s">
        <v>384</v>
      </c>
      <c r="I1292" s="6" t="s">
        <v>13</v>
      </c>
      <c r="J1292" s="6" t="s">
        <v>218</v>
      </c>
      <c r="K1292" s="6" t="s">
        <v>6013</v>
      </c>
      <c r="M1292" s="6" t="s">
        <v>8204</v>
      </c>
    </row>
    <row r="1293" customFormat="false" ht="15" hidden="false" customHeight="false" outlineLevel="0" collapsed="false">
      <c r="A1293" s="6" t="s">
        <v>8205</v>
      </c>
      <c r="B1293" s="6" t="s">
        <v>5097</v>
      </c>
      <c r="C1293" s="6" t="s">
        <v>4975</v>
      </c>
      <c r="D1293" s="6" t="s">
        <v>7958</v>
      </c>
      <c r="E1293" s="6" t="s">
        <v>3551</v>
      </c>
      <c r="F1293" s="6" t="s">
        <v>8206</v>
      </c>
      <c r="G1293" s="9" t="n">
        <v>8567</v>
      </c>
      <c r="H1293" s="6" t="s">
        <v>384</v>
      </c>
      <c r="I1293" s="6" t="s">
        <v>13</v>
      </c>
      <c r="J1293" s="6" t="s">
        <v>228</v>
      </c>
      <c r="K1293" s="6" t="s">
        <v>6022</v>
      </c>
      <c r="M1293" s="6" t="s">
        <v>8207</v>
      </c>
    </row>
    <row r="1294" customFormat="false" ht="15" hidden="false" customHeight="false" outlineLevel="0" collapsed="false">
      <c r="A1294" s="6" t="s">
        <v>8208</v>
      </c>
      <c r="B1294" s="6" t="s">
        <v>5074</v>
      </c>
      <c r="C1294" s="6" t="s">
        <v>4975</v>
      </c>
      <c r="D1294" s="6" t="s">
        <v>7958</v>
      </c>
      <c r="E1294" s="6" t="s">
        <v>3551</v>
      </c>
      <c r="F1294" s="6" t="s">
        <v>8206</v>
      </c>
      <c r="G1294" s="9" t="n">
        <v>9023</v>
      </c>
      <c r="H1294" s="6" t="s">
        <v>384</v>
      </c>
      <c r="I1294" s="6" t="s">
        <v>13</v>
      </c>
      <c r="J1294" s="6" t="s">
        <v>228</v>
      </c>
      <c r="K1294" s="6" t="s">
        <v>6022</v>
      </c>
      <c r="M1294" s="6" t="s">
        <v>8207</v>
      </c>
    </row>
    <row r="1295" customFormat="false" ht="15" hidden="false" customHeight="false" outlineLevel="0" collapsed="false">
      <c r="A1295" s="6" t="s">
        <v>8209</v>
      </c>
      <c r="B1295" s="6" t="s">
        <v>5113</v>
      </c>
      <c r="C1295" s="6" t="s">
        <v>4975</v>
      </c>
      <c r="D1295" s="6" t="s">
        <v>7958</v>
      </c>
      <c r="E1295" s="6" t="s">
        <v>3551</v>
      </c>
      <c r="F1295" s="6" t="s">
        <v>8206</v>
      </c>
      <c r="G1295" s="9" t="n">
        <v>11858</v>
      </c>
      <c r="H1295" s="6" t="s">
        <v>384</v>
      </c>
      <c r="I1295" s="6" t="s">
        <v>13</v>
      </c>
      <c r="J1295" s="6" t="s">
        <v>228</v>
      </c>
      <c r="K1295" s="6" t="s">
        <v>6022</v>
      </c>
      <c r="M1295" s="6"/>
    </row>
    <row r="1296" customFormat="false" ht="15" hidden="false" customHeight="false" outlineLevel="0" collapsed="false">
      <c r="A1296" s="6" t="s">
        <v>8210</v>
      </c>
      <c r="B1296" s="6" t="s">
        <v>5102</v>
      </c>
      <c r="C1296" s="6" t="s">
        <v>4975</v>
      </c>
      <c r="D1296" s="6" t="s">
        <v>7958</v>
      </c>
      <c r="E1296" s="6" t="s">
        <v>8211</v>
      </c>
      <c r="F1296" s="6" t="s">
        <v>8212</v>
      </c>
      <c r="G1296" s="9" t="n">
        <v>2746</v>
      </c>
      <c r="H1296" s="6" t="s">
        <v>384</v>
      </c>
      <c r="I1296" s="6" t="s">
        <v>13</v>
      </c>
      <c r="J1296" s="6" t="s">
        <v>223</v>
      </c>
      <c r="K1296" s="6" t="s">
        <v>6013</v>
      </c>
      <c r="M1296" s="6" t="s">
        <v>8213</v>
      </c>
    </row>
    <row r="1297" customFormat="false" ht="15" hidden="false" customHeight="false" outlineLevel="0" collapsed="false">
      <c r="A1297" s="6" t="s">
        <v>8214</v>
      </c>
      <c r="B1297" s="6" t="s">
        <v>5097</v>
      </c>
      <c r="C1297" s="6" t="s">
        <v>4975</v>
      </c>
      <c r="D1297" s="6" t="s">
        <v>7958</v>
      </c>
      <c r="E1297" s="6" t="s">
        <v>8211</v>
      </c>
      <c r="F1297" s="6" t="s">
        <v>8212</v>
      </c>
      <c r="G1297" s="9" t="n">
        <v>8567</v>
      </c>
      <c r="H1297" s="6" t="s">
        <v>384</v>
      </c>
      <c r="I1297" s="6" t="s">
        <v>13</v>
      </c>
      <c r="J1297" s="6" t="s">
        <v>223</v>
      </c>
      <c r="K1297" s="6" t="s">
        <v>6013</v>
      </c>
      <c r="M1297" s="6" t="s">
        <v>8213</v>
      </c>
    </row>
    <row r="1298" customFormat="false" ht="15" hidden="false" customHeight="false" outlineLevel="0" collapsed="false">
      <c r="A1298" s="6" t="s">
        <v>8215</v>
      </c>
      <c r="B1298" s="6" t="s">
        <v>5074</v>
      </c>
      <c r="C1298" s="6" t="s">
        <v>4975</v>
      </c>
      <c r="D1298" s="6" t="s">
        <v>7958</v>
      </c>
      <c r="E1298" s="6" t="s">
        <v>8211</v>
      </c>
      <c r="F1298" s="6" t="s">
        <v>8212</v>
      </c>
      <c r="G1298" s="9" t="n">
        <v>9023</v>
      </c>
      <c r="H1298" s="6" t="s">
        <v>384</v>
      </c>
      <c r="I1298" s="6" t="s">
        <v>13</v>
      </c>
      <c r="J1298" s="6" t="s">
        <v>223</v>
      </c>
      <c r="K1298" s="6" t="s">
        <v>6013</v>
      </c>
      <c r="M1298" s="6" t="s">
        <v>8213</v>
      </c>
    </row>
    <row r="1299" customFormat="false" ht="15" hidden="false" customHeight="false" outlineLevel="0" collapsed="false">
      <c r="A1299" s="6" t="s">
        <v>8216</v>
      </c>
      <c r="B1299" s="6" t="s">
        <v>5074</v>
      </c>
      <c r="C1299" s="6" t="s">
        <v>4975</v>
      </c>
      <c r="D1299" s="6" t="s">
        <v>7958</v>
      </c>
      <c r="E1299" s="6" t="s">
        <v>8217</v>
      </c>
      <c r="F1299" s="6" t="s">
        <v>8218</v>
      </c>
      <c r="G1299" s="9" t="n">
        <v>8961</v>
      </c>
      <c r="H1299" s="6" t="s">
        <v>384</v>
      </c>
      <c r="I1299" s="6" t="s">
        <v>13</v>
      </c>
      <c r="J1299" s="6" t="s">
        <v>233</v>
      </c>
      <c r="K1299" s="6" t="s">
        <v>8016</v>
      </c>
      <c r="M1299" s="6" t="s">
        <v>8219</v>
      </c>
    </row>
    <row r="1300" customFormat="false" ht="15" hidden="false" customHeight="false" outlineLevel="0" collapsed="false">
      <c r="A1300" s="6" t="s">
        <v>8220</v>
      </c>
      <c r="B1300" s="6" t="s">
        <v>5113</v>
      </c>
      <c r="C1300" s="6" t="s">
        <v>4975</v>
      </c>
      <c r="D1300" s="6" t="s">
        <v>7958</v>
      </c>
      <c r="E1300" s="6" t="s">
        <v>8217</v>
      </c>
      <c r="F1300" s="6" t="s">
        <v>8218</v>
      </c>
      <c r="G1300" s="9" t="n">
        <v>11858</v>
      </c>
      <c r="H1300" s="6" t="s">
        <v>384</v>
      </c>
      <c r="I1300" s="6" t="s">
        <v>13</v>
      </c>
      <c r="J1300" s="6" t="s">
        <v>233</v>
      </c>
      <c r="K1300" s="6" t="s">
        <v>8016</v>
      </c>
      <c r="M1300" s="6"/>
    </row>
    <row r="1301" customFormat="false" ht="15" hidden="false" customHeight="false" outlineLevel="0" collapsed="false">
      <c r="A1301" s="6" t="s">
        <v>8221</v>
      </c>
      <c r="B1301" s="6" t="s">
        <v>5079</v>
      </c>
      <c r="C1301" s="6" t="s">
        <v>4975</v>
      </c>
      <c r="D1301" s="6" t="s">
        <v>7958</v>
      </c>
      <c r="E1301" s="6" t="s">
        <v>8217</v>
      </c>
      <c r="F1301" s="6" t="s">
        <v>8218</v>
      </c>
      <c r="G1301" s="9" t="n">
        <v>13805</v>
      </c>
      <c r="H1301" s="6" t="s">
        <v>384</v>
      </c>
      <c r="I1301" s="6" t="s">
        <v>13</v>
      </c>
      <c r="J1301" s="6" t="s">
        <v>233</v>
      </c>
      <c r="K1301" s="6" t="s">
        <v>8016</v>
      </c>
      <c r="M1301" s="6"/>
    </row>
    <row r="1302" customFormat="false" ht="15" hidden="false" customHeight="false" outlineLevel="0" collapsed="false">
      <c r="A1302" s="6" t="s">
        <v>8222</v>
      </c>
      <c r="B1302" s="6" t="s">
        <v>5102</v>
      </c>
      <c r="C1302" s="6" t="s">
        <v>4975</v>
      </c>
      <c r="D1302" s="6" t="s">
        <v>7958</v>
      </c>
      <c r="E1302" s="6" t="s">
        <v>8223</v>
      </c>
      <c r="F1302" s="6" t="s">
        <v>8224</v>
      </c>
      <c r="G1302" s="9" t="n">
        <v>2746</v>
      </c>
      <c r="H1302" s="6" t="s">
        <v>384</v>
      </c>
      <c r="I1302" s="6" t="s">
        <v>13</v>
      </c>
      <c r="J1302" s="6" t="s">
        <v>223</v>
      </c>
      <c r="K1302" s="6" t="s">
        <v>8006</v>
      </c>
      <c r="M1302" s="6"/>
    </row>
    <row r="1303" customFormat="false" ht="15" hidden="false" customHeight="false" outlineLevel="0" collapsed="false">
      <c r="A1303" s="6" t="s">
        <v>8225</v>
      </c>
      <c r="B1303" s="6" t="s">
        <v>5097</v>
      </c>
      <c r="C1303" s="6" t="s">
        <v>4975</v>
      </c>
      <c r="D1303" s="6" t="s">
        <v>7958</v>
      </c>
      <c r="E1303" s="6" t="s">
        <v>8223</v>
      </c>
      <c r="F1303" s="6" t="s">
        <v>8224</v>
      </c>
      <c r="G1303" s="9" t="n">
        <v>5913</v>
      </c>
      <c r="H1303" s="6" t="s">
        <v>384</v>
      </c>
      <c r="I1303" s="6" t="s">
        <v>13</v>
      </c>
      <c r="J1303" s="6" t="s">
        <v>223</v>
      </c>
      <c r="K1303" s="6" t="s">
        <v>8006</v>
      </c>
      <c r="M1303" s="6"/>
    </row>
    <row r="1304" customFormat="false" ht="15" hidden="false" customHeight="false" outlineLevel="0" collapsed="false">
      <c r="A1304" s="6" t="s">
        <v>8226</v>
      </c>
      <c r="B1304" s="6" t="s">
        <v>5074</v>
      </c>
      <c r="C1304" s="6" t="s">
        <v>4975</v>
      </c>
      <c r="D1304" s="6" t="s">
        <v>7958</v>
      </c>
      <c r="E1304" s="6" t="s">
        <v>8223</v>
      </c>
      <c r="F1304" s="6" t="s">
        <v>8224</v>
      </c>
      <c r="G1304" s="9" t="n">
        <v>8961</v>
      </c>
      <c r="H1304" s="6" t="s">
        <v>384</v>
      </c>
      <c r="I1304" s="6" t="s">
        <v>13</v>
      </c>
      <c r="J1304" s="6" t="s">
        <v>223</v>
      </c>
      <c r="K1304" s="6" t="s">
        <v>8006</v>
      </c>
      <c r="M1304" s="6"/>
    </row>
    <row r="1305" customFormat="false" ht="15" hidden="false" customHeight="false" outlineLevel="0" collapsed="false">
      <c r="A1305" s="6" t="s">
        <v>8227</v>
      </c>
      <c r="B1305" s="6" t="s">
        <v>5097</v>
      </c>
      <c r="C1305" s="6" t="s">
        <v>4975</v>
      </c>
      <c r="D1305" s="6" t="s">
        <v>7958</v>
      </c>
      <c r="E1305" s="6" t="s">
        <v>8228</v>
      </c>
      <c r="F1305" s="6" t="s">
        <v>8229</v>
      </c>
      <c r="G1305" s="9" t="n">
        <v>5913</v>
      </c>
      <c r="H1305" s="6" t="s">
        <v>384</v>
      </c>
      <c r="I1305" s="6" t="s">
        <v>13</v>
      </c>
      <c r="J1305" s="6" t="s">
        <v>228</v>
      </c>
      <c r="K1305" s="6" t="s">
        <v>8011</v>
      </c>
      <c r="M1305" s="6"/>
    </row>
    <row r="1306" customFormat="false" ht="15" hidden="false" customHeight="false" outlineLevel="0" collapsed="false">
      <c r="A1306" s="6" t="s">
        <v>8230</v>
      </c>
      <c r="B1306" s="6" t="s">
        <v>5074</v>
      </c>
      <c r="C1306" s="6" t="s">
        <v>4975</v>
      </c>
      <c r="D1306" s="6" t="s">
        <v>7958</v>
      </c>
      <c r="E1306" s="6" t="s">
        <v>8228</v>
      </c>
      <c r="F1306" s="6" t="s">
        <v>8229</v>
      </c>
      <c r="G1306" s="9" t="n">
        <v>8961</v>
      </c>
      <c r="H1306" s="6" t="s">
        <v>384</v>
      </c>
      <c r="I1306" s="6" t="s">
        <v>13</v>
      </c>
      <c r="J1306" s="6" t="s">
        <v>228</v>
      </c>
      <c r="K1306" s="6" t="s">
        <v>8011</v>
      </c>
      <c r="M1306" s="6"/>
    </row>
    <row r="1307" customFormat="false" ht="15" hidden="false" customHeight="false" outlineLevel="0" collapsed="false">
      <c r="A1307" s="6" t="s">
        <v>8231</v>
      </c>
      <c r="B1307" s="6" t="s">
        <v>5113</v>
      </c>
      <c r="C1307" s="6" t="s">
        <v>4975</v>
      </c>
      <c r="D1307" s="6" t="s">
        <v>7958</v>
      </c>
      <c r="E1307" s="6" t="s">
        <v>8228</v>
      </c>
      <c r="F1307" s="6" t="s">
        <v>8229</v>
      </c>
      <c r="G1307" s="9" t="n">
        <v>11858</v>
      </c>
      <c r="H1307" s="6" t="s">
        <v>384</v>
      </c>
      <c r="I1307" s="6" t="s">
        <v>13</v>
      </c>
      <c r="J1307" s="6" t="s">
        <v>228</v>
      </c>
      <c r="K1307" s="6" t="s">
        <v>8011</v>
      </c>
      <c r="M1307" s="6"/>
    </row>
    <row r="1308" customFormat="false" ht="15" hidden="false" customHeight="false" outlineLevel="0" collapsed="false">
      <c r="A1308" s="6" t="s">
        <v>8232</v>
      </c>
      <c r="B1308" s="6" t="s">
        <v>5097</v>
      </c>
      <c r="C1308" s="6" t="s">
        <v>4975</v>
      </c>
      <c r="D1308" s="6" t="s">
        <v>7958</v>
      </c>
      <c r="E1308" s="6" t="s">
        <v>8233</v>
      </c>
      <c r="F1308" s="6" t="s">
        <v>8234</v>
      </c>
      <c r="G1308" s="9" t="n">
        <v>5913</v>
      </c>
      <c r="H1308" s="6" t="s">
        <v>384</v>
      </c>
      <c r="I1308" s="6" t="s">
        <v>13</v>
      </c>
      <c r="J1308" s="6" t="s">
        <v>218</v>
      </c>
      <c r="K1308" s="6" t="s">
        <v>8001</v>
      </c>
      <c r="M1308" s="6"/>
    </row>
    <row r="1309" customFormat="false" ht="15" hidden="false" customHeight="false" outlineLevel="0" collapsed="false">
      <c r="A1309" s="6" t="s">
        <v>8235</v>
      </c>
      <c r="B1309" s="6" t="s">
        <v>5325</v>
      </c>
      <c r="C1309" s="6" t="s">
        <v>5316</v>
      </c>
      <c r="D1309" s="6" t="s">
        <v>7958</v>
      </c>
      <c r="E1309" s="6" t="s">
        <v>8236</v>
      </c>
      <c r="F1309" s="6" t="s">
        <v>8237</v>
      </c>
      <c r="G1309" s="9" t="n">
        <v>5817</v>
      </c>
      <c r="H1309" s="6" t="s">
        <v>384</v>
      </c>
      <c r="I1309" s="6" t="s">
        <v>13</v>
      </c>
      <c r="J1309" s="6" t="s">
        <v>261</v>
      </c>
      <c r="K1309" s="6" t="s">
        <v>8238</v>
      </c>
      <c r="M1309" s="6"/>
    </row>
    <row r="1310" customFormat="false" ht="15" hidden="false" customHeight="false" outlineLevel="0" collapsed="false">
      <c r="A1310" s="6" t="s">
        <v>8239</v>
      </c>
      <c r="B1310" s="6" t="s">
        <v>5079</v>
      </c>
      <c r="C1310" s="6" t="s">
        <v>4975</v>
      </c>
      <c r="D1310" s="6" t="s">
        <v>7958</v>
      </c>
      <c r="E1310" s="6" t="s">
        <v>8240</v>
      </c>
      <c r="F1310" s="6" t="s">
        <v>8241</v>
      </c>
      <c r="G1310" s="13" t="n">
        <v>333.6</v>
      </c>
      <c r="H1310" s="6" t="s">
        <v>3751</v>
      </c>
      <c r="I1310" s="6" t="s">
        <v>13</v>
      </c>
      <c r="J1310" s="6" t="s">
        <v>310</v>
      </c>
      <c r="K1310" s="6" t="s">
        <v>5405</v>
      </c>
      <c r="M1310" s="6"/>
    </row>
    <row r="1311" customFormat="false" ht="15" hidden="false" customHeight="false" outlineLevel="0" collapsed="false">
      <c r="A1311" s="6" t="s">
        <v>8242</v>
      </c>
      <c r="B1311" s="6" t="s">
        <v>5203</v>
      </c>
      <c r="C1311" s="6" t="s">
        <v>4975</v>
      </c>
      <c r="D1311" s="6" t="s">
        <v>7958</v>
      </c>
      <c r="E1311" s="6" t="s">
        <v>8243</v>
      </c>
      <c r="F1311" s="6" t="s">
        <v>8244</v>
      </c>
      <c r="G1311" s="9" t="n">
        <v>526</v>
      </c>
      <c r="H1311" s="6" t="s">
        <v>384</v>
      </c>
      <c r="I1311" s="6" t="s">
        <v>13</v>
      </c>
      <c r="J1311" s="6" t="s">
        <v>218</v>
      </c>
      <c r="K1311" s="6" t="s">
        <v>8245</v>
      </c>
      <c r="M1311" s="6"/>
    </row>
    <row r="1312" customFormat="false" ht="15" hidden="false" customHeight="false" outlineLevel="0" collapsed="false">
      <c r="A1312" s="6" t="s">
        <v>8246</v>
      </c>
      <c r="B1312" s="6" t="s">
        <v>5102</v>
      </c>
      <c r="C1312" s="6" t="s">
        <v>4975</v>
      </c>
      <c r="D1312" s="6" t="s">
        <v>7958</v>
      </c>
      <c r="E1312" s="6" t="s">
        <v>8243</v>
      </c>
      <c r="F1312" s="6" t="s">
        <v>8244</v>
      </c>
      <c r="G1312" s="9" t="n">
        <v>-838</v>
      </c>
      <c r="H1312" s="6" t="s">
        <v>384</v>
      </c>
      <c r="I1312" s="6" t="s">
        <v>13</v>
      </c>
      <c r="J1312" s="6" t="s">
        <v>218</v>
      </c>
      <c r="K1312" s="6" t="s">
        <v>8245</v>
      </c>
      <c r="M1312" s="6"/>
    </row>
    <row r="1313" customFormat="false" ht="15" hidden="false" customHeight="false" outlineLevel="0" collapsed="false">
      <c r="A1313" s="6" t="s">
        <v>8247</v>
      </c>
      <c r="B1313" s="6" t="s">
        <v>5102</v>
      </c>
      <c r="C1313" s="6" t="s">
        <v>4975</v>
      </c>
      <c r="D1313" s="6" t="s">
        <v>7958</v>
      </c>
      <c r="E1313" s="6" t="s">
        <v>8243</v>
      </c>
      <c r="F1313" s="6" t="s">
        <v>8248</v>
      </c>
      <c r="G1313" s="9" t="n">
        <v>-838</v>
      </c>
      <c r="H1313" s="6" t="s">
        <v>384</v>
      </c>
      <c r="I1313" s="6" t="s">
        <v>13</v>
      </c>
      <c r="J1313" s="6" t="s">
        <v>223</v>
      </c>
      <c r="K1313" s="6" t="s">
        <v>8249</v>
      </c>
      <c r="M1313" s="6"/>
    </row>
    <row r="1314" customFormat="false" ht="15" hidden="false" customHeight="false" outlineLevel="0" collapsed="false">
      <c r="A1314" s="6" t="s">
        <v>8250</v>
      </c>
      <c r="B1314" s="6" t="s">
        <v>5097</v>
      </c>
      <c r="C1314" s="6" t="s">
        <v>4975</v>
      </c>
      <c r="D1314" s="6" t="s">
        <v>7958</v>
      </c>
      <c r="E1314" s="6" t="s">
        <v>8243</v>
      </c>
      <c r="F1314" s="6" t="s">
        <v>8244</v>
      </c>
      <c r="G1314" s="9" t="n">
        <v>22554</v>
      </c>
      <c r="H1314" s="6" t="s">
        <v>384</v>
      </c>
      <c r="I1314" s="6" t="s">
        <v>13</v>
      </c>
      <c r="J1314" s="6" t="s">
        <v>218</v>
      </c>
      <c r="K1314" s="6" t="s">
        <v>8245</v>
      </c>
      <c r="M1314" s="6"/>
    </row>
    <row r="1315" customFormat="false" ht="15" hidden="false" customHeight="false" outlineLevel="0" collapsed="false">
      <c r="A1315" s="6" t="s">
        <v>8251</v>
      </c>
      <c r="B1315" s="6" t="s">
        <v>5097</v>
      </c>
      <c r="C1315" s="6" t="s">
        <v>4975</v>
      </c>
      <c r="D1315" s="6" t="s">
        <v>7958</v>
      </c>
      <c r="E1315" s="6" t="s">
        <v>8243</v>
      </c>
      <c r="F1315" s="6" t="s">
        <v>8248</v>
      </c>
      <c r="G1315" s="9" t="n">
        <v>22554</v>
      </c>
      <c r="H1315" s="6" t="s">
        <v>384</v>
      </c>
      <c r="I1315" s="6" t="s">
        <v>13</v>
      </c>
      <c r="J1315" s="6" t="s">
        <v>223</v>
      </c>
      <c r="K1315" s="6" t="s">
        <v>8249</v>
      </c>
      <c r="M1315" s="6"/>
    </row>
    <row r="1316" customFormat="false" ht="15" hidden="false" customHeight="false" outlineLevel="0" collapsed="false">
      <c r="A1316" s="6" t="s">
        <v>8252</v>
      </c>
      <c r="B1316" s="6" t="s">
        <v>5074</v>
      </c>
      <c r="C1316" s="6" t="s">
        <v>4975</v>
      </c>
      <c r="D1316" s="6" t="s">
        <v>7958</v>
      </c>
      <c r="E1316" s="6" t="s">
        <v>8243</v>
      </c>
      <c r="F1316" s="6" t="s">
        <v>8248</v>
      </c>
      <c r="G1316" s="9" t="n">
        <v>41911</v>
      </c>
      <c r="H1316" s="6" t="s">
        <v>384</v>
      </c>
      <c r="I1316" s="6" t="s">
        <v>13</v>
      </c>
      <c r="J1316" s="6" t="s">
        <v>223</v>
      </c>
      <c r="K1316" s="6" t="s">
        <v>8249</v>
      </c>
      <c r="M1316" s="6"/>
    </row>
    <row r="1317" customFormat="false" ht="15" hidden="false" customHeight="false" outlineLevel="0" collapsed="false">
      <c r="A1317" s="6" t="s">
        <v>8253</v>
      </c>
      <c r="B1317" s="6" t="s">
        <v>5074</v>
      </c>
      <c r="C1317" s="6" t="s">
        <v>4975</v>
      </c>
      <c r="D1317" s="6" t="s">
        <v>7958</v>
      </c>
      <c r="E1317" s="6" t="s">
        <v>8254</v>
      </c>
      <c r="F1317" s="6" t="s">
        <v>8255</v>
      </c>
      <c r="G1317" s="9" t="n">
        <v>41911</v>
      </c>
      <c r="H1317" s="6" t="s">
        <v>384</v>
      </c>
      <c r="I1317" s="6" t="s">
        <v>13</v>
      </c>
      <c r="J1317" s="6" t="s">
        <v>233</v>
      </c>
      <c r="K1317" s="6" t="s">
        <v>8256</v>
      </c>
      <c r="M1317" s="6"/>
    </row>
    <row r="1318" customFormat="false" ht="15" hidden="false" customHeight="false" outlineLevel="0" collapsed="false">
      <c r="A1318" s="6" t="s">
        <v>8257</v>
      </c>
      <c r="B1318" s="6" t="s">
        <v>5113</v>
      </c>
      <c r="C1318" s="6" t="s">
        <v>4975</v>
      </c>
      <c r="D1318" s="6" t="s">
        <v>7958</v>
      </c>
      <c r="E1318" s="6" t="s">
        <v>8254</v>
      </c>
      <c r="F1318" s="6" t="s">
        <v>8255</v>
      </c>
      <c r="G1318" s="9" t="n">
        <v>55500</v>
      </c>
      <c r="H1318" s="6" t="s">
        <v>384</v>
      </c>
      <c r="I1318" s="6" t="s">
        <v>13</v>
      </c>
      <c r="J1318" s="6" t="s">
        <v>233</v>
      </c>
      <c r="K1318" s="6" t="s">
        <v>8256</v>
      </c>
      <c r="M1318" s="6"/>
    </row>
    <row r="1319" customFormat="false" ht="15" hidden="false" customHeight="false" outlineLevel="0" collapsed="false">
      <c r="A1319" s="6" t="s">
        <v>8258</v>
      </c>
      <c r="B1319" s="6" t="s">
        <v>5079</v>
      </c>
      <c r="C1319" s="6" t="s">
        <v>4975</v>
      </c>
      <c r="D1319" s="6" t="s">
        <v>7958</v>
      </c>
      <c r="E1319" s="6" t="s">
        <v>8254</v>
      </c>
      <c r="F1319" s="6" t="s">
        <v>8255</v>
      </c>
      <c r="G1319" s="9" t="n">
        <v>61065</v>
      </c>
      <c r="H1319" s="6" t="s">
        <v>384</v>
      </c>
      <c r="I1319" s="6" t="s">
        <v>13</v>
      </c>
      <c r="J1319" s="6" t="s">
        <v>233</v>
      </c>
      <c r="K1319" s="6" t="s">
        <v>8256</v>
      </c>
      <c r="M1319" s="6"/>
    </row>
    <row r="1320" customFormat="false" ht="15" hidden="false" customHeight="false" outlineLevel="0" collapsed="false">
      <c r="A1320" s="6" t="s">
        <v>8259</v>
      </c>
      <c r="B1320" s="6" t="s">
        <v>5102</v>
      </c>
      <c r="C1320" s="6" t="s">
        <v>4975</v>
      </c>
      <c r="D1320" s="6" t="s">
        <v>7958</v>
      </c>
      <c r="E1320" s="6" t="s">
        <v>8260</v>
      </c>
      <c r="F1320" s="6" t="s">
        <v>8261</v>
      </c>
      <c r="G1320" s="13" t="n">
        <v>735.9</v>
      </c>
      <c r="H1320" s="6" t="s">
        <v>3751</v>
      </c>
      <c r="I1320" s="6" t="s">
        <v>13</v>
      </c>
      <c r="J1320" s="6" t="s">
        <v>223</v>
      </c>
      <c r="K1320" s="6" t="s">
        <v>6096</v>
      </c>
      <c r="M1320" s="6"/>
    </row>
    <row r="1321" customFormat="false" ht="15" hidden="false" customHeight="false" outlineLevel="0" collapsed="false">
      <c r="A1321" s="6" t="s">
        <v>8262</v>
      </c>
      <c r="B1321" s="6" t="s">
        <v>6032</v>
      </c>
      <c r="C1321" s="6" t="s">
        <v>4975</v>
      </c>
      <c r="D1321" s="6" t="s">
        <v>7958</v>
      </c>
      <c r="E1321" s="6" t="s">
        <v>8263</v>
      </c>
      <c r="F1321" s="6" t="s">
        <v>8264</v>
      </c>
      <c r="G1321" s="9" t="n">
        <v>543</v>
      </c>
      <c r="H1321" s="6" t="s">
        <v>384</v>
      </c>
      <c r="I1321" s="6" t="s">
        <v>13</v>
      </c>
      <c r="J1321" s="6" t="s">
        <v>209</v>
      </c>
      <c r="K1321" s="6" t="s">
        <v>8183</v>
      </c>
      <c r="M1321" s="6"/>
    </row>
    <row r="1322" customFormat="false" ht="15" hidden="false" customHeight="false" outlineLevel="0" collapsed="false">
      <c r="A1322" s="6" t="s">
        <v>8265</v>
      </c>
      <c r="B1322" s="6" t="s">
        <v>5203</v>
      </c>
      <c r="C1322" s="6" t="s">
        <v>4975</v>
      </c>
      <c r="D1322" s="6" t="s">
        <v>7958</v>
      </c>
      <c r="E1322" s="6" t="s">
        <v>8263</v>
      </c>
      <c r="F1322" s="6" t="s">
        <v>8264</v>
      </c>
      <c r="G1322" s="9" t="n">
        <v>671</v>
      </c>
      <c r="H1322" s="6" t="s">
        <v>384</v>
      </c>
      <c r="I1322" s="6" t="s">
        <v>13</v>
      </c>
      <c r="J1322" s="6" t="s">
        <v>209</v>
      </c>
      <c r="K1322" s="6" t="s">
        <v>8183</v>
      </c>
      <c r="M1322" s="6"/>
    </row>
    <row r="1323" customFormat="false" ht="15" hidden="false" customHeight="false" outlineLevel="0" collapsed="false">
      <c r="A1323" s="6" t="s">
        <v>8266</v>
      </c>
      <c r="B1323" s="6" t="s">
        <v>5203</v>
      </c>
      <c r="C1323" s="6" t="s">
        <v>4975</v>
      </c>
      <c r="D1323" s="6" t="s">
        <v>7958</v>
      </c>
      <c r="E1323" s="6" t="s">
        <v>8263</v>
      </c>
      <c r="F1323" s="6" t="s">
        <v>8267</v>
      </c>
      <c r="G1323" s="9" t="n">
        <v>671</v>
      </c>
      <c r="H1323" s="6" t="s">
        <v>384</v>
      </c>
      <c r="I1323" s="6" t="s">
        <v>13</v>
      </c>
      <c r="J1323" s="6" t="s">
        <v>218</v>
      </c>
      <c r="K1323" s="6" t="s">
        <v>8268</v>
      </c>
      <c r="M1323" s="6"/>
    </row>
    <row r="1324" customFormat="false" ht="15" hidden="false" customHeight="false" outlineLevel="0" collapsed="false">
      <c r="A1324" s="6" t="s">
        <v>8269</v>
      </c>
      <c r="B1324" s="6" t="s">
        <v>5102</v>
      </c>
      <c r="C1324" s="6" t="s">
        <v>4975</v>
      </c>
      <c r="D1324" s="6" t="s">
        <v>7958</v>
      </c>
      <c r="E1324" s="6" t="s">
        <v>8263</v>
      </c>
      <c r="F1324" s="6" t="s">
        <v>8264</v>
      </c>
      <c r="G1324" s="9" t="n">
        <v>316</v>
      </c>
      <c r="H1324" s="6" t="s">
        <v>384</v>
      </c>
      <c r="I1324" s="6" t="s">
        <v>13</v>
      </c>
      <c r="J1324" s="6" t="s">
        <v>209</v>
      </c>
      <c r="K1324" s="6" t="s">
        <v>8183</v>
      </c>
      <c r="M1324" s="6"/>
    </row>
    <row r="1325" customFormat="false" ht="15" hidden="false" customHeight="false" outlineLevel="0" collapsed="false">
      <c r="A1325" s="6" t="s">
        <v>8270</v>
      </c>
      <c r="B1325" s="6" t="s">
        <v>5102</v>
      </c>
      <c r="C1325" s="6" t="s">
        <v>4975</v>
      </c>
      <c r="D1325" s="6" t="s">
        <v>7958</v>
      </c>
      <c r="E1325" s="6" t="s">
        <v>8263</v>
      </c>
      <c r="F1325" s="6" t="s">
        <v>8267</v>
      </c>
      <c r="G1325" s="9" t="n">
        <v>316</v>
      </c>
      <c r="H1325" s="6" t="s">
        <v>384</v>
      </c>
      <c r="I1325" s="6" t="s">
        <v>13</v>
      </c>
      <c r="J1325" s="6" t="s">
        <v>218</v>
      </c>
      <c r="K1325" s="6" t="s">
        <v>8268</v>
      </c>
      <c r="M1325" s="6"/>
    </row>
    <row r="1326" customFormat="false" ht="15" hidden="false" customHeight="false" outlineLevel="0" collapsed="false">
      <c r="A1326" s="6" t="s">
        <v>8271</v>
      </c>
      <c r="B1326" s="6" t="s">
        <v>5097</v>
      </c>
      <c r="C1326" s="6" t="s">
        <v>4975</v>
      </c>
      <c r="D1326" s="6" t="s">
        <v>7958</v>
      </c>
      <c r="E1326" s="6" t="s">
        <v>8263</v>
      </c>
      <c r="F1326" s="6" t="s">
        <v>8267</v>
      </c>
      <c r="G1326" s="9" t="n">
        <v>62</v>
      </c>
      <c r="H1326" s="6" t="s">
        <v>384</v>
      </c>
      <c r="I1326" s="6" t="s">
        <v>13</v>
      </c>
      <c r="J1326" s="6" t="s">
        <v>218</v>
      </c>
      <c r="K1326" s="6" t="s">
        <v>8268</v>
      </c>
      <c r="M1326" s="6"/>
    </row>
    <row r="1327" customFormat="false" ht="15" hidden="false" customHeight="false" outlineLevel="0" collapsed="false">
      <c r="A1327" s="6" t="s">
        <v>8272</v>
      </c>
      <c r="B1327" s="6" t="s">
        <v>6032</v>
      </c>
      <c r="C1327" s="6" t="s">
        <v>4975</v>
      </c>
      <c r="D1327" s="6" t="s">
        <v>7958</v>
      </c>
      <c r="E1327" s="6" t="s">
        <v>8273</v>
      </c>
      <c r="F1327" s="6" t="s">
        <v>8274</v>
      </c>
      <c r="G1327" s="9" t="n">
        <v>2244</v>
      </c>
      <c r="H1327" s="6" t="s">
        <v>384</v>
      </c>
      <c r="I1327" s="6" t="s">
        <v>13</v>
      </c>
      <c r="J1327" s="6" t="s">
        <v>209</v>
      </c>
      <c r="K1327" s="6" t="s">
        <v>8275</v>
      </c>
      <c r="M1327" s="6"/>
    </row>
    <row r="1328" customFormat="false" ht="15" hidden="false" customHeight="false" outlineLevel="0" collapsed="false">
      <c r="A1328" s="6" t="s">
        <v>8276</v>
      </c>
      <c r="B1328" s="6" t="s">
        <v>5203</v>
      </c>
      <c r="C1328" s="6" t="s">
        <v>4975</v>
      </c>
      <c r="D1328" s="6" t="s">
        <v>7958</v>
      </c>
      <c r="E1328" s="6" t="s">
        <v>8273</v>
      </c>
      <c r="F1328" s="6" t="s">
        <v>8274</v>
      </c>
      <c r="G1328" s="9" t="n">
        <v>1045</v>
      </c>
      <c r="H1328" s="6" t="s">
        <v>384</v>
      </c>
      <c r="I1328" s="6" t="s">
        <v>13</v>
      </c>
      <c r="J1328" s="6" t="s">
        <v>209</v>
      </c>
      <c r="K1328" s="6" t="s">
        <v>8275</v>
      </c>
      <c r="M1328" s="6"/>
    </row>
    <row r="1329" customFormat="false" ht="15" hidden="false" customHeight="false" outlineLevel="0" collapsed="false">
      <c r="A1329" s="6" t="s">
        <v>8277</v>
      </c>
      <c r="B1329" s="6" t="s">
        <v>5203</v>
      </c>
      <c r="C1329" s="6" t="s">
        <v>4975</v>
      </c>
      <c r="D1329" s="6" t="s">
        <v>7958</v>
      </c>
      <c r="E1329" s="6" t="s">
        <v>8273</v>
      </c>
      <c r="F1329" s="6" t="s">
        <v>8278</v>
      </c>
      <c r="G1329" s="9" t="n">
        <v>1045</v>
      </c>
      <c r="H1329" s="6" t="s">
        <v>384</v>
      </c>
      <c r="I1329" s="6" t="s">
        <v>13</v>
      </c>
      <c r="J1329" s="6" t="s">
        <v>218</v>
      </c>
      <c r="K1329" s="6" t="s">
        <v>8245</v>
      </c>
      <c r="M1329" s="6"/>
    </row>
    <row r="1330" customFormat="false" ht="15" hidden="false" customHeight="false" outlineLevel="0" collapsed="false">
      <c r="A1330" s="6" t="s">
        <v>8279</v>
      </c>
      <c r="B1330" s="6" t="s">
        <v>5102</v>
      </c>
      <c r="C1330" s="6" t="s">
        <v>4975</v>
      </c>
      <c r="D1330" s="6" t="s">
        <v>7958</v>
      </c>
      <c r="E1330" s="6" t="s">
        <v>8273</v>
      </c>
      <c r="F1330" s="6" t="s">
        <v>8274</v>
      </c>
      <c r="G1330" s="9" t="n">
        <v>875</v>
      </c>
      <c r="H1330" s="6" t="s">
        <v>384</v>
      </c>
      <c r="I1330" s="6" t="s">
        <v>13</v>
      </c>
      <c r="J1330" s="6" t="s">
        <v>209</v>
      </c>
      <c r="K1330" s="6" t="s">
        <v>8275</v>
      </c>
      <c r="M1330" s="6"/>
    </row>
    <row r="1331" customFormat="false" ht="15" hidden="false" customHeight="false" outlineLevel="0" collapsed="false">
      <c r="A1331" s="6" t="s">
        <v>8280</v>
      </c>
      <c r="B1331" s="6" t="s">
        <v>5102</v>
      </c>
      <c r="C1331" s="6" t="s">
        <v>4975</v>
      </c>
      <c r="D1331" s="6" t="s">
        <v>7958</v>
      </c>
      <c r="E1331" s="6" t="s">
        <v>8273</v>
      </c>
      <c r="F1331" s="6" t="s">
        <v>8278</v>
      </c>
      <c r="G1331" s="9" t="n">
        <v>875</v>
      </c>
      <c r="H1331" s="6" t="s">
        <v>384</v>
      </c>
      <c r="I1331" s="6" t="s">
        <v>13</v>
      </c>
      <c r="J1331" s="6" t="s">
        <v>218</v>
      </c>
      <c r="K1331" s="6" t="s">
        <v>8245</v>
      </c>
      <c r="M1331" s="6"/>
    </row>
    <row r="1332" customFormat="false" ht="15" hidden="false" customHeight="false" outlineLevel="0" collapsed="false">
      <c r="A1332" s="6" t="s">
        <v>8281</v>
      </c>
      <c r="B1332" s="6" t="s">
        <v>5102</v>
      </c>
      <c r="C1332" s="6" t="s">
        <v>4975</v>
      </c>
      <c r="D1332" s="6" t="s">
        <v>7958</v>
      </c>
      <c r="E1332" s="6" t="s">
        <v>8273</v>
      </c>
      <c r="F1332" s="6" t="s">
        <v>8282</v>
      </c>
      <c r="G1332" s="9" t="n">
        <v>875</v>
      </c>
      <c r="H1332" s="6" t="s">
        <v>384</v>
      </c>
      <c r="I1332" s="6" t="s">
        <v>13</v>
      </c>
      <c r="J1332" s="6" t="s">
        <v>223</v>
      </c>
      <c r="K1332" s="6" t="s">
        <v>8249</v>
      </c>
      <c r="M1332" s="6"/>
    </row>
    <row r="1333" customFormat="false" ht="15" hidden="false" customHeight="false" outlineLevel="0" collapsed="false">
      <c r="A1333" s="6" t="s">
        <v>8283</v>
      </c>
      <c r="B1333" s="6" t="s">
        <v>5097</v>
      </c>
      <c r="C1333" s="6" t="s">
        <v>4975</v>
      </c>
      <c r="D1333" s="6" t="s">
        <v>7958</v>
      </c>
      <c r="E1333" s="6" t="s">
        <v>8273</v>
      </c>
      <c r="F1333" s="6" t="s">
        <v>8278</v>
      </c>
      <c r="G1333" s="9" t="n">
        <v>18659</v>
      </c>
      <c r="H1333" s="6" t="s">
        <v>384</v>
      </c>
      <c r="I1333" s="6" t="s">
        <v>13</v>
      </c>
      <c r="J1333" s="6" t="s">
        <v>218</v>
      </c>
      <c r="K1333" s="6" t="s">
        <v>8245</v>
      </c>
      <c r="M1333" s="6"/>
    </row>
    <row r="1334" customFormat="false" ht="15" hidden="false" customHeight="false" outlineLevel="0" collapsed="false">
      <c r="A1334" s="6" t="s">
        <v>8284</v>
      </c>
      <c r="B1334" s="6" t="s">
        <v>5097</v>
      </c>
      <c r="C1334" s="6" t="s">
        <v>4975</v>
      </c>
      <c r="D1334" s="6" t="s">
        <v>7958</v>
      </c>
      <c r="E1334" s="6" t="s">
        <v>8273</v>
      </c>
      <c r="F1334" s="6" t="s">
        <v>8282</v>
      </c>
      <c r="G1334" s="9" t="n">
        <v>18659</v>
      </c>
      <c r="H1334" s="6" t="s">
        <v>384</v>
      </c>
      <c r="I1334" s="6" t="s">
        <v>13</v>
      </c>
      <c r="J1334" s="6" t="s">
        <v>223</v>
      </c>
      <c r="K1334" s="6" t="s">
        <v>8249</v>
      </c>
      <c r="M1334" s="6"/>
    </row>
    <row r="1335" customFormat="false" ht="15" hidden="false" customHeight="false" outlineLevel="0" collapsed="false">
      <c r="A1335" s="6" t="s">
        <v>8285</v>
      </c>
      <c r="B1335" s="6" t="s">
        <v>5074</v>
      </c>
      <c r="C1335" s="6" t="s">
        <v>4975</v>
      </c>
      <c r="D1335" s="6" t="s">
        <v>7958</v>
      </c>
      <c r="E1335" s="6" t="s">
        <v>8273</v>
      </c>
      <c r="F1335" s="6" t="s">
        <v>8282</v>
      </c>
      <c r="G1335" s="9" t="n">
        <v>41993</v>
      </c>
      <c r="H1335" s="6" t="s">
        <v>384</v>
      </c>
      <c r="I1335" s="6" t="s">
        <v>13</v>
      </c>
      <c r="J1335" s="6" t="s">
        <v>223</v>
      </c>
      <c r="K1335" s="6" t="s">
        <v>8249</v>
      </c>
      <c r="M1335" s="6"/>
    </row>
    <row r="1336" customFormat="false" ht="15" hidden="false" customHeight="false" outlineLevel="0" collapsed="false">
      <c r="A1336" s="6" t="s">
        <v>8286</v>
      </c>
      <c r="B1336" s="6" t="s">
        <v>5519</v>
      </c>
      <c r="C1336" s="6" t="s">
        <v>5316</v>
      </c>
      <c r="D1336" s="6" t="s">
        <v>7958</v>
      </c>
      <c r="E1336" s="6" t="s">
        <v>8287</v>
      </c>
      <c r="F1336" s="6" t="s">
        <v>8288</v>
      </c>
      <c r="G1336" s="9" t="n">
        <v>16781</v>
      </c>
      <c r="H1336" s="6" t="s">
        <v>384</v>
      </c>
      <c r="I1336" s="6" t="s">
        <v>13</v>
      </c>
      <c r="J1336" s="6" t="s">
        <v>238</v>
      </c>
      <c r="K1336" s="6" t="s">
        <v>8289</v>
      </c>
      <c r="M1336" s="6"/>
    </row>
    <row r="1337" customFormat="false" ht="15" hidden="false" customHeight="false" outlineLevel="0" collapsed="false">
      <c r="A1337" s="6" t="s">
        <v>8290</v>
      </c>
      <c r="B1337" s="6" t="s">
        <v>5315</v>
      </c>
      <c r="C1337" s="6" t="s">
        <v>5316</v>
      </c>
      <c r="D1337" s="6" t="s">
        <v>7958</v>
      </c>
      <c r="E1337" s="6" t="s">
        <v>8287</v>
      </c>
      <c r="F1337" s="6" t="s">
        <v>8288</v>
      </c>
      <c r="G1337" s="9" t="n">
        <v>29272</v>
      </c>
      <c r="H1337" s="6" t="s">
        <v>384</v>
      </c>
      <c r="I1337" s="6" t="s">
        <v>13</v>
      </c>
      <c r="J1337" s="6" t="s">
        <v>238</v>
      </c>
      <c r="K1337" s="6" t="s">
        <v>8289</v>
      </c>
      <c r="M1337" s="6"/>
    </row>
    <row r="1338" customFormat="false" ht="15" hidden="false" customHeight="false" outlineLevel="0" collapsed="false">
      <c r="A1338" s="6" t="s">
        <v>8291</v>
      </c>
      <c r="B1338" s="6" t="s">
        <v>5074</v>
      </c>
      <c r="C1338" s="6" t="s">
        <v>4975</v>
      </c>
      <c r="D1338" s="6" t="s">
        <v>7958</v>
      </c>
      <c r="E1338" s="6" t="s">
        <v>8292</v>
      </c>
      <c r="F1338" s="6" t="s">
        <v>8293</v>
      </c>
      <c r="G1338" s="9" t="n">
        <v>41993</v>
      </c>
      <c r="H1338" s="6" t="s">
        <v>384</v>
      </c>
      <c r="I1338" s="6" t="s">
        <v>13</v>
      </c>
      <c r="J1338" s="6" t="s">
        <v>233</v>
      </c>
      <c r="K1338" s="6" t="s">
        <v>8256</v>
      </c>
      <c r="M1338" s="6"/>
    </row>
    <row r="1339" customFormat="false" ht="15" hidden="false" customHeight="false" outlineLevel="0" collapsed="false">
      <c r="A1339" s="6" t="s">
        <v>8294</v>
      </c>
      <c r="B1339" s="6" t="s">
        <v>5113</v>
      </c>
      <c r="C1339" s="6" t="s">
        <v>4975</v>
      </c>
      <c r="D1339" s="6" t="s">
        <v>7958</v>
      </c>
      <c r="E1339" s="6" t="s">
        <v>8292</v>
      </c>
      <c r="F1339" s="6" t="s">
        <v>8293</v>
      </c>
      <c r="G1339" s="9" t="n">
        <v>60659</v>
      </c>
      <c r="H1339" s="6" t="s">
        <v>384</v>
      </c>
      <c r="I1339" s="6" t="s">
        <v>13</v>
      </c>
      <c r="J1339" s="6" t="s">
        <v>233</v>
      </c>
      <c r="K1339" s="6" t="s">
        <v>8256</v>
      </c>
      <c r="M1339" s="6"/>
    </row>
    <row r="1340" customFormat="false" ht="15" hidden="false" customHeight="false" outlineLevel="0" collapsed="false">
      <c r="A1340" s="6" t="s">
        <v>8295</v>
      </c>
      <c r="B1340" s="6" t="s">
        <v>5079</v>
      </c>
      <c r="C1340" s="6" t="s">
        <v>4975</v>
      </c>
      <c r="D1340" s="6" t="s">
        <v>7958</v>
      </c>
      <c r="E1340" s="6" t="s">
        <v>8292</v>
      </c>
      <c r="F1340" s="6" t="s">
        <v>8293</v>
      </c>
      <c r="G1340" s="9" t="n">
        <v>63447</v>
      </c>
      <c r="H1340" s="6" t="s">
        <v>384</v>
      </c>
      <c r="I1340" s="6" t="s">
        <v>13</v>
      </c>
      <c r="J1340" s="6" t="s">
        <v>233</v>
      </c>
      <c r="K1340" s="6" t="s">
        <v>8256</v>
      </c>
      <c r="M1340" s="6"/>
    </row>
    <row r="1341" customFormat="false" ht="15" hidden="false" customHeight="false" outlineLevel="0" collapsed="false">
      <c r="A1341" s="6" t="s">
        <v>8296</v>
      </c>
      <c r="B1341" s="6" t="s">
        <v>5320</v>
      </c>
      <c r="C1341" s="6" t="s">
        <v>5316</v>
      </c>
      <c r="D1341" s="6" t="s">
        <v>7958</v>
      </c>
      <c r="E1341" s="6" t="s">
        <v>8292</v>
      </c>
      <c r="F1341" s="6" t="s">
        <v>8297</v>
      </c>
      <c r="G1341" s="9" t="n">
        <v>30158</v>
      </c>
      <c r="H1341" s="6" t="s">
        <v>384</v>
      </c>
      <c r="I1341" s="6" t="s">
        <v>13</v>
      </c>
      <c r="J1341" s="6" t="s">
        <v>253</v>
      </c>
      <c r="K1341" s="6" t="s">
        <v>7961</v>
      </c>
      <c r="M1341" s="6"/>
    </row>
    <row r="1342" customFormat="false" ht="15" hidden="false" customHeight="false" outlineLevel="0" collapsed="false">
      <c r="A1342" s="6" t="s">
        <v>8298</v>
      </c>
      <c r="B1342" s="6" t="s">
        <v>5325</v>
      </c>
      <c r="C1342" s="6" t="s">
        <v>5316</v>
      </c>
      <c r="D1342" s="6" t="s">
        <v>7958</v>
      </c>
      <c r="E1342" s="6" t="s">
        <v>8292</v>
      </c>
      <c r="F1342" s="6" t="s">
        <v>8299</v>
      </c>
      <c r="G1342" s="9" t="n">
        <v>22654</v>
      </c>
      <c r="H1342" s="6" t="s">
        <v>384</v>
      </c>
      <c r="I1342" s="6" t="s">
        <v>13</v>
      </c>
      <c r="J1342" s="6" t="s">
        <v>261</v>
      </c>
      <c r="K1342" s="6" t="s">
        <v>8238</v>
      </c>
      <c r="M1342" s="6" t="s">
        <v>8300</v>
      </c>
    </row>
    <row r="1343" customFormat="false" ht="15" hidden="false" customHeight="false" outlineLevel="0" collapsed="false">
      <c r="A1343" s="6" t="s">
        <v>8301</v>
      </c>
      <c r="B1343" s="6" t="s">
        <v>5097</v>
      </c>
      <c r="C1343" s="6" t="s">
        <v>4975</v>
      </c>
      <c r="D1343" s="6" t="s">
        <v>7958</v>
      </c>
      <c r="E1343" s="6" t="s">
        <v>8302</v>
      </c>
      <c r="F1343" s="6" t="s">
        <v>8303</v>
      </c>
      <c r="G1343" s="9" t="n">
        <v>62</v>
      </c>
      <c r="H1343" s="6" t="s">
        <v>384</v>
      </c>
      <c r="I1343" s="6" t="s">
        <v>13</v>
      </c>
      <c r="J1343" s="6" t="s">
        <v>228</v>
      </c>
      <c r="K1343" s="6" t="s">
        <v>8304</v>
      </c>
      <c r="M1343" s="6" t="s">
        <v>8305</v>
      </c>
    </row>
    <row r="1344" customFormat="false" ht="15" hidden="false" customHeight="false" outlineLevel="0" collapsed="false">
      <c r="A1344" s="6" t="s">
        <v>8306</v>
      </c>
      <c r="B1344" s="6" t="s">
        <v>5074</v>
      </c>
      <c r="C1344" s="6" t="s">
        <v>4975</v>
      </c>
      <c r="D1344" s="6" t="s">
        <v>7958</v>
      </c>
      <c r="E1344" s="6" t="s">
        <v>8302</v>
      </c>
      <c r="F1344" s="6" t="s">
        <v>8303</v>
      </c>
      <c r="G1344" s="9" t="n">
        <v>0</v>
      </c>
      <c r="H1344" s="6" t="s">
        <v>384</v>
      </c>
      <c r="I1344" s="6" t="s">
        <v>13</v>
      </c>
      <c r="J1344" s="6" t="s">
        <v>228</v>
      </c>
      <c r="K1344" s="6" t="s">
        <v>8304</v>
      </c>
      <c r="M1344" s="6" t="s">
        <v>8305</v>
      </c>
    </row>
    <row r="1345" customFormat="false" ht="15" hidden="false" customHeight="false" outlineLevel="0" collapsed="false">
      <c r="A1345" s="6" t="s">
        <v>8307</v>
      </c>
      <c r="B1345" s="6" t="s">
        <v>5113</v>
      </c>
      <c r="C1345" s="6" t="s">
        <v>4975</v>
      </c>
      <c r="D1345" s="6" t="s">
        <v>7958</v>
      </c>
      <c r="E1345" s="6" t="s">
        <v>8302</v>
      </c>
      <c r="F1345" s="6" t="s">
        <v>8303</v>
      </c>
      <c r="G1345" s="9" t="n">
        <v>0</v>
      </c>
      <c r="H1345" s="6" t="s">
        <v>384</v>
      </c>
      <c r="I1345" s="6" t="s">
        <v>13</v>
      </c>
      <c r="J1345" s="6" t="s">
        <v>228</v>
      </c>
      <c r="K1345" s="6" t="s">
        <v>8304</v>
      </c>
      <c r="M1345" s="6" t="s">
        <v>8305</v>
      </c>
    </row>
    <row r="1346" customFormat="false" ht="15" hidden="false" customHeight="false" outlineLevel="0" collapsed="false">
      <c r="A1346" s="6" t="s">
        <v>8308</v>
      </c>
      <c r="B1346" s="6" t="s">
        <v>5074</v>
      </c>
      <c r="C1346" s="6" t="s">
        <v>4975</v>
      </c>
      <c r="D1346" s="6" t="s">
        <v>7958</v>
      </c>
      <c r="E1346" s="6" t="s">
        <v>8309</v>
      </c>
      <c r="F1346" s="6" t="s">
        <v>8310</v>
      </c>
      <c r="G1346" s="9" t="n">
        <v>4019</v>
      </c>
      <c r="H1346" s="6" t="s">
        <v>384</v>
      </c>
      <c r="I1346" s="6" t="s">
        <v>13</v>
      </c>
      <c r="J1346" s="6" t="s">
        <v>233</v>
      </c>
      <c r="K1346" s="6" t="s">
        <v>8016</v>
      </c>
      <c r="M1346" s="6" t="s">
        <v>8311</v>
      </c>
    </row>
    <row r="1347" customFormat="false" ht="15" hidden="false" customHeight="false" outlineLevel="0" collapsed="false">
      <c r="A1347" s="6" t="s">
        <v>8312</v>
      </c>
      <c r="B1347" s="6" t="s">
        <v>5113</v>
      </c>
      <c r="C1347" s="6" t="s">
        <v>4975</v>
      </c>
      <c r="D1347" s="6" t="s">
        <v>7958</v>
      </c>
      <c r="E1347" s="6" t="s">
        <v>8309</v>
      </c>
      <c r="F1347" s="6" t="s">
        <v>8310</v>
      </c>
      <c r="G1347" s="9" t="n">
        <v>3013</v>
      </c>
      <c r="H1347" s="6" t="s">
        <v>384</v>
      </c>
      <c r="I1347" s="6" t="s">
        <v>13</v>
      </c>
      <c r="J1347" s="6" t="s">
        <v>233</v>
      </c>
      <c r="K1347" s="6" t="s">
        <v>8016</v>
      </c>
      <c r="M1347" s="6" t="s">
        <v>8311</v>
      </c>
    </row>
    <row r="1348" customFormat="false" ht="15" hidden="false" customHeight="false" outlineLevel="0" collapsed="false">
      <c r="A1348" s="6" t="s">
        <v>8313</v>
      </c>
      <c r="B1348" s="6" t="s">
        <v>5079</v>
      </c>
      <c r="C1348" s="6" t="s">
        <v>4975</v>
      </c>
      <c r="D1348" s="6" t="s">
        <v>7958</v>
      </c>
      <c r="E1348" s="6" t="s">
        <v>8309</v>
      </c>
      <c r="F1348" s="6" t="s">
        <v>8310</v>
      </c>
      <c r="G1348" s="9" t="n">
        <v>5107</v>
      </c>
      <c r="H1348" s="6" t="s">
        <v>384</v>
      </c>
      <c r="I1348" s="6" t="s">
        <v>13</v>
      </c>
      <c r="J1348" s="6" t="s">
        <v>233</v>
      </c>
      <c r="K1348" s="6" t="s">
        <v>8016</v>
      </c>
      <c r="M1348" s="6" t="s">
        <v>8311</v>
      </c>
    </row>
    <row r="1349" customFormat="false" ht="15" hidden="false" customHeight="false" outlineLevel="0" collapsed="false">
      <c r="A1349" s="6" t="s">
        <v>8314</v>
      </c>
      <c r="B1349" s="6" t="s">
        <v>5325</v>
      </c>
      <c r="C1349" s="6" t="s">
        <v>5316</v>
      </c>
      <c r="D1349" s="6" t="s">
        <v>7958</v>
      </c>
      <c r="E1349" s="6" t="s">
        <v>8315</v>
      </c>
      <c r="F1349" s="6" t="s">
        <v>8316</v>
      </c>
      <c r="G1349" s="9" t="n">
        <v>4332</v>
      </c>
      <c r="H1349" s="6" t="s">
        <v>384</v>
      </c>
      <c r="I1349" s="6" t="s">
        <v>13</v>
      </c>
      <c r="J1349" s="6" t="s">
        <v>261</v>
      </c>
      <c r="K1349" s="6" t="s">
        <v>6109</v>
      </c>
      <c r="M1349" s="6" t="s">
        <v>7200</v>
      </c>
    </row>
    <row r="1350" customFormat="false" ht="15" hidden="false" customHeight="false" outlineLevel="0" collapsed="false">
      <c r="A1350" s="6" t="s">
        <v>8317</v>
      </c>
      <c r="B1350" s="6" t="s">
        <v>5049</v>
      </c>
      <c r="C1350" s="6" t="s">
        <v>5050</v>
      </c>
      <c r="D1350" s="6" t="s">
        <v>7958</v>
      </c>
      <c r="E1350" s="6" t="s">
        <v>8318</v>
      </c>
      <c r="F1350" s="6" t="s">
        <v>8319</v>
      </c>
      <c r="G1350" s="9" t="n">
        <v>6700</v>
      </c>
      <c r="H1350" s="6" t="s">
        <v>384</v>
      </c>
      <c r="I1350" s="6" t="s">
        <v>13</v>
      </c>
      <c r="J1350" s="6" t="s">
        <v>209</v>
      </c>
      <c r="K1350" s="6" t="s">
        <v>7997</v>
      </c>
      <c r="M1350" s="6"/>
    </row>
    <row r="1351" customFormat="false" ht="15" hidden="false" customHeight="false" outlineLevel="0" collapsed="false">
      <c r="A1351" s="6" t="s">
        <v>8320</v>
      </c>
      <c r="B1351" s="6" t="s">
        <v>5049</v>
      </c>
      <c r="C1351" s="6" t="s">
        <v>5050</v>
      </c>
      <c r="D1351" s="6" t="s">
        <v>7958</v>
      </c>
      <c r="E1351" s="6" t="s">
        <v>8318</v>
      </c>
      <c r="F1351" s="6" t="s">
        <v>8321</v>
      </c>
      <c r="G1351" s="9" t="n">
        <v>6700</v>
      </c>
      <c r="H1351" s="6" t="s">
        <v>384</v>
      </c>
      <c r="I1351" s="6" t="s">
        <v>13</v>
      </c>
      <c r="J1351" s="6" t="s">
        <v>218</v>
      </c>
      <c r="K1351" s="6" t="s">
        <v>8001</v>
      </c>
      <c r="M1351" s="6"/>
    </row>
    <row r="1352" customFormat="false" ht="15" hidden="false" customHeight="false" outlineLevel="0" collapsed="false">
      <c r="A1352" s="6" t="s">
        <v>8322</v>
      </c>
      <c r="B1352" s="6" t="s">
        <v>5057</v>
      </c>
      <c r="C1352" s="6" t="s">
        <v>5050</v>
      </c>
      <c r="D1352" s="6" t="s">
        <v>7958</v>
      </c>
      <c r="E1352" s="6" t="s">
        <v>8318</v>
      </c>
      <c r="F1352" s="6" t="s">
        <v>8321</v>
      </c>
      <c r="G1352" s="9" t="n">
        <v>13289</v>
      </c>
      <c r="H1352" s="6" t="s">
        <v>384</v>
      </c>
      <c r="I1352" s="6" t="s">
        <v>13</v>
      </c>
      <c r="J1352" s="6" t="s">
        <v>218</v>
      </c>
      <c r="K1352" s="6" t="s">
        <v>8001</v>
      </c>
      <c r="M1352" s="6"/>
    </row>
    <row r="1353" customFormat="false" ht="15" hidden="false" customHeight="false" outlineLevel="0" collapsed="false">
      <c r="A1353" s="6" t="s">
        <v>8323</v>
      </c>
      <c r="B1353" s="6" t="s">
        <v>5062</v>
      </c>
      <c r="C1353" s="6" t="s">
        <v>5050</v>
      </c>
      <c r="D1353" s="6" t="s">
        <v>7958</v>
      </c>
      <c r="E1353" s="6" t="s">
        <v>8318</v>
      </c>
      <c r="F1353" s="6" t="s">
        <v>8324</v>
      </c>
      <c r="G1353" s="9" t="n">
        <v>16419</v>
      </c>
      <c r="H1353" s="6" t="s">
        <v>384</v>
      </c>
      <c r="I1353" s="6" t="s">
        <v>13</v>
      </c>
      <c r="J1353" s="6" t="s">
        <v>223</v>
      </c>
      <c r="K1353" s="6" t="s">
        <v>8006</v>
      </c>
      <c r="M1353" s="6"/>
    </row>
    <row r="1354" customFormat="false" ht="15" hidden="false" customHeight="false" outlineLevel="0" collapsed="false">
      <c r="A1354" s="6" t="s">
        <v>8325</v>
      </c>
      <c r="B1354" s="6" t="s">
        <v>5062</v>
      </c>
      <c r="C1354" s="6" t="s">
        <v>5050</v>
      </c>
      <c r="D1354" s="6" t="s">
        <v>7958</v>
      </c>
      <c r="E1354" s="6" t="s">
        <v>8318</v>
      </c>
      <c r="F1354" s="6" t="s">
        <v>8326</v>
      </c>
      <c r="G1354" s="9" t="n">
        <v>16419</v>
      </c>
      <c r="H1354" s="6" t="s">
        <v>384</v>
      </c>
      <c r="I1354" s="6" t="s">
        <v>13</v>
      </c>
      <c r="J1354" s="6" t="s">
        <v>228</v>
      </c>
      <c r="K1354" s="6" t="s">
        <v>8011</v>
      </c>
      <c r="M1354" s="6"/>
    </row>
    <row r="1355" customFormat="false" ht="15" hidden="false" customHeight="false" outlineLevel="0" collapsed="false">
      <c r="A1355" s="6" t="s">
        <v>8327</v>
      </c>
      <c r="B1355" s="6" t="s">
        <v>5067</v>
      </c>
      <c r="C1355" s="6" t="s">
        <v>5050</v>
      </c>
      <c r="D1355" s="6" t="s">
        <v>7958</v>
      </c>
      <c r="E1355" s="6" t="s">
        <v>8318</v>
      </c>
      <c r="F1355" s="6" t="s">
        <v>8326</v>
      </c>
      <c r="G1355" s="9" t="n">
        <v>22000</v>
      </c>
      <c r="H1355" s="6" t="s">
        <v>384</v>
      </c>
      <c r="I1355" s="6" t="s">
        <v>13</v>
      </c>
      <c r="J1355" s="6" t="s">
        <v>228</v>
      </c>
      <c r="K1355" s="6" t="s">
        <v>8011</v>
      </c>
      <c r="M1355" s="6"/>
    </row>
    <row r="1356" customFormat="false" ht="15" hidden="false" customHeight="false" outlineLevel="0" collapsed="false">
      <c r="A1356" s="6" t="s">
        <v>8328</v>
      </c>
      <c r="B1356" s="6" t="s">
        <v>5067</v>
      </c>
      <c r="C1356" s="6" t="s">
        <v>5050</v>
      </c>
      <c r="D1356" s="6" t="s">
        <v>7958</v>
      </c>
      <c r="E1356" s="6" t="s">
        <v>8318</v>
      </c>
      <c r="F1356" s="6" t="s">
        <v>8329</v>
      </c>
      <c r="G1356" s="9" t="n">
        <v>22000</v>
      </c>
      <c r="H1356" s="6" t="s">
        <v>384</v>
      </c>
      <c r="I1356" s="6" t="s">
        <v>13</v>
      </c>
      <c r="J1356" s="6" t="s">
        <v>233</v>
      </c>
      <c r="K1356" s="6" t="s">
        <v>8016</v>
      </c>
      <c r="M1356" s="6"/>
    </row>
    <row r="1357" customFormat="false" ht="15" hidden="false" customHeight="false" outlineLevel="0" collapsed="false">
      <c r="A1357" s="6" t="s">
        <v>8330</v>
      </c>
      <c r="B1357" s="6" t="s">
        <v>5072</v>
      </c>
      <c r="C1357" s="6" t="s">
        <v>5050</v>
      </c>
      <c r="D1357" s="6" t="s">
        <v>7958</v>
      </c>
      <c r="E1357" s="6" t="s">
        <v>8318</v>
      </c>
      <c r="F1357" s="6" t="s">
        <v>8329</v>
      </c>
      <c r="G1357" s="9" t="n">
        <v>33855</v>
      </c>
      <c r="H1357" s="6" t="s">
        <v>384</v>
      </c>
      <c r="I1357" s="6" t="s">
        <v>13</v>
      </c>
      <c r="J1357" s="6" t="s">
        <v>233</v>
      </c>
      <c r="K1357" s="6" t="s">
        <v>8016</v>
      </c>
      <c r="M1357" s="6"/>
    </row>
    <row r="1358" customFormat="false" ht="15" hidden="false" customHeight="false" outlineLevel="0" collapsed="false">
      <c r="A1358" s="6" t="s">
        <v>8331</v>
      </c>
      <c r="B1358" s="6" t="s">
        <v>5072</v>
      </c>
      <c r="C1358" s="6" t="s">
        <v>5050</v>
      </c>
      <c r="D1358" s="6" t="s">
        <v>7958</v>
      </c>
      <c r="E1358" s="6" t="s">
        <v>8332</v>
      </c>
      <c r="F1358" s="6" t="s">
        <v>8333</v>
      </c>
      <c r="G1358" s="9" t="n">
        <v>0</v>
      </c>
      <c r="H1358" s="6" t="s">
        <v>384</v>
      </c>
      <c r="I1358" s="6" t="s">
        <v>13</v>
      </c>
      <c r="J1358" s="6" t="s">
        <v>233</v>
      </c>
      <c r="K1358" s="6" t="s">
        <v>8334</v>
      </c>
      <c r="M1358" s="6" t="s">
        <v>8335</v>
      </c>
    </row>
    <row r="1359" customFormat="false" ht="15" hidden="false" customHeight="false" outlineLevel="0" collapsed="false">
      <c r="A1359" s="6" t="s">
        <v>8336</v>
      </c>
      <c r="B1359" s="6" t="s">
        <v>5062</v>
      </c>
      <c r="C1359" s="6" t="s">
        <v>5050</v>
      </c>
      <c r="D1359" s="6" t="s">
        <v>7958</v>
      </c>
      <c r="E1359" s="6" t="s">
        <v>8337</v>
      </c>
      <c r="F1359" s="6" t="s">
        <v>8338</v>
      </c>
      <c r="G1359" s="9" t="n">
        <v>0</v>
      </c>
      <c r="H1359" s="6" t="s">
        <v>384</v>
      </c>
      <c r="I1359" s="6" t="s">
        <v>13</v>
      </c>
      <c r="J1359" s="6" t="s">
        <v>228</v>
      </c>
      <c r="K1359" s="6" t="s">
        <v>8036</v>
      </c>
      <c r="M1359" s="6"/>
    </row>
    <row r="1360" customFormat="false" ht="15" hidden="false" customHeight="false" outlineLevel="0" collapsed="false">
      <c r="A1360" s="6" t="s">
        <v>8339</v>
      </c>
      <c r="B1360" s="6" t="s">
        <v>5067</v>
      </c>
      <c r="C1360" s="6" t="s">
        <v>5050</v>
      </c>
      <c r="D1360" s="6" t="s">
        <v>7958</v>
      </c>
      <c r="E1360" s="6" t="s">
        <v>8337</v>
      </c>
      <c r="F1360" s="6" t="s">
        <v>8338</v>
      </c>
      <c r="G1360" s="9" t="n">
        <v>50004</v>
      </c>
      <c r="H1360" s="6" t="s">
        <v>384</v>
      </c>
      <c r="I1360" s="6" t="s">
        <v>13</v>
      </c>
      <c r="J1360" s="6" t="s">
        <v>228</v>
      </c>
      <c r="K1360" s="6" t="s">
        <v>8036</v>
      </c>
      <c r="M1360" s="6"/>
    </row>
    <row r="1361" customFormat="false" ht="15" hidden="false" customHeight="false" outlineLevel="0" collapsed="false">
      <c r="A1361" s="6" t="s">
        <v>8340</v>
      </c>
      <c r="B1361" s="6" t="s">
        <v>5067</v>
      </c>
      <c r="C1361" s="6" t="s">
        <v>5050</v>
      </c>
      <c r="D1361" s="6" t="s">
        <v>7958</v>
      </c>
      <c r="E1361" s="6" t="s">
        <v>8337</v>
      </c>
      <c r="F1361" s="6" t="s">
        <v>8341</v>
      </c>
      <c r="G1361" s="9" t="n">
        <v>50004</v>
      </c>
      <c r="H1361" s="6" t="s">
        <v>384</v>
      </c>
      <c r="I1361" s="6" t="s">
        <v>13</v>
      </c>
      <c r="J1361" s="6" t="s">
        <v>233</v>
      </c>
      <c r="K1361" s="6" t="s">
        <v>8040</v>
      </c>
      <c r="M1361" s="6"/>
    </row>
    <row r="1362" customFormat="false" ht="15" hidden="false" customHeight="false" outlineLevel="0" collapsed="false">
      <c r="A1362" s="6" t="s">
        <v>8342</v>
      </c>
      <c r="B1362" s="6" t="s">
        <v>5072</v>
      </c>
      <c r="C1362" s="6" t="s">
        <v>5050</v>
      </c>
      <c r="D1362" s="6" t="s">
        <v>7958</v>
      </c>
      <c r="E1362" s="6" t="s">
        <v>8337</v>
      </c>
      <c r="F1362" s="6" t="s">
        <v>8341</v>
      </c>
      <c r="G1362" s="9" t="n">
        <v>162308</v>
      </c>
      <c r="H1362" s="6" t="s">
        <v>384</v>
      </c>
      <c r="I1362" s="6" t="s">
        <v>13</v>
      </c>
      <c r="J1362" s="6" t="s">
        <v>233</v>
      </c>
      <c r="K1362" s="6" t="s">
        <v>8040</v>
      </c>
      <c r="M1362" s="6"/>
    </row>
    <row r="1363" customFormat="false" ht="15" hidden="false" customHeight="false" outlineLevel="0" collapsed="false">
      <c r="A1363" s="6" t="s">
        <v>8343</v>
      </c>
      <c r="B1363" s="6" t="s">
        <v>5067</v>
      </c>
      <c r="C1363" s="6" t="s">
        <v>5050</v>
      </c>
      <c r="D1363" s="6" t="s">
        <v>7958</v>
      </c>
      <c r="E1363" s="6" t="s">
        <v>8344</v>
      </c>
      <c r="F1363" s="6" t="s">
        <v>8345</v>
      </c>
      <c r="G1363" s="9" t="n">
        <v>50004</v>
      </c>
      <c r="H1363" s="6" t="s">
        <v>384</v>
      </c>
      <c r="I1363" s="6" t="s">
        <v>13</v>
      </c>
      <c r="J1363" s="6" t="s">
        <v>253</v>
      </c>
      <c r="K1363" s="6" t="s">
        <v>8023</v>
      </c>
      <c r="M1363" s="6"/>
    </row>
    <row r="1364" customFormat="false" ht="15" hidden="false" customHeight="false" outlineLevel="0" collapsed="false">
      <c r="A1364" s="6" t="s">
        <v>8346</v>
      </c>
      <c r="B1364" s="6" t="s">
        <v>5245</v>
      </c>
      <c r="C1364" s="6" t="s">
        <v>5050</v>
      </c>
      <c r="D1364" s="6" t="s">
        <v>7958</v>
      </c>
      <c r="E1364" s="6" t="s">
        <v>8344</v>
      </c>
      <c r="F1364" s="6" t="s">
        <v>8345</v>
      </c>
      <c r="G1364" s="9" t="n">
        <v>60102</v>
      </c>
      <c r="H1364" s="6" t="s">
        <v>384</v>
      </c>
      <c r="I1364" s="6" t="s">
        <v>13</v>
      </c>
      <c r="J1364" s="6" t="s">
        <v>253</v>
      </c>
      <c r="K1364" s="6" t="s">
        <v>8023</v>
      </c>
      <c r="M1364" s="6"/>
    </row>
    <row r="1365" customFormat="false" ht="15" hidden="false" customHeight="false" outlineLevel="0" collapsed="false">
      <c r="A1365" s="6" t="s">
        <v>8347</v>
      </c>
      <c r="B1365" s="6" t="s">
        <v>5072</v>
      </c>
      <c r="C1365" s="6" t="s">
        <v>5050</v>
      </c>
      <c r="D1365" s="6" t="s">
        <v>7958</v>
      </c>
      <c r="E1365" s="6" t="s">
        <v>8344</v>
      </c>
      <c r="F1365" s="6" t="s">
        <v>8348</v>
      </c>
      <c r="G1365" s="9" t="n">
        <v>162308</v>
      </c>
      <c r="H1365" s="6" t="s">
        <v>384</v>
      </c>
      <c r="I1365" s="6" t="s">
        <v>13</v>
      </c>
      <c r="J1365" s="6" t="s">
        <v>261</v>
      </c>
      <c r="K1365" s="6" t="s">
        <v>8027</v>
      </c>
      <c r="M1365" s="6"/>
    </row>
    <row r="1366" customFormat="false" ht="15" hidden="false" customHeight="false" outlineLevel="0" collapsed="false">
      <c r="A1366" s="6" t="s">
        <v>8349</v>
      </c>
      <c r="B1366" s="6" t="s">
        <v>5249</v>
      </c>
      <c r="C1366" s="6" t="s">
        <v>5050</v>
      </c>
      <c r="D1366" s="6" t="s">
        <v>7958</v>
      </c>
      <c r="E1366" s="6" t="s">
        <v>8344</v>
      </c>
      <c r="F1366" s="6" t="s">
        <v>8348</v>
      </c>
      <c r="G1366" s="9" t="n">
        <v>219353</v>
      </c>
      <c r="H1366" s="6" t="s">
        <v>384</v>
      </c>
      <c r="I1366" s="6" t="s">
        <v>13</v>
      </c>
      <c r="J1366" s="6" t="s">
        <v>261</v>
      </c>
      <c r="K1366" s="6" t="s">
        <v>8027</v>
      </c>
      <c r="M1366" s="6"/>
    </row>
    <row r="1367" customFormat="false" ht="15" hidden="false" customHeight="false" outlineLevel="0" collapsed="false">
      <c r="A1367" s="6" t="s">
        <v>8350</v>
      </c>
      <c r="B1367" s="6" t="s">
        <v>5245</v>
      </c>
      <c r="C1367" s="6" t="s">
        <v>5050</v>
      </c>
      <c r="D1367" s="6" t="s">
        <v>7958</v>
      </c>
      <c r="E1367" s="6" t="s">
        <v>8351</v>
      </c>
      <c r="F1367" s="6" t="s">
        <v>8352</v>
      </c>
      <c r="G1367" s="9" t="n">
        <v>60102</v>
      </c>
      <c r="H1367" s="6" t="s">
        <v>384</v>
      </c>
      <c r="I1367" s="6" t="s">
        <v>13</v>
      </c>
      <c r="J1367" s="6" t="s">
        <v>253</v>
      </c>
      <c r="K1367" s="6" t="s">
        <v>8353</v>
      </c>
      <c r="M1367" s="6" t="s">
        <v>8354</v>
      </c>
    </row>
    <row r="1368" customFormat="false" ht="15" hidden="false" customHeight="false" outlineLevel="0" collapsed="false">
      <c r="A1368" s="6" t="s">
        <v>8355</v>
      </c>
      <c r="B1368" s="6" t="s">
        <v>5249</v>
      </c>
      <c r="C1368" s="6" t="s">
        <v>5050</v>
      </c>
      <c r="D1368" s="6" t="s">
        <v>7958</v>
      </c>
      <c r="E1368" s="6" t="s">
        <v>8356</v>
      </c>
      <c r="F1368" s="6" t="s">
        <v>8357</v>
      </c>
      <c r="G1368" s="9" t="n">
        <v>121311</v>
      </c>
      <c r="H1368" s="6" t="s">
        <v>384</v>
      </c>
      <c r="I1368" s="6" t="s">
        <v>13</v>
      </c>
      <c r="J1368" s="6" t="s">
        <v>261</v>
      </c>
      <c r="K1368" s="6" t="s">
        <v>8358</v>
      </c>
      <c r="M1368" s="6"/>
    </row>
    <row r="1369" customFormat="false" ht="15" hidden="false" customHeight="false" outlineLevel="0" collapsed="false">
      <c r="A1369" s="6" t="s">
        <v>8359</v>
      </c>
      <c r="B1369" s="6" t="s">
        <v>5249</v>
      </c>
      <c r="C1369" s="6" t="s">
        <v>5050</v>
      </c>
      <c r="D1369" s="6" t="s">
        <v>7958</v>
      </c>
      <c r="E1369" s="6" t="s">
        <v>8360</v>
      </c>
      <c r="F1369" s="6" t="s">
        <v>8361</v>
      </c>
      <c r="G1369" s="9" t="n">
        <v>98042</v>
      </c>
      <c r="H1369" s="6" t="s">
        <v>384</v>
      </c>
      <c r="I1369" s="6" t="s">
        <v>13</v>
      </c>
      <c r="J1369" s="6" t="s">
        <v>261</v>
      </c>
      <c r="K1369" s="6" t="s">
        <v>8358</v>
      </c>
      <c r="M1369" s="6"/>
    </row>
    <row r="1370" customFormat="false" ht="15" hidden="false" customHeight="false" outlineLevel="0" collapsed="false">
      <c r="A1370" s="6" t="s">
        <v>8362</v>
      </c>
      <c r="B1370" s="6" t="s">
        <v>5072</v>
      </c>
      <c r="C1370" s="6" t="s">
        <v>5050</v>
      </c>
      <c r="D1370" s="6" t="s">
        <v>7958</v>
      </c>
      <c r="E1370" s="6" t="s">
        <v>8363</v>
      </c>
      <c r="F1370" s="6" t="s">
        <v>8364</v>
      </c>
      <c r="G1370" s="9" t="n">
        <v>70122</v>
      </c>
      <c r="H1370" s="6" t="s">
        <v>384</v>
      </c>
      <c r="I1370" s="6" t="s">
        <v>13</v>
      </c>
      <c r="J1370" s="6" t="s">
        <v>233</v>
      </c>
      <c r="K1370" s="6" t="s">
        <v>8040</v>
      </c>
      <c r="M1370" s="6"/>
    </row>
    <row r="1371" customFormat="false" ht="15" hidden="false" customHeight="false" outlineLevel="0" collapsed="false">
      <c r="A1371" s="6" t="s">
        <v>8365</v>
      </c>
      <c r="B1371" s="6" t="s">
        <v>5325</v>
      </c>
      <c r="C1371" s="6" t="s">
        <v>5316</v>
      </c>
      <c r="D1371" s="6" t="s">
        <v>7958</v>
      </c>
      <c r="E1371" s="6" t="s">
        <v>8366</v>
      </c>
      <c r="F1371" s="6" t="s">
        <v>8367</v>
      </c>
      <c r="G1371" s="9" t="n">
        <v>55917</v>
      </c>
      <c r="H1371" s="6" t="s">
        <v>384</v>
      </c>
      <c r="I1371" s="6" t="s">
        <v>13</v>
      </c>
      <c r="J1371" s="6" t="s">
        <v>261</v>
      </c>
      <c r="K1371" s="6" t="s">
        <v>6109</v>
      </c>
      <c r="M1371" s="6"/>
    </row>
    <row r="1372" customFormat="false" ht="15" hidden="false" customHeight="false" outlineLevel="0" collapsed="false">
      <c r="A1372" s="6" t="s">
        <v>8368</v>
      </c>
      <c r="B1372" s="6" t="s">
        <v>5062</v>
      </c>
      <c r="C1372" s="6" t="s">
        <v>5050</v>
      </c>
      <c r="D1372" s="6" t="s">
        <v>7958</v>
      </c>
      <c r="E1372" s="6" t="s">
        <v>8369</v>
      </c>
      <c r="F1372" s="6" t="s">
        <v>8370</v>
      </c>
      <c r="G1372" s="9" t="n">
        <v>1024658</v>
      </c>
      <c r="H1372" s="6" t="s">
        <v>384</v>
      </c>
      <c r="I1372" s="6" t="s">
        <v>13</v>
      </c>
      <c r="J1372" s="6" t="s">
        <v>228</v>
      </c>
      <c r="K1372" s="6" t="s">
        <v>8036</v>
      </c>
      <c r="M1372" s="6"/>
    </row>
    <row r="1373" customFormat="false" ht="15" hidden="false" customHeight="false" outlineLevel="0" collapsed="false">
      <c r="A1373" s="6" t="s">
        <v>8371</v>
      </c>
      <c r="B1373" s="6" t="s">
        <v>5067</v>
      </c>
      <c r="C1373" s="6" t="s">
        <v>5050</v>
      </c>
      <c r="D1373" s="6" t="s">
        <v>7958</v>
      </c>
      <c r="E1373" s="6" t="s">
        <v>8369</v>
      </c>
      <c r="F1373" s="6" t="s">
        <v>8370</v>
      </c>
      <c r="G1373" s="9" t="n">
        <v>1291274</v>
      </c>
      <c r="H1373" s="6" t="s">
        <v>384</v>
      </c>
      <c r="I1373" s="6" t="s">
        <v>13</v>
      </c>
      <c r="J1373" s="6" t="s">
        <v>228</v>
      </c>
      <c r="K1373" s="6" t="s">
        <v>8036</v>
      </c>
      <c r="M1373" s="6"/>
    </row>
    <row r="1374" customFormat="false" ht="15" hidden="false" customHeight="false" outlineLevel="0" collapsed="false">
      <c r="A1374" s="6" t="s">
        <v>8372</v>
      </c>
      <c r="B1374" s="6" t="s">
        <v>5067</v>
      </c>
      <c r="C1374" s="6" t="s">
        <v>5050</v>
      </c>
      <c r="D1374" s="6" t="s">
        <v>7958</v>
      </c>
      <c r="E1374" s="6" t="s">
        <v>8369</v>
      </c>
      <c r="F1374" s="6" t="s">
        <v>8373</v>
      </c>
      <c r="G1374" s="9" t="n">
        <v>1291274</v>
      </c>
      <c r="H1374" s="6" t="s">
        <v>384</v>
      </c>
      <c r="I1374" s="6" t="s">
        <v>13</v>
      </c>
      <c r="J1374" s="6" t="s">
        <v>233</v>
      </c>
      <c r="K1374" s="6" t="s">
        <v>8040</v>
      </c>
      <c r="M1374" s="6"/>
    </row>
    <row r="1375" customFormat="false" ht="15" hidden="false" customHeight="false" outlineLevel="0" collapsed="false">
      <c r="A1375" s="6" t="s">
        <v>8374</v>
      </c>
      <c r="B1375" s="6" t="s">
        <v>5067</v>
      </c>
      <c r="C1375" s="6" t="s">
        <v>5050</v>
      </c>
      <c r="D1375" s="6" t="s">
        <v>7958</v>
      </c>
      <c r="E1375" s="6" t="s">
        <v>8369</v>
      </c>
      <c r="F1375" s="6" t="s">
        <v>8375</v>
      </c>
      <c r="G1375" s="9" t="n">
        <v>1291274</v>
      </c>
      <c r="H1375" s="6" t="s">
        <v>384</v>
      </c>
      <c r="I1375" s="6" t="s">
        <v>13</v>
      </c>
      <c r="J1375" s="6" t="s">
        <v>253</v>
      </c>
      <c r="K1375" s="6" t="s">
        <v>8023</v>
      </c>
      <c r="M1375" s="6"/>
    </row>
    <row r="1376" customFormat="false" ht="15" hidden="false" customHeight="false" outlineLevel="0" collapsed="false">
      <c r="A1376" s="6" t="s">
        <v>8376</v>
      </c>
      <c r="B1376" s="6" t="s">
        <v>5245</v>
      </c>
      <c r="C1376" s="6" t="s">
        <v>5050</v>
      </c>
      <c r="D1376" s="6" t="s">
        <v>7958</v>
      </c>
      <c r="E1376" s="6" t="s">
        <v>8369</v>
      </c>
      <c r="F1376" s="6" t="s">
        <v>8375</v>
      </c>
      <c r="G1376" s="9" t="n">
        <v>1334384</v>
      </c>
      <c r="H1376" s="6" t="s">
        <v>384</v>
      </c>
      <c r="I1376" s="6" t="s">
        <v>13</v>
      </c>
      <c r="J1376" s="6" t="s">
        <v>253</v>
      </c>
      <c r="K1376" s="6" t="s">
        <v>8023</v>
      </c>
      <c r="M1376" s="6"/>
    </row>
    <row r="1377" customFormat="false" ht="15" hidden="false" customHeight="false" outlineLevel="0" collapsed="false">
      <c r="A1377" s="6" t="s">
        <v>8377</v>
      </c>
      <c r="B1377" s="6" t="s">
        <v>5072</v>
      </c>
      <c r="C1377" s="6" t="s">
        <v>5050</v>
      </c>
      <c r="D1377" s="6" t="s">
        <v>7958</v>
      </c>
      <c r="E1377" s="6" t="s">
        <v>8369</v>
      </c>
      <c r="F1377" s="6" t="s">
        <v>8373</v>
      </c>
      <c r="G1377" s="9" t="n">
        <v>1039648</v>
      </c>
      <c r="H1377" s="6" t="s">
        <v>384</v>
      </c>
      <c r="I1377" s="6" t="s">
        <v>13</v>
      </c>
      <c r="J1377" s="6" t="s">
        <v>233</v>
      </c>
      <c r="K1377" s="6" t="s">
        <v>8040</v>
      </c>
      <c r="M1377" s="6"/>
    </row>
    <row r="1378" customFormat="false" ht="15" hidden="false" customHeight="false" outlineLevel="0" collapsed="false">
      <c r="A1378" s="6" t="s">
        <v>8378</v>
      </c>
      <c r="B1378" s="6" t="s">
        <v>5072</v>
      </c>
      <c r="C1378" s="6" t="s">
        <v>5050</v>
      </c>
      <c r="D1378" s="6" t="s">
        <v>7958</v>
      </c>
      <c r="E1378" s="6" t="s">
        <v>8369</v>
      </c>
      <c r="F1378" s="6" t="s">
        <v>8379</v>
      </c>
      <c r="G1378" s="9" t="n">
        <v>1039648</v>
      </c>
      <c r="H1378" s="6" t="s">
        <v>384</v>
      </c>
      <c r="I1378" s="6" t="s">
        <v>13</v>
      </c>
      <c r="J1378" s="6" t="s">
        <v>261</v>
      </c>
      <c r="K1378" s="6" t="s">
        <v>8027</v>
      </c>
      <c r="M1378" s="6"/>
    </row>
    <row r="1379" customFormat="false" ht="15" hidden="false" customHeight="false" outlineLevel="0" collapsed="false">
      <c r="A1379" s="6" t="s">
        <v>8380</v>
      </c>
      <c r="B1379" s="6" t="s">
        <v>5249</v>
      </c>
      <c r="C1379" s="6" t="s">
        <v>5050</v>
      </c>
      <c r="D1379" s="6" t="s">
        <v>7958</v>
      </c>
      <c r="E1379" s="6" t="s">
        <v>8369</v>
      </c>
      <c r="F1379" s="6" t="s">
        <v>8379</v>
      </c>
      <c r="G1379" s="9" t="n">
        <v>209690</v>
      </c>
      <c r="H1379" s="6" t="s">
        <v>384</v>
      </c>
      <c r="I1379" s="6" t="s">
        <v>13</v>
      </c>
      <c r="J1379" s="6" t="s">
        <v>261</v>
      </c>
      <c r="K1379" s="6" t="s">
        <v>8027</v>
      </c>
      <c r="M1379" s="6"/>
    </row>
    <row r="1380" customFormat="false" ht="15" hidden="false" customHeight="false" outlineLevel="0" collapsed="false">
      <c r="A1380" s="6" t="s">
        <v>8381</v>
      </c>
      <c r="B1380" s="6" t="s">
        <v>5057</v>
      </c>
      <c r="C1380" s="6" t="s">
        <v>5050</v>
      </c>
      <c r="D1380" s="6" t="s">
        <v>7958</v>
      </c>
      <c r="E1380" s="6" t="s">
        <v>8382</v>
      </c>
      <c r="F1380" s="6" t="s">
        <v>8383</v>
      </c>
      <c r="G1380" s="9" t="n">
        <v>80888</v>
      </c>
      <c r="H1380" s="6" t="s">
        <v>384</v>
      </c>
      <c r="I1380" s="6" t="s">
        <v>13</v>
      </c>
      <c r="J1380" s="6" t="s">
        <v>218</v>
      </c>
      <c r="K1380" s="6" t="s">
        <v>8045</v>
      </c>
      <c r="M1380" s="6" t="s">
        <v>8384</v>
      </c>
    </row>
    <row r="1381" customFormat="false" ht="15" hidden="false" customHeight="false" outlineLevel="0" collapsed="false">
      <c r="A1381" s="6" t="s">
        <v>8385</v>
      </c>
      <c r="B1381" s="6" t="s">
        <v>5057</v>
      </c>
      <c r="C1381" s="6" t="s">
        <v>5050</v>
      </c>
      <c r="D1381" s="6" t="s">
        <v>7958</v>
      </c>
      <c r="E1381" s="6" t="s">
        <v>8382</v>
      </c>
      <c r="F1381" s="6" t="s">
        <v>8386</v>
      </c>
      <c r="G1381" s="9" t="n">
        <v>80888</v>
      </c>
      <c r="H1381" s="6" t="s">
        <v>384</v>
      </c>
      <c r="I1381" s="6" t="s">
        <v>13</v>
      </c>
      <c r="J1381" s="6" t="s">
        <v>223</v>
      </c>
      <c r="K1381" s="6" t="s">
        <v>8032</v>
      </c>
      <c r="M1381" s="6"/>
    </row>
    <row r="1382" customFormat="false" ht="15" hidden="false" customHeight="false" outlineLevel="0" collapsed="false">
      <c r="A1382" s="6" t="s">
        <v>8387</v>
      </c>
      <c r="B1382" s="6" t="s">
        <v>5062</v>
      </c>
      <c r="C1382" s="6" t="s">
        <v>5050</v>
      </c>
      <c r="D1382" s="6" t="s">
        <v>7958</v>
      </c>
      <c r="E1382" s="6" t="s">
        <v>8382</v>
      </c>
      <c r="F1382" s="6" t="s">
        <v>8386</v>
      </c>
      <c r="G1382" s="9" t="n">
        <v>1024658</v>
      </c>
      <c r="H1382" s="6" t="s">
        <v>384</v>
      </c>
      <c r="I1382" s="6" t="s">
        <v>13</v>
      </c>
      <c r="J1382" s="6" t="s">
        <v>223</v>
      </c>
      <c r="K1382" s="6" t="s">
        <v>8032</v>
      </c>
      <c r="M1382" s="6"/>
    </row>
    <row r="1383" customFormat="false" ht="15" hidden="false" customHeight="false" outlineLevel="0" collapsed="false">
      <c r="A1383" s="6" t="s">
        <v>8388</v>
      </c>
      <c r="B1383" s="6" t="s">
        <v>5062</v>
      </c>
      <c r="C1383" s="6" t="s">
        <v>5050</v>
      </c>
      <c r="D1383" s="6" t="s">
        <v>7958</v>
      </c>
      <c r="E1383" s="6" t="s">
        <v>8382</v>
      </c>
      <c r="F1383" s="6" t="s">
        <v>8389</v>
      </c>
      <c r="G1383" s="9" t="n">
        <v>1024658</v>
      </c>
      <c r="H1383" s="6" t="s">
        <v>384</v>
      </c>
      <c r="I1383" s="6" t="s">
        <v>13</v>
      </c>
      <c r="J1383" s="6" t="s">
        <v>238</v>
      </c>
      <c r="K1383" s="6" t="s">
        <v>8390</v>
      </c>
      <c r="M1383" s="6"/>
    </row>
    <row r="1384" customFormat="false" ht="15" hidden="false" customHeight="false" outlineLevel="0" collapsed="false">
      <c r="A1384" s="6" t="s">
        <v>8391</v>
      </c>
      <c r="B1384" s="6" t="s">
        <v>5239</v>
      </c>
      <c r="C1384" s="6" t="s">
        <v>5050</v>
      </c>
      <c r="D1384" s="6" t="s">
        <v>7958</v>
      </c>
      <c r="E1384" s="6" t="s">
        <v>8382</v>
      </c>
      <c r="F1384" s="6" t="s">
        <v>8392</v>
      </c>
      <c r="G1384" s="9" t="n">
        <v>1176178</v>
      </c>
      <c r="H1384" s="6" t="s">
        <v>384</v>
      </c>
      <c r="I1384" s="6" t="s">
        <v>13</v>
      </c>
      <c r="J1384" s="6" t="s">
        <v>238</v>
      </c>
      <c r="K1384" s="6" t="s">
        <v>8390</v>
      </c>
      <c r="M1384" s="6"/>
    </row>
    <row r="1385" customFormat="false" ht="15" hidden="false" customHeight="false" outlineLevel="0" collapsed="false">
      <c r="A1385" s="6" t="s">
        <v>8393</v>
      </c>
      <c r="B1385" s="6" t="s">
        <v>5468</v>
      </c>
      <c r="C1385" s="6" t="s">
        <v>5050</v>
      </c>
      <c r="D1385" s="6" t="s">
        <v>7958</v>
      </c>
      <c r="E1385" s="6" t="s">
        <v>8394</v>
      </c>
      <c r="F1385" s="6" t="s">
        <v>8395</v>
      </c>
      <c r="G1385" s="9" t="n">
        <v>1638</v>
      </c>
      <c r="H1385" s="6" t="s">
        <v>384</v>
      </c>
      <c r="I1385" s="6" t="s">
        <v>13</v>
      </c>
      <c r="J1385" s="6" t="s">
        <v>218</v>
      </c>
      <c r="K1385" s="6" t="s">
        <v>8001</v>
      </c>
      <c r="M1385" s="6"/>
    </row>
    <row r="1386" customFormat="false" ht="15" hidden="false" customHeight="false" outlineLevel="0" collapsed="false">
      <c r="A1386" s="6" t="s">
        <v>8396</v>
      </c>
      <c r="B1386" s="6" t="s">
        <v>5049</v>
      </c>
      <c r="C1386" s="6" t="s">
        <v>5050</v>
      </c>
      <c r="D1386" s="6" t="s">
        <v>7958</v>
      </c>
      <c r="E1386" s="6" t="s">
        <v>8394</v>
      </c>
      <c r="F1386" s="6" t="s">
        <v>8395</v>
      </c>
      <c r="G1386" s="9" t="n">
        <v>4793</v>
      </c>
      <c r="H1386" s="6" t="s">
        <v>384</v>
      </c>
      <c r="I1386" s="6" t="s">
        <v>13</v>
      </c>
      <c r="J1386" s="6" t="s">
        <v>218</v>
      </c>
      <c r="K1386" s="6" t="s">
        <v>8001</v>
      </c>
      <c r="M1386" s="6"/>
    </row>
    <row r="1387" customFormat="false" ht="15" hidden="false" customHeight="false" outlineLevel="0" collapsed="false">
      <c r="A1387" s="6" t="s">
        <v>8397</v>
      </c>
      <c r="B1387" s="6" t="s">
        <v>5057</v>
      </c>
      <c r="C1387" s="6" t="s">
        <v>5050</v>
      </c>
      <c r="D1387" s="6" t="s">
        <v>7958</v>
      </c>
      <c r="E1387" s="6" t="s">
        <v>8394</v>
      </c>
      <c r="F1387" s="6" t="s">
        <v>8395</v>
      </c>
      <c r="G1387" s="9" t="n">
        <v>8233</v>
      </c>
      <c r="H1387" s="6" t="s">
        <v>384</v>
      </c>
      <c r="I1387" s="6" t="s">
        <v>13</v>
      </c>
      <c r="J1387" s="6" t="s">
        <v>218</v>
      </c>
      <c r="K1387" s="6" t="s">
        <v>8001</v>
      </c>
      <c r="M1387" s="6"/>
    </row>
    <row r="1388" customFormat="false" ht="15" hidden="false" customHeight="false" outlineLevel="0" collapsed="false">
      <c r="A1388" s="6" t="s">
        <v>8398</v>
      </c>
      <c r="B1388" s="6" t="s">
        <v>5062</v>
      </c>
      <c r="C1388" s="6" t="s">
        <v>5050</v>
      </c>
      <c r="D1388" s="6" t="s">
        <v>7958</v>
      </c>
      <c r="E1388" s="6" t="s">
        <v>8394</v>
      </c>
      <c r="F1388" s="6" t="s">
        <v>8399</v>
      </c>
      <c r="G1388" s="9" t="n">
        <v>9693</v>
      </c>
      <c r="H1388" s="6" t="s">
        <v>384</v>
      </c>
      <c r="I1388" s="6" t="s">
        <v>13</v>
      </c>
      <c r="J1388" s="6" t="s">
        <v>223</v>
      </c>
      <c r="K1388" s="6" t="s">
        <v>8006</v>
      </c>
      <c r="M1388" s="6"/>
    </row>
    <row r="1389" customFormat="false" ht="15" hidden="false" customHeight="false" outlineLevel="0" collapsed="false">
      <c r="A1389" s="6" t="s">
        <v>8400</v>
      </c>
      <c r="B1389" s="6" t="s">
        <v>5062</v>
      </c>
      <c r="C1389" s="6" t="s">
        <v>5050</v>
      </c>
      <c r="D1389" s="6" t="s">
        <v>7958</v>
      </c>
      <c r="E1389" s="6" t="s">
        <v>8394</v>
      </c>
      <c r="F1389" s="6" t="s">
        <v>8401</v>
      </c>
      <c r="G1389" s="9" t="n">
        <v>9693</v>
      </c>
      <c r="H1389" s="6" t="s">
        <v>384</v>
      </c>
      <c r="I1389" s="6" t="s">
        <v>13</v>
      </c>
      <c r="J1389" s="6" t="s">
        <v>228</v>
      </c>
      <c r="K1389" s="6" t="s">
        <v>8011</v>
      </c>
      <c r="M1389" s="6"/>
    </row>
    <row r="1390" customFormat="false" ht="15" hidden="false" customHeight="false" outlineLevel="0" collapsed="false">
      <c r="A1390" s="6" t="s">
        <v>8402</v>
      </c>
      <c r="B1390" s="6" t="s">
        <v>5067</v>
      </c>
      <c r="C1390" s="6" t="s">
        <v>5050</v>
      </c>
      <c r="D1390" s="6" t="s">
        <v>7958</v>
      </c>
      <c r="E1390" s="6" t="s">
        <v>8394</v>
      </c>
      <c r="F1390" s="6" t="s">
        <v>8401</v>
      </c>
      <c r="G1390" s="9" t="n">
        <v>8823</v>
      </c>
      <c r="H1390" s="6" t="s">
        <v>384</v>
      </c>
      <c r="I1390" s="6" t="s">
        <v>13</v>
      </c>
      <c r="J1390" s="6" t="s">
        <v>228</v>
      </c>
      <c r="K1390" s="6" t="s">
        <v>8011</v>
      </c>
      <c r="M1390" s="6"/>
    </row>
    <row r="1391" customFormat="false" ht="15" hidden="false" customHeight="false" outlineLevel="0" collapsed="false">
      <c r="A1391" s="6" t="s">
        <v>8403</v>
      </c>
      <c r="B1391" s="6" t="s">
        <v>5203</v>
      </c>
      <c r="C1391" s="6" t="s">
        <v>4975</v>
      </c>
      <c r="D1391" s="6" t="s">
        <v>7958</v>
      </c>
      <c r="E1391" s="6" t="s">
        <v>8404</v>
      </c>
      <c r="F1391" s="6" t="s">
        <v>8405</v>
      </c>
      <c r="G1391" s="9" t="n">
        <v>8470</v>
      </c>
      <c r="H1391" s="6" t="s">
        <v>384</v>
      </c>
      <c r="I1391" s="6" t="s">
        <v>13</v>
      </c>
      <c r="J1391" s="6" t="s">
        <v>218</v>
      </c>
      <c r="K1391" s="6" t="s">
        <v>6013</v>
      </c>
      <c r="M1391" s="6"/>
    </row>
    <row r="1392" customFormat="false" ht="15" hidden="false" customHeight="false" outlineLevel="0" collapsed="false">
      <c r="A1392" s="6" t="s">
        <v>8406</v>
      </c>
      <c r="B1392" s="6" t="s">
        <v>5102</v>
      </c>
      <c r="C1392" s="6" t="s">
        <v>4975</v>
      </c>
      <c r="D1392" s="6" t="s">
        <v>7958</v>
      </c>
      <c r="E1392" s="6" t="s">
        <v>8404</v>
      </c>
      <c r="F1392" s="6" t="s">
        <v>8405</v>
      </c>
      <c r="G1392" s="9" t="n">
        <v>742272</v>
      </c>
      <c r="H1392" s="6" t="s">
        <v>384</v>
      </c>
      <c r="I1392" s="6" t="s">
        <v>13</v>
      </c>
      <c r="J1392" s="6" t="s">
        <v>218</v>
      </c>
      <c r="K1392" s="6" t="s">
        <v>6013</v>
      </c>
      <c r="M1392" s="6"/>
    </row>
    <row r="1393" customFormat="false" ht="15" hidden="false" customHeight="false" outlineLevel="0" collapsed="false">
      <c r="A1393" s="6" t="s">
        <v>8407</v>
      </c>
      <c r="B1393" s="6" t="s">
        <v>5102</v>
      </c>
      <c r="C1393" s="6" t="s">
        <v>4975</v>
      </c>
      <c r="D1393" s="6" t="s">
        <v>7958</v>
      </c>
      <c r="E1393" s="6" t="s">
        <v>8404</v>
      </c>
      <c r="F1393" s="6" t="s">
        <v>8408</v>
      </c>
      <c r="G1393" s="9" t="n">
        <v>742272</v>
      </c>
      <c r="H1393" s="6" t="s">
        <v>384</v>
      </c>
      <c r="I1393" s="6" t="s">
        <v>13</v>
      </c>
      <c r="J1393" s="6" t="s">
        <v>223</v>
      </c>
      <c r="K1393" s="6" t="s">
        <v>6013</v>
      </c>
      <c r="M1393" s="6"/>
    </row>
    <row r="1394" customFormat="false" ht="15" hidden="false" customHeight="false" outlineLevel="0" collapsed="false">
      <c r="A1394" s="6" t="s">
        <v>8409</v>
      </c>
      <c r="B1394" s="6" t="s">
        <v>5097</v>
      </c>
      <c r="C1394" s="6" t="s">
        <v>4975</v>
      </c>
      <c r="D1394" s="6" t="s">
        <v>7958</v>
      </c>
      <c r="E1394" s="6" t="s">
        <v>8404</v>
      </c>
      <c r="F1394" s="6" t="s">
        <v>8405</v>
      </c>
      <c r="G1394" s="9" t="n">
        <v>-9055</v>
      </c>
      <c r="H1394" s="6" t="s">
        <v>384</v>
      </c>
      <c r="I1394" s="6" t="s">
        <v>13</v>
      </c>
      <c r="J1394" s="6" t="s">
        <v>218</v>
      </c>
      <c r="K1394" s="6" t="s">
        <v>6013</v>
      </c>
      <c r="M1394" s="6"/>
    </row>
    <row r="1395" customFormat="false" ht="15" hidden="false" customHeight="false" outlineLevel="0" collapsed="false">
      <c r="A1395" s="6" t="s">
        <v>8410</v>
      </c>
      <c r="B1395" s="6" t="s">
        <v>5097</v>
      </c>
      <c r="C1395" s="6" t="s">
        <v>4975</v>
      </c>
      <c r="D1395" s="6" t="s">
        <v>7958</v>
      </c>
      <c r="E1395" s="6" t="s">
        <v>8404</v>
      </c>
      <c r="F1395" s="6" t="s">
        <v>8408</v>
      </c>
      <c r="G1395" s="9" t="n">
        <v>-9055</v>
      </c>
      <c r="H1395" s="6" t="s">
        <v>384</v>
      </c>
      <c r="I1395" s="6" t="s">
        <v>13</v>
      </c>
      <c r="J1395" s="6" t="s">
        <v>223</v>
      </c>
      <c r="K1395" s="6" t="s">
        <v>6013</v>
      </c>
      <c r="M1395" s="6"/>
    </row>
    <row r="1396" customFormat="false" ht="15" hidden="false" customHeight="false" outlineLevel="0" collapsed="false">
      <c r="A1396" s="6" t="s">
        <v>8411</v>
      </c>
      <c r="B1396" s="6" t="s">
        <v>5097</v>
      </c>
      <c r="C1396" s="6" t="s">
        <v>4975</v>
      </c>
      <c r="D1396" s="6" t="s">
        <v>7958</v>
      </c>
      <c r="E1396" s="6" t="s">
        <v>8404</v>
      </c>
      <c r="F1396" s="6" t="s">
        <v>8412</v>
      </c>
      <c r="G1396" s="9" t="n">
        <v>-9055</v>
      </c>
      <c r="H1396" s="6" t="s">
        <v>384</v>
      </c>
      <c r="I1396" s="6" t="s">
        <v>13</v>
      </c>
      <c r="J1396" s="6" t="s">
        <v>228</v>
      </c>
      <c r="K1396" s="6" t="s">
        <v>6022</v>
      </c>
      <c r="M1396" s="6"/>
    </row>
    <row r="1397" customFormat="false" ht="15" hidden="false" customHeight="false" outlineLevel="0" collapsed="false">
      <c r="A1397" s="6" t="s">
        <v>8413</v>
      </c>
      <c r="B1397" s="6" t="s">
        <v>5074</v>
      </c>
      <c r="C1397" s="6" t="s">
        <v>4975</v>
      </c>
      <c r="D1397" s="6" t="s">
        <v>7958</v>
      </c>
      <c r="E1397" s="6" t="s">
        <v>8404</v>
      </c>
      <c r="F1397" s="6" t="s">
        <v>8408</v>
      </c>
      <c r="G1397" s="9" t="n">
        <v>25289</v>
      </c>
      <c r="H1397" s="6" t="s">
        <v>384</v>
      </c>
      <c r="I1397" s="6" t="s">
        <v>13</v>
      </c>
      <c r="J1397" s="6" t="s">
        <v>223</v>
      </c>
      <c r="K1397" s="6" t="s">
        <v>6013</v>
      </c>
      <c r="M1397" s="6"/>
    </row>
    <row r="1398" customFormat="false" ht="15" hidden="false" customHeight="false" outlineLevel="0" collapsed="false">
      <c r="A1398" s="6" t="s">
        <v>8414</v>
      </c>
      <c r="B1398" s="6" t="s">
        <v>5074</v>
      </c>
      <c r="C1398" s="6" t="s">
        <v>4975</v>
      </c>
      <c r="D1398" s="6" t="s">
        <v>7958</v>
      </c>
      <c r="E1398" s="6" t="s">
        <v>8404</v>
      </c>
      <c r="F1398" s="6" t="s">
        <v>8412</v>
      </c>
      <c r="G1398" s="9" t="n">
        <v>25289</v>
      </c>
      <c r="H1398" s="6" t="s">
        <v>384</v>
      </c>
      <c r="I1398" s="6" t="s">
        <v>13</v>
      </c>
      <c r="J1398" s="6" t="s">
        <v>228</v>
      </c>
      <c r="K1398" s="6" t="s">
        <v>6022</v>
      </c>
      <c r="M1398" s="6"/>
    </row>
    <row r="1399" customFormat="false" ht="15" hidden="false" customHeight="false" outlineLevel="0" collapsed="false">
      <c r="A1399" s="6" t="s">
        <v>8415</v>
      </c>
      <c r="B1399" s="6" t="s">
        <v>5074</v>
      </c>
      <c r="C1399" s="6" t="s">
        <v>4975</v>
      </c>
      <c r="D1399" s="6" t="s">
        <v>7958</v>
      </c>
      <c r="E1399" s="6" t="s">
        <v>8404</v>
      </c>
      <c r="F1399" s="6" t="s">
        <v>8416</v>
      </c>
      <c r="G1399" s="9" t="n">
        <v>25289</v>
      </c>
      <c r="H1399" s="6" t="s">
        <v>384</v>
      </c>
      <c r="I1399" s="6" t="s">
        <v>13</v>
      </c>
      <c r="J1399" s="6" t="s">
        <v>233</v>
      </c>
      <c r="K1399" s="6" t="s">
        <v>6027</v>
      </c>
      <c r="M1399" s="6"/>
    </row>
    <row r="1400" customFormat="false" ht="15" hidden="false" customHeight="false" outlineLevel="0" collapsed="false">
      <c r="A1400" s="6" t="s">
        <v>8417</v>
      </c>
      <c r="B1400" s="6" t="s">
        <v>5113</v>
      </c>
      <c r="C1400" s="6" t="s">
        <v>4975</v>
      </c>
      <c r="D1400" s="6" t="s">
        <v>7958</v>
      </c>
      <c r="E1400" s="6" t="s">
        <v>8404</v>
      </c>
      <c r="F1400" s="6" t="s">
        <v>8412</v>
      </c>
      <c r="G1400" s="9" t="n">
        <v>55214</v>
      </c>
      <c r="H1400" s="6" t="s">
        <v>384</v>
      </c>
      <c r="I1400" s="6" t="s">
        <v>13</v>
      </c>
      <c r="J1400" s="6" t="s">
        <v>228</v>
      </c>
      <c r="K1400" s="6" t="s">
        <v>6022</v>
      </c>
      <c r="M1400" s="6"/>
    </row>
    <row r="1401" customFormat="false" ht="15" hidden="false" customHeight="false" outlineLevel="0" collapsed="false">
      <c r="A1401" s="6" t="s">
        <v>8418</v>
      </c>
      <c r="B1401" s="6" t="s">
        <v>5113</v>
      </c>
      <c r="C1401" s="6" t="s">
        <v>4975</v>
      </c>
      <c r="D1401" s="6" t="s">
        <v>7958</v>
      </c>
      <c r="E1401" s="6" t="s">
        <v>8404</v>
      </c>
      <c r="F1401" s="6" t="s">
        <v>8416</v>
      </c>
      <c r="G1401" s="9" t="n">
        <v>55214</v>
      </c>
      <c r="H1401" s="6" t="s">
        <v>384</v>
      </c>
      <c r="I1401" s="6" t="s">
        <v>13</v>
      </c>
      <c r="J1401" s="6" t="s">
        <v>233</v>
      </c>
      <c r="K1401" s="6" t="s">
        <v>6027</v>
      </c>
      <c r="M1401" s="6"/>
    </row>
    <row r="1402" customFormat="false" ht="15" hidden="false" customHeight="false" outlineLevel="0" collapsed="false">
      <c r="A1402" s="6" t="s">
        <v>8419</v>
      </c>
      <c r="B1402" s="6" t="s">
        <v>5079</v>
      </c>
      <c r="C1402" s="6" t="s">
        <v>4975</v>
      </c>
      <c r="D1402" s="6" t="s">
        <v>7958</v>
      </c>
      <c r="E1402" s="6" t="s">
        <v>8404</v>
      </c>
      <c r="F1402" s="6" t="s">
        <v>8416</v>
      </c>
      <c r="G1402" s="9" t="n">
        <v>-108381</v>
      </c>
      <c r="H1402" s="6" t="s">
        <v>384</v>
      </c>
      <c r="I1402" s="6" t="s">
        <v>13</v>
      </c>
      <c r="J1402" s="6" t="s">
        <v>233</v>
      </c>
      <c r="K1402" s="6" t="s">
        <v>6027</v>
      </c>
      <c r="M1402" s="6"/>
    </row>
    <row r="1403" customFormat="false" ht="15" hidden="false" customHeight="false" outlineLevel="0" collapsed="false">
      <c r="A1403" s="6" t="s">
        <v>8420</v>
      </c>
      <c r="B1403" s="6" t="s">
        <v>6032</v>
      </c>
      <c r="C1403" s="6" t="s">
        <v>4975</v>
      </c>
      <c r="D1403" s="6" t="s">
        <v>7958</v>
      </c>
      <c r="E1403" s="6" t="s">
        <v>2949</v>
      </c>
      <c r="F1403" s="6" t="s">
        <v>8421</v>
      </c>
      <c r="G1403" s="9" t="n">
        <v>-36650</v>
      </c>
      <c r="H1403" s="6" t="s">
        <v>384</v>
      </c>
      <c r="I1403" s="6" t="s">
        <v>13</v>
      </c>
      <c r="J1403" s="6" t="s">
        <v>209</v>
      </c>
      <c r="K1403" s="6" t="s">
        <v>8103</v>
      </c>
      <c r="M1403" s="6"/>
    </row>
    <row r="1404" customFormat="false" ht="15" hidden="false" customHeight="false" outlineLevel="0" collapsed="false">
      <c r="A1404" s="6" t="s">
        <v>8422</v>
      </c>
      <c r="B1404" s="6" t="s">
        <v>5203</v>
      </c>
      <c r="C1404" s="6" t="s">
        <v>4975</v>
      </c>
      <c r="D1404" s="6" t="s">
        <v>7958</v>
      </c>
      <c r="E1404" s="6" t="s">
        <v>2949</v>
      </c>
      <c r="F1404" s="6" t="s">
        <v>8421</v>
      </c>
      <c r="G1404" s="9" t="n">
        <v>-37175</v>
      </c>
      <c r="H1404" s="6" t="s">
        <v>384</v>
      </c>
      <c r="I1404" s="6" t="s">
        <v>13</v>
      </c>
      <c r="J1404" s="6" t="s">
        <v>209</v>
      </c>
      <c r="K1404" s="6" t="s">
        <v>8103</v>
      </c>
      <c r="M1404" s="6"/>
    </row>
    <row r="1405" customFormat="false" ht="15" hidden="false" customHeight="false" outlineLevel="0" collapsed="false">
      <c r="A1405" s="6" t="s">
        <v>8423</v>
      </c>
      <c r="B1405" s="6" t="s">
        <v>5203</v>
      </c>
      <c r="C1405" s="6" t="s">
        <v>4975</v>
      </c>
      <c r="D1405" s="6" t="s">
        <v>7958</v>
      </c>
      <c r="E1405" s="6" t="s">
        <v>2949</v>
      </c>
      <c r="F1405" s="6" t="s">
        <v>8424</v>
      </c>
      <c r="G1405" s="9" t="n">
        <v>-37175</v>
      </c>
      <c r="H1405" s="6" t="s">
        <v>384</v>
      </c>
      <c r="I1405" s="6" t="s">
        <v>13</v>
      </c>
      <c r="J1405" s="6" t="s">
        <v>218</v>
      </c>
      <c r="K1405" s="6" t="s">
        <v>6013</v>
      </c>
      <c r="M1405" s="6"/>
    </row>
    <row r="1406" customFormat="false" ht="15" hidden="false" customHeight="false" outlineLevel="0" collapsed="false">
      <c r="A1406" s="6" t="s">
        <v>8425</v>
      </c>
      <c r="B1406" s="6" t="s">
        <v>5102</v>
      </c>
      <c r="C1406" s="6" t="s">
        <v>4975</v>
      </c>
      <c r="D1406" s="6" t="s">
        <v>7958</v>
      </c>
      <c r="E1406" s="6" t="s">
        <v>2949</v>
      </c>
      <c r="F1406" s="6" t="s">
        <v>8421</v>
      </c>
      <c r="G1406" s="9" t="n">
        <v>16355</v>
      </c>
      <c r="H1406" s="6" t="s">
        <v>384</v>
      </c>
      <c r="I1406" s="6" t="s">
        <v>13</v>
      </c>
      <c r="J1406" s="6" t="s">
        <v>209</v>
      </c>
      <c r="K1406" s="6" t="s">
        <v>8103</v>
      </c>
      <c r="M1406" s="6"/>
    </row>
    <row r="1407" customFormat="false" ht="15" hidden="false" customHeight="false" outlineLevel="0" collapsed="false">
      <c r="A1407" s="6" t="s">
        <v>8426</v>
      </c>
      <c r="B1407" s="6" t="s">
        <v>5102</v>
      </c>
      <c r="C1407" s="6" t="s">
        <v>4975</v>
      </c>
      <c r="D1407" s="6" t="s">
        <v>7958</v>
      </c>
      <c r="E1407" s="6" t="s">
        <v>2949</v>
      </c>
      <c r="F1407" s="6" t="s">
        <v>8424</v>
      </c>
      <c r="G1407" s="9" t="n">
        <v>16355</v>
      </c>
      <c r="H1407" s="6" t="s">
        <v>384</v>
      </c>
      <c r="I1407" s="6" t="s">
        <v>13</v>
      </c>
      <c r="J1407" s="6" t="s">
        <v>218</v>
      </c>
      <c r="K1407" s="6" t="s">
        <v>6013</v>
      </c>
      <c r="M1407" s="6"/>
    </row>
    <row r="1408" customFormat="false" ht="15" hidden="false" customHeight="false" outlineLevel="0" collapsed="false">
      <c r="A1408" s="6" t="s">
        <v>8427</v>
      </c>
      <c r="B1408" s="6" t="s">
        <v>5097</v>
      </c>
      <c r="C1408" s="6" t="s">
        <v>4975</v>
      </c>
      <c r="D1408" s="6" t="s">
        <v>7958</v>
      </c>
      <c r="E1408" s="6" t="s">
        <v>2949</v>
      </c>
      <c r="F1408" s="6" t="s">
        <v>8424</v>
      </c>
      <c r="G1408" s="9" t="n">
        <v>27138</v>
      </c>
      <c r="H1408" s="6" t="s">
        <v>384</v>
      </c>
      <c r="I1408" s="6" t="s">
        <v>13</v>
      </c>
      <c r="J1408" s="6" t="s">
        <v>218</v>
      </c>
      <c r="K1408" s="6" t="s">
        <v>6013</v>
      </c>
      <c r="M1408" s="6"/>
    </row>
    <row r="1409" customFormat="false" ht="15" hidden="false" customHeight="false" outlineLevel="0" collapsed="false">
      <c r="A1409" s="6" t="s">
        <v>8428</v>
      </c>
      <c r="B1409" s="6" t="s">
        <v>5102</v>
      </c>
      <c r="C1409" s="6" t="s">
        <v>4975</v>
      </c>
      <c r="D1409" s="6" t="s">
        <v>7958</v>
      </c>
      <c r="E1409" s="6" t="s">
        <v>8429</v>
      </c>
      <c r="F1409" s="6" t="s">
        <v>8430</v>
      </c>
      <c r="G1409" s="9" t="n">
        <v>16355</v>
      </c>
      <c r="H1409" s="6" t="s">
        <v>384</v>
      </c>
      <c r="I1409" s="6" t="s">
        <v>13</v>
      </c>
      <c r="J1409" s="6" t="s">
        <v>223</v>
      </c>
      <c r="K1409" s="6" t="s">
        <v>6013</v>
      </c>
      <c r="M1409" s="6"/>
    </row>
    <row r="1410" customFormat="false" ht="15" hidden="false" customHeight="false" outlineLevel="0" collapsed="false">
      <c r="A1410" s="6" t="s">
        <v>8431</v>
      </c>
      <c r="B1410" s="6" t="s">
        <v>5097</v>
      </c>
      <c r="C1410" s="6" t="s">
        <v>4975</v>
      </c>
      <c r="D1410" s="6" t="s">
        <v>7958</v>
      </c>
      <c r="E1410" s="6" t="s">
        <v>8429</v>
      </c>
      <c r="F1410" s="6" t="s">
        <v>8430</v>
      </c>
      <c r="G1410" s="9" t="n">
        <v>27138</v>
      </c>
      <c r="H1410" s="6" t="s">
        <v>384</v>
      </c>
      <c r="I1410" s="6" t="s">
        <v>13</v>
      </c>
      <c r="J1410" s="6" t="s">
        <v>223</v>
      </c>
      <c r="K1410" s="6" t="s">
        <v>6013</v>
      </c>
      <c r="M1410" s="6"/>
    </row>
    <row r="1411" customFormat="false" ht="15" hidden="false" customHeight="false" outlineLevel="0" collapsed="false">
      <c r="A1411" s="6" t="s">
        <v>8432</v>
      </c>
      <c r="B1411" s="6" t="s">
        <v>5097</v>
      </c>
      <c r="C1411" s="6" t="s">
        <v>4975</v>
      </c>
      <c r="D1411" s="6" t="s">
        <v>7958</v>
      </c>
      <c r="E1411" s="6" t="s">
        <v>8429</v>
      </c>
      <c r="F1411" s="6" t="s">
        <v>8433</v>
      </c>
      <c r="G1411" s="9" t="n">
        <v>27138</v>
      </c>
      <c r="H1411" s="6" t="s">
        <v>384</v>
      </c>
      <c r="I1411" s="6" t="s">
        <v>13</v>
      </c>
      <c r="J1411" s="6" t="s">
        <v>228</v>
      </c>
      <c r="K1411" s="6" t="s">
        <v>6022</v>
      </c>
      <c r="M1411" s="6"/>
    </row>
    <row r="1412" customFormat="false" ht="15" hidden="false" customHeight="false" outlineLevel="0" collapsed="false">
      <c r="A1412" s="6" t="s">
        <v>8434</v>
      </c>
      <c r="B1412" s="6" t="s">
        <v>5074</v>
      </c>
      <c r="C1412" s="6" t="s">
        <v>4975</v>
      </c>
      <c r="D1412" s="6" t="s">
        <v>7958</v>
      </c>
      <c r="E1412" s="6" t="s">
        <v>8429</v>
      </c>
      <c r="F1412" s="6" t="s">
        <v>8430</v>
      </c>
      <c r="G1412" s="9" t="n">
        <v>215404</v>
      </c>
      <c r="H1412" s="6" t="s">
        <v>384</v>
      </c>
      <c r="I1412" s="6" t="s">
        <v>13</v>
      </c>
      <c r="J1412" s="6" t="s">
        <v>223</v>
      </c>
      <c r="K1412" s="6" t="s">
        <v>6013</v>
      </c>
      <c r="M1412" s="6"/>
    </row>
    <row r="1413" customFormat="false" ht="15" hidden="false" customHeight="false" outlineLevel="0" collapsed="false">
      <c r="A1413" s="6" t="s">
        <v>8435</v>
      </c>
      <c r="B1413" s="6" t="s">
        <v>5074</v>
      </c>
      <c r="C1413" s="6" t="s">
        <v>4975</v>
      </c>
      <c r="D1413" s="6" t="s">
        <v>7958</v>
      </c>
      <c r="E1413" s="6" t="s">
        <v>8429</v>
      </c>
      <c r="F1413" s="6" t="s">
        <v>8433</v>
      </c>
      <c r="G1413" s="9" t="n">
        <v>215404</v>
      </c>
      <c r="H1413" s="6" t="s">
        <v>384</v>
      </c>
      <c r="I1413" s="6" t="s">
        <v>13</v>
      </c>
      <c r="J1413" s="6" t="s">
        <v>228</v>
      </c>
      <c r="K1413" s="6" t="s">
        <v>6022</v>
      </c>
      <c r="M1413" s="6"/>
    </row>
    <row r="1414" customFormat="false" ht="15" hidden="false" customHeight="false" outlineLevel="0" collapsed="false">
      <c r="A1414" s="6" t="s">
        <v>8436</v>
      </c>
      <c r="B1414" s="6" t="s">
        <v>5074</v>
      </c>
      <c r="C1414" s="6" t="s">
        <v>4975</v>
      </c>
      <c r="D1414" s="6" t="s">
        <v>7958</v>
      </c>
      <c r="E1414" s="6" t="s">
        <v>8429</v>
      </c>
      <c r="F1414" s="6" t="s">
        <v>8437</v>
      </c>
      <c r="G1414" s="9" t="n">
        <v>215404</v>
      </c>
      <c r="H1414" s="6" t="s">
        <v>384</v>
      </c>
      <c r="I1414" s="6" t="s">
        <v>13</v>
      </c>
      <c r="J1414" s="6" t="s">
        <v>233</v>
      </c>
      <c r="K1414" s="6" t="s">
        <v>6027</v>
      </c>
      <c r="M1414" s="6"/>
    </row>
    <row r="1415" customFormat="false" ht="15" hidden="false" customHeight="false" outlineLevel="0" collapsed="false">
      <c r="A1415" s="6" t="s">
        <v>8438</v>
      </c>
      <c r="B1415" s="6" t="s">
        <v>5113</v>
      </c>
      <c r="C1415" s="6" t="s">
        <v>4975</v>
      </c>
      <c r="D1415" s="6" t="s">
        <v>7958</v>
      </c>
      <c r="E1415" s="6" t="s">
        <v>8429</v>
      </c>
      <c r="F1415" s="6" t="s">
        <v>8433</v>
      </c>
      <c r="G1415" s="9" t="n">
        <v>311065</v>
      </c>
      <c r="H1415" s="6" t="s">
        <v>384</v>
      </c>
      <c r="I1415" s="6" t="s">
        <v>13</v>
      </c>
      <c r="J1415" s="6" t="s">
        <v>228</v>
      </c>
      <c r="K1415" s="6" t="s">
        <v>6022</v>
      </c>
      <c r="M1415" s="6"/>
    </row>
    <row r="1416" customFormat="false" ht="15" hidden="false" customHeight="false" outlineLevel="0" collapsed="false">
      <c r="A1416" s="6" t="s">
        <v>8439</v>
      </c>
      <c r="B1416" s="6" t="s">
        <v>5113</v>
      </c>
      <c r="C1416" s="6" t="s">
        <v>4975</v>
      </c>
      <c r="D1416" s="6" t="s">
        <v>7958</v>
      </c>
      <c r="E1416" s="6" t="s">
        <v>8429</v>
      </c>
      <c r="F1416" s="6" t="s">
        <v>8437</v>
      </c>
      <c r="G1416" s="9" t="n">
        <v>311065</v>
      </c>
      <c r="H1416" s="6" t="s">
        <v>384</v>
      </c>
      <c r="I1416" s="6" t="s">
        <v>13</v>
      </c>
      <c r="J1416" s="6" t="s">
        <v>233</v>
      </c>
      <c r="K1416" s="6" t="s">
        <v>6027</v>
      </c>
      <c r="M1416" s="6"/>
    </row>
    <row r="1417" customFormat="false" ht="15" hidden="false" customHeight="false" outlineLevel="0" collapsed="false">
      <c r="A1417" s="6" t="s">
        <v>8440</v>
      </c>
      <c r="B1417" s="6" t="s">
        <v>5079</v>
      </c>
      <c r="C1417" s="6" t="s">
        <v>4975</v>
      </c>
      <c r="D1417" s="6" t="s">
        <v>7958</v>
      </c>
      <c r="E1417" s="6" t="s">
        <v>8429</v>
      </c>
      <c r="F1417" s="6" t="s">
        <v>8437</v>
      </c>
      <c r="G1417" s="9" t="n">
        <v>333644</v>
      </c>
      <c r="H1417" s="6" t="s">
        <v>384</v>
      </c>
      <c r="I1417" s="6" t="s">
        <v>13</v>
      </c>
      <c r="J1417" s="6" t="s">
        <v>233</v>
      </c>
      <c r="K1417" s="6" t="s">
        <v>6027</v>
      </c>
      <c r="M1417" s="6"/>
    </row>
    <row r="1418" customFormat="false" ht="15" hidden="false" customHeight="false" outlineLevel="0" collapsed="false">
      <c r="A1418" s="6" t="s">
        <v>8441</v>
      </c>
      <c r="B1418" s="6" t="s">
        <v>5519</v>
      </c>
      <c r="C1418" s="6" t="s">
        <v>5316</v>
      </c>
      <c r="D1418" s="6" t="s">
        <v>7958</v>
      </c>
      <c r="E1418" s="6" t="s">
        <v>8429</v>
      </c>
      <c r="F1418" s="6" t="s">
        <v>8442</v>
      </c>
      <c r="G1418" s="9" t="n">
        <v>90317</v>
      </c>
      <c r="H1418" s="6" t="s">
        <v>384</v>
      </c>
      <c r="I1418" s="6" t="s">
        <v>13</v>
      </c>
      <c r="J1418" s="6" t="s">
        <v>238</v>
      </c>
      <c r="K1418" s="6" t="s">
        <v>6102</v>
      </c>
      <c r="M1418" s="6"/>
    </row>
    <row r="1419" customFormat="false" ht="15" hidden="false" customHeight="false" outlineLevel="0" collapsed="false">
      <c r="A1419" s="6" t="s">
        <v>8443</v>
      </c>
      <c r="B1419" s="6" t="s">
        <v>5315</v>
      </c>
      <c r="C1419" s="6" t="s">
        <v>5316</v>
      </c>
      <c r="D1419" s="6" t="s">
        <v>7958</v>
      </c>
      <c r="E1419" s="6" t="s">
        <v>8429</v>
      </c>
      <c r="F1419" s="6" t="s">
        <v>8442</v>
      </c>
      <c r="G1419" s="9" t="n">
        <v>147749</v>
      </c>
      <c r="H1419" s="6" t="s">
        <v>384</v>
      </c>
      <c r="I1419" s="6" t="s">
        <v>13</v>
      </c>
      <c r="J1419" s="6" t="s">
        <v>238</v>
      </c>
      <c r="K1419" s="6" t="s">
        <v>6102</v>
      </c>
      <c r="M1419" s="6"/>
    </row>
    <row r="1420" customFormat="false" ht="15" hidden="false" customHeight="false" outlineLevel="0" collapsed="false">
      <c r="A1420" s="6" t="s">
        <v>8444</v>
      </c>
      <c r="B1420" s="6" t="s">
        <v>5320</v>
      </c>
      <c r="C1420" s="6" t="s">
        <v>5316</v>
      </c>
      <c r="D1420" s="6" t="s">
        <v>7958</v>
      </c>
      <c r="E1420" s="6" t="s">
        <v>8429</v>
      </c>
      <c r="F1420" s="6" t="s">
        <v>8445</v>
      </c>
      <c r="G1420" s="9" t="n">
        <v>178807</v>
      </c>
      <c r="H1420" s="6" t="s">
        <v>384</v>
      </c>
      <c r="I1420" s="6" t="s">
        <v>13</v>
      </c>
      <c r="J1420" s="6" t="s">
        <v>253</v>
      </c>
      <c r="K1420" s="6" t="s">
        <v>6106</v>
      </c>
      <c r="M1420" s="6"/>
    </row>
    <row r="1421" customFormat="false" ht="15" hidden="false" customHeight="false" outlineLevel="0" collapsed="false">
      <c r="A1421" s="6" t="s">
        <v>8446</v>
      </c>
      <c r="B1421" s="6" t="s">
        <v>5325</v>
      </c>
      <c r="C1421" s="6" t="s">
        <v>5316</v>
      </c>
      <c r="D1421" s="6" t="s">
        <v>7958</v>
      </c>
      <c r="E1421" s="6" t="s">
        <v>8429</v>
      </c>
      <c r="F1421" s="6" t="s">
        <v>8447</v>
      </c>
      <c r="G1421" s="9" t="n">
        <v>160041</v>
      </c>
      <c r="H1421" s="6" t="s">
        <v>384</v>
      </c>
      <c r="I1421" s="6" t="s">
        <v>13</v>
      </c>
      <c r="J1421" s="6" t="s">
        <v>261</v>
      </c>
      <c r="K1421" s="6" t="s">
        <v>6109</v>
      </c>
      <c r="M1421" s="6"/>
    </row>
    <row r="1422" customFormat="false" ht="15" hidden="false" customHeight="false" outlineLevel="0" collapsed="false">
      <c r="A1422" s="6" t="s">
        <v>8448</v>
      </c>
      <c r="B1422" s="6" t="s">
        <v>5203</v>
      </c>
      <c r="C1422" s="6" t="s">
        <v>4975</v>
      </c>
      <c r="D1422" s="6" t="s">
        <v>7958</v>
      </c>
      <c r="E1422" s="6" t="s">
        <v>8449</v>
      </c>
      <c r="F1422" s="6" t="s">
        <v>8450</v>
      </c>
      <c r="G1422" s="9" t="n">
        <v>-11481</v>
      </c>
      <c r="H1422" s="6" t="s">
        <v>384</v>
      </c>
      <c r="I1422" s="6" t="s">
        <v>13</v>
      </c>
      <c r="J1422" s="6" t="s">
        <v>218</v>
      </c>
      <c r="K1422" s="6" t="s">
        <v>6013</v>
      </c>
      <c r="M1422" s="6"/>
    </row>
    <row r="1423" customFormat="false" ht="15" hidden="false" customHeight="false" outlineLevel="0" collapsed="false">
      <c r="A1423" s="6" t="s">
        <v>8451</v>
      </c>
      <c r="B1423" s="6" t="s">
        <v>5102</v>
      </c>
      <c r="C1423" s="6" t="s">
        <v>4975</v>
      </c>
      <c r="D1423" s="6" t="s">
        <v>7958</v>
      </c>
      <c r="E1423" s="6" t="s">
        <v>8449</v>
      </c>
      <c r="F1423" s="6" t="s">
        <v>8450</v>
      </c>
      <c r="G1423" s="9" t="n">
        <v>-3629</v>
      </c>
      <c r="H1423" s="6" t="s">
        <v>384</v>
      </c>
      <c r="I1423" s="6" t="s">
        <v>13</v>
      </c>
      <c r="J1423" s="6" t="s">
        <v>218</v>
      </c>
      <c r="K1423" s="6" t="s">
        <v>6013</v>
      </c>
      <c r="M1423" s="6"/>
    </row>
    <row r="1424" customFormat="false" ht="15" hidden="false" customHeight="false" outlineLevel="0" collapsed="false">
      <c r="A1424" s="6" t="s">
        <v>8452</v>
      </c>
      <c r="B1424" s="6" t="s">
        <v>5102</v>
      </c>
      <c r="C1424" s="6" t="s">
        <v>4975</v>
      </c>
      <c r="D1424" s="6" t="s">
        <v>7958</v>
      </c>
      <c r="E1424" s="6" t="s">
        <v>8449</v>
      </c>
      <c r="F1424" s="6" t="s">
        <v>8453</v>
      </c>
      <c r="G1424" s="9" t="n">
        <v>-3629</v>
      </c>
      <c r="H1424" s="6" t="s">
        <v>384</v>
      </c>
      <c r="I1424" s="6" t="s">
        <v>13</v>
      </c>
      <c r="J1424" s="6" t="s">
        <v>223</v>
      </c>
      <c r="K1424" s="6" t="s">
        <v>6013</v>
      </c>
      <c r="M1424" s="6"/>
    </row>
    <row r="1425" customFormat="false" ht="15" hidden="false" customHeight="false" outlineLevel="0" collapsed="false">
      <c r="A1425" s="6" t="s">
        <v>8454</v>
      </c>
      <c r="B1425" s="6" t="s">
        <v>5097</v>
      </c>
      <c r="C1425" s="6" t="s">
        <v>4975</v>
      </c>
      <c r="D1425" s="6" t="s">
        <v>7958</v>
      </c>
      <c r="E1425" s="6" t="s">
        <v>8449</v>
      </c>
      <c r="F1425" s="6" t="s">
        <v>8450</v>
      </c>
      <c r="G1425" s="9" t="n">
        <v>-19001</v>
      </c>
      <c r="H1425" s="6" t="s">
        <v>384</v>
      </c>
      <c r="I1425" s="6" t="s">
        <v>13</v>
      </c>
      <c r="J1425" s="6" t="s">
        <v>218</v>
      </c>
      <c r="K1425" s="6" t="s">
        <v>6013</v>
      </c>
      <c r="M1425" s="6"/>
    </row>
    <row r="1426" customFormat="false" ht="15" hidden="false" customHeight="false" outlineLevel="0" collapsed="false">
      <c r="A1426" s="6" t="s">
        <v>8455</v>
      </c>
      <c r="B1426" s="6" t="s">
        <v>5097</v>
      </c>
      <c r="C1426" s="6" t="s">
        <v>4975</v>
      </c>
      <c r="D1426" s="6" t="s">
        <v>7958</v>
      </c>
      <c r="E1426" s="6" t="s">
        <v>8449</v>
      </c>
      <c r="F1426" s="6" t="s">
        <v>8453</v>
      </c>
      <c r="G1426" s="9" t="n">
        <v>-19001</v>
      </c>
      <c r="H1426" s="6" t="s">
        <v>384</v>
      </c>
      <c r="I1426" s="6" t="s">
        <v>13</v>
      </c>
      <c r="J1426" s="6" t="s">
        <v>223</v>
      </c>
      <c r="K1426" s="6" t="s">
        <v>6013</v>
      </c>
      <c r="M1426" s="6"/>
    </row>
    <row r="1427" customFormat="false" ht="15" hidden="false" customHeight="false" outlineLevel="0" collapsed="false">
      <c r="A1427" s="6" t="s">
        <v>8456</v>
      </c>
      <c r="B1427" s="6" t="s">
        <v>5097</v>
      </c>
      <c r="C1427" s="6" t="s">
        <v>4975</v>
      </c>
      <c r="D1427" s="6" t="s">
        <v>7958</v>
      </c>
      <c r="E1427" s="6" t="s">
        <v>8449</v>
      </c>
      <c r="F1427" s="6" t="s">
        <v>8457</v>
      </c>
      <c r="G1427" s="9" t="n">
        <v>-19001</v>
      </c>
      <c r="H1427" s="6" t="s">
        <v>384</v>
      </c>
      <c r="I1427" s="6" t="s">
        <v>13</v>
      </c>
      <c r="J1427" s="6" t="s">
        <v>228</v>
      </c>
      <c r="K1427" s="6" t="s">
        <v>6022</v>
      </c>
      <c r="M1427" s="6"/>
    </row>
    <row r="1428" customFormat="false" ht="15" hidden="false" customHeight="false" outlineLevel="0" collapsed="false">
      <c r="A1428" s="6" t="s">
        <v>8458</v>
      </c>
      <c r="B1428" s="6" t="s">
        <v>5074</v>
      </c>
      <c r="C1428" s="6" t="s">
        <v>4975</v>
      </c>
      <c r="D1428" s="6" t="s">
        <v>7958</v>
      </c>
      <c r="E1428" s="6" t="s">
        <v>8449</v>
      </c>
      <c r="F1428" s="6" t="s">
        <v>8453</v>
      </c>
      <c r="G1428" s="9" t="n">
        <v>-10459</v>
      </c>
      <c r="H1428" s="6" t="s">
        <v>384</v>
      </c>
      <c r="I1428" s="6" t="s">
        <v>13</v>
      </c>
      <c r="J1428" s="6" t="s">
        <v>223</v>
      </c>
      <c r="K1428" s="6" t="s">
        <v>6013</v>
      </c>
      <c r="M1428" s="6"/>
    </row>
    <row r="1429" customFormat="false" ht="15" hidden="false" customHeight="false" outlineLevel="0" collapsed="false">
      <c r="A1429" s="6" t="s">
        <v>8459</v>
      </c>
      <c r="B1429" s="6" t="s">
        <v>5074</v>
      </c>
      <c r="C1429" s="6" t="s">
        <v>4975</v>
      </c>
      <c r="D1429" s="6" t="s">
        <v>7958</v>
      </c>
      <c r="E1429" s="6" t="s">
        <v>8449</v>
      </c>
      <c r="F1429" s="6" t="s">
        <v>8457</v>
      </c>
      <c r="G1429" s="9" t="n">
        <v>-10459</v>
      </c>
      <c r="H1429" s="6" t="s">
        <v>384</v>
      </c>
      <c r="I1429" s="6" t="s">
        <v>13</v>
      </c>
      <c r="J1429" s="6" t="s">
        <v>228</v>
      </c>
      <c r="K1429" s="6" t="s">
        <v>6022</v>
      </c>
      <c r="M1429" s="6"/>
    </row>
    <row r="1430" customFormat="false" ht="15" hidden="false" customHeight="false" outlineLevel="0" collapsed="false">
      <c r="A1430" s="6" t="s">
        <v>8460</v>
      </c>
      <c r="B1430" s="6" t="s">
        <v>5074</v>
      </c>
      <c r="C1430" s="6" t="s">
        <v>4975</v>
      </c>
      <c r="D1430" s="6" t="s">
        <v>7958</v>
      </c>
      <c r="E1430" s="6" t="s">
        <v>8449</v>
      </c>
      <c r="F1430" s="6" t="s">
        <v>8461</v>
      </c>
      <c r="G1430" s="9" t="n">
        <v>-10459</v>
      </c>
      <c r="H1430" s="6" t="s">
        <v>384</v>
      </c>
      <c r="I1430" s="6" t="s">
        <v>13</v>
      </c>
      <c r="J1430" s="6" t="s">
        <v>233</v>
      </c>
      <c r="K1430" s="6" t="s">
        <v>6027</v>
      </c>
      <c r="M1430" s="6"/>
    </row>
    <row r="1431" customFormat="false" ht="15" hidden="false" customHeight="false" outlineLevel="0" collapsed="false">
      <c r="A1431" s="6" t="s">
        <v>8462</v>
      </c>
      <c r="B1431" s="6" t="s">
        <v>5113</v>
      </c>
      <c r="C1431" s="6" t="s">
        <v>4975</v>
      </c>
      <c r="D1431" s="6" t="s">
        <v>7958</v>
      </c>
      <c r="E1431" s="6" t="s">
        <v>8449</v>
      </c>
      <c r="F1431" s="6" t="s">
        <v>8457</v>
      </c>
      <c r="G1431" s="9" t="n">
        <v>-70805</v>
      </c>
      <c r="H1431" s="6" t="s">
        <v>384</v>
      </c>
      <c r="I1431" s="6" t="s">
        <v>13</v>
      </c>
      <c r="J1431" s="6" t="s">
        <v>228</v>
      </c>
      <c r="K1431" s="6" t="s">
        <v>6022</v>
      </c>
      <c r="M1431" s="6"/>
    </row>
    <row r="1432" customFormat="false" ht="15" hidden="false" customHeight="false" outlineLevel="0" collapsed="false">
      <c r="A1432" s="6" t="s">
        <v>8463</v>
      </c>
      <c r="B1432" s="6" t="s">
        <v>5113</v>
      </c>
      <c r="C1432" s="6" t="s">
        <v>4975</v>
      </c>
      <c r="D1432" s="6" t="s">
        <v>7958</v>
      </c>
      <c r="E1432" s="6" t="s">
        <v>8449</v>
      </c>
      <c r="F1432" s="6" t="s">
        <v>8461</v>
      </c>
      <c r="G1432" s="9" t="n">
        <v>-70805</v>
      </c>
      <c r="H1432" s="6" t="s">
        <v>384</v>
      </c>
      <c r="I1432" s="6" t="s">
        <v>13</v>
      </c>
      <c r="J1432" s="6" t="s">
        <v>233</v>
      </c>
      <c r="K1432" s="6" t="s">
        <v>6027</v>
      </c>
      <c r="M1432" s="6"/>
    </row>
    <row r="1433" customFormat="false" ht="15" hidden="false" customHeight="false" outlineLevel="0" collapsed="false">
      <c r="A1433" s="6" t="s">
        <v>8464</v>
      </c>
      <c r="B1433" s="6" t="s">
        <v>5079</v>
      </c>
      <c r="C1433" s="6" t="s">
        <v>4975</v>
      </c>
      <c r="D1433" s="6" t="s">
        <v>7958</v>
      </c>
      <c r="E1433" s="6" t="s">
        <v>8449</v>
      </c>
      <c r="F1433" s="6" t="s">
        <v>8461</v>
      </c>
      <c r="G1433" s="9" t="n">
        <v>-133716</v>
      </c>
      <c r="H1433" s="6" t="s">
        <v>384</v>
      </c>
      <c r="I1433" s="6" t="s">
        <v>13</v>
      </c>
      <c r="J1433" s="6" t="s">
        <v>233</v>
      </c>
      <c r="K1433" s="6" t="s">
        <v>6027</v>
      </c>
      <c r="M1433" s="6"/>
    </row>
    <row r="1434" customFormat="false" ht="15" hidden="false" customHeight="false" outlineLevel="0" collapsed="false">
      <c r="A1434" s="6" t="s">
        <v>8465</v>
      </c>
      <c r="B1434" s="6" t="s">
        <v>5102</v>
      </c>
      <c r="C1434" s="6" t="s">
        <v>4975</v>
      </c>
      <c r="D1434" s="6" t="s">
        <v>7958</v>
      </c>
      <c r="E1434" s="6" t="s">
        <v>8466</v>
      </c>
      <c r="F1434" s="6" t="s">
        <v>8261</v>
      </c>
      <c r="G1434" s="13" t="n">
        <v>735.9</v>
      </c>
      <c r="H1434" s="6" t="s">
        <v>3751</v>
      </c>
      <c r="I1434" s="6" t="s">
        <v>13</v>
      </c>
      <c r="J1434" s="6" t="s">
        <v>218</v>
      </c>
      <c r="K1434" s="6" t="s">
        <v>6080</v>
      </c>
      <c r="M1434" s="6"/>
    </row>
    <row r="1435" customFormat="false" ht="15" hidden="false" customHeight="false" outlineLevel="0" collapsed="false">
      <c r="A1435" s="6" t="s">
        <v>8467</v>
      </c>
      <c r="B1435" s="6" t="s">
        <v>5049</v>
      </c>
      <c r="C1435" s="6" t="s">
        <v>5050</v>
      </c>
      <c r="D1435" s="6" t="s">
        <v>7958</v>
      </c>
      <c r="E1435" s="6" t="s">
        <v>8468</v>
      </c>
      <c r="F1435" s="6" t="s">
        <v>8469</v>
      </c>
      <c r="G1435" s="9" t="n">
        <v>4458</v>
      </c>
      <c r="H1435" s="6" t="s">
        <v>384</v>
      </c>
      <c r="I1435" s="6" t="s">
        <v>13</v>
      </c>
      <c r="J1435" s="6" t="s">
        <v>218</v>
      </c>
      <c r="K1435" s="6" t="s">
        <v>8001</v>
      </c>
      <c r="M1435" s="6"/>
    </row>
    <row r="1436" customFormat="false" ht="15" hidden="false" customHeight="false" outlineLevel="0" collapsed="false">
      <c r="A1436" s="6" t="s">
        <v>8470</v>
      </c>
      <c r="B1436" s="6" t="s">
        <v>5057</v>
      </c>
      <c r="C1436" s="6" t="s">
        <v>5050</v>
      </c>
      <c r="D1436" s="6" t="s">
        <v>7958</v>
      </c>
      <c r="E1436" s="6" t="s">
        <v>8468</v>
      </c>
      <c r="F1436" s="6" t="s">
        <v>8469</v>
      </c>
      <c r="G1436" s="9" t="n">
        <v>6926</v>
      </c>
      <c r="H1436" s="6" t="s">
        <v>384</v>
      </c>
      <c r="I1436" s="6" t="s">
        <v>13</v>
      </c>
      <c r="J1436" s="6" t="s">
        <v>218</v>
      </c>
      <c r="K1436" s="6" t="s">
        <v>8001</v>
      </c>
      <c r="M1436" s="6"/>
    </row>
    <row r="1437" customFormat="false" ht="15" hidden="false" customHeight="false" outlineLevel="0" collapsed="false">
      <c r="A1437" s="6" t="s">
        <v>8471</v>
      </c>
      <c r="B1437" s="6" t="s">
        <v>5062</v>
      </c>
      <c r="C1437" s="6" t="s">
        <v>5050</v>
      </c>
      <c r="D1437" s="6" t="s">
        <v>7958</v>
      </c>
      <c r="E1437" s="6" t="s">
        <v>8468</v>
      </c>
      <c r="F1437" s="6" t="s">
        <v>8472</v>
      </c>
      <c r="G1437" s="9" t="n">
        <v>9094</v>
      </c>
      <c r="H1437" s="6" t="s">
        <v>384</v>
      </c>
      <c r="I1437" s="6" t="s">
        <v>13</v>
      </c>
      <c r="J1437" s="6" t="s">
        <v>228</v>
      </c>
      <c r="K1437" s="6" t="s">
        <v>8011</v>
      </c>
      <c r="M1437" s="6"/>
    </row>
    <row r="1438" customFormat="false" ht="15" hidden="false" customHeight="false" outlineLevel="0" collapsed="false">
      <c r="A1438" s="6" t="s">
        <v>8473</v>
      </c>
      <c r="B1438" s="6" t="s">
        <v>5067</v>
      </c>
      <c r="C1438" s="6" t="s">
        <v>5050</v>
      </c>
      <c r="D1438" s="6" t="s">
        <v>7958</v>
      </c>
      <c r="E1438" s="6" t="s">
        <v>8468</v>
      </c>
      <c r="F1438" s="6" t="s">
        <v>8472</v>
      </c>
      <c r="G1438" s="9" t="n">
        <v>9804</v>
      </c>
      <c r="H1438" s="6" t="s">
        <v>384</v>
      </c>
      <c r="I1438" s="6" t="s">
        <v>13</v>
      </c>
      <c r="J1438" s="6" t="s">
        <v>228</v>
      </c>
      <c r="K1438" s="6" t="s">
        <v>8011</v>
      </c>
      <c r="M1438" s="6"/>
    </row>
    <row r="1439" customFormat="false" ht="15" hidden="false" customHeight="false" outlineLevel="0" collapsed="false">
      <c r="A1439" s="6" t="s">
        <v>8474</v>
      </c>
      <c r="B1439" s="6" t="s">
        <v>5097</v>
      </c>
      <c r="C1439" s="6" t="s">
        <v>4975</v>
      </c>
      <c r="D1439" s="6" t="s">
        <v>7958</v>
      </c>
      <c r="E1439" s="6" t="s">
        <v>6429</v>
      </c>
      <c r="F1439" s="6" t="s">
        <v>8475</v>
      </c>
      <c r="G1439" s="9" t="n">
        <v>12181</v>
      </c>
      <c r="H1439" s="6" t="s">
        <v>384</v>
      </c>
      <c r="I1439" s="6" t="s">
        <v>13</v>
      </c>
      <c r="J1439" s="6" t="s">
        <v>218</v>
      </c>
      <c r="K1439" s="6" t="s">
        <v>6013</v>
      </c>
      <c r="M1439" s="6"/>
    </row>
    <row r="1440" customFormat="false" ht="15" hidden="false" customHeight="false" outlineLevel="0" collapsed="false">
      <c r="A1440" s="6" t="s">
        <v>8476</v>
      </c>
      <c r="B1440" s="6" t="s">
        <v>5097</v>
      </c>
      <c r="C1440" s="6" t="s">
        <v>4975</v>
      </c>
      <c r="D1440" s="6" t="s">
        <v>7958</v>
      </c>
      <c r="E1440" s="6" t="s">
        <v>6429</v>
      </c>
      <c r="F1440" s="6" t="s">
        <v>8477</v>
      </c>
      <c r="G1440" s="9" t="n">
        <v>12181</v>
      </c>
      <c r="H1440" s="6" t="s">
        <v>384</v>
      </c>
      <c r="I1440" s="6" t="s">
        <v>13</v>
      </c>
      <c r="J1440" s="6" t="s">
        <v>228</v>
      </c>
      <c r="K1440" s="6" t="s">
        <v>6022</v>
      </c>
      <c r="M1440" s="6"/>
    </row>
    <row r="1441" customFormat="false" ht="15" hidden="false" customHeight="false" outlineLevel="0" collapsed="false">
      <c r="A1441" s="6" t="s">
        <v>8478</v>
      </c>
      <c r="B1441" s="6" t="s">
        <v>5074</v>
      </c>
      <c r="C1441" s="6" t="s">
        <v>4975</v>
      </c>
      <c r="D1441" s="6" t="s">
        <v>7958</v>
      </c>
      <c r="E1441" s="6" t="s">
        <v>6429</v>
      </c>
      <c r="F1441" s="6" t="s">
        <v>8477</v>
      </c>
      <c r="G1441" s="9" t="n">
        <v>21243</v>
      </c>
      <c r="H1441" s="6" t="s">
        <v>384</v>
      </c>
      <c r="I1441" s="6" t="s">
        <v>13</v>
      </c>
      <c r="J1441" s="6" t="s">
        <v>228</v>
      </c>
      <c r="K1441" s="6" t="s">
        <v>6022</v>
      </c>
      <c r="M1441" s="6"/>
    </row>
    <row r="1442" customFormat="false" ht="15" hidden="false" customHeight="false" outlineLevel="0" collapsed="false">
      <c r="A1442" s="6" t="s">
        <v>8479</v>
      </c>
      <c r="B1442" s="6" t="s">
        <v>5113</v>
      </c>
      <c r="C1442" s="6" t="s">
        <v>4975</v>
      </c>
      <c r="D1442" s="6" t="s">
        <v>7958</v>
      </c>
      <c r="E1442" s="6" t="s">
        <v>6429</v>
      </c>
      <c r="F1442" s="6" t="s">
        <v>8477</v>
      </c>
      <c r="G1442" s="9" t="n">
        <v>43341</v>
      </c>
      <c r="H1442" s="6" t="s">
        <v>384</v>
      </c>
      <c r="I1442" s="6" t="s">
        <v>13</v>
      </c>
      <c r="J1442" s="6" t="s">
        <v>228</v>
      </c>
      <c r="K1442" s="6" t="s">
        <v>6022</v>
      </c>
      <c r="M1442" s="6"/>
    </row>
    <row r="1443" customFormat="false" ht="15" hidden="false" customHeight="false" outlineLevel="0" collapsed="false">
      <c r="A1443" s="6" t="s">
        <v>8480</v>
      </c>
      <c r="B1443" s="6" t="s">
        <v>5062</v>
      </c>
      <c r="C1443" s="6" t="s">
        <v>5050</v>
      </c>
      <c r="D1443" s="6" t="s">
        <v>7958</v>
      </c>
      <c r="E1443" s="6" t="s">
        <v>8481</v>
      </c>
      <c r="F1443" s="6" t="s">
        <v>8482</v>
      </c>
      <c r="G1443" s="9" t="n">
        <v>55378</v>
      </c>
      <c r="H1443" s="6" t="s">
        <v>384</v>
      </c>
      <c r="I1443" s="6" t="s">
        <v>13</v>
      </c>
      <c r="J1443" s="6" t="s">
        <v>228</v>
      </c>
      <c r="K1443" s="6" t="s">
        <v>8011</v>
      </c>
      <c r="M1443" s="6"/>
    </row>
    <row r="1444" customFormat="false" ht="15" hidden="false" customHeight="false" outlineLevel="0" collapsed="false">
      <c r="A1444" s="6" t="s">
        <v>8483</v>
      </c>
      <c r="B1444" s="6" t="s">
        <v>5067</v>
      </c>
      <c r="C1444" s="6" t="s">
        <v>5050</v>
      </c>
      <c r="D1444" s="6" t="s">
        <v>7958</v>
      </c>
      <c r="E1444" s="6" t="s">
        <v>8481</v>
      </c>
      <c r="F1444" s="6" t="s">
        <v>8482</v>
      </c>
      <c r="G1444" s="9" t="n">
        <v>70599</v>
      </c>
      <c r="H1444" s="6" t="s">
        <v>384</v>
      </c>
      <c r="I1444" s="6" t="s">
        <v>13</v>
      </c>
      <c r="J1444" s="6" t="s">
        <v>228</v>
      </c>
      <c r="K1444" s="6" t="s">
        <v>8011</v>
      </c>
      <c r="M1444" s="6"/>
    </row>
    <row r="1445" customFormat="false" ht="15" hidden="false" customHeight="false" outlineLevel="0" collapsed="false">
      <c r="A1445" s="6" t="s">
        <v>8484</v>
      </c>
      <c r="B1445" s="6" t="s">
        <v>5468</v>
      </c>
      <c r="C1445" s="6" t="s">
        <v>5050</v>
      </c>
      <c r="D1445" s="6" t="s">
        <v>7958</v>
      </c>
      <c r="E1445" s="6" t="s">
        <v>8485</v>
      </c>
      <c r="F1445" s="6" t="s">
        <v>8486</v>
      </c>
      <c r="G1445" s="9" t="n">
        <v>7178</v>
      </c>
      <c r="H1445" s="6" t="s">
        <v>384</v>
      </c>
      <c r="I1445" s="6" t="s">
        <v>13</v>
      </c>
      <c r="J1445" s="6" t="s">
        <v>209</v>
      </c>
      <c r="K1445" s="6" t="s">
        <v>7997</v>
      </c>
      <c r="M1445" s="6"/>
    </row>
    <row r="1446" customFormat="false" ht="15" hidden="false" customHeight="false" outlineLevel="0" collapsed="false">
      <c r="A1446" s="6" t="s">
        <v>8487</v>
      </c>
      <c r="B1446" s="6" t="s">
        <v>5049</v>
      </c>
      <c r="C1446" s="6" t="s">
        <v>5050</v>
      </c>
      <c r="D1446" s="6" t="s">
        <v>7958</v>
      </c>
      <c r="E1446" s="6" t="s">
        <v>8485</v>
      </c>
      <c r="F1446" s="6" t="s">
        <v>8486</v>
      </c>
      <c r="G1446" s="9" t="n">
        <v>19599</v>
      </c>
      <c r="H1446" s="6" t="s">
        <v>384</v>
      </c>
      <c r="I1446" s="6" t="s">
        <v>13</v>
      </c>
      <c r="J1446" s="6" t="s">
        <v>209</v>
      </c>
      <c r="K1446" s="6" t="s">
        <v>7997</v>
      </c>
      <c r="M1446" s="6"/>
    </row>
    <row r="1447" customFormat="false" ht="15" hidden="false" customHeight="false" outlineLevel="0" collapsed="false">
      <c r="A1447" s="6" t="s">
        <v>8488</v>
      </c>
      <c r="B1447" s="6" t="s">
        <v>5049</v>
      </c>
      <c r="C1447" s="6" t="s">
        <v>5050</v>
      </c>
      <c r="D1447" s="6" t="s">
        <v>7958</v>
      </c>
      <c r="E1447" s="6" t="s">
        <v>8485</v>
      </c>
      <c r="F1447" s="6" t="s">
        <v>8489</v>
      </c>
      <c r="G1447" s="9" t="n">
        <v>19599</v>
      </c>
      <c r="H1447" s="6" t="s">
        <v>384</v>
      </c>
      <c r="I1447" s="6" t="s">
        <v>13</v>
      </c>
      <c r="J1447" s="6" t="s">
        <v>218</v>
      </c>
      <c r="K1447" s="6" t="s">
        <v>8001</v>
      </c>
      <c r="M1447" s="6"/>
    </row>
    <row r="1448" customFormat="false" ht="15" hidden="false" customHeight="false" outlineLevel="0" collapsed="false">
      <c r="A1448" s="6" t="s">
        <v>8490</v>
      </c>
      <c r="B1448" s="6" t="s">
        <v>5057</v>
      </c>
      <c r="C1448" s="6" t="s">
        <v>5050</v>
      </c>
      <c r="D1448" s="6" t="s">
        <v>7958</v>
      </c>
      <c r="E1448" s="6" t="s">
        <v>8485</v>
      </c>
      <c r="F1448" s="6" t="s">
        <v>8489</v>
      </c>
      <c r="G1448" s="9" t="n">
        <v>34416</v>
      </c>
      <c r="H1448" s="6" t="s">
        <v>384</v>
      </c>
      <c r="I1448" s="6" t="s">
        <v>13</v>
      </c>
      <c r="J1448" s="6" t="s">
        <v>218</v>
      </c>
      <c r="K1448" s="6" t="s">
        <v>8001</v>
      </c>
      <c r="M1448" s="6"/>
    </row>
    <row r="1449" customFormat="false" ht="15" hidden="false" customHeight="false" outlineLevel="0" collapsed="false">
      <c r="A1449" s="6" t="s">
        <v>8491</v>
      </c>
      <c r="B1449" s="6" t="s">
        <v>5057</v>
      </c>
      <c r="C1449" s="6" t="s">
        <v>5050</v>
      </c>
      <c r="D1449" s="6" t="s">
        <v>7958</v>
      </c>
      <c r="E1449" s="6" t="s">
        <v>8485</v>
      </c>
      <c r="F1449" s="6" t="s">
        <v>8492</v>
      </c>
      <c r="G1449" s="9" t="n">
        <v>34416</v>
      </c>
      <c r="H1449" s="6" t="s">
        <v>384</v>
      </c>
      <c r="I1449" s="6" t="s">
        <v>13</v>
      </c>
      <c r="J1449" s="6" t="s">
        <v>223</v>
      </c>
      <c r="K1449" s="6" t="s">
        <v>8006</v>
      </c>
      <c r="M1449" s="6"/>
    </row>
    <row r="1450" customFormat="false" ht="15" hidden="false" customHeight="false" outlineLevel="0" collapsed="false">
      <c r="A1450" s="6" t="s">
        <v>8493</v>
      </c>
      <c r="B1450" s="6" t="s">
        <v>5062</v>
      </c>
      <c r="C1450" s="6" t="s">
        <v>5050</v>
      </c>
      <c r="D1450" s="6" t="s">
        <v>7958</v>
      </c>
      <c r="E1450" s="6" t="s">
        <v>8485</v>
      </c>
      <c r="F1450" s="6" t="s">
        <v>8492</v>
      </c>
      <c r="G1450" s="9" t="n">
        <v>37418</v>
      </c>
      <c r="H1450" s="6" t="s">
        <v>384</v>
      </c>
      <c r="I1450" s="6" t="s">
        <v>13</v>
      </c>
      <c r="J1450" s="6" t="s">
        <v>223</v>
      </c>
      <c r="K1450" s="6" t="s">
        <v>8006</v>
      </c>
      <c r="M1450" s="6"/>
    </row>
    <row r="1451" customFormat="false" ht="15" hidden="false" customHeight="false" outlineLevel="0" collapsed="false">
      <c r="A1451" s="6" t="s">
        <v>8494</v>
      </c>
      <c r="B1451" s="6" t="s">
        <v>5062</v>
      </c>
      <c r="C1451" s="6" t="s">
        <v>5050</v>
      </c>
      <c r="D1451" s="6" t="s">
        <v>7958</v>
      </c>
      <c r="E1451" s="6" t="s">
        <v>8485</v>
      </c>
      <c r="F1451" s="6" t="s">
        <v>8495</v>
      </c>
      <c r="G1451" s="9" t="n">
        <v>37418</v>
      </c>
      <c r="H1451" s="6" t="s">
        <v>384</v>
      </c>
      <c r="I1451" s="6" t="s">
        <v>13</v>
      </c>
      <c r="J1451" s="6" t="s">
        <v>228</v>
      </c>
      <c r="K1451" s="6" t="s">
        <v>8011</v>
      </c>
      <c r="M1451" s="6"/>
    </row>
    <row r="1452" customFormat="false" ht="15" hidden="false" customHeight="false" outlineLevel="0" collapsed="false">
      <c r="A1452" s="6" t="s">
        <v>8496</v>
      </c>
      <c r="B1452" s="6" t="s">
        <v>5062</v>
      </c>
      <c r="C1452" s="6" t="s">
        <v>5050</v>
      </c>
      <c r="D1452" s="6" t="s">
        <v>7958</v>
      </c>
      <c r="E1452" s="6" t="s">
        <v>8485</v>
      </c>
      <c r="F1452" s="6" t="s">
        <v>8497</v>
      </c>
      <c r="G1452" s="9" t="n">
        <v>37418</v>
      </c>
      <c r="H1452" s="6" t="s">
        <v>384</v>
      </c>
      <c r="I1452" s="6" t="s">
        <v>13</v>
      </c>
      <c r="J1452" s="6" t="s">
        <v>238</v>
      </c>
      <c r="K1452" s="6" t="s">
        <v>6112</v>
      </c>
      <c r="M1452" s="6"/>
    </row>
    <row r="1453" customFormat="false" ht="15" hidden="false" customHeight="false" outlineLevel="0" collapsed="false">
      <c r="A1453" s="6" t="s">
        <v>8498</v>
      </c>
      <c r="B1453" s="6" t="s">
        <v>5239</v>
      </c>
      <c r="C1453" s="6" t="s">
        <v>5050</v>
      </c>
      <c r="D1453" s="6" t="s">
        <v>7958</v>
      </c>
      <c r="E1453" s="6" t="s">
        <v>8485</v>
      </c>
      <c r="F1453" s="6" t="s">
        <v>8497</v>
      </c>
      <c r="G1453" s="9" t="n">
        <v>39326</v>
      </c>
      <c r="H1453" s="6" t="s">
        <v>384</v>
      </c>
      <c r="I1453" s="6" t="s">
        <v>13</v>
      </c>
      <c r="J1453" s="6" t="s">
        <v>238</v>
      </c>
      <c r="K1453" s="6" t="s">
        <v>6112</v>
      </c>
      <c r="M1453" s="6"/>
    </row>
    <row r="1454" customFormat="false" ht="15" hidden="false" customHeight="false" outlineLevel="0" collapsed="false">
      <c r="A1454" s="6" t="s">
        <v>8499</v>
      </c>
      <c r="B1454" s="6" t="s">
        <v>5067</v>
      </c>
      <c r="C1454" s="6" t="s">
        <v>5050</v>
      </c>
      <c r="D1454" s="6" t="s">
        <v>7958</v>
      </c>
      <c r="E1454" s="6" t="s">
        <v>8485</v>
      </c>
      <c r="F1454" s="6" t="s">
        <v>8495</v>
      </c>
      <c r="G1454" s="9" t="n">
        <v>41576</v>
      </c>
      <c r="H1454" s="6" t="s">
        <v>384</v>
      </c>
      <c r="I1454" s="6" t="s">
        <v>13</v>
      </c>
      <c r="J1454" s="6" t="s">
        <v>228</v>
      </c>
      <c r="K1454" s="6" t="s">
        <v>8011</v>
      </c>
      <c r="M1454" s="6"/>
    </row>
    <row r="1455" customFormat="false" ht="15" hidden="false" customHeight="false" outlineLevel="0" collapsed="false">
      <c r="A1455" s="6" t="s">
        <v>8500</v>
      </c>
      <c r="B1455" s="6" t="s">
        <v>5067</v>
      </c>
      <c r="C1455" s="6" t="s">
        <v>5050</v>
      </c>
      <c r="D1455" s="6" t="s">
        <v>7958</v>
      </c>
      <c r="E1455" s="6" t="s">
        <v>8485</v>
      </c>
      <c r="F1455" s="6" t="s">
        <v>8501</v>
      </c>
      <c r="G1455" s="9" t="n">
        <v>41576</v>
      </c>
      <c r="H1455" s="6" t="s">
        <v>384</v>
      </c>
      <c r="I1455" s="6" t="s">
        <v>13</v>
      </c>
      <c r="J1455" s="6" t="s">
        <v>233</v>
      </c>
      <c r="K1455" s="6" t="s">
        <v>8016</v>
      </c>
      <c r="M1455" s="6"/>
    </row>
    <row r="1456" customFormat="false" ht="15" hidden="false" customHeight="false" outlineLevel="0" collapsed="false">
      <c r="A1456" s="6" t="s">
        <v>8502</v>
      </c>
      <c r="B1456" s="6" t="s">
        <v>5067</v>
      </c>
      <c r="C1456" s="6" t="s">
        <v>5050</v>
      </c>
      <c r="D1456" s="6" t="s">
        <v>7958</v>
      </c>
      <c r="E1456" s="6" t="s">
        <v>8485</v>
      </c>
      <c r="F1456" s="6" t="s">
        <v>8503</v>
      </c>
      <c r="G1456" s="9" t="n">
        <v>41576</v>
      </c>
      <c r="H1456" s="6" t="s">
        <v>384</v>
      </c>
      <c r="I1456" s="6" t="s">
        <v>13</v>
      </c>
      <c r="J1456" s="6" t="s">
        <v>253</v>
      </c>
      <c r="K1456" s="6" t="s">
        <v>6119</v>
      </c>
      <c r="M1456" s="6"/>
    </row>
    <row r="1457" customFormat="false" ht="15" hidden="false" customHeight="false" outlineLevel="0" collapsed="false">
      <c r="A1457" s="6" t="s">
        <v>8504</v>
      </c>
      <c r="B1457" s="6" t="s">
        <v>5245</v>
      </c>
      <c r="C1457" s="6" t="s">
        <v>5050</v>
      </c>
      <c r="D1457" s="6" t="s">
        <v>7958</v>
      </c>
      <c r="E1457" s="6" t="s">
        <v>8485</v>
      </c>
      <c r="F1457" s="6" t="s">
        <v>8503</v>
      </c>
      <c r="G1457" s="9" t="n">
        <v>47232</v>
      </c>
      <c r="H1457" s="6" t="s">
        <v>384</v>
      </c>
      <c r="I1457" s="6" t="s">
        <v>13</v>
      </c>
      <c r="J1457" s="6" t="s">
        <v>253</v>
      </c>
      <c r="K1457" s="6" t="s">
        <v>6119</v>
      </c>
      <c r="M1457" s="6"/>
    </row>
    <row r="1458" customFormat="false" ht="15" hidden="false" customHeight="false" outlineLevel="0" collapsed="false">
      <c r="A1458" s="6" t="s">
        <v>8505</v>
      </c>
      <c r="B1458" s="6" t="s">
        <v>5072</v>
      </c>
      <c r="C1458" s="6" t="s">
        <v>5050</v>
      </c>
      <c r="D1458" s="6" t="s">
        <v>7958</v>
      </c>
      <c r="E1458" s="6" t="s">
        <v>8485</v>
      </c>
      <c r="F1458" s="6" t="s">
        <v>8501</v>
      </c>
      <c r="G1458" s="9" t="n">
        <v>53888</v>
      </c>
      <c r="H1458" s="6" t="s">
        <v>384</v>
      </c>
      <c r="I1458" s="6" t="s">
        <v>13</v>
      </c>
      <c r="J1458" s="6" t="s">
        <v>233</v>
      </c>
      <c r="K1458" s="6" t="s">
        <v>8016</v>
      </c>
      <c r="M1458" s="6"/>
    </row>
    <row r="1459" customFormat="false" ht="15" hidden="false" customHeight="false" outlineLevel="0" collapsed="false">
      <c r="A1459" s="6" t="s">
        <v>8506</v>
      </c>
      <c r="B1459" s="6" t="s">
        <v>5072</v>
      </c>
      <c r="C1459" s="6" t="s">
        <v>5050</v>
      </c>
      <c r="D1459" s="6" t="s">
        <v>7958</v>
      </c>
      <c r="E1459" s="6" t="s">
        <v>8485</v>
      </c>
      <c r="F1459" s="6" t="s">
        <v>8507</v>
      </c>
      <c r="G1459" s="9" t="n">
        <v>53888</v>
      </c>
      <c r="H1459" s="6" t="s">
        <v>384</v>
      </c>
      <c r="I1459" s="6" t="s">
        <v>13</v>
      </c>
      <c r="J1459" s="6" t="s">
        <v>261</v>
      </c>
      <c r="K1459" s="6" t="s">
        <v>6124</v>
      </c>
      <c r="M1459" s="6"/>
    </row>
    <row r="1460" customFormat="false" ht="15" hidden="false" customHeight="false" outlineLevel="0" collapsed="false">
      <c r="A1460" s="6" t="s">
        <v>8508</v>
      </c>
      <c r="B1460" s="6" t="s">
        <v>5249</v>
      </c>
      <c r="C1460" s="6" t="s">
        <v>5050</v>
      </c>
      <c r="D1460" s="6" t="s">
        <v>7958</v>
      </c>
      <c r="E1460" s="6" t="s">
        <v>8485</v>
      </c>
      <c r="F1460" s="6" t="s">
        <v>8507</v>
      </c>
      <c r="G1460" s="9" t="n">
        <v>50299</v>
      </c>
      <c r="H1460" s="6" t="s">
        <v>384</v>
      </c>
      <c r="I1460" s="6" t="s">
        <v>13</v>
      </c>
      <c r="J1460" s="6" t="s">
        <v>261</v>
      </c>
      <c r="K1460" s="6" t="s">
        <v>6124</v>
      </c>
      <c r="M1460" s="6" t="s">
        <v>8509</v>
      </c>
    </row>
    <row r="1461" customFormat="false" ht="15" hidden="false" customHeight="false" outlineLevel="0" collapsed="false">
      <c r="A1461" s="6" t="s">
        <v>8510</v>
      </c>
      <c r="B1461" s="6" t="s">
        <v>5097</v>
      </c>
      <c r="C1461" s="6" t="s">
        <v>4975</v>
      </c>
      <c r="D1461" s="6" t="s">
        <v>7958</v>
      </c>
      <c r="E1461" s="6" t="s">
        <v>8511</v>
      </c>
      <c r="F1461" s="6" t="s">
        <v>8512</v>
      </c>
      <c r="G1461" s="9" t="n">
        <v>0</v>
      </c>
      <c r="H1461" s="6" t="s">
        <v>384</v>
      </c>
      <c r="I1461" s="6" t="s">
        <v>13</v>
      </c>
      <c r="J1461" s="6" t="s">
        <v>228</v>
      </c>
      <c r="K1461" s="6" t="s">
        <v>6022</v>
      </c>
      <c r="M1461" s="6"/>
    </row>
    <row r="1462" customFormat="false" ht="15" hidden="false" customHeight="false" outlineLevel="0" collapsed="false">
      <c r="A1462" s="6" t="s">
        <v>8513</v>
      </c>
      <c r="B1462" s="6" t="s">
        <v>5074</v>
      </c>
      <c r="C1462" s="6" t="s">
        <v>4975</v>
      </c>
      <c r="D1462" s="6" t="s">
        <v>7958</v>
      </c>
      <c r="E1462" s="6" t="s">
        <v>8511</v>
      </c>
      <c r="F1462" s="6" t="s">
        <v>8512</v>
      </c>
      <c r="G1462" s="9" t="n">
        <v>0</v>
      </c>
      <c r="H1462" s="6" t="s">
        <v>384</v>
      </c>
      <c r="I1462" s="6" t="s">
        <v>13</v>
      </c>
      <c r="J1462" s="6" t="s">
        <v>228</v>
      </c>
      <c r="K1462" s="6" t="s">
        <v>6022</v>
      </c>
      <c r="M1462" s="6"/>
    </row>
    <row r="1463" customFormat="false" ht="15" hidden="false" customHeight="false" outlineLevel="0" collapsed="false">
      <c r="A1463" s="6" t="s">
        <v>8514</v>
      </c>
      <c r="B1463" s="6" t="s">
        <v>5113</v>
      </c>
      <c r="C1463" s="6" t="s">
        <v>4975</v>
      </c>
      <c r="D1463" s="6" t="s">
        <v>7958</v>
      </c>
      <c r="E1463" s="6" t="s">
        <v>8511</v>
      </c>
      <c r="F1463" s="6" t="s">
        <v>8512</v>
      </c>
      <c r="G1463" s="9" t="n">
        <v>-49570</v>
      </c>
      <c r="H1463" s="6" t="s">
        <v>384</v>
      </c>
      <c r="I1463" s="6" t="s">
        <v>13</v>
      </c>
      <c r="J1463" s="6" t="s">
        <v>228</v>
      </c>
      <c r="K1463" s="6" t="s">
        <v>6022</v>
      </c>
      <c r="M1463" s="6"/>
    </row>
    <row r="1464" customFormat="false" ht="15" hidden="false" customHeight="false" outlineLevel="0" collapsed="false">
      <c r="A1464" s="6" t="s">
        <v>8515</v>
      </c>
      <c r="B1464" s="6" t="s">
        <v>5320</v>
      </c>
      <c r="C1464" s="6" t="s">
        <v>5316</v>
      </c>
      <c r="D1464" s="6" t="s">
        <v>7958</v>
      </c>
      <c r="E1464" s="6" t="s">
        <v>8511</v>
      </c>
      <c r="F1464" s="6" t="s">
        <v>8516</v>
      </c>
      <c r="G1464" s="9" t="n">
        <v>10049</v>
      </c>
      <c r="H1464" s="6" t="s">
        <v>384</v>
      </c>
      <c r="I1464" s="6" t="s">
        <v>13</v>
      </c>
      <c r="J1464" s="6" t="s">
        <v>253</v>
      </c>
      <c r="K1464" s="6" t="s">
        <v>6106</v>
      </c>
      <c r="M1464" s="6" t="s">
        <v>8087</v>
      </c>
    </row>
    <row r="1465" customFormat="false" ht="15" hidden="false" customHeight="false" outlineLevel="0" collapsed="false">
      <c r="A1465" s="6" t="s">
        <v>8517</v>
      </c>
      <c r="B1465" s="6" t="s">
        <v>5325</v>
      </c>
      <c r="C1465" s="6" t="s">
        <v>5316</v>
      </c>
      <c r="D1465" s="6" t="s">
        <v>7958</v>
      </c>
      <c r="E1465" s="6" t="s">
        <v>8511</v>
      </c>
      <c r="F1465" s="6" t="s">
        <v>8518</v>
      </c>
      <c r="G1465" s="9" t="n">
        <v>112915</v>
      </c>
      <c r="H1465" s="6" t="s">
        <v>384</v>
      </c>
      <c r="I1465" s="6" t="s">
        <v>13</v>
      </c>
      <c r="J1465" s="6" t="s">
        <v>261</v>
      </c>
      <c r="K1465" s="6" t="s">
        <v>6109</v>
      </c>
      <c r="M1465" s="6" t="s">
        <v>7200</v>
      </c>
    </row>
    <row r="1466" customFormat="false" ht="15" hidden="false" customHeight="false" outlineLevel="0" collapsed="false">
      <c r="A1466" s="6" t="s">
        <v>8519</v>
      </c>
      <c r="B1466" s="6" t="s">
        <v>6032</v>
      </c>
      <c r="C1466" s="6" t="s">
        <v>4975</v>
      </c>
      <c r="D1466" s="6" t="s">
        <v>7958</v>
      </c>
      <c r="E1466" s="6" t="s">
        <v>8520</v>
      </c>
      <c r="F1466" s="6" t="s">
        <v>8521</v>
      </c>
      <c r="G1466" s="9" t="n">
        <v>-1402</v>
      </c>
      <c r="H1466" s="6" t="s">
        <v>384</v>
      </c>
      <c r="I1466" s="6" t="s">
        <v>13</v>
      </c>
      <c r="J1466" s="6" t="s">
        <v>209</v>
      </c>
      <c r="K1466" s="6" t="s">
        <v>8103</v>
      </c>
      <c r="M1466" s="6"/>
    </row>
    <row r="1467" customFormat="false" ht="15" hidden="false" customHeight="false" outlineLevel="0" collapsed="false">
      <c r="A1467" s="6" t="s">
        <v>8522</v>
      </c>
      <c r="B1467" s="6" t="s">
        <v>5203</v>
      </c>
      <c r="C1467" s="6" t="s">
        <v>4975</v>
      </c>
      <c r="D1467" s="6" t="s">
        <v>7958</v>
      </c>
      <c r="E1467" s="6" t="s">
        <v>8520</v>
      </c>
      <c r="F1467" s="6" t="s">
        <v>8521</v>
      </c>
      <c r="G1467" s="9" t="n">
        <v>-4362</v>
      </c>
      <c r="H1467" s="6" t="s">
        <v>384</v>
      </c>
      <c r="I1467" s="6" t="s">
        <v>13</v>
      </c>
      <c r="J1467" s="6" t="s">
        <v>209</v>
      </c>
      <c r="K1467" s="6" t="s">
        <v>8103</v>
      </c>
      <c r="M1467" s="6"/>
    </row>
    <row r="1468" customFormat="false" ht="15" hidden="false" customHeight="false" outlineLevel="0" collapsed="false">
      <c r="A1468" s="6" t="s">
        <v>8523</v>
      </c>
      <c r="B1468" s="6" t="s">
        <v>5102</v>
      </c>
      <c r="C1468" s="6" t="s">
        <v>4975</v>
      </c>
      <c r="D1468" s="6" t="s">
        <v>7958</v>
      </c>
      <c r="E1468" s="6" t="s">
        <v>8520</v>
      </c>
      <c r="F1468" s="6" t="s">
        <v>8521</v>
      </c>
      <c r="G1468" s="9" t="n">
        <v>-11578</v>
      </c>
      <c r="H1468" s="6" t="s">
        <v>384</v>
      </c>
      <c r="I1468" s="6" t="s">
        <v>13</v>
      </c>
      <c r="J1468" s="6" t="s">
        <v>209</v>
      </c>
      <c r="K1468" s="6" t="s">
        <v>8103</v>
      </c>
      <c r="M1468" s="6"/>
    </row>
    <row r="1469" customFormat="false" ht="15" hidden="false" customHeight="false" outlineLevel="0" collapsed="false">
      <c r="A1469" s="6" t="s">
        <v>8524</v>
      </c>
      <c r="B1469" s="6" t="s">
        <v>5102</v>
      </c>
      <c r="C1469" s="6" t="s">
        <v>4975</v>
      </c>
      <c r="D1469" s="6" t="s">
        <v>7958</v>
      </c>
      <c r="E1469" s="6" t="s">
        <v>8520</v>
      </c>
      <c r="F1469" s="6" t="s">
        <v>8525</v>
      </c>
      <c r="G1469" s="9" t="n">
        <v>-11578</v>
      </c>
      <c r="H1469" s="6" t="s">
        <v>384</v>
      </c>
      <c r="I1469" s="6" t="s">
        <v>13</v>
      </c>
      <c r="J1469" s="6" t="s">
        <v>223</v>
      </c>
      <c r="K1469" s="6" t="s">
        <v>6013</v>
      </c>
      <c r="M1469" s="6"/>
    </row>
    <row r="1470" customFormat="false" ht="15" hidden="false" customHeight="false" outlineLevel="0" collapsed="false">
      <c r="A1470" s="6" t="s">
        <v>8526</v>
      </c>
      <c r="B1470" s="6" t="s">
        <v>5097</v>
      </c>
      <c r="C1470" s="6" t="s">
        <v>4975</v>
      </c>
      <c r="D1470" s="6" t="s">
        <v>7958</v>
      </c>
      <c r="E1470" s="6" t="s">
        <v>8520</v>
      </c>
      <c r="F1470" s="6" t="s">
        <v>8525</v>
      </c>
      <c r="G1470" s="9" t="n">
        <v>-16003</v>
      </c>
      <c r="H1470" s="6" t="s">
        <v>384</v>
      </c>
      <c r="I1470" s="6" t="s">
        <v>13</v>
      </c>
      <c r="J1470" s="6" t="s">
        <v>223</v>
      </c>
      <c r="K1470" s="6" t="s">
        <v>6013</v>
      </c>
      <c r="M1470" s="6"/>
    </row>
    <row r="1471" customFormat="false" ht="15" hidden="false" customHeight="false" outlineLevel="0" collapsed="false">
      <c r="A1471" s="6" t="s">
        <v>8527</v>
      </c>
      <c r="B1471" s="6" t="s">
        <v>5097</v>
      </c>
      <c r="C1471" s="6" t="s">
        <v>4975</v>
      </c>
      <c r="D1471" s="6" t="s">
        <v>7958</v>
      </c>
      <c r="E1471" s="6" t="s">
        <v>8520</v>
      </c>
      <c r="F1471" s="6" t="s">
        <v>8528</v>
      </c>
      <c r="G1471" s="9" t="n">
        <v>-16003</v>
      </c>
      <c r="H1471" s="6" t="s">
        <v>384</v>
      </c>
      <c r="I1471" s="6" t="s">
        <v>13</v>
      </c>
      <c r="J1471" s="6" t="s">
        <v>228</v>
      </c>
      <c r="K1471" s="6" t="s">
        <v>6022</v>
      </c>
      <c r="M1471" s="6"/>
    </row>
    <row r="1472" customFormat="false" ht="15" hidden="false" customHeight="false" outlineLevel="0" collapsed="false">
      <c r="A1472" s="6" t="s">
        <v>8529</v>
      </c>
      <c r="B1472" s="6" t="s">
        <v>5074</v>
      </c>
      <c r="C1472" s="6" t="s">
        <v>4975</v>
      </c>
      <c r="D1472" s="6" t="s">
        <v>7958</v>
      </c>
      <c r="E1472" s="6" t="s">
        <v>8520</v>
      </c>
      <c r="F1472" s="6" t="s">
        <v>8525</v>
      </c>
      <c r="G1472" s="9" t="n">
        <v>-7901</v>
      </c>
      <c r="H1472" s="6" t="s">
        <v>384</v>
      </c>
      <c r="I1472" s="6" t="s">
        <v>13</v>
      </c>
      <c r="J1472" s="6" t="s">
        <v>223</v>
      </c>
      <c r="K1472" s="6" t="s">
        <v>6013</v>
      </c>
      <c r="M1472" s="6"/>
    </row>
    <row r="1473" customFormat="false" ht="15" hidden="false" customHeight="false" outlineLevel="0" collapsed="false">
      <c r="A1473" s="6" t="s">
        <v>8530</v>
      </c>
      <c r="B1473" s="6" t="s">
        <v>5074</v>
      </c>
      <c r="C1473" s="6" t="s">
        <v>4975</v>
      </c>
      <c r="D1473" s="6" t="s">
        <v>7958</v>
      </c>
      <c r="E1473" s="6" t="s">
        <v>8520</v>
      </c>
      <c r="F1473" s="6" t="s">
        <v>8528</v>
      </c>
      <c r="G1473" s="9" t="n">
        <v>-7901</v>
      </c>
      <c r="H1473" s="6" t="s">
        <v>384</v>
      </c>
      <c r="I1473" s="6" t="s">
        <v>13</v>
      </c>
      <c r="J1473" s="6" t="s">
        <v>228</v>
      </c>
      <c r="K1473" s="6" t="s">
        <v>6022</v>
      </c>
      <c r="M1473" s="6"/>
    </row>
    <row r="1474" customFormat="false" ht="15" hidden="false" customHeight="false" outlineLevel="0" collapsed="false">
      <c r="A1474" s="6" t="s">
        <v>8531</v>
      </c>
      <c r="B1474" s="6" t="s">
        <v>5074</v>
      </c>
      <c r="C1474" s="6" t="s">
        <v>4975</v>
      </c>
      <c r="D1474" s="6" t="s">
        <v>7958</v>
      </c>
      <c r="E1474" s="6" t="s">
        <v>8520</v>
      </c>
      <c r="F1474" s="6" t="s">
        <v>8532</v>
      </c>
      <c r="G1474" s="9" t="n">
        <v>-7901</v>
      </c>
      <c r="H1474" s="6" t="s">
        <v>384</v>
      </c>
      <c r="I1474" s="6" t="s">
        <v>13</v>
      </c>
      <c r="J1474" s="6" t="s">
        <v>233</v>
      </c>
      <c r="K1474" s="6" t="s">
        <v>6027</v>
      </c>
      <c r="M1474" s="6"/>
    </row>
    <row r="1475" customFormat="false" ht="15" hidden="false" customHeight="false" outlineLevel="0" collapsed="false">
      <c r="A1475" s="6" t="s">
        <v>8533</v>
      </c>
      <c r="B1475" s="6" t="s">
        <v>5113</v>
      </c>
      <c r="C1475" s="6" t="s">
        <v>4975</v>
      </c>
      <c r="D1475" s="6" t="s">
        <v>7958</v>
      </c>
      <c r="E1475" s="6" t="s">
        <v>8520</v>
      </c>
      <c r="F1475" s="6" t="s">
        <v>8528</v>
      </c>
      <c r="G1475" s="9" t="n">
        <v>-13211</v>
      </c>
      <c r="H1475" s="6" t="s">
        <v>384</v>
      </c>
      <c r="I1475" s="6" t="s">
        <v>13</v>
      </c>
      <c r="J1475" s="6" t="s">
        <v>228</v>
      </c>
      <c r="K1475" s="6" t="s">
        <v>6022</v>
      </c>
      <c r="M1475" s="6"/>
    </row>
    <row r="1476" customFormat="false" ht="15" hidden="false" customHeight="false" outlineLevel="0" collapsed="false">
      <c r="A1476" s="6" t="s">
        <v>8534</v>
      </c>
      <c r="B1476" s="6" t="s">
        <v>5113</v>
      </c>
      <c r="C1476" s="6" t="s">
        <v>4975</v>
      </c>
      <c r="D1476" s="6" t="s">
        <v>7958</v>
      </c>
      <c r="E1476" s="6" t="s">
        <v>8520</v>
      </c>
      <c r="F1476" s="6" t="s">
        <v>8532</v>
      </c>
      <c r="G1476" s="9" t="n">
        <v>-13211</v>
      </c>
      <c r="H1476" s="6" t="s">
        <v>384</v>
      </c>
      <c r="I1476" s="6" t="s">
        <v>13</v>
      </c>
      <c r="J1476" s="6" t="s">
        <v>233</v>
      </c>
      <c r="K1476" s="6" t="s">
        <v>6027</v>
      </c>
      <c r="M1476" s="6"/>
    </row>
    <row r="1477" customFormat="false" ht="15" hidden="false" customHeight="false" outlineLevel="0" collapsed="false">
      <c r="A1477" s="6" t="s">
        <v>8535</v>
      </c>
      <c r="B1477" s="6" t="s">
        <v>5079</v>
      </c>
      <c r="C1477" s="6" t="s">
        <v>4975</v>
      </c>
      <c r="D1477" s="6" t="s">
        <v>7958</v>
      </c>
      <c r="E1477" s="6" t="s">
        <v>8520</v>
      </c>
      <c r="F1477" s="6" t="s">
        <v>8532</v>
      </c>
      <c r="G1477" s="9" t="n">
        <v>-20362</v>
      </c>
      <c r="H1477" s="6" t="s">
        <v>384</v>
      </c>
      <c r="I1477" s="6" t="s">
        <v>13</v>
      </c>
      <c r="J1477" s="6" t="s">
        <v>233</v>
      </c>
      <c r="K1477" s="6" t="s">
        <v>6027</v>
      </c>
      <c r="M1477" s="6"/>
    </row>
    <row r="1478" customFormat="false" ht="15" hidden="false" customHeight="false" outlineLevel="0" collapsed="false">
      <c r="A1478" s="6" t="s">
        <v>8536</v>
      </c>
      <c r="B1478" s="6" t="s">
        <v>5519</v>
      </c>
      <c r="C1478" s="6" t="s">
        <v>5316</v>
      </c>
      <c r="D1478" s="6" t="s">
        <v>7958</v>
      </c>
      <c r="E1478" s="6" t="s">
        <v>8520</v>
      </c>
      <c r="F1478" s="6" t="s">
        <v>8537</v>
      </c>
      <c r="G1478" s="9" t="n">
        <v>4684</v>
      </c>
      <c r="H1478" s="6" t="s">
        <v>384</v>
      </c>
      <c r="I1478" s="6" t="s">
        <v>13</v>
      </c>
      <c r="J1478" s="6" t="s">
        <v>238</v>
      </c>
      <c r="K1478" s="6" t="s">
        <v>6102</v>
      </c>
      <c r="M1478" s="6" t="s">
        <v>8083</v>
      </c>
    </row>
    <row r="1479" customFormat="false" ht="15" hidden="false" customHeight="false" outlineLevel="0" collapsed="false">
      <c r="A1479" s="6" t="s">
        <v>8538</v>
      </c>
      <c r="B1479" s="6" t="s">
        <v>5315</v>
      </c>
      <c r="C1479" s="6" t="s">
        <v>5316</v>
      </c>
      <c r="D1479" s="6" t="s">
        <v>7958</v>
      </c>
      <c r="E1479" s="6" t="s">
        <v>8520</v>
      </c>
      <c r="F1479" s="6" t="s">
        <v>8537</v>
      </c>
      <c r="G1479" s="9" t="n">
        <v>5964</v>
      </c>
      <c r="H1479" s="6" t="s">
        <v>384</v>
      </c>
      <c r="I1479" s="6" t="s">
        <v>13</v>
      </c>
      <c r="J1479" s="6" t="s">
        <v>238</v>
      </c>
      <c r="K1479" s="6" t="s">
        <v>6102</v>
      </c>
      <c r="M1479" s="6" t="s">
        <v>8083</v>
      </c>
    </row>
    <row r="1480" customFormat="false" ht="15" hidden="false" customHeight="false" outlineLevel="0" collapsed="false">
      <c r="A1480" s="6" t="s">
        <v>8539</v>
      </c>
      <c r="B1480" s="6" t="s">
        <v>5320</v>
      </c>
      <c r="C1480" s="6" t="s">
        <v>5316</v>
      </c>
      <c r="D1480" s="6" t="s">
        <v>7958</v>
      </c>
      <c r="E1480" s="6" t="s">
        <v>8520</v>
      </c>
      <c r="F1480" s="6" t="s">
        <v>8540</v>
      </c>
      <c r="G1480" s="9" t="n">
        <v>9571</v>
      </c>
      <c r="H1480" s="6" t="s">
        <v>384</v>
      </c>
      <c r="I1480" s="6" t="s">
        <v>13</v>
      </c>
      <c r="J1480" s="6" t="s">
        <v>253</v>
      </c>
      <c r="K1480" s="6" t="s">
        <v>6106</v>
      </c>
      <c r="M1480" s="6" t="s">
        <v>8087</v>
      </c>
    </row>
    <row r="1481" customFormat="false" ht="15" hidden="false" customHeight="false" outlineLevel="0" collapsed="false">
      <c r="A1481" s="6" t="s">
        <v>8541</v>
      </c>
      <c r="B1481" s="6" t="s">
        <v>5325</v>
      </c>
      <c r="C1481" s="6" t="s">
        <v>5316</v>
      </c>
      <c r="D1481" s="6" t="s">
        <v>7958</v>
      </c>
      <c r="E1481" s="6" t="s">
        <v>8520</v>
      </c>
      <c r="F1481" s="6" t="s">
        <v>8542</v>
      </c>
      <c r="G1481" s="9" t="n">
        <v>6237</v>
      </c>
      <c r="H1481" s="6" t="s">
        <v>384</v>
      </c>
      <c r="I1481" s="6" t="s">
        <v>13</v>
      </c>
      <c r="J1481" s="6" t="s">
        <v>261</v>
      </c>
      <c r="K1481" s="6" t="s">
        <v>6109</v>
      </c>
      <c r="M1481" s="6" t="s">
        <v>7200</v>
      </c>
    </row>
    <row r="1482" customFormat="false" ht="15" hidden="false" customHeight="false" outlineLevel="0" collapsed="false">
      <c r="A1482" s="6" t="s">
        <v>8543</v>
      </c>
      <c r="B1482" s="6" t="s">
        <v>5203</v>
      </c>
      <c r="C1482" s="6" t="s">
        <v>4975</v>
      </c>
      <c r="D1482" s="6" t="s">
        <v>7958</v>
      </c>
      <c r="E1482" s="6" t="s">
        <v>8544</v>
      </c>
      <c r="F1482" s="6" t="s">
        <v>8545</v>
      </c>
      <c r="G1482" s="9" t="n">
        <v>4362</v>
      </c>
      <c r="H1482" s="6" t="s">
        <v>384</v>
      </c>
      <c r="I1482" s="6" t="s">
        <v>13</v>
      </c>
      <c r="J1482" s="6" t="s">
        <v>218</v>
      </c>
      <c r="K1482" s="6" t="s">
        <v>6013</v>
      </c>
      <c r="M1482" s="6" t="s">
        <v>8107</v>
      </c>
    </row>
    <row r="1483" customFormat="false" ht="15" hidden="false" customHeight="false" outlineLevel="0" collapsed="false">
      <c r="A1483" s="6" t="s">
        <v>8546</v>
      </c>
      <c r="B1483" s="6" t="s">
        <v>5102</v>
      </c>
      <c r="C1483" s="6" t="s">
        <v>4975</v>
      </c>
      <c r="D1483" s="6" t="s">
        <v>7958</v>
      </c>
      <c r="E1483" s="6" t="s">
        <v>8544</v>
      </c>
      <c r="F1483" s="6" t="s">
        <v>8545</v>
      </c>
      <c r="G1483" s="9" t="n">
        <v>11578</v>
      </c>
      <c r="H1483" s="6" t="s">
        <v>384</v>
      </c>
      <c r="I1483" s="6" t="s">
        <v>13</v>
      </c>
      <c r="J1483" s="6" t="s">
        <v>218</v>
      </c>
      <c r="K1483" s="6" t="s">
        <v>6013</v>
      </c>
      <c r="M1483" s="6" t="s">
        <v>8107</v>
      </c>
    </row>
    <row r="1484" customFormat="false" ht="15" hidden="false" customHeight="false" outlineLevel="0" collapsed="false">
      <c r="A1484" s="6" t="s">
        <v>8547</v>
      </c>
      <c r="B1484" s="6" t="s">
        <v>5097</v>
      </c>
      <c r="C1484" s="6" t="s">
        <v>4975</v>
      </c>
      <c r="D1484" s="6" t="s">
        <v>7958</v>
      </c>
      <c r="E1484" s="6" t="s">
        <v>8544</v>
      </c>
      <c r="F1484" s="6" t="s">
        <v>8545</v>
      </c>
      <c r="G1484" s="9" t="n">
        <v>16003</v>
      </c>
      <c r="H1484" s="6" t="s">
        <v>384</v>
      </c>
      <c r="I1484" s="6" t="s">
        <v>13</v>
      </c>
      <c r="J1484" s="6" t="s">
        <v>218</v>
      </c>
      <c r="K1484" s="6" t="s">
        <v>6013</v>
      </c>
      <c r="M1484" s="6" t="s">
        <v>8107</v>
      </c>
    </row>
    <row r="1485" customFormat="false" ht="15" hidden="false" customHeight="false" outlineLevel="0" collapsed="false">
      <c r="A1485" s="6" t="s">
        <v>8548</v>
      </c>
      <c r="B1485" s="6" t="s">
        <v>5203</v>
      </c>
      <c r="C1485" s="6" t="s">
        <v>4975</v>
      </c>
      <c r="D1485" s="6" t="s">
        <v>7958</v>
      </c>
      <c r="E1485" s="6" t="s">
        <v>8549</v>
      </c>
      <c r="F1485" s="6" t="s">
        <v>8550</v>
      </c>
      <c r="G1485" s="9" t="n">
        <v>1964</v>
      </c>
      <c r="H1485" s="6" t="s">
        <v>384</v>
      </c>
      <c r="I1485" s="6" t="s">
        <v>13</v>
      </c>
      <c r="J1485" s="6" t="s">
        <v>218</v>
      </c>
      <c r="K1485" s="6" t="s">
        <v>7985</v>
      </c>
      <c r="M1485" s="6"/>
    </row>
    <row r="1486" customFormat="false" ht="15" hidden="false" customHeight="false" outlineLevel="0" collapsed="false">
      <c r="A1486" s="6" t="s">
        <v>8551</v>
      </c>
      <c r="B1486" s="6" t="s">
        <v>5102</v>
      </c>
      <c r="C1486" s="6" t="s">
        <v>4975</v>
      </c>
      <c r="D1486" s="6" t="s">
        <v>7958</v>
      </c>
      <c r="E1486" s="6" t="s">
        <v>8549</v>
      </c>
      <c r="F1486" s="6" t="s">
        <v>8550</v>
      </c>
      <c r="G1486" s="9" t="n">
        <v>7303</v>
      </c>
      <c r="H1486" s="6" t="s">
        <v>384</v>
      </c>
      <c r="I1486" s="6" t="s">
        <v>13</v>
      </c>
      <c r="J1486" s="6" t="s">
        <v>218</v>
      </c>
      <c r="K1486" s="6" t="s">
        <v>7985</v>
      </c>
      <c r="M1486" s="6"/>
    </row>
    <row r="1487" customFormat="false" ht="15" hidden="false" customHeight="false" outlineLevel="0" collapsed="false">
      <c r="A1487" s="6" t="s">
        <v>8552</v>
      </c>
      <c r="B1487" s="6" t="s">
        <v>5102</v>
      </c>
      <c r="C1487" s="6" t="s">
        <v>4975</v>
      </c>
      <c r="D1487" s="6" t="s">
        <v>7958</v>
      </c>
      <c r="E1487" s="6" t="s">
        <v>8549</v>
      </c>
      <c r="F1487" s="6" t="s">
        <v>8553</v>
      </c>
      <c r="G1487" s="9" t="n">
        <v>7303</v>
      </c>
      <c r="H1487" s="6" t="s">
        <v>384</v>
      </c>
      <c r="I1487" s="6" t="s">
        <v>13</v>
      </c>
      <c r="J1487" s="6" t="s">
        <v>223</v>
      </c>
      <c r="K1487" s="6" t="s">
        <v>8554</v>
      </c>
      <c r="M1487" s="6"/>
    </row>
    <row r="1488" customFormat="false" ht="15" hidden="false" customHeight="false" outlineLevel="0" collapsed="false">
      <c r="A1488" s="6" t="s">
        <v>8555</v>
      </c>
      <c r="B1488" s="6" t="s">
        <v>5097</v>
      </c>
      <c r="C1488" s="6" t="s">
        <v>4975</v>
      </c>
      <c r="D1488" s="6" t="s">
        <v>7958</v>
      </c>
      <c r="E1488" s="6" t="s">
        <v>8549</v>
      </c>
      <c r="F1488" s="6" t="s">
        <v>8550</v>
      </c>
      <c r="G1488" s="9" t="n">
        <v>0</v>
      </c>
      <c r="H1488" s="6" t="s">
        <v>384</v>
      </c>
      <c r="I1488" s="6" t="s">
        <v>13</v>
      </c>
      <c r="J1488" s="6" t="s">
        <v>218</v>
      </c>
      <c r="K1488" s="6" t="s">
        <v>7985</v>
      </c>
      <c r="M1488" s="6"/>
    </row>
    <row r="1489" customFormat="false" ht="15" hidden="false" customHeight="false" outlineLevel="0" collapsed="false">
      <c r="A1489" s="6" t="s">
        <v>8556</v>
      </c>
      <c r="B1489" s="6" t="s">
        <v>5097</v>
      </c>
      <c r="C1489" s="6" t="s">
        <v>4975</v>
      </c>
      <c r="D1489" s="6" t="s">
        <v>7958</v>
      </c>
      <c r="E1489" s="6" t="s">
        <v>8549</v>
      </c>
      <c r="F1489" s="6" t="s">
        <v>8553</v>
      </c>
      <c r="G1489" s="9" t="n">
        <v>0</v>
      </c>
      <c r="H1489" s="6" t="s">
        <v>384</v>
      </c>
      <c r="I1489" s="6" t="s">
        <v>13</v>
      </c>
      <c r="J1489" s="6" t="s">
        <v>223</v>
      </c>
      <c r="K1489" s="6" t="s">
        <v>8554</v>
      </c>
      <c r="M1489" s="6"/>
    </row>
    <row r="1490" customFormat="false" ht="15" hidden="false" customHeight="false" outlineLevel="0" collapsed="false">
      <c r="A1490" s="6" t="s">
        <v>8557</v>
      </c>
      <c r="B1490" s="6" t="s">
        <v>5074</v>
      </c>
      <c r="C1490" s="6" t="s">
        <v>4975</v>
      </c>
      <c r="D1490" s="6" t="s">
        <v>7958</v>
      </c>
      <c r="E1490" s="6" t="s">
        <v>8549</v>
      </c>
      <c r="F1490" s="6" t="s">
        <v>8553</v>
      </c>
      <c r="G1490" s="9" t="n">
        <v>0</v>
      </c>
      <c r="H1490" s="6" t="s">
        <v>384</v>
      </c>
      <c r="I1490" s="6" t="s">
        <v>13</v>
      </c>
      <c r="J1490" s="6" t="s">
        <v>223</v>
      </c>
      <c r="K1490" s="6" t="s">
        <v>8554</v>
      </c>
      <c r="M1490" s="6"/>
    </row>
    <row r="1491" customFormat="false" ht="15" hidden="false" customHeight="false" outlineLevel="0" collapsed="false">
      <c r="A1491" s="6" t="s">
        <v>8558</v>
      </c>
      <c r="B1491" s="6" t="s">
        <v>5079</v>
      </c>
      <c r="C1491" s="6" t="s">
        <v>4975</v>
      </c>
      <c r="D1491" s="6" t="s">
        <v>7958</v>
      </c>
      <c r="E1491" s="6" t="s">
        <v>8559</v>
      </c>
      <c r="F1491" s="6" t="s">
        <v>8560</v>
      </c>
      <c r="G1491" s="9" t="n">
        <v>12758</v>
      </c>
      <c r="H1491" s="6" t="s">
        <v>384</v>
      </c>
      <c r="I1491" s="6" t="s">
        <v>13</v>
      </c>
      <c r="J1491" s="6" t="s">
        <v>233</v>
      </c>
      <c r="K1491" s="6" t="s">
        <v>8561</v>
      </c>
      <c r="M1491" s="6" t="s">
        <v>8562</v>
      </c>
    </row>
    <row r="1492" customFormat="false" ht="15" hidden="false" customHeight="false" outlineLevel="0" collapsed="false">
      <c r="A1492" s="6" t="s">
        <v>8563</v>
      </c>
      <c r="B1492" s="6" t="s">
        <v>5320</v>
      </c>
      <c r="C1492" s="6" t="s">
        <v>5316</v>
      </c>
      <c r="D1492" s="6" t="s">
        <v>7958</v>
      </c>
      <c r="E1492" s="6" t="s">
        <v>8564</v>
      </c>
      <c r="F1492" s="6" t="s">
        <v>8565</v>
      </c>
      <c r="G1492" s="9" t="n">
        <v>6092</v>
      </c>
      <c r="H1492" s="6" t="s">
        <v>384</v>
      </c>
      <c r="I1492" s="6" t="s">
        <v>13</v>
      </c>
      <c r="J1492" s="6" t="s">
        <v>257</v>
      </c>
      <c r="K1492" s="6" t="s">
        <v>5318</v>
      </c>
      <c r="M1492" s="6" t="s">
        <v>8566</v>
      </c>
    </row>
    <row r="1493" customFormat="false" ht="15" hidden="false" customHeight="false" outlineLevel="0" collapsed="false">
      <c r="A1493" s="6" t="s">
        <v>8567</v>
      </c>
      <c r="B1493" s="6" t="s">
        <v>5325</v>
      </c>
      <c r="C1493" s="6" t="s">
        <v>5316</v>
      </c>
      <c r="D1493" s="6" t="s">
        <v>7958</v>
      </c>
      <c r="E1493" s="6" t="s">
        <v>8568</v>
      </c>
      <c r="F1493" s="6" t="s">
        <v>8569</v>
      </c>
      <c r="G1493" s="9" t="n">
        <v>2908</v>
      </c>
      <c r="H1493" s="6" t="s">
        <v>384</v>
      </c>
      <c r="I1493" s="6" t="s">
        <v>13</v>
      </c>
      <c r="J1493" s="6" t="s">
        <v>265</v>
      </c>
      <c r="K1493" s="6" t="s">
        <v>8570</v>
      </c>
      <c r="M1493" s="6" t="s">
        <v>8571</v>
      </c>
    </row>
    <row r="1494" customFormat="false" ht="15" hidden="false" customHeight="false" outlineLevel="0" collapsed="false">
      <c r="A1494" s="6" t="s">
        <v>8572</v>
      </c>
      <c r="B1494" s="6" t="s">
        <v>6032</v>
      </c>
      <c r="C1494" s="6" t="s">
        <v>4975</v>
      </c>
      <c r="D1494" s="6" t="s">
        <v>7958</v>
      </c>
      <c r="E1494" s="6" t="s">
        <v>8573</v>
      </c>
      <c r="F1494" s="6" t="s">
        <v>8574</v>
      </c>
      <c r="G1494" s="9" t="n">
        <v>0</v>
      </c>
      <c r="H1494" s="6" t="s">
        <v>384</v>
      </c>
      <c r="I1494" s="6" t="s">
        <v>13</v>
      </c>
      <c r="J1494" s="6" t="s">
        <v>209</v>
      </c>
      <c r="K1494" s="6" t="s">
        <v>7979</v>
      </c>
      <c r="M1494" s="6"/>
    </row>
    <row r="1495" customFormat="false" ht="15" hidden="false" customHeight="false" outlineLevel="0" collapsed="false">
      <c r="A1495" s="6" t="s">
        <v>8575</v>
      </c>
      <c r="B1495" s="6" t="s">
        <v>5203</v>
      </c>
      <c r="C1495" s="6" t="s">
        <v>4975</v>
      </c>
      <c r="D1495" s="6" t="s">
        <v>7958</v>
      </c>
      <c r="E1495" s="6" t="s">
        <v>8573</v>
      </c>
      <c r="F1495" s="6" t="s">
        <v>8574</v>
      </c>
      <c r="G1495" s="9" t="n">
        <v>1964</v>
      </c>
      <c r="H1495" s="6" t="s">
        <v>384</v>
      </c>
      <c r="I1495" s="6" t="s">
        <v>13</v>
      </c>
      <c r="J1495" s="6" t="s">
        <v>209</v>
      </c>
      <c r="K1495" s="6" t="s">
        <v>7979</v>
      </c>
      <c r="M1495" s="6"/>
    </row>
    <row r="1496" customFormat="false" ht="15" hidden="false" customHeight="false" outlineLevel="0" collapsed="false">
      <c r="A1496" s="6" t="s">
        <v>8576</v>
      </c>
      <c r="B1496" s="6" t="s">
        <v>5102</v>
      </c>
      <c r="C1496" s="6" t="s">
        <v>4975</v>
      </c>
      <c r="D1496" s="6" t="s">
        <v>7958</v>
      </c>
      <c r="E1496" s="6" t="s">
        <v>8573</v>
      </c>
      <c r="F1496" s="6" t="s">
        <v>8574</v>
      </c>
      <c r="G1496" s="9" t="n">
        <v>7303</v>
      </c>
      <c r="H1496" s="6" t="s">
        <v>384</v>
      </c>
      <c r="I1496" s="6" t="s">
        <v>13</v>
      </c>
      <c r="J1496" s="6" t="s">
        <v>209</v>
      </c>
      <c r="K1496" s="6" t="s">
        <v>7979</v>
      </c>
      <c r="M1496" s="6"/>
    </row>
    <row r="1497" customFormat="false" ht="15" hidden="false" customHeight="false" outlineLevel="0" collapsed="false">
      <c r="A1497" s="6" t="s">
        <v>8577</v>
      </c>
      <c r="B1497" s="6" t="s">
        <v>5325</v>
      </c>
      <c r="C1497" s="6" t="s">
        <v>5316</v>
      </c>
      <c r="D1497" s="6" t="s">
        <v>7958</v>
      </c>
      <c r="E1497" s="6" t="s">
        <v>8578</v>
      </c>
      <c r="F1497" s="6" t="s">
        <v>8579</v>
      </c>
      <c r="G1497" s="9" t="n">
        <v>6000</v>
      </c>
      <c r="H1497" s="6" t="s">
        <v>384</v>
      </c>
      <c r="I1497" s="6" t="s">
        <v>13</v>
      </c>
      <c r="J1497" s="6" t="s">
        <v>261</v>
      </c>
      <c r="K1497" s="6" t="s">
        <v>6109</v>
      </c>
      <c r="M1497" s="6" t="s">
        <v>7200</v>
      </c>
    </row>
    <row r="1498" customFormat="false" ht="15" hidden="false" customHeight="false" outlineLevel="0" collapsed="false">
      <c r="A1498" s="6" t="s">
        <v>8580</v>
      </c>
      <c r="B1498" s="6" t="s">
        <v>201</v>
      </c>
      <c r="C1498" s="6" t="s">
        <v>8581</v>
      </c>
      <c r="D1498" s="6" t="s">
        <v>7958</v>
      </c>
      <c r="E1498" s="6" t="s">
        <v>8582</v>
      </c>
      <c r="F1498" s="6" t="s">
        <v>8583</v>
      </c>
      <c r="G1498" s="13" t="n">
        <v>104.7</v>
      </c>
      <c r="H1498" s="6" t="s">
        <v>3751</v>
      </c>
      <c r="I1498" s="6" t="s">
        <v>13</v>
      </c>
      <c r="J1498" s="6" t="s">
        <v>310</v>
      </c>
      <c r="K1498" s="6" t="s">
        <v>5411</v>
      </c>
      <c r="M1498" s="6"/>
    </row>
    <row r="1499" customFormat="false" ht="15" hidden="false" customHeight="false" outlineLevel="0" collapsed="false">
      <c r="A1499" s="6" t="s">
        <v>8584</v>
      </c>
      <c r="B1499" s="6" t="s">
        <v>5102</v>
      </c>
      <c r="C1499" s="6" t="s">
        <v>4975</v>
      </c>
      <c r="D1499" s="6" t="s">
        <v>7958</v>
      </c>
      <c r="E1499" s="6" t="s">
        <v>8585</v>
      </c>
      <c r="F1499" s="6" t="s">
        <v>8586</v>
      </c>
      <c r="G1499" s="9" t="n">
        <v>22258</v>
      </c>
      <c r="H1499" s="6" t="s">
        <v>384</v>
      </c>
      <c r="I1499" s="6" t="s">
        <v>13</v>
      </c>
      <c r="J1499" s="6" t="s">
        <v>218</v>
      </c>
      <c r="K1499" s="6" t="s">
        <v>6013</v>
      </c>
      <c r="M1499" s="6"/>
    </row>
    <row r="1500" customFormat="false" ht="15" hidden="false" customHeight="false" outlineLevel="0" collapsed="false">
      <c r="A1500" s="6" t="s">
        <v>8587</v>
      </c>
      <c r="B1500" s="6" t="s">
        <v>5097</v>
      </c>
      <c r="C1500" s="6" t="s">
        <v>4975</v>
      </c>
      <c r="D1500" s="6" t="s">
        <v>7958</v>
      </c>
      <c r="E1500" s="6" t="s">
        <v>8585</v>
      </c>
      <c r="F1500" s="6" t="s">
        <v>8586</v>
      </c>
      <c r="G1500" s="9" t="n">
        <v>-21152</v>
      </c>
      <c r="H1500" s="6" t="s">
        <v>384</v>
      </c>
      <c r="I1500" s="6" t="s">
        <v>13</v>
      </c>
      <c r="J1500" s="6" t="s">
        <v>218</v>
      </c>
      <c r="K1500" s="6" t="s">
        <v>6013</v>
      </c>
      <c r="M1500" s="6"/>
    </row>
    <row r="1501" customFormat="false" ht="15" hidden="false" customHeight="false" outlineLevel="0" collapsed="false">
      <c r="A1501" s="6" t="s">
        <v>8588</v>
      </c>
      <c r="B1501" s="6" t="s">
        <v>5097</v>
      </c>
      <c r="C1501" s="6" t="s">
        <v>4975</v>
      </c>
      <c r="D1501" s="6" t="s">
        <v>7958</v>
      </c>
      <c r="E1501" s="6" t="s">
        <v>8589</v>
      </c>
      <c r="F1501" s="6" t="s">
        <v>8590</v>
      </c>
      <c r="G1501" s="9" t="n">
        <v>-21152</v>
      </c>
      <c r="H1501" s="6" t="s">
        <v>384</v>
      </c>
      <c r="I1501" s="6" t="s">
        <v>13</v>
      </c>
      <c r="J1501" s="6" t="s">
        <v>228</v>
      </c>
      <c r="K1501" s="6" t="s">
        <v>6022</v>
      </c>
      <c r="M1501" s="6"/>
    </row>
    <row r="1502" customFormat="false" ht="15" hidden="false" customHeight="false" outlineLevel="0" collapsed="false">
      <c r="A1502" s="6" t="s">
        <v>8591</v>
      </c>
      <c r="B1502" s="6" t="s">
        <v>5074</v>
      </c>
      <c r="C1502" s="6" t="s">
        <v>4975</v>
      </c>
      <c r="D1502" s="6" t="s">
        <v>7958</v>
      </c>
      <c r="E1502" s="6" t="s">
        <v>8589</v>
      </c>
      <c r="F1502" s="6" t="s">
        <v>8590</v>
      </c>
      <c r="G1502" s="9" t="n">
        <v>4046</v>
      </c>
      <c r="H1502" s="6" t="s">
        <v>384</v>
      </c>
      <c r="I1502" s="6" t="s">
        <v>13</v>
      </c>
      <c r="J1502" s="6" t="s">
        <v>228</v>
      </c>
      <c r="K1502" s="6" t="s">
        <v>6022</v>
      </c>
      <c r="M1502" s="6"/>
    </row>
    <row r="1503" customFormat="false" ht="15" hidden="false" customHeight="false" outlineLevel="0" collapsed="false">
      <c r="A1503" s="6" t="s">
        <v>8592</v>
      </c>
      <c r="B1503" s="6" t="s">
        <v>5113</v>
      </c>
      <c r="C1503" s="6" t="s">
        <v>4975</v>
      </c>
      <c r="D1503" s="6" t="s">
        <v>7958</v>
      </c>
      <c r="E1503" s="6" t="s">
        <v>8589</v>
      </c>
      <c r="F1503" s="6" t="s">
        <v>8590</v>
      </c>
      <c r="G1503" s="9" t="n">
        <v>11873</v>
      </c>
      <c r="H1503" s="6" t="s">
        <v>384</v>
      </c>
      <c r="I1503" s="6" t="s">
        <v>13</v>
      </c>
      <c r="J1503" s="6" t="s">
        <v>228</v>
      </c>
      <c r="K1503" s="6" t="s">
        <v>6022</v>
      </c>
      <c r="M1503" s="6"/>
    </row>
    <row r="1504" customFormat="false" ht="15" hidden="false" customHeight="false" outlineLevel="0" collapsed="false">
      <c r="A1504" s="6" t="s">
        <v>8593</v>
      </c>
      <c r="B1504" s="6" t="s">
        <v>5102</v>
      </c>
      <c r="C1504" s="6" t="s">
        <v>4975</v>
      </c>
      <c r="D1504" s="6" t="s">
        <v>7958</v>
      </c>
      <c r="E1504" s="6" t="s">
        <v>8594</v>
      </c>
      <c r="F1504" s="6" t="s">
        <v>8595</v>
      </c>
      <c r="G1504" s="9" t="n">
        <v>22258</v>
      </c>
      <c r="H1504" s="6" t="s">
        <v>384</v>
      </c>
      <c r="I1504" s="6" t="s">
        <v>13</v>
      </c>
      <c r="J1504" s="6" t="s">
        <v>209</v>
      </c>
      <c r="K1504" s="6" t="s">
        <v>8103</v>
      </c>
      <c r="M1504" s="6" t="s">
        <v>8596</v>
      </c>
    </row>
    <row r="1505" customFormat="false" ht="15" hidden="false" customHeight="false" outlineLevel="0" collapsed="false">
      <c r="A1505" s="6" t="s">
        <v>8597</v>
      </c>
      <c r="B1505" s="6" t="s">
        <v>5102</v>
      </c>
      <c r="C1505" s="6" t="s">
        <v>4975</v>
      </c>
      <c r="D1505" s="6" t="s">
        <v>7958</v>
      </c>
      <c r="E1505" s="6" t="s">
        <v>8598</v>
      </c>
      <c r="F1505" s="6" t="s">
        <v>8599</v>
      </c>
      <c r="G1505" s="9" t="n">
        <v>-21000</v>
      </c>
      <c r="H1505" s="6" t="s">
        <v>384</v>
      </c>
      <c r="I1505" s="6" t="s">
        <v>13</v>
      </c>
      <c r="J1505" s="6" t="s">
        <v>209</v>
      </c>
      <c r="K1505" s="6" t="s">
        <v>8103</v>
      </c>
      <c r="M1505" s="6"/>
    </row>
    <row r="1506" customFormat="false" ht="15" hidden="false" customHeight="false" outlineLevel="0" collapsed="false">
      <c r="A1506" s="6" t="s">
        <v>8600</v>
      </c>
      <c r="B1506" s="6" t="s">
        <v>5468</v>
      </c>
      <c r="C1506" s="6" t="s">
        <v>5050</v>
      </c>
      <c r="D1506" s="6" t="s">
        <v>7958</v>
      </c>
      <c r="E1506" s="6" t="s">
        <v>8601</v>
      </c>
      <c r="F1506" s="6" t="s">
        <v>8602</v>
      </c>
      <c r="G1506" s="9" t="n">
        <v>2000</v>
      </c>
      <c r="H1506" s="6" t="s">
        <v>384</v>
      </c>
      <c r="I1506" s="6" t="s">
        <v>13</v>
      </c>
      <c r="J1506" s="6" t="s">
        <v>209</v>
      </c>
      <c r="K1506" s="6" t="s">
        <v>8103</v>
      </c>
      <c r="M1506" s="6"/>
    </row>
    <row r="1507" customFormat="false" ht="15" hidden="false" customHeight="false" outlineLevel="0" collapsed="false">
      <c r="A1507" s="6" t="s">
        <v>8603</v>
      </c>
      <c r="B1507" s="6" t="s">
        <v>5049</v>
      </c>
      <c r="C1507" s="6" t="s">
        <v>5050</v>
      </c>
      <c r="D1507" s="6" t="s">
        <v>7958</v>
      </c>
      <c r="E1507" s="6" t="s">
        <v>8604</v>
      </c>
      <c r="F1507" s="6" t="s">
        <v>8605</v>
      </c>
      <c r="G1507" s="9" t="n">
        <v>80000</v>
      </c>
      <c r="H1507" s="6" t="s">
        <v>384</v>
      </c>
      <c r="I1507" s="6" t="s">
        <v>13</v>
      </c>
      <c r="J1507" s="6" t="s">
        <v>209</v>
      </c>
      <c r="K1507" s="6" t="s">
        <v>8183</v>
      </c>
      <c r="M1507" s="6" t="s">
        <v>8606</v>
      </c>
    </row>
    <row r="1508" customFormat="false" ht="15" hidden="false" customHeight="false" outlineLevel="0" collapsed="false">
      <c r="A1508" s="6" t="s">
        <v>8607</v>
      </c>
      <c r="B1508" s="6" t="s">
        <v>5468</v>
      </c>
      <c r="C1508" s="6" t="s">
        <v>5050</v>
      </c>
      <c r="D1508" s="6" t="s">
        <v>7958</v>
      </c>
      <c r="E1508" s="6" t="s">
        <v>8608</v>
      </c>
      <c r="F1508" s="6" t="s">
        <v>8609</v>
      </c>
      <c r="G1508" s="9" t="n">
        <v>21016</v>
      </c>
      <c r="H1508" s="6" t="s">
        <v>384</v>
      </c>
      <c r="I1508" s="6" t="s">
        <v>13</v>
      </c>
      <c r="J1508" s="6" t="s">
        <v>209</v>
      </c>
      <c r="K1508" s="6" t="s">
        <v>6065</v>
      </c>
      <c r="M1508" s="6"/>
    </row>
    <row r="1509" customFormat="false" ht="15" hidden="false" customHeight="false" outlineLevel="0" collapsed="false">
      <c r="A1509" s="6" t="s">
        <v>8610</v>
      </c>
      <c r="B1509" s="6" t="s">
        <v>5049</v>
      </c>
      <c r="C1509" s="6" t="s">
        <v>5050</v>
      </c>
      <c r="D1509" s="6" t="s">
        <v>7958</v>
      </c>
      <c r="E1509" s="6" t="s">
        <v>8608</v>
      </c>
      <c r="F1509" s="6" t="s">
        <v>8609</v>
      </c>
      <c r="G1509" s="9" t="n">
        <v>0</v>
      </c>
      <c r="H1509" s="6" t="s">
        <v>384</v>
      </c>
      <c r="I1509" s="6" t="s">
        <v>13</v>
      </c>
      <c r="J1509" s="6" t="s">
        <v>209</v>
      </c>
      <c r="K1509" s="6" t="s">
        <v>6065</v>
      </c>
      <c r="M1509" s="6"/>
    </row>
    <row r="1510" customFormat="false" ht="15" hidden="false" customHeight="false" outlineLevel="0" collapsed="false">
      <c r="A1510" s="6" t="s">
        <v>8611</v>
      </c>
      <c r="B1510" s="6" t="s">
        <v>8612</v>
      </c>
      <c r="C1510" s="6" t="s">
        <v>5050</v>
      </c>
      <c r="D1510" s="6" t="s">
        <v>7958</v>
      </c>
      <c r="E1510" s="6" t="s">
        <v>8613</v>
      </c>
      <c r="F1510" s="6" t="s">
        <v>8614</v>
      </c>
      <c r="G1510" s="9" t="n">
        <v>80000</v>
      </c>
      <c r="H1510" s="6" t="s">
        <v>384</v>
      </c>
      <c r="I1510" s="6" t="s">
        <v>13</v>
      </c>
      <c r="J1510" s="6" t="s">
        <v>218</v>
      </c>
      <c r="K1510" s="6" t="s">
        <v>8268</v>
      </c>
      <c r="M1510" s="6" t="s">
        <v>8615</v>
      </c>
    </row>
    <row r="1511" customFormat="false" ht="15" hidden="false" customHeight="false" outlineLevel="0" collapsed="false">
      <c r="A1511" s="6" t="s">
        <v>8616</v>
      </c>
      <c r="B1511" s="6" t="s">
        <v>5102</v>
      </c>
      <c r="C1511" s="6" t="s">
        <v>4975</v>
      </c>
      <c r="D1511" s="6" t="s">
        <v>7958</v>
      </c>
      <c r="E1511" s="6" t="s">
        <v>8617</v>
      </c>
      <c r="F1511" s="6" t="s">
        <v>8618</v>
      </c>
      <c r="G1511" s="9" t="n">
        <v>-21000</v>
      </c>
      <c r="H1511" s="6" t="s">
        <v>384</v>
      </c>
      <c r="I1511" s="6" t="s">
        <v>13</v>
      </c>
      <c r="J1511" s="6" t="s">
        <v>223</v>
      </c>
      <c r="K1511" s="6" t="s">
        <v>6013</v>
      </c>
      <c r="M1511" s="6" t="s">
        <v>8619</v>
      </c>
    </row>
    <row r="1512" customFormat="false" ht="15" hidden="false" customHeight="false" outlineLevel="0" collapsed="false">
      <c r="A1512" s="6" t="s">
        <v>8620</v>
      </c>
      <c r="B1512" s="6" t="s">
        <v>5468</v>
      </c>
      <c r="C1512" s="6" t="s">
        <v>5050</v>
      </c>
      <c r="D1512" s="6" t="s">
        <v>7958</v>
      </c>
      <c r="E1512" s="6" t="s">
        <v>8621</v>
      </c>
      <c r="F1512" s="6" t="s">
        <v>8622</v>
      </c>
      <c r="G1512" s="9" t="n">
        <v>10000</v>
      </c>
      <c r="H1512" s="6" t="s">
        <v>384</v>
      </c>
      <c r="I1512" s="6" t="s">
        <v>13</v>
      </c>
      <c r="J1512" s="6" t="s">
        <v>209</v>
      </c>
      <c r="K1512" s="6" t="s">
        <v>6065</v>
      </c>
      <c r="M1512" s="6"/>
    </row>
    <row r="1513" customFormat="false" ht="15" hidden="false" customHeight="false" outlineLevel="0" collapsed="false">
      <c r="A1513" s="6" t="s">
        <v>8623</v>
      </c>
      <c r="B1513" s="6" t="s">
        <v>5049</v>
      </c>
      <c r="C1513" s="6" t="s">
        <v>5050</v>
      </c>
      <c r="D1513" s="6" t="s">
        <v>7958</v>
      </c>
      <c r="E1513" s="6" t="s">
        <v>8621</v>
      </c>
      <c r="F1513" s="6" t="s">
        <v>8622</v>
      </c>
      <c r="G1513" s="9" t="n">
        <v>0</v>
      </c>
      <c r="H1513" s="6" t="s">
        <v>384</v>
      </c>
      <c r="I1513" s="6" t="s">
        <v>13</v>
      </c>
      <c r="J1513" s="6" t="s">
        <v>209</v>
      </c>
      <c r="K1513" s="6" t="s">
        <v>6065</v>
      </c>
      <c r="M1513" s="6"/>
    </row>
    <row r="1514" customFormat="false" ht="15" hidden="false" customHeight="false" outlineLevel="0" collapsed="false">
      <c r="A1514" s="6" t="s">
        <v>8624</v>
      </c>
      <c r="B1514" s="6" t="s">
        <v>5062</v>
      </c>
      <c r="C1514" s="6" t="s">
        <v>5050</v>
      </c>
      <c r="D1514" s="6" t="s">
        <v>7958</v>
      </c>
      <c r="E1514" s="6" t="s">
        <v>8625</v>
      </c>
      <c r="F1514" s="6" t="s">
        <v>8626</v>
      </c>
      <c r="G1514" s="9" t="n">
        <v>6675</v>
      </c>
      <c r="H1514" s="6" t="s">
        <v>384</v>
      </c>
      <c r="I1514" s="6" t="s">
        <v>13</v>
      </c>
      <c r="J1514" s="6" t="s">
        <v>223</v>
      </c>
      <c r="K1514" s="6" t="s">
        <v>8187</v>
      </c>
      <c r="M1514" s="6"/>
    </row>
    <row r="1515" customFormat="false" ht="15" hidden="false" customHeight="false" outlineLevel="0" collapsed="false">
      <c r="A1515" s="6" t="s">
        <v>8627</v>
      </c>
      <c r="B1515" s="6" t="s">
        <v>5062</v>
      </c>
      <c r="C1515" s="6" t="s">
        <v>5050</v>
      </c>
      <c r="D1515" s="6" t="s">
        <v>7958</v>
      </c>
      <c r="E1515" s="6" t="s">
        <v>8628</v>
      </c>
      <c r="F1515" s="6" t="s">
        <v>8629</v>
      </c>
      <c r="G1515" s="9" t="n">
        <v>1116128</v>
      </c>
      <c r="H1515" s="6" t="s">
        <v>384</v>
      </c>
      <c r="I1515" s="6" t="s">
        <v>13</v>
      </c>
      <c r="J1515" s="6" t="s">
        <v>228</v>
      </c>
      <c r="K1515" s="6" t="s">
        <v>8036</v>
      </c>
      <c r="M1515" s="6"/>
    </row>
    <row r="1516" customFormat="false" ht="15" hidden="false" customHeight="false" outlineLevel="0" collapsed="false">
      <c r="A1516" s="6" t="s">
        <v>8630</v>
      </c>
      <c r="B1516" s="6" t="s">
        <v>5067</v>
      </c>
      <c r="C1516" s="6" t="s">
        <v>5050</v>
      </c>
      <c r="D1516" s="6" t="s">
        <v>7958</v>
      </c>
      <c r="E1516" s="6" t="s">
        <v>8628</v>
      </c>
      <c r="F1516" s="6" t="s">
        <v>8629</v>
      </c>
      <c r="G1516" s="9" t="n">
        <v>1411602</v>
      </c>
      <c r="H1516" s="6" t="s">
        <v>384</v>
      </c>
      <c r="I1516" s="6" t="s">
        <v>13</v>
      </c>
      <c r="J1516" s="6" t="s">
        <v>228</v>
      </c>
      <c r="K1516" s="6" t="s">
        <v>8036</v>
      </c>
      <c r="M1516" s="6"/>
    </row>
    <row r="1517" customFormat="false" ht="15" hidden="false" customHeight="false" outlineLevel="0" collapsed="false">
      <c r="A1517" s="6" t="s">
        <v>8631</v>
      </c>
      <c r="B1517" s="6" t="s">
        <v>5067</v>
      </c>
      <c r="C1517" s="6" t="s">
        <v>5050</v>
      </c>
      <c r="D1517" s="6" t="s">
        <v>7958</v>
      </c>
      <c r="E1517" s="6" t="s">
        <v>8628</v>
      </c>
      <c r="F1517" s="6" t="s">
        <v>8632</v>
      </c>
      <c r="G1517" s="9" t="n">
        <v>1411602</v>
      </c>
      <c r="H1517" s="6" t="s">
        <v>384</v>
      </c>
      <c r="I1517" s="6" t="s">
        <v>13</v>
      </c>
      <c r="J1517" s="6" t="s">
        <v>253</v>
      </c>
      <c r="K1517" s="6" t="s">
        <v>8023</v>
      </c>
      <c r="M1517" s="6"/>
    </row>
    <row r="1518" customFormat="false" ht="15" hidden="false" customHeight="false" outlineLevel="0" collapsed="false">
      <c r="A1518" s="6" t="s">
        <v>8633</v>
      </c>
      <c r="B1518" s="6" t="s">
        <v>5245</v>
      </c>
      <c r="C1518" s="6" t="s">
        <v>5050</v>
      </c>
      <c r="D1518" s="6" t="s">
        <v>7958</v>
      </c>
      <c r="E1518" s="6" t="s">
        <v>8628</v>
      </c>
      <c r="F1518" s="6" t="s">
        <v>8632</v>
      </c>
      <c r="G1518" s="9" t="n">
        <v>1590515</v>
      </c>
      <c r="H1518" s="6" t="s">
        <v>384</v>
      </c>
      <c r="I1518" s="6" t="s">
        <v>13</v>
      </c>
      <c r="J1518" s="6" t="s">
        <v>253</v>
      </c>
      <c r="K1518" s="6" t="s">
        <v>8023</v>
      </c>
      <c r="M1518" s="6"/>
    </row>
    <row r="1519" customFormat="false" ht="15" hidden="false" customHeight="false" outlineLevel="0" collapsed="false">
      <c r="A1519" s="6" t="s">
        <v>8634</v>
      </c>
      <c r="B1519" s="6" t="s">
        <v>5072</v>
      </c>
      <c r="C1519" s="6" t="s">
        <v>5050</v>
      </c>
      <c r="D1519" s="6" t="s">
        <v>7958</v>
      </c>
      <c r="E1519" s="6" t="s">
        <v>8628</v>
      </c>
      <c r="F1519" s="6" t="s">
        <v>8635</v>
      </c>
      <c r="G1519" s="9" t="n">
        <v>1503149</v>
      </c>
      <c r="H1519" s="6" t="s">
        <v>384</v>
      </c>
      <c r="I1519" s="6" t="s">
        <v>13</v>
      </c>
      <c r="J1519" s="6" t="s">
        <v>261</v>
      </c>
      <c r="K1519" s="6" t="s">
        <v>8027</v>
      </c>
      <c r="M1519" s="6"/>
    </row>
    <row r="1520" customFormat="false" ht="15" hidden="false" customHeight="false" outlineLevel="0" collapsed="false">
      <c r="A1520" s="6" t="s">
        <v>8636</v>
      </c>
      <c r="B1520" s="6" t="s">
        <v>5249</v>
      </c>
      <c r="C1520" s="6" t="s">
        <v>5050</v>
      </c>
      <c r="D1520" s="6" t="s">
        <v>7958</v>
      </c>
      <c r="E1520" s="6" t="s">
        <v>8628</v>
      </c>
      <c r="F1520" s="6" t="s">
        <v>8635</v>
      </c>
      <c r="G1520" s="9" t="n">
        <v>853402</v>
      </c>
      <c r="H1520" s="6" t="s">
        <v>384</v>
      </c>
      <c r="I1520" s="6" t="s">
        <v>13</v>
      </c>
      <c r="J1520" s="6" t="s">
        <v>261</v>
      </c>
      <c r="K1520" s="6" t="s">
        <v>8027</v>
      </c>
      <c r="M1520" s="6"/>
    </row>
    <row r="1521" customFormat="false" ht="15" hidden="false" customHeight="false" outlineLevel="0" collapsed="false">
      <c r="A1521" s="6" t="s">
        <v>8637</v>
      </c>
      <c r="B1521" s="6" t="s">
        <v>5062</v>
      </c>
      <c r="C1521" s="6" t="s">
        <v>5050</v>
      </c>
      <c r="D1521" s="6" t="s">
        <v>7958</v>
      </c>
      <c r="E1521" s="6" t="s">
        <v>8638</v>
      </c>
      <c r="F1521" s="6" t="s">
        <v>8639</v>
      </c>
      <c r="G1521" s="9" t="n">
        <v>1116128</v>
      </c>
      <c r="H1521" s="6" t="s">
        <v>384</v>
      </c>
      <c r="I1521" s="6" t="s">
        <v>13</v>
      </c>
      <c r="J1521" s="6" t="s">
        <v>228</v>
      </c>
      <c r="K1521" s="6" t="s">
        <v>8036</v>
      </c>
      <c r="M1521" s="6"/>
    </row>
    <row r="1522" customFormat="false" ht="15" hidden="false" customHeight="false" outlineLevel="0" collapsed="false">
      <c r="A1522" s="6" t="s">
        <v>8640</v>
      </c>
      <c r="B1522" s="6" t="s">
        <v>5067</v>
      </c>
      <c r="C1522" s="6" t="s">
        <v>5050</v>
      </c>
      <c r="D1522" s="6" t="s">
        <v>7958</v>
      </c>
      <c r="E1522" s="6" t="s">
        <v>8638</v>
      </c>
      <c r="F1522" s="6" t="s">
        <v>8639</v>
      </c>
      <c r="G1522" s="9" t="n">
        <v>1461606</v>
      </c>
      <c r="H1522" s="6" t="s">
        <v>384</v>
      </c>
      <c r="I1522" s="6" t="s">
        <v>13</v>
      </c>
      <c r="J1522" s="6" t="s">
        <v>228</v>
      </c>
      <c r="K1522" s="6" t="s">
        <v>8036</v>
      </c>
      <c r="M1522" s="6"/>
    </row>
    <row r="1523" customFormat="false" ht="15" hidden="false" customHeight="false" outlineLevel="0" collapsed="false">
      <c r="A1523" s="6" t="s">
        <v>8641</v>
      </c>
      <c r="B1523" s="6" t="s">
        <v>5067</v>
      </c>
      <c r="C1523" s="6" t="s">
        <v>5050</v>
      </c>
      <c r="D1523" s="6" t="s">
        <v>7958</v>
      </c>
      <c r="E1523" s="6" t="s">
        <v>8638</v>
      </c>
      <c r="F1523" s="6" t="s">
        <v>8642</v>
      </c>
      <c r="G1523" s="9" t="n">
        <v>1461606</v>
      </c>
      <c r="H1523" s="6" t="s">
        <v>384</v>
      </c>
      <c r="I1523" s="6" t="s">
        <v>13</v>
      </c>
      <c r="J1523" s="6" t="s">
        <v>253</v>
      </c>
      <c r="K1523" s="6" t="s">
        <v>8023</v>
      </c>
      <c r="M1523" s="6" t="s">
        <v>5055</v>
      </c>
    </row>
    <row r="1524" customFormat="false" ht="15" hidden="false" customHeight="false" outlineLevel="0" collapsed="false">
      <c r="A1524" s="6" t="s">
        <v>8643</v>
      </c>
      <c r="B1524" s="6" t="s">
        <v>5245</v>
      </c>
      <c r="C1524" s="6" t="s">
        <v>5050</v>
      </c>
      <c r="D1524" s="6" t="s">
        <v>7958</v>
      </c>
      <c r="E1524" s="6" t="s">
        <v>8638</v>
      </c>
      <c r="F1524" s="6" t="s">
        <v>8642</v>
      </c>
      <c r="G1524" s="9" t="n">
        <v>1650617</v>
      </c>
      <c r="H1524" s="6" t="s">
        <v>384</v>
      </c>
      <c r="I1524" s="6" t="s">
        <v>13</v>
      </c>
      <c r="J1524" s="6" t="s">
        <v>253</v>
      </c>
      <c r="K1524" s="6" t="s">
        <v>8023</v>
      </c>
      <c r="M1524" s="6" t="s">
        <v>5055</v>
      </c>
    </row>
    <row r="1525" customFormat="false" ht="15" hidden="false" customHeight="false" outlineLevel="0" collapsed="false">
      <c r="A1525" s="6" t="s">
        <v>8644</v>
      </c>
      <c r="B1525" s="6" t="s">
        <v>5072</v>
      </c>
      <c r="C1525" s="6" t="s">
        <v>5050</v>
      </c>
      <c r="D1525" s="6" t="s">
        <v>7958</v>
      </c>
      <c r="E1525" s="6" t="s">
        <v>8638</v>
      </c>
      <c r="F1525" s="6" t="s">
        <v>8645</v>
      </c>
      <c r="G1525" s="9" t="n">
        <v>1665457</v>
      </c>
      <c r="H1525" s="6" t="s">
        <v>384</v>
      </c>
      <c r="I1525" s="6" t="s">
        <v>13</v>
      </c>
      <c r="J1525" s="6" t="s">
        <v>261</v>
      </c>
      <c r="K1525" s="6" t="s">
        <v>8027</v>
      </c>
      <c r="M1525" s="6" t="s">
        <v>5055</v>
      </c>
    </row>
    <row r="1526" customFormat="false" ht="15" hidden="false" customHeight="false" outlineLevel="0" collapsed="false">
      <c r="A1526" s="6" t="s">
        <v>8646</v>
      </c>
      <c r="B1526" s="6" t="s">
        <v>5249</v>
      </c>
      <c r="C1526" s="6" t="s">
        <v>5050</v>
      </c>
      <c r="D1526" s="6" t="s">
        <v>7958</v>
      </c>
      <c r="E1526" s="6" t="s">
        <v>8638</v>
      </c>
      <c r="F1526" s="6" t="s">
        <v>8645</v>
      </c>
      <c r="G1526" s="9" t="n">
        <v>1072755</v>
      </c>
      <c r="H1526" s="6" t="s">
        <v>384</v>
      </c>
      <c r="I1526" s="6" t="s">
        <v>13</v>
      </c>
      <c r="J1526" s="6" t="s">
        <v>261</v>
      </c>
      <c r="K1526" s="6" t="s">
        <v>8027</v>
      </c>
      <c r="M1526" s="6" t="s">
        <v>5055</v>
      </c>
    </row>
    <row r="1527" customFormat="false" ht="15" hidden="false" customHeight="false" outlineLevel="0" collapsed="false">
      <c r="A1527" s="6" t="s">
        <v>8647</v>
      </c>
      <c r="B1527" s="6" t="s">
        <v>5067</v>
      </c>
      <c r="C1527" s="6" t="s">
        <v>5050</v>
      </c>
      <c r="D1527" s="6" t="s">
        <v>7958</v>
      </c>
      <c r="E1527" s="6" t="s">
        <v>8648</v>
      </c>
      <c r="F1527" s="6" t="s">
        <v>8649</v>
      </c>
      <c r="G1527" s="9" t="n">
        <v>1461606</v>
      </c>
      <c r="H1527" s="6" t="s">
        <v>384</v>
      </c>
      <c r="I1527" s="6" t="s">
        <v>13</v>
      </c>
      <c r="J1527" s="6" t="s">
        <v>233</v>
      </c>
      <c r="K1527" s="6" t="s">
        <v>8040</v>
      </c>
      <c r="M1527" s="6"/>
    </row>
    <row r="1528" customFormat="false" ht="15" hidden="false" customHeight="false" outlineLevel="0" collapsed="false">
      <c r="A1528" s="6" t="s">
        <v>8650</v>
      </c>
      <c r="B1528" s="6" t="s">
        <v>5072</v>
      </c>
      <c r="C1528" s="6" t="s">
        <v>5050</v>
      </c>
      <c r="D1528" s="6" t="s">
        <v>7958</v>
      </c>
      <c r="E1528" s="6" t="s">
        <v>8648</v>
      </c>
      <c r="F1528" s="6" t="s">
        <v>8649</v>
      </c>
      <c r="G1528" s="9" t="n">
        <v>1665457</v>
      </c>
      <c r="H1528" s="6" t="s">
        <v>384</v>
      </c>
      <c r="I1528" s="6" t="s">
        <v>13</v>
      </c>
      <c r="J1528" s="6" t="s">
        <v>233</v>
      </c>
      <c r="K1528" s="6" t="s">
        <v>8040</v>
      </c>
      <c r="M1528" s="6"/>
    </row>
    <row r="1529" customFormat="false" ht="15" hidden="false" customHeight="false" outlineLevel="0" collapsed="false">
      <c r="A1529" s="6" t="s">
        <v>8651</v>
      </c>
      <c r="B1529" s="6" t="s">
        <v>5249</v>
      </c>
      <c r="C1529" s="6" t="s">
        <v>5050</v>
      </c>
      <c r="D1529" s="6" t="s">
        <v>7958</v>
      </c>
      <c r="E1529" s="6" t="s">
        <v>8652</v>
      </c>
      <c r="F1529" s="6" t="s">
        <v>8653</v>
      </c>
      <c r="G1529" s="9" t="n">
        <v>9895</v>
      </c>
      <c r="H1529" s="6" t="s">
        <v>384</v>
      </c>
      <c r="I1529" s="6" t="s">
        <v>13</v>
      </c>
      <c r="J1529" s="6" t="s">
        <v>261</v>
      </c>
      <c r="K1529" s="6" t="s">
        <v>8027</v>
      </c>
      <c r="M1529" s="6"/>
    </row>
    <row r="1530" customFormat="false" ht="15" hidden="false" customHeight="false" outlineLevel="0" collapsed="false">
      <c r="A1530" s="6" t="s">
        <v>8654</v>
      </c>
      <c r="B1530" s="6" t="s">
        <v>5057</v>
      </c>
      <c r="C1530" s="6" t="s">
        <v>5050</v>
      </c>
      <c r="D1530" s="6" t="s">
        <v>7958</v>
      </c>
      <c r="E1530" s="6" t="s">
        <v>8655</v>
      </c>
      <c r="F1530" s="6" t="s">
        <v>8656</v>
      </c>
      <c r="G1530" s="9" t="n">
        <v>80000</v>
      </c>
      <c r="H1530" s="6" t="s">
        <v>384</v>
      </c>
      <c r="I1530" s="6" t="s">
        <v>13</v>
      </c>
      <c r="J1530" s="6" t="s">
        <v>218</v>
      </c>
      <c r="K1530" s="6" t="s">
        <v>8268</v>
      </c>
      <c r="M1530" s="6" t="s">
        <v>8657</v>
      </c>
    </row>
    <row r="1531" customFormat="false" ht="15" hidden="false" customHeight="false" outlineLevel="0" collapsed="false">
      <c r="A1531" s="6" t="s">
        <v>8658</v>
      </c>
      <c r="B1531" s="6" t="s">
        <v>5468</v>
      </c>
      <c r="C1531" s="6" t="s">
        <v>5050</v>
      </c>
      <c r="D1531" s="6" t="s">
        <v>7958</v>
      </c>
      <c r="E1531" s="6" t="s">
        <v>8659</v>
      </c>
      <c r="F1531" s="6" t="s">
        <v>8660</v>
      </c>
      <c r="G1531" s="9" t="n">
        <v>59000</v>
      </c>
      <c r="H1531" s="6" t="s">
        <v>384</v>
      </c>
      <c r="I1531" s="6" t="s">
        <v>13</v>
      </c>
      <c r="J1531" s="6" t="s">
        <v>209</v>
      </c>
      <c r="K1531" s="6" t="s">
        <v>8183</v>
      </c>
      <c r="M1531" s="6"/>
    </row>
    <row r="1532" customFormat="false" ht="15" hidden="false" customHeight="false" outlineLevel="0" collapsed="false">
      <c r="A1532" s="6" t="s">
        <v>8661</v>
      </c>
      <c r="B1532" s="6" t="s">
        <v>5049</v>
      </c>
      <c r="C1532" s="6" t="s">
        <v>5050</v>
      </c>
      <c r="D1532" s="6" t="s">
        <v>7958</v>
      </c>
      <c r="E1532" s="6" t="s">
        <v>8659</v>
      </c>
      <c r="F1532" s="6" t="s">
        <v>8662</v>
      </c>
      <c r="G1532" s="9" t="n">
        <v>80000</v>
      </c>
      <c r="H1532" s="6" t="s">
        <v>384</v>
      </c>
      <c r="I1532" s="6" t="s">
        <v>13</v>
      </c>
      <c r="J1532" s="6" t="s">
        <v>209</v>
      </c>
      <c r="K1532" s="6" t="s">
        <v>8183</v>
      </c>
      <c r="M1532" s="6"/>
    </row>
    <row r="1533" customFormat="false" ht="15" hidden="false" customHeight="false" outlineLevel="0" collapsed="false">
      <c r="A1533" s="6" t="s">
        <v>8663</v>
      </c>
      <c r="B1533" s="6" t="s">
        <v>5067</v>
      </c>
      <c r="C1533" s="6" t="s">
        <v>5050</v>
      </c>
      <c r="D1533" s="6" t="s">
        <v>8664</v>
      </c>
      <c r="E1533" s="6" t="s">
        <v>7534</v>
      </c>
      <c r="F1533" s="6" t="s">
        <v>8665</v>
      </c>
      <c r="G1533" s="9" t="n">
        <v>72613</v>
      </c>
      <c r="H1533" s="6" t="s">
        <v>384</v>
      </c>
      <c r="I1533" s="6" t="s">
        <v>13</v>
      </c>
      <c r="J1533" s="6" t="s">
        <v>233</v>
      </c>
      <c r="K1533" s="6" t="s">
        <v>8666</v>
      </c>
      <c r="M1533" s="6"/>
    </row>
    <row r="1534" customFormat="false" ht="15" hidden="false" customHeight="false" outlineLevel="0" collapsed="false">
      <c r="A1534" s="6" t="s">
        <v>8667</v>
      </c>
      <c r="B1534" s="6" t="s">
        <v>5072</v>
      </c>
      <c r="C1534" s="6" t="s">
        <v>5050</v>
      </c>
      <c r="D1534" s="6" t="s">
        <v>8664</v>
      </c>
      <c r="E1534" s="6" t="s">
        <v>7534</v>
      </c>
      <c r="F1534" s="6" t="s">
        <v>8665</v>
      </c>
      <c r="G1534" s="9" t="n">
        <v>89123</v>
      </c>
      <c r="H1534" s="6" t="s">
        <v>384</v>
      </c>
      <c r="I1534" s="6" t="s">
        <v>13</v>
      </c>
      <c r="J1534" s="6" t="s">
        <v>233</v>
      </c>
      <c r="K1534" s="6" t="s">
        <v>8666</v>
      </c>
      <c r="M1534" s="6"/>
    </row>
    <row r="1535" customFormat="false" ht="15" hidden="false" customHeight="false" outlineLevel="0" collapsed="false">
      <c r="A1535" s="6" t="s">
        <v>8668</v>
      </c>
      <c r="B1535" s="6" t="s">
        <v>5067</v>
      </c>
      <c r="C1535" s="6" t="s">
        <v>5050</v>
      </c>
      <c r="D1535" s="6" t="s">
        <v>8664</v>
      </c>
      <c r="E1535" s="6" t="s">
        <v>7539</v>
      </c>
      <c r="F1535" s="6" t="s">
        <v>8665</v>
      </c>
      <c r="G1535" s="9" t="n">
        <v>2739</v>
      </c>
      <c r="H1535" s="6" t="s">
        <v>384</v>
      </c>
      <c r="I1535" s="6" t="s">
        <v>13</v>
      </c>
      <c r="J1535" s="6" t="s">
        <v>233</v>
      </c>
      <c r="K1535" s="6" t="s">
        <v>8666</v>
      </c>
      <c r="M1535" s="6"/>
    </row>
    <row r="1536" customFormat="false" ht="15" hidden="false" customHeight="false" outlineLevel="0" collapsed="false">
      <c r="A1536" s="6" t="s">
        <v>8669</v>
      </c>
      <c r="B1536" s="6" t="s">
        <v>5072</v>
      </c>
      <c r="C1536" s="6" t="s">
        <v>5050</v>
      </c>
      <c r="D1536" s="6" t="s">
        <v>8664</v>
      </c>
      <c r="E1536" s="6" t="s">
        <v>7539</v>
      </c>
      <c r="F1536" s="6" t="s">
        <v>8665</v>
      </c>
      <c r="G1536" s="9" t="n">
        <v>4748</v>
      </c>
      <c r="H1536" s="6" t="s">
        <v>384</v>
      </c>
      <c r="I1536" s="6" t="s">
        <v>13</v>
      </c>
      <c r="J1536" s="6" t="s">
        <v>233</v>
      </c>
      <c r="K1536" s="6" t="s">
        <v>8666</v>
      </c>
      <c r="M1536" s="6"/>
    </row>
    <row r="1537" customFormat="false" ht="15" hidden="false" customHeight="false" outlineLevel="0" collapsed="false">
      <c r="A1537" s="6" t="s">
        <v>8670</v>
      </c>
      <c r="B1537" s="6" t="s">
        <v>5067</v>
      </c>
      <c r="C1537" s="6" t="s">
        <v>5050</v>
      </c>
      <c r="D1537" s="6" t="s">
        <v>8664</v>
      </c>
      <c r="E1537" s="6" t="s">
        <v>7543</v>
      </c>
      <c r="F1537" s="6" t="s">
        <v>8665</v>
      </c>
      <c r="G1537" s="9" t="n">
        <v>136279</v>
      </c>
      <c r="H1537" s="6" t="s">
        <v>384</v>
      </c>
      <c r="I1537" s="6" t="s">
        <v>13</v>
      </c>
      <c r="J1537" s="6" t="s">
        <v>233</v>
      </c>
      <c r="K1537" s="6" t="s">
        <v>8666</v>
      </c>
      <c r="M1537" s="6"/>
    </row>
    <row r="1538" customFormat="false" ht="15" hidden="false" customHeight="false" outlineLevel="0" collapsed="false">
      <c r="A1538" s="6" t="s">
        <v>8671</v>
      </c>
      <c r="B1538" s="6" t="s">
        <v>5072</v>
      </c>
      <c r="C1538" s="6" t="s">
        <v>5050</v>
      </c>
      <c r="D1538" s="6" t="s">
        <v>8664</v>
      </c>
      <c r="E1538" s="6" t="s">
        <v>7543</v>
      </c>
      <c r="F1538" s="6" t="s">
        <v>8665</v>
      </c>
      <c r="G1538" s="9" t="n">
        <v>203037</v>
      </c>
      <c r="H1538" s="6" t="s">
        <v>384</v>
      </c>
      <c r="I1538" s="6" t="s">
        <v>13</v>
      </c>
      <c r="J1538" s="6" t="s">
        <v>233</v>
      </c>
      <c r="K1538" s="6" t="s">
        <v>8666</v>
      </c>
      <c r="M1538" s="6"/>
    </row>
    <row r="1539" customFormat="false" ht="15" hidden="false" customHeight="false" outlineLevel="0" collapsed="false">
      <c r="A1539" s="6" t="s">
        <v>8672</v>
      </c>
      <c r="B1539" s="6" t="s">
        <v>5067</v>
      </c>
      <c r="C1539" s="6" t="s">
        <v>5050</v>
      </c>
      <c r="D1539" s="6" t="s">
        <v>8664</v>
      </c>
      <c r="E1539" s="6" t="s">
        <v>7547</v>
      </c>
      <c r="F1539" s="6" t="s">
        <v>8665</v>
      </c>
      <c r="G1539" s="9" t="n">
        <v>43031</v>
      </c>
      <c r="H1539" s="6" t="s">
        <v>384</v>
      </c>
      <c r="I1539" s="6" t="s">
        <v>13</v>
      </c>
      <c r="J1539" s="6" t="s">
        <v>233</v>
      </c>
      <c r="K1539" s="6" t="s">
        <v>8666</v>
      </c>
      <c r="M1539" s="6"/>
    </row>
    <row r="1540" customFormat="false" ht="15" hidden="false" customHeight="false" outlineLevel="0" collapsed="false">
      <c r="A1540" s="6" t="s">
        <v>8673</v>
      </c>
      <c r="B1540" s="6" t="s">
        <v>5072</v>
      </c>
      <c r="C1540" s="6" t="s">
        <v>5050</v>
      </c>
      <c r="D1540" s="6" t="s">
        <v>8664</v>
      </c>
      <c r="E1540" s="6" t="s">
        <v>7547</v>
      </c>
      <c r="F1540" s="6" t="s">
        <v>8665</v>
      </c>
      <c r="G1540" s="9" t="n">
        <v>49548</v>
      </c>
      <c r="H1540" s="6" t="s">
        <v>384</v>
      </c>
      <c r="I1540" s="6" t="s">
        <v>13</v>
      </c>
      <c r="J1540" s="6" t="s">
        <v>233</v>
      </c>
      <c r="K1540" s="6" t="s">
        <v>8666</v>
      </c>
      <c r="M1540" s="6"/>
    </row>
    <row r="1541" customFormat="false" ht="15" hidden="false" customHeight="false" outlineLevel="0" collapsed="false">
      <c r="A1541" s="6" t="s">
        <v>8674</v>
      </c>
      <c r="B1541" s="6" t="s">
        <v>5067</v>
      </c>
      <c r="C1541" s="6" t="s">
        <v>5050</v>
      </c>
      <c r="D1541" s="6" t="s">
        <v>8664</v>
      </c>
      <c r="E1541" s="6" t="s">
        <v>7552</v>
      </c>
      <c r="F1541" s="6" t="s">
        <v>8665</v>
      </c>
      <c r="G1541" s="9" t="n">
        <v>17896</v>
      </c>
      <c r="H1541" s="6" t="s">
        <v>384</v>
      </c>
      <c r="I1541" s="6" t="s">
        <v>13</v>
      </c>
      <c r="J1541" s="6" t="s">
        <v>233</v>
      </c>
      <c r="K1541" s="6" t="s">
        <v>8666</v>
      </c>
      <c r="M1541" s="6"/>
    </row>
    <row r="1542" customFormat="false" ht="15" hidden="false" customHeight="false" outlineLevel="0" collapsed="false">
      <c r="A1542" s="6" t="s">
        <v>8675</v>
      </c>
      <c r="B1542" s="6" t="s">
        <v>5072</v>
      </c>
      <c r="C1542" s="6" t="s">
        <v>5050</v>
      </c>
      <c r="D1542" s="6" t="s">
        <v>8664</v>
      </c>
      <c r="E1542" s="6" t="s">
        <v>7552</v>
      </c>
      <c r="F1542" s="6" t="s">
        <v>8665</v>
      </c>
      <c r="G1542" s="9" t="n">
        <v>59618</v>
      </c>
      <c r="H1542" s="6" t="s">
        <v>384</v>
      </c>
      <c r="I1542" s="6" t="s">
        <v>13</v>
      </c>
      <c r="J1542" s="6" t="s">
        <v>233</v>
      </c>
      <c r="K1542" s="6" t="s">
        <v>8666</v>
      </c>
      <c r="M1542" s="6"/>
    </row>
    <row r="1543" customFormat="false" ht="15" hidden="false" customHeight="false" outlineLevel="0" collapsed="false">
      <c r="A1543" s="6" t="s">
        <v>8676</v>
      </c>
      <c r="B1543" s="6" t="s">
        <v>5468</v>
      </c>
      <c r="C1543" s="6" t="s">
        <v>5050</v>
      </c>
      <c r="D1543" s="6" t="s">
        <v>8664</v>
      </c>
      <c r="E1543" s="6" t="s">
        <v>8677</v>
      </c>
      <c r="F1543" s="6" t="s">
        <v>8678</v>
      </c>
      <c r="G1543" s="9" t="n">
        <v>6361</v>
      </c>
      <c r="H1543" s="6" t="s">
        <v>384</v>
      </c>
      <c r="I1543" s="6" t="s">
        <v>13</v>
      </c>
      <c r="J1543" s="6" t="s">
        <v>209</v>
      </c>
      <c r="K1543" s="6" t="s">
        <v>8679</v>
      </c>
      <c r="M1543" s="6"/>
    </row>
    <row r="1544" customFormat="false" ht="15" hidden="false" customHeight="false" outlineLevel="0" collapsed="false">
      <c r="A1544" s="6" t="s">
        <v>8680</v>
      </c>
      <c r="B1544" s="6" t="s">
        <v>5049</v>
      </c>
      <c r="C1544" s="6" t="s">
        <v>5050</v>
      </c>
      <c r="D1544" s="6" t="s">
        <v>8664</v>
      </c>
      <c r="E1544" s="6" t="s">
        <v>8677</v>
      </c>
      <c r="F1544" s="6" t="s">
        <v>8678</v>
      </c>
      <c r="G1544" s="9" t="n">
        <v>18583</v>
      </c>
      <c r="H1544" s="6" t="s">
        <v>384</v>
      </c>
      <c r="I1544" s="6" t="s">
        <v>13</v>
      </c>
      <c r="J1544" s="6" t="s">
        <v>209</v>
      </c>
      <c r="K1544" s="6" t="s">
        <v>8679</v>
      </c>
      <c r="M1544" s="6"/>
    </row>
    <row r="1545" customFormat="false" ht="15" hidden="false" customHeight="false" outlineLevel="0" collapsed="false">
      <c r="A1545" s="6" t="s">
        <v>8681</v>
      </c>
      <c r="B1545" s="6" t="s">
        <v>5049</v>
      </c>
      <c r="C1545" s="6" t="s">
        <v>5050</v>
      </c>
      <c r="D1545" s="6" t="s">
        <v>8664</v>
      </c>
      <c r="E1545" s="6" t="s">
        <v>8677</v>
      </c>
      <c r="F1545" s="6" t="s">
        <v>8682</v>
      </c>
      <c r="G1545" s="9" t="n">
        <v>18583</v>
      </c>
      <c r="H1545" s="6" t="s">
        <v>384</v>
      </c>
      <c r="I1545" s="6" t="s">
        <v>13</v>
      </c>
      <c r="J1545" s="6" t="s">
        <v>218</v>
      </c>
      <c r="K1545" s="6" t="s">
        <v>8683</v>
      </c>
      <c r="M1545" s="6"/>
    </row>
    <row r="1546" customFormat="false" ht="15" hidden="false" customHeight="false" outlineLevel="0" collapsed="false">
      <c r="A1546" s="6" t="s">
        <v>8684</v>
      </c>
      <c r="B1546" s="6" t="s">
        <v>5057</v>
      </c>
      <c r="C1546" s="6" t="s">
        <v>5050</v>
      </c>
      <c r="D1546" s="6" t="s">
        <v>8664</v>
      </c>
      <c r="E1546" s="6" t="s">
        <v>8677</v>
      </c>
      <c r="F1546" s="6" t="s">
        <v>8682</v>
      </c>
      <c r="G1546" s="9" t="n">
        <v>30260</v>
      </c>
      <c r="H1546" s="6" t="s">
        <v>384</v>
      </c>
      <c r="I1546" s="6" t="s">
        <v>13</v>
      </c>
      <c r="J1546" s="6" t="s">
        <v>218</v>
      </c>
      <c r="K1546" s="6" t="s">
        <v>8683</v>
      </c>
      <c r="M1546" s="6"/>
    </row>
    <row r="1547" customFormat="false" ht="15" hidden="false" customHeight="false" outlineLevel="0" collapsed="false">
      <c r="A1547" s="6" t="s">
        <v>8685</v>
      </c>
      <c r="B1547" s="6" t="s">
        <v>5057</v>
      </c>
      <c r="C1547" s="6" t="s">
        <v>5050</v>
      </c>
      <c r="D1547" s="6" t="s">
        <v>8664</v>
      </c>
      <c r="E1547" s="6" t="s">
        <v>8677</v>
      </c>
      <c r="F1547" s="6" t="s">
        <v>8686</v>
      </c>
      <c r="G1547" s="9" t="n">
        <v>30260</v>
      </c>
      <c r="H1547" s="6" t="s">
        <v>384</v>
      </c>
      <c r="I1547" s="6" t="s">
        <v>13</v>
      </c>
      <c r="J1547" s="6" t="s">
        <v>223</v>
      </c>
      <c r="K1547" s="6" t="s">
        <v>8687</v>
      </c>
      <c r="M1547" s="6"/>
    </row>
    <row r="1548" customFormat="false" ht="15" hidden="false" customHeight="false" outlineLevel="0" collapsed="false">
      <c r="A1548" s="6" t="s">
        <v>8688</v>
      </c>
      <c r="B1548" s="6" t="s">
        <v>5062</v>
      </c>
      <c r="C1548" s="6" t="s">
        <v>5050</v>
      </c>
      <c r="D1548" s="6" t="s">
        <v>8664</v>
      </c>
      <c r="E1548" s="6" t="s">
        <v>8677</v>
      </c>
      <c r="F1548" s="6" t="s">
        <v>8686</v>
      </c>
      <c r="G1548" s="9" t="n">
        <v>31987</v>
      </c>
      <c r="H1548" s="6" t="s">
        <v>384</v>
      </c>
      <c r="I1548" s="6" t="s">
        <v>13</v>
      </c>
      <c r="J1548" s="6" t="s">
        <v>223</v>
      </c>
      <c r="K1548" s="6" t="s">
        <v>8687</v>
      </c>
      <c r="M1548" s="6"/>
    </row>
    <row r="1549" customFormat="false" ht="15" hidden="false" customHeight="false" outlineLevel="0" collapsed="false">
      <c r="A1549" s="6" t="s">
        <v>8689</v>
      </c>
      <c r="B1549" s="6" t="s">
        <v>5468</v>
      </c>
      <c r="C1549" s="6" t="s">
        <v>5050</v>
      </c>
      <c r="D1549" s="6" t="s">
        <v>8664</v>
      </c>
      <c r="E1549" s="6" t="s">
        <v>8690</v>
      </c>
      <c r="F1549" s="6" t="s">
        <v>8691</v>
      </c>
      <c r="G1549" s="9" t="n">
        <v>61</v>
      </c>
      <c r="H1549" s="6" t="s">
        <v>384</v>
      </c>
      <c r="I1549" s="6" t="s">
        <v>13</v>
      </c>
      <c r="J1549" s="6" t="s">
        <v>209</v>
      </c>
      <c r="K1549" s="6" t="s">
        <v>8679</v>
      </c>
      <c r="M1549" s="6"/>
    </row>
    <row r="1550" customFormat="false" ht="15" hidden="false" customHeight="false" outlineLevel="0" collapsed="false">
      <c r="A1550" s="6" t="s">
        <v>8692</v>
      </c>
      <c r="B1550" s="6" t="s">
        <v>5049</v>
      </c>
      <c r="C1550" s="6" t="s">
        <v>5050</v>
      </c>
      <c r="D1550" s="6" t="s">
        <v>8664</v>
      </c>
      <c r="E1550" s="6" t="s">
        <v>8690</v>
      </c>
      <c r="F1550" s="6" t="s">
        <v>8691</v>
      </c>
      <c r="G1550" s="9" t="n">
        <v>268</v>
      </c>
      <c r="H1550" s="6" t="s">
        <v>384</v>
      </c>
      <c r="I1550" s="6" t="s">
        <v>13</v>
      </c>
      <c r="J1550" s="6" t="s">
        <v>209</v>
      </c>
      <c r="K1550" s="6" t="s">
        <v>8679</v>
      </c>
      <c r="M1550" s="6"/>
    </row>
    <row r="1551" customFormat="false" ht="15" hidden="false" customHeight="false" outlineLevel="0" collapsed="false">
      <c r="A1551" s="6" t="s">
        <v>8693</v>
      </c>
      <c r="B1551" s="6" t="s">
        <v>5049</v>
      </c>
      <c r="C1551" s="6" t="s">
        <v>5050</v>
      </c>
      <c r="D1551" s="6" t="s">
        <v>8664</v>
      </c>
      <c r="E1551" s="6" t="s">
        <v>8690</v>
      </c>
      <c r="F1551" s="6" t="s">
        <v>8694</v>
      </c>
      <c r="G1551" s="9" t="n">
        <v>268</v>
      </c>
      <c r="H1551" s="6" t="s">
        <v>384</v>
      </c>
      <c r="I1551" s="6" t="s">
        <v>13</v>
      </c>
      <c r="J1551" s="6" t="s">
        <v>218</v>
      </c>
      <c r="K1551" s="6" t="s">
        <v>8683</v>
      </c>
      <c r="M1551" s="6"/>
    </row>
    <row r="1552" customFormat="false" ht="15" hidden="false" customHeight="false" outlineLevel="0" collapsed="false">
      <c r="A1552" s="6" t="s">
        <v>8695</v>
      </c>
      <c r="B1552" s="6" t="s">
        <v>5057</v>
      </c>
      <c r="C1552" s="6" t="s">
        <v>5050</v>
      </c>
      <c r="D1552" s="6" t="s">
        <v>8664</v>
      </c>
      <c r="E1552" s="6" t="s">
        <v>8690</v>
      </c>
      <c r="F1552" s="6" t="s">
        <v>8694</v>
      </c>
      <c r="G1552" s="9" t="n">
        <v>985</v>
      </c>
      <c r="H1552" s="6" t="s">
        <v>384</v>
      </c>
      <c r="I1552" s="6" t="s">
        <v>13</v>
      </c>
      <c r="J1552" s="6" t="s">
        <v>218</v>
      </c>
      <c r="K1552" s="6" t="s">
        <v>8683</v>
      </c>
      <c r="M1552" s="6"/>
    </row>
    <row r="1553" customFormat="false" ht="15" hidden="false" customHeight="false" outlineLevel="0" collapsed="false">
      <c r="A1553" s="6" t="s">
        <v>8696</v>
      </c>
      <c r="B1553" s="6" t="s">
        <v>5057</v>
      </c>
      <c r="C1553" s="6" t="s">
        <v>5050</v>
      </c>
      <c r="D1553" s="6" t="s">
        <v>8664</v>
      </c>
      <c r="E1553" s="6" t="s">
        <v>8690</v>
      </c>
      <c r="F1553" s="6" t="s">
        <v>8697</v>
      </c>
      <c r="G1553" s="9" t="n">
        <v>985</v>
      </c>
      <c r="H1553" s="6" t="s">
        <v>384</v>
      </c>
      <c r="I1553" s="6" t="s">
        <v>13</v>
      </c>
      <c r="J1553" s="6" t="s">
        <v>223</v>
      </c>
      <c r="K1553" s="6" t="s">
        <v>8687</v>
      </c>
      <c r="M1553" s="6"/>
    </row>
    <row r="1554" customFormat="false" ht="15" hidden="false" customHeight="false" outlineLevel="0" collapsed="false">
      <c r="A1554" s="6" t="s">
        <v>8698</v>
      </c>
      <c r="B1554" s="6" t="s">
        <v>5062</v>
      </c>
      <c r="C1554" s="6" t="s">
        <v>5050</v>
      </c>
      <c r="D1554" s="6" t="s">
        <v>8664</v>
      </c>
      <c r="E1554" s="6" t="s">
        <v>8690</v>
      </c>
      <c r="F1554" s="6" t="s">
        <v>8697</v>
      </c>
      <c r="G1554" s="9" t="n">
        <v>1423</v>
      </c>
      <c r="H1554" s="6" t="s">
        <v>384</v>
      </c>
      <c r="I1554" s="6" t="s">
        <v>13</v>
      </c>
      <c r="J1554" s="6" t="s">
        <v>223</v>
      </c>
      <c r="K1554" s="6" t="s">
        <v>8687</v>
      </c>
      <c r="M1554" s="6"/>
    </row>
    <row r="1555" customFormat="false" ht="15" hidden="false" customHeight="false" outlineLevel="0" collapsed="false">
      <c r="A1555" s="6" t="s">
        <v>8699</v>
      </c>
      <c r="B1555" s="6" t="s">
        <v>5468</v>
      </c>
      <c r="C1555" s="6" t="s">
        <v>5050</v>
      </c>
      <c r="D1555" s="6" t="s">
        <v>8664</v>
      </c>
      <c r="E1555" s="6" t="s">
        <v>8700</v>
      </c>
      <c r="F1555" s="6" t="s">
        <v>8701</v>
      </c>
      <c r="G1555" s="9" t="n">
        <v>756</v>
      </c>
      <c r="H1555" s="6" t="s">
        <v>384</v>
      </c>
      <c r="I1555" s="6" t="s">
        <v>13</v>
      </c>
      <c r="J1555" s="6" t="s">
        <v>209</v>
      </c>
      <c r="K1555" s="6" t="s">
        <v>8679</v>
      </c>
      <c r="M1555" s="6"/>
    </row>
    <row r="1556" customFormat="false" ht="15" hidden="false" customHeight="false" outlineLevel="0" collapsed="false">
      <c r="A1556" s="6" t="s">
        <v>8702</v>
      </c>
      <c r="B1556" s="6" t="s">
        <v>5049</v>
      </c>
      <c r="C1556" s="6" t="s">
        <v>5050</v>
      </c>
      <c r="D1556" s="6" t="s">
        <v>8664</v>
      </c>
      <c r="E1556" s="6" t="s">
        <v>8700</v>
      </c>
      <c r="F1556" s="6" t="s">
        <v>8701</v>
      </c>
      <c r="G1556" s="9" t="n">
        <v>748</v>
      </c>
      <c r="H1556" s="6" t="s">
        <v>384</v>
      </c>
      <c r="I1556" s="6" t="s">
        <v>13</v>
      </c>
      <c r="J1556" s="6" t="s">
        <v>209</v>
      </c>
      <c r="K1556" s="6" t="s">
        <v>8679</v>
      </c>
      <c r="M1556" s="6"/>
    </row>
    <row r="1557" customFormat="false" ht="15" hidden="false" customHeight="false" outlineLevel="0" collapsed="false">
      <c r="A1557" s="6" t="s">
        <v>8703</v>
      </c>
      <c r="B1557" s="6" t="s">
        <v>5049</v>
      </c>
      <c r="C1557" s="6" t="s">
        <v>5050</v>
      </c>
      <c r="D1557" s="6" t="s">
        <v>8664</v>
      </c>
      <c r="E1557" s="6" t="s">
        <v>8700</v>
      </c>
      <c r="F1557" s="6" t="s">
        <v>8704</v>
      </c>
      <c r="G1557" s="9" t="n">
        <v>748</v>
      </c>
      <c r="H1557" s="6" t="s">
        <v>384</v>
      </c>
      <c r="I1557" s="6" t="s">
        <v>13</v>
      </c>
      <c r="J1557" s="6" t="s">
        <v>218</v>
      </c>
      <c r="K1557" s="6" t="s">
        <v>8683</v>
      </c>
      <c r="M1557" s="6"/>
    </row>
    <row r="1558" customFormat="false" ht="15" hidden="false" customHeight="false" outlineLevel="0" collapsed="false">
      <c r="A1558" s="6" t="s">
        <v>8705</v>
      </c>
      <c r="B1558" s="6" t="s">
        <v>5057</v>
      </c>
      <c r="C1558" s="6" t="s">
        <v>5050</v>
      </c>
      <c r="D1558" s="6" t="s">
        <v>8664</v>
      </c>
      <c r="E1558" s="6" t="s">
        <v>8700</v>
      </c>
      <c r="F1558" s="6" t="s">
        <v>8704</v>
      </c>
      <c r="G1558" s="9" t="n">
        <v>3171</v>
      </c>
      <c r="H1558" s="6" t="s">
        <v>384</v>
      </c>
      <c r="I1558" s="6" t="s">
        <v>13</v>
      </c>
      <c r="J1558" s="6" t="s">
        <v>218</v>
      </c>
      <c r="K1558" s="6" t="s">
        <v>8683</v>
      </c>
      <c r="M1558" s="6"/>
    </row>
    <row r="1559" customFormat="false" ht="15" hidden="false" customHeight="false" outlineLevel="0" collapsed="false">
      <c r="A1559" s="6" t="s">
        <v>8706</v>
      </c>
      <c r="B1559" s="6" t="s">
        <v>5057</v>
      </c>
      <c r="C1559" s="6" t="s">
        <v>5050</v>
      </c>
      <c r="D1559" s="6" t="s">
        <v>8664</v>
      </c>
      <c r="E1559" s="6" t="s">
        <v>8700</v>
      </c>
      <c r="F1559" s="6" t="s">
        <v>8707</v>
      </c>
      <c r="G1559" s="9" t="n">
        <v>3171</v>
      </c>
      <c r="H1559" s="6" t="s">
        <v>384</v>
      </c>
      <c r="I1559" s="6" t="s">
        <v>13</v>
      </c>
      <c r="J1559" s="6" t="s">
        <v>223</v>
      </c>
      <c r="K1559" s="6" t="s">
        <v>8687</v>
      </c>
      <c r="M1559" s="6"/>
    </row>
    <row r="1560" customFormat="false" ht="15" hidden="false" customHeight="false" outlineLevel="0" collapsed="false">
      <c r="A1560" s="6" t="s">
        <v>8708</v>
      </c>
      <c r="B1560" s="6" t="s">
        <v>5062</v>
      </c>
      <c r="C1560" s="6" t="s">
        <v>5050</v>
      </c>
      <c r="D1560" s="6" t="s">
        <v>8664</v>
      </c>
      <c r="E1560" s="6" t="s">
        <v>8700</v>
      </c>
      <c r="F1560" s="6" t="s">
        <v>8707</v>
      </c>
      <c r="G1560" s="9" t="n">
        <v>4008</v>
      </c>
      <c r="H1560" s="6" t="s">
        <v>384</v>
      </c>
      <c r="I1560" s="6" t="s">
        <v>13</v>
      </c>
      <c r="J1560" s="6" t="s">
        <v>223</v>
      </c>
      <c r="K1560" s="6" t="s">
        <v>8687</v>
      </c>
      <c r="M1560" s="6"/>
    </row>
    <row r="1561" customFormat="false" ht="15" hidden="false" customHeight="false" outlineLevel="0" collapsed="false">
      <c r="A1561" s="6" t="s">
        <v>8709</v>
      </c>
      <c r="B1561" s="6" t="s">
        <v>6032</v>
      </c>
      <c r="C1561" s="6" t="s">
        <v>4975</v>
      </c>
      <c r="D1561" s="6" t="s">
        <v>8664</v>
      </c>
      <c r="E1561" s="6" t="s">
        <v>8710</v>
      </c>
      <c r="F1561" s="6" t="s">
        <v>8711</v>
      </c>
      <c r="G1561" s="9" t="n">
        <v>24809</v>
      </c>
      <c r="H1561" s="6" t="s">
        <v>384</v>
      </c>
      <c r="I1561" s="6" t="s">
        <v>13</v>
      </c>
      <c r="J1561" s="6" t="s">
        <v>209</v>
      </c>
      <c r="K1561" s="6" t="s">
        <v>8712</v>
      </c>
      <c r="M1561" s="6"/>
    </row>
    <row r="1562" customFormat="false" ht="15" hidden="false" customHeight="false" outlineLevel="0" collapsed="false">
      <c r="A1562" s="6" t="s">
        <v>8713</v>
      </c>
      <c r="B1562" s="6" t="s">
        <v>5203</v>
      </c>
      <c r="C1562" s="6" t="s">
        <v>4975</v>
      </c>
      <c r="D1562" s="6" t="s">
        <v>8664</v>
      </c>
      <c r="E1562" s="6" t="s">
        <v>8710</v>
      </c>
      <c r="F1562" s="6" t="s">
        <v>8711</v>
      </c>
      <c r="G1562" s="9" t="n">
        <v>49747</v>
      </c>
      <c r="H1562" s="6" t="s">
        <v>384</v>
      </c>
      <c r="I1562" s="6" t="s">
        <v>13</v>
      </c>
      <c r="J1562" s="6" t="s">
        <v>209</v>
      </c>
      <c r="K1562" s="6" t="s">
        <v>8712</v>
      </c>
      <c r="M1562" s="6"/>
    </row>
    <row r="1563" customFormat="false" ht="15" hidden="false" customHeight="false" outlineLevel="0" collapsed="false">
      <c r="A1563" s="6" t="s">
        <v>8714</v>
      </c>
      <c r="B1563" s="6" t="s">
        <v>5203</v>
      </c>
      <c r="C1563" s="6" t="s">
        <v>4975</v>
      </c>
      <c r="D1563" s="6" t="s">
        <v>8664</v>
      </c>
      <c r="E1563" s="6" t="s">
        <v>8710</v>
      </c>
      <c r="F1563" s="6" t="s">
        <v>8715</v>
      </c>
      <c r="G1563" s="9" t="n">
        <v>49747</v>
      </c>
      <c r="H1563" s="6" t="s">
        <v>384</v>
      </c>
      <c r="I1563" s="6" t="s">
        <v>13</v>
      </c>
      <c r="J1563" s="6" t="s">
        <v>218</v>
      </c>
      <c r="K1563" s="6" t="s">
        <v>8716</v>
      </c>
      <c r="M1563" s="6"/>
    </row>
    <row r="1564" customFormat="false" ht="15" hidden="false" customHeight="false" outlineLevel="0" collapsed="false">
      <c r="A1564" s="6" t="s">
        <v>8717</v>
      </c>
      <c r="B1564" s="6" t="s">
        <v>5102</v>
      </c>
      <c r="C1564" s="6" t="s">
        <v>4975</v>
      </c>
      <c r="D1564" s="6" t="s">
        <v>8664</v>
      </c>
      <c r="E1564" s="6" t="s">
        <v>8710</v>
      </c>
      <c r="F1564" s="6" t="s">
        <v>8711</v>
      </c>
      <c r="G1564" s="9" t="n">
        <v>97292</v>
      </c>
      <c r="H1564" s="6" t="s">
        <v>384</v>
      </c>
      <c r="I1564" s="6" t="s">
        <v>13</v>
      </c>
      <c r="J1564" s="6" t="s">
        <v>209</v>
      </c>
      <c r="K1564" s="6" t="s">
        <v>8712</v>
      </c>
      <c r="M1564" s="6"/>
    </row>
    <row r="1565" customFormat="false" ht="15" hidden="false" customHeight="false" outlineLevel="0" collapsed="false">
      <c r="A1565" s="6" t="s">
        <v>8718</v>
      </c>
      <c r="B1565" s="6" t="s">
        <v>5102</v>
      </c>
      <c r="C1565" s="6" t="s">
        <v>4975</v>
      </c>
      <c r="D1565" s="6" t="s">
        <v>8664</v>
      </c>
      <c r="E1565" s="6" t="s">
        <v>8710</v>
      </c>
      <c r="F1565" s="6" t="s">
        <v>8715</v>
      </c>
      <c r="G1565" s="9" t="n">
        <v>97292</v>
      </c>
      <c r="H1565" s="6" t="s">
        <v>384</v>
      </c>
      <c r="I1565" s="6" t="s">
        <v>13</v>
      </c>
      <c r="J1565" s="6" t="s">
        <v>218</v>
      </c>
      <c r="K1565" s="6" t="s">
        <v>8716</v>
      </c>
      <c r="M1565" s="6"/>
    </row>
    <row r="1566" customFormat="false" ht="15" hidden="false" customHeight="false" outlineLevel="0" collapsed="false">
      <c r="A1566" s="6" t="s">
        <v>8719</v>
      </c>
      <c r="B1566" s="6" t="s">
        <v>5102</v>
      </c>
      <c r="C1566" s="6" t="s">
        <v>4975</v>
      </c>
      <c r="D1566" s="6" t="s">
        <v>8664</v>
      </c>
      <c r="E1566" s="6" t="s">
        <v>8710</v>
      </c>
      <c r="F1566" s="6" t="s">
        <v>8720</v>
      </c>
      <c r="G1566" s="9" t="n">
        <v>67121</v>
      </c>
      <c r="H1566" s="6" t="s">
        <v>384</v>
      </c>
      <c r="I1566" s="6" t="s">
        <v>13</v>
      </c>
      <c r="J1566" s="6" t="s">
        <v>223</v>
      </c>
      <c r="K1566" s="6" t="s">
        <v>8721</v>
      </c>
      <c r="M1566" s="6" t="s">
        <v>8722</v>
      </c>
    </row>
    <row r="1567" customFormat="false" ht="15" hidden="false" customHeight="false" outlineLevel="0" collapsed="false">
      <c r="A1567" s="6" t="s">
        <v>8723</v>
      </c>
      <c r="B1567" s="6" t="s">
        <v>5097</v>
      </c>
      <c r="C1567" s="6" t="s">
        <v>4975</v>
      </c>
      <c r="D1567" s="6" t="s">
        <v>8664</v>
      </c>
      <c r="E1567" s="6" t="s">
        <v>8710</v>
      </c>
      <c r="F1567" s="6" t="s">
        <v>8715</v>
      </c>
      <c r="G1567" s="9" t="n">
        <v>162479</v>
      </c>
      <c r="H1567" s="6" t="s">
        <v>384</v>
      </c>
      <c r="I1567" s="6" t="s">
        <v>13</v>
      </c>
      <c r="J1567" s="6" t="s">
        <v>218</v>
      </c>
      <c r="K1567" s="6" t="s">
        <v>8716</v>
      </c>
      <c r="M1567" s="6"/>
    </row>
    <row r="1568" customFormat="false" ht="15" hidden="false" customHeight="false" outlineLevel="0" collapsed="false">
      <c r="A1568" s="6" t="s">
        <v>8724</v>
      </c>
      <c r="B1568" s="6" t="s">
        <v>5097</v>
      </c>
      <c r="C1568" s="6" t="s">
        <v>4975</v>
      </c>
      <c r="D1568" s="6" t="s">
        <v>8664</v>
      </c>
      <c r="E1568" s="6" t="s">
        <v>8710</v>
      </c>
      <c r="F1568" s="6" t="s">
        <v>8720</v>
      </c>
      <c r="G1568" s="9" t="n">
        <v>111854</v>
      </c>
      <c r="H1568" s="6" t="s">
        <v>384</v>
      </c>
      <c r="I1568" s="6" t="s">
        <v>13</v>
      </c>
      <c r="J1568" s="6" t="s">
        <v>223</v>
      </c>
      <c r="K1568" s="6" t="s">
        <v>8721</v>
      </c>
      <c r="M1568" s="6" t="s">
        <v>8722</v>
      </c>
    </row>
    <row r="1569" customFormat="false" ht="15" hidden="false" customHeight="false" outlineLevel="0" collapsed="false">
      <c r="A1569" s="6" t="s">
        <v>8725</v>
      </c>
      <c r="B1569" s="6" t="s">
        <v>5097</v>
      </c>
      <c r="C1569" s="6" t="s">
        <v>4975</v>
      </c>
      <c r="D1569" s="6" t="s">
        <v>8664</v>
      </c>
      <c r="E1569" s="6" t="s">
        <v>8710</v>
      </c>
      <c r="F1569" s="6" t="s">
        <v>8726</v>
      </c>
      <c r="G1569" s="9" t="n">
        <v>111854</v>
      </c>
      <c r="H1569" s="6" t="s">
        <v>384</v>
      </c>
      <c r="I1569" s="6" t="s">
        <v>13</v>
      </c>
      <c r="J1569" s="6" t="s">
        <v>228</v>
      </c>
      <c r="K1569" s="6" t="s">
        <v>8727</v>
      </c>
      <c r="M1569" s="6" t="s">
        <v>8728</v>
      </c>
    </row>
    <row r="1570" customFormat="false" ht="15" hidden="false" customHeight="false" outlineLevel="0" collapsed="false">
      <c r="A1570" s="6" t="s">
        <v>8729</v>
      </c>
      <c r="B1570" s="6" t="s">
        <v>5074</v>
      </c>
      <c r="C1570" s="6" t="s">
        <v>4975</v>
      </c>
      <c r="D1570" s="6" t="s">
        <v>8664</v>
      </c>
      <c r="E1570" s="6" t="s">
        <v>8710</v>
      </c>
      <c r="F1570" s="6" t="s">
        <v>8720</v>
      </c>
      <c r="G1570" s="9" t="n">
        <v>157134</v>
      </c>
      <c r="H1570" s="6" t="s">
        <v>384</v>
      </c>
      <c r="I1570" s="6" t="s">
        <v>13</v>
      </c>
      <c r="J1570" s="6" t="s">
        <v>223</v>
      </c>
      <c r="K1570" s="6" t="s">
        <v>8721</v>
      </c>
      <c r="M1570" s="6" t="s">
        <v>8722</v>
      </c>
    </row>
    <row r="1571" customFormat="false" ht="15" hidden="false" customHeight="false" outlineLevel="0" collapsed="false">
      <c r="A1571" s="6" t="s">
        <v>8730</v>
      </c>
      <c r="B1571" s="6" t="s">
        <v>5074</v>
      </c>
      <c r="C1571" s="6" t="s">
        <v>4975</v>
      </c>
      <c r="D1571" s="6" t="s">
        <v>8664</v>
      </c>
      <c r="E1571" s="6" t="s">
        <v>8710</v>
      </c>
      <c r="F1571" s="6" t="s">
        <v>8726</v>
      </c>
      <c r="G1571" s="9" t="n">
        <v>157134</v>
      </c>
      <c r="H1571" s="6" t="s">
        <v>384</v>
      </c>
      <c r="I1571" s="6" t="s">
        <v>13</v>
      </c>
      <c r="J1571" s="6" t="s">
        <v>228</v>
      </c>
      <c r="K1571" s="6" t="s">
        <v>8727</v>
      </c>
      <c r="M1571" s="6" t="s">
        <v>8728</v>
      </c>
    </row>
    <row r="1572" customFormat="false" ht="15" hidden="false" customHeight="false" outlineLevel="0" collapsed="false">
      <c r="A1572" s="6" t="s">
        <v>8731</v>
      </c>
      <c r="B1572" s="6" t="s">
        <v>5074</v>
      </c>
      <c r="C1572" s="6" t="s">
        <v>4975</v>
      </c>
      <c r="D1572" s="6" t="s">
        <v>8664</v>
      </c>
      <c r="E1572" s="6" t="s">
        <v>8710</v>
      </c>
      <c r="F1572" s="6" t="s">
        <v>8732</v>
      </c>
      <c r="G1572" s="9" t="n">
        <v>157134</v>
      </c>
      <c r="H1572" s="6" t="s">
        <v>384</v>
      </c>
      <c r="I1572" s="6" t="s">
        <v>13</v>
      </c>
      <c r="J1572" s="6" t="s">
        <v>233</v>
      </c>
      <c r="K1572" s="6" t="s">
        <v>8733</v>
      </c>
      <c r="M1572" s="6" t="s">
        <v>8734</v>
      </c>
    </row>
    <row r="1573" customFormat="false" ht="15" hidden="false" customHeight="false" outlineLevel="0" collapsed="false">
      <c r="A1573" s="6" t="s">
        <v>8735</v>
      </c>
      <c r="B1573" s="6" t="s">
        <v>5113</v>
      </c>
      <c r="C1573" s="6" t="s">
        <v>4975</v>
      </c>
      <c r="D1573" s="6" t="s">
        <v>8664</v>
      </c>
      <c r="E1573" s="6" t="s">
        <v>8710</v>
      </c>
      <c r="F1573" s="6" t="s">
        <v>8726</v>
      </c>
      <c r="G1573" s="9" t="n">
        <v>209851</v>
      </c>
      <c r="H1573" s="6" t="s">
        <v>384</v>
      </c>
      <c r="I1573" s="6" t="s">
        <v>13</v>
      </c>
      <c r="J1573" s="6" t="s">
        <v>228</v>
      </c>
      <c r="K1573" s="6" t="s">
        <v>8727</v>
      </c>
      <c r="M1573" s="6" t="s">
        <v>8728</v>
      </c>
    </row>
    <row r="1574" customFormat="false" ht="15" hidden="false" customHeight="false" outlineLevel="0" collapsed="false">
      <c r="A1574" s="6" t="s">
        <v>8736</v>
      </c>
      <c r="B1574" s="6" t="s">
        <v>5113</v>
      </c>
      <c r="C1574" s="6" t="s">
        <v>4975</v>
      </c>
      <c r="D1574" s="6" t="s">
        <v>8664</v>
      </c>
      <c r="E1574" s="6" t="s">
        <v>8710</v>
      </c>
      <c r="F1574" s="6" t="s">
        <v>8732</v>
      </c>
      <c r="G1574" s="9" t="n">
        <v>209851</v>
      </c>
      <c r="H1574" s="6" t="s">
        <v>384</v>
      </c>
      <c r="I1574" s="6" t="s">
        <v>13</v>
      </c>
      <c r="J1574" s="6" t="s">
        <v>233</v>
      </c>
      <c r="K1574" s="6" t="s">
        <v>8733</v>
      </c>
      <c r="M1574" s="6" t="s">
        <v>8734</v>
      </c>
    </row>
    <row r="1575" customFormat="false" ht="15" hidden="false" customHeight="false" outlineLevel="0" collapsed="false">
      <c r="A1575" s="6" t="s">
        <v>8737</v>
      </c>
      <c r="B1575" s="6" t="s">
        <v>5079</v>
      </c>
      <c r="C1575" s="6" t="s">
        <v>4975</v>
      </c>
      <c r="D1575" s="6" t="s">
        <v>8664</v>
      </c>
      <c r="E1575" s="6" t="s">
        <v>8710</v>
      </c>
      <c r="F1575" s="6" t="s">
        <v>8732</v>
      </c>
      <c r="G1575" s="9" t="n">
        <v>264459</v>
      </c>
      <c r="H1575" s="6" t="s">
        <v>384</v>
      </c>
      <c r="I1575" s="6" t="s">
        <v>13</v>
      </c>
      <c r="J1575" s="6" t="s">
        <v>233</v>
      </c>
      <c r="K1575" s="6" t="s">
        <v>8733</v>
      </c>
      <c r="M1575" s="6" t="s">
        <v>8734</v>
      </c>
    </row>
    <row r="1576" customFormat="false" ht="15" hidden="false" customHeight="false" outlineLevel="0" collapsed="false">
      <c r="A1576" s="6" t="s">
        <v>8738</v>
      </c>
      <c r="B1576" s="6" t="s">
        <v>5519</v>
      </c>
      <c r="C1576" s="6" t="s">
        <v>5316</v>
      </c>
      <c r="D1576" s="6" t="s">
        <v>8664</v>
      </c>
      <c r="E1576" s="6" t="s">
        <v>8710</v>
      </c>
      <c r="F1576" s="6" t="s">
        <v>8739</v>
      </c>
      <c r="G1576" s="9" t="n">
        <v>72640</v>
      </c>
      <c r="H1576" s="6" t="s">
        <v>384</v>
      </c>
      <c r="I1576" s="6" t="s">
        <v>13</v>
      </c>
      <c r="J1576" s="6" t="s">
        <v>238</v>
      </c>
      <c r="K1576" s="6" t="s">
        <v>8740</v>
      </c>
      <c r="M1576" s="6" t="s">
        <v>8741</v>
      </c>
    </row>
    <row r="1577" customFormat="false" ht="15" hidden="false" customHeight="false" outlineLevel="0" collapsed="false">
      <c r="A1577" s="6" t="s">
        <v>8742</v>
      </c>
      <c r="B1577" s="6" t="s">
        <v>5315</v>
      </c>
      <c r="C1577" s="6" t="s">
        <v>5316</v>
      </c>
      <c r="D1577" s="6" t="s">
        <v>8664</v>
      </c>
      <c r="E1577" s="6" t="s">
        <v>8710</v>
      </c>
      <c r="F1577" s="6" t="s">
        <v>8739</v>
      </c>
      <c r="G1577" s="9" t="n">
        <v>98445</v>
      </c>
      <c r="H1577" s="6" t="s">
        <v>384</v>
      </c>
      <c r="I1577" s="6" t="s">
        <v>13</v>
      </c>
      <c r="J1577" s="6" t="s">
        <v>238</v>
      </c>
      <c r="K1577" s="6" t="s">
        <v>8740</v>
      </c>
      <c r="M1577" s="6" t="s">
        <v>8741</v>
      </c>
    </row>
    <row r="1578" customFormat="false" ht="15" hidden="false" customHeight="false" outlineLevel="0" collapsed="false">
      <c r="A1578" s="6" t="s">
        <v>8743</v>
      </c>
      <c r="B1578" s="6" t="s">
        <v>5320</v>
      </c>
      <c r="C1578" s="6" t="s">
        <v>5316</v>
      </c>
      <c r="D1578" s="6" t="s">
        <v>8664</v>
      </c>
      <c r="E1578" s="6" t="s">
        <v>8710</v>
      </c>
      <c r="F1578" s="6" t="s">
        <v>8744</v>
      </c>
      <c r="G1578" s="9" t="n">
        <v>124902</v>
      </c>
      <c r="H1578" s="6" t="s">
        <v>384</v>
      </c>
      <c r="I1578" s="6" t="s">
        <v>13</v>
      </c>
      <c r="J1578" s="6" t="s">
        <v>253</v>
      </c>
      <c r="K1578" s="6" t="s">
        <v>8745</v>
      </c>
      <c r="M1578" s="6" t="s">
        <v>8746</v>
      </c>
    </row>
    <row r="1579" customFormat="false" ht="15" hidden="false" customHeight="false" outlineLevel="0" collapsed="false">
      <c r="A1579" s="6" t="s">
        <v>8747</v>
      </c>
      <c r="B1579" s="6" t="s">
        <v>5320</v>
      </c>
      <c r="C1579" s="6" t="s">
        <v>5316</v>
      </c>
      <c r="D1579" s="6" t="s">
        <v>8664</v>
      </c>
      <c r="E1579" s="6" t="s">
        <v>8748</v>
      </c>
      <c r="F1579" s="6" t="s">
        <v>8744</v>
      </c>
      <c r="G1579" s="9" t="n">
        <v>124902</v>
      </c>
      <c r="H1579" s="6" t="s">
        <v>384</v>
      </c>
      <c r="I1579" s="6" t="s">
        <v>13</v>
      </c>
      <c r="J1579" s="6" t="s">
        <v>268</v>
      </c>
      <c r="K1579" s="6" t="s">
        <v>8749</v>
      </c>
      <c r="M1579" s="6" t="s">
        <v>8750</v>
      </c>
    </row>
    <row r="1580" customFormat="false" ht="15" hidden="false" customHeight="false" outlineLevel="0" collapsed="false">
      <c r="A1580" s="6" t="s">
        <v>8751</v>
      </c>
      <c r="B1580" s="6" t="s">
        <v>5315</v>
      </c>
      <c r="C1580" s="6" t="s">
        <v>5316</v>
      </c>
      <c r="D1580" s="6" t="s">
        <v>8664</v>
      </c>
      <c r="E1580" s="6" t="s">
        <v>8752</v>
      </c>
      <c r="F1580" s="6" t="s">
        <v>8744</v>
      </c>
      <c r="G1580" s="9" t="n">
        <v>98445</v>
      </c>
      <c r="H1580" s="6" t="s">
        <v>384</v>
      </c>
      <c r="I1580" s="6" t="s">
        <v>13</v>
      </c>
      <c r="J1580" s="6" t="s">
        <v>268</v>
      </c>
      <c r="K1580" s="6" t="s">
        <v>8749</v>
      </c>
      <c r="M1580" s="6" t="s">
        <v>8753</v>
      </c>
    </row>
    <row r="1581" customFormat="false" ht="15" hidden="false" customHeight="false" outlineLevel="0" collapsed="false">
      <c r="A1581" s="6" t="s">
        <v>8754</v>
      </c>
      <c r="B1581" s="6" t="s">
        <v>5320</v>
      </c>
      <c r="C1581" s="6" t="s">
        <v>5316</v>
      </c>
      <c r="D1581" s="6" t="s">
        <v>8664</v>
      </c>
      <c r="E1581" s="6" t="s">
        <v>8755</v>
      </c>
      <c r="F1581" s="6" t="s">
        <v>8756</v>
      </c>
      <c r="G1581" s="9" t="n">
        <v>124902</v>
      </c>
      <c r="H1581" s="6" t="s">
        <v>384</v>
      </c>
      <c r="I1581" s="6" t="s">
        <v>13</v>
      </c>
      <c r="J1581" s="6" t="s">
        <v>261</v>
      </c>
      <c r="K1581" s="6" t="s">
        <v>8757</v>
      </c>
      <c r="M1581" s="6" t="s">
        <v>8758</v>
      </c>
    </row>
    <row r="1582" customFormat="false" ht="15" hidden="false" customHeight="false" outlineLevel="0" collapsed="false">
      <c r="A1582" s="6" t="s">
        <v>8759</v>
      </c>
      <c r="B1582" s="6" t="s">
        <v>5325</v>
      </c>
      <c r="C1582" s="6" t="s">
        <v>5316</v>
      </c>
      <c r="D1582" s="6" t="s">
        <v>8664</v>
      </c>
      <c r="E1582" s="6" t="s">
        <v>8755</v>
      </c>
      <c r="F1582" s="6" t="s">
        <v>8756</v>
      </c>
      <c r="G1582" s="9" t="n">
        <v>152620</v>
      </c>
      <c r="H1582" s="6" t="s">
        <v>384</v>
      </c>
      <c r="I1582" s="6" t="s">
        <v>13</v>
      </c>
      <c r="J1582" s="6" t="s">
        <v>261</v>
      </c>
      <c r="K1582" s="6" t="s">
        <v>8757</v>
      </c>
      <c r="M1582" s="6"/>
    </row>
    <row r="1583" customFormat="false" ht="15" hidden="false" customHeight="false" outlineLevel="0" collapsed="false">
      <c r="A1583" s="6" t="s">
        <v>8760</v>
      </c>
      <c r="B1583" s="6" t="s">
        <v>5315</v>
      </c>
      <c r="C1583" s="6" t="s">
        <v>5316</v>
      </c>
      <c r="D1583" s="6" t="s">
        <v>8664</v>
      </c>
      <c r="E1583" s="6" t="s">
        <v>8761</v>
      </c>
      <c r="F1583" s="6" t="s">
        <v>8744</v>
      </c>
      <c r="G1583" s="9" t="n">
        <v>98445</v>
      </c>
      <c r="H1583" s="6" t="s">
        <v>384</v>
      </c>
      <c r="I1583" s="6" t="s">
        <v>13</v>
      </c>
      <c r="J1583" s="6" t="s">
        <v>253</v>
      </c>
      <c r="K1583" s="6" t="s">
        <v>8745</v>
      </c>
      <c r="M1583" s="6" t="s">
        <v>8762</v>
      </c>
    </row>
    <row r="1584" customFormat="false" ht="15" hidden="false" customHeight="false" outlineLevel="0" collapsed="false">
      <c r="A1584" s="6" t="s">
        <v>8763</v>
      </c>
      <c r="B1584" s="6" t="s">
        <v>6032</v>
      </c>
      <c r="C1584" s="6" t="s">
        <v>4975</v>
      </c>
      <c r="D1584" s="6" t="s">
        <v>8664</v>
      </c>
      <c r="E1584" s="6" t="s">
        <v>8764</v>
      </c>
      <c r="F1584" s="6" t="s">
        <v>8765</v>
      </c>
      <c r="G1584" s="9" t="n">
        <v>16841</v>
      </c>
      <c r="H1584" s="6" t="s">
        <v>384</v>
      </c>
      <c r="I1584" s="6" t="s">
        <v>13</v>
      </c>
      <c r="J1584" s="6" t="s">
        <v>209</v>
      </c>
      <c r="K1584" s="6" t="s">
        <v>8712</v>
      </c>
      <c r="M1584" s="6"/>
    </row>
    <row r="1585" customFormat="false" ht="15" hidden="false" customHeight="false" outlineLevel="0" collapsed="false">
      <c r="A1585" s="6" t="s">
        <v>8766</v>
      </c>
      <c r="B1585" s="6" t="s">
        <v>5203</v>
      </c>
      <c r="C1585" s="6" t="s">
        <v>4975</v>
      </c>
      <c r="D1585" s="6" t="s">
        <v>8664</v>
      </c>
      <c r="E1585" s="6" t="s">
        <v>8764</v>
      </c>
      <c r="F1585" s="6" t="s">
        <v>8765</v>
      </c>
      <c r="G1585" s="9" t="n">
        <v>33443</v>
      </c>
      <c r="H1585" s="6" t="s">
        <v>384</v>
      </c>
      <c r="I1585" s="6" t="s">
        <v>13</v>
      </c>
      <c r="J1585" s="6" t="s">
        <v>209</v>
      </c>
      <c r="K1585" s="6" t="s">
        <v>8712</v>
      </c>
      <c r="M1585" s="6"/>
    </row>
    <row r="1586" customFormat="false" ht="15" hidden="false" customHeight="false" outlineLevel="0" collapsed="false">
      <c r="A1586" s="6" t="s">
        <v>8767</v>
      </c>
      <c r="B1586" s="6" t="s">
        <v>5102</v>
      </c>
      <c r="C1586" s="6" t="s">
        <v>4975</v>
      </c>
      <c r="D1586" s="6" t="s">
        <v>8664</v>
      </c>
      <c r="E1586" s="6" t="s">
        <v>8764</v>
      </c>
      <c r="F1586" s="6" t="s">
        <v>8765</v>
      </c>
      <c r="G1586" s="9" t="n">
        <v>62567</v>
      </c>
      <c r="H1586" s="6" t="s">
        <v>384</v>
      </c>
      <c r="I1586" s="6" t="s">
        <v>13</v>
      </c>
      <c r="J1586" s="6" t="s">
        <v>209</v>
      </c>
      <c r="K1586" s="6" t="s">
        <v>8712</v>
      </c>
      <c r="M1586" s="6"/>
    </row>
    <row r="1587" customFormat="false" ht="15" hidden="false" customHeight="false" outlineLevel="0" collapsed="false">
      <c r="A1587" s="6" t="s">
        <v>8768</v>
      </c>
      <c r="B1587" s="6" t="s">
        <v>5102</v>
      </c>
      <c r="C1587" s="6" t="s">
        <v>4975</v>
      </c>
      <c r="D1587" s="6" t="s">
        <v>8664</v>
      </c>
      <c r="E1587" s="6" t="s">
        <v>8764</v>
      </c>
      <c r="F1587" s="6" t="s">
        <v>8769</v>
      </c>
      <c r="G1587" s="9" t="n">
        <v>62567</v>
      </c>
      <c r="H1587" s="6" t="s">
        <v>384</v>
      </c>
      <c r="I1587" s="6" t="s">
        <v>13</v>
      </c>
      <c r="J1587" s="6" t="s">
        <v>223</v>
      </c>
      <c r="K1587" s="6" t="s">
        <v>8721</v>
      </c>
      <c r="M1587" s="6" t="s">
        <v>8770</v>
      </c>
    </row>
    <row r="1588" customFormat="false" ht="15" hidden="false" customHeight="false" outlineLevel="0" collapsed="false">
      <c r="A1588" s="6" t="s">
        <v>8771</v>
      </c>
      <c r="B1588" s="6" t="s">
        <v>5097</v>
      </c>
      <c r="C1588" s="6" t="s">
        <v>4975</v>
      </c>
      <c r="D1588" s="6" t="s">
        <v>8664</v>
      </c>
      <c r="E1588" s="6" t="s">
        <v>8764</v>
      </c>
      <c r="F1588" s="6" t="s">
        <v>8769</v>
      </c>
      <c r="G1588" s="9" t="n">
        <v>101055</v>
      </c>
      <c r="H1588" s="6" t="s">
        <v>384</v>
      </c>
      <c r="I1588" s="6" t="s">
        <v>13</v>
      </c>
      <c r="J1588" s="6" t="s">
        <v>223</v>
      </c>
      <c r="K1588" s="6" t="s">
        <v>8721</v>
      </c>
      <c r="M1588" s="6" t="s">
        <v>8770</v>
      </c>
    </row>
    <row r="1589" customFormat="false" ht="15" hidden="false" customHeight="false" outlineLevel="0" collapsed="false">
      <c r="A1589" s="6" t="s">
        <v>8772</v>
      </c>
      <c r="B1589" s="6" t="s">
        <v>5097</v>
      </c>
      <c r="C1589" s="6" t="s">
        <v>4975</v>
      </c>
      <c r="D1589" s="6" t="s">
        <v>8664</v>
      </c>
      <c r="E1589" s="6" t="s">
        <v>8764</v>
      </c>
      <c r="F1589" s="6" t="s">
        <v>8773</v>
      </c>
      <c r="G1589" s="9" t="n">
        <v>101055</v>
      </c>
      <c r="H1589" s="6" t="s">
        <v>384</v>
      </c>
      <c r="I1589" s="6" t="s">
        <v>13</v>
      </c>
      <c r="J1589" s="6" t="s">
        <v>228</v>
      </c>
      <c r="K1589" s="6" t="s">
        <v>8727</v>
      </c>
      <c r="M1589" s="6"/>
    </row>
    <row r="1590" customFormat="false" ht="15" hidden="false" customHeight="false" outlineLevel="0" collapsed="false">
      <c r="A1590" s="6" t="s">
        <v>8774</v>
      </c>
      <c r="B1590" s="6" t="s">
        <v>5074</v>
      </c>
      <c r="C1590" s="6" t="s">
        <v>4975</v>
      </c>
      <c r="D1590" s="6" t="s">
        <v>8664</v>
      </c>
      <c r="E1590" s="6" t="s">
        <v>8764</v>
      </c>
      <c r="F1590" s="6" t="s">
        <v>8769</v>
      </c>
      <c r="G1590" s="9" t="n">
        <v>135255</v>
      </c>
      <c r="H1590" s="6" t="s">
        <v>384</v>
      </c>
      <c r="I1590" s="6" t="s">
        <v>13</v>
      </c>
      <c r="J1590" s="6" t="s">
        <v>223</v>
      </c>
      <c r="K1590" s="6" t="s">
        <v>8721</v>
      </c>
      <c r="M1590" s="6" t="s">
        <v>8770</v>
      </c>
    </row>
    <row r="1591" customFormat="false" ht="15" hidden="false" customHeight="false" outlineLevel="0" collapsed="false">
      <c r="A1591" s="6" t="s">
        <v>8775</v>
      </c>
      <c r="B1591" s="6" t="s">
        <v>5074</v>
      </c>
      <c r="C1591" s="6" t="s">
        <v>4975</v>
      </c>
      <c r="D1591" s="6" t="s">
        <v>8664</v>
      </c>
      <c r="E1591" s="6" t="s">
        <v>8764</v>
      </c>
      <c r="F1591" s="6" t="s">
        <v>8773</v>
      </c>
      <c r="G1591" s="9" t="n">
        <v>135255</v>
      </c>
      <c r="H1591" s="6" t="s">
        <v>384</v>
      </c>
      <c r="I1591" s="6" t="s">
        <v>13</v>
      </c>
      <c r="J1591" s="6" t="s">
        <v>228</v>
      </c>
      <c r="K1591" s="6" t="s">
        <v>8727</v>
      </c>
      <c r="M1591" s="6"/>
    </row>
    <row r="1592" customFormat="false" ht="15" hidden="false" customHeight="false" outlineLevel="0" collapsed="false">
      <c r="A1592" s="6" t="s">
        <v>8776</v>
      </c>
      <c r="B1592" s="6" t="s">
        <v>5074</v>
      </c>
      <c r="C1592" s="6" t="s">
        <v>4975</v>
      </c>
      <c r="D1592" s="6" t="s">
        <v>8664</v>
      </c>
      <c r="E1592" s="6" t="s">
        <v>8764</v>
      </c>
      <c r="F1592" s="6" t="s">
        <v>8732</v>
      </c>
      <c r="G1592" s="9" t="n">
        <v>135255</v>
      </c>
      <c r="H1592" s="6" t="s">
        <v>384</v>
      </c>
      <c r="I1592" s="6" t="s">
        <v>13</v>
      </c>
      <c r="J1592" s="6" t="s">
        <v>233</v>
      </c>
      <c r="K1592" s="6" t="s">
        <v>8733</v>
      </c>
      <c r="M1592" s="6"/>
    </row>
    <row r="1593" customFormat="false" ht="15" hidden="false" customHeight="false" outlineLevel="0" collapsed="false">
      <c r="A1593" s="6" t="s">
        <v>8777</v>
      </c>
      <c r="B1593" s="6" t="s">
        <v>5113</v>
      </c>
      <c r="C1593" s="6" t="s">
        <v>4975</v>
      </c>
      <c r="D1593" s="6" t="s">
        <v>8664</v>
      </c>
      <c r="E1593" s="6" t="s">
        <v>8764</v>
      </c>
      <c r="F1593" s="6" t="s">
        <v>8773</v>
      </c>
      <c r="G1593" s="9" t="n">
        <v>176083</v>
      </c>
      <c r="H1593" s="6" t="s">
        <v>384</v>
      </c>
      <c r="I1593" s="6" t="s">
        <v>13</v>
      </c>
      <c r="J1593" s="6" t="s">
        <v>228</v>
      </c>
      <c r="K1593" s="6" t="s">
        <v>8727</v>
      </c>
      <c r="M1593" s="6"/>
    </row>
    <row r="1594" customFormat="false" ht="15" hidden="false" customHeight="false" outlineLevel="0" collapsed="false">
      <c r="A1594" s="6" t="s">
        <v>8778</v>
      </c>
      <c r="B1594" s="6" t="s">
        <v>5113</v>
      </c>
      <c r="C1594" s="6" t="s">
        <v>4975</v>
      </c>
      <c r="D1594" s="6" t="s">
        <v>8664</v>
      </c>
      <c r="E1594" s="6" t="s">
        <v>8764</v>
      </c>
      <c r="F1594" s="6" t="s">
        <v>8732</v>
      </c>
      <c r="G1594" s="9" t="n">
        <v>176083</v>
      </c>
      <c r="H1594" s="6" t="s">
        <v>384</v>
      </c>
      <c r="I1594" s="6" t="s">
        <v>13</v>
      </c>
      <c r="J1594" s="6" t="s">
        <v>233</v>
      </c>
      <c r="K1594" s="6" t="s">
        <v>8733</v>
      </c>
      <c r="M1594" s="6"/>
    </row>
    <row r="1595" customFormat="false" ht="15" hidden="false" customHeight="false" outlineLevel="0" collapsed="false">
      <c r="A1595" s="6" t="s">
        <v>8779</v>
      </c>
      <c r="B1595" s="6" t="s">
        <v>5079</v>
      </c>
      <c r="C1595" s="6" t="s">
        <v>4975</v>
      </c>
      <c r="D1595" s="6" t="s">
        <v>8664</v>
      </c>
      <c r="E1595" s="6" t="s">
        <v>8764</v>
      </c>
      <c r="F1595" s="6" t="s">
        <v>8732</v>
      </c>
      <c r="G1595" s="9" t="n">
        <v>213771</v>
      </c>
      <c r="H1595" s="6" t="s">
        <v>384</v>
      </c>
      <c r="I1595" s="6" t="s">
        <v>13</v>
      </c>
      <c r="J1595" s="6" t="s">
        <v>233</v>
      </c>
      <c r="K1595" s="6" t="s">
        <v>8733</v>
      </c>
      <c r="M1595" s="6"/>
    </row>
    <row r="1596" customFormat="false" ht="15" hidden="false" customHeight="false" outlineLevel="0" collapsed="false">
      <c r="A1596" s="6" t="s">
        <v>8780</v>
      </c>
      <c r="B1596" s="6" t="s">
        <v>5519</v>
      </c>
      <c r="C1596" s="6" t="s">
        <v>5316</v>
      </c>
      <c r="D1596" s="6" t="s">
        <v>8664</v>
      </c>
      <c r="E1596" s="6" t="s">
        <v>8764</v>
      </c>
      <c r="F1596" s="6" t="s">
        <v>8781</v>
      </c>
      <c r="G1596" s="9" t="n">
        <v>49992</v>
      </c>
      <c r="H1596" s="6" t="s">
        <v>384</v>
      </c>
      <c r="I1596" s="6" t="s">
        <v>13</v>
      </c>
      <c r="J1596" s="6" t="s">
        <v>238</v>
      </c>
      <c r="K1596" s="6" t="s">
        <v>8740</v>
      </c>
      <c r="M1596" s="6" t="s">
        <v>8741</v>
      </c>
    </row>
    <row r="1597" customFormat="false" ht="15" hidden="false" customHeight="false" outlineLevel="0" collapsed="false">
      <c r="A1597" s="6" t="s">
        <v>8782</v>
      </c>
      <c r="B1597" s="6" t="s">
        <v>5315</v>
      </c>
      <c r="C1597" s="6" t="s">
        <v>5316</v>
      </c>
      <c r="D1597" s="6" t="s">
        <v>8664</v>
      </c>
      <c r="E1597" s="6" t="s">
        <v>8764</v>
      </c>
      <c r="F1597" s="6" t="s">
        <v>8781</v>
      </c>
      <c r="G1597" s="9" t="n">
        <v>65634</v>
      </c>
      <c r="H1597" s="6" t="s">
        <v>384</v>
      </c>
      <c r="I1597" s="6" t="s">
        <v>13</v>
      </c>
      <c r="J1597" s="6" t="s">
        <v>238</v>
      </c>
      <c r="K1597" s="6" t="s">
        <v>8740</v>
      </c>
      <c r="M1597" s="6" t="s">
        <v>8741</v>
      </c>
    </row>
    <row r="1598" customFormat="false" ht="15" hidden="false" customHeight="false" outlineLevel="0" collapsed="false">
      <c r="A1598" s="6" t="s">
        <v>8783</v>
      </c>
      <c r="B1598" s="6" t="s">
        <v>5320</v>
      </c>
      <c r="C1598" s="6" t="s">
        <v>5316</v>
      </c>
      <c r="D1598" s="6" t="s">
        <v>8664</v>
      </c>
      <c r="E1598" s="6" t="s">
        <v>8764</v>
      </c>
      <c r="F1598" s="6" t="s">
        <v>8784</v>
      </c>
      <c r="G1598" s="9" t="n">
        <v>100738</v>
      </c>
      <c r="H1598" s="6" t="s">
        <v>384</v>
      </c>
      <c r="I1598" s="6" t="s">
        <v>13</v>
      </c>
      <c r="J1598" s="6" t="s">
        <v>253</v>
      </c>
      <c r="K1598" s="6" t="s">
        <v>8745</v>
      </c>
      <c r="M1598" s="6" t="s">
        <v>8746</v>
      </c>
    </row>
    <row r="1599" customFormat="false" ht="15" hidden="false" customHeight="false" outlineLevel="0" collapsed="false">
      <c r="A1599" s="6" t="s">
        <v>8785</v>
      </c>
      <c r="B1599" s="6" t="s">
        <v>5320</v>
      </c>
      <c r="C1599" s="6" t="s">
        <v>5316</v>
      </c>
      <c r="D1599" s="6" t="s">
        <v>8664</v>
      </c>
      <c r="E1599" s="6" t="s">
        <v>8764</v>
      </c>
      <c r="F1599" s="6" t="s">
        <v>8786</v>
      </c>
      <c r="G1599" s="9" t="n">
        <v>100738</v>
      </c>
      <c r="H1599" s="6" t="s">
        <v>384</v>
      </c>
      <c r="I1599" s="6" t="s">
        <v>13</v>
      </c>
      <c r="J1599" s="6" t="s">
        <v>261</v>
      </c>
      <c r="K1599" s="6" t="s">
        <v>8757</v>
      </c>
      <c r="M1599" s="6" t="s">
        <v>8758</v>
      </c>
    </row>
    <row r="1600" customFormat="false" ht="15" hidden="false" customHeight="false" outlineLevel="0" collapsed="false">
      <c r="A1600" s="6" t="s">
        <v>8787</v>
      </c>
      <c r="B1600" s="6" t="s">
        <v>5325</v>
      </c>
      <c r="C1600" s="6" t="s">
        <v>5316</v>
      </c>
      <c r="D1600" s="6" t="s">
        <v>8664</v>
      </c>
      <c r="E1600" s="6" t="s">
        <v>8764</v>
      </c>
      <c r="F1600" s="6" t="s">
        <v>8786</v>
      </c>
      <c r="G1600" s="9" t="n">
        <v>124341</v>
      </c>
      <c r="H1600" s="6" t="s">
        <v>384</v>
      </c>
      <c r="I1600" s="6" t="s">
        <v>13</v>
      </c>
      <c r="J1600" s="6" t="s">
        <v>261</v>
      </c>
      <c r="K1600" s="6" t="s">
        <v>8757</v>
      </c>
      <c r="M1600" s="6"/>
    </row>
    <row r="1601" customFormat="false" ht="15" hidden="false" customHeight="false" outlineLevel="0" collapsed="false">
      <c r="A1601" s="6" t="s">
        <v>8788</v>
      </c>
      <c r="B1601" s="6" t="s">
        <v>5320</v>
      </c>
      <c r="C1601" s="6" t="s">
        <v>5316</v>
      </c>
      <c r="D1601" s="6" t="s">
        <v>8664</v>
      </c>
      <c r="E1601" s="6" t="s">
        <v>8789</v>
      </c>
      <c r="F1601" s="6" t="s">
        <v>8790</v>
      </c>
      <c r="G1601" s="9" t="n">
        <v>100738</v>
      </c>
      <c r="H1601" s="6" t="s">
        <v>384</v>
      </c>
      <c r="I1601" s="6" t="s">
        <v>13</v>
      </c>
      <c r="J1601" s="6" t="s">
        <v>268</v>
      </c>
      <c r="K1601" s="6" t="s">
        <v>8749</v>
      </c>
      <c r="M1601" s="6" t="s">
        <v>8750</v>
      </c>
    </row>
    <row r="1602" customFormat="false" ht="15" hidden="false" customHeight="false" outlineLevel="0" collapsed="false">
      <c r="A1602" s="6" t="s">
        <v>8791</v>
      </c>
      <c r="B1602" s="6" t="s">
        <v>5315</v>
      </c>
      <c r="C1602" s="6" t="s">
        <v>5316</v>
      </c>
      <c r="D1602" s="6" t="s">
        <v>8664</v>
      </c>
      <c r="E1602" s="6" t="s">
        <v>8792</v>
      </c>
      <c r="F1602" s="6" t="s">
        <v>8790</v>
      </c>
      <c r="G1602" s="9" t="n">
        <v>82539</v>
      </c>
      <c r="H1602" s="6" t="s">
        <v>384</v>
      </c>
      <c r="I1602" s="6" t="s">
        <v>13</v>
      </c>
      <c r="J1602" s="6" t="s">
        <v>268</v>
      </c>
      <c r="K1602" s="6" t="s">
        <v>8749</v>
      </c>
      <c r="M1602" s="6" t="s">
        <v>8793</v>
      </c>
    </row>
    <row r="1603" customFormat="false" ht="15" hidden="false" customHeight="false" outlineLevel="0" collapsed="false">
      <c r="A1603" s="6" t="s">
        <v>8794</v>
      </c>
      <c r="B1603" s="6" t="s">
        <v>5315</v>
      </c>
      <c r="C1603" s="6" t="s">
        <v>5316</v>
      </c>
      <c r="D1603" s="6" t="s">
        <v>8664</v>
      </c>
      <c r="E1603" s="6" t="s">
        <v>8795</v>
      </c>
      <c r="F1603" s="6" t="s">
        <v>8784</v>
      </c>
      <c r="G1603" s="9" t="n">
        <v>65634</v>
      </c>
      <c r="H1603" s="6" t="s">
        <v>384</v>
      </c>
      <c r="I1603" s="6" t="s">
        <v>13</v>
      </c>
      <c r="J1603" s="6" t="s">
        <v>253</v>
      </c>
      <c r="K1603" s="6" t="s">
        <v>8745</v>
      </c>
      <c r="M1603" s="6" t="s">
        <v>8796</v>
      </c>
    </row>
    <row r="1604" customFormat="false" ht="15" hidden="false" customHeight="false" outlineLevel="0" collapsed="false">
      <c r="A1604" s="6" t="s">
        <v>8797</v>
      </c>
      <c r="B1604" s="6" t="s">
        <v>5203</v>
      </c>
      <c r="C1604" s="6" t="s">
        <v>4975</v>
      </c>
      <c r="D1604" s="6" t="s">
        <v>8664</v>
      </c>
      <c r="E1604" s="6" t="s">
        <v>8798</v>
      </c>
      <c r="F1604" s="6" t="s">
        <v>8799</v>
      </c>
      <c r="G1604" s="9" t="n">
        <v>33443</v>
      </c>
      <c r="H1604" s="6" t="s">
        <v>384</v>
      </c>
      <c r="I1604" s="6" t="s">
        <v>13</v>
      </c>
      <c r="J1604" s="6" t="s">
        <v>218</v>
      </c>
      <c r="K1604" s="6" t="s">
        <v>8716</v>
      </c>
      <c r="M1604" s="6"/>
    </row>
    <row r="1605" customFormat="false" ht="15" hidden="false" customHeight="false" outlineLevel="0" collapsed="false">
      <c r="A1605" s="6" t="s">
        <v>8800</v>
      </c>
      <c r="B1605" s="6" t="s">
        <v>5102</v>
      </c>
      <c r="C1605" s="6" t="s">
        <v>4975</v>
      </c>
      <c r="D1605" s="6" t="s">
        <v>8664</v>
      </c>
      <c r="E1605" s="6" t="s">
        <v>8798</v>
      </c>
      <c r="F1605" s="6" t="s">
        <v>8799</v>
      </c>
      <c r="G1605" s="9" t="n">
        <v>62567</v>
      </c>
      <c r="H1605" s="6" t="s">
        <v>384</v>
      </c>
      <c r="I1605" s="6" t="s">
        <v>13</v>
      </c>
      <c r="J1605" s="6" t="s">
        <v>218</v>
      </c>
      <c r="K1605" s="6" t="s">
        <v>8716</v>
      </c>
      <c r="M1605" s="6"/>
    </row>
    <row r="1606" customFormat="false" ht="15" hidden="false" customHeight="false" outlineLevel="0" collapsed="false">
      <c r="A1606" s="6" t="s">
        <v>8801</v>
      </c>
      <c r="B1606" s="6" t="s">
        <v>5097</v>
      </c>
      <c r="C1606" s="6" t="s">
        <v>4975</v>
      </c>
      <c r="D1606" s="6" t="s">
        <v>8664</v>
      </c>
      <c r="E1606" s="6" t="s">
        <v>8798</v>
      </c>
      <c r="F1606" s="6" t="s">
        <v>8799</v>
      </c>
      <c r="G1606" s="9" t="n">
        <v>101055</v>
      </c>
      <c r="H1606" s="6" t="s">
        <v>384</v>
      </c>
      <c r="I1606" s="6" t="s">
        <v>13</v>
      </c>
      <c r="J1606" s="6" t="s">
        <v>218</v>
      </c>
      <c r="K1606" s="6" t="s">
        <v>8716</v>
      </c>
      <c r="M1606" s="6"/>
    </row>
    <row r="1607" customFormat="false" ht="15" hidden="false" customHeight="false" outlineLevel="0" collapsed="false">
      <c r="A1607" s="6" t="s">
        <v>8802</v>
      </c>
      <c r="B1607" s="6" t="s">
        <v>5203</v>
      </c>
      <c r="C1607" s="6" t="s">
        <v>4975</v>
      </c>
      <c r="D1607" s="6" t="s">
        <v>8664</v>
      </c>
      <c r="E1607" s="6" t="s">
        <v>8803</v>
      </c>
      <c r="F1607" s="6" t="s">
        <v>8804</v>
      </c>
      <c r="G1607" s="9" t="n">
        <v>161123</v>
      </c>
      <c r="H1607" s="6" t="s">
        <v>384</v>
      </c>
      <c r="I1607" s="6" t="s">
        <v>13</v>
      </c>
      <c r="J1607" s="6" t="s">
        <v>218</v>
      </c>
      <c r="K1607" s="6" t="s">
        <v>8716</v>
      </c>
      <c r="M1607" s="6"/>
    </row>
    <row r="1608" customFormat="false" ht="15" hidden="false" customHeight="false" outlineLevel="0" collapsed="false">
      <c r="A1608" s="6" t="s">
        <v>8805</v>
      </c>
      <c r="B1608" s="6" t="s">
        <v>5102</v>
      </c>
      <c r="C1608" s="6" t="s">
        <v>4975</v>
      </c>
      <c r="D1608" s="6" t="s">
        <v>8664</v>
      </c>
      <c r="E1608" s="6" t="s">
        <v>8803</v>
      </c>
      <c r="F1608" s="6" t="s">
        <v>8804</v>
      </c>
      <c r="G1608" s="9" t="n">
        <v>308150</v>
      </c>
      <c r="H1608" s="6" t="s">
        <v>384</v>
      </c>
      <c r="I1608" s="6" t="s">
        <v>13</v>
      </c>
      <c r="J1608" s="6" t="s">
        <v>218</v>
      </c>
      <c r="K1608" s="6" t="s">
        <v>8716</v>
      </c>
      <c r="M1608" s="6"/>
    </row>
    <row r="1609" customFormat="false" ht="15" hidden="false" customHeight="false" outlineLevel="0" collapsed="false">
      <c r="A1609" s="6" t="s">
        <v>8806</v>
      </c>
      <c r="B1609" s="6" t="s">
        <v>5102</v>
      </c>
      <c r="C1609" s="6" t="s">
        <v>4975</v>
      </c>
      <c r="D1609" s="6" t="s">
        <v>8664</v>
      </c>
      <c r="E1609" s="6" t="s">
        <v>8803</v>
      </c>
      <c r="F1609" s="6" t="s">
        <v>8807</v>
      </c>
      <c r="G1609" s="9" t="n">
        <v>308150</v>
      </c>
      <c r="H1609" s="6" t="s">
        <v>384</v>
      </c>
      <c r="I1609" s="6" t="s">
        <v>13</v>
      </c>
      <c r="J1609" s="6" t="s">
        <v>223</v>
      </c>
      <c r="K1609" s="6" t="s">
        <v>8721</v>
      </c>
      <c r="M1609" s="6" t="s">
        <v>8770</v>
      </c>
    </row>
    <row r="1610" customFormat="false" ht="15" hidden="false" customHeight="false" outlineLevel="0" collapsed="false">
      <c r="A1610" s="6" t="s">
        <v>8808</v>
      </c>
      <c r="B1610" s="6" t="s">
        <v>5097</v>
      </c>
      <c r="C1610" s="6" t="s">
        <v>4975</v>
      </c>
      <c r="D1610" s="6" t="s">
        <v>8664</v>
      </c>
      <c r="E1610" s="6" t="s">
        <v>8803</v>
      </c>
      <c r="F1610" s="6" t="s">
        <v>8804</v>
      </c>
      <c r="G1610" s="9" t="n">
        <v>519029</v>
      </c>
      <c r="H1610" s="6" t="s">
        <v>384</v>
      </c>
      <c r="I1610" s="6" t="s">
        <v>13</v>
      </c>
      <c r="J1610" s="6" t="s">
        <v>218</v>
      </c>
      <c r="K1610" s="6" t="s">
        <v>8716</v>
      </c>
      <c r="M1610" s="6"/>
    </row>
    <row r="1611" customFormat="false" ht="15" hidden="false" customHeight="false" outlineLevel="0" collapsed="false">
      <c r="A1611" s="6" t="s">
        <v>8809</v>
      </c>
      <c r="B1611" s="6" t="s">
        <v>5097</v>
      </c>
      <c r="C1611" s="6" t="s">
        <v>4975</v>
      </c>
      <c r="D1611" s="6" t="s">
        <v>8664</v>
      </c>
      <c r="E1611" s="6" t="s">
        <v>8803</v>
      </c>
      <c r="F1611" s="6" t="s">
        <v>8807</v>
      </c>
      <c r="G1611" s="9" t="n">
        <v>519029</v>
      </c>
      <c r="H1611" s="6" t="s">
        <v>384</v>
      </c>
      <c r="I1611" s="6" t="s">
        <v>13</v>
      </c>
      <c r="J1611" s="6" t="s">
        <v>223</v>
      </c>
      <c r="K1611" s="6" t="s">
        <v>8721</v>
      </c>
      <c r="M1611" s="6" t="s">
        <v>8770</v>
      </c>
    </row>
    <row r="1612" customFormat="false" ht="15" hidden="false" customHeight="false" outlineLevel="0" collapsed="false">
      <c r="A1612" s="6" t="s">
        <v>8810</v>
      </c>
      <c r="B1612" s="6" t="s">
        <v>5097</v>
      </c>
      <c r="C1612" s="6" t="s">
        <v>4975</v>
      </c>
      <c r="D1612" s="6" t="s">
        <v>8664</v>
      </c>
      <c r="E1612" s="6" t="s">
        <v>8803</v>
      </c>
      <c r="F1612" s="6" t="s">
        <v>8811</v>
      </c>
      <c r="G1612" s="9" t="n">
        <v>519029</v>
      </c>
      <c r="H1612" s="6" t="s">
        <v>384</v>
      </c>
      <c r="I1612" s="6" t="s">
        <v>13</v>
      </c>
      <c r="J1612" s="6" t="s">
        <v>228</v>
      </c>
      <c r="K1612" s="6" t="s">
        <v>8727</v>
      </c>
      <c r="M1612" s="6"/>
    </row>
    <row r="1613" customFormat="false" ht="15" hidden="false" customHeight="false" outlineLevel="0" collapsed="false">
      <c r="A1613" s="6" t="s">
        <v>8812</v>
      </c>
      <c r="B1613" s="6" t="s">
        <v>5074</v>
      </c>
      <c r="C1613" s="6" t="s">
        <v>4975</v>
      </c>
      <c r="D1613" s="6" t="s">
        <v>8664</v>
      </c>
      <c r="E1613" s="6" t="s">
        <v>8803</v>
      </c>
      <c r="F1613" s="6" t="s">
        <v>8807</v>
      </c>
      <c r="G1613" s="9" t="n">
        <v>729695</v>
      </c>
      <c r="H1613" s="6" t="s">
        <v>384</v>
      </c>
      <c r="I1613" s="6" t="s">
        <v>13</v>
      </c>
      <c r="J1613" s="6" t="s">
        <v>223</v>
      </c>
      <c r="K1613" s="6" t="s">
        <v>8721</v>
      </c>
      <c r="M1613" s="6" t="s">
        <v>8770</v>
      </c>
    </row>
    <row r="1614" customFormat="false" ht="15" hidden="false" customHeight="false" outlineLevel="0" collapsed="false">
      <c r="A1614" s="6" t="s">
        <v>8813</v>
      </c>
      <c r="B1614" s="6" t="s">
        <v>5074</v>
      </c>
      <c r="C1614" s="6" t="s">
        <v>4975</v>
      </c>
      <c r="D1614" s="6" t="s">
        <v>8664</v>
      </c>
      <c r="E1614" s="6" t="s">
        <v>8803</v>
      </c>
      <c r="F1614" s="6" t="s">
        <v>8811</v>
      </c>
      <c r="G1614" s="9" t="n">
        <v>729695</v>
      </c>
      <c r="H1614" s="6" t="s">
        <v>384</v>
      </c>
      <c r="I1614" s="6" t="s">
        <v>13</v>
      </c>
      <c r="J1614" s="6" t="s">
        <v>228</v>
      </c>
      <c r="K1614" s="6" t="s">
        <v>8727</v>
      </c>
      <c r="M1614" s="6"/>
    </row>
    <row r="1615" customFormat="false" ht="15" hidden="false" customHeight="false" outlineLevel="0" collapsed="false">
      <c r="A1615" s="6" t="s">
        <v>8814</v>
      </c>
      <c r="B1615" s="6" t="s">
        <v>5113</v>
      </c>
      <c r="C1615" s="6" t="s">
        <v>4975</v>
      </c>
      <c r="D1615" s="6" t="s">
        <v>8664</v>
      </c>
      <c r="E1615" s="6" t="s">
        <v>8803</v>
      </c>
      <c r="F1615" s="6" t="s">
        <v>8811</v>
      </c>
      <c r="G1615" s="9" t="n">
        <v>971995</v>
      </c>
      <c r="H1615" s="6" t="s">
        <v>384</v>
      </c>
      <c r="I1615" s="6" t="s">
        <v>13</v>
      </c>
      <c r="J1615" s="6" t="s">
        <v>228</v>
      </c>
      <c r="K1615" s="6" t="s">
        <v>8727</v>
      </c>
      <c r="M1615" s="6"/>
    </row>
    <row r="1616" customFormat="false" ht="15" hidden="false" customHeight="false" outlineLevel="0" collapsed="false">
      <c r="A1616" s="6" t="s">
        <v>8815</v>
      </c>
      <c r="B1616" s="6" t="s">
        <v>5519</v>
      </c>
      <c r="C1616" s="6" t="s">
        <v>5316</v>
      </c>
      <c r="D1616" s="6" t="s">
        <v>8664</v>
      </c>
      <c r="E1616" s="6" t="s">
        <v>8803</v>
      </c>
      <c r="F1616" s="6" t="s">
        <v>8816</v>
      </c>
      <c r="G1616" s="9" t="n">
        <v>337935</v>
      </c>
      <c r="H1616" s="6" t="s">
        <v>384</v>
      </c>
      <c r="I1616" s="6" t="s">
        <v>13</v>
      </c>
      <c r="J1616" s="6" t="s">
        <v>238</v>
      </c>
      <c r="K1616" s="6" t="s">
        <v>8740</v>
      </c>
      <c r="M1616" s="6" t="s">
        <v>8817</v>
      </c>
    </row>
    <row r="1617" customFormat="false" ht="15" hidden="false" customHeight="false" outlineLevel="0" collapsed="false">
      <c r="A1617" s="6" t="s">
        <v>8818</v>
      </c>
      <c r="B1617" s="6" t="s">
        <v>5315</v>
      </c>
      <c r="C1617" s="6" t="s">
        <v>5316</v>
      </c>
      <c r="D1617" s="6" t="s">
        <v>8664</v>
      </c>
      <c r="E1617" s="6" t="s">
        <v>8803</v>
      </c>
      <c r="F1617" s="6" t="s">
        <v>8816</v>
      </c>
      <c r="G1617" s="9" t="n">
        <v>453019</v>
      </c>
      <c r="H1617" s="6" t="s">
        <v>384</v>
      </c>
      <c r="I1617" s="6" t="s">
        <v>13</v>
      </c>
      <c r="J1617" s="6" t="s">
        <v>238</v>
      </c>
      <c r="K1617" s="6" t="s">
        <v>8740</v>
      </c>
      <c r="M1617" s="6" t="s">
        <v>8817</v>
      </c>
    </row>
    <row r="1618" customFormat="false" ht="15" hidden="false" customHeight="false" outlineLevel="0" collapsed="false">
      <c r="A1618" s="6" t="s">
        <v>8819</v>
      </c>
      <c r="B1618" s="6" t="s">
        <v>5320</v>
      </c>
      <c r="C1618" s="6" t="s">
        <v>5316</v>
      </c>
      <c r="D1618" s="6" t="s">
        <v>8664</v>
      </c>
      <c r="E1618" s="6" t="s">
        <v>8803</v>
      </c>
      <c r="F1618" s="6" t="s">
        <v>8820</v>
      </c>
      <c r="G1618" s="9" t="n">
        <v>581264</v>
      </c>
      <c r="H1618" s="6" t="s">
        <v>384</v>
      </c>
      <c r="I1618" s="6" t="s">
        <v>13</v>
      </c>
      <c r="J1618" s="6" t="s">
        <v>253</v>
      </c>
      <c r="K1618" s="6" t="s">
        <v>8745</v>
      </c>
      <c r="M1618" s="6" t="s">
        <v>8821</v>
      </c>
    </row>
    <row r="1619" customFormat="false" ht="15" hidden="false" customHeight="false" outlineLevel="0" collapsed="false">
      <c r="A1619" s="6" t="s">
        <v>8822</v>
      </c>
      <c r="B1619" s="6" t="s">
        <v>5320</v>
      </c>
      <c r="C1619" s="6" t="s">
        <v>5316</v>
      </c>
      <c r="D1619" s="6" t="s">
        <v>8664</v>
      </c>
      <c r="E1619" s="6" t="s">
        <v>8803</v>
      </c>
      <c r="F1619" s="6" t="s">
        <v>8823</v>
      </c>
      <c r="G1619" s="9" t="n">
        <v>581264</v>
      </c>
      <c r="H1619" s="6" t="s">
        <v>384</v>
      </c>
      <c r="I1619" s="6" t="s">
        <v>13</v>
      </c>
      <c r="J1619" s="6" t="s">
        <v>261</v>
      </c>
      <c r="K1619" s="6" t="s">
        <v>8757</v>
      </c>
      <c r="M1619" s="6" t="s">
        <v>8824</v>
      </c>
    </row>
    <row r="1620" customFormat="false" ht="15" hidden="false" customHeight="false" outlineLevel="0" collapsed="false">
      <c r="A1620" s="6" t="s">
        <v>8825</v>
      </c>
      <c r="B1620" s="6" t="s">
        <v>5325</v>
      </c>
      <c r="C1620" s="6" t="s">
        <v>5316</v>
      </c>
      <c r="D1620" s="6" t="s">
        <v>8664</v>
      </c>
      <c r="E1620" s="6" t="s">
        <v>8803</v>
      </c>
      <c r="F1620" s="6" t="s">
        <v>8823</v>
      </c>
      <c r="G1620" s="9" t="n">
        <v>715886</v>
      </c>
      <c r="H1620" s="6" t="s">
        <v>384</v>
      </c>
      <c r="I1620" s="6" t="s">
        <v>13</v>
      </c>
      <c r="J1620" s="6" t="s">
        <v>261</v>
      </c>
      <c r="K1620" s="6" t="s">
        <v>8757</v>
      </c>
      <c r="M1620" s="6" t="s">
        <v>5055</v>
      </c>
    </row>
    <row r="1621" customFormat="false" ht="15" hidden="false" customHeight="false" outlineLevel="0" collapsed="false">
      <c r="A1621" s="6" t="s">
        <v>8826</v>
      </c>
      <c r="B1621" s="6" t="s">
        <v>5320</v>
      </c>
      <c r="C1621" s="6" t="s">
        <v>5316</v>
      </c>
      <c r="D1621" s="6" t="s">
        <v>8664</v>
      </c>
      <c r="E1621" s="6" t="s">
        <v>8827</v>
      </c>
      <c r="F1621" s="6" t="s">
        <v>8820</v>
      </c>
      <c r="G1621" s="9" t="n">
        <v>581264</v>
      </c>
      <c r="H1621" s="6" t="s">
        <v>384</v>
      </c>
      <c r="I1621" s="6" t="s">
        <v>13</v>
      </c>
      <c r="J1621" s="6" t="s">
        <v>268</v>
      </c>
      <c r="K1621" s="6" t="s">
        <v>8749</v>
      </c>
      <c r="M1621" s="6" t="s">
        <v>8828</v>
      </c>
    </row>
    <row r="1622" customFormat="false" ht="15" hidden="false" customHeight="false" outlineLevel="0" collapsed="false">
      <c r="A1622" s="6" t="s">
        <v>8829</v>
      </c>
      <c r="B1622" s="6" t="s">
        <v>5315</v>
      </c>
      <c r="C1622" s="6" t="s">
        <v>5316</v>
      </c>
      <c r="D1622" s="6" t="s">
        <v>8664</v>
      </c>
      <c r="E1622" s="6" t="s">
        <v>8830</v>
      </c>
      <c r="F1622" s="6" t="s">
        <v>8820</v>
      </c>
      <c r="G1622" s="9" t="n">
        <v>453019</v>
      </c>
      <c r="H1622" s="6" t="s">
        <v>384</v>
      </c>
      <c r="I1622" s="6" t="s">
        <v>13</v>
      </c>
      <c r="J1622" s="6" t="s">
        <v>268</v>
      </c>
      <c r="K1622" s="6" t="s">
        <v>8749</v>
      </c>
      <c r="M1622" s="6" t="s">
        <v>8831</v>
      </c>
    </row>
    <row r="1623" customFormat="false" ht="15" hidden="false" customHeight="false" outlineLevel="0" collapsed="false">
      <c r="A1623" s="6" t="s">
        <v>8832</v>
      </c>
      <c r="B1623" s="6" t="s">
        <v>5315</v>
      </c>
      <c r="C1623" s="6" t="s">
        <v>5316</v>
      </c>
      <c r="D1623" s="6" t="s">
        <v>8664</v>
      </c>
      <c r="E1623" s="6" t="s">
        <v>8833</v>
      </c>
      <c r="F1623" s="6" t="s">
        <v>8820</v>
      </c>
      <c r="G1623" s="9" t="n">
        <v>453019</v>
      </c>
      <c r="H1623" s="6" t="s">
        <v>384</v>
      </c>
      <c r="I1623" s="6" t="s">
        <v>13</v>
      </c>
      <c r="J1623" s="6" t="s">
        <v>253</v>
      </c>
      <c r="K1623" s="6" t="s">
        <v>8745</v>
      </c>
      <c r="M1623" s="6" t="s">
        <v>8834</v>
      </c>
    </row>
    <row r="1624" customFormat="false" ht="15" hidden="false" customHeight="false" outlineLevel="0" collapsed="false">
      <c r="A1624" s="6" t="s">
        <v>8835</v>
      </c>
      <c r="B1624" s="6" t="s">
        <v>5102</v>
      </c>
      <c r="C1624" s="6" t="s">
        <v>4975</v>
      </c>
      <c r="D1624" s="6" t="s">
        <v>8664</v>
      </c>
      <c r="E1624" s="6" t="s">
        <v>8836</v>
      </c>
      <c r="F1624" s="6" t="s">
        <v>8837</v>
      </c>
      <c r="G1624" s="9" t="n">
        <v>30171</v>
      </c>
      <c r="H1624" s="6" t="s">
        <v>384</v>
      </c>
      <c r="I1624" s="6" t="s">
        <v>13</v>
      </c>
      <c r="J1624" s="6" t="s">
        <v>223</v>
      </c>
      <c r="K1624" s="6" t="s">
        <v>8721</v>
      </c>
      <c r="M1624" s="6" t="s">
        <v>8770</v>
      </c>
    </row>
    <row r="1625" customFormat="false" ht="15" hidden="false" customHeight="false" outlineLevel="0" collapsed="false">
      <c r="A1625" s="6" t="s">
        <v>8838</v>
      </c>
      <c r="B1625" s="6" t="s">
        <v>5097</v>
      </c>
      <c r="C1625" s="6" t="s">
        <v>4975</v>
      </c>
      <c r="D1625" s="6" t="s">
        <v>8664</v>
      </c>
      <c r="E1625" s="6" t="s">
        <v>8836</v>
      </c>
      <c r="F1625" s="6" t="s">
        <v>8837</v>
      </c>
      <c r="G1625" s="9" t="n">
        <v>50625</v>
      </c>
      <c r="H1625" s="6" t="s">
        <v>384</v>
      </c>
      <c r="I1625" s="6" t="s">
        <v>13</v>
      </c>
      <c r="J1625" s="6" t="s">
        <v>223</v>
      </c>
      <c r="K1625" s="6" t="s">
        <v>8721</v>
      </c>
      <c r="M1625" s="6" t="s">
        <v>8770</v>
      </c>
    </row>
    <row r="1626" customFormat="false" ht="15" hidden="false" customHeight="false" outlineLevel="0" collapsed="false">
      <c r="A1626" s="6" t="s">
        <v>8839</v>
      </c>
      <c r="B1626" s="6" t="s">
        <v>5097</v>
      </c>
      <c r="C1626" s="6" t="s">
        <v>4975</v>
      </c>
      <c r="D1626" s="6" t="s">
        <v>8664</v>
      </c>
      <c r="E1626" s="6" t="s">
        <v>8836</v>
      </c>
      <c r="F1626" s="6" t="s">
        <v>8840</v>
      </c>
      <c r="G1626" s="9" t="n">
        <v>50625</v>
      </c>
      <c r="H1626" s="6" t="s">
        <v>384</v>
      </c>
      <c r="I1626" s="6" t="s">
        <v>13</v>
      </c>
      <c r="J1626" s="6" t="s">
        <v>228</v>
      </c>
      <c r="K1626" s="6" t="s">
        <v>8727</v>
      </c>
      <c r="M1626" s="6"/>
    </row>
    <row r="1627" customFormat="false" ht="15" hidden="false" customHeight="false" outlineLevel="0" collapsed="false">
      <c r="A1627" s="6" t="s">
        <v>8841</v>
      </c>
      <c r="B1627" s="6" t="s">
        <v>5074</v>
      </c>
      <c r="C1627" s="6" t="s">
        <v>4975</v>
      </c>
      <c r="D1627" s="6" t="s">
        <v>8664</v>
      </c>
      <c r="E1627" s="6" t="s">
        <v>8836</v>
      </c>
      <c r="F1627" s="6" t="s">
        <v>8837</v>
      </c>
      <c r="G1627" s="9" t="n">
        <v>73236</v>
      </c>
      <c r="H1627" s="6" t="s">
        <v>384</v>
      </c>
      <c r="I1627" s="6" t="s">
        <v>13</v>
      </c>
      <c r="J1627" s="6" t="s">
        <v>223</v>
      </c>
      <c r="K1627" s="6" t="s">
        <v>8721</v>
      </c>
      <c r="M1627" s="6" t="s">
        <v>8770</v>
      </c>
    </row>
    <row r="1628" customFormat="false" ht="15" hidden="false" customHeight="false" outlineLevel="0" collapsed="false">
      <c r="A1628" s="6" t="s">
        <v>8842</v>
      </c>
      <c r="B1628" s="6" t="s">
        <v>5074</v>
      </c>
      <c r="C1628" s="6" t="s">
        <v>4975</v>
      </c>
      <c r="D1628" s="6" t="s">
        <v>8664</v>
      </c>
      <c r="E1628" s="6" t="s">
        <v>8836</v>
      </c>
      <c r="F1628" s="6" t="s">
        <v>8840</v>
      </c>
      <c r="G1628" s="9" t="n">
        <v>73236</v>
      </c>
      <c r="H1628" s="6" t="s">
        <v>384</v>
      </c>
      <c r="I1628" s="6" t="s">
        <v>13</v>
      </c>
      <c r="J1628" s="6" t="s">
        <v>228</v>
      </c>
      <c r="K1628" s="6" t="s">
        <v>8727</v>
      </c>
      <c r="M1628" s="6"/>
    </row>
    <row r="1629" customFormat="false" ht="15" hidden="false" customHeight="false" outlineLevel="0" collapsed="false">
      <c r="A1629" s="6" t="s">
        <v>8843</v>
      </c>
      <c r="B1629" s="6" t="s">
        <v>5074</v>
      </c>
      <c r="C1629" s="6" t="s">
        <v>4975</v>
      </c>
      <c r="D1629" s="6" t="s">
        <v>8664</v>
      </c>
      <c r="E1629" s="6" t="s">
        <v>8836</v>
      </c>
      <c r="F1629" s="6" t="s">
        <v>8732</v>
      </c>
      <c r="G1629" s="9" t="n">
        <v>73236</v>
      </c>
      <c r="H1629" s="6" t="s">
        <v>384</v>
      </c>
      <c r="I1629" s="6" t="s">
        <v>13</v>
      </c>
      <c r="J1629" s="6" t="s">
        <v>233</v>
      </c>
      <c r="K1629" s="6" t="s">
        <v>8733</v>
      </c>
      <c r="M1629" s="6" t="s">
        <v>8734</v>
      </c>
    </row>
    <row r="1630" customFormat="false" ht="15" hidden="false" customHeight="false" outlineLevel="0" collapsed="false">
      <c r="A1630" s="6" t="s">
        <v>8844</v>
      </c>
      <c r="B1630" s="6" t="s">
        <v>5113</v>
      </c>
      <c r="C1630" s="6" t="s">
        <v>4975</v>
      </c>
      <c r="D1630" s="6" t="s">
        <v>8664</v>
      </c>
      <c r="E1630" s="6" t="s">
        <v>8836</v>
      </c>
      <c r="F1630" s="6" t="s">
        <v>8840</v>
      </c>
      <c r="G1630" s="9" t="n">
        <v>101538</v>
      </c>
      <c r="H1630" s="6" t="s">
        <v>384</v>
      </c>
      <c r="I1630" s="6" t="s">
        <v>13</v>
      </c>
      <c r="J1630" s="6" t="s">
        <v>228</v>
      </c>
      <c r="K1630" s="6" t="s">
        <v>8727</v>
      </c>
      <c r="M1630" s="6"/>
    </row>
    <row r="1631" customFormat="false" ht="15" hidden="false" customHeight="false" outlineLevel="0" collapsed="false">
      <c r="A1631" s="6" t="s">
        <v>8845</v>
      </c>
      <c r="B1631" s="6" t="s">
        <v>5113</v>
      </c>
      <c r="C1631" s="6" t="s">
        <v>4975</v>
      </c>
      <c r="D1631" s="6" t="s">
        <v>8664</v>
      </c>
      <c r="E1631" s="6" t="s">
        <v>8836</v>
      </c>
      <c r="F1631" s="6" t="s">
        <v>8732</v>
      </c>
      <c r="G1631" s="9" t="n">
        <v>101538</v>
      </c>
      <c r="H1631" s="6" t="s">
        <v>384</v>
      </c>
      <c r="I1631" s="6" t="s">
        <v>13</v>
      </c>
      <c r="J1631" s="6" t="s">
        <v>233</v>
      </c>
      <c r="K1631" s="6" t="s">
        <v>8733</v>
      </c>
      <c r="M1631" s="6" t="s">
        <v>8734</v>
      </c>
    </row>
    <row r="1632" customFormat="false" ht="15" hidden="false" customHeight="false" outlineLevel="0" collapsed="false">
      <c r="A1632" s="6" t="s">
        <v>8846</v>
      </c>
      <c r="B1632" s="6" t="s">
        <v>5079</v>
      </c>
      <c r="C1632" s="6" t="s">
        <v>4975</v>
      </c>
      <c r="D1632" s="6" t="s">
        <v>8664</v>
      </c>
      <c r="E1632" s="6" t="s">
        <v>8836</v>
      </c>
      <c r="F1632" s="6" t="s">
        <v>8732</v>
      </c>
      <c r="G1632" s="9" t="n">
        <v>134576</v>
      </c>
      <c r="H1632" s="6" t="s">
        <v>384</v>
      </c>
      <c r="I1632" s="6" t="s">
        <v>13</v>
      </c>
      <c r="J1632" s="6" t="s">
        <v>233</v>
      </c>
      <c r="K1632" s="6" t="s">
        <v>8733</v>
      </c>
      <c r="M1632" s="6" t="s">
        <v>8734</v>
      </c>
    </row>
    <row r="1633" customFormat="false" ht="15" hidden="false" customHeight="false" outlineLevel="0" collapsed="false">
      <c r="A1633" s="6" t="s">
        <v>8847</v>
      </c>
      <c r="B1633" s="6" t="s">
        <v>5519</v>
      </c>
      <c r="C1633" s="6" t="s">
        <v>5316</v>
      </c>
      <c r="D1633" s="6" t="s">
        <v>8664</v>
      </c>
      <c r="E1633" s="6" t="s">
        <v>8836</v>
      </c>
      <c r="F1633" s="6" t="s">
        <v>8848</v>
      </c>
      <c r="G1633" s="9" t="n">
        <v>33370</v>
      </c>
      <c r="H1633" s="6" t="s">
        <v>384</v>
      </c>
      <c r="I1633" s="6" t="s">
        <v>13</v>
      </c>
      <c r="J1633" s="6" t="s">
        <v>238</v>
      </c>
      <c r="K1633" s="6" t="s">
        <v>8740</v>
      </c>
      <c r="M1633" s="6" t="s">
        <v>8741</v>
      </c>
    </row>
    <row r="1634" customFormat="false" ht="15" hidden="false" customHeight="false" outlineLevel="0" collapsed="false">
      <c r="A1634" s="6" t="s">
        <v>8849</v>
      </c>
      <c r="B1634" s="6" t="s">
        <v>5315</v>
      </c>
      <c r="C1634" s="6" t="s">
        <v>5316</v>
      </c>
      <c r="D1634" s="6" t="s">
        <v>8664</v>
      </c>
      <c r="E1634" s="6" t="s">
        <v>8836</v>
      </c>
      <c r="F1634" s="6" t="s">
        <v>8848</v>
      </c>
      <c r="G1634" s="9" t="n">
        <v>46865</v>
      </c>
      <c r="H1634" s="6" t="s">
        <v>384</v>
      </c>
      <c r="I1634" s="6" t="s">
        <v>13</v>
      </c>
      <c r="J1634" s="6" t="s">
        <v>238</v>
      </c>
      <c r="K1634" s="6" t="s">
        <v>8740</v>
      </c>
      <c r="M1634" s="6" t="s">
        <v>8741</v>
      </c>
    </row>
    <row r="1635" customFormat="false" ht="15" hidden="false" customHeight="false" outlineLevel="0" collapsed="false">
      <c r="A1635" s="6" t="s">
        <v>8850</v>
      </c>
      <c r="B1635" s="6" t="s">
        <v>5320</v>
      </c>
      <c r="C1635" s="6" t="s">
        <v>5316</v>
      </c>
      <c r="D1635" s="6" t="s">
        <v>8664</v>
      </c>
      <c r="E1635" s="6" t="s">
        <v>8836</v>
      </c>
      <c r="F1635" s="6" t="s">
        <v>8851</v>
      </c>
      <c r="G1635" s="9" t="n">
        <v>62300</v>
      </c>
      <c r="H1635" s="6" t="s">
        <v>384</v>
      </c>
      <c r="I1635" s="6" t="s">
        <v>13</v>
      </c>
      <c r="J1635" s="6" t="s">
        <v>253</v>
      </c>
      <c r="K1635" s="6" t="s">
        <v>8745</v>
      </c>
      <c r="M1635" s="6" t="s">
        <v>8746</v>
      </c>
    </row>
    <row r="1636" customFormat="false" ht="15" hidden="false" customHeight="false" outlineLevel="0" collapsed="false">
      <c r="A1636" s="6" t="s">
        <v>8852</v>
      </c>
      <c r="B1636" s="6" t="s">
        <v>5320</v>
      </c>
      <c r="C1636" s="6" t="s">
        <v>5316</v>
      </c>
      <c r="D1636" s="6" t="s">
        <v>8664</v>
      </c>
      <c r="E1636" s="6" t="s">
        <v>8836</v>
      </c>
      <c r="F1636" s="6" t="s">
        <v>8853</v>
      </c>
      <c r="G1636" s="9" t="n">
        <v>62300</v>
      </c>
      <c r="H1636" s="6" t="s">
        <v>384</v>
      </c>
      <c r="I1636" s="6" t="s">
        <v>13</v>
      </c>
      <c r="J1636" s="6" t="s">
        <v>261</v>
      </c>
      <c r="K1636" s="6" t="s">
        <v>8757</v>
      </c>
      <c r="M1636" s="6" t="s">
        <v>8758</v>
      </c>
    </row>
    <row r="1637" customFormat="false" ht="15" hidden="false" customHeight="false" outlineLevel="0" collapsed="false">
      <c r="A1637" s="6" t="s">
        <v>8854</v>
      </c>
      <c r="B1637" s="6" t="s">
        <v>5325</v>
      </c>
      <c r="C1637" s="6" t="s">
        <v>5316</v>
      </c>
      <c r="D1637" s="6" t="s">
        <v>8664</v>
      </c>
      <c r="E1637" s="6" t="s">
        <v>8836</v>
      </c>
      <c r="F1637" s="6" t="s">
        <v>8853</v>
      </c>
      <c r="G1637" s="9" t="n">
        <v>82053</v>
      </c>
      <c r="H1637" s="6" t="s">
        <v>384</v>
      </c>
      <c r="I1637" s="6" t="s">
        <v>13</v>
      </c>
      <c r="J1637" s="6" t="s">
        <v>261</v>
      </c>
      <c r="K1637" s="6" t="s">
        <v>8757</v>
      </c>
      <c r="M1637" s="6"/>
    </row>
    <row r="1638" customFormat="false" ht="15" hidden="false" customHeight="false" outlineLevel="0" collapsed="false">
      <c r="A1638" s="6" t="s">
        <v>8855</v>
      </c>
      <c r="B1638" s="6" t="s">
        <v>5320</v>
      </c>
      <c r="C1638" s="6" t="s">
        <v>5316</v>
      </c>
      <c r="D1638" s="6" t="s">
        <v>8664</v>
      </c>
      <c r="E1638" s="6" t="s">
        <v>8856</v>
      </c>
      <c r="F1638" s="6" t="s">
        <v>8851</v>
      </c>
      <c r="G1638" s="9" t="n">
        <v>62300</v>
      </c>
      <c r="H1638" s="6" t="s">
        <v>384</v>
      </c>
      <c r="I1638" s="6" t="s">
        <v>13</v>
      </c>
      <c r="J1638" s="6" t="s">
        <v>268</v>
      </c>
      <c r="K1638" s="6" t="s">
        <v>8749</v>
      </c>
      <c r="M1638" s="6" t="s">
        <v>8750</v>
      </c>
    </row>
    <row r="1639" customFormat="false" ht="15" hidden="false" customHeight="false" outlineLevel="0" collapsed="false">
      <c r="A1639" s="6" t="s">
        <v>8857</v>
      </c>
      <c r="B1639" s="6" t="s">
        <v>5315</v>
      </c>
      <c r="C1639" s="6" t="s">
        <v>5316</v>
      </c>
      <c r="D1639" s="6" t="s">
        <v>8664</v>
      </c>
      <c r="E1639" s="6" t="s">
        <v>8858</v>
      </c>
      <c r="F1639" s="6" t="s">
        <v>8851</v>
      </c>
      <c r="G1639" s="9" t="n">
        <v>46865</v>
      </c>
      <c r="H1639" s="6" t="s">
        <v>384</v>
      </c>
      <c r="I1639" s="6" t="s">
        <v>13</v>
      </c>
      <c r="J1639" s="6" t="s">
        <v>268</v>
      </c>
      <c r="K1639" s="6" t="s">
        <v>8749</v>
      </c>
      <c r="M1639" s="6" t="s">
        <v>8753</v>
      </c>
    </row>
    <row r="1640" customFormat="false" ht="15" hidden="false" customHeight="false" outlineLevel="0" collapsed="false">
      <c r="A1640" s="6" t="s">
        <v>8859</v>
      </c>
      <c r="B1640" s="6" t="s">
        <v>5315</v>
      </c>
      <c r="C1640" s="6" t="s">
        <v>5316</v>
      </c>
      <c r="D1640" s="6" t="s">
        <v>8664</v>
      </c>
      <c r="E1640" s="6" t="s">
        <v>8860</v>
      </c>
      <c r="F1640" s="6" t="s">
        <v>8851</v>
      </c>
      <c r="G1640" s="9" t="n">
        <v>46865</v>
      </c>
      <c r="H1640" s="6" t="s">
        <v>384</v>
      </c>
      <c r="I1640" s="6" t="s">
        <v>13</v>
      </c>
      <c r="J1640" s="6" t="s">
        <v>253</v>
      </c>
      <c r="K1640" s="6" t="s">
        <v>8745</v>
      </c>
      <c r="M1640" s="6" t="s">
        <v>8762</v>
      </c>
    </row>
    <row r="1641" customFormat="false" ht="15" hidden="false" customHeight="false" outlineLevel="0" collapsed="false">
      <c r="A1641" s="6" t="s">
        <v>8861</v>
      </c>
      <c r="B1641" s="6" t="s">
        <v>6032</v>
      </c>
      <c r="C1641" s="6" t="s">
        <v>4975</v>
      </c>
      <c r="D1641" s="6" t="s">
        <v>8664</v>
      </c>
      <c r="E1641" s="6" t="s">
        <v>8862</v>
      </c>
      <c r="F1641" s="6" t="s">
        <v>8863</v>
      </c>
      <c r="G1641" s="9" t="n">
        <v>36439</v>
      </c>
      <c r="H1641" s="6" t="s">
        <v>384</v>
      </c>
      <c r="I1641" s="6" t="s">
        <v>13</v>
      </c>
      <c r="J1641" s="6" t="s">
        <v>209</v>
      </c>
      <c r="K1641" s="6" t="s">
        <v>8712</v>
      </c>
      <c r="M1641" s="6"/>
    </row>
    <row r="1642" customFormat="false" ht="15" hidden="false" customHeight="false" outlineLevel="0" collapsed="false">
      <c r="A1642" s="6" t="s">
        <v>8864</v>
      </c>
      <c r="B1642" s="6" t="s">
        <v>5203</v>
      </c>
      <c r="C1642" s="6" t="s">
        <v>4975</v>
      </c>
      <c r="D1642" s="6" t="s">
        <v>8664</v>
      </c>
      <c r="E1642" s="6" t="s">
        <v>8862</v>
      </c>
      <c r="F1642" s="6" t="s">
        <v>8863</v>
      </c>
      <c r="G1642" s="9" t="n">
        <v>77933</v>
      </c>
      <c r="H1642" s="6" t="s">
        <v>384</v>
      </c>
      <c r="I1642" s="6" t="s">
        <v>13</v>
      </c>
      <c r="J1642" s="6" t="s">
        <v>209</v>
      </c>
      <c r="K1642" s="6" t="s">
        <v>8712</v>
      </c>
      <c r="M1642" s="6"/>
    </row>
    <row r="1643" customFormat="false" ht="15" hidden="false" customHeight="false" outlineLevel="0" collapsed="false">
      <c r="A1643" s="6" t="s">
        <v>8865</v>
      </c>
      <c r="B1643" s="6" t="s">
        <v>5203</v>
      </c>
      <c r="C1643" s="6" t="s">
        <v>4975</v>
      </c>
      <c r="D1643" s="6" t="s">
        <v>8664</v>
      </c>
      <c r="E1643" s="6" t="s">
        <v>8862</v>
      </c>
      <c r="F1643" s="6" t="s">
        <v>8866</v>
      </c>
      <c r="G1643" s="9" t="n">
        <v>77933</v>
      </c>
      <c r="H1643" s="6" t="s">
        <v>384</v>
      </c>
      <c r="I1643" s="6" t="s">
        <v>13</v>
      </c>
      <c r="J1643" s="6" t="s">
        <v>218</v>
      </c>
      <c r="K1643" s="6" t="s">
        <v>8716</v>
      </c>
      <c r="M1643" s="6"/>
    </row>
    <row r="1644" customFormat="false" ht="15" hidden="false" customHeight="false" outlineLevel="0" collapsed="false">
      <c r="A1644" s="6" t="s">
        <v>8867</v>
      </c>
      <c r="B1644" s="6" t="s">
        <v>5102</v>
      </c>
      <c r="C1644" s="6" t="s">
        <v>4975</v>
      </c>
      <c r="D1644" s="6" t="s">
        <v>8664</v>
      </c>
      <c r="E1644" s="6" t="s">
        <v>8862</v>
      </c>
      <c r="F1644" s="6" t="s">
        <v>8863</v>
      </c>
      <c r="G1644" s="9" t="n">
        <v>148291</v>
      </c>
      <c r="H1644" s="6" t="s">
        <v>384</v>
      </c>
      <c r="I1644" s="6" t="s">
        <v>13</v>
      </c>
      <c r="J1644" s="6" t="s">
        <v>209</v>
      </c>
      <c r="K1644" s="6" t="s">
        <v>8712</v>
      </c>
      <c r="M1644" s="6"/>
    </row>
    <row r="1645" customFormat="false" ht="15" hidden="false" customHeight="false" outlineLevel="0" collapsed="false">
      <c r="A1645" s="6" t="s">
        <v>8868</v>
      </c>
      <c r="B1645" s="6" t="s">
        <v>5102</v>
      </c>
      <c r="C1645" s="6" t="s">
        <v>4975</v>
      </c>
      <c r="D1645" s="6" t="s">
        <v>8664</v>
      </c>
      <c r="E1645" s="6" t="s">
        <v>8862</v>
      </c>
      <c r="F1645" s="6" t="s">
        <v>8866</v>
      </c>
      <c r="G1645" s="9" t="n">
        <v>148291</v>
      </c>
      <c r="H1645" s="6" t="s">
        <v>384</v>
      </c>
      <c r="I1645" s="6" t="s">
        <v>13</v>
      </c>
      <c r="J1645" s="6" t="s">
        <v>218</v>
      </c>
      <c r="K1645" s="6" t="s">
        <v>8716</v>
      </c>
      <c r="M1645" s="6"/>
    </row>
    <row r="1646" customFormat="false" ht="15" hidden="false" customHeight="false" outlineLevel="0" collapsed="false">
      <c r="A1646" s="6" t="s">
        <v>8869</v>
      </c>
      <c r="B1646" s="6" t="s">
        <v>5102</v>
      </c>
      <c r="C1646" s="6" t="s">
        <v>4975</v>
      </c>
      <c r="D1646" s="6" t="s">
        <v>8664</v>
      </c>
      <c r="E1646" s="6" t="s">
        <v>8862</v>
      </c>
      <c r="F1646" s="6" t="s">
        <v>8870</v>
      </c>
      <c r="G1646" s="9" t="n">
        <v>148291</v>
      </c>
      <c r="H1646" s="6" t="s">
        <v>384</v>
      </c>
      <c r="I1646" s="6" t="s">
        <v>13</v>
      </c>
      <c r="J1646" s="6" t="s">
        <v>223</v>
      </c>
      <c r="K1646" s="6" t="s">
        <v>8721</v>
      </c>
      <c r="M1646" s="6" t="s">
        <v>8770</v>
      </c>
    </row>
    <row r="1647" customFormat="false" ht="15" hidden="false" customHeight="false" outlineLevel="0" collapsed="false">
      <c r="A1647" s="6" t="s">
        <v>8871</v>
      </c>
      <c r="B1647" s="6" t="s">
        <v>5097</v>
      </c>
      <c r="C1647" s="6" t="s">
        <v>4975</v>
      </c>
      <c r="D1647" s="6" t="s">
        <v>8664</v>
      </c>
      <c r="E1647" s="6" t="s">
        <v>8862</v>
      </c>
      <c r="F1647" s="6" t="s">
        <v>8866</v>
      </c>
      <c r="G1647" s="9" t="n">
        <v>255495</v>
      </c>
      <c r="H1647" s="6" t="s">
        <v>384</v>
      </c>
      <c r="I1647" s="6" t="s">
        <v>13</v>
      </c>
      <c r="J1647" s="6" t="s">
        <v>218</v>
      </c>
      <c r="K1647" s="6" t="s">
        <v>8716</v>
      </c>
      <c r="M1647" s="6"/>
    </row>
    <row r="1648" customFormat="false" ht="15" hidden="false" customHeight="false" outlineLevel="0" collapsed="false">
      <c r="A1648" s="6" t="s">
        <v>8872</v>
      </c>
      <c r="B1648" s="6" t="s">
        <v>5097</v>
      </c>
      <c r="C1648" s="6" t="s">
        <v>4975</v>
      </c>
      <c r="D1648" s="6" t="s">
        <v>8664</v>
      </c>
      <c r="E1648" s="6" t="s">
        <v>8862</v>
      </c>
      <c r="F1648" s="6" t="s">
        <v>8870</v>
      </c>
      <c r="G1648" s="9" t="n">
        <v>255495</v>
      </c>
      <c r="H1648" s="6" t="s">
        <v>384</v>
      </c>
      <c r="I1648" s="6" t="s">
        <v>13</v>
      </c>
      <c r="J1648" s="6" t="s">
        <v>223</v>
      </c>
      <c r="K1648" s="6" t="s">
        <v>8721</v>
      </c>
      <c r="M1648" s="6" t="s">
        <v>8770</v>
      </c>
    </row>
    <row r="1649" customFormat="false" ht="15" hidden="false" customHeight="false" outlineLevel="0" collapsed="false">
      <c r="A1649" s="6" t="s">
        <v>8873</v>
      </c>
      <c r="B1649" s="6" t="s">
        <v>5097</v>
      </c>
      <c r="C1649" s="6" t="s">
        <v>4975</v>
      </c>
      <c r="D1649" s="6" t="s">
        <v>8664</v>
      </c>
      <c r="E1649" s="6" t="s">
        <v>8862</v>
      </c>
      <c r="F1649" s="6" t="s">
        <v>8874</v>
      </c>
      <c r="G1649" s="9" t="n">
        <v>255495</v>
      </c>
      <c r="H1649" s="6" t="s">
        <v>384</v>
      </c>
      <c r="I1649" s="6" t="s">
        <v>13</v>
      </c>
      <c r="J1649" s="6" t="s">
        <v>228</v>
      </c>
      <c r="K1649" s="6" t="s">
        <v>8727</v>
      </c>
      <c r="M1649" s="6"/>
    </row>
    <row r="1650" customFormat="false" ht="15" hidden="false" customHeight="false" outlineLevel="0" collapsed="false">
      <c r="A1650" s="6" t="s">
        <v>8875</v>
      </c>
      <c r="B1650" s="6" t="s">
        <v>5074</v>
      </c>
      <c r="C1650" s="6" t="s">
        <v>4975</v>
      </c>
      <c r="D1650" s="6" t="s">
        <v>8664</v>
      </c>
      <c r="E1650" s="6" t="s">
        <v>8862</v>
      </c>
      <c r="F1650" s="6" t="s">
        <v>8870</v>
      </c>
      <c r="G1650" s="9" t="n">
        <v>364070</v>
      </c>
      <c r="H1650" s="6" t="s">
        <v>384</v>
      </c>
      <c r="I1650" s="6" t="s">
        <v>13</v>
      </c>
      <c r="J1650" s="6" t="s">
        <v>223</v>
      </c>
      <c r="K1650" s="6" t="s">
        <v>8721</v>
      </c>
      <c r="M1650" s="6" t="s">
        <v>8770</v>
      </c>
    </row>
    <row r="1651" customFormat="false" ht="15" hidden="false" customHeight="false" outlineLevel="0" collapsed="false">
      <c r="A1651" s="6" t="s">
        <v>8876</v>
      </c>
      <c r="B1651" s="6" t="s">
        <v>5074</v>
      </c>
      <c r="C1651" s="6" t="s">
        <v>4975</v>
      </c>
      <c r="D1651" s="6" t="s">
        <v>8664</v>
      </c>
      <c r="E1651" s="6" t="s">
        <v>8862</v>
      </c>
      <c r="F1651" s="6" t="s">
        <v>8874</v>
      </c>
      <c r="G1651" s="9" t="n">
        <v>364070</v>
      </c>
      <c r="H1651" s="6" t="s">
        <v>384</v>
      </c>
      <c r="I1651" s="6" t="s">
        <v>13</v>
      </c>
      <c r="J1651" s="6" t="s">
        <v>228</v>
      </c>
      <c r="K1651" s="6" t="s">
        <v>8727</v>
      </c>
      <c r="M1651" s="6"/>
    </row>
    <row r="1652" customFormat="false" ht="15" hidden="false" customHeight="false" outlineLevel="0" collapsed="false">
      <c r="A1652" s="6" t="s">
        <v>8877</v>
      </c>
      <c r="B1652" s="6" t="s">
        <v>5074</v>
      </c>
      <c r="C1652" s="6" t="s">
        <v>4975</v>
      </c>
      <c r="D1652" s="6" t="s">
        <v>8664</v>
      </c>
      <c r="E1652" s="6" t="s">
        <v>8862</v>
      </c>
      <c r="F1652" s="6" t="s">
        <v>8732</v>
      </c>
      <c r="G1652" s="9" t="n">
        <v>364070</v>
      </c>
      <c r="H1652" s="6" t="s">
        <v>384</v>
      </c>
      <c r="I1652" s="6" t="s">
        <v>13</v>
      </c>
      <c r="J1652" s="6" t="s">
        <v>233</v>
      </c>
      <c r="K1652" s="6" t="s">
        <v>8733</v>
      </c>
      <c r="M1652" s="6"/>
    </row>
    <row r="1653" customFormat="false" ht="15" hidden="false" customHeight="false" outlineLevel="0" collapsed="false">
      <c r="A1653" s="6" t="s">
        <v>8878</v>
      </c>
      <c r="B1653" s="6" t="s">
        <v>5113</v>
      </c>
      <c r="C1653" s="6" t="s">
        <v>4975</v>
      </c>
      <c r="D1653" s="6" t="s">
        <v>8664</v>
      </c>
      <c r="E1653" s="6" t="s">
        <v>8862</v>
      </c>
      <c r="F1653" s="6" t="s">
        <v>8874</v>
      </c>
      <c r="G1653" s="9" t="n">
        <v>484523</v>
      </c>
      <c r="H1653" s="6" t="s">
        <v>384</v>
      </c>
      <c r="I1653" s="6" t="s">
        <v>13</v>
      </c>
      <c r="J1653" s="6" t="s">
        <v>228</v>
      </c>
      <c r="K1653" s="6" t="s">
        <v>8727</v>
      </c>
      <c r="M1653" s="6"/>
    </row>
    <row r="1654" customFormat="false" ht="15" hidden="false" customHeight="false" outlineLevel="0" collapsed="false">
      <c r="A1654" s="6" t="s">
        <v>8879</v>
      </c>
      <c r="B1654" s="6" t="s">
        <v>5113</v>
      </c>
      <c r="C1654" s="6" t="s">
        <v>4975</v>
      </c>
      <c r="D1654" s="6" t="s">
        <v>8664</v>
      </c>
      <c r="E1654" s="6" t="s">
        <v>8862</v>
      </c>
      <c r="F1654" s="6" t="s">
        <v>8732</v>
      </c>
      <c r="G1654" s="9" t="n">
        <v>484523</v>
      </c>
      <c r="H1654" s="6" t="s">
        <v>384</v>
      </c>
      <c r="I1654" s="6" t="s">
        <v>13</v>
      </c>
      <c r="J1654" s="6" t="s">
        <v>233</v>
      </c>
      <c r="K1654" s="6" t="s">
        <v>8733</v>
      </c>
      <c r="M1654" s="6"/>
    </row>
    <row r="1655" customFormat="false" ht="15" hidden="false" customHeight="false" outlineLevel="0" collapsed="false">
      <c r="A1655" s="6" t="s">
        <v>8880</v>
      </c>
      <c r="B1655" s="6" t="s">
        <v>5079</v>
      </c>
      <c r="C1655" s="6" t="s">
        <v>4975</v>
      </c>
      <c r="D1655" s="6" t="s">
        <v>8664</v>
      </c>
      <c r="E1655" s="6" t="s">
        <v>8862</v>
      </c>
      <c r="F1655" s="6" t="s">
        <v>8732</v>
      </c>
      <c r="G1655" s="9" t="n">
        <v>619191</v>
      </c>
      <c r="H1655" s="6" t="s">
        <v>384</v>
      </c>
      <c r="I1655" s="6" t="s">
        <v>13</v>
      </c>
      <c r="J1655" s="6" t="s">
        <v>233</v>
      </c>
      <c r="K1655" s="6" t="s">
        <v>8733</v>
      </c>
      <c r="M1655" s="6"/>
    </row>
    <row r="1656" customFormat="false" ht="15" hidden="false" customHeight="false" outlineLevel="0" collapsed="false">
      <c r="A1656" s="6" t="s">
        <v>8881</v>
      </c>
      <c r="B1656" s="6" t="s">
        <v>5320</v>
      </c>
      <c r="C1656" s="6" t="s">
        <v>5316</v>
      </c>
      <c r="D1656" s="6" t="s">
        <v>8664</v>
      </c>
      <c r="E1656" s="6" t="s">
        <v>8862</v>
      </c>
      <c r="F1656" s="6" t="s">
        <v>8882</v>
      </c>
      <c r="G1656" s="9" t="n">
        <v>293324</v>
      </c>
      <c r="H1656" s="6" t="s">
        <v>384</v>
      </c>
      <c r="I1656" s="6" t="s">
        <v>13</v>
      </c>
      <c r="J1656" s="6" t="s">
        <v>253</v>
      </c>
      <c r="K1656" s="6" t="s">
        <v>8745</v>
      </c>
      <c r="M1656" s="6" t="s">
        <v>8821</v>
      </c>
    </row>
    <row r="1657" customFormat="false" ht="15" hidden="false" customHeight="false" outlineLevel="0" collapsed="false">
      <c r="A1657" s="6" t="s">
        <v>8883</v>
      </c>
      <c r="B1657" s="6" t="s">
        <v>5320</v>
      </c>
      <c r="C1657" s="6" t="s">
        <v>5316</v>
      </c>
      <c r="D1657" s="6" t="s">
        <v>8664</v>
      </c>
      <c r="E1657" s="6" t="s">
        <v>8862</v>
      </c>
      <c r="F1657" s="6" t="s">
        <v>8884</v>
      </c>
      <c r="G1657" s="9" t="n">
        <v>293324</v>
      </c>
      <c r="H1657" s="6" t="s">
        <v>384</v>
      </c>
      <c r="I1657" s="6" t="s">
        <v>13</v>
      </c>
      <c r="J1657" s="6" t="s">
        <v>261</v>
      </c>
      <c r="K1657" s="6" t="s">
        <v>8757</v>
      </c>
      <c r="M1657" s="6" t="s">
        <v>8824</v>
      </c>
    </row>
    <row r="1658" customFormat="false" ht="15" hidden="false" customHeight="false" outlineLevel="0" collapsed="false">
      <c r="A1658" s="6" t="s">
        <v>8885</v>
      </c>
      <c r="B1658" s="6" t="s">
        <v>5325</v>
      </c>
      <c r="C1658" s="6" t="s">
        <v>5316</v>
      </c>
      <c r="D1658" s="6" t="s">
        <v>8664</v>
      </c>
      <c r="E1658" s="6" t="s">
        <v>8862</v>
      </c>
      <c r="F1658" s="6" t="s">
        <v>8884</v>
      </c>
      <c r="G1658" s="9" t="n">
        <v>356872</v>
      </c>
      <c r="H1658" s="6" t="s">
        <v>384</v>
      </c>
      <c r="I1658" s="6" t="s">
        <v>13</v>
      </c>
      <c r="J1658" s="6" t="s">
        <v>261</v>
      </c>
      <c r="K1658" s="6" t="s">
        <v>8757</v>
      </c>
      <c r="M1658" s="6" t="s">
        <v>5055</v>
      </c>
    </row>
    <row r="1659" customFormat="false" ht="15" hidden="false" customHeight="false" outlineLevel="0" collapsed="false">
      <c r="A1659" s="6" t="s">
        <v>8886</v>
      </c>
      <c r="B1659" s="6" t="s">
        <v>5320</v>
      </c>
      <c r="C1659" s="6" t="s">
        <v>5316</v>
      </c>
      <c r="D1659" s="6" t="s">
        <v>8664</v>
      </c>
      <c r="E1659" s="6" t="s">
        <v>8887</v>
      </c>
      <c r="F1659" s="6" t="s">
        <v>8888</v>
      </c>
      <c r="G1659" s="9" t="n">
        <v>293324</v>
      </c>
      <c r="H1659" s="6" t="s">
        <v>384</v>
      </c>
      <c r="I1659" s="6" t="s">
        <v>13</v>
      </c>
      <c r="J1659" s="6" t="s">
        <v>268</v>
      </c>
      <c r="K1659" s="6" t="s">
        <v>8749</v>
      </c>
      <c r="M1659" s="6" t="s">
        <v>8828</v>
      </c>
    </row>
    <row r="1660" customFormat="false" ht="15" hidden="false" customHeight="false" outlineLevel="0" collapsed="false">
      <c r="A1660" s="6" t="s">
        <v>8889</v>
      </c>
      <c r="B1660" s="6" t="s">
        <v>5315</v>
      </c>
      <c r="C1660" s="6" t="s">
        <v>5316</v>
      </c>
      <c r="D1660" s="6" t="s">
        <v>8664</v>
      </c>
      <c r="E1660" s="6" t="s">
        <v>8890</v>
      </c>
      <c r="F1660" s="6" t="s">
        <v>8888</v>
      </c>
      <c r="G1660" s="9" t="n">
        <v>225170</v>
      </c>
      <c r="H1660" s="6" t="s">
        <v>384</v>
      </c>
      <c r="I1660" s="6" t="s">
        <v>13</v>
      </c>
      <c r="J1660" s="6" t="s">
        <v>268</v>
      </c>
      <c r="K1660" s="6" t="s">
        <v>8749</v>
      </c>
      <c r="M1660" s="6" t="s">
        <v>8891</v>
      </c>
    </row>
    <row r="1661" customFormat="false" ht="15" hidden="false" customHeight="false" outlineLevel="0" collapsed="false">
      <c r="A1661" s="6" t="s">
        <v>8892</v>
      </c>
      <c r="B1661" s="6" t="s">
        <v>5315</v>
      </c>
      <c r="C1661" s="6" t="s">
        <v>5316</v>
      </c>
      <c r="D1661" s="6" t="s">
        <v>8664</v>
      </c>
      <c r="E1661" s="6" t="s">
        <v>8893</v>
      </c>
      <c r="F1661" s="6" t="s">
        <v>8882</v>
      </c>
      <c r="G1661" s="9" t="n">
        <v>242075</v>
      </c>
      <c r="H1661" s="6" t="s">
        <v>384</v>
      </c>
      <c r="I1661" s="6" t="s">
        <v>13</v>
      </c>
      <c r="J1661" s="6" t="s">
        <v>253</v>
      </c>
      <c r="K1661" s="6" t="s">
        <v>8745</v>
      </c>
      <c r="M1661" s="6" t="s">
        <v>8894</v>
      </c>
    </row>
    <row r="1662" customFormat="false" ht="15" hidden="false" customHeight="false" outlineLevel="0" collapsed="false">
      <c r="A1662" s="6" t="s">
        <v>8895</v>
      </c>
      <c r="B1662" s="6" t="s">
        <v>5519</v>
      </c>
      <c r="C1662" s="6" t="s">
        <v>5316</v>
      </c>
      <c r="D1662" s="6" t="s">
        <v>8664</v>
      </c>
      <c r="E1662" s="6" t="s">
        <v>8896</v>
      </c>
      <c r="F1662" s="6" t="s">
        <v>8897</v>
      </c>
      <c r="G1662" s="9" t="n">
        <v>181933</v>
      </c>
      <c r="H1662" s="6" t="s">
        <v>384</v>
      </c>
      <c r="I1662" s="6" t="s">
        <v>13</v>
      </c>
      <c r="J1662" s="6" t="s">
        <v>238</v>
      </c>
      <c r="K1662" s="6" t="s">
        <v>8740</v>
      </c>
      <c r="M1662" s="6" t="s">
        <v>8817</v>
      </c>
    </row>
    <row r="1663" customFormat="false" ht="15" hidden="false" customHeight="false" outlineLevel="0" collapsed="false">
      <c r="A1663" s="6" t="s">
        <v>8898</v>
      </c>
      <c r="B1663" s="6" t="s">
        <v>5315</v>
      </c>
      <c r="C1663" s="6" t="s">
        <v>5316</v>
      </c>
      <c r="D1663" s="6" t="s">
        <v>8664</v>
      </c>
      <c r="E1663" s="6" t="s">
        <v>8896</v>
      </c>
      <c r="F1663" s="6" t="s">
        <v>8897</v>
      </c>
      <c r="G1663" s="9" t="n">
        <v>242075</v>
      </c>
      <c r="H1663" s="6" t="s">
        <v>384</v>
      </c>
      <c r="I1663" s="6" t="s">
        <v>13</v>
      </c>
      <c r="J1663" s="6" t="s">
        <v>238</v>
      </c>
      <c r="K1663" s="6" t="s">
        <v>8740</v>
      </c>
      <c r="M1663" s="6" t="s">
        <v>8817</v>
      </c>
    </row>
    <row r="1664" customFormat="false" ht="15" hidden="false" customHeight="false" outlineLevel="0" collapsed="false">
      <c r="A1664" s="6" t="s">
        <v>8899</v>
      </c>
      <c r="B1664" s="6" t="s">
        <v>5079</v>
      </c>
      <c r="C1664" s="6" t="s">
        <v>4975</v>
      </c>
      <c r="D1664" s="6" t="s">
        <v>8664</v>
      </c>
      <c r="E1664" s="6" t="s">
        <v>8900</v>
      </c>
      <c r="F1664" s="6" t="s">
        <v>8901</v>
      </c>
      <c r="G1664" s="19" t="n">
        <v>50</v>
      </c>
      <c r="H1664" s="6" t="s">
        <v>5105</v>
      </c>
      <c r="I1664" s="6" t="s">
        <v>13</v>
      </c>
      <c r="J1664" s="6" t="s">
        <v>233</v>
      </c>
      <c r="K1664" s="6" t="s">
        <v>8902</v>
      </c>
      <c r="M1664" s="6" t="s">
        <v>8903</v>
      </c>
    </row>
    <row r="1665" customFormat="false" ht="15" hidden="false" customHeight="false" outlineLevel="0" collapsed="false">
      <c r="A1665" s="6" t="s">
        <v>8904</v>
      </c>
      <c r="B1665" s="6" t="s">
        <v>5102</v>
      </c>
      <c r="C1665" s="6" t="s">
        <v>4975</v>
      </c>
      <c r="D1665" s="6" t="s">
        <v>8664</v>
      </c>
      <c r="E1665" s="6" t="s">
        <v>8905</v>
      </c>
      <c r="F1665" s="6" t="s">
        <v>8906</v>
      </c>
      <c r="G1665" s="19" t="n">
        <v>52</v>
      </c>
      <c r="H1665" s="6" t="s">
        <v>5105</v>
      </c>
      <c r="I1665" s="6" t="s">
        <v>13</v>
      </c>
      <c r="J1665" s="6" t="s">
        <v>218</v>
      </c>
      <c r="K1665" s="6" t="s">
        <v>8907</v>
      </c>
      <c r="M1665" s="6"/>
    </row>
    <row r="1666" customFormat="false" ht="15" hidden="false" customHeight="false" outlineLevel="0" collapsed="false">
      <c r="A1666" s="6" t="s">
        <v>8908</v>
      </c>
      <c r="B1666" s="6" t="s">
        <v>5097</v>
      </c>
      <c r="C1666" s="6" t="s">
        <v>4975</v>
      </c>
      <c r="D1666" s="6" t="s">
        <v>8664</v>
      </c>
      <c r="E1666" s="6" t="s">
        <v>8905</v>
      </c>
      <c r="F1666" s="6" t="s">
        <v>8906</v>
      </c>
      <c r="G1666" s="19" t="n">
        <v>51</v>
      </c>
      <c r="H1666" s="6" t="s">
        <v>5105</v>
      </c>
      <c r="I1666" s="6" t="s">
        <v>13</v>
      </c>
      <c r="J1666" s="6" t="s">
        <v>218</v>
      </c>
      <c r="K1666" s="6" t="s">
        <v>8907</v>
      </c>
      <c r="M1666" s="6"/>
    </row>
    <row r="1667" customFormat="false" ht="15" hidden="false" customHeight="false" outlineLevel="0" collapsed="false">
      <c r="A1667" s="6" t="s">
        <v>8909</v>
      </c>
      <c r="B1667" s="6" t="s">
        <v>5097</v>
      </c>
      <c r="C1667" s="6" t="s">
        <v>4975</v>
      </c>
      <c r="D1667" s="6" t="s">
        <v>8664</v>
      </c>
      <c r="E1667" s="6" t="s">
        <v>8910</v>
      </c>
      <c r="F1667" s="6" t="s">
        <v>8911</v>
      </c>
      <c r="G1667" s="19" t="n">
        <v>51</v>
      </c>
      <c r="H1667" s="6" t="s">
        <v>5105</v>
      </c>
      <c r="I1667" s="6" t="s">
        <v>13</v>
      </c>
      <c r="J1667" s="6" t="s">
        <v>223</v>
      </c>
      <c r="K1667" s="6" t="s">
        <v>8912</v>
      </c>
      <c r="M1667" s="6"/>
    </row>
    <row r="1668" customFormat="false" ht="15" hidden="false" customHeight="false" outlineLevel="0" collapsed="false">
      <c r="A1668" s="6" t="s">
        <v>8913</v>
      </c>
      <c r="B1668" s="6" t="s">
        <v>5074</v>
      </c>
      <c r="C1668" s="6" t="s">
        <v>4975</v>
      </c>
      <c r="D1668" s="6" t="s">
        <v>8664</v>
      </c>
      <c r="E1668" s="6" t="s">
        <v>8910</v>
      </c>
      <c r="F1668" s="6" t="s">
        <v>8911</v>
      </c>
      <c r="G1668" s="19" t="n">
        <v>50</v>
      </c>
      <c r="H1668" s="6" t="s">
        <v>5105</v>
      </c>
      <c r="I1668" s="6" t="s">
        <v>13</v>
      </c>
      <c r="J1668" s="6" t="s">
        <v>223</v>
      </c>
      <c r="K1668" s="6" t="s">
        <v>8912</v>
      </c>
      <c r="M1668" s="6"/>
    </row>
    <row r="1669" customFormat="false" ht="15" hidden="false" customHeight="false" outlineLevel="0" collapsed="false">
      <c r="A1669" s="6" t="s">
        <v>8914</v>
      </c>
      <c r="B1669" s="6" t="s">
        <v>5062</v>
      </c>
      <c r="C1669" s="6" t="s">
        <v>5050</v>
      </c>
      <c r="D1669" s="6" t="s">
        <v>8915</v>
      </c>
      <c r="E1669" s="6" t="s">
        <v>8916</v>
      </c>
      <c r="F1669" s="6" t="s">
        <v>8917</v>
      </c>
      <c r="G1669" s="9" t="n">
        <v>9804</v>
      </c>
      <c r="H1669" s="6" t="s">
        <v>384</v>
      </c>
      <c r="I1669" s="6" t="s">
        <v>13</v>
      </c>
      <c r="J1669" s="6" t="s">
        <v>223</v>
      </c>
      <c r="K1669" s="6" t="s">
        <v>8918</v>
      </c>
      <c r="M1669" s="6"/>
    </row>
    <row r="1670" customFormat="false" ht="15" hidden="false" customHeight="false" outlineLevel="0" collapsed="false">
      <c r="A1670" s="6" t="s">
        <v>8919</v>
      </c>
      <c r="B1670" s="6" t="s">
        <v>5325</v>
      </c>
      <c r="C1670" s="6" t="s">
        <v>5316</v>
      </c>
      <c r="D1670" s="6" t="s">
        <v>8915</v>
      </c>
      <c r="E1670" s="6" t="s">
        <v>8920</v>
      </c>
      <c r="F1670" s="6" t="s">
        <v>8921</v>
      </c>
      <c r="G1670" s="9" t="n">
        <v>-1719</v>
      </c>
      <c r="H1670" s="6" t="s">
        <v>384</v>
      </c>
      <c r="I1670" s="6" t="s">
        <v>13</v>
      </c>
      <c r="J1670" s="6" t="s">
        <v>261</v>
      </c>
      <c r="K1670" s="6" t="s">
        <v>8922</v>
      </c>
      <c r="M1670" s="6"/>
    </row>
    <row r="1671" customFormat="false" ht="15" hidden="false" customHeight="false" outlineLevel="0" collapsed="false">
      <c r="A1671" s="6" t="s">
        <v>8923</v>
      </c>
      <c r="B1671" s="6" t="s">
        <v>5097</v>
      </c>
      <c r="C1671" s="6" t="s">
        <v>4975</v>
      </c>
      <c r="D1671" s="6" t="s">
        <v>8915</v>
      </c>
      <c r="E1671" s="6" t="s">
        <v>8924</v>
      </c>
      <c r="F1671" s="6" t="s">
        <v>8925</v>
      </c>
      <c r="G1671" s="19" t="n">
        <v>3.35</v>
      </c>
      <c r="H1671" s="6" t="s">
        <v>8926</v>
      </c>
      <c r="I1671" s="6" t="s">
        <v>13</v>
      </c>
      <c r="J1671" s="6" t="s">
        <v>218</v>
      </c>
      <c r="K1671" s="6" t="s">
        <v>8927</v>
      </c>
      <c r="M1671" s="6"/>
    </row>
    <row r="1672" customFormat="false" ht="15" hidden="false" customHeight="false" outlineLevel="0" collapsed="false">
      <c r="A1672" s="6" t="s">
        <v>8928</v>
      </c>
      <c r="B1672" s="6" t="s">
        <v>5102</v>
      </c>
      <c r="C1672" s="6" t="s">
        <v>4975</v>
      </c>
      <c r="D1672" s="6" t="s">
        <v>8915</v>
      </c>
      <c r="E1672" s="6" t="s">
        <v>8929</v>
      </c>
      <c r="F1672" s="6" t="s">
        <v>8930</v>
      </c>
      <c r="G1672" s="19" t="n">
        <v>3.23</v>
      </c>
      <c r="H1672" s="6" t="s">
        <v>8926</v>
      </c>
      <c r="I1672" s="6" t="s">
        <v>13</v>
      </c>
      <c r="J1672" s="6" t="s">
        <v>209</v>
      </c>
      <c r="K1672" s="6" t="s">
        <v>8931</v>
      </c>
      <c r="M1672" s="6"/>
    </row>
    <row r="1673" customFormat="false" ht="15" hidden="false" customHeight="false" outlineLevel="0" collapsed="false">
      <c r="A1673" s="6" t="s">
        <v>8932</v>
      </c>
      <c r="B1673" s="6" t="s">
        <v>5074</v>
      </c>
      <c r="C1673" s="6" t="s">
        <v>4975</v>
      </c>
      <c r="D1673" s="6" t="s">
        <v>8915</v>
      </c>
      <c r="E1673" s="6" t="s">
        <v>8933</v>
      </c>
      <c r="F1673" s="6" t="s">
        <v>8934</v>
      </c>
      <c r="G1673" s="19" t="n">
        <v>3.71</v>
      </c>
      <c r="H1673" s="6" t="s">
        <v>8926</v>
      </c>
      <c r="I1673" s="6" t="s">
        <v>13</v>
      </c>
      <c r="J1673" s="6" t="s">
        <v>223</v>
      </c>
      <c r="K1673" s="6" t="s">
        <v>8935</v>
      </c>
      <c r="M1673" s="6"/>
    </row>
    <row r="1674" customFormat="false" ht="15" hidden="false" customHeight="false" outlineLevel="0" collapsed="false">
      <c r="A1674" s="6" t="s">
        <v>8936</v>
      </c>
      <c r="B1674" s="6" t="s">
        <v>5102</v>
      </c>
      <c r="C1674" s="6" t="s">
        <v>4975</v>
      </c>
      <c r="D1674" s="6" t="s">
        <v>8915</v>
      </c>
      <c r="E1674" s="6" t="s">
        <v>8236</v>
      </c>
      <c r="F1674" s="6" t="s">
        <v>8937</v>
      </c>
      <c r="G1674" s="9" t="n">
        <v>742</v>
      </c>
      <c r="H1674" s="6" t="s">
        <v>384</v>
      </c>
      <c r="I1674" s="6" t="s">
        <v>13</v>
      </c>
      <c r="J1674" s="6" t="s">
        <v>209</v>
      </c>
      <c r="K1674" s="6" t="s">
        <v>8275</v>
      </c>
      <c r="M1674" s="6"/>
    </row>
    <row r="1675" customFormat="false" ht="15" hidden="false" customHeight="false" outlineLevel="0" collapsed="false">
      <c r="A1675" s="6" t="s">
        <v>8938</v>
      </c>
      <c r="B1675" s="6" t="s">
        <v>5113</v>
      </c>
      <c r="C1675" s="6" t="s">
        <v>4975</v>
      </c>
      <c r="D1675" s="6" t="s">
        <v>8915</v>
      </c>
      <c r="E1675" s="6" t="s">
        <v>8236</v>
      </c>
      <c r="F1675" s="6" t="s">
        <v>8939</v>
      </c>
      <c r="G1675" s="9" t="n">
        <v>4796</v>
      </c>
      <c r="H1675" s="6" t="s">
        <v>384</v>
      </c>
      <c r="I1675" s="6" t="s">
        <v>13</v>
      </c>
      <c r="J1675" s="6" t="s">
        <v>233</v>
      </c>
      <c r="K1675" s="6" t="s">
        <v>8256</v>
      </c>
      <c r="M1675" s="6" t="s">
        <v>8940</v>
      </c>
    </row>
    <row r="1676" customFormat="false" ht="15" hidden="false" customHeight="false" outlineLevel="0" collapsed="false">
      <c r="A1676" s="6" t="s">
        <v>8941</v>
      </c>
      <c r="B1676" s="6" t="s">
        <v>5079</v>
      </c>
      <c r="C1676" s="6" t="s">
        <v>4975</v>
      </c>
      <c r="D1676" s="6" t="s">
        <v>8915</v>
      </c>
      <c r="E1676" s="6" t="s">
        <v>8236</v>
      </c>
      <c r="F1676" s="6" t="s">
        <v>8939</v>
      </c>
      <c r="G1676" s="9" t="n">
        <v>3068</v>
      </c>
      <c r="H1676" s="6" t="s">
        <v>384</v>
      </c>
      <c r="I1676" s="6" t="s">
        <v>13</v>
      </c>
      <c r="J1676" s="6" t="s">
        <v>233</v>
      </c>
      <c r="K1676" s="6" t="s">
        <v>8256</v>
      </c>
      <c r="M1676" s="6" t="s">
        <v>8940</v>
      </c>
    </row>
    <row r="1677" customFormat="false" ht="15" hidden="false" customHeight="false" outlineLevel="0" collapsed="false">
      <c r="A1677" s="6" t="s">
        <v>8942</v>
      </c>
      <c r="B1677" s="6" t="s">
        <v>5097</v>
      </c>
      <c r="C1677" s="6" t="s">
        <v>4975</v>
      </c>
      <c r="D1677" s="6" t="s">
        <v>8915</v>
      </c>
      <c r="E1677" s="6" t="s">
        <v>8943</v>
      </c>
      <c r="F1677" s="6" t="s">
        <v>8944</v>
      </c>
      <c r="G1677" s="9" t="n">
        <v>4687</v>
      </c>
      <c r="H1677" s="6" t="s">
        <v>384</v>
      </c>
      <c r="I1677" s="6" t="s">
        <v>13</v>
      </c>
      <c r="J1677" s="6" t="s">
        <v>218</v>
      </c>
      <c r="K1677" s="6" t="s">
        <v>8245</v>
      </c>
      <c r="M1677" s="6" t="s">
        <v>8945</v>
      </c>
    </row>
    <row r="1678" customFormat="false" ht="15" hidden="false" customHeight="false" outlineLevel="0" collapsed="false">
      <c r="A1678" s="6" t="s">
        <v>8946</v>
      </c>
      <c r="B1678" s="6" t="s">
        <v>5097</v>
      </c>
      <c r="C1678" s="6" t="s">
        <v>4975</v>
      </c>
      <c r="D1678" s="6" t="s">
        <v>8915</v>
      </c>
      <c r="E1678" s="6" t="s">
        <v>8947</v>
      </c>
      <c r="F1678" s="6" t="s">
        <v>8948</v>
      </c>
      <c r="G1678" s="9" t="n">
        <v>4687</v>
      </c>
      <c r="H1678" s="6" t="s">
        <v>384</v>
      </c>
      <c r="I1678" s="6" t="s">
        <v>13</v>
      </c>
      <c r="J1678" s="6" t="s">
        <v>228</v>
      </c>
      <c r="K1678" s="6" t="s">
        <v>8304</v>
      </c>
      <c r="M1678" s="6" t="s">
        <v>8949</v>
      </c>
    </row>
    <row r="1679" customFormat="false" ht="15" hidden="false" customHeight="false" outlineLevel="0" collapsed="false">
      <c r="A1679" s="6" t="s">
        <v>8950</v>
      </c>
      <c r="B1679" s="6" t="s">
        <v>5074</v>
      </c>
      <c r="C1679" s="6" t="s">
        <v>4975</v>
      </c>
      <c r="D1679" s="6" t="s">
        <v>8915</v>
      </c>
      <c r="E1679" s="6" t="s">
        <v>8947</v>
      </c>
      <c r="F1679" s="6" t="s">
        <v>8948</v>
      </c>
      <c r="G1679" s="9" t="n">
        <v>361</v>
      </c>
      <c r="H1679" s="6" t="s">
        <v>384</v>
      </c>
      <c r="I1679" s="6" t="s">
        <v>13</v>
      </c>
      <c r="J1679" s="6" t="s">
        <v>228</v>
      </c>
      <c r="K1679" s="6" t="s">
        <v>8304</v>
      </c>
      <c r="M1679" s="6" t="s">
        <v>8949</v>
      </c>
    </row>
    <row r="1680" customFormat="false" ht="15" hidden="false" customHeight="false" outlineLevel="0" collapsed="false">
      <c r="A1680" s="6" t="s">
        <v>8951</v>
      </c>
      <c r="B1680" s="6" t="s">
        <v>5113</v>
      </c>
      <c r="C1680" s="6" t="s">
        <v>4975</v>
      </c>
      <c r="D1680" s="6" t="s">
        <v>8915</v>
      </c>
      <c r="E1680" s="6" t="s">
        <v>8947</v>
      </c>
      <c r="F1680" s="6" t="s">
        <v>8948</v>
      </c>
      <c r="G1680" s="9" t="n">
        <v>-4796</v>
      </c>
      <c r="H1680" s="6" t="s">
        <v>384</v>
      </c>
      <c r="I1680" s="6" t="s">
        <v>13</v>
      </c>
      <c r="J1680" s="6" t="s">
        <v>228</v>
      </c>
      <c r="K1680" s="6" t="s">
        <v>8304</v>
      </c>
      <c r="M1680" s="6" t="s">
        <v>8949</v>
      </c>
    </row>
    <row r="1681" customFormat="false" ht="15" hidden="false" customHeight="false" outlineLevel="0" collapsed="false">
      <c r="A1681" s="6" t="s">
        <v>8952</v>
      </c>
      <c r="B1681" s="6" t="s">
        <v>5102</v>
      </c>
      <c r="C1681" s="6" t="s">
        <v>4975</v>
      </c>
      <c r="D1681" s="6" t="s">
        <v>8915</v>
      </c>
      <c r="E1681" s="6" t="s">
        <v>8953</v>
      </c>
      <c r="F1681" s="6" t="s">
        <v>8954</v>
      </c>
      <c r="G1681" s="19" t="n">
        <v>1</v>
      </c>
      <c r="H1681" s="6" t="s">
        <v>5105</v>
      </c>
      <c r="I1681" s="6" t="s">
        <v>13</v>
      </c>
      <c r="J1681" s="6" t="s">
        <v>209</v>
      </c>
      <c r="K1681" s="6" t="s">
        <v>8955</v>
      </c>
      <c r="M1681" s="6"/>
    </row>
    <row r="1682" customFormat="false" ht="15" hidden="false" customHeight="false" outlineLevel="0" collapsed="false">
      <c r="A1682" s="6" t="s">
        <v>8956</v>
      </c>
      <c r="B1682" s="6" t="s">
        <v>5315</v>
      </c>
      <c r="C1682" s="6" t="s">
        <v>5316</v>
      </c>
      <c r="D1682" s="6" t="s">
        <v>8915</v>
      </c>
      <c r="E1682" s="6" t="s">
        <v>8957</v>
      </c>
      <c r="F1682" s="6" t="s">
        <v>8958</v>
      </c>
      <c r="G1682" s="19" t="n">
        <v>1</v>
      </c>
      <c r="H1682" s="6" t="s">
        <v>5105</v>
      </c>
      <c r="I1682" s="6" t="s">
        <v>13</v>
      </c>
      <c r="J1682" s="6" t="s">
        <v>246</v>
      </c>
      <c r="K1682" s="6" t="s">
        <v>8959</v>
      </c>
      <c r="M1682" s="6"/>
    </row>
    <row r="1683" customFormat="false" ht="15" hidden="false" customHeight="false" outlineLevel="0" collapsed="false">
      <c r="A1683" s="6" t="s">
        <v>8960</v>
      </c>
      <c r="B1683" s="6" t="s">
        <v>5320</v>
      </c>
      <c r="C1683" s="6" t="s">
        <v>5316</v>
      </c>
      <c r="D1683" s="6" t="s">
        <v>8915</v>
      </c>
      <c r="E1683" s="6" t="s">
        <v>8957</v>
      </c>
      <c r="F1683" s="6" t="s">
        <v>8961</v>
      </c>
      <c r="G1683" s="19" t="n">
        <v>1</v>
      </c>
      <c r="H1683" s="6" t="s">
        <v>5105</v>
      </c>
      <c r="I1683" s="6" t="s">
        <v>13</v>
      </c>
      <c r="J1683" s="6" t="s">
        <v>257</v>
      </c>
      <c r="K1683" s="6" t="s">
        <v>8962</v>
      </c>
      <c r="M1683" s="6"/>
    </row>
    <row r="1684" customFormat="false" ht="15" hidden="false" customHeight="false" outlineLevel="0" collapsed="false">
      <c r="A1684" s="6" t="s">
        <v>8963</v>
      </c>
      <c r="B1684" s="6" t="s">
        <v>5325</v>
      </c>
      <c r="C1684" s="6" t="s">
        <v>5316</v>
      </c>
      <c r="D1684" s="6" t="s">
        <v>8915</v>
      </c>
      <c r="E1684" s="6" t="s">
        <v>8957</v>
      </c>
      <c r="F1684" s="6" t="s">
        <v>8964</v>
      </c>
      <c r="G1684" s="19" t="n">
        <v>1</v>
      </c>
      <c r="H1684" s="6" t="s">
        <v>5105</v>
      </c>
      <c r="I1684" s="6" t="s">
        <v>13</v>
      </c>
      <c r="J1684" s="6" t="s">
        <v>265</v>
      </c>
      <c r="K1684" s="6" t="s">
        <v>8965</v>
      </c>
      <c r="M1684" s="6"/>
    </row>
    <row r="1685" customFormat="false" ht="15" hidden="false" customHeight="false" outlineLevel="0" collapsed="false">
      <c r="A1685" s="6" t="s">
        <v>8966</v>
      </c>
      <c r="B1685" s="6" t="s">
        <v>5097</v>
      </c>
      <c r="C1685" s="6" t="s">
        <v>4975</v>
      </c>
      <c r="D1685" s="6" t="s">
        <v>8915</v>
      </c>
      <c r="E1685" s="6" t="s">
        <v>8967</v>
      </c>
      <c r="F1685" s="6" t="s">
        <v>8968</v>
      </c>
      <c r="G1685" s="19" t="n">
        <v>1</v>
      </c>
      <c r="H1685" s="6" t="s">
        <v>5105</v>
      </c>
      <c r="I1685" s="6" t="s">
        <v>13</v>
      </c>
      <c r="J1685" s="6" t="s">
        <v>218</v>
      </c>
      <c r="K1685" s="6" t="s">
        <v>8969</v>
      </c>
      <c r="M1685" s="6" t="s">
        <v>8970</v>
      </c>
    </row>
    <row r="1686" customFormat="false" ht="15" hidden="false" customHeight="false" outlineLevel="0" collapsed="false">
      <c r="A1686" s="6" t="s">
        <v>8971</v>
      </c>
      <c r="B1686" s="6" t="s">
        <v>5079</v>
      </c>
      <c r="C1686" s="6" t="s">
        <v>4975</v>
      </c>
      <c r="D1686" s="6" t="s">
        <v>8915</v>
      </c>
      <c r="E1686" s="6" t="s">
        <v>8967</v>
      </c>
      <c r="F1686" s="6" t="s">
        <v>8972</v>
      </c>
      <c r="G1686" s="19" t="n">
        <v>1</v>
      </c>
      <c r="H1686" s="6" t="s">
        <v>5105</v>
      </c>
      <c r="I1686" s="6" t="s">
        <v>13</v>
      </c>
      <c r="J1686" s="6" t="s">
        <v>233</v>
      </c>
      <c r="K1686" s="6" t="s">
        <v>8973</v>
      </c>
      <c r="M1686" s="6" t="s">
        <v>8974</v>
      </c>
    </row>
    <row r="1687" customFormat="false" ht="15" hidden="false" customHeight="false" outlineLevel="0" collapsed="false">
      <c r="A1687" s="6" t="s">
        <v>8975</v>
      </c>
      <c r="B1687" s="6" t="s">
        <v>6987</v>
      </c>
      <c r="C1687" s="6" t="s">
        <v>8976</v>
      </c>
      <c r="D1687" s="6" t="s">
        <v>8915</v>
      </c>
      <c r="E1687" s="6" t="s">
        <v>8977</v>
      </c>
      <c r="F1687" s="6" t="s">
        <v>4951</v>
      </c>
      <c r="H1687" s="6" t="s">
        <v>7024</v>
      </c>
      <c r="I1687" s="6" t="s">
        <v>13</v>
      </c>
      <c r="J1687" s="6" t="s">
        <v>281</v>
      </c>
      <c r="K1687" s="6" t="s">
        <v>7002</v>
      </c>
      <c r="M1687" s="6" t="s">
        <v>8978</v>
      </c>
    </row>
    <row r="1688" customFormat="false" ht="15" hidden="false" customHeight="false" outlineLevel="0" collapsed="false">
      <c r="A1688" s="6" t="s">
        <v>8979</v>
      </c>
      <c r="B1688" s="6" t="s">
        <v>5062</v>
      </c>
      <c r="C1688" s="6" t="s">
        <v>5050</v>
      </c>
      <c r="D1688" s="6" t="s">
        <v>8915</v>
      </c>
      <c r="E1688" s="6" t="s">
        <v>8980</v>
      </c>
      <c r="F1688" s="6" t="s">
        <v>8981</v>
      </c>
      <c r="G1688" s="9" t="n">
        <v>9806</v>
      </c>
      <c r="H1688" s="6" t="s">
        <v>384</v>
      </c>
      <c r="I1688" s="6" t="s">
        <v>13</v>
      </c>
      <c r="J1688" s="6" t="s">
        <v>228</v>
      </c>
      <c r="K1688" s="6" t="s">
        <v>8982</v>
      </c>
      <c r="M1688" s="6"/>
    </row>
    <row r="1689" customFormat="false" ht="15" hidden="false" customHeight="false" outlineLevel="0" collapsed="false">
      <c r="A1689" s="6" t="s">
        <v>8983</v>
      </c>
      <c r="B1689" s="6" t="s">
        <v>5067</v>
      </c>
      <c r="C1689" s="6" t="s">
        <v>5050</v>
      </c>
      <c r="D1689" s="6" t="s">
        <v>8915</v>
      </c>
      <c r="E1689" s="6" t="s">
        <v>8980</v>
      </c>
      <c r="F1689" s="6" t="s">
        <v>8981</v>
      </c>
      <c r="G1689" s="9" t="n">
        <v>2984</v>
      </c>
      <c r="H1689" s="6" t="s">
        <v>384</v>
      </c>
      <c r="I1689" s="6" t="s">
        <v>13</v>
      </c>
      <c r="J1689" s="6" t="s">
        <v>228</v>
      </c>
      <c r="K1689" s="6" t="s">
        <v>8982</v>
      </c>
      <c r="M1689" s="6"/>
    </row>
    <row r="1690" customFormat="false" ht="15" hidden="false" customHeight="false" outlineLevel="0" collapsed="false">
      <c r="A1690" s="6" t="s">
        <v>8984</v>
      </c>
      <c r="B1690" s="6" t="s">
        <v>5057</v>
      </c>
      <c r="C1690" s="6" t="s">
        <v>5050</v>
      </c>
      <c r="D1690" s="6" t="s">
        <v>8915</v>
      </c>
      <c r="E1690" s="6" t="s">
        <v>8985</v>
      </c>
      <c r="F1690" s="6" t="s">
        <v>8986</v>
      </c>
      <c r="G1690" s="9" t="n">
        <v>-3208</v>
      </c>
      <c r="H1690" s="6" t="s">
        <v>384</v>
      </c>
      <c r="I1690" s="6" t="s">
        <v>13</v>
      </c>
      <c r="J1690" s="6" t="s">
        <v>223</v>
      </c>
      <c r="K1690" s="6" t="s">
        <v>8987</v>
      </c>
      <c r="M1690" s="6"/>
    </row>
    <row r="1691" customFormat="false" ht="15" hidden="false" customHeight="false" outlineLevel="0" collapsed="false">
      <c r="A1691" s="6" t="s">
        <v>8988</v>
      </c>
      <c r="B1691" s="6" t="s">
        <v>5062</v>
      </c>
      <c r="C1691" s="6" t="s">
        <v>5050</v>
      </c>
      <c r="D1691" s="6" t="s">
        <v>8915</v>
      </c>
      <c r="E1691" s="6" t="s">
        <v>8985</v>
      </c>
      <c r="F1691" s="6" t="s">
        <v>8986</v>
      </c>
      <c r="G1691" s="9" t="n">
        <v>9806</v>
      </c>
      <c r="H1691" s="6" t="s">
        <v>384</v>
      </c>
      <c r="I1691" s="6" t="s">
        <v>13</v>
      </c>
      <c r="J1691" s="6" t="s">
        <v>223</v>
      </c>
      <c r="K1691" s="6" t="s">
        <v>8987</v>
      </c>
      <c r="M1691" s="6"/>
    </row>
    <row r="1692" customFormat="false" ht="15" hidden="false" customHeight="false" outlineLevel="0" collapsed="false">
      <c r="A1692" s="6" t="s">
        <v>8989</v>
      </c>
      <c r="B1692" s="6" t="s">
        <v>5067</v>
      </c>
      <c r="C1692" s="6" t="s">
        <v>5050</v>
      </c>
      <c r="D1692" s="6" t="s">
        <v>8915</v>
      </c>
      <c r="E1692" s="6" t="s">
        <v>8990</v>
      </c>
      <c r="F1692" s="6" t="s">
        <v>8991</v>
      </c>
      <c r="G1692" s="9" t="n">
        <v>2984</v>
      </c>
      <c r="H1692" s="6" t="s">
        <v>384</v>
      </c>
      <c r="I1692" s="6" t="s">
        <v>13</v>
      </c>
      <c r="J1692" s="6" t="s">
        <v>233</v>
      </c>
      <c r="K1692" s="6" t="s">
        <v>8992</v>
      </c>
      <c r="M1692" s="6"/>
    </row>
    <row r="1693" customFormat="false" ht="15" hidden="false" customHeight="false" outlineLevel="0" collapsed="false">
      <c r="A1693" s="6" t="s">
        <v>8993</v>
      </c>
      <c r="B1693" s="6" t="s">
        <v>5072</v>
      </c>
      <c r="C1693" s="6" t="s">
        <v>5050</v>
      </c>
      <c r="D1693" s="6" t="s">
        <v>8915</v>
      </c>
      <c r="E1693" s="6" t="s">
        <v>8990</v>
      </c>
      <c r="F1693" s="6" t="s">
        <v>8991</v>
      </c>
      <c r="G1693" s="9" t="n">
        <v>20168</v>
      </c>
      <c r="H1693" s="6" t="s">
        <v>384</v>
      </c>
      <c r="I1693" s="6" t="s">
        <v>13</v>
      </c>
      <c r="J1693" s="6" t="s">
        <v>233</v>
      </c>
      <c r="K1693" s="6" t="s">
        <v>8992</v>
      </c>
      <c r="M1693" s="6"/>
    </row>
    <row r="1694" customFormat="false" ht="15" hidden="false" customHeight="false" outlineLevel="0" collapsed="false">
      <c r="A1694" s="6" t="s">
        <v>8994</v>
      </c>
      <c r="B1694" s="6" t="s">
        <v>5239</v>
      </c>
      <c r="C1694" s="6" t="s">
        <v>5050</v>
      </c>
      <c r="D1694" s="6" t="s">
        <v>8915</v>
      </c>
      <c r="E1694" s="6" t="s">
        <v>8995</v>
      </c>
      <c r="F1694" s="6" t="s">
        <v>8996</v>
      </c>
      <c r="G1694" s="9" t="n">
        <v>2657</v>
      </c>
      <c r="H1694" s="6" t="s">
        <v>384</v>
      </c>
      <c r="I1694" s="6" t="s">
        <v>13</v>
      </c>
      <c r="J1694" s="6" t="s">
        <v>238</v>
      </c>
      <c r="K1694" s="6" t="s">
        <v>8997</v>
      </c>
      <c r="M1694" s="6"/>
    </row>
    <row r="1695" customFormat="false" ht="15" hidden="false" customHeight="false" outlineLevel="0" collapsed="false">
      <c r="A1695" s="6" t="s">
        <v>8998</v>
      </c>
      <c r="B1695" s="6" t="s">
        <v>5245</v>
      </c>
      <c r="C1695" s="6" t="s">
        <v>5050</v>
      </c>
      <c r="D1695" s="6" t="s">
        <v>8915</v>
      </c>
      <c r="E1695" s="6" t="s">
        <v>8995</v>
      </c>
      <c r="F1695" s="6" t="s">
        <v>8999</v>
      </c>
      <c r="G1695" s="9" t="n">
        <v>22825</v>
      </c>
      <c r="H1695" s="6" t="s">
        <v>384</v>
      </c>
      <c r="I1695" s="6" t="s">
        <v>13</v>
      </c>
      <c r="J1695" s="6" t="s">
        <v>253</v>
      </c>
      <c r="K1695" s="6" t="s">
        <v>9000</v>
      </c>
      <c r="M1695" s="6"/>
    </row>
    <row r="1696" customFormat="false" ht="15" hidden="false" customHeight="false" outlineLevel="0" collapsed="false">
      <c r="A1696" s="6" t="s">
        <v>9001</v>
      </c>
      <c r="B1696" s="6" t="s">
        <v>5249</v>
      </c>
      <c r="C1696" s="6" t="s">
        <v>5050</v>
      </c>
      <c r="D1696" s="6" t="s">
        <v>8915</v>
      </c>
      <c r="E1696" s="6" t="s">
        <v>8995</v>
      </c>
      <c r="F1696" s="6" t="s">
        <v>9002</v>
      </c>
      <c r="G1696" s="9" t="n">
        <v>12024</v>
      </c>
      <c r="H1696" s="6" t="s">
        <v>384</v>
      </c>
      <c r="I1696" s="6" t="s">
        <v>13</v>
      </c>
      <c r="J1696" s="6" t="s">
        <v>261</v>
      </c>
      <c r="K1696" s="6" t="s">
        <v>8922</v>
      </c>
      <c r="M1696" s="6"/>
    </row>
    <row r="1697" customFormat="false" ht="15" hidden="false" customHeight="false" outlineLevel="0" collapsed="false">
      <c r="A1697" s="6" t="s">
        <v>9003</v>
      </c>
      <c r="B1697" s="6" t="s">
        <v>5049</v>
      </c>
      <c r="C1697" s="6" t="s">
        <v>5050</v>
      </c>
      <c r="D1697" s="6" t="s">
        <v>8915</v>
      </c>
      <c r="E1697" s="6" t="s">
        <v>9004</v>
      </c>
      <c r="F1697" s="6" t="s">
        <v>9005</v>
      </c>
      <c r="G1697" s="9" t="n">
        <v>656</v>
      </c>
      <c r="H1697" s="6" t="s">
        <v>384</v>
      </c>
      <c r="I1697" s="6" t="s">
        <v>13</v>
      </c>
      <c r="J1697" s="6" t="s">
        <v>218</v>
      </c>
      <c r="K1697" s="6" t="s">
        <v>9006</v>
      </c>
      <c r="M1697" s="6"/>
    </row>
    <row r="1698" customFormat="false" ht="15" hidden="false" customHeight="false" outlineLevel="0" collapsed="false">
      <c r="A1698" s="6" t="s">
        <v>9007</v>
      </c>
      <c r="B1698" s="6" t="s">
        <v>5057</v>
      </c>
      <c r="C1698" s="6" t="s">
        <v>5050</v>
      </c>
      <c r="D1698" s="6" t="s">
        <v>8915</v>
      </c>
      <c r="E1698" s="6" t="s">
        <v>9004</v>
      </c>
      <c r="F1698" s="6" t="s">
        <v>9005</v>
      </c>
      <c r="G1698" s="9" t="n">
        <v>-3208</v>
      </c>
      <c r="H1698" s="6" t="s">
        <v>384</v>
      </c>
      <c r="I1698" s="6" t="s">
        <v>13</v>
      </c>
      <c r="J1698" s="6" t="s">
        <v>218</v>
      </c>
      <c r="K1698" s="6" t="s">
        <v>9006</v>
      </c>
      <c r="M1698" s="6"/>
    </row>
    <row r="1699" customFormat="false" ht="15" hidden="false" customHeight="false" outlineLevel="0" collapsed="false">
      <c r="A1699" s="6" t="s">
        <v>9008</v>
      </c>
      <c r="B1699" s="6" t="s">
        <v>5049</v>
      </c>
      <c r="C1699" s="6" t="s">
        <v>5050</v>
      </c>
      <c r="D1699" s="6" t="s">
        <v>8915</v>
      </c>
      <c r="E1699" s="6" t="s">
        <v>9009</v>
      </c>
      <c r="F1699" s="6" t="s">
        <v>9010</v>
      </c>
      <c r="G1699" s="9" t="n">
        <v>656</v>
      </c>
      <c r="H1699" s="6" t="s">
        <v>384</v>
      </c>
      <c r="I1699" s="6" t="s">
        <v>13</v>
      </c>
      <c r="J1699" s="6" t="s">
        <v>209</v>
      </c>
      <c r="K1699" s="6" t="s">
        <v>9011</v>
      </c>
      <c r="M1699" s="6"/>
    </row>
    <row r="1700" customFormat="false" ht="15" hidden="false" customHeight="false" outlineLevel="0" collapsed="false">
      <c r="A1700" s="6" t="s">
        <v>9012</v>
      </c>
      <c r="B1700" s="6" t="s">
        <v>5102</v>
      </c>
      <c r="C1700" s="6" t="s">
        <v>4975</v>
      </c>
      <c r="D1700" s="6" t="s">
        <v>8915</v>
      </c>
      <c r="E1700" s="6" t="s">
        <v>9013</v>
      </c>
      <c r="F1700" s="6" t="s">
        <v>9014</v>
      </c>
      <c r="G1700" s="9" t="n">
        <v>49</v>
      </c>
      <c r="H1700" s="6" t="s">
        <v>384</v>
      </c>
      <c r="I1700" s="6" t="s">
        <v>13</v>
      </c>
      <c r="J1700" s="6" t="s">
        <v>218</v>
      </c>
      <c r="K1700" s="6" t="s">
        <v>9015</v>
      </c>
      <c r="M1700" s="6"/>
    </row>
    <row r="1701" customFormat="false" ht="15" hidden="false" customHeight="false" outlineLevel="0" collapsed="false">
      <c r="A1701" s="6" t="s">
        <v>9016</v>
      </c>
      <c r="B1701" s="6" t="s">
        <v>5097</v>
      </c>
      <c r="C1701" s="6" t="s">
        <v>4975</v>
      </c>
      <c r="D1701" s="6" t="s">
        <v>8915</v>
      </c>
      <c r="E1701" s="6" t="s">
        <v>9013</v>
      </c>
      <c r="F1701" s="6" t="s">
        <v>9014</v>
      </c>
      <c r="G1701" s="9" t="n">
        <v>-1801</v>
      </c>
      <c r="H1701" s="6" t="s">
        <v>384</v>
      </c>
      <c r="I1701" s="6" t="s">
        <v>13</v>
      </c>
      <c r="J1701" s="6" t="s">
        <v>218</v>
      </c>
      <c r="K1701" s="6" t="s">
        <v>9015</v>
      </c>
      <c r="M1701" s="6"/>
    </row>
    <row r="1702" customFormat="false" ht="15" hidden="false" customHeight="false" outlineLevel="0" collapsed="false">
      <c r="A1702" s="6" t="s">
        <v>9017</v>
      </c>
      <c r="B1702" s="6" t="s">
        <v>5102</v>
      </c>
      <c r="C1702" s="6" t="s">
        <v>4975</v>
      </c>
      <c r="D1702" s="6" t="s">
        <v>8915</v>
      </c>
      <c r="E1702" s="6" t="s">
        <v>9018</v>
      </c>
      <c r="F1702" s="6" t="s">
        <v>9019</v>
      </c>
      <c r="G1702" s="9" t="n">
        <v>953</v>
      </c>
      <c r="H1702" s="6" t="s">
        <v>384</v>
      </c>
      <c r="I1702" s="6" t="s">
        <v>13</v>
      </c>
      <c r="J1702" s="6" t="s">
        <v>218</v>
      </c>
      <c r="K1702" s="6" t="s">
        <v>9015</v>
      </c>
      <c r="M1702" s="6"/>
    </row>
    <row r="1703" customFormat="false" ht="15" hidden="false" customHeight="false" outlineLevel="0" collapsed="false">
      <c r="A1703" s="6" t="s">
        <v>9020</v>
      </c>
      <c r="B1703" s="6" t="s">
        <v>5097</v>
      </c>
      <c r="C1703" s="6" t="s">
        <v>4975</v>
      </c>
      <c r="D1703" s="6" t="s">
        <v>8915</v>
      </c>
      <c r="E1703" s="6" t="s">
        <v>9018</v>
      </c>
      <c r="F1703" s="6" t="s">
        <v>9021</v>
      </c>
      <c r="G1703" s="9" t="n">
        <v>-11386</v>
      </c>
      <c r="H1703" s="6" t="s">
        <v>384</v>
      </c>
      <c r="I1703" s="6" t="s">
        <v>13</v>
      </c>
      <c r="J1703" s="6" t="s">
        <v>218</v>
      </c>
      <c r="K1703" s="6" t="s">
        <v>9015</v>
      </c>
      <c r="M1703" s="6"/>
    </row>
    <row r="1704" customFormat="false" ht="15" hidden="false" customHeight="false" outlineLevel="0" collapsed="false">
      <c r="A1704" s="6" t="s">
        <v>9022</v>
      </c>
      <c r="B1704" s="6" t="s">
        <v>5097</v>
      </c>
      <c r="C1704" s="6" t="s">
        <v>4975</v>
      </c>
      <c r="D1704" s="6" t="s">
        <v>8915</v>
      </c>
      <c r="E1704" s="6" t="s">
        <v>9018</v>
      </c>
      <c r="F1704" s="6" t="s">
        <v>9023</v>
      </c>
      <c r="G1704" s="9" t="n">
        <v>-11386</v>
      </c>
      <c r="H1704" s="6" t="s">
        <v>384</v>
      </c>
      <c r="I1704" s="6" t="s">
        <v>13</v>
      </c>
      <c r="J1704" s="6" t="s">
        <v>223</v>
      </c>
      <c r="K1704" s="6" t="s">
        <v>9024</v>
      </c>
      <c r="M1704" s="6"/>
    </row>
    <row r="1705" customFormat="false" ht="15" hidden="false" customHeight="false" outlineLevel="0" collapsed="false">
      <c r="A1705" s="6" t="s">
        <v>9025</v>
      </c>
      <c r="B1705" s="6" t="s">
        <v>5074</v>
      </c>
      <c r="C1705" s="6" t="s">
        <v>4975</v>
      </c>
      <c r="D1705" s="6" t="s">
        <v>8915</v>
      </c>
      <c r="E1705" s="6" t="s">
        <v>9018</v>
      </c>
      <c r="F1705" s="6" t="s">
        <v>9023</v>
      </c>
      <c r="G1705" s="9" t="n">
        <v>4273</v>
      </c>
      <c r="H1705" s="6" t="s">
        <v>384</v>
      </c>
      <c r="I1705" s="6" t="s">
        <v>13</v>
      </c>
      <c r="J1705" s="6" t="s">
        <v>223</v>
      </c>
      <c r="K1705" s="6" t="s">
        <v>9024</v>
      </c>
      <c r="M1705" s="6"/>
    </row>
    <row r="1706" customFormat="false" ht="15" hidden="false" customHeight="false" outlineLevel="0" collapsed="false">
      <c r="A1706" s="6" t="s">
        <v>9026</v>
      </c>
      <c r="B1706" s="6" t="s">
        <v>5113</v>
      </c>
      <c r="C1706" s="6" t="s">
        <v>4975</v>
      </c>
      <c r="D1706" s="6" t="s">
        <v>8915</v>
      </c>
      <c r="E1706" s="6" t="s">
        <v>9018</v>
      </c>
      <c r="F1706" s="6" t="s">
        <v>9027</v>
      </c>
      <c r="G1706" s="9" t="n">
        <v>-961</v>
      </c>
      <c r="H1706" s="6" t="s">
        <v>384</v>
      </c>
      <c r="I1706" s="6" t="s">
        <v>13</v>
      </c>
      <c r="J1706" s="6" t="s">
        <v>233</v>
      </c>
      <c r="K1706" s="6" t="s">
        <v>8992</v>
      </c>
      <c r="M1706" s="6"/>
    </row>
    <row r="1707" customFormat="false" ht="15" hidden="false" customHeight="false" outlineLevel="0" collapsed="false">
      <c r="A1707" s="6" t="s">
        <v>9028</v>
      </c>
      <c r="B1707" s="6" t="s">
        <v>5079</v>
      </c>
      <c r="C1707" s="6" t="s">
        <v>4975</v>
      </c>
      <c r="D1707" s="6" t="s">
        <v>8915</v>
      </c>
      <c r="E1707" s="6" t="s">
        <v>9018</v>
      </c>
      <c r="F1707" s="6" t="s">
        <v>9027</v>
      </c>
      <c r="G1707" s="9" t="n">
        <v>31218</v>
      </c>
      <c r="H1707" s="6" t="s">
        <v>384</v>
      </c>
      <c r="I1707" s="6" t="s">
        <v>13</v>
      </c>
      <c r="J1707" s="6" t="s">
        <v>233</v>
      </c>
      <c r="K1707" s="6" t="s">
        <v>8992</v>
      </c>
      <c r="M1707" s="6"/>
    </row>
    <row r="1708" customFormat="false" ht="15" hidden="false" customHeight="false" outlineLevel="0" collapsed="false">
      <c r="A1708" s="6" t="s">
        <v>9029</v>
      </c>
      <c r="B1708" s="6" t="s">
        <v>5074</v>
      </c>
      <c r="C1708" s="6" t="s">
        <v>4975</v>
      </c>
      <c r="D1708" s="6" t="s">
        <v>8915</v>
      </c>
      <c r="E1708" s="6" t="s">
        <v>9030</v>
      </c>
      <c r="F1708" s="6" t="s">
        <v>9031</v>
      </c>
      <c r="G1708" s="9" t="n">
        <v>4273</v>
      </c>
      <c r="H1708" s="6" t="s">
        <v>384</v>
      </c>
      <c r="I1708" s="6" t="s">
        <v>13</v>
      </c>
      <c r="J1708" s="6" t="s">
        <v>228</v>
      </c>
      <c r="K1708" s="6" t="s">
        <v>8982</v>
      </c>
      <c r="M1708" s="6"/>
    </row>
    <row r="1709" customFormat="false" ht="15" hidden="false" customHeight="false" outlineLevel="0" collapsed="false">
      <c r="A1709" s="6" t="s">
        <v>9032</v>
      </c>
      <c r="B1709" s="6" t="s">
        <v>5113</v>
      </c>
      <c r="C1709" s="6" t="s">
        <v>4975</v>
      </c>
      <c r="D1709" s="6" t="s">
        <v>8915</v>
      </c>
      <c r="E1709" s="6" t="s">
        <v>9030</v>
      </c>
      <c r="F1709" s="6" t="s">
        <v>9031</v>
      </c>
      <c r="G1709" s="9" t="n">
        <v>-961</v>
      </c>
      <c r="H1709" s="6" t="s">
        <v>384</v>
      </c>
      <c r="I1709" s="6" t="s">
        <v>13</v>
      </c>
      <c r="J1709" s="6" t="s">
        <v>228</v>
      </c>
      <c r="K1709" s="6" t="s">
        <v>8982</v>
      </c>
      <c r="M1709" s="6"/>
    </row>
    <row r="1710" customFormat="false" ht="15" hidden="false" customHeight="false" outlineLevel="0" collapsed="false">
      <c r="A1710" s="6" t="s">
        <v>9033</v>
      </c>
      <c r="B1710" s="6" t="s">
        <v>5320</v>
      </c>
      <c r="C1710" s="6" t="s">
        <v>5316</v>
      </c>
      <c r="D1710" s="6" t="s">
        <v>8915</v>
      </c>
      <c r="E1710" s="6" t="s">
        <v>9034</v>
      </c>
      <c r="F1710" s="6" t="s">
        <v>9035</v>
      </c>
      <c r="G1710" s="9" t="n">
        <v>24004</v>
      </c>
      <c r="H1710" s="6" t="s">
        <v>384</v>
      </c>
      <c r="I1710" s="6" t="s">
        <v>13</v>
      </c>
      <c r="J1710" s="6" t="s">
        <v>253</v>
      </c>
      <c r="K1710" s="6" t="s">
        <v>9000</v>
      </c>
      <c r="M1710" s="6"/>
    </row>
    <row r="1711" customFormat="false" ht="15" hidden="false" customHeight="false" outlineLevel="0" collapsed="false">
      <c r="A1711" s="6" t="s">
        <v>9036</v>
      </c>
      <c r="B1711" s="6" t="s">
        <v>5102</v>
      </c>
      <c r="C1711" s="6" t="s">
        <v>4975</v>
      </c>
      <c r="D1711" s="6" t="s">
        <v>8915</v>
      </c>
      <c r="E1711" s="6" t="s">
        <v>9037</v>
      </c>
      <c r="F1711" s="6" t="s">
        <v>9038</v>
      </c>
      <c r="G1711" s="9" t="n">
        <v>953</v>
      </c>
      <c r="H1711" s="6" t="s">
        <v>384</v>
      </c>
      <c r="I1711" s="6" t="s">
        <v>13</v>
      </c>
      <c r="J1711" s="6" t="s">
        <v>209</v>
      </c>
      <c r="K1711" s="6" t="s">
        <v>9039</v>
      </c>
      <c r="M1711" s="6" t="s">
        <v>9040</v>
      </c>
    </row>
    <row r="1712" customFormat="false" ht="15" hidden="false" customHeight="false" outlineLevel="0" collapsed="false">
      <c r="A1712" s="6" t="s">
        <v>9041</v>
      </c>
      <c r="B1712" s="6" t="s">
        <v>5097</v>
      </c>
      <c r="C1712" s="6" t="s">
        <v>4975</v>
      </c>
      <c r="D1712" s="6" t="s">
        <v>8915</v>
      </c>
      <c r="E1712" s="6" t="s">
        <v>9042</v>
      </c>
      <c r="F1712" s="6" t="s">
        <v>9043</v>
      </c>
      <c r="G1712" s="13" t="n">
        <v>5.4</v>
      </c>
      <c r="H1712" s="6" t="s">
        <v>3751</v>
      </c>
      <c r="I1712" s="6" t="s">
        <v>13</v>
      </c>
      <c r="J1712" s="6" t="s">
        <v>218</v>
      </c>
      <c r="K1712" s="6" t="s">
        <v>9044</v>
      </c>
      <c r="M1712" s="6"/>
    </row>
    <row r="1713" customFormat="false" ht="15" hidden="false" customHeight="false" outlineLevel="0" collapsed="false">
      <c r="A1713" s="6" t="s">
        <v>9045</v>
      </c>
      <c r="B1713" s="6" t="s">
        <v>5102</v>
      </c>
      <c r="C1713" s="6" t="s">
        <v>4975</v>
      </c>
      <c r="D1713" s="6" t="s">
        <v>8915</v>
      </c>
      <c r="E1713" s="6" t="s">
        <v>9046</v>
      </c>
      <c r="F1713" s="6" t="s">
        <v>9047</v>
      </c>
      <c r="G1713" s="19" t="n">
        <v>2.81</v>
      </c>
      <c r="H1713" s="6" t="s">
        <v>5105</v>
      </c>
      <c r="I1713" s="6" t="s">
        <v>13</v>
      </c>
      <c r="J1713" s="6" t="s">
        <v>209</v>
      </c>
      <c r="K1713" s="6" t="s">
        <v>9048</v>
      </c>
      <c r="M1713" s="6"/>
    </row>
    <row r="1714" customFormat="false" ht="15" hidden="false" customHeight="false" outlineLevel="0" collapsed="false">
      <c r="A1714" s="6" t="s">
        <v>9049</v>
      </c>
      <c r="B1714" s="6" t="s">
        <v>5102</v>
      </c>
      <c r="C1714" s="6" t="s">
        <v>4975</v>
      </c>
      <c r="D1714" s="6" t="s">
        <v>8915</v>
      </c>
      <c r="E1714" s="6" t="s">
        <v>9046</v>
      </c>
      <c r="F1714" s="6" t="s">
        <v>9050</v>
      </c>
      <c r="G1714" s="19" t="n">
        <v>2.8</v>
      </c>
      <c r="H1714" s="6" t="s">
        <v>5105</v>
      </c>
      <c r="I1714" s="6" t="s">
        <v>13</v>
      </c>
      <c r="J1714" s="6" t="s">
        <v>218</v>
      </c>
      <c r="K1714" s="6" t="s">
        <v>9051</v>
      </c>
      <c r="M1714" s="6"/>
    </row>
    <row r="1715" customFormat="false" ht="15" hidden="false" customHeight="false" outlineLevel="0" collapsed="false">
      <c r="A1715" s="6" t="s">
        <v>9052</v>
      </c>
      <c r="B1715" s="6" t="s">
        <v>5097</v>
      </c>
      <c r="C1715" s="6" t="s">
        <v>4975</v>
      </c>
      <c r="D1715" s="6" t="s">
        <v>8915</v>
      </c>
      <c r="E1715" s="6" t="s">
        <v>9046</v>
      </c>
      <c r="F1715" s="6" t="s">
        <v>9050</v>
      </c>
      <c r="G1715" s="19" t="n">
        <v>5.3</v>
      </c>
      <c r="H1715" s="6" t="s">
        <v>5105</v>
      </c>
      <c r="I1715" s="6" t="s">
        <v>13</v>
      </c>
      <c r="J1715" s="6" t="s">
        <v>218</v>
      </c>
      <c r="K1715" s="6" t="s">
        <v>9051</v>
      </c>
      <c r="M1715" s="6"/>
    </row>
    <row r="1716" customFormat="false" ht="15" hidden="false" customHeight="false" outlineLevel="0" collapsed="false">
      <c r="A1716" s="6" t="s">
        <v>9053</v>
      </c>
      <c r="B1716" s="6" t="s">
        <v>5097</v>
      </c>
      <c r="C1716" s="6" t="s">
        <v>4975</v>
      </c>
      <c r="D1716" s="6" t="s">
        <v>8915</v>
      </c>
      <c r="E1716" s="6" t="s">
        <v>9046</v>
      </c>
      <c r="F1716" s="6" t="s">
        <v>9054</v>
      </c>
      <c r="G1716" s="19" t="n">
        <v>5.3</v>
      </c>
      <c r="H1716" s="6" t="s">
        <v>5105</v>
      </c>
      <c r="I1716" s="6" t="s">
        <v>13</v>
      </c>
      <c r="J1716" s="6" t="s">
        <v>223</v>
      </c>
      <c r="K1716" s="6" t="s">
        <v>9055</v>
      </c>
      <c r="M1716" s="6"/>
    </row>
    <row r="1717" customFormat="false" ht="15" hidden="false" customHeight="false" outlineLevel="0" collapsed="false">
      <c r="A1717" s="6" t="s">
        <v>9056</v>
      </c>
      <c r="B1717" s="6" t="s">
        <v>5074</v>
      </c>
      <c r="C1717" s="6" t="s">
        <v>4975</v>
      </c>
      <c r="D1717" s="6" t="s">
        <v>8915</v>
      </c>
      <c r="E1717" s="6" t="s">
        <v>9046</v>
      </c>
      <c r="F1717" s="6" t="s">
        <v>9054</v>
      </c>
      <c r="G1717" s="19" t="n">
        <v>2.9</v>
      </c>
      <c r="H1717" s="6" t="s">
        <v>5105</v>
      </c>
      <c r="I1717" s="6" t="s">
        <v>13</v>
      </c>
      <c r="J1717" s="6" t="s">
        <v>223</v>
      </c>
      <c r="K1717" s="6" t="s">
        <v>9055</v>
      </c>
      <c r="M1717" s="6"/>
    </row>
    <row r="1718" customFormat="false" ht="15" hidden="false" customHeight="false" outlineLevel="0" collapsed="false">
      <c r="A1718" s="6" t="s">
        <v>9057</v>
      </c>
      <c r="B1718" s="6" t="s">
        <v>5074</v>
      </c>
      <c r="C1718" s="6" t="s">
        <v>4975</v>
      </c>
      <c r="D1718" s="6" t="s">
        <v>8915</v>
      </c>
      <c r="E1718" s="6" t="s">
        <v>9046</v>
      </c>
      <c r="F1718" s="6" t="s">
        <v>9058</v>
      </c>
      <c r="G1718" s="19" t="n">
        <v>2.9</v>
      </c>
      <c r="H1718" s="6" t="s">
        <v>5105</v>
      </c>
      <c r="I1718" s="6" t="s">
        <v>13</v>
      </c>
      <c r="J1718" s="6" t="s">
        <v>228</v>
      </c>
      <c r="K1718" s="6" t="s">
        <v>9059</v>
      </c>
      <c r="M1718" s="6"/>
    </row>
    <row r="1719" customFormat="false" ht="15" hidden="false" customHeight="false" outlineLevel="0" collapsed="false">
      <c r="A1719" s="6" t="s">
        <v>9060</v>
      </c>
      <c r="B1719" s="6" t="s">
        <v>5113</v>
      </c>
      <c r="C1719" s="6" t="s">
        <v>4975</v>
      </c>
      <c r="D1719" s="6" t="s">
        <v>8915</v>
      </c>
      <c r="E1719" s="6" t="s">
        <v>9046</v>
      </c>
      <c r="F1719" s="6" t="s">
        <v>9061</v>
      </c>
      <c r="G1719" s="19" t="n">
        <v>3.2</v>
      </c>
      <c r="H1719" s="6" t="s">
        <v>5105</v>
      </c>
      <c r="I1719" s="6" t="s">
        <v>13</v>
      </c>
      <c r="J1719" s="6" t="s">
        <v>228</v>
      </c>
      <c r="K1719" s="6" t="s">
        <v>9059</v>
      </c>
      <c r="M1719" s="6"/>
    </row>
    <row r="1720" customFormat="false" ht="15" hidden="false" customHeight="false" outlineLevel="0" collapsed="false">
      <c r="A1720" s="6" t="s">
        <v>9062</v>
      </c>
      <c r="B1720" s="6" t="s">
        <v>5079</v>
      </c>
      <c r="C1720" s="6" t="s">
        <v>4975</v>
      </c>
      <c r="D1720" s="6" t="s">
        <v>8915</v>
      </c>
      <c r="E1720" s="6" t="s">
        <v>9046</v>
      </c>
      <c r="F1720" s="6" t="s">
        <v>9063</v>
      </c>
      <c r="G1720" s="19" t="n">
        <v>2.68</v>
      </c>
      <c r="H1720" s="6" t="s">
        <v>5105</v>
      </c>
      <c r="I1720" s="6" t="s">
        <v>13</v>
      </c>
      <c r="J1720" s="6" t="s">
        <v>233</v>
      </c>
      <c r="K1720" s="6" t="s">
        <v>9064</v>
      </c>
      <c r="M1720" s="6" t="s">
        <v>9065</v>
      </c>
    </row>
    <row r="1721" customFormat="false" ht="15" hidden="false" customHeight="false" outlineLevel="0" collapsed="false">
      <c r="A1721" s="6" t="s">
        <v>9066</v>
      </c>
      <c r="B1721" s="6" t="s">
        <v>5097</v>
      </c>
      <c r="C1721" s="6" t="s">
        <v>4975</v>
      </c>
      <c r="D1721" s="6" t="s">
        <v>8915</v>
      </c>
      <c r="E1721" s="6" t="s">
        <v>9067</v>
      </c>
      <c r="F1721" s="6" t="s">
        <v>9068</v>
      </c>
      <c r="G1721" s="9" t="n">
        <v>-1801</v>
      </c>
      <c r="H1721" s="6" t="s">
        <v>384</v>
      </c>
      <c r="I1721" s="6" t="s">
        <v>13</v>
      </c>
      <c r="J1721" s="6" t="s">
        <v>223</v>
      </c>
      <c r="K1721" s="6" t="s">
        <v>9024</v>
      </c>
      <c r="M1721" s="6" t="s">
        <v>9069</v>
      </c>
    </row>
    <row r="1722" customFormat="false" ht="15" hidden="false" customHeight="false" outlineLevel="0" collapsed="false">
      <c r="A1722" s="6" t="s">
        <v>9070</v>
      </c>
      <c r="B1722" s="6" t="s">
        <v>5203</v>
      </c>
      <c r="C1722" s="6" t="s">
        <v>4975</v>
      </c>
      <c r="D1722" s="6" t="s">
        <v>8915</v>
      </c>
      <c r="E1722" s="6" t="s">
        <v>9071</v>
      </c>
      <c r="F1722" s="6" t="s">
        <v>9072</v>
      </c>
      <c r="G1722" s="19" t="n">
        <v>7</v>
      </c>
      <c r="H1722" s="6" t="s">
        <v>5105</v>
      </c>
      <c r="I1722" s="6" t="s">
        <v>13</v>
      </c>
      <c r="J1722" s="6" t="s">
        <v>209</v>
      </c>
      <c r="K1722" s="6" t="s">
        <v>9048</v>
      </c>
      <c r="M1722" s="6"/>
    </row>
    <row r="1723" customFormat="false" ht="15" hidden="false" customHeight="false" outlineLevel="0" collapsed="false">
      <c r="A1723" s="6" t="s">
        <v>9073</v>
      </c>
      <c r="B1723" s="6" t="s">
        <v>5102</v>
      </c>
      <c r="C1723" s="6" t="s">
        <v>4975</v>
      </c>
      <c r="D1723" s="6" t="s">
        <v>8915</v>
      </c>
      <c r="E1723" s="6" t="s">
        <v>9071</v>
      </c>
      <c r="F1723" s="6" t="s">
        <v>9074</v>
      </c>
      <c r="G1723" s="19" t="n">
        <v>3.3</v>
      </c>
      <c r="H1723" s="6" t="s">
        <v>5105</v>
      </c>
      <c r="I1723" s="6" t="s">
        <v>13</v>
      </c>
      <c r="J1723" s="6" t="s">
        <v>209</v>
      </c>
      <c r="K1723" s="6" t="s">
        <v>9048</v>
      </c>
      <c r="M1723" s="6"/>
    </row>
    <row r="1724" customFormat="false" ht="15" hidden="false" customHeight="false" outlineLevel="0" collapsed="false">
      <c r="A1724" s="6" t="s">
        <v>9075</v>
      </c>
      <c r="B1724" s="6" t="s">
        <v>5102</v>
      </c>
      <c r="C1724" s="6" t="s">
        <v>4975</v>
      </c>
      <c r="D1724" s="6" t="s">
        <v>8915</v>
      </c>
      <c r="E1724" s="6" t="s">
        <v>9071</v>
      </c>
      <c r="F1724" s="6" t="s">
        <v>9076</v>
      </c>
      <c r="G1724" s="19" t="n">
        <v>3.3</v>
      </c>
      <c r="H1724" s="6" t="s">
        <v>5105</v>
      </c>
      <c r="I1724" s="6" t="s">
        <v>13</v>
      </c>
      <c r="J1724" s="6" t="s">
        <v>218</v>
      </c>
      <c r="K1724" s="6" t="s">
        <v>9051</v>
      </c>
      <c r="M1724" s="6"/>
    </row>
    <row r="1725" customFormat="false" ht="15" hidden="false" customHeight="false" outlineLevel="0" collapsed="false">
      <c r="A1725" s="6" t="s">
        <v>9077</v>
      </c>
      <c r="B1725" s="6" t="s">
        <v>5079</v>
      </c>
      <c r="C1725" s="6" t="s">
        <v>4975</v>
      </c>
      <c r="D1725" s="6" t="s">
        <v>8915</v>
      </c>
      <c r="E1725" s="6" t="s">
        <v>9071</v>
      </c>
      <c r="F1725" s="6" t="s">
        <v>9078</v>
      </c>
      <c r="G1725" s="19" t="n">
        <v>12.5</v>
      </c>
      <c r="H1725" s="6" t="s">
        <v>5105</v>
      </c>
      <c r="I1725" s="6" t="s">
        <v>13</v>
      </c>
      <c r="J1725" s="6" t="s">
        <v>233</v>
      </c>
      <c r="K1725" s="6" t="s">
        <v>9064</v>
      </c>
      <c r="M1725" s="6"/>
    </row>
    <row r="1726" customFormat="false" ht="15" hidden="false" customHeight="false" outlineLevel="0" collapsed="false">
      <c r="A1726" s="6" t="s">
        <v>9079</v>
      </c>
      <c r="B1726" s="6" t="s">
        <v>5097</v>
      </c>
      <c r="C1726" s="6" t="s">
        <v>4975</v>
      </c>
      <c r="D1726" s="6" t="s">
        <v>8915</v>
      </c>
      <c r="E1726" s="6" t="s">
        <v>9080</v>
      </c>
      <c r="F1726" s="6" t="s">
        <v>9081</v>
      </c>
      <c r="G1726" s="19" t="n">
        <v>13.2</v>
      </c>
      <c r="H1726" s="6" t="s">
        <v>5105</v>
      </c>
      <c r="I1726" s="6" t="s">
        <v>13</v>
      </c>
      <c r="J1726" s="6" t="s">
        <v>218</v>
      </c>
      <c r="K1726" s="6" t="s">
        <v>9051</v>
      </c>
      <c r="M1726" s="6"/>
    </row>
    <row r="1727" customFormat="false" ht="15" hidden="false" customHeight="false" outlineLevel="0" collapsed="false">
      <c r="A1727" s="6" t="s">
        <v>9082</v>
      </c>
      <c r="B1727" s="6" t="s">
        <v>5097</v>
      </c>
      <c r="C1727" s="6" t="s">
        <v>4975</v>
      </c>
      <c r="D1727" s="6" t="s">
        <v>8915</v>
      </c>
      <c r="E1727" s="6" t="s">
        <v>9080</v>
      </c>
      <c r="F1727" s="6" t="s">
        <v>9083</v>
      </c>
      <c r="G1727" s="19" t="n">
        <v>13.2</v>
      </c>
      <c r="H1727" s="6" t="s">
        <v>5105</v>
      </c>
      <c r="I1727" s="6" t="s">
        <v>13</v>
      </c>
      <c r="J1727" s="6" t="s">
        <v>223</v>
      </c>
      <c r="K1727" s="6" t="s">
        <v>9055</v>
      </c>
      <c r="M1727" s="6"/>
    </row>
    <row r="1728" customFormat="false" ht="15" hidden="false" customHeight="false" outlineLevel="0" collapsed="false">
      <c r="A1728" s="6" t="s">
        <v>9084</v>
      </c>
      <c r="B1728" s="6" t="s">
        <v>5074</v>
      </c>
      <c r="C1728" s="6" t="s">
        <v>4975</v>
      </c>
      <c r="D1728" s="6" t="s">
        <v>8915</v>
      </c>
      <c r="E1728" s="6" t="s">
        <v>9080</v>
      </c>
      <c r="F1728" s="6" t="s">
        <v>9085</v>
      </c>
      <c r="G1728" s="19" t="n">
        <v>3.1</v>
      </c>
      <c r="H1728" s="6" t="s">
        <v>5105</v>
      </c>
      <c r="I1728" s="6" t="s">
        <v>13</v>
      </c>
      <c r="J1728" s="6" t="s">
        <v>223</v>
      </c>
      <c r="K1728" s="6" t="s">
        <v>9055</v>
      </c>
      <c r="M1728" s="6"/>
    </row>
    <row r="1729" customFormat="false" ht="15" hidden="false" customHeight="false" outlineLevel="0" collapsed="false">
      <c r="A1729" s="6" t="s">
        <v>9086</v>
      </c>
      <c r="B1729" s="6" t="s">
        <v>5074</v>
      </c>
      <c r="C1729" s="6" t="s">
        <v>4975</v>
      </c>
      <c r="D1729" s="6" t="s">
        <v>8915</v>
      </c>
      <c r="E1729" s="6" t="s">
        <v>9080</v>
      </c>
      <c r="F1729" s="6" t="s">
        <v>9087</v>
      </c>
      <c r="G1729" s="19" t="n">
        <v>3.1</v>
      </c>
      <c r="H1729" s="6" t="s">
        <v>5105</v>
      </c>
      <c r="I1729" s="6" t="s">
        <v>13</v>
      </c>
      <c r="J1729" s="6" t="s">
        <v>228</v>
      </c>
      <c r="K1729" s="6" t="s">
        <v>9059</v>
      </c>
      <c r="M1729" s="6"/>
    </row>
    <row r="1730" customFormat="false" ht="15" hidden="false" customHeight="false" outlineLevel="0" collapsed="false">
      <c r="A1730" s="6" t="s">
        <v>9088</v>
      </c>
      <c r="B1730" s="6" t="s">
        <v>5113</v>
      </c>
      <c r="C1730" s="6" t="s">
        <v>4975</v>
      </c>
      <c r="D1730" s="6" t="s">
        <v>8915</v>
      </c>
      <c r="E1730" s="6" t="s">
        <v>9080</v>
      </c>
      <c r="F1730" s="6" t="s">
        <v>9089</v>
      </c>
      <c r="G1730" s="19" t="n">
        <v>0.6</v>
      </c>
      <c r="H1730" s="6" t="s">
        <v>5105</v>
      </c>
      <c r="I1730" s="6" t="s">
        <v>13</v>
      </c>
      <c r="J1730" s="6" t="s">
        <v>228</v>
      </c>
      <c r="K1730" s="6" t="s">
        <v>9059</v>
      </c>
      <c r="M1730" s="6"/>
    </row>
    <row r="1731" customFormat="false" ht="15" hidden="false" customHeight="false" outlineLevel="0" collapsed="false">
      <c r="A1731" s="6" t="s">
        <v>9090</v>
      </c>
      <c r="B1731" s="6" t="s">
        <v>5049</v>
      </c>
      <c r="C1731" s="6" t="s">
        <v>5050</v>
      </c>
      <c r="D1731" s="6" t="s">
        <v>8915</v>
      </c>
      <c r="E1731" s="6" t="s">
        <v>9091</v>
      </c>
      <c r="F1731" s="6" t="s">
        <v>9092</v>
      </c>
      <c r="G1731" s="9" t="n">
        <v>581</v>
      </c>
      <c r="H1731" s="6" t="s">
        <v>384</v>
      </c>
      <c r="I1731" s="6" t="s">
        <v>13</v>
      </c>
      <c r="J1731" s="6" t="s">
        <v>209</v>
      </c>
      <c r="K1731" s="6" t="s">
        <v>9093</v>
      </c>
      <c r="M1731" s="6" t="s">
        <v>5055</v>
      </c>
    </row>
    <row r="1732" customFormat="false" ht="15" hidden="false" customHeight="false" outlineLevel="0" collapsed="false">
      <c r="A1732" s="6" t="s">
        <v>9094</v>
      </c>
      <c r="B1732" s="6" t="s">
        <v>5049</v>
      </c>
      <c r="C1732" s="6" t="s">
        <v>5050</v>
      </c>
      <c r="D1732" s="6" t="s">
        <v>8915</v>
      </c>
      <c r="E1732" s="6" t="s">
        <v>9095</v>
      </c>
      <c r="F1732" s="6" t="s">
        <v>9096</v>
      </c>
      <c r="G1732" s="9" t="n">
        <v>2830</v>
      </c>
      <c r="H1732" s="6" t="s">
        <v>384</v>
      </c>
      <c r="I1732" s="6" t="s">
        <v>13</v>
      </c>
      <c r="J1732" s="6" t="s">
        <v>209</v>
      </c>
      <c r="K1732" s="6" t="s">
        <v>9093</v>
      </c>
      <c r="M1732" s="6"/>
    </row>
    <row r="1733" customFormat="false" ht="15" hidden="false" customHeight="false" outlineLevel="0" collapsed="false">
      <c r="A1733" s="6" t="s">
        <v>9097</v>
      </c>
      <c r="B1733" s="6" t="s">
        <v>5468</v>
      </c>
      <c r="C1733" s="6" t="s">
        <v>5050</v>
      </c>
      <c r="D1733" s="6" t="s">
        <v>8915</v>
      </c>
      <c r="E1733" s="6" t="s">
        <v>9098</v>
      </c>
      <c r="F1733" s="6" t="s">
        <v>9099</v>
      </c>
      <c r="G1733" s="9" t="n">
        <v>0</v>
      </c>
      <c r="H1733" s="6" t="s">
        <v>384</v>
      </c>
      <c r="I1733" s="6" t="s">
        <v>13</v>
      </c>
      <c r="J1733" s="6" t="s">
        <v>209</v>
      </c>
      <c r="K1733" s="6" t="s">
        <v>9039</v>
      </c>
      <c r="M1733" s="6" t="s">
        <v>9100</v>
      </c>
    </row>
    <row r="1734" customFormat="false" ht="15" hidden="false" customHeight="false" outlineLevel="0" collapsed="false">
      <c r="A1734" s="6" t="s">
        <v>9101</v>
      </c>
      <c r="B1734" s="6" t="s">
        <v>5049</v>
      </c>
      <c r="C1734" s="6" t="s">
        <v>5050</v>
      </c>
      <c r="D1734" s="6" t="s">
        <v>8915</v>
      </c>
      <c r="E1734" s="6" t="s">
        <v>9102</v>
      </c>
      <c r="F1734" s="6" t="s">
        <v>9103</v>
      </c>
      <c r="G1734" s="9" t="n">
        <v>36013</v>
      </c>
      <c r="H1734" s="6" t="s">
        <v>384</v>
      </c>
      <c r="I1734" s="6" t="s">
        <v>13</v>
      </c>
      <c r="J1734" s="6" t="s">
        <v>218</v>
      </c>
      <c r="K1734" s="6" t="s">
        <v>9104</v>
      </c>
      <c r="M1734" s="6"/>
    </row>
    <row r="1735" customFormat="false" ht="15" hidden="false" customHeight="false" outlineLevel="0" collapsed="false">
      <c r="A1735" s="6" t="s">
        <v>9105</v>
      </c>
      <c r="B1735" s="6" t="s">
        <v>5057</v>
      </c>
      <c r="C1735" s="6" t="s">
        <v>5050</v>
      </c>
      <c r="D1735" s="6" t="s">
        <v>8915</v>
      </c>
      <c r="E1735" s="6" t="s">
        <v>9102</v>
      </c>
      <c r="F1735" s="6" t="s">
        <v>9103</v>
      </c>
      <c r="G1735" s="9" t="n">
        <v>81557</v>
      </c>
      <c r="H1735" s="6" t="s">
        <v>384</v>
      </c>
      <c r="I1735" s="6" t="s">
        <v>13</v>
      </c>
      <c r="J1735" s="6" t="s">
        <v>218</v>
      </c>
      <c r="K1735" s="6" t="s">
        <v>9104</v>
      </c>
      <c r="M1735" s="6"/>
    </row>
    <row r="1736" customFormat="false" ht="15" hidden="false" customHeight="false" outlineLevel="0" collapsed="false">
      <c r="A1736" s="6" t="s">
        <v>9106</v>
      </c>
      <c r="B1736" s="6" t="s">
        <v>5049</v>
      </c>
      <c r="C1736" s="6" t="s">
        <v>5050</v>
      </c>
      <c r="D1736" s="6" t="s">
        <v>8915</v>
      </c>
      <c r="E1736" s="6" t="s">
        <v>9107</v>
      </c>
      <c r="F1736" s="6" t="s">
        <v>9108</v>
      </c>
      <c r="G1736" s="9" t="n">
        <v>581</v>
      </c>
      <c r="H1736" s="6" t="s">
        <v>384</v>
      </c>
      <c r="I1736" s="6" t="s">
        <v>13</v>
      </c>
      <c r="J1736" s="6" t="s">
        <v>218</v>
      </c>
      <c r="K1736" s="6" t="s">
        <v>9104</v>
      </c>
      <c r="M1736" s="6" t="s">
        <v>9109</v>
      </c>
    </row>
    <row r="1737" customFormat="false" ht="15" hidden="false" customHeight="false" outlineLevel="0" collapsed="false">
      <c r="A1737" s="6" t="s">
        <v>9110</v>
      </c>
      <c r="B1737" s="6" t="s">
        <v>5049</v>
      </c>
      <c r="C1737" s="6" t="s">
        <v>5050</v>
      </c>
      <c r="D1737" s="6" t="s">
        <v>8915</v>
      </c>
      <c r="E1737" s="6" t="s">
        <v>9111</v>
      </c>
      <c r="F1737" s="6" t="s">
        <v>9112</v>
      </c>
      <c r="G1737" s="9" t="n">
        <v>2830</v>
      </c>
      <c r="H1737" s="6" t="s">
        <v>384</v>
      </c>
      <c r="I1737" s="6" t="s">
        <v>13</v>
      </c>
      <c r="J1737" s="6" t="s">
        <v>218</v>
      </c>
      <c r="K1737" s="6" t="s">
        <v>9104</v>
      </c>
      <c r="M1737" s="6" t="s">
        <v>9113</v>
      </c>
    </row>
    <row r="1738" customFormat="false" ht="15" hidden="false" customHeight="false" outlineLevel="0" collapsed="false">
      <c r="A1738" s="6" t="s">
        <v>9114</v>
      </c>
      <c r="B1738" s="6" t="s">
        <v>5049</v>
      </c>
      <c r="C1738" s="6" t="s">
        <v>5050</v>
      </c>
      <c r="D1738" s="6" t="s">
        <v>8915</v>
      </c>
      <c r="E1738" s="6" t="s">
        <v>9115</v>
      </c>
      <c r="F1738" s="6" t="s">
        <v>9116</v>
      </c>
      <c r="G1738" s="9" t="n">
        <v>4054</v>
      </c>
      <c r="H1738" s="6" t="s">
        <v>384</v>
      </c>
      <c r="I1738" s="6" t="s">
        <v>13</v>
      </c>
      <c r="J1738" s="6" t="s">
        <v>218</v>
      </c>
      <c r="K1738" s="6" t="s">
        <v>9104</v>
      </c>
      <c r="M1738" s="6" t="s">
        <v>9113</v>
      </c>
    </row>
    <row r="1739" customFormat="false" ht="15" hidden="false" customHeight="false" outlineLevel="0" collapsed="false">
      <c r="A1739" s="6" t="s">
        <v>9117</v>
      </c>
      <c r="B1739" s="6" t="s">
        <v>5049</v>
      </c>
      <c r="C1739" s="6" t="s">
        <v>5050</v>
      </c>
      <c r="D1739" s="6" t="s">
        <v>8915</v>
      </c>
      <c r="E1739" s="6" t="s">
        <v>9118</v>
      </c>
      <c r="F1739" s="6" t="s">
        <v>9119</v>
      </c>
      <c r="G1739" s="9" t="n">
        <v>4054</v>
      </c>
      <c r="H1739" s="6" t="s">
        <v>384</v>
      </c>
      <c r="I1739" s="6" t="s">
        <v>13</v>
      </c>
      <c r="J1739" s="6" t="s">
        <v>209</v>
      </c>
      <c r="K1739" s="6" t="s">
        <v>9093</v>
      </c>
      <c r="M1739" s="6"/>
    </row>
    <row r="1740" customFormat="false" ht="15" hidden="false" customHeight="false" outlineLevel="0" collapsed="false">
      <c r="A1740" s="6" t="s">
        <v>9120</v>
      </c>
      <c r="B1740" s="6" t="s">
        <v>5049</v>
      </c>
      <c r="C1740" s="6" t="s">
        <v>5050</v>
      </c>
      <c r="D1740" s="6" t="s">
        <v>8915</v>
      </c>
      <c r="E1740" s="6" t="s">
        <v>9121</v>
      </c>
      <c r="F1740" s="6" t="s">
        <v>9122</v>
      </c>
      <c r="G1740" s="9" t="n">
        <v>36013</v>
      </c>
      <c r="H1740" s="6" t="s">
        <v>384</v>
      </c>
      <c r="I1740" s="6" t="s">
        <v>13</v>
      </c>
      <c r="J1740" s="6" t="s">
        <v>209</v>
      </c>
      <c r="K1740" s="6" t="s">
        <v>9093</v>
      </c>
      <c r="M1740" s="6" t="s">
        <v>9123</v>
      </c>
    </row>
    <row r="1741" customFormat="false" ht="15" hidden="false" customHeight="false" outlineLevel="0" collapsed="false">
      <c r="A1741" s="6" t="s">
        <v>9124</v>
      </c>
      <c r="B1741" s="6" t="s">
        <v>5049</v>
      </c>
      <c r="C1741" s="6" t="s">
        <v>5050</v>
      </c>
      <c r="D1741" s="6" t="s">
        <v>8915</v>
      </c>
      <c r="E1741" s="6" t="s">
        <v>9125</v>
      </c>
      <c r="F1741" s="6" t="s">
        <v>9126</v>
      </c>
      <c r="G1741" s="9" t="n">
        <v>43478</v>
      </c>
      <c r="H1741" s="6" t="s">
        <v>384</v>
      </c>
      <c r="I1741" s="6" t="s">
        <v>13</v>
      </c>
      <c r="J1741" s="6" t="s">
        <v>218</v>
      </c>
      <c r="K1741" s="6" t="s">
        <v>9104</v>
      </c>
      <c r="M1741" s="6"/>
    </row>
    <row r="1742" customFormat="false" ht="15" hidden="false" customHeight="false" outlineLevel="0" collapsed="false">
      <c r="A1742" s="6" t="s">
        <v>9127</v>
      </c>
      <c r="B1742" s="6" t="s">
        <v>5057</v>
      </c>
      <c r="C1742" s="6" t="s">
        <v>5050</v>
      </c>
      <c r="D1742" s="6" t="s">
        <v>8915</v>
      </c>
      <c r="E1742" s="6" t="s">
        <v>9125</v>
      </c>
      <c r="F1742" s="6" t="s">
        <v>9126</v>
      </c>
      <c r="G1742" s="9" t="n">
        <v>81557</v>
      </c>
      <c r="H1742" s="6" t="s">
        <v>384</v>
      </c>
      <c r="I1742" s="6" t="s">
        <v>13</v>
      </c>
      <c r="J1742" s="6" t="s">
        <v>218</v>
      </c>
      <c r="K1742" s="6" t="s">
        <v>9104</v>
      </c>
      <c r="M1742" s="6"/>
    </row>
    <row r="1743" customFormat="false" ht="15" hidden="false" customHeight="false" outlineLevel="0" collapsed="false">
      <c r="A1743" s="6" t="s">
        <v>9128</v>
      </c>
      <c r="B1743" s="6" t="s">
        <v>5062</v>
      </c>
      <c r="C1743" s="6" t="s">
        <v>5050</v>
      </c>
      <c r="D1743" s="6" t="s">
        <v>8915</v>
      </c>
      <c r="E1743" s="6" t="s">
        <v>9129</v>
      </c>
      <c r="F1743" s="6" t="s">
        <v>9130</v>
      </c>
      <c r="G1743" s="9" t="n">
        <v>157430</v>
      </c>
      <c r="H1743" s="6" t="s">
        <v>384</v>
      </c>
      <c r="I1743" s="6" t="s">
        <v>13</v>
      </c>
      <c r="J1743" s="6" t="s">
        <v>228</v>
      </c>
      <c r="K1743" s="6" t="s">
        <v>9131</v>
      </c>
      <c r="M1743" s="6" t="s">
        <v>9132</v>
      </c>
    </row>
    <row r="1744" customFormat="false" ht="15" hidden="false" customHeight="false" outlineLevel="0" collapsed="false">
      <c r="A1744" s="6" t="s">
        <v>9133</v>
      </c>
      <c r="B1744" s="6" t="s">
        <v>5067</v>
      </c>
      <c r="C1744" s="6" t="s">
        <v>5050</v>
      </c>
      <c r="D1744" s="6" t="s">
        <v>8915</v>
      </c>
      <c r="E1744" s="6" t="s">
        <v>9129</v>
      </c>
      <c r="F1744" s="6" t="s">
        <v>9130</v>
      </c>
      <c r="G1744" s="9" t="n">
        <v>209487</v>
      </c>
      <c r="H1744" s="6" t="s">
        <v>384</v>
      </c>
      <c r="I1744" s="6" t="s">
        <v>13</v>
      </c>
      <c r="J1744" s="6" t="s">
        <v>228</v>
      </c>
      <c r="K1744" s="6" t="s">
        <v>9131</v>
      </c>
      <c r="M1744" s="6" t="s">
        <v>9132</v>
      </c>
    </row>
    <row r="1745" customFormat="false" ht="15" hidden="false" customHeight="false" outlineLevel="0" collapsed="false">
      <c r="A1745" s="6" t="s">
        <v>9134</v>
      </c>
      <c r="B1745" s="6" t="s">
        <v>5057</v>
      </c>
      <c r="C1745" s="6" t="s">
        <v>5050</v>
      </c>
      <c r="D1745" s="6" t="s">
        <v>8915</v>
      </c>
      <c r="E1745" s="6" t="s">
        <v>9135</v>
      </c>
      <c r="F1745" s="6" t="s">
        <v>9136</v>
      </c>
      <c r="G1745" s="9" t="n">
        <v>81557</v>
      </c>
      <c r="H1745" s="6" t="s">
        <v>384</v>
      </c>
      <c r="I1745" s="6" t="s">
        <v>13</v>
      </c>
      <c r="J1745" s="6" t="s">
        <v>223</v>
      </c>
      <c r="K1745" s="6" t="s">
        <v>9137</v>
      </c>
      <c r="M1745" s="6"/>
    </row>
    <row r="1746" customFormat="false" ht="15" hidden="false" customHeight="false" outlineLevel="0" collapsed="false">
      <c r="A1746" s="6" t="s">
        <v>9138</v>
      </c>
      <c r="B1746" s="6" t="s">
        <v>5062</v>
      </c>
      <c r="C1746" s="6" t="s">
        <v>5050</v>
      </c>
      <c r="D1746" s="6" t="s">
        <v>8915</v>
      </c>
      <c r="E1746" s="6" t="s">
        <v>9135</v>
      </c>
      <c r="F1746" s="6" t="s">
        <v>9136</v>
      </c>
      <c r="G1746" s="9" t="n">
        <v>157430</v>
      </c>
      <c r="H1746" s="6" t="s">
        <v>384</v>
      </c>
      <c r="I1746" s="6" t="s">
        <v>13</v>
      </c>
      <c r="J1746" s="6" t="s">
        <v>223</v>
      </c>
      <c r="K1746" s="6" t="s">
        <v>9137</v>
      </c>
      <c r="M1746" s="6" t="s">
        <v>9139</v>
      </c>
    </row>
    <row r="1747" customFormat="false" ht="15" hidden="false" customHeight="false" outlineLevel="0" collapsed="false">
      <c r="A1747" s="6" t="s">
        <v>9140</v>
      </c>
      <c r="B1747" s="6" t="s">
        <v>5062</v>
      </c>
      <c r="C1747" s="6" t="s">
        <v>5050</v>
      </c>
      <c r="D1747" s="6" t="s">
        <v>8915</v>
      </c>
      <c r="E1747" s="6" t="s">
        <v>9141</v>
      </c>
      <c r="F1747" s="6" t="s">
        <v>9142</v>
      </c>
      <c r="G1747" s="9" t="n">
        <v>157430</v>
      </c>
      <c r="H1747" s="6" t="s">
        <v>384</v>
      </c>
      <c r="I1747" s="6" t="s">
        <v>13</v>
      </c>
      <c r="J1747" s="6" t="s">
        <v>238</v>
      </c>
      <c r="K1747" s="6" t="s">
        <v>9143</v>
      </c>
      <c r="M1747" s="6"/>
    </row>
    <row r="1748" customFormat="false" ht="15" hidden="false" customHeight="false" outlineLevel="0" collapsed="false">
      <c r="A1748" s="6" t="s">
        <v>9144</v>
      </c>
      <c r="B1748" s="6" t="s">
        <v>5239</v>
      </c>
      <c r="C1748" s="6" t="s">
        <v>5050</v>
      </c>
      <c r="D1748" s="6" t="s">
        <v>8915</v>
      </c>
      <c r="E1748" s="6" t="s">
        <v>9141</v>
      </c>
      <c r="F1748" s="6" t="s">
        <v>9142</v>
      </c>
      <c r="G1748" s="9" t="n">
        <v>135674</v>
      </c>
      <c r="H1748" s="6" t="s">
        <v>384</v>
      </c>
      <c r="I1748" s="6" t="s">
        <v>13</v>
      </c>
      <c r="J1748" s="6" t="s">
        <v>238</v>
      </c>
      <c r="K1748" s="6" t="s">
        <v>9143</v>
      </c>
      <c r="M1748" s="6" t="s">
        <v>9145</v>
      </c>
    </row>
    <row r="1749" customFormat="false" ht="15" hidden="false" customHeight="false" outlineLevel="0" collapsed="false">
      <c r="A1749" s="6" t="s">
        <v>9146</v>
      </c>
      <c r="B1749" s="6" t="s">
        <v>5067</v>
      </c>
      <c r="C1749" s="6" t="s">
        <v>5050</v>
      </c>
      <c r="D1749" s="6" t="s">
        <v>8915</v>
      </c>
      <c r="E1749" s="6" t="s">
        <v>9141</v>
      </c>
      <c r="F1749" s="6" t="s">
        <v>9147</v>
      </c>
      <c r="G1749" s="9" t="n">
        <v>209487</v>
      </c>
      <c r="H1749" s="6" t="s">
        <v>384</v>
      </c>
      <c r="I1749" s="6" t="s">
        <v>13</v>
      </c>
      <c r="J1749" s="6" t="s">
        <v>233</v>
      </c>
      <c r="K1749" s="6" t="s">
        <v>8992</v>
      </c>
      <c r="M1749" s="6"/>
    </row>
    <row r="1750" customFormat="false" ht="15" hidden="false" customHeight="false" outlineLevel="0" collapsed="false">
      <c r="A1750" s="6" t="s">
        <v>9148</v>
      </c>
      <c r="B1750" s="6" t="s">
        <v>5067</v>
      </c>
      <c r="C1750" s="6" t="s">
        <v>5050</v>
      </c>
      <c r="D1750" s="6" t="s">
        <v>8915</v>
      </c>
      <c r="E1750" s="6" t="s">
        <v>9141</v>
      </c>
      <c r="F1750" s="6" t="s">
        <v>9149</v>
      </c>
      <c r="G1750" s="9" t="n">
        <v>209487</v>
      </c>
      <c r="H1750" s="6" t="s">
        <v>384</v>
      </c>
      <c r="I1750" s="6" t="s">
        <v>13</v>
      </c>
      <c r="J1750" s="6" t="s">
        <v>253</v>
      </c>
      <c r="K1750" s="6" t="s">
        <v>9150</v>
      </c>
      <c r="M1750" s="6"/>
    </row>
    <row r="1751" customFormat="false" ht="15" hidden="false" customHeight="false" outlineLevel="0" collapsed="false">
      <c r="A1751" s="6" t="s">
        <v>9151</v>
      </c>
      <c r="B1751" s="6" t="s">
        <v>5245</v>
      </c>
      <c r="C1751" s="6" t="s">
        <v>5050</v>
      </c>
      <c r="D1751" s="6" t="s">
        <v>8915</v>
      </c>
      <c r="E1751" s="6" t="s">
        <v>9141</v>
      </c>
      <c r="F1751" s="6" t="s">
        <v>9149</v>
      </c>
      <c r="G1751" s="9" t="n">
        <v>274259</v>
      </c>
      <c r="H1751" s="6" t="s">
        <v>384</v>
      </c>
      <c r="I1751" s="6" t="s">
        <v>13</v>
      </c>
      <c r="J1751" s="6" t="s">
        <v>253</v>
      </c>
      <c r="K1751" s="6" t="s">
        <v>9150</v>
      </c>
      <c r="M1751" s="6" t="s">
        <v>9152</v>
      </c>
    </row>
    <row r="1752" customFormat="false" ht="15" hidden="false" customHeight="false" outlineLevel="0" collapsed="false">
      <c r="A1752" s="6" t="s">
        <v>9153</v>
      </c>
      <c r="B1752" s="6" t="s">
        <v>5072</v>
      </c>
      <c r="C1752" s="6" t="s">
        <v>5050</v>
      </c>
      <c r="D1752" s="6" t="s">
        <v>8915</v>
      </c>
      <c r="E1752" s="6" t="s">
        <v>9141</v>
      </c>
      <c r="F1752" s="6" t="s">
        <v>9147</v>
      </c>
      <c r="G1752" s="9" t="n">
        <v>188088</v>
      </c>
      <c r="H1752" s="6" t="s">
        <v>384</v>
      </c>
      <c r="I1752" s="6" t="s">
        <v>13</v>
      </c>
      <c r="J1752" s="6" t="s">
        <v>233</v>
      </c>
      <c r="K1752" s="6" t="s">
        <v>8992</v>
      </c>
      <c r="M1752" s="6" t="s">
        <v>9154</v>
      </c>
    </row>
    <row r="1753" customFormat="false" ht="15" hidden="false" customHeight="false" outlineLevel="0" collapsed="false">
      <c r="A1753" s="6" t="s">
        <v>9155</v>
      </c>
      <c r="B1753" s="6" t="s">
        <v>5072</v>
      </c>
      <c r="C1753" s="6" t="s">
        <v>5050</v>
      </c>
      <c r="D1753" s="6" t="s">
        <v>8915</v>
      </c>
      <c r="E1753" s="6" t="s">
        <v>9141</v>
      </c>
      <c r="F1753" s="6" t="s">
        <v>9156</v>
      </c>
      <c r="G1753" s="9" t="n">
        <v>188088</v>
      </c>
      <c r="H1753" s="6" t="s">
        <v>384</v>
      </c>
      <c r="I1753" s="6" t="s">
        <v>13</v>
      </c>
      <c r="J1753" s="6" t="s">
        <v>261</v>
      </c>
      <c r="K1753" s="6" t="s">
        <v>9157</v>
      </c>
      <c r="M1753" s="6"/>
    </row>
    <row r="1754" customFormat="false" ht="15" hidden="false" customHeight="false" outlineLevel="0" collapsed="false">
      <c r="A1754" s="6" t="s">
        <v>9158</v>
      </c>
      <c r="B1754" s="6" t="s">
        <v>5249</v>
      </c>
      <c r="C1754" s="6" t="s">
        <v>5050</v>
      </c>
      <c r="D1754" s="6" t="s">
        <v>8915</v>
      </c>
      <c r="E1754" s="6" t="s">
        <v>9141</v>
      </c>
      <c r="F1754" s="6" t="s">
        <v>9156</v>
      </c>
      <c r="G1754" s="9" t="n">
        <v>195769</v>
      </c>
      <c r="H1754" s="6" t="s">
        <v>384</v>
      </c>
      <c r="I1754" s="6" t="s">
        <v>13</v>
      </c>
      <c r="J1754" s="6" t="s">
        <v>261</v>
      </c>
      <c r="K1754" s="6" t="s">
        <v>9157</v>
      </c>
      <c r="M1754" s="6" t="s">
        <v>9159</v>
      </c>
    </row>
    <row r="1755" customFormat="false" ht="15" hidden="false" customHeight="false" outlineLevel="0" collapsed="false">
      <c r="A1755" s="6" t="s">
        <v>9160</v>
      </c>
      <c r="B1755" s="6" t="s">
        <v>5239</v>
      </c>
      <c r="C1755" s="6" t="s">
        <v>5050</v>
      </c>
      <c r="D1755" s="6" t="s">
        <v>8915</v>
      </c>
      <c r="E1755" s="6" t="s">
        <v>9161</v>
      </c>
      <c r="F1755" s="6" t="s">
        <v>9162</v>
      </c>
      <c r="G1755" s="13" t="n">
        <v>135.7</v>
      </c>
      <c r="H1755" s="6" t="s">
        <v>3751</v>
      </c>
      <c r="I1755" s="6" t="s">
        <v>13</v>
      </c>
      <c r="J1755" s="6" t="s">
        <v>246</v>
      </c>
      <c r="K1755" s="6" t="s">
        <v>9163</v>
      </c>
      <c r="M1755" s="6" t="s">
        <v>9164</v>
      </c>
    </row>
    <row r="1756" customFormat="false" ht="15" hidden="false" customHeight="false" outlineLevel="0" collapsed="false">
      <c r="A1756" s="6" t="s">
        <v>9165</v>
      </c>
      <c r="B1756" s="6" t="s">
        <v>5245</v>
      </c>
      <c r="C1756" s="6" t="s">
        <v>5050</v>
      </c>
      <c r="D1756" s="6" t="s">
        <v>8915</v>
      </c>
      <c r="E1756" s="6" t="s">
        <v>9161</v>
      </c>
      <c r="F1756" s="6" t="s">
        <v>9166</v>
      </c>
      <c r="G1756" s="13" t="n">
        <v>274.3</v>
      </c>
      <c r="H1756" s="6" t="s">
        <v>3751</v>
      </c>
      <c r="I1756" s="6" t="s">
        <v>13</v>
      </c>
      <c r="J1756" s="6" t="s">
        <v>257</v>
      </c>
      <c r="K1756" s="6" t="s">
        <v>8962</v>
      </c>
      <c r="M1756" s="6" t="s">
        <v>9167</v>
      </c>
    </row>
    <row r="1757" customFormat="false" ht="15" hidden="false" customHeight="false" outlineLevel="0" collapsed="false">
      <c r="A1757" s="6" t="s">
        <v>9168</v>
      </c>
      <c r="B1757" s="6" t="s">
        <v>5249</v>
      </c>
      <c r="C1757" s="6" t="s">
        <v>5050</v>
      </c>
      <c r="D1757" s="6" t="s">
        <v>8915</v>
      </c>
      <c r="E1757" s="6" t="s">
        <v>9161</v>
      </c>
      <c r="F1757" s="6" t="s">
        <v>9169</v>
      </c>
      <c r="G1757" s="13" t="n">
        <v>195.8</v>
      </c>
      <c r="H1757" s="6" t="s">
        <v>3751</v>
      </c>
      <c r="I1757" s="6" t="s">
        <v>13</v>
      </c>
      <c r="J1757" s="6" t="s">
        <v>265</v>
      </c>
      <c r="K1757" s="6" t="s">
        <v>9170</v>
      </c>
      <c r="M1757" s="6" t="s">
        <v>9171</v>
      </c>
    </row>
    <row r="1758" customFormat="false" ht="15" hidden="false" customHeight="false" outlineLevel="0" collapsed="false">
      <c r="A1758" s="6" t="s">
        <v>9172</v>
      </c>
      <c r="B1758" s="6" t="s">
        <v>5049</v>
      </c>
      <c r="C1758" s="6" t="s">
        <v>5050</v>
      </c>
      <c r="D1758" s="6" t="s">
        <v>8915</v>
      </c>
      <c r="E1758" s="6" t="s">
        <v>9173</v>
      </c>
      <c r="F1758" s="6" t="s">
        <v>9174</v>
      </c>
      <c r="G1758" s="9" t="n">
        <v>43478</v>
      </c>
      <c r="H1758" s="6" t="s">
        <v>384</v>
      </c>
      <c r="I1758" s="6" t="s">
        <v>13</v>
      </c>
      <c r="J1758" s="6" t="s">
        <v>209</v>
      </c>
      <c r="K1758" s="6" t="s">
        <v>9175</v>
      </c>
      <c r="M1758" s="6" t="s">
        <v>5055</v>
      </c>
    </row>
    <row r="1759" customFormat="false" ht="15" hidden="false" customHeight="false" outlineLevel="0" collapsed="false">
      <c r="A1759" s="6" t="s">
        <v>9176</v>
      </c>
      <c r="B1759" s="6" t="s">
        <v>5057</v>
      </c>
      <c r="C1759" s="6" t="s">
        <v>5050</v>
      </c>
      <c r="D1759" s="6" t="s">
        <v>8915</v>
      </c>
      <c r="E1759" s="6" t="s">
        <v>9177</v>
      </c>
      <c r="F1759" s="6" t="s">
        <v>9178</v>
      </c>
      <c r="G1759" s="13" t="n">
        <v>81.6</v>
      </c>
      <c r="H1759" s="6" t="s">
        <v>3751</v>
      </c>
      <c r="I1759" s="6" t="s">
        <v>13</v>
      </c>
      <c r="J1759" s="6" t="s">
        <v>218</v>
      </c>
      <c r="K1759" s="6" t="s">
        <v>8969</v>
      </c>
      <c r="M1759" s="6"/>
    </row>
    <row r="1760" customFormat="false" ht="15" hidden="false" customHeight="false" outlineLevel="0" collapsed="false">
      <c r="A1760" s="6" t="s">
        <v>9179</v>
      </c>
      <c r="B1760" s="6" t="s">
        <v>5519</v>
      </c>
      <c r="C1760" s="6" t="s">
        <v>5316</v>
      </c>
      <c r="D1760" s="6" t="s">
        <v>8915</v>
      </c>
      <c r="E1760" s="6" t="s">
        <v>9180</v>
      </c>
      <c r="F1760" s="6" t="s">
        <v>9181</v>
      </c>
      <c r="G1760" s="9" t="n">
        <v>-5392</v>
      </c>
      <c r="H1760" s="6" t="s">
        <v>384</v>
      </c>
      <c r="I1760" s="6" t="s">
        <v>13</v>
      </c>
      <c r="J1760" s="6" t="s">
        <v>238</v>
      </c>
      <c r="K1760" s="6" t="s">
        <v>8997</v>
      </c>
      <c r="M1760" s="6"/>
    </row>
    <row r="1761" customFormat="false" ht="15" hidden="false" customHeight="false" outlineLevel="0" collapsed="false">
      <c r="A1761" s="6" t="s">
        <v>9182</v>
      </c>
      <c r="B1761" s="6" t="s">
        <v>5315</v>
      </c>
      <c r="C1761" s="6" t="s">
        <v>5316</v>
      </c>
      <c r="D1761" s="6" t="s">
        <v>8915</v>
      </c>
      <c r="E1761" s="6" t="s">
        <v>9180</v>
      </c>
      <c r="F1761" s="6" t="s">
        <v>9183</v>
      </c>
      <c r="G1761" s="9" t="n">
        <v>1667</v>
      </c>
      <c r="H1761" s="6" t="s">
        <v>384</v>
      </c>
      <c r="I1761" s="6" t="s">
        <v>13</v>
      </c>
      <c r="J1761" s="6" t="s">
        <v>238</v>
      </c>
      <c r="K1761" s="6" t="s">
        <v>8997</v>
      </c>
      <c r="M1761" s="6" t="s">
        <v>9184</v>
      </c>
    </row>
    <row r="1762" customFormat="false" ht="15" hidden="false" customHeight="false" outlineLevel="0" collapsed="false">
      <c r="A1762" s="6" t="s">
        <v>9185</v>
      </c>
      <c r="B1762" s="6" t="s">
        <v>5102</v>
      </c>
      <c r="C1762" s="6" t="s">
        <v>4975</v>
      </c>
      <c r="D1762" s="6" t="s">
        <v>8915</v>
      </c>
      <c r="E1762" s="6" t="s">
        <v>9186</v>
      </c>
      <c r="F1762" s="6" t="s">
        <v>9187</v>
      </c>
      <c r="G1762" s="9" t="n">
        <v>-359</v>
      </c>
      <c r="H1762" s="6" t="s">
        <v>384</v>
      </c>
      <c r="I1762" s="6" t="s">
        <v>13</v>
      </c>
      <c r="J1762" s="6" t="s">
        <v>218</v>
      </c>
      <c r="K1762" s="6" t="s">
        <v>9015</v>
      </c>
      <c r="M1762" s="6"/>
    </row>
    <row r="1763" customFormat="false" ht="15" hidden="false" customHeight="false" outlineLevel="0" collapsed="false">
      <c r="A1763" s="6" t="s">
        <v>9188</v>
      </c>
      <c r="B1763" s="6" t="s">
        <v>5097</v>
      </c>
      <c r="C1763" s="6" t="s">
        <v>4975</v>
      </c>
      <c r="D1763" s="6" t="s">
        <v>8915</v>
      </c>
      <c r="E1763" s="6" t="s">
        <v>9186</v>
      </c>
      <c r="F1763" s="6" t="s">
        <v>9189</v>
      </c>
      <c r="G1763" s="9" t="n">
        <v>7582</v>
      </c>
      <c r="H1763" s="6" t="s">
        <v>384</v>
      </c>
      <c r="I1763" s="6" t="s">
        <v>13</v>
      </c>
      <c r="J1763" s="6" t="s">
        <v>218</v>
      </c>
      <c r="K1763" s="6" t="s">
        <v>9015</v>
      </c>
      <c r="M1763" s="6" t="s">
        <v>9190</v>
      </c>
    </row>
    <row r="1764" customFormat="false" ht="15" hidden="false" customHeight="false" outlineLevel="0" collapsed="false">
      <c r="A1764" s="6" t="s">
        <v>9191</v>
      </c>
      <c r="B1764" s="6" t="s">
        <v>5320</v>
      </c>
      <c r="C1764" s="6" t="s">
        <v>5316</v>
      </c>
      <c r="D1764" s="6" t="s">
        <v>8915</v>
      </c>
      <c r="E1764" s="6" t="s">
        <v>9192</v>
      </c>
      <c r="F1764" s="6" t="s">
        <v>9193</v>
      </c>
      <c r="G1764" s="9" t="n">
        <v>4163</v>
      </c>
      <c r="H1764" s="6" t="s">
        <v>384</v>
      </c>
      <c r="I1764" s="6" t="s">
        <v>13</v>
      </c>
      <c r="J1764" s="6" t="s">
        <v>253</v>
      </c>
      <c r="K1764" s="6" t="s">
        <v>9000</v>
      </c>
      <c r="M1764" s="6" t="s">
        <v>9194</v>
      </c>
    </row>
    <row r="1765" customFormat="false" ht="15" hidden="false" customHeight="false" outlineLevel="0" collapsed="false">
      <c r="A1765" s="6" t="s">
        <v>9195</v>
      </c>
      <c r="B1765" s="6" t="s">
        <v>5325</v>
      </c>
      <c r="C1765" s="6" t="s">
        <v>5316</v>
      </c>
      <c r="D1765" s="6" t="s">
        <v>8915</v>
      </c>
      <c r="E1765" s="6" t="s">
        <v>9192</v>
      </c>
      <c r="F1765" s="6" t="s">
        <v>9196</v>
      </c>
      <c r="G1765" s="9" t="n">
        <v>21811</v>
      </c>
      <c r="H1765" s="6" t="s">
        <v>384</v>
      </c>
      <c r="I1765" s="6" t="s">
        <v>13</v>
      </c>
      <c r="J1765" s="6" t="s">
        <v>261</v>
      </c>
      <c r="K1765" s="6" t="s">
        <v>8922</v>
      </c>
      <c r="M1765" s="6" t="s">
        <v>9194</v>
      </c>
    </row>
    <row r="1766" customFormat="false" ht="15" hidden="false" customHeight="false" outlineLevel="0" collapsed="false">
      <c r="A1766" s="6" t="s">
        <v>9197</v>
      </c>
      <c r="B1766" s="6" t="s">
        <v>5113</v>
      </c>
      <c r="C1766" s="6" t="s">
        <v>4975</v>
      </c>
      <c r="D1766" s="6" t="s">
        <v>8915</v>
      </c>
      <c r="E1766" s="6" t="s">
        <v>9198</v>
      </c>
      <c r="F1766" s="6" t="s">
        <v>9027</v>
      </c>
      <c r="G1766" s="9" t="n">
        <v>5861</v>
      </c>
      <c r="H1766" s="6" t="s">
        <v>384</v>
      </c>
      <c r="I1766" s="6" t="s">
        <v>13</v>
      </c>
      <c r="J1766" s="6" t="s">
        <v>233</v>
      </c>
      <c r="K1766" s="6" t="s">
        <v>8992</v>
      </c>
      <c r="M1766" s="6" t="s">
        <v>9190</v>
      </c>
    </row>
    <row r="1767" customFormat="false" ht="15" hidden="false" customHeight="false" outlineLevel="0" collapsed="false">
      <c r="A1767" s="6" t="s">
        <v>9199</v>
      </c>
      <c r="B1767" s="6" t="s">
        <v>5079</v>
      </c>
      <c r="C1767" s="6" t="s">
        <v>4975</v>
      </c>
      <c r="D1767" s="6" t="s">
        <v>8915</v>
      </c>
      <c r="E1767" s="6" t="s">
        <v>9198</v>
      </c>
      <c r="F1767" s="6" t="s">
        <v>9027</v>
      </c>
      <c r="G1767" s="9" t="n">
        <v>16453</v>
      </c>
      <c r="H1767" s="6" t="s">
        <v>384</v>
      </c>
      <c r="I1767" s="6" t="s">
        <v>13</v>
      </c>
      <c r="J1767" s="6" t="s">
        <v>233</v>
      </c>
      <c r="K1767" s="6" t="s">
        <v>8992</v>
      </c>
      <c r="M1767" s="6" t="s">
        <v>9190</v>
      </c>
    </row>
    <row r="1768" customFormat="false" ht="15" hidden="false" customHeight="false" outlineLevel="0" collapsed="false">
      <c r="A1768" s="6" t="s">
        <v>9200</v>
      </c>
      <c r="B1768" s="6" t="s">
        <v>5097</v>
      </c>
      <c r="C1768" s="6" t="s">
        <v>4975</v>
      </c>
      <c r="D1768" s="6" t="s">
        <v>8915</v>
      </c>
      <c r="E1768" s="6" t="s">
        <v>9201</v>
      </c>
      <c r="F1768" s="6" t="s">
        <v>9023</v>
      </c>
      <c r="G1768" s="9" t="n">
        <v>7582</v>
      </c>
      <c r="H1768" s="6" t="s">
        <v>384</v>
      </c>
      <c r="I1768" s="6" t="s">
        <v>13</v>
      </c>
      <c r="J1768" s="6" t="s">
        <v>223</v>
      </c>
      <c r="K1768" s="6" t="s">
        <v>9024</v>
      </c>
      <c r="M1768" s="6"/>
    </row>
    <row r="1769" customFormat="false" ht="15" hidden="false" customHeight="false" outlineLevel="0" collapsed="false">
      <c r="A1769" s="6" t="s">
        <v>9202</v>
      </c>
      <c r="B1769" s="6" t="s">
        <v>5074</v>
      </c>
      <c r="C1769" s="6" t="s">
        <v>4975</v>
      </c>
      <c r="D1769" s="6" t="s">
        <v>8915</v>
      </c>
      <c r="E1769" s="6" t="s">
        <v>9201</v>
      </c>
      <c r="F1769" s="6" t="s">
        <v>9023</v>
      </c>
      <c r="G1769" s="9" t="n">
        <v>8741</v>
      </c>
      <c r="H1769" s="6" t="s">
        <v>384</v>
      </c>
      <c r="I1769" s="6" t="s">
        <v>13</v>
      </c>
      <c r="J1769" s="6" t="s">
        <v>223</v>
      </c>
      <c r="K1769" s="6" t="s">
        <v>9024</v>
      </c>
      <c r="M1769" s="6" t="s">
        <v>9190</v>
      </c>
    </row>
    <row r="1770" customFormat="false" ht="15" hidden="false" customHeight="false" outlineLevel="0" collapsed="false">
      <c r="A1770" s="6" t="s">
        <v>9203</v>
      </c>
      <c r="B1770" s="6" t="s">
        <v>5074</v>
      </c>
      <c r="C1770" s="6" t="s">
        <v>4975</v>
      </c>
      <c r="D1770" s="6" t="s">
        <v>8915</v>
      </c>
      <c r="E1770" s="6" t="s">
        <v>9204</v>
      </c>
      <c r="F1770" s="6" t="s">
        <v>9031</v>
      </c>
      <c r="G1770" s="9" t="n">
        <v>8741</v>
      </c>
      <c r="H1770" s="6" t="s">
        <v>384</v>
      </c>
      <c r="I1770" s="6" t="s">
        <v>13</v>
      </c>
      <c r="J1770" s="6" t="s">
        <v>228</v>
      </c>
      <c r="K1770" s="6" t="s">
        <v>8982</v>
      </c>
      <c r="M1770" s="6" t="s">
        <v>9205</v>
      </c>
    </row>
    <row r="1771" customFormat="false" ht="15" hidden="false" customHeight="false" outlineLevel="0" collapsed="false">
      <c r="A1771" s="6" t="s">
        <v>9206</v>
      </c>
      <c r="B1771" s="6" t="s">
        <v>5113</v>
      </c>
      <c r="C1771" s="6" t="s">
        <v>4975</v>
      </c>
      <c r="D1771" s="6" t="s">
        <v>8915</v>
      </c>
      <c r="E1771" s="6" t="s">
        <v>9204</v>
      </c>
      <c r="F1771" s="6" t="s">
        <v>9031</v>
      </c>
      <c r="G1771" s="9" t="n">
        <v>-5861</v>
      </c>
      <c r="H1771" s="6" t="s">
        <v>384</v>
      </c>
      <c r="I1771" s="6" t="s">
        <v>13</v>
      </c>
      <c r="J1771" s="6" t="s">
        <v>228</v>
      </c>
      <c r="K1771" s="6" t="s">
        <v>8982</v>
      </c>
      <c r="M1771" s="6" t="s">
        <v>9205</v>
      </c>
    </row>
    <row r="1772" customFormat="false" ht="15" hidden="false" customHeight="false" outlineLevel="0" collapsed="false">
      <c r="A1772" s="6" t="s">
        <v>9207</v>
      </c>
      <c r="B1772" s="6" t="s">
        <v>5074</v>
      </c>
      <c r="C1772" s="6" t="s">
        <v>4975</v>
      </c>
      <c r="D1772" s="6" t="s">
        <v>8915</v>
      </c>
      <c r="E1772" s="6" t="s">
        <v>9208</v>
      </c>
      <c r="F1772" s="6" t="s">
        <v>9209</v>
      </c>
      <c r="G1772" s="19" t="n">
        <v>1</v>
      </c>
      <c r="H1772" s="6" t="s">
        <v>5105</v>
      </c>
      <c r="I1772" s="6" t="s">
        <v>13</v>
      </c>
      <c r="J1772" s="6" t="s">
        <v>223</v>
      </c>
      <c r="K1772" s="6" t="s">
        <v>9210</v>
      </c>
      <c r="M1772" s="6" t="s">
        <v>9211</v>
      </c>
    </row>
    <row r="1773" customFormat="false" ht="15" hidden="false" customHeight="false" outlineLevel="0" collapsed="false">
      <c r="A1773" s="6" t="s">
        <v>9212</v>
      </c>
      <c r="B1773" s="6" t="s">
        <v>5113</v>
      </c>
      <c r="C1773" s="6" t="s">
        <v>4975</v>
      </c>
      <c r="D1773" s="6" t="s">
        <v>8915</v>
      </c>
      <c r="E1773" s="6" t="s">
        <v>9213</v>
      </c>
      <c r="F1773" s="6" t="s">
        <v>9214</v>
      </c>
      <c r="G1773" s="19" t="n">
        <v>1</v>
      </c>
      <c r="H1773" s="6" t="s">
        <v>5105</v>
      </c>
      <c r="I1773" s="6" t="s">
        <v>13</v>
      </c>
      <c r="J1773" s="6" t="s">
        <v>228</v>
      </c>
      <c r="K1773" s="6" t="s">
        <v>9215</v>
      </c>
      <c r="M1773" s="6" t="s">
        <v>9216</v>
      </c>
    </row>
    <row r="1774" customFormat="false" ht="15" hidden="false" customHeight="false" outlineLevel="0" collapsed="false">
      <c r="A1774" s="6" t="s">
        <v>9217</v>
      </c>
      <c r="B1774" s="6" t="s">
        <v>5102</v>
      </c>
      <c r="C1774" s="6" t="s">
        <v>4975</v>
      </c>
      <c r="D1774" s="6" t="s">
        <v>8915</v>
      </c>
      <c r="E1774" s="6" t="s">
        <v>9218</v>
      </c>
      <c r="F1774" s="6" t="s">
        <v>9219</v>
      </c>
      <c r="G1774" s="19" t="n">
        <v>21</v>
      </c>
      <c r="H1774" s="6" t="s">
        <v>5105</v>
      </c>
      <c r="I1774" s="6" t="s">
        <v>13</v>
      </c>
      <c r="J1774" s="6" t="s">
        <v>218</v>
      </c>
      <c r="K1774" s="6" t="s">
        <v>9051</v>
      </c>
      <c r="M1774" s="6"/>
    </row>
    <row r="1775" customFormat="false" ht="15" hidden="false" customHeight="false" outlineLevel="0" collapsed="false">
      <c r="A1775" s="6" t="s">
        <v>9220</v>
      </c>
      <c r="B1775" s="6" t="s">
        <v>5097</v>
      </c>
      <c r="C1775" s="6" t="s">
        <v>4975</v>
      </c>
      <c r="D1775" s="6" t="s">
        <v>8915</v>
      </c>
      <c r="E1775" s="6" t="s">
        <v>9218</v>
      </c>
      <c r="F1775" s="6" t="s">
        <v>9219</v>
      </c>
      <c r="G1775" s="19" t="n">
        <v>21</v>
      </c>
      <c r="H1775" s="6" t="s">
        <v>5105</v>
      </c>
      <c r="I1775" s="6" t="s">
        <v>13</v>
      </c>
      <c r="J1775" s="6" t="s">
        <v>218</v>
      </c>
      <c r="K1775" s="6" t="s">
        <v>9051</v>
      </c>
      <c r="M1775" s="6"/>
    </row>
    <row r="1776" customFormat="false" ht="15" hidden="false" customHeight="false" outlineLevel="0" collapsed="false">
      <c r="A1776" s="6" t="s">
        <v>9221</v>
      </c>
      <c r="B1776" s="6" t="s">
        <v>5097</v>
      </c>
      <c r="C1776" s="6" t="s">
        <v>4975</v>
      </c>
      <c r="D1776" s="6" t="s">
        <v>8915</v>
      </c>
      <c r="E1776" s="6" t="s">
        <v>9218</v>
      </c>
      <c r="F1776" s="6" t="s">
        <v>9222</v>
      </c>
      <c r="G1776" s="19" t="n">
        <v>21</v>
      </c>
      <c r="H1776" s="6" t="s">
        <v>5105</v>
      </c>
      <c r="I1776" s="6" t="s">
        <v>13</v>
      </c>
      <c r="J1776" s="6" t="s">
        <v>223</v>
      </c>
      <c r="K1776" s="6" t="s">
        <v>9055</v>
      </c>
      <c r="M1776" s="6"/>
    </row>
    <row r="1777" customFormat="false" ht="15" hidden="false" customHeight="false" outlineLevel="0" collapsed="false">
      <c r="A1777" s="6" t="s">
        <v>9223</v>
      </c>
      <c r="B1777" s="6" t="s">
        <v>5074</v>
      </c>
      <c r="C1777" s="6" t="s">
        <v>4975</v>
      </c>
      <c r="D1777" s="6" t="s">
        <v>8915</v>
      </c>
      <c r="E1777" s="6" t="s">
        <v>9218</v>
      </c>
      <c r="F1777" s="6" t="s">
        <v>9222</v>
      </c>
      <c r="G1777" s="19" t="n">
        <v>22</v>
      </c>
      <c r="H1777" s="6" t="s">
        <v>5105</v>
      </c>
      <c r="I1777" s="6" t="s">
        <v>13</v>
      </c>
      <c r="J1777" s="6" t="s">
        <v>223</v>
      </c>
      <c r="K1777" s="6" t="s">
        <v>9055</v>
      </c>
      <c r="M1777" s="6"/>
    </row>
    <row r="1778" customFormat="false" ht="15" hidden="false" customHeight="false" outlineLevel="0" collapsed="false">
      <c r="A1778" s="6" t="s">
        <v>9224</v>
      </c>
      <c r="B1778" s="6" t="s">
        <v>5074</v>
      </c>
      <c r="C1778" s="6" t="s">
        <v>4975</v>
      </c>
      <c r="D1778" s="6" t="s">
        <v>8915</v>
      </c>
      <c r="E1778" s="6" t="s">
        <v>9218</v>
      </c>
      <c r="F1778" s="6" t="s">
        <v>9225</v>
      </c>
      <c r="G1778" s="19" t="n">
        <v>22</v>
      </c>
      <c r="H1778" s="6" t="s">
        <v>5105</v>
      </c>
      <c r="I1778" s="6" t="s">
        <v>13</v>
      </c>
      <c r="J1778" s="6" t="s">
        <v>228</v>
      </c>
      <c r="K1778" s="6" t="s">
        <v>9059</v>
      </c>
      <c r="M1778" s="6"/>
    </row>
    <row r="1779" customFormat="false" ht="15" hidden="false" customHeight="false" outlineLevel="0" collapsed="false">
      <c r="A1779" s="6" t="s">
        <v>9226</v>
      </c>
      <c r="B1779" s="6" t="s">
        <v>5113</v>
      </c>
      <c r="C1779" s="6" t="s">
        <v>4975</v>
      </c>
      <c r="D1779" s="6" t="s">
        <v>8915</v>
      </c>
      <c r="E1779" s="6" t="s">
        <v>9218</v>
      </c>
      <c r="F1779" s="6" t="s">
        <v>9227</v>
      </c>
      <c r="G1779" s="19" t="n">
        <v>21</v>
      </c>
      <c r="H1779" s="6" t="s">
        <v>5105</v>
      </c>
      <c r="I1779" s="6" t="s">
        <v>13</v>
      </c>
      <c r="J1779" s="6" t="s">
        <v>228</v>
      </c>
      <c r="K1779" s="6" t="s">
        <v>9059</v>
      </c>
      <c r="M1779" s="6"/>
    </row>
    <row r="1780" customFormat="false" ht="15" hidden="false" customHeight="false" outlineLevel="0" collapsed="false">
      <c r="A1780" s="6" t="s">
        <v>9228</v>
      </c>
      <c r="B1780" s="6" t="s">
        <v>5113</v>
      </c>
      <c r="C1780" s="6" t="s">
        <v>4975</v>
      </c>
      <c r="D1780" s="6" t="s">
        <v>8915</v>
      </c>
      <c r="E1780" s="6" t="s">
        <v>9218</v>
      </c>
      <c r="F1780" s="6" t="s">
        <v>9229</v>
      </c>
      <c r="G1780" s="19" t="n">
        <v>21</v>
      </c>
      <c r="H1780" s="6" t="s">
        <v>5105</v>
      </c>
      <c r="I1780" s="6" t="s">
        <v>13</v>
      </c>
      <c r="J1780" s="6" t="s">
        <v>233</v>
      </c>
      <c r="K1780" s="6" t="s">
        <v>9064</v>
      </c>
      <c r="M1780" s="6"/>
    </row>
    <row r="1781" customFormat="false" ht="15" hidden="false" customHeight="false" outlineLevel="0" collapsed="false">
      <c r="A1781" s="6" t="s">
        <v>9230</v>
      </c>
      <c r="B1781" s="6" t="s">
        <v>5079</v>
      </c>
      <c r="C1781" s="6" t="s">
        <v>4975</v>
      </c>
      <c r="D1781" s="6" t="s">
        <v>8915</v>
      </c>
      <c r="E1781" s="6" t="s">
        <v>9218</v>
      </c>
      <c r="F1781" s="6" t="s">
        <v>9229</v>
      </c>
      <c r="G1781" s="19" t="n">
        <v>25</v>
      </c>
      <c r="H1781" s="6" t="s">
        <v>5105</v>
      </c>
      <c r="I1781" s="6" t="s">
        <v>13</v>
      </c>
      <c r="J1781" s="6" t="s">
        <v>233</v>
      </c>
      <c r="K1781" s="6" t="s">
        <v>9064</v>
      </c>
      <c r="M1781" s="6"/>
    </row>
    <row r="1782" customFormat="false" ht="15" hidden="false" customHeight="false" outlineLevel="0" collapsed="false">
      <c r="A1782" s="6" t="s">
        <v>9231</v>
      </c>
      <c r="B1782" s="6" t="s">
        <v>5203</v>
      </c>
      <c r="C1782" s="6" t="s">
        <v>4975</v>
      </c>
      <c r="D1782" s="6" t="s">
        <v>8915</v>
      </c>
      <c r="E1782" s="6" t="s">
        <v>9232</v>
      </c>
      <c r="F1782" s="6" t="s">
        <v>9233</v>
      </c>
      <c r="G1782" s="19" t="n">
        <v>17</v>
      </c>
      <c r="H1782" s="6" t="s">
        <v>5105</v>
      </c>
      <c r="I1782" s="6" t="s">
        <v>13</v>
      </c>
      <c r="J1782" s="6" t="s">
        <v>209</v>
      </c>
      <c r="K1782" s="6" t="s">
        <v>9048</v>
      </c>
      <c r="M1782" s="6"/>
    </row>
    <row r="1783" customFormat="false" ht="15" hidden="false" customHeight="false" outlineLevel="0" collapsed="false">
      <c r="A1783" s="6" t="s">
        <v>9234</v>
      </c>
      <c r="B1783" s="6" t="s">
        <v>5102</v>
      </c>
      <c r="C1783" s="6" t="s">
        <v>4975</v>
      </c>
      <c r="D1783" s="6" t="s">
        <v>8915</v>
      </c>
      <c r="E1783" s="6" t="s">
        <v>9232</v>
      </c>
      <c r="F1783" s="6" t="s">
        <v>9235</v>
      </c>
      <c r="G1783" s="19" t="n">
        <v>21</v>
      </c>
      <c r="H1783" s="6" t="s">
        <v>5105</v>
      </c>
      <c r="I1783" s="6" t="s">
        <v>13</v>
      </c>
      <c r="J1783" s="6" t="s">
        <v>209</v>
      </c>
      <c r="K1783" s="6" t="s">
        <v>9048</v>
      </c>
      <c r="M1783" s="6"/>
    </row>
    <row r="1784" customFormat="false" ht="15" hidden="false" customHeight="false" outlineLevel="0" collapsed="false">
      <c r="A1784" s="6" t="s">
        <v>9236</v>
      </c>
      <c r="B1784" s="6" t="s">
        <v>5062</v>
      </c>
      <c r="C1784" s="6" t="s">
        <v>5050</v>
      </c>
      <c r="D1784" s="6" t="s">
        <v>8915</v>
      </c>
      <c r="E1784" s="6" t="s">
        <v>9237</v>
      </c>
      <c r="F1784" s="6" t="s">
        <v>9238</v>
      </c>
      <c r="G1784" s="9" t="n">
        <v>9804</v>
      </c>
      <c r="H1784" s="6" t="s">
        <v>384</v>
      </c>
      <c r="I1784" s="6" t="s">
        <v>13</v>
      </c>
      <c r="J1784" s="6" t="s">
        <v>228</v>
      </c>
      <c r="K1784" s="6" t="s">
        <v>9239</v>
      </c>
      <c r="M1784" s="6"/>
    </row>
    <row r="1785" customFormat="false" ht="15" hidden="false" customHeight="false" outlineLevel="0" collapsed="false">
      <c r="A1785" s="6" t="s">
        <v>9240</v>
      </c>
      <c r="B1785" s="6" t="s">
        <v>5067</v>
      </c>
      <c r="C1785" s="6" t="s">
        <v>5050</v>
      </c>
      <c r="D1785" s="6" t="s">
        <v>8915</v>
      </c>
      <c r="E1785" s="6" t="s">
        <v>9237</v>
      </c>
      <c r="F1785" s="6" t="s">
        <v>9238</v>
      </c>
      <c r="G1785" s="9" t="n">
        <v>2982</v>
      </c>
      <c r="H1785" s="6" t="s">
        <v>384</v>
      </c>
      <c r="I1785" s="6" t="s">
        <v>13</v>
      </c>
      <c r="J1785" s="6" t="s">
        <v>228</v>
      </c>
      <c r="K1785" s="6" t="s">
        <v>9239</v>
      </c>
      <c r="M1785" s="6"/>
    </row>
    <row r="1786" customFormat="false" ht="15" hidden="false" customHeight="false" outlineLevel="0" collapsed="false">
      <c r="A1786" s="6" t="s">
        <v>9241</v>
      </c>
      <c r="B1786" s="6" t="s">
        <v>5245</v>
      </c>
      <c r="C1786" s="6" t="s">
        <v>5050</v>
      </c>
      <c r="D1786" s="6" t="s">
        <v>8915</v>
      </c>
      <c r="E1786" s="6" t="s">
        <v>9237</v>
      </c>
      <c r="F1786" s="6" t="s">
        <v>9242</v>
      </c>
      <c r="G1786" s="9" t="n">
        <v>22823</v>
      </c>
      <c r="H1786" s="6" t="s">
        <v>384</v>
      </c>
      <c r="I1786" s="6" t="s">
        <v>13</v>
      </c>
      <c r="J1786" s="6" t="s">
        <v>253</v>
      </c>
      <c r="K1786" s="6" t="s">
        <v>9243</v>
      </c>
      <c r="M1786" s="6"/>
    </row>
    <row r="1787" customFormat="false" ht="15" hidden="false" customHeight="false" outlineLevel="0" collapsed="false">
      <c r="A1787" s="6" t="s">
        <v>9244</v>
      </c>
      <c r="B1787" s="6" t="s">
        <v>5249</v>
      </c>
      <c r="C1787" s="6" t="s">
        <v>5050</v>
      </c>
      <c r="D1787" s="6" t="s">
        <v>8915</v>
      </c>
      <c r="E1787" s="6" t="s">
        <v>9237</v>
      </c>
      <c r="F1787" s="6" t="s">
        <v>9245</v>
      </c>
      <c r="G1787" s="9" t="n">
        <v>7963</v>
      </c>
      <c r="H1787" s="6" t="s">
        <v>384</v>
      </c>
      <c r="I1787" s="6" t="s">
        <v>13</v>
      </c>
      <c r="J1787" s="6" t="s">
        <v>261</v>
      </c>
      <c r="K1787" s="6" t="s">
        <v>9246</v>
      </c>
      <c r="M1787" s="6"/>
    </row>
    <row r="1788" customFormat="false" ht="15" hidden="false" customHeight="false" outlineLevel="0" collapsed="false">
      <c r="A1788" s="6" t="s">
        <v>9247</v>
      </c>
      <c r="B1788" s="6" t="s">
        <v>5072</v>
      </c>
      <c r="C1788" s="6" t="s">
        <v>5050</v>
      </c>
      <c r="D1788" s="6" t="s">
        <v>8915</v>
      </c>
      <c r="E1788" s="6" t="s">
        <v>9248</v>
      </c>
      <c r="F1788" s="6" t="s">
        <v>9249</v>
      </c>
      <c r="G1788" s="9" t="n">
        <v>17747</v>
      </c>
      <c r="H1788" s="6" t="s">
        <v>384</v>
      </c>
      <c r="I1788" s="6" t="s">
        <v>13</v>
      </c>
      <c r="J1788" s="6" t="s">
        <v>233</v>
      </c>
      <c r="K1788" s="6" t="s">
        <v>9250</v>
      </c>
      <c r="M1788" s="6" t="s">
        <v>9251</v>
      </c>
    </row>
    <row r="1789" customFormat="false" ht="15" hidden="false" customHeight="false" outlineLevel="0" collapsed="false">
      <c r="A1789" s="6" t="s">
        <v>9252</v>
      </c>
      <c r="B1789" s="6" t="s">
        <v>6032</v>
      </c>
      <c r="C1789" s="6" t="s">
        <v>4975</v>
      </c>
      <c r="D1789" s="6" t="s">
        <v>9253</v>
      </c>
      <c r="E1789" s="6" t="s">
        <v>8160</v>
      </c>
      <c r="F1789" s="6" t="s">
        <v>9254</v>
      </c>
      <c r="G1789" s="9" t="n">
        <v>250</v>
      </c>
      <c r="H1789" s="6" t="s">
        <v>384</v>
      </c>
      <c r="I1789" s="6" t="s">
        <v>13</v>
      </c>
      <c r="J1789" s="6" t="s">
        <v>209</v>
      </c>
      <c r="K1789" s="6" t="s">
        <v>8103</v>
      </c>
      <c r="M1789" s="6"/>
    </row>
    <row r="1790" customFormat="false" ht="15" hidden="false" customHeight="false" outlineLevel="0" collapsed="false">
      <c r="A1790" s="6" t="s">
        <v>9255</v>
      </c>
      <c r="B1790" s="6" t="s">
        <v>5203</v>
      </c>
      <c r="C1790" s="6" t="s">
        <v>4975</v>
      </c>
      <c r="D1790" s="6" t="s">
        <v>9253</v>
      </c>
      <c r="E1790" s="6" t="s">
        <v>8160</v>
      </c>
      <c r="F1790" s="6" t="s">
        <v>9254</v>
      </c>
      <c r="G1790" s="9" t="n">
        <v>2487</v>
      </c>
      <c r="H1790" s="6" t="s">
        <v>384</v>
      </c>
      <c r="I1790" s="6" t="s">
        <v>13</v>
      </c>
      <c r="J1790" s="6" t="s">
        <v>209</v>
      </c>
      <c r="K1790" s="6" t="s">
        <v>8103</v>
      </c>
      <c r="M1790" s="6"/>
    </row>
    <row r="1791" customFormat="false" ht="15" hidden="false" customHeight="false" outlineLevel="0" collapsed="false">
      <c r="A1791" s="6" t="s">
        <v>9256</v>
      </c>
      <c r="B1791" s="6" t="s">
        <v>5203</v>
      </c>
      <c r="C1791" s="6" t="s">
        <v>4975</v>
      </c>
      <c r="D1791" s="6" t="s">
        <v>9253</v>
      </c>
      <c r="E1791" s="6" t="s">
        <v>8160</v>
      </c>
      <c r="F1791" s="6" t="s">
        <v>9257</v>
      </c>
      <c r="G1791" s="9" t="n">
        <v>2487</v>
      </c>
      <c r="H1791" s="6" t="s">
        <v>384</v>
      </c>
      <c r="I1791" s="6" t="s">
        <v>13</v>
      </c>
      <c r="J1791" s="6" t="s">
        <v>218</v>
      </c>
      <c r="K1791" s="6" t="s">
        <v>9258</v>
      </c>
      <c r="M1791" s="6"/>
    </row>
    <row r="1792" customFormat="false" ht="15" hidden="false" customHeight="false" outlineLevel="0" collapsed="false">
      <c r="A1792" s="6" t="s">
        <v>9259</v>
      </c>
      <c r="B1792" s="6" t="s">
        <v>5102</v>
      </c>
      <c r="C1792" s="6" t="s">
        <v>4975</v>
      </c>
      <c r="D1792" s="6" t="s">
        <v>9253</v>
      </c>
      <c r="E1792" s="6" t="s">
        <v>8160</v>
      </c>
      <c r="F1792" s="6" t="s">
        <v>9254</v>
      </c>
      <c r="G1792" s="9" t="n">
        <v>3298</v>
      </c>
      <c r="H1792" s="6" t="s">
        <v>384</v>
      </c>
      <c r="I1792" s="6" t="s">
        <v>13</v>
      </c>
      <c r="J1792" s="6" t="s">
        <v>209</v>
      </c>
      <c r="K1792" s="6" t="s">
        <v>8103</v>
      </c>
      <c r="M1792" s="6"/>
    </row>
    <row r="1793" customFormat="false" ht="15" hidden="false" customHeight="false" outlineLevel="0" collapsed="false">
      <c r="A1793" s="6" t="s">
        <v>9260</v>
      </c>
      <c r="B1793" s="6" t="s">
        <v>5102</v>
      </c>
      <c r="C1793" s="6" t="s">
        <v>4975</v>
      </c>
      <c r="D1793" s="6" t="s">
        <v>9253</v>
      </c>
      <c r="E1793" s="6" t="s">
        <v>8160</v>
      </c>
      <c r="F1793" s="6" t="s">
        <v>9257</v>
      </c>
      <c r="G1793" s="9" t="n">
        <v>3298</v>
      </c>
      <c r="H1793" s="6" t="s">
        <v>384</v>
      </c>
      <c r="I1793" s="6" t="s">
        <v>13</v>
      </c>
      <c r="J1793" s="6" t="s">
        <v>218</v>
      </c>
      <c r="K1793" s="6" t="s">
        <v>9258</v>
      </c>
      <c r="M1793" s="6"/>
    </row>
    <row r="1794" customFormat="false" ht="15" hidden="false" customHeight="false" outlineLevel="0" collapsed="false">
      <c r="A1794" s="6" t="s">
        <v>9261</v>
      </c>
      <c r="B1794" s="6" t="s">
        <v>5102</v>
      </c>
      <c r="C1794" s="6" t="s">
        <v>4975</v>
      </c>
      <c r="D1794" s="6" t="s">
        <v>9253</v>
      </c>
      <c r="E1794" s="6" t="s">
        <v>8160</v>
      </c>
      <c r="F1794" s="6" t="s">
        <v>9262</v>
      </c>
      <c r="G1794" s="9" t="n">
        <v>3298</v>
      </c>
      <c r="H1794" s="6" t="s">
        <v>384</v>
      </c>
      <c r="I1794" s="6" t="s">
        <v>13</v>
      </c>
      <c r="J1794" s="6" t="s">
        <v>223</v>
      </c>
      <c r="K1794" s="6" t="s">
        <v>9258</v>
      </c>
      <c r="M1794" s="6"/>
    </row>
    <row r="1795" customFormat="false" ht="15" hidden="false" customHeight="false" outlineLevel="0" collapsed="false">
      <c r="A1795" s="6" t="s">
        <v>9263</v>
      </c>
      <c r="B1795" s="6" t="s">
        <v>5097</v>
      </c>
      <c r="C1795" s="6" t="s">
        <v>4975</v>
      </c>
      <c r="D1795" s="6" t="s">
        <v>9253</v>
      </c>
      <c r="E1795" s="6" t="s">
        <v>8160</v>
      </c>
      <c r="F1795" s="6" t="s">
        <v>9257</v>
      </c>
      <c r="G1795" s="9" t="n">
        <v>5909</v>
      </c>
      <c r="H1795" s="6" t="s">
        <v>384</v>
      </c>
      <c r="I1795" s="6" t="s">
        <v>13</v>
      </c>
      <c r="J1795" s="6" t="s">
        <v>218</v>
      </c>
      <c r="K1795" s="6" t="s">
        <v>9258</v>
      </c>
      <c r="M1795" s="6"/>
    </row>
    <row r="1796" customFormat="false" ht="15" hidden="false" customHeight="false" outlineLevel="0" collapsed="false">
      <c r="A1796" s="6" t="s">
        <v>9264</v>
      </c>
      <c r="B1796" s="6" t="s">
        <v>5097</v>
      </c>
      <c r="C1796" s="6" t="s">
        <v>4975</v>
      </c>
      <c r="D1796" s="6" t="s">
        <v>9253</v>
      </c>
      <c r="E1796" s="6" t="s">
        <v>8160</v>
      </c>
      <c r="F1796" s="6" t="s">
        <v>9262</v>
      </c>
      <c r="G1796" s="9" t="n">
        <v>5909</v>
      </c>
      <c r="H1796" s="6" t="s">
        <v>384</v>
      </c>
      <c r="I1796" s="6" t="s">
        <v>13</v>
      </c>
      <c r="J1796" s="6" t="s">
        <v>223</v>
      </c>
      <c r="K1796" s="6" t="s">
        <v>9258</v>
      </c>
      <c r="M1796" s="6"/>
    </row>
    <row r="1797" customFormat="false" ht="15" hidden="false" customHeight="false" outlineLevel="0" collapsed="false">
      <c r="A1797" s="6" t="s">
        <v>9265</v>
      </c>
      <c r="B1797" s="6" t="s">
        <v>5074</v>
      </c>
      <c r="C1797" s="6" t="s">
        <v>4975</v>
      </c>
      <c r="D1797" s="6" t="s">
        <v>9253</v>
      </c>
      <c r="E1797" s="6" t="s">
        <v>8160</v>
      </c>
      <c r="F1797" s="6" t="s">
        <v>9262</v>
      </c>
      <c r="G1797" s="9" t="n">
        <v>7560</v>
      </c>
      <c r="H1797" s="6" t="s">
        <v>384</v>
      </c>
      <c r="I1797" s="6" t="s">
        <v>13</v>
      </c>
      <c r="J1797" s="6" t="s">
        <v>223</v>
      </c>
      <c r="K1797" s="6" t="s">
        <v>9258</v>
      </c>
      <c r="M1797" s="6"/>
    </row>
    <row r="1798" customFormat="false" ht="15" hidden="false" customHeight="false" outlineLevel="0" collapsed="false">
      <c r="A1798" s="6" t="s">
        <v>9266</v>
      </c>
      <c r="B1798" s="6" t="s">
        <v>5203</v>
      </c>
      <c r="C1798" s="6" t="s">
        <v>4975</v>
      </c>
      <c r="D1798" s="6" t="s">
        <v>9253</v>
      </c>
      <c r="E1798" s="6" t="s">
        <v>9267</v>
      </c>
      <c r="F1798" s="6" t="s">
        <v>9268</v>
      </c>
      <c r="G1798" s="9" t="n">
        <v>14622</v>
      </c>
      <c r="H1798" s="6" t="s">
        <v>384</v>
      </c>
      <c r="I1798" s="6" t="s">
        <v>13</v>
      </c>
      <c r="J1798" s="6" t="s">
        <v>218</v>
      </c>
      <c r="K1798" s="6" t="s">
        <v>9269</v>
      </c>
      <c r="M1798" s="6"/>
    </row>
    <row r="1799" customFormat="false" ht="15" hidden="false" customHeight="false" outlineLevel="0" collapsed="false">
      <c r="A1799" s="6" t="s">
        <v>9270</v>
      </c>
      <c r="B1799" s="6" t="s">
        <v>5102</v>
      </c>
      <c r="C1799" s="6" t="s">
        <v>4975</v>
      </c>
      <c r="D1799" s="6" t="s">
        <v>9253</v>
      </c>
      <c r="E1799" s="6" t="s">
        <v>9267</v>
      </c>
      <c r="F1799" s="6" t="s">
        <v>9271</v>
      </c>
      <c r="G1799" s="9" t="n">
        <v>15039</v>
      </c>
      <c r="H1799" s="6" t="s">
        <v>384</v>
      </c>
      <c r="I1799" s="6" t="s">
        <v>13</v>
      </c>
      <c r="J1799" s="6" t="s">
        <v>209</v>
      </c>
      <c r="K1799" s="6" t="s">
        <v>9272</v>
      </c>
      <c r="M1799" s="6"/>
    </row>
    <row r="1800" customFormat="false" ht="15" hidden="false" customHeight="false" outlineLevel="0" collapsed="false">
      <c r="A1800" s="6" t="s">
        <v>9273</v>
      </c>
      <c r="B1800" s="6" t="s">
        <v>5102</v>
      </c>
      <c r="C1800" s="6" t="s">
        <v>4975</v>
      </c>
      <c r="D1800" s="6" t="s">
        <v>9253</v>
      </c>
      <c r="E1800" s="6" t="s">
        <v>9267</v>
      </c>
      <c r="F1800" s="6" t="s">
        <v>9268</v>
      </c>
      <c r="G1800" s="9" t="n">
        <v>14968</v>
      </c>
      <c r="H1800" s="6" t="s">
        <v>384</v>
      </c>
      <c r="I1800" s="6" t="s">
        <v>13</v>
      </c>
      <c r="J1800" s="6" t="s">
        <v>218</v>
      </c>
      <c r="K1800" s="6" t="s">
        <v>9269</v>
      </c>
      <c r="M1800" s="6"/>
    </row>
    <row r="1801" customFormat="false" ht="15" hidden="false" customHeight="false" outlineLevel="0" collapsed="false">
      <c r="A1801" s="6" t="s">
        <v>9274</v>
      </c>
      <c r="B1801" s="6" t="s">
        <v>5102</v>
      </c>
      <c r="C1801" s="6" t="s">
        <v>4975</v>
      </c>
      <c r="D1801" s="6" t="s">
        <v>9253</v>
      </c>
      <c r="E1801" s="6" t="s">
        <v>9267</v>
      </c>
      <c r="F1801" s="6" t="s">
        <v>9275</v>
      </c>
      <c r="G1801" s="9" t="n">
        <v>14968</v>
      </c>
      <c r="H1801" s="6" t="s">
        <v>384</v>
      </c>
      <c r="I1801" s="6" t="s">
        <v>13</v>
      </c>
      <c r="J1801" s="6" t="s">
        <v>223</v>
      </c>
      <c r="K1801" s="6" t="s">
        <v>9276</v>
      </c>
      <c r="M1801" s="6"/>
    </row>
    <row r="1802" customFormat="false" ht="15" hidden="false" customHeight="false" outlineLevel="0" collapsed="false">
      <c r="A1802" s="6" t="s">
        <v>9277</v>
      </c>
      <c r="B1802" s="6" t="s">
        <v>5097</v>
      </c>
      <c r="C1802" s="6" t="s">
        <v>4975</v>
      </c>
      <c r="D1802" s="6" t="s">
        <v>9253</v>
      </c>
      <c r="E1802" s="6" t="s">
        <v>9267</v>
      </c>
      <c r="F1802" s="6" t="s">
        <v>9268</v>
      </c>
      <c r="G1802" s="9" t="n">
        <v>8489</v>
      </c>
      <c r="H1802" s="6" t="s">
        <v>384</v>
      </c>
      <c r="I1802" s="6" t="s">
        <v>13</v>
      </c>
      <c r="J1802" s="6" t="s">
        <v>218</v>
      </c>
      <c r="K1802" s="6" t="s">
        <v>9269</v>
      </c>
      <c r="M1802" s="6"/>
    </row>
    <row r="1803" customFormat="false" ht="15" hidden="false" customHeight="false" outlineLevel="0" collapsed="false">
      <c r="A1803" s="6" t="s">
        <v>9278</v>
      </c>
      <c r="B1803" s="6" t="s">
        <v>5097</v>
      </c>
      <c r="C1803" s="6" t="s">
        <v>4975</v>
      </c>
      <c r="D1803" s="6" t="s">
        <v>9253</v>
      </c>
      <c r="E1803" s="6" t="s">
        <v>9267</v>
      </c>
      <c r="F1803" s="6" t="s">
        <v>9275</v>
      </c>
      <c r="G1803" s="9" t="n">
        <v>8489</v>
      </c>
      <c r="H1803" s="6" t="s">
        <v>384</v>
      </c>
      <c r="I1803" s="6" t="s">
        <v>13</v>
      </c>
      <c r="J1803" s="6" t="s">
        <v>223</v>
      </c>
      <c r="K1803" s="6" t="s">
        <v>9276</v>
      </c>
      <c r="M1803" s="6"/>
    </row>
    <row r="1804" customFormat="false" ht="15" hidden="false" customHeight="false" outlineLevel="0" collapsed="false">
      <c r="A1804" s="6" t="s">
        <v>9279</v>
      </c>
      <c r="B1804" s="6" t="s">
        <v>5074</v>
      </c>
      <c r="C1804" s="6" t="s">
        <v>4975</v>
      </c>
      <c r="D1804" s="6" t="s">
        <v>9253</v>
      </c>
      <c r="E1804" s="6" t="s">
        <v>9267</v>
      </c>
      <c r="F1804" s="6" t="s">
        <v>9275</v>
      </c>
      <c r="G1804" s="9" t="n">
        <v>-5294</v>
      </c>
      <c r="H1804" s="6" t="s">
        <v>384</v>
      </c>
      <c r="I1804" s="6" t="s">
        <v>13</v>
      </c>
      <c r="J1804" s="6" t="s">
        <v>223</v>
      </c>
      <c r="K1804" s="6" t="s">
        <v>9276</v>
      </c>
      <c r="M1804" s="6"/>
    </row>
    <row r="1805" customFormat="false" ht="15" hidden="false" customHeight="false" outlineLevel="0" collapsed="false">
      <c r="A1805" s="6" t="s">
        <v>9280</v>
      </c>
      <c r="B1805" s="6" t="s">
        <v>5079</v>
      </c>
      <c r="C1805" s="6" t="s">
        <v>4975</v>
      </c>
      <c r="D1805" s="6" t="s">
        <v>9253</v>
      </c>
      <c r="E1805" s="6" t="s">
        <v>9281</v>
      </c>
      <c r="F1805" s="6" t="s">
        <v>9282</v>
      </c>
      <c r="G1805" s="9" t="n">
        <v>-53919</v>
      </c>
      <c r="H1805" s="6" t="s">
        <v>384</v>
      </c>
      <c r="I1805" s="6" t="s">
        <v>13</v>
      </c>
      <c r="J1805" s="6" t="s">
        <v>233</v>
      </c>
      <c r="K1805" s="6" t="s">
        <v>9283</v>
      </c>
      <c r="M1805" s="6" t="s">
        <v>9284</v>
      </c>
    </row>
    <row r="1806" customFormat="false" ht="15" hidden="false" customHeight="false" outlineLevel="0" collapsed="false">
      <c r="A1806" s="6" t="s">
        <v>9285</v>
      </c>
      <c r="B1806" s="6" t="s">
        <v>5057</v>
      </c>
      <c r="C1806" s="6" t="s">
        <v>5050</v>
      </c>
      <c r="D1806" s="6" t="s">
        <v>9253</v>
      </c>
      <c r="E1806" s="6" t="s">
        <v>9286</v>
      </c>
      <c r="F1806" s="6" t="s">
        <v>9287</v>
      </c>
      <c r="G1806" s="9" t="n">
        <v>39942</v>
      </c>
      <c r="H1806" s="6" t="s">
        <v>384</v>
      </c>
      <c r="I1806" s="6" t="s">
        <v>13</v>
      </c>
      <c r="J1806" s="6" t="s">
        <v>218</v>
      </c>
      <c r="K1806" s="6" t="s">
        <v>9288</v>
      </c>
      <c r="M1806" s="6"/>
    </row>
    <row r="1807" customFormat="false" ht="15" hidden="false" customHeight="false" outlineLevel="0" collapsed="false">
      <c r="A1807" s="6" t="s">
        <v>9289</v>
      </c>
      <c r="B1807" s="6" t="s">
        <v>5062</v>
      </c>
      <c r="C1807" s="6" t="s">
        <v>5050</v>
      </c>
      <c r="D1807" s="6" t="s">
        <v>9253</v>
      </c>
      <c r="E1807" s="6" t="s">
        <v>9286</v>
      </c>
      <c r="F1807" s="6" t="s">
        <v>9290</v>
      </c>
      <c r="G1807" s="9" t="n">
        <v>37250</v>
      </c>
      <c r="H1807" s="6" t="s">
        <v>384</v>
      </c>
      <c r="I1807" s="6" t="s">
        <v>13</v>
      </c>
      <c r="J1807" s="6" t="s">
        <v>228</v>
      </c>
      <c r="K1807" s="6" t="s">
        <v>9291</v>
      </c>
      <c r="M1807" s="6"/>
    </row>
    <row r="1808" customFormat="false" ht="15" hidden="false" customHeight="false" outlineLevel="0" collapsed="false">
      <c r="A1808" s="6" t="s">
        <v>9292</v>
      </c>
      <c r="B1808" s="6" t="s">
        <v>5067</v>
      </c>
      <c r="C1808" s="6" t="s">
        <v>5050</v>
      </c>
      <c r="D1808" s="6" t="s">
        <v>9253</v>
      </c>
      <c r="E1808" s="6" t="s">
        <v>9286</v>
      </c>
      <c r="F1808" s="6" t="s">
        <v>9290</v>
      </c>
      <c r="G1808" s="9" t="n">
        <v>25779</v>
      </c>
      <c r="H1808" s="6" t="s">
        <v>384</v>
      </c>
      <c r="I1808" s="6" t="s">
        <v>13</v>
      </c>
      <c r="J1808" s="6" t="s">
        <v>228</v>
      </c>
      <c r="K1808" s="6" t="s">
        <v>9291</v>
      </c>
      <c r="M1808" s="6"/>
    </row>
    <row r="1809" customFormat="false" ht="15" hidden="false" customHeight="false" outlineLevel="0" collapsed="false">
      <c r="A1809" s="6" t="s">
        <v>9293</v>
      </c>
      <c r="B1809" s="6" t="s">
        <v>5072</v>
      </c>
      <c r="C1809" s="6" t="s">
        <v>5050</v>
      </c>
      <c r="D1809" s="6" t="s">
        <v>9253</v>
      </c>
      <c r="E1809" s="6" t="s">
        <v>9294</v>
      </c>
      <c r="F1809" s="6" t="s">
        <v>9295</v>
      </c>
      <c r="G1809" s="9" t="n">
        <v>58682</v>
      </c>
      <c r="H1809" s="6" t="s">
        <v>384</v>
      </c>
      <c r="I1809" s="6" t="s">
        <v>13</v>
      </c>
      <c r="J1809" s="6" t="s">
        <v>261</v>
      </c>
      <c r="K1809" s="6" t="s">
        <v>6124</v>
      </c>
      <c r="M1809" s="6"/>
    </row>
    <row r="1810" customFormat="false" ht="15" hidden="false" customHeight="false" outlineLevel="0" collapsed="false">
      <c r="A1810" s="6" t="s">
        <v>9296</v>
      </c>
      <c r="B1810" s="6" t="s">
        <v>5249</v>
      </c>
      <c r="C1810" s="6" t="s">
        <v>5050</v>
      </c>
      <c r="D1810" s="6" t="s">
        <v>9253</v>
      </c>
      <c r="E1810" s="6" t="s">
        <v>9294</v>
      </c>
      <c r="F1810" s="6" t="s">
        <v>9295</v>
      </c>
      <c r="G1810" s="9" t="n">
        <v>54273</v>
      </c>
      <c r="H1810" s="6" t="s">
        <v>384</v>
      </c>
      <c r="I1810" s="6" t="s">
        <v>13</v>
      </c>
      <c r="J1810" s="6" t="s">
        <v>261</v>
      </c>
      <c r="K1810" s="6" t="s">
        <v>6124</v>
      </c>
      <c r="M1810" s="6" t="s">
        <v>9297</v>
      </c>
    </row>
    <row r="1811" customFormat="false" ht="15" hidden="false" customHeight="false" outlineLevel="0" collapsed="false">
      <c r="A1811" s="6" t="s">
        <v>9298</v>
      </c>
      <c r="B1811" s="6" t="s">
        <v>5079</v>
      </c>
      <c r="C1811" s="6" t="s">
        <v>4975</v>
      </c>
      <c r="D1811" s="6" t="s">
        <v>9253</v>
      </c>
      <c r="E1811" s="6" t="s">
        <v>9299</v>
      </c>
      <c r="F1811" s="6" t="s">
        <v>9300</v>
      </c>
      <c r="G1811" s="9" t="n">
        <v>61150</v>
      </c>
      <c r="H1811" s="6" t="s">
        <v>384</v>
      </c>
      <c r="I1811" s="6" t="s">
        <v>13</v>
      </c>
      <c r="J1811" s="6" t="s">
        <v>233</v>
      </c>
      <c r="K1811" s="6" t="s">
        <v>9301</v>
      </c>
      <c r="M1811" s="6" t="s">
        <v>9302</v>
      </c>
    </row>
    <row r="1812" customFormat="false" ht="15" hidden="false" customHeight="false" outlineLevel="0" collapsed="false">
      <c r="A1812" s="6" t="s">
        <v>9303</v>
      </c>
      <c r="B1812" s="6" t="s">
        <v>5325</v>
      </c>
      <c r="C1812" s="6" t="s">
        <v>5316</v>
      </c>
      <c r="D1812" s="6" t="s">
        <v>9253</v>
      </c>
      <c r="E1812" s="6" t="s">
        <v>9304</v>
      </c>
      <c r="F1812" s="6" t="s">
        <v>9305</v>
      </c>
      <c r="G1812" s="9" t="n">
        <v>3848</v>
      </c>
      <c r="H1812" s="6" t="s">
        <v>384</v>
      </c>
      <c r="I1812" s="6" t="s">
        <v>13</v>
      </c>
      <c r="J1812" s="6" t="s">
        <v>261</v>
      </c>
      <c r="K1812" s="6" t="s">
        <v>6109</v>
      </c>
      <c r="M1812" s="6"/>
    </row>
    <row r="1813" customFormat="false" ht="15" hidden="false" customHeight="false" outlineLevel="0" collapsed="false">
      <c r="A1813" s="6" t="s">
        <v>9306</v>
      </c>
      <c r="B1813" s="6" t="s">
        <v>5203</v>
      </c>
      <c r="C1813" s="6" t="s">
        <v>4975</v>
      </c>
      <c r="D1813" s="6" t="s">
        <v>9253</v>
      </c>
      <c r="E1813" s="6" t="s">
        <v>9307</v>
      </c>
      <c r="F1813" s="6" t="s">
        <v>9308</v>
      </c>
      <c r="G1813" s="19" t="n">
        <v>-1</v>
      </c>
      <c r="H1813" s="6" t="s">
        <v>5105</v>
      </c>
      <c r="I1813" s="6" t="s">
        <v>13</v>
      </c>
      <c r="J1813" s="6" t="s">
        <v>209</v>
      </c>
      <c r="K1813" s="6" t="s">
        <v>9272</v>
      </c>
      <c r="M1813" s="6"/>
    </row>
    <row r="1814" customFormat="false" ht="15" hidden="false" customHeight="false" outlineLevel="0" collapsed="false">
      <c r="A1814" s="6" t="s">
        <v>9309</v>
      </c>
      <c r="B1814" s="6" t="s">
        <v>5203</v>
      </c>
      <c r="C1814" s="6" t="s">
        <v>4975</v>
      </c>
      <c r="D1814" s="6" t="s">
        <v>9253</v>
      </c>
      <c r="E1814" s="6" t="s">
        <v>9307</v>
      </c>
      <c r="F1814" s="6" t="s">
        <v>9310</v>
      </c>
      <c r="G1814" s="19" t="n">
        <v>-1</v>
      </c>
      <c r="H1814" s="6" t="s">
        <v>5105</v>
      </c>
      <c r="I1814" s="6" t="s">
        <v>13</v>
      </c>
      <c r="J1814" s="6" t="s">
        <v>218</v>
      </c>
      <c r="K1814" s="6" t="s">
        <v>9269</v>
      </c>
      <c r="M1814" s="6"/>
    </row>
    <row r="1815" customFormat="false" ht="15" hidden="false" customHeight="false" outlineLevel="0" collapsed="false">
      <c r="A1815" s="6" t="s">
        <v>9311</v>
      </c>
      <c r="B1815" s="6" t="s">
        <v>5102</v>
      </c>
      <c r="C1815" s="6" t="s">
        <v>4975</v>
      </c>
      <c r="D1815" s="6" t="s">
        <v>9253</v>
      </c>
      <c r="E1815" s="6" t="s">
        <v>9307</v>
      </c>
      <c r="F1815" s="6" t="s">
        <v>9312</v>
      </c>
      <c r="G1815" s="19" t="n">
        <v>-2</v>
      </c>
      <c r="H1815" s="6" t="s">
        <v>5105</v>
      </c>
      <c r="I1815" s="6" t="s">
        <v>13</v>
      </c>
      <c r="J1815" s="6" t="s">
        <v>209</v>
      </c>
      <c r="K1815" s="6" t="s">
        <v>9272</v>
      </c>
      <c r="M1815" s="6"/>
    </row>
    <row r="1816" customFormat="false" ht="15" hidden="false" customHeight="false" outlineLevel="0" collapsed="false">
      <c r="A1816" s="6" t="s">
        <v>9313</v>
      </c>
      <c r="B1816" s="6" t="s">
        <v>5102</v>
      </c>
      <c r="C1816" s="6" t="s">
        <v>4975</v>
      </c>
      <c r="D1816" s="6" t="s">
        <v>9253</v>
      </c>
      <c r="E1816" s="6" t="s">
        <v>9307</v>
      </c>
      <c r="F1816" s="6" t="s">
        <v>9310</v>
      </c>
      <c r="G1816" s="19" t="n">
        <v>-2</v>
      </c>
      <c r="H1816" s="6" t="s">
        <v>5105</v>
      </c>
      <c r="I1816" s="6" t="s">
        <v>13</v>
      </c>
      <c r="J1816" s="6" t="s">
        <v>218</v>
      </c>
      <c r="K1816" s="6" t="s">
        <v>9269</v>
      </c>
      <c r="M1816" s="6"/>
    </row>
    <row r="1817" customFormat="false" ht="15" hidden="false" customHeight="false" outlineLevel="0" collapsed="false">
      <c r="A1817" s="6" t="s">
        <v>9314</v>
      </c>
      <c r="B1817" s="6" t="s">
        <v>5102</v>
      </c>
      <c r="C1817" s="6" t="s">
        <v>4975</v>
      </c>
      <c r="D1817" s="6" t="s">
        <v>9253</v>
      </c>
      <c r="E1817" s="6" t="s">
        <v>9307</v>
      </c>
      <c r="F1817" s="6" t="s">
        <v>9315</v>
      </c>
      <c r="G1817" s="19" t="n">
        <v>-2</v>
      </c>
      <c r="H1817" s="6" t="s">
        <v>5105</v>
      </c>
      <c r="I1817" s="6" t="s">
        <v>13</v>
      </c>
      <c r="J1817" s="6" t="s">
        <v>223</v>
      </c>
      <c r="K1817" s="6" t="s">
        <v>9276</v>
      </c>
      <c r="M1817" s="6" t="s">
        <v>9316</v>
      </c>
    </row>
    <row r="1818" customFormat="false" ht="15" hidden="false" customHeight="false" outlineLevel="0" collapsed="false">
      <c r="A1818" s="6" t="s">
        <v>9317</v>
      </c>
      <c r="B1818" s="6" t="s">
        <v>5097</v>
      </c>
      <c r="C1818" s="6" t="s">
        <v>4975</v>
      </c>
      <c r="D1818" s="6" t="s">
        <v>9253</v>
      </c>
      <c r="E1818" s="6" t="s">
        <v>9307</v>
      </c>
      <c r="F1818" s="6" t="s">
        <v>9310</v>
      </c>
      <c r="G1818" s="19" t="n">
        <v>-2</v>
      </c>
      <c r="H1818" s="6" t="s">
        <v>5105</v>
      </c>
      <c r="I1818" s="6" t="s">
        <v>13</v>
      </c>
      <c r="J1818" s="6" t="s">
        <v>218</v>
      </c>
      <c r="K1818" s="6" t="s">
        <v>9269</v>
      </c>
      <c r="M1818" s="6"/>
    </row>
    <row r="1819" customFormat="false" ht="15" hidden="false" customHeight="false" outlineLevel="0" collapsed="false">
      <c r="A1819" s="6" t="s">
        <v>9318</v>
      </c>
      <c r="B1819" s="6" t="s">
        <v>5097</v>
      </c>
      <c r="C1819" s="6" t="s">
        <v>4975</v>
      </c>
      <c r="D1819" s="6" t="s">
        <v>9253</v>
      </c>
      <c r="E1819" s="6" t="s">
        <v>9307</v>
      </c>
      <c r="F1819" s="6" t="s">
        <v>9315</v>
      </c>
      <c r="G1819" s="19" t="n">
        <v>-6</v>
      </c>
      <c r="H1819" s="6" t="s">
        <v>5105</v>
      </c>
      <c r="I1819" s="6" t="s">
        <v>13</v>
      </c>
      <c r="J1819" s="6" t="s">
        <v>223</v>
      </c>
      <c r="K1819" s="6" t="s">
        <v>9276</v>
      </c>
      <c r="M1819" s="6" t="s">
        <v>9316</v>
      </c>
    </row>
    <row r="1820" customFormat="false" ht="15" hidden="false" customHeight="false" outlineLevel="0" collapsed="false">
      <c r="A1820" s="6" t="s">
        <v>9319</v>
      </c>
      <c r="B1820" s="6" t="s">
        <v>5097</v>
      </c>
      <c r="C1820" s="6" t="s">
        <v>4975</v>
      </c>
      <c r="D1820" s="6" t="s">
        <v>9253</v>
      </c>
      <c r="E1820" s="6" t="s">
        <v>9307</v>
      </c>
      <c r="F1820" s="6" t="s">
        <v>9320</v>
      </c>
      <c r="G1820" s="19" t="n">
        <v>-6</v>
      </c>
      <c r="H1820" s="6" t="s">
        <v>5105</v>
      </c>
      <c r="I1820" s="6" t="s">
        <v>13</v>
      </c>
      <c r="J1820" s="6" t="s">
        <v>228</v>
      </c>
      <c r="K1820" s="6" t="s">
        <v>9321</v>
      </c>
      <c r="M1820" s="6"/>
    </row>
    <row r="1821" customFormat="false" ht="15" hidden="false" customHeight="false" outlineLevel="0" collapsed="false">
      <c r="A1821" s="6" t="s">
        <v>9322</v>
      </c>
      <c r="B1821" s="6" t="s">
        <v>5074</v>
      </c>
      <c r="C1821" s="6" t="s">
        <v>4975</v>
      </c>
      <c r="D1821" s="6" t="s">
        <v>9253</v>
      </c>
      <c r="E1821" s="6" t="s">
        <v>9307</v>
      </c>
      <c r="F1821" s="6" t="s">
        <v>9315</v>
      </c>
      <c r="G1821" s="19" t="n">
        <v>156</v>
      </c>
      <c r="H1821" s="6" t="s">
        <v>5105</v>
      </c>
      <c r="I1821" s="6" t="s">
        <v>13</v>
      </c>
      <c r="J1821" s="6" t="s">
        <v>223</v>
      </c>
      <c r="K1821" s="6" t="s">
        <v>9276</v>
      </c>
      <c r="M1821" s="6" t="s">
        <v>9316</v>
      </c>
    </row>
    <row r="1822" customFormat="false" ht="15" hidden="false" customHeight="false" outlineLevel="0" collapsed="false">
      <c r="A1822" s="6" t="s">
        <v>9323</v>
      </c>
      <c r="B1822" s="6" t="s">
        <v>5074</v>
      </c>
      <c r="C1822" s="6" t="s">
        <v>4975</v>
      </c>
      <c r="D1822" s="6" t="s">
        <v>9253</v>
      </c>
      <c r="E1822" s="6" t="s">
        <v>9307</v>
      </c>
      <c r="F1822" s="6" t="s">
        <v>9320</v>
      </c>
      <c r="G1822" s="19" t="n">
        <v>156</v>
      </c>
      <c r="H1822" s="6" t="s">
        <v>5105</v>
      </c>
      <c r="I1822" s="6" t="s">
        <v>13</v>
      </c>
      <c r="J1822" s="6" t="s">
        <v>228</v>
      </c>
      <c r="K1822" s="6" t="s">
        <v>9321</v>
      </c>
      <c r="M1822" s="6"/>
    </row>
    <row r="1823" customFormat="false" ht="15" hidden="false" customHeight="false" outlineLevel="0" collapsed="false">
      <c r="A1823" s="6" t="s">
        <v>9324</v>
      </c>
      <c r="B1823" s="6" t="s">
        <v>5074</v>
      </c>
      <c r="C1823" s="6" t="s">
        <v>4975</v>
      </c>
      <c r="D1823" s="6" t="s">
        <v>9253</v>
      </c>
      <c r="E1823" s="6" t="s">
        <v>9307</v>
      </c>
      <c r="F1823" s="6" t="s">
        <v>9325</v>
      </c>
      <c r="G1823" s="19" t="n">
        <v>156</v>
      </c>
      <c r="H1823" s="6" t="s">
        <v>5105</v>
      </c>
      <c r="I1823" s="6" t="s">
        <v>13</v>
      </c>
      <c r="J1823" s="6" t="s">
        <v>233</v>
      </c>
      <c r="K1823" s="6" t="s">
        <v>9326</v>
      </c>
      <c r="M1823" s="6"/>
    </row>
    <row r="1824" customFormat="false" ht="15" hidden="false" customHeight="false" outlineLevel="0" collapsed="false">
      <c r="A1824" s="6" t="s">
        <v>9327</v>
      </c>
      <c r="B1824" s="6" t="s">
        <v>5113</v>
      </c>
      <c r="C1824" s="6" t="s">
        <v>4975</v>
      </c>
      <c r="D1824" s="6" t="s">
        <v>9253</v>
      </c>
      <c r="E1824" s="6" t="s">
        <v>9307</v>
      </c>
      <c r="F1824" s="6" t="s">
        <v>9320</v>
      </c>
      <c r="G1824" s="19" t="n">
        <v>6</v>
      </c>
      <c r="H1824" s="6" t="s">
        <v>5105</v>
      </c>
      <c r="I1824" s="6" t="s">
        <v>13</v>
      </c>
      <c r="J1824" s="6" t="s">
        <v>228</v>
      </c>
      <c r="K1824" s="6" t="s">
        <v>9321</v>
      </c>
      <c r="M1824" s="6"/>
    </row>
    <row r="1825" customFormat="false" ht="15" hidden="false" customHeight="false" outlineLevel="0" collapsed="false">
      <c r="A1825" s="6" t="s">
        <v>9328</v>
      </c>
      <c r="B1825" s="6" t="s">
        <v>5113</v>
      </c>
      <c r="C1825" s="6" t="s">
        <v>4975</v>
      </c>
      <c r="D1825" s="6" t="s">
        <v>9253</v>
      </c>
      <c r="E1825" s="6" t="s">
        <v>9307</v>
      </c>
      <c r="F1825" s="6" t="s">
        <v>9325</v>
      </c>
      <c r="G1825" s="19" t="n">
        <v>6</v>
      </c>
      <c r="H1825" s="6" t="s">
        <v>5105</v>
      </c>
      <c r="I1825" s="6" t="s">
        <v>13</v>
      </c>
      <c r="J1825" s="6" t="s">
        <v>233</v>
      </c>
      <c r="K1825" s="6" t="s">
        <v>9326</v>
      </c>
      <c r="M1825" s="6"/>
    </row>
    <row r="1826" customFormat="false" ht="15" hidden="false" customHeight="false" outlineLevel="0" collapsed="false">
      <c r="A1826" s="6" t="s">
        <v>9329</v>
      </c>
      <c r="B1826" s="6" t="s">
        <v>5079</v>
      </c>
      <c r="C1826" s="6" t="s">
        <v>4975</v>
      </c>
      <c r="D1826" s="6" t="s">
        <v>9253</v>
      </c>
      <c r="E1826" s="6" t="s">
        <v>9307</v>
      </c>
      <c r="F1826" s="6" t="s">
        <v>9330</v>
      </c>
      <c r="G1826" s="19" t="n">
        <v>-100.2</v>
      </c>
      <c r="H1826" s="6" t="s">
        <v>5105</v>
      </c>
      <c r="I1826" s="6" t="s">
        <v>13</v>
      </c>
      <c r="J1826" s="6" t="s">
        <v>233</v>
      </c>
      <c r="K1826" s="6" t="s">
        <v>9283</v>
      </c>
      <c r="M1826" s="6"/>
    </row>
    <row r="1827" customFormat="false" ht="15" hidden="false" customHeight="false" outlineLevel="0" collapsed="false">
      <c r="A1827" s="6" t="s">
        <v>9331</v>
      </c>
      <c r="B1827" s="6" t="s">
        <v>5079</v>
      </c>
      <c r="C1827" s="6" t="s">
        <v>4975</v>
      </c>
      <c r="D1827" s="6" t="s">
        <v>9253</v>
      </c>
      <c r="E1827" s="6" t="s">
        <v>9332</v>
      </c>
      <c r="F1827" s="6" t="s">
        <v>9333</v>
      </c>
      <c r="G1827" s="13" t="n">
        <v>61.1</v>
      </c>
      <c r="H1827" s="6" t="s">
        <v>3751</v>
      </c>
      <c r="I1827" s="6" t="s">
        <v>13</v>
      </c>
      <c r="J1827" s="6" t="s">
        <v>310</v>
      </c>
      <c r="K1827" s="6" t="s">
        <v>5405</v>
      </c>
      <c r="M1827" s="6"/>
    </row>
    <row r="1828" customFormat="false" ht="15" hidden="false" customHeight="false" outlineLevel="0" collapsed="false">
      <c r="A1828" s="6" t="s">
        <v>9334</v>
      </c>
      <c r="B1828" s="6" t="s">
        <v>5315</v>
      </c>
      <c r="C1828" s="6" t="s">
        <v>5316</v>
      </c>
      <c r="D1828" s="6" t="s">
        <v>9253</v>
      </c>
      <c r="E1828" s="6" t="s">
        <v>9335</v>
      </c>
      <c r="F1828" s="6" t="s">
        <v>9336</v>
      </c>
      <c r="H1828" s="6" t="s">
        <v>7024</v>
      </c>
      <c r="I1828" s="6" t="s">
        <v>13</v>
      </c>
      <c r="J1828" s="6" t="s">
        <v>246</v>
      </c>
      <c r="K1828" s="6" t="s">
        <v>9337</v>
      </c>
      <c r="M1828" s="6"/>
    </row>
    <row r="1829" customFormat="false" ht="15" hidden="false" customHeight="false" outlineLevel="0" collapsed="false">
      <c r="A1829" s="6" t="s">
        <v>9338</v>
      </c>
      <c r="B1829" s="6" t="s">
        <v>5320</v>
      </c>
      <c r="C1829" s="6" t="s">
        <v>5316</v>
      </c>
      <c r="D1829" s="6" t="s">
        <v>9253</v>
      </c>
      <c r="E1829" s="6" t="s">
        <v>9335</v>
      </c>
      <c r="F1829" s="6" t="s">
        <v>9336</v>
      </c>
      <c r="H1829" s="6" t="s">
        <v>7024</v>
      </c>
      <c r="I1829" s="6" t="s">
        <v>13</v>
      </c>
      <c r="J1829" s="6" t="s">
        <v>257</v>
      </c>
      <c r="K1829" s="6" t="s">
        <v>9339</v>
      </c>
      <c r="M1829" s="6"/>
    </row>
    <row r="1830" customFormat="false" ht="15" hidden="false" customHeight="false" outlineLevel="0" collapsed="false">
      <c r="A1830" s="6" t="s">
        <v>9340</v>
      </c>
      <c r="B1830" s="6" t="s">
        <v>5072</v>
      </c>
      <c r="C1830" s="6" t="s">
        <v>5050</v>
      </c>
      <c r="D1830" s="6" t="s">
        <v>9253</v>
      </c>
      <c r="E1830" s="6" t="s">
        <v>9341</v>
      </c>
      <c r="F1830" s="6" t="s">
        <v>9342</v>
      </c>
      <c r="G1830" s="9" t="n">
        <v>97411</v>
      </c>
      <c r="H1830" s="6" t="s">
        <v>384</v>
      </c>
      <c r="I1830" s="6" t="s">
        <v>13</v>
      </c>
      <c r="J1830" s="6" t="s">
        <v>233</v>
      </c>
      <c r="K1830" s="6" t="s">
        <v>9343</v>
      </c>
      <c r="M1830" s="6" t="s">
        <v>9344</v>
      </c>
    </row>
    <row r="1831" customFormat="false" ht="15" hidden="false" customHeight="false" outlineLevel="0" collapsed="false">
      <c r="A1831" s="6" t="s">
        <v>9345</v>
      </c>
      <c r="B1831" s="6" t="s">
        <v>5057</v>
      </c>
      <c r="C1831" s="6" t="s">
        <v>5050</v>
      </c>
      <c r="D1831" s="6" t="s">
        <v>9253</v>
      </c>
      <c r="E1831" s="6" t="s">
        <v>9346</v>
      </c>
      <c r="F1831" s="6" t="s">
        <v>9347</v>
      </c>
      <c r="G1831" s="9" t="n">
        <v>56688</v>
      </c>
      <c r="H1831" s="6" t="s">
        <v>384</v>
      </c>
      <c r="I1831" s="6" t="s">
        <v>13</v>
      </c>
      <c r="J1831" s="6" t="s">
        <v>218</v>
      </c>
      <c r="K1831" s="6" t="s">
        <v>9288</v>
      </c>
      <c r="M1831" s="6"/>
    </row>
    <row r="1832" customFormat="false" ht="15" hidden="false" customHeight="false" outlineLevel="0" collapsed="false">
      <c r="A1832" s="6" t="s">
        <v>9348</v>
      </c>
      <c r="B1832" s="6" t="s">
        <v>5062</v>
      </c>
      <c r="C1832" s="6" t="s">
        <v>5050</v>
      </c>
      <c r="D1832" s="6" t="s">
        <v>9253</v>
      </c>
      <c r="E1832" s="6" t="s">
        <v>9346</v>
      </c>
      <c r="F1832" s="6" t="s">
        <v>9349</v>
      </c>
      <c r="G1832" s="9" t="n">
        <v>51002</v>
      </c>
      <c r="H1832" s="6" t="s">
        <v>384</v>
      </c>
      <c r="I1832" s="6" t="s">
        <v>13</v>
      </c>
      <c r="J1832" s="6" t="s">
        <v>223</v>
      </c>
      <c r="K1832" s="6" t="s">
        <v>9350</v>
      </c>
      <c r="M1832" s="6"/>
    </row>
    <row r="1833" customFormat="false" ht="15" hidden="false" customHeight="false" outlineLevel="0" collapsed="false">
      <c r="A1833" s="6" t="s">
        <v>9351</v>
      </c>
      <c r="B1833" s="6" t="s">
        <v>5062</v>
      </c>
      <c r="C1833" s="6" t="s">
        <v>5050</v>
      </c>
      <c r="D1833" s="6" t="s">
        <v>9253</v>
      </c>
      <c r="E1833" s="6" t="s">
        <v>9346</v>
      </c>
      <c r="F1833" s="6" t="s">
        <v>9352</v>
      </c>
      <c r="G1833" s="9" t="n">
        <v>71777</v>
      </c>
      <c r="H1833" s="6" t="s">
        <v>384</v>
      </c>
      <c r="I1833" s="6" t="s">
        <v>13</v>
      </c>
      <c r="J1833" s="6" t="s">
        <v>228</v>
      </c>
      <c r="K1833" s="6" t="s">
        <v>9291</v>
      </c>
      <c r="M1833" s="6"/>
    </row>
    <row r="1834" customFormat="false" ht="15" hidden="false" customHeight="false" outlineLevel="0" collapsed="false">
      <c r="A1834" s="6" t="s">
        <v>9353</v>
      </c>
      <c r="B1834" s="6" t="s">
        <v>5067</v>
      </c>
      <c r="C1834" s="6" t="s">
        <v>5050</v>
      </c>
      <c r="D1834" s="6" t="s">
        <v>9253</v>
      </c>
      <c r="E1834" s="6" t="s">
        <v>9346</v>
      </c>
      <c r="F1834" s="6" t="s">
        <v>9352</v>
      </c>
      <c r="G1834" s="9" t="n">
        <v>82706</v>
      </c>
      <c r="H1834" s="6" t="s">
        <v>384</v>
      </c>
      <c r="I1834" s="6" t="s">
        <v>13</v>
      </c>
      <c r="J1834" s="6" t="s">
        <v>228</v>
      </c>
      <c r="K1834" s="6" t="s">
        <v>9291</v>
      </c>
      <c r="M1834" s="6"/>
    </row>
    <row r="1835" customFormat="false" ht="15" hidden="false" customHeight="false" outlineLevel="0" collapsed="false">
      <c r="A1835" s="6" t="s">
        <v>9354</v>
      </c>
      <c r="B1835" s="6" t="s">
        <v>5072</v>
      </c>
      <c r="C1835" s="6" t="s">
        <v>5050</v>
      </c>
      <c r="D1835" s="6" t="s">
        <v>9253</v>
      </c>
      <c r="E1835" s="6" t="s">
        <v>9355</v>
      </c>
      <c r="F1835" s="6" t="s">
        <v>9356</v>
      </c>
      <c r="G1835" s="9" t="n">
        <v>10487</v>
      </c>
      <c r="H1835" s="6" t="s">
        <v>384</v>
      </c>
      <c r="I1835" s="6" t="s">
        <v>13</v>
      </c>
      <c r="J1835" s="6" t="s">
        <v>233</v>
      </c>
      <c r="K1835" s="6" t="s">
        <v>9343</v>
      </c>
      <c r="M1835" s="6"/>
    </row>
    <row r="1836" customFormat="false" ht="15" hidden="false" customHeight="false" outlineLevel="0" collapsed="false">
      <c r="A1836" s="6" t="s">
        <v>9357</v>
      </c>
      <c r="B1836" s="6" t="s">
        <v>5102</v>
      </c>
      <c r="C1836" s="6" t="s">
        <v>4975</v>
      </c>
      <c r="D1836" s="6" t="s">
        <v>9253</v>
      </c>
      <c r="E1836" s="6" t="s">
        <v>9358</v>
      </c>
      <c r="F1836" s="6" t="s">
        <v>9359</v>
      </c>
      <c r="G1836" s="9" t="n">
        <v>-132203</v>
      </c>
      <c r="H1836" s="6" t="s">
        <v>384</v>
      </c>
      <c r="I1836" s="6" t="s">
        <v>13</v>
      </c>
      <c r="J1836" s="6" t="s">
        <v>223</v>
      </c>
      <c r="K1836" s="6" t="s">
        <v>9360</v>
      </c>
      <c r="M1836" s="6"/>
    </row>
    <row r="1837" customFormat="false" ht="15" hidden="false" customHeight="false" outlineLevel="0" collapsed="false">
      <c r="A1837" s="6" t="s">
        <v>9361</v>
      </c>
      <c r="B1837" s="6" t="s">
        <v>5097</v>
      </c>
      <c r="C1837" s="6" t="s">
        <v>4975</v>
      </c>
      <c r="D1837" s="6" t="s">
        <v>9253</v>
      </c>
      <c r="E1837" s="6" t="s">
        <v>9358</v>
      </c>
      <c r="F1837" s="6" t="s">
        <v>9359</v>
      </c>
      <c r="G1837" s="9" t="n">
        <v>-142527</v>
      </c>
      <c r="H1837" s="6" t="s">
        <v>384</v>
      </c>
      <c r="I1837" s="6" t="s">
        <v>13</v>
      </c>
      <c r="J1837" s="6" t="s">
        <v>223</v>
      </c>
      <c r="K1837" s="6" t="s">
        <v>9360</v>
      </c>
      <c r="M1837" s="6"/>
    </row>
    <row r="1838" customFormat="false" ht="15" hidden="false" customHeight="false" outlineLevel="0" collapsed="false">
      <c r="A1838" s="6" t="s">
        <v>9362</v>
      </c>
      <c r="B1838" s="6" t="s">
        <v>5074</v>
      </c>
      <c r="C1838" s="6" t="s">
        <v>4975</v>
      </c>
      <c r="D1838" s="6" t="s">
        <v>9253</v>
      </c>
      <c r="E1838" s="6" t="s">
        <v>9358</v>
      </c>
      <c r="F1838" s="6" t="s">
        <v>9359</v>
      </c>
      <c r="G1838" s="9" t="n">
        <v>-10368</v>
      </c>
      <c r="H1838" s="6" t="s">
        <v>384</v>
      </c>
      <c r="I1838" s="6" t="s">
        <v>13</v>
      </c>
      <c r="J1838" s="6" t="s">
        <v>223</v>
      </c>
      <c r="K1838" s="6" t="s">
        <v>9360</v>
      </c>
      <c r="M1838" s="6"/>
    </row>
    <row r="1839" customFormat="false" ht="15" hidden="false" customHeight="false" outlineLevel="0" collapsed="false">
      <c r="A1839" s="6" t="s">
        <v>9363</v>
      </c>
      <c r="B1839" s="6" t="s">
        <v>5097</v>
      </c>
      <c r="C1839" s="6" t="s">
        <v>4975</v>
      </c>
      <c r="D1839" s="6" t="s">
        <v>9253</v>
      </c>
      <c r="E1839" s="6" t="s">
        <v>9364</v>
      </c>
      <c r="F1839" s="6" t="s">
        <v>9365</v>
      </c>
      <c r="G1839" s="9" t="n">
        <v>-142527</v>
      </c>
      <c r="H1839" s="6" t="s">
        <v>384</v>
      </c>
      <c r="I1839" s="6" t="s">
        <v>13</v>
      </c>
      <c r="J1839" s="6" t="s">
        <v>228</v>
      </c>
      <c r="K1839" s="6" t="s">
        <v>9366</v>
      </c>
      <c r="M1839" s="6"/>
    </row>
    <row r="1840" customFormat="false" ht="15" hidden="false" customHeight="false" outlineLevel="0" collapsed="false">
      <c r="A1840" s="6" t="s">
        <v>9367</v>
      </c>
      <c r="B1840" s="6" t="s">
        <v>5074</v>
      </c>
      <c r="C1840" s="6" t="s">
        <v>4975</v>
      </c>
      <c r="D1840" s="6" t="s">
        <v>9253</v>
      </c>
      <c r="E1840" s="6" t="s">
        <v>9364</v>
      </c>
      <c r="F1840" s="6" t="s">
        <v>9365</v>
      </c>
      <c r="G1840" s="9" t="n">
        <v>-10368</v>
      </c>
      <c r="H1840" s="6" t="s">
        <v>384</v>
      </c>
      <c r="I1840" s="6" t="s">
        <v>13</v>
      </c>
      <c r="J1840" s="6" t="s">
        <v>228</v>
      </c>
      <c r="K1840" s="6" t="s">
        <v>9366</v>
      </c>
      <c r="M1840" s="6"/>
    </row>
    <row r="1841" customFormat="false" ht="15" hidden="false" customHeight="false" outlineLevel="0" collapsed="false">
      <c r="A1841" s="6" t="s">
        <v>9368</v>
      </c>
      <c r="B1841" s="6" t="s">
        <v>5113</v>
      </c>
      <c r="C1841" s="6" t="s">
        <v>4975</v>
      </c>
      <c r="D1841" s="6" t="s">
        <v>9253</v>
      </c>
      <c r="E1841" s="6" t="s">
        <v>9364</v>
      </c>
      <c r="F1841" s="6" t="s">
        <v>9365</v>
      </c>
      <c r="G1841" s="9" t="n">
        <v>15004</v>
      </c>
      <c r="H1841" s="6" t="s">
        <v>384</v>
      </c>
      <c r="I1841" s="6" t="s">
        <v>13</v>
      </c>
      <c r="J1841" s="6" t="s">
        <v>228</v>
      </c>
      <c r="K1841" s="6" t="s">
        <v>9366</v>
      </c>
      <c r="M1841" s="6"/>
    </row>
    <row r="1842" customFormat="false" ht="15" hidden="false" customHeight="false" outlineLevel="0" collapsed="false">
      <c r="A1842" s="6" t="s">
        <v>9369</v>
      </c>
      <c r="B1842" s="6" t="s">
        <v>5097</v>
      </c>
      <c r="C1842" s="6" t="s">
        <v>4975</v>
      </c>
      <c r="D1842" s="6" t="s">
        <v>9253</v>
      </c>
      <c r="E1842" s="6" t="s">
        <v>9370</v>
      </c>
      <c r="F1842" s="6" t="s">
        <v>9371</v>
      </c>
      <c r="G1842" s="9" t="n">
        <v>13066</v>
      </c>
      <c r="H1842" s="6" t="s">
        <v>384</v>
      </c>
      <c r="I1842" s="6" t="s">
        <v>13</v>
      </c>
      <c r="J1842" s="6" t="s">
        <v>228</v>
      </c>
      <c r="K1842" s="6" t="s">
        <v>9366</v>
      </c>
      <c r="M1842" s="6"/>
    </row>
    <row r="1843" customFormat="false" ht="15" hidden="false" customHeight="false" outlineLevel="0" collapsed="false">
      <c r="A1843" s="6" t="s">
        <v>9372</v>
      </c>
      <c r="B1843" s="6" t="s">
        <v>5074</v>
      </c>
      <c r="C1843" s="6" t="s">
        <v>4975</v>
      </c>
      <c r="D1843" s="6" t="s">
        <v>9253</v>
      </c>
      <c r="E1843" s="6" t="s">
        <v>9370</v>
      </c>
      <c r="F1843" s="6" t="s">
        <v>9371</v>
      </c>
      <c r="G1843" s="9" t="n">
        <v>13694</v>
      </c>
      <c r="H1843" s="6" t="s">
        <v>384</v>
      </c>
      <c r="I1843" s="6" t="s">
        <v>13</v>
      </c>
      <c r="J1843" s="6" t="s">
        <v>228</v>
      </c>
      <c r="K1843" s="6" t="s">
        <v>9366</v>
      </c>
      <c r="M1843" s="6"/>
    </row>
    <row r="1844" customFormat="false" ht="15" hidden="false" customHeight="false" outlineLevel="0" collapsed="false">
      <c r="A1844" s="6" t="s">
        <v>9373</v>
      </c>
      <c r="B1844" s="6" t="s">
        <v>5113</v>
      </c>
      <c r="C1844" s="6" t="s">
        <v>4975</v>
      </c>
      <c r="D1844" s="6" t="s">
        <v>9253</v>
      </c>
      <c r="E1844" s="6" t="s">
        <v>9370</v>
      </c>
      <c r="F1844" s="6" t="s">
        <v>9371</v>
      </c>
      <c r="G1844" s="9" t="n">
        <v>19462</v>
      </c>
      <c r="H1844" s="6" t="s">
        <v>384</v>
      </c>
      <c r="I1844" s="6" t="s">
        <v>13</v>
      </c>
      <c r="J1844" s="6" t="s">
        <v>228</v>
      </c>
      <c r="K1844" s="6" t="s">
        <v>9366</v>
      </c>
      <c r="M1844" s="6"/>
    </row>
    <row r="1845" customFormat="false" ht="15" hidden="false" customHeight="false" outlineLevel="0" collapsed="false">
      <c r="A1845" s="6" t="s">
        <v>9374</v>
      </c>
      <c r="B1845" s="6" t="s">
        <v>5074</v>
      </c>
      <c r="C1845" s="6" t="s">
        <v>4975</v>
      </c>
      <c r="D1845" s="6" t="s">
        <v>9253</v>
      </c>
      <c r="E1845" s="6" t="s">
        <v>9375</v>
      </c>
      <c r="F1845" s="6" t="s">
        <v>9376</v>
      </c>
      <c r="G1845" s="9" t="n">
        <v>-10368</v>
      </c>
      <c r="H1845" s="6" t="s">
        <v>384</v>
      </c>
      <c r="I1845" s="6" t="s">
        <v>13</v>
      </c>
      <c r="J1845" s="6" t="s">
        <v>233</v>
      </c>
      <c r="K1845" s="6" t="s">
        <v>9377</v>
      </c>
      <c r="M1845" s="6"/>
    </row>
    <row r="1846" customFormat="false" ht="15" hidden="false" customHeight="false" outlineLevel="0" collapsed="false">
      <c r="A1846" s="6" t="s">
        <v>9378</v>
      </c>
      <c r="B1846" s="6" t="s">
        <v>5113</v>
      </c>
      <c r="C1846" s="6" t="s">
        <v>4975</v>
      </c>
      <c r="D1846" s="6" t="s">
        <v>9253</v>
      </c>
      <c r="E1846" s="6" t="s">
        <v>9375</v>
      </c>
      <c r="F1846" s="6" t="s">
        <v>9376</v>
      </c>
      <c r="G1846" s="9" t="n">
        <v>15004</v>
      </c>
      <c r="H1846" s="6" t="s">
        <v>384</v>
      </c>
      <c r="I1846" s="6" t="s">
        <v>13</v>
      </c>
      <c r="J1846" s="6" t="s">
        <v>233</v>
      </c>
      <c r="K1846" s="6" t="s">
        <v>9377</v>
      </c>
      <c r="M1846" s="6"/>
    </row>
    <row r="1847" customFormat="false" ht="15" hidden="false" customHeight="false" outlineLevel="0" collapsed="false">
      <c r="A1847" s="6" t="s">
        <v>9379</v>
      </c>
      <c r="B1847" s="6" t="s">
        <v>5079</v>
      </c>
      <c r="C1847" s="6" t="s">
        <v>4975</v>
      </c>
      <c r="D1847" s="6" t="s">
        <v>9253</v>
      </c>
      <c r="E1847" s="6" t="s">
        <v>9375</v>
      </c>
      <c r="F1847" s="6" t="s">
        <v>9376</v>
      </c>
      <c r="G1847" s="9" t="n">
        <v>26476</v>
      </c>
      <c r="H1847" s="6" t="s">
        <v>384</v>
      </c>
      <c r="I1847" s="6" t="s">
        <v>13</v>
      </c>
      <c r="J1847" s="6" t="s">
        <v>233</v>
      </c>
      <c r="K1847" s="6" t="s">
        <v>9377</v>
      </c>
      <c r="M1847" s="6"/>
    </row>
    <row r="1848" customFormat="false" ht="15" hidden="false" customHeight="false" outlineLevel="0" collapsed="false">
      <c r="A1848" s="6" t="s">
        <v>9380</v>
      </c>
      <c r="B1848" s="6" t="s">
        <v>6032</v>
      </c>
      <c r="C1848" s="6" t="s">
        <v>4975</v>
      </c>
      <c r="D1848" s="6" t="s">
        <v>9253</v>
      </c>
      <c r="E1848" s="6" t="s">
        <v>9381</v>
      </c>
      <c r="F1848" s="6" t="s">
        <v>9382</v>
      </c>
      <c r="G1848" s="9" t="n">
        <v>860</v>
      </c>
      <c r="H1848" s="6" t="s">
        <v>384</v>
      </c>
      <c r="I1848" s="6" t="s">
        <v>13</v>
      </c>
      <c r="J1848" s="6" t="s">
        <v>209</v>
      </c>
      <c r="K1848" s="6" t="s">
        <v>9383</v>
      </c>
      <c r="M1848" s="6"/>
    </row>
    <row r="1849" customFormat="false" ht="15" hidden="false" customHeight="false" outlineLevel="0" collapsed="false">
      <c r="A1849" s="6" t="s">
        <v>9384</v>
      </c>
      <c r="B1849" s="6" t="s">
        <v>5203</v>
      </c>
      <c r="C1849" s="6" t="s">
        <v>4975</v>
      </c>
      <c r="D1849" s="6" t="s">
        <v>9253</v>
      </c>
      <c r="E1849" s="6" t="s">
        <v>9381</v>
      </c>
      <c r="F1849" s="6" t="s">
        <v>9382</v>
      </c>
      <c r="G1849" s="9" t="n">
        <v>2324</v>
      </c>
      <c r="H1849" s="6" t="s">
        <v>384</v>
      </c>
      <c r="I1849" s="6" t="s">
        <v>13</v>
      </c>
      <c r="J1849" s="6" t="s">
        <v>209</v>
      </c>
      <c r="K1849" s="6" t="s">
        <v>9383</v>
      </c>
      <c r="M1849" s="6"/>
    </row>
    <row r="1850" customFormat="false" ht="15" hidden="false" customHeight="false" outlineLevel="0" collapsed="false">
      <c r="A1850" s="6" t="s">
        <v>9385</v>
      </c>
      <c r="B1850" s="6" t="s">
        <v>5102</v>
      </c>
      <c r="C1850" s="6" t="s">
        <v>4975</v>
      </c>
      <c r="D1850" s="6" t="s">
        <v>9253</v>
      </c>
      <c r="E1850" s="6" t="s">
        <v>9381</v>
      </c>
      <c r="F1850" s="6" t="s">
        <v>9382</v>
      </c>
      <c r="G1850" s="9" t="n">
        <v>5240</v>
      </c>
      <c r="H1850" s="6" t="s">
        <v>384</v>
      </c>
      <c r="I1850" s="6" t="s">
        <v>13</v>
      </c>
      <c r="J1850" s="6" t="s">
        <v>209</v>
      </c>
      <c r="K1850" s="6" t="s">
        <v>9383</v>
      </c>
      <c r="M1850" s="6"/>
    </row>
    <row r="1851" customFormat="false" ht="15" hidden="false" customHeight="false" outlineLevel="0" collapsed="false">
      <c r="A1851" s="6" t="s">
        <v>9386</v>
      </c>
      <c r="B1851" s="6" t="s">
        <v>5102</v>
      </c>
      <c r="C1851" s="6" t="s">
        <v>4975</v>
      </c>
      <c r="D1851" s="6" t="s">
        <v>9253</v>
      </c>
      <c r="E1851" s="6" t="s">
        <v>9381</v>
      </c>
      <c r="F1851" s="6" t="s">
        <v>9387</v>
      </c>
      <c r="G1851" s="9" t="n">
        <v>5240</v>
      </c>
      <c r="H1851" s="6" t="s">
        <v>384</v>
      </c>
      <c r="I1851" s="6" t="s">
        <v>13</v>
      </c>
      <c r="J1851" s="6" t="s">
        <v>223</v>
      </c>
      <c r="K1851" s="6" t="s">
        <v>9360</v>
      </c>
      <c r="M1851" s="6"/>
    </row>
    <row r="1852" customFormat="false" ht="15" hidden="false" customHeight="false" outlineLevel="0" collapsed="false">
      <c r="A1852" s="6" t="s">
        <v>9388</v>
      </c>
      <c r="B1852" s="6" t="s">
        <v>5097</v>
      </c>
      <c r="C1852" s="6" t="s">
        <v>4975</v>
      </c>
      <c r="D1852" s="6" t="s">
        <v>9253</v>
      </c>
      <c r="E1852" s="6" t="s">
        <v>9381</v>
      </c>
      <c r="F1852" s="6" t="s">
        <v>9387</v>
      </c>
      <c r="G1852" s="9" t="n">
        <v>13066</v>
      </c>
      <c r="H1852" s="6" t="s">
        <v>384</v>
      </c>
      <c r="I1852" s="6" t="s">
        <v>13</v>
      </c>
      <c r="J1852" s="6" t="s">
        <v>223</v>
      </c>
      <c r="K1852" s="6" t="s">
        <v>9360</v>
      </c>
      <c r="M1852" s="6"/>
    </row>
    <row r="1853" customFormat="false" ht="15" hidden="false" customHeight="false" outlineLevel="0" collapsed="false">
      <c r="A1853" s="6" t="s">
        <v>9389</v>
      </c>
      <c r="B1853" s="6" t="s">
        <v>5074</v>
      </c>
      <c r="C1853" s="6" t="s">
        <v>4975</v>
      </c>
      <c r="D1853" s="6" t="s">
        <v>9253</v>
      </c>
      <c r="E1853" s="6" t="s">
        <v>9381</v>
      </c>
      <c r="F1853" s="6" t="s">
        <v>9387</v>
      </c>
      <c r="G1853" s="9" t="n">
        <v>13694</v>
      </c>
      <c r="H1853" s="6" t="s">
        <v>384</v>
      </c>
      <c r="I1853" s="6" t="s">
        <v>13</v>
      </c>
      <c r="J1853" s="6" t="s">
        <v>223</v>
      </c>
      <c r="K1853" s="6" t="s">
        <v>9360</v>
      </c>
      <c r="M1853" s="6"/>
    </row>
    <row r="1854" customFormat="false" ht="15" hidden="false" customHeight="false" outlineLevel="0" collapsed="false">
      <c r="A1854" s="6" t="s">
        <v>9390</v>
      </c>
      <c r="B1854" s="6" t="s">
        <v>5074</v>
      </c>
      <c r="C1854" s="6" t="s">
        <v>4975</v>
      </c>
      <c r="D1854" s="6" t="s">
        <v>9253</v>
      </c>
      <c r="E1854" s="6" t="s">
        <v>9381</v>
      </c>
      <c r="F1854" s="6" t="s">
        <v>9391</v>
      </c>
      <c r="G1854" s="9" t="n">
        <v>13694</v>
      </c>
      <c r="H1854" s="6" t="s">
        <v>384</v>
      </c>
      <c r="I1854" s="6" t="s">
        <v>13</v>
      </c>
      <c r="J1854" s="6" t="s">
        <v>233</v>
      </c>
      <c r="K1854" s="6" t="s">
        <v>9377</v>
      </c>
      <c r="M1854" s="6"/>
    </row>
    <row r="1855" customFormat="false" ht="15" hidden="false" customHeight="false" outlineLevel="0" collapsed="false">
      <c r="A1855" s="6" t="s">
        <v>9392</v>
      </c>
      <c r="B1855" s="6" t="s">
        <v>5113</v>
      </c>
      <c r="C1855" s="6" t="s">
        <v>4975</v>
      </c>
      <c r="D1855" s="6" t="s">
        <v>9253</v>
      </c>
      <c r="E1855" s="6" t="s">
        <v>9381</v>
      </c>
      <c r="F1855" s="6" t="s">
        <v>9391</v>
      </c>
      <c r="G1855" s="9" t="n">
        <v>19462</v>
      </c>
      <c r="H1855" s="6" t="s">
        <v>384</v>
      </c>
      <c r="I1855" s="6" t="s">
        <v>13</v>
      </c>
      <c r="J1855" s="6" t="s">
        <v>233</v>
      </c>
      <c r="K1855" s="6" t="s">
        <v>9377</v>
      </c>
      <c r="M1855" s="6"/>
    </row>
    <row r="1856" customFormat="false" ht="15" hidden="false" customHeight="false" outlineLevel="0" collapsed="false">
      <c r="A1856" s="6" t="s">
        <v>9393</v>
      </c>
      <c r="B1856" s="6" t="s">
        <v>5079</v>
      </c>
      <c r="C1856" s="6" t="s">
        <v>4975</v>
      </c>
      <c r="D1856" s="6" t="s">
        <v>9253</v>
      </c>
      <c r="E1856" s="6" t="s">
        <v>9381</v>
      </c>
      <c r="F1856" s="6" t="s">
        <v>9391</v>
      </c>
      <c r="G1856" s="9" t="n">
        <v>32841</v>
      </c>
      <c r="H1856" s="6" t="s">
        <v>384</v>
      </c>
      <c r="I1856" s="6" t="s">
        <v>13</v>
      </c>
      <c r="J1856" s="6" t="s">
        <v>233</v>
      </c>
      <c r="K1856" s="6" t="s">
        <v>9377</v>
      </c>
      <c r="M1856" s="6"/>
    </row>
    <row r="1857" customFormat="false" ht="15" hidden="false" customHeight="false" outlineLevel="0" collapsed="false">
      <c r="A1857" s="6" t="s">
        <v>9394</v>
      </c>
      <c r="B1857" s="6" t="s">
        <v>5203</v>
      </c>
      <c r="C1857" s="6" t="s">
        <v>4975</v>
      </c>
      <c r="D1857" s="6" t="s">
        <v>9253</v>
      </c>
      <c r="E1857" s="6" t="s">
        <v>9395</v>
      </c>
      <c r="F1857" s="6" t="s">
        <v>9396</v>
      </c>
      <c r="G1857" s="9" t="n">
        <v>2324</v>
      </c>
      <c r="H1857" s="6" t="s">
        <v>384</v>
      </c>
      <c r="I1857" s="6" t="s">
        <v>13</v>
      </c>
      <c r="J1857" s="6" t="s">
        <v>218</v>
      </c>
      <c r="K1857" s="6" t="s">
        <v>9397</v>
      </c>
      <c r="M1857" s="6"/>
    </row>
    <row r="1858" customFormat="false" ht="15" hidden="false" customHeight="false" outlineLevel="0" collapsed="false">
      <c r="A1858" s="6" t="s">
        <v>9398</v>
      </c>
      <c r="B1858" s="6" t="s">
        <v>5102</v>
      </c>
      <c r="C1858" s="6" t="s">
        <v>4975</v>
      </c>
      <c r="D1858" s="6" t="s">
        <v>9253</v>
      </c>
      <c r="E1858" s="6" t="s">
        <v>9395</v>
      </c>
      <c r="F1858" s="6" t="s">
        <v>9396</v>
      </c>
      <c r="G1858" s="9" t="n">
        <v>5240</v>
      </c>
      <c r="H1858" s="6" t="s">
        <v>384</v>
      </c>
      <c r="I1858" s="6" t="s">
        <v>13</v>
      </c>
      <c r="J1858" s="6" t="s">
        <v>218</v>
      </c>
      <c r="K1858" s="6" t="s">
        <v>9397</v>
      </c>
      <c r="M1858" s="6"/>
    </row>
    <row r="1859" customFormat="false" ht="15" hidden="false" customHeight="false" outlineLevel="0" collapsed="false">
      <c r="A1859" s="6" t="s">
        <v>9399</v>
      </c>
      <c r="B1859" s="6" t="s">
        <v>5097</v>
      </c>
      <c r="C1859" s="6" t="s">
        <v>4975</v>
      </c>
      <c r="D1859" s="6" t="s">
        <v>9253</v>
      </c>
      <c r="E1859" s="6" t="s">
        <v>9395</v>
      </c>
      <c r="F1859" s="6" t="s">
        <v>9396</v>
      </c>
      <c r="G1859" s="9" t="n">
        <v>13066</v>
      </c>
      <c r="H1859" s="6" t="s">
        <v>384</v>
      </c>
      <c r="I1859" s="6" t="s">
        <v>13</v>
      </c>
      <c r="J1859" s="6" t="s">
        <v>218</v>
      </c>
      <c r="K1859" s="6" t="s">
        <v>9397</v>
      </c>
      <c r="M1859" s="6"/>
    </row>
    <row r="1860" customFormat="false" ht="15" hidden="false" customHeight="false" outlineLevel="0" collapsed="false">
      <c r="A1860" s="6" t="s">
        <v>9400</v>
      </c>
      <c r="B1860" s="6" t="s">
        <v>5074</v>
      </c>
      <c r="C1860" s="6" t="s">
        <v>4975</v>
      </c>
      <c r="D1860" s="6" t="s">
        <v>9253</v>
      </c>
      <c r="E1860" s="6" t="s">
        <v>9401</v>
      </c>
      <c r="F1860" s="6" t="s">
        <v>9402</v>
      </c>
      <c r="G1860" s="9" t="n">
        <v>-5203</v>
      </c>
      <c r="H1860" s="6" t="s">
        <v>384</v>
      </c>
      <c r="I1860" s="6" t="s">
        <v>13</v>
      </c>
      <c r="J1860" s="6" t="s">
        <v>233</v>
      </c>
      <c r="K1860" s="6" t="s">
        <v>9403</v>
      </c>
      <c r="M1860" s="6"/>
    </row>
    <row r="1861" customFormat="false" ht="15" hidden="false" customHeight="false" outlineLevel="0" collapsed="false">
      <c r="A1861" s="6" t="s">
        <v>9404</v>
      </c>
      <c r="B1861" s="6" t="s">
        <v>5113</v>
      </c>
      <c r="C1861" s="6" t="s">
        <v>4975</v>
      </c>
      <c r="D1861" s="6" t="s">
        <v>9253</v>
      </c>
      <c r="E1861" s="6" t="s">
        <v>9401</v>
      </c>
      <c r="F1861" s="6" t="s">
        <v>9402</v>
      </c>
      <c r="G1861" s="9" t="n">
        <v>-2094</v>
      </c>
      <c r="H1861" s="6" t="s">
        <v>384</v>
      </c>
      <c r="I1861" s="6" t="s">
        <v>13</v>
      </c>
      <c r="J1861" s="6" t="s">
        <v>233</v>
      </c>
      <c r="K1861" s="6" t="s">
        <v>9403</v>
      </c>
      <c r="M1861" s="6"/>
    </row>
    <row r="1862" customFormat="false" ht="15" hidden="false" customHeight="false" outlineLevel="0" collapsed="false">
      <c r="A1862" s="6" t="s">
        <v>9405</v>
      </c>
      <c r="B1862" s="6" t="s">
        <v>5079</v>
      </c>
      <c r="C1862" s="6" t="s">
        <v>4975</v>
      </c>
      <c r="D1862" s="6" t="s">
        <v>9253</v>
      </c>
      <c r="E1862" s="6" t="s">
        <v>9401</v>
      </c>
      <c r="F1862" s="6" t="s">
        <v>9402</v>
      </c>
      <c r="G1862" s="9" t="n">
        <v>59425</v>
      </c>
      <c r="H1862" s="6" t="s">
        <v>384</v>
      </c>
      <c r="I1862" s="6" t="s">
        <v>13</v>
      </c>
      <c r="J1862" s="6" t="s">
        <v>233</v>
      </c>
      <c r="K1862" s="6" t="s">
        <v>9403</v>
      </c>
      <c r="M1862" s="6"/>
    </row>
    <row r="1863" customFormat="false" ht="15" hidden="false" customHeight="false" outlineLevel="0" collapsed="false">
      <c r="A1863" s="6" t="s">
        <v>9406</v>
      </c>
      <c r="B1863" s="6" t="s">
        <v>6032</v>
      </c>
      <c r="C1863" s="6" t="s">
        <v>4975</v>
      </c>
      <c r="D1863" s="6" t="s">
        <v>9253</v>
      </c>
      <c r="E1863" s="6" t="s">
        <v>9407</v>
      </c>
      <c r="F1863" s="6" t="s">
        <v>9408</v>
      </c>
      <c r="G1863" s="9" t="n">
        <v>683</v>
      </c>
      <c r="H1863" s="6" t="s">
        <v>384</v>
      </c>
      <c r="I1863" s="6" t="s">
        <v>13</v>
      </c>
      <c r="J1863" s="6" t="s">
        <v>209</v>
      </c>
      <c r="K1863" s="6" t="s">
        <v>9409</v>
      </c>
      <c r="M1863" s="6"/>
    </row>
    <row r="1864" customFormat="false" ht="15" hidden="false" customHeight="false" outlineLevel="0" collapsed="false">
      <c r="A1864" s="6" t="s">
        <v>9410</v>
      </c>
      <c r="B1864" s="6" t="s">
        <v>5203</v>
      </c>
      <c r="C1864" s="6" t="s">
        <v>4975</v>
      </c>
      <c r="D1864" s="6" t="s">
        <v>9253</v>
      </c>
      <c r="E1864" s="6" t="s">
        <v>9407</v>
      </c>
      <c r="F1864" s="6" t="s">
        <v>9408</v>
      </c>
      <c r="G1864" s="9" t="n">
        <v>2192</v>
      </c>
      <c r="H1864" s="6" t="s">
        <v>384</v>
      </c>
      <c r="I1864" s="6" t="s">
        <v>13</v>
      </c>
      <c r="J1864" s="6" t="s">
        <v>209</v>
      </c>
      <c r="K1864" s="6" t="s">
        <v>9409</v>
      </c>
      <c r="M1864" s="6"/>
    </row>
    <row r="1865" customFormat="false" ht="15" hidden="false" customHeight="false" outlineLevel="0" collapsed="false">
      <c r="A1865" s="6" t="s">
        <v>9411</v>
      </c>
      <c r="B1865" s="6" t="s">
        <v>5203</v>
      </c>
      <c r="C1865" s="6" t="s">
        <v>4975</v>
      </c>
      <c r="D1865" s="6" t="s">
        <v>9253</v>
      </c>
      <c r="E1865" s="6" t="s">
        <v>9407</v>
      </c>
      <c r="F1865" s="6" t="s">
        <v>9412</v>
      </c>
      <c r="G1865" s="9" t="n">
        <v>2192</v>
      </c>
      <c r="H1865" s="6" t="s">
        <v>384</v>
      </c>
      <c r="I1865" s="6" t="s">
        <v>13</v>
      </c>
      <c r="J1865" s="6" t="s">
        <v>218</v>
      </c>
      <c r="K1865" s="6" t="s">
        <v>9413</v>
      </c>
      <c r="M1865" s="6"/>
    </row>
    <row r="1866" customFormat="false" ht="15" hidden="false" customHeight="false" outlineLevel="0" collapsed="false">
      <c r="A1866" s="6" t="s">
        <v>9414</v>
      </c>
      <c r="B1866" s="6" t="s">
        <v>5102</v>
      </c>
      <c r="C1866" s="6" t="s">
        <v>4975</v>
      </c>
      <c r="D1866" s="6" t="s">
        <v>9253</v>
      </c>
      <c r="E1866" s="6" t="s">
        <v>9407</v>
      </c>
      <c r="F1866" s="6" t="s">
        <v>9408</v>
      </c>
      <c r="G1866" s="9" t="n">
        <v>2331</v>
      </c>
      <c r="H1866" s="6" t="s">
        <v>384</v>
      </c>
      <c r="I1866" s="6" t="s">
        <v>13</v>
      </c>
      <c r="J1866" s="6" t="s">
        <v>209</v>
      </c>
      <c r="K1866" s="6" t="s">
        <v>9409</v>
      </c>
      <c r="M1866" s="6"/>
    </row>
    <row r="1867" customFormat="false" ht="15" hidden="false" customHeight="false" outlineLevel="0" collapsed="false">
      <c r="A1867" s="6" t="s">
        <v>9415</v>
      </c>
      <c r="B1867" s="6" t="s">
        <v>5102</v>
      </c>
      <c r="C1867" s="6" t="s">
        <v>4975</v>
      </c>
      <c r="D1867" s="6" t="s">
        <v>9253</v>
      </c>
      <c r="E1867" s="6" t="s">
        <v>9407</v>
      </c>
      <c r="F1867" s="6" t="s">
        <v>9412</v>
      </c>
      <c r="G1867" s="9" t="n">
        <v>2331</v>
      </c>
      <c r="H1867" s="6" t="s">
        <v>384</v>
      </c>
      <c r="I1867" s="6" t="s">
        <v>13</v>
      </c>
      <c r="J1867" s="6" t="s">
        <v>218</v>
      </c>
      <c r="K1867" s="6" t="s">
        <v>9413</v>
      </c>
      <c r="M1867" s="6"/>
    </row>
    <row r="1868" customFormat="false" ht="15" hidden="false" customHeight="false" outlineLevel="0" collapsed="false">
      <c r="A1868" s="6" t="s">
        <v>9416</v>
      </c>
      <c r="B1868" s="6" t="s">
        <v>5102</v>
      </c>
      <c r="C1868" s="6" t="s">
        <v>4975</v>
      </c>
      <c r="D1868" s="6" t="s">
        <v>9253</v>
      </c>
      <c r="E1868" s="6" t="s">
        <v>9407</v>
      </c>
      <c r="F1868" s="6" t="s">
        <v>9315</v>
      </c>
      <c r="G1868" s="9" t="n">
        <v>2331</v>
      </c>
      <c r="H1868" s="6" t="s">
        <v>384</v>
      </c>
      <c r="I1868" s="6" t="s">
        <v>13</v>
      </c>
      <c r="J1868" s="6" t="s">
        <v>223</v>
      </c>
      <c r="K1868" s="6" t="s">
        <v>9276</v>
      </c>
      <c r="M1868" s="6"/>
    </row>
    <row r="1869" customFormat="false" ht="15" hidden="false" customHeight="false" outlineLevel="0" collapsed="false">
      <c r="A1869" s="6" t="s">
        <v>9417</v>
      </c>
      <c r="B1869" s="6" t="s">
        <v>5097</v>
      </c>
      <c r="C1869" s="6" t="s">
        <v>4975</v>
      </c>
      <c r="D1869" s="6" t="s">
        <v>9253</v>
      </c>
      <c r="E1869" s="6" t="s">
        <v>9407</v>
      </c>
      <c r="F1869" s="6" t="s">
        <v>9412</v>
      </c>
      <c r="G1869" s="9" t="n">
        <v>7406</v>
      </c>
      <c r="H1869" s="6" t="s">
        <v>384</v>
      </c>
      <c r="I1869" s="6" t="s">
        <v>13</v>
      </c>
      <c r="J1869" s="6" t="s">
        <v>218</v>
      </c>
      <c r="K1869" s="6" t="s">
        <v>9413</v>
      </c>
      <c r="M1869" s="6"/>
    </row>
    <row r="1870" customFormat="false" ht="15" hidden="false" customHeight="false" outlineLevel="0" collapsed="false">
      <c r="A1870" s="6" t="s">
        <v>9418</v>
      </c>
      <c r="B1870" s="6" t="s">
        <v>5097</v>
      </c>
      <c r="C1870" s="6" t="s">
        <v>4975</v>
      </c>
      <c r="D1870" s="6" t="s">
        <v>9253</v>
      </c>
      <c r="E1870" s="6" t="s">
        <v>9407</v>
      </c>
      <c r="F1870" s="6" t="s">
        <v>9315</v>
      </c>
      <c r="G1870" s="9" t="n">
        <v>7406</v>
      </c>
      <c r="H1870" s="6" t="s">
        <v>384</v>
      </c>
      <c r="I1870" s="6" t="s">
        <v>13</v>
      </c>
      <c r="J1870" s="6" t="s">
        <v>223</v>
      </c>
      <c r="K1870" s="6" t="s">
        <v>9276</v>
      </c>
      <c r="M1870" s="6"/>
    </row>
    <row r="1871" customFormat="false" ht="15" hidden="false" customHeight="false" outlineLevel="0" collapsed="false">
      <c r="A1871" s="6" t="s">
        <v>9419</v>
      </c>
      <c r="B1871" s="6" t="s">
        <v>5097</v>
      </c>
      <c r="C1871" s="6" t="s">
        <v>4975</v>
      </c>
      <c r="D1871" s="6" t="s">
        <v>9253</v>
      </c>
      <c r="E1871" s="6" t="s">
        <v>9407</v>
      </c>
      <c r="F1871" s="6" t="s">
        <v>9420</v>
      </c>
      <c r="G1871" s="9" t="n">
        <v>7406</v>
      </c>
      <c r="H1871" s="6" t="s">
        <v>384</v>
      </c>
      <c r="I1871" s="6" t="s">
        <v>13</v>
      </c>
      <c r="J1871" s="6" t="s">
        <v>228</v>
      </c>
      <c r="K1871" s="6" t="s">
        <v>9421</v>
      </c>
      <c r="M1871" s="6"/>
    </row>
    <row r="1872" customFormat="false" ht="15" hidden="false" customHeight="false" outlineLevel="0" collapsed="false">
      <c r="A1872" s="6" t="s">
        <v>9422</v>
      </c>
      <c r="B1872" s="6" t="s">
        <v>5074</v>
      </c>
      <c r="C1872" s="6" t="s">
        <v>4975</v>
      </c>
      <c r="D1872" s="6" t="s">
        <v>9253</v>
      </c>
      <c r="E1872" s="6" t="s">
        <v>9407</v>
      </c>
      <c r="F1872" s="6" t="s">
        <v>9315</v>
      </c>
      <c r="G1872" s="9" t="n">
        <v>5203</v>
      </c>
      <c r="H1872" s="6" t="s">
        <v>384</v>
      </c>
      <c r="I1872" s="6" t="s">
        <v>13</v>
      </c>
      <c r="J1872" s="6" t="s">
        <v>223</v>
      </c>
      <c r="K1872" s="6" t="s">
        <v>9276</v>
      </c>
      <c r="M1872" s="6"/>
    </row>
    <row r="1873" customFormat="false" ht="15" hidden="false" customHeight="false" outlineLevel="0" collapsed="false">
      <c r="A1873" s="6" t="s">
        <v>9423</v>
      </c>
      <c r="B1873" s="6" t="s">
        <v>5074</v>
      </c>
      <c r="C1873" s="6" t="s">
        <v>4975</v>
      </c>
      <c r="D1873" s="6" t="s">
        <v>9253</v>
      </c>
      <c r="E1873" s="6" t="s">
        <v>9407</v>
      </c>
      <c r="F1873" s="6" t="s">
        <v>9420</v>
      </c>
      <c r="G1873" s="9" t="n">
        <v>5203</v>
      </c>
      <c r="H1873" s="6" t="s">
        <v>384</v>
      </c>
      <c r="I1873" s="6" t="s">
        <v>13</v>
      </c>
      <c r="J1873" s="6" t="s">
        <v>228</v>
      </c>
      <c r="K1873" s="6" t="s">
        <v>9421</v>
      </c>
      <c r="M1873" s="6"/>
    </row>
    <row r="1874" customFormat="false" ht="15" hidden="false" customHeight="false" outlineLevel="0" collapsed="false">
      <c r="A1874" s="6" t="s">
        <v>9424</v>
      </c>
      <c r="B1874" s="6" t="s">
        <v>5113</v>
      </c>
      <c r="C1874" s="6" t="s">
        <v>4975</v>
      </c>
      <c r="D1874" s="6" t="s">
        <v>9253</v>
      </c>
      <c r="E1874" s="6" t="s">
        <v>9407</v>
      </c>
      <c r="F1874" s="6" t="s">
        <v>9420</v>
      </c>
      <c r="G1874" s="9" t="n">
        <v>2094</v>
      </c>
      <c r="H1874" s="6" t="s">
        <v>384</v>
      </c>
      <c r="I1874" s="6" t="s">
        <v>13</v>
      </c>
      <c r="J1874" s="6" t="s">
        <v>228</v>
      </c>
      <c r="K1874" s="6" t="s">
        <v>9421</v>
      </c>
      <c r="M1874" s="6"/>
    </row>
    <row r="1875" customFormat="false" ht="15" hidden="false" customHeight="false" outlineLevel="0" collapsed="false">
      <c r="A1875" s="6" t="s">
        <v>9425</v>
      </c>
      <c r="B1875" s="6" t="s">
        <v>5519</v>
      </c>
      <c r="C1875" s="6" t="s">
        <v>5316</v>
      </c>
      <c r="D1875" s="6" t="s">
        <v>9253</v>
      </c>
      <c r="E1875" s="6" t="s">
        <v>9407</v>
      </c>
      <c r="F1875" s="6" t="s">
        <v>9426</v>
      </c>
      <c r="G1875" s="9" t="n">
        <v>4278</v>
      </c>
      <c r="H1875" s="6" t="s">
        <v>384</v>
      </c>
      <c r="I1875" s="6" t="s">
        <v>13</v>
      </c>
      <c r="J1875" s="6" t="s">
        <v>238</v>
      </c>
      <c r="K1875" s="6" t="s">
        <v>5824</v>
      </c>
      <c r="M1875" s="6"/>
    </row>
    <row r="1876" customFormat="false" ht="15" hidden="false" customHeight="false" outlineLevel="0" collapsed="false">
      <c r="A1876" s="6" t="s">
        <v>9427</v>
      </c>
      <c r="B1876" s="6" t="s">
        <v>5315</v>
      </c>
      <c r="C1876" s="6" t="s">
        <v>5316</v>
      </c>
      <c r="D1876" s="6" t="s">
        <v>9253</v>
      </c>
      <c r="E1876" s="6" t="s">
        <v>9407</v>
      </c>
      <c r="F1876" s="6" t="s">
        <v>9426</v>
      </c>
      <c r="G1876" s="9" t="n">
        <v>3068</v>
      </c>
      <c r="H1876" s="6" t="s">
        <v>384</v>
      </c>
      <c r="I1876" s="6" t="s">
        <v>13</v>
      </c>
      <c r="J1876" s="6" t="s">
        <v>238</v>
      </c>
      <c r="K1876" s="6" t="s">
        <v>5824</v>
      </c>
      <c r="M1876" s="6"/>
    </row>
    <row r="1877" customFormat="false" ht="15" hidden="false" customHeight="false" outlineLevel="0" collapsed="false">
      <c r="A1877" s="6" t="s">
        <v>9428</v>
      </c>
      <c r="B1877" s="6" t="s">
        <v>5320</v>
      </c>
      <c r="C1877" s="6" t="s">
        <v>5316</v>
      </c>
      <c r="D1877" s="6" t="s">
        <v>9253</v>
      </c>
      <c r="E1877" s="6" t="s">
        <v>9407</v>
      </c>
      <c r="F1877" s="6" t="s">
        <v>9429</v>
      </c>
      <c r="G1877" s="9" t="n">
        <v>996</v>
      </c>
      <c r="H1877" s="6" t="s">
        <v>384</v>
      </c>
      <c r="I1877" s="6" t="s">
        <v>13</v>
      </c>
      <c r="J1877" s="6" t="s">
        <v>253</v>
      </c>
      <c r="K1877" s="6" t="s">
        <v>5828</v>
      </c>
      <c r="M1877" s="6"/>
    </row>
    <row r="1878" customFormat="false" ht="15" hidden="false" customHeight="false" outlineLevel="0" collapsed="false">
      <c r="A1878" s="6" t="s">
        <v>9430</v>
      </c>
      <c r="B1878" s="6" t="s">
        <v>5325</v>
      </c>
      <c r="C1878" s="6" t="s">
        <v>5316</v>
      </c>
      <c r="D1878" s="6" t="s">
        <v>9253</v>
      </c>
      <c r="E1878" s="6" t="s">
        <v>9407</v>
      </c>
      <c r="F1878" s="6" t="s">
        <v>9431</v>
      </c>
      <c r="G1878" s="9" t="n">
        <v>4052</v>
      </c>
      <c r="H1878" s="6" t="s">
        <v>384</v>
      </c>
      <c r="I1878" s="6" t="s">
        <v>13</v>
      </c>
      <c r="J1878" s="6" t="s">
        <v>261</v>
      </c>
      <c r="K1878" s="6" t="s">
        <v>5831</v>
      </c>
      <c r="M1878" s="6" t="s">
        <v>9432</v>
      </c>
    </row>
    <row r="1879" customFormat="false" ht="15" hidden="false" customHeight="false" outlineLevel="0" collapsed="false">
      <c r="A1879" s="6" t="s">
        <v>9433</v>
      </c>
      <c r="B1879" s="6" t="s">
        <v>5203</v>
      </c>
      <c r="C1879" s="6" t="s">
        <v>4975</v>
      </c>
      <c r="D1879" s="6" t="s">
        <v>9253</v>
      </c>
      <c r="E1879" s="6" t="s">
        <v>9434</v>
      </c>
      <c r="F1879" s="6" t="s">
        <v>9435</v>
      </c>
      <c r="G1879" s="9" t="n">
        <v>243</v>
      </c>
      <c r="H1879" s="6" t="s">
        <v>384</v>
      </c>
      <c r="I1879" s="6" t="s">
        <v>13</v>
      </c>
      <c r="J1879" s="6" t="s">
        <v>218</v>
      </c>
      <c r="K1879" s="6" t="s">
        <v>9413</v>
      </c>
      <c r="M1879" s="6"/>
    </row>
    <row r="1880" customFormat="false" ht="15" hidden="false" customHeight="false" outlineLevel="0" collapsed="false">
      <c r="A1880" s="6" t="s">
        <v>9436</v>
      </c>
      <c r="B1880" s="6" t="s">
        <v>5102</v>
      </c>
      <c r="C1880" s="6" t="s">
        <v>4975</v>
      </c>
      <c r="D1880" s="6" t="s">
        <v>9253</v>
      </c>
      <c r="E1880" s="6" t="s">
        <v>9434</v>
      </c>
      <c r="F1880" s="6" t="s">
        <v>9435</v>
      </c>
      <c r="G1880" s="9" t="n">
        <v>180</v>
      </c>
      <c r="H1880" s="6" t="s">
        <v>384</v>
      </c>
      <c r="I1880" s="6" t="s">
        <v>13</v>
      </c>
      <c r="J1880" s="6" t="s">
        <v>218</v>
      </c>
      <c r="K1880" s="6" t="s">
        <v>9413</v>
      </c>
      <c r="M1880" s="6"/>
    </row>
    <row r="1881" customFormat="false" ht="15" hidden="false" customHeight="false" outlineLevel="0" collapsed="false">
      <c r="A1881" s="6" t="s">
        <v>9437</v>
      </c>
      <c r="B1881" s="6" t="s">
        <v>5097</v>
      </c>
      <c r="C1881" s="6" t="s">
        <v>4975</v>
      </c>
      <c r="D1881" s="6" t="s">
        <v>9253</v>
      </c>
      <c r="E1881" s="6" t="s">
        <v>9434</v>
      </c>
      <c r="F1881" s="6" t="s">
        <v>9435</v>
      </c>
      <c r="G1881" s="9" t="n">
        <v>649</v>
      </c>
      <c r="H1881" s="6" t="s">
        <v>384</v>
      </c>
      <c r="I1881" s="6" t="s">
        <v>13</v>
      </c>
      <c r="J1881" s="6" t="s">
        <v>218</v>
      </c>
      <c r="K1881" s="6" t="s">
        <v>9413</v>
      </c>
      <c r="M1881" s="6"/>
    </row>
    <row r="1882" customFormat="false" ht="15" hidden="false" customHeight="false" outlineLevel="0" collapsed="false">
      <c r="A1882" s="6" t="s">
        <v>9438</v>
      </c>
      <c r="B1882" s="6" t="s">
        <v>5097</v>
      </c>
      <c r="C1882" s="6" t="s">
        <v>4975</v>
      </c>
      <c r="D1882" s="6" t="s">
        <v>9253</v>
      </c>
      <c r="E1882" s="6" t="s">
        <v>9434</v>
      </c>
      <c r="F1882" s="6" t="s">
        <v>9439</v>
      </c>
      <c r="G1882" s="9" t="n">
        <v>649</v>
      </c>
      <c r="H1882" s="6" t="s">
        <v>384</v>
      </c>
      <c r="I1882" s="6" t="s">
        <v>13</v>
      </c>
      <c r="J1882" s="6" t="s">
        <v>228</v>
      </c>
      <c r="K1882" s="6" t="s">
        <v>9440</v>
      </c>
      <c r="M1882" s="6"/>
    </row>
    <row r="1883" customFormat="false" ht="15" hidden="false" customHeight="false" outlineLevel="0" collapsed="false">
      <c r="A1883" s="6" t="s">
        <v>9441</v>
      </c>
      <c r="B1883" s="6" t="s">
        <v>5074</v>
      </c>
      <c r="C1883" s="6" t="s">
        <v>4975</v>
      </c>
      <c r="D1883" s="6" t="s">
        <v>9253</v>
      </c>
      <c r="E1883" s="6" t="s">
        <v>9434</v>
      </c>
      <c r="F1883" s="6" t="s">
        <v>9439</v>
      </c>
      <c r="G1883" s="9" t="n">
        <v>557</v>
      </c>
      <c r="H1883" s="6" t="s">
        <v>384</v>
      </c>
      <c r="I1883" s="6" t="s">
        <v>13</v>
      </c>
      <c r="J1883" s="6" t="s">
        <v>228</v>
      </c>
      <c r="K1883" s="6" t="s">
        <v>9440</v>
      </c>
      <c r="M1883" s="6"/>
    </row>
    <row r="1884" customFormat="false" ht="15" hidden="false" customHeight="false" outlineLevel="0" collapsed="false">
      <c r="A1884" s="6" t="s">
        <v>9442</v>
      </c>
      <c r="B1884" s="6" t="s">
        <v>5113</v>
      </c>
      <c r="C1884" s="6" t="s">
        <v>4975</v>
      </c>
      <c r="D1884" s="6" t="s">
        <v>9253</v>
      </c>
      <c r="E1884" s="6" t="s">
        <v>9434</v>
      </c>
      <c r="F1884" s="6" t="s">
        <v>9439</v>
      </c>
      <c r="G1884" s="9" t="n">
        <v>603</v>
      </c>
      <c r="H1884" s="6" t="s">
        <v>384</v>
      </c>
      <c r="I1884" s="6" t="s">
        <v>13</v>
      </c>
      <c r="J1884" s="6" t="s">
        <v>228</v>
      </c>
      <c r="K1884" s="6" t="s">
        <v>9440</v>
      </c>
      <c r="M1884" s="6"/>
    </row>
    <row r="1885" customFormat="false" ht="15" hidden="false" customHeight="false" outlineLevel="0" collapsed="false">
      <c r="A1885" s="6" t="s">
        <v>9443</v>
      </c>
      <c r="B1885" s="6" t="s">
        <v>5203</v>
      </c>
      <c r="C1885" s="6" t="s">
        <v>4975</v>
      </c>
      <c r="D1885" s="6" t="s">
        <v>9253</v>
      </c>
      <c r="E1885" s="6" t="s">
        <v>9444</v>
      </c>
      <c r="F1885" s="6" t="s">
        <v>9445</v>
      </c>
      <c r="G1885" s="9" t="n">
        <v>1949</v>
      </c>
      <c r="H1885" s="6" t="s">
        <v>384</v>
      </c>
      <c r="I1885" s="6" t="s">
        <v>13</v>
      </c>
      <c r="J1885" s="6" t="s">
        <v>218</v>
      </c>
      <c r="K1885" s="6" t="s">
        <v>9413</v>
      </c>
      <c r="M1885" s="6"/>
    </row>
    <row r="1886" customFormat="false" ht="15" hidden="false" customHeight="false" outlineLevel="0" collapsed="false">
      <c r="A1886" s="6" t="s">
        <v>9446</v>
      </c>
      <c r="B1886" s="6" t="s">
        <v>5102</v>
      </c>
      <c r="C1886" s="6" t="s">
        <v>4975</v>
      </c>
      <c r="D1886" s="6" t="s">
        <v>9253</v>
      </c>
      <c r="E1886" s="6" t="s">
        <v>9444</v>
      </c>
      <c r="F1886" s="6" t="s">
        <v>9445</v>
      </c>
      <c r="G1886" s="9" t="n">
        <v>2151</v>
      </c>
      <c r="H1886" s="6" t="s">
        <v>384</v>
      </c>
      <c r="I1886" s="6" t="s">
        <v>13</v>
      </c>
      <c r="J1886" s="6" t="s">
        <v>218</v>
      </c>
      <c r="K1886" s="6" t="s">
        <v>9413</v>
      </c>
      <c r="M1886" s="6"/>
    </row>
    <row r="1887" customFormat="false" ht="15" hidden="false" customHeight="false" outlineLevel="0" collapsed="false">
      <c r="A1887" s="6" t="s">
        <v>9447</v>
      </c>
      <c r="B1887" s="6" t="s">
        <v>5097</v>
      </c>
      <c r="C1887" s="6" t="s">
        <v>4975</v>
      </c>
      <c r="D1887" s="6" t="s">
        <v>9253</v>
      </c>
      <c r="E1887" s="6" t="s">
        <v>9444</v>
      </c>
      <c r="F1887" s="6" t="s">
        <v>9445</v>
      </c>
      <c r="G1887" s="9" t="n">
        <v>6757</v>
      </c>
      <c r="H1887" s="6" t="s">
        <v>384</v>
      </c>
      <c r="I1887" s="6" t="s">
        <v>13</v>
      </c>
      <c r="J1887" s="6" t="s">
        <v>218</v>
      </c>
      <c r="K1887" s="6" t="s">
        <v>9413</v>
      </c>
      <c r="M1887" s="6"/>
    </row>
    <row r="1888" customFormat="false" ht="15" hidden="false" customHeight="false" outlineLevel="0" collapsed="false">
      <c r="A1888" s="6" t="s">
        <v>9448</v>
      </c>
      <c r="B1888" s="6" t="s">
        <v>5097</v>
      </c>
      <c r="C1888" s="6" t="s">
        <v>4975</v>
      </c>
      <c r="D1888" s="6" t="s">
        <v>9253</v>
      </c>
      <c r="E1888" s="6" t="s">
        <v>9444</v>
      </c>
      <c r="F1888" s="6" t="s">
        <v>9449</v>
      </c>
      <c r="G1888" s="9" t="n">
        <v>6757</v>
      </c>
      <c r="H1888" s="6" t="s">
        <v>384</v>
      </c>
      <c r="I1888" s="6" t="s">
        <v>13</v>
      </c>
      <c r="J1888" s="6" t="s">
        <v>228</v>
      </c>
      <c r="K1888" s="6" t="s">
        <v>9440</v>
      </c>
      <c r="M1888" s="6"/>
    </row>
    <row r="1889" customFormat="false" ht="15" hidden="false" customHeight="false" outlineLevel="0" collapsed="false">
      <c r="A1889" s="6" t="s">
        <v>9450</v>
      </c>
      <c r="B1889" s="6" t="s">
        <v>5074</v>
      </c>
      <c r="C1889" s="6" t="s">
        <v>4975</v>
      </c>
      <c r="D1889" s="6" t="s">
        <v>9253</v>
      </c>
      <c r="E1889" s="6" t="s">
        <v>9444</v>
      </c>
      <c r="F1889" s="6" t="s">
        <v>9449</v>
      </c>
      <c r="G1889" s="9" t="n">
        <v>4646</v>
      </c>
      <c r="H1889" s="6" t="s">
        <v>384</v>
      </c>
      <c r="I1889" s="6" t="s">
        <v>13</v>
      </c>
      <c r="J1889" s="6" t="s">
        <v>228</v>
      </c>
      <c r="K1889" s="6" t="s">
        <v>9440</v>
      </c>
      <c r="M1889" s="6"/>
    </row>
    <row r="1890" customFormat="false" ht="15" hidden="false" customHeight="false" outlineLevel="0" collapsed="false">
      <c r="A1890" s="6" t="s">
        <v>9451</v>
      </c>
      <c r="B1890" s="6" t="s">
        <v>5113</v>
      </c>
      <c r="C1890" s="6" t="s">
        <v>4975</v>
      </c>
      <c r="D1890" s="6" t="s">
        <v>9253</v>
      </c>
      <c r="E1890" s="6" t="s">
        <v>9444</v>
      </c>
      <c r="F1890" s="6" t="s">
        <v>9449</v>
      </c>
      <c r="G1890" s="9" t="n">
        <v>1491</v>
      </c>
      <c r="H1890" s="6" t="s">
        <v>384</v>
      </c>
      <c r="I1890" s="6" t="s">
        <v>13</v>
      </c>
      <c r="J1890" s="6" t="s">
        <v>228</v>
      </c>
      <c r="K1890" s="6" t="s">
        <v>9440</v>
      </c>
      <c r="M1890" s="6"/>
    </row>
    <row r="1891" customFormat="false" ht="15" hidden="false" customHeight="false" outlineLevel="0" collapsed="false">
      <c r="A1891" s="6" t="s">
        <v>9452</v>
      </c>
      <c r="B1891" s="6" t="s">
        <v>5097</v>
      </c>
      <c r="C1891" s="6" t="s">
        <v>4975</v>
      </c>
      <c r="D1891" s="6" t="s">
        <v>9253</v>
      </c>
      <c r="E1891" s="6" t="s">
        <v>9453</v>
      </c>
      <c r="F1891" s="6" t="s">
        <v>9454</v>
      </c>
      <c r="G1891" s="13" t="n">
        <v>5.1</v>
      </c>
      <c r="H1891" s="6" t="s">
        <v>3751</v>
      </c>
      <c r="I1891" s="6" t="s">
        <v>13</v>
      </c>
      <c r="J1891" s="6" t="s">
        <v>218</v>
      </c>
      <c r="K1891" s="6" t="s">
        <v>9455</v>
      </c>
      <c r="M1891" s="6"/>
    </row>
    <row r="1892" customFormat="false" ht="15" hidden="false" customHeight="false" outlineLevel="0" collapsed="false">
      <c r="A1892" s="6" t="s">
        <v>9456</v>
      </c>
      <c r="B1892" s="6" t="s">
        <v>5049</v>
      </c>
      <c r="C1892" s="6" t="s">
        <v>5050</v>
      </c>
      <c r="D1892" s="6" t="s">
        <v>9253</v>
      </c>
      <c r="E1892" s="6" t="s">
        <v>9457</v>
      </c>
      <c r="F1892" s="6" t="s">
        <v>9458</v>
      </c>
      <c r="G1892" s="9" t="n">
        <v>292687</v>
      </c>
      <c r="H1892" s="6" t="s">
        <v>384</v>
      </c>
      <c r="I1892" s="6" t="s">
        <v>13</v>
      </c>
      <c r="J1892" s="6" t="s">
        <v>209</v>
      </c>
      <c r="K1892" s="6" t="s">
        <v>9459</v>
      </c>
      <c r="M1892" s="6"/>
    </row>
    <row r="1893" customFormat="false" ht="15" hidden="false" customHeight="false" outlineLevel="0" collapsed="false">
      <c r="A1893" s="6" t="s">
        <v>9460</v>
      </c>
      <c r="B1893" s="6" t="s">
        <v>5057</v>
      </c>
      <c r="C1893" s="6" t="s">
        <v>5050</v>
      </c>
      <c r="D1893" s="6" t="s">
        <v>9253</v>
      </c>
      <c r="E1893" s="6" t="s">
        <v>9461</v>
      </c>
      <c r="F1893" s="6" t="s">
        <v>9462</v>
      </c>
      <c r="G1893" s="9" t="n">
        <v>332850</v>
      </c>
      <c r="H1893" s="6" t="s">
        <v>384</v>
      </c>
      <c r="I1893" s="6" t="s">
        <v>13</v>
      </c>
      <c r="J1893" s="6" t="s">
        <v>218</v>
      </c>
      <c r="K1893" s="6" t="s">
        <v>9288</v>
      </c>
      <c r="M1893" s="6"/>
    </row>
    <row r="1894" customFormat="false" ht="15" hidden="false" customHeight="false" outlineLevel="0" collapsed="false">
      <c r="A1894" s="6" t="s">
        <v>9463</v>
      </c>
      <c r="B1894" s="6" t="s">
        <v>5062</v>
      </c>
      <c r="C1894" s="6" t="s">
        <v>5050</v>
      </c>
      <c r="D1894" s="6" t="s">
        <v>9253</v>
      </c>
      <c r="E1894" s="6" t="s">
        <v>9461</v>
      </c>
      <c r="F1894" s="6" t="s">
        <v>9464</v>
      </c>
      <c r="G1894" s="9" t="n">
        <v>331742</v>
      </c>
      <c r="H1894" s="6" t="s">
        <v>384</v>
      </c>
      <c r="I1894" s="6" t="s">
        <v>13</v>
      </c>
      <c r="J1894" s="6" t="s">
        <v>223</v>
      </c>
      <c r="K1894" s="6" t="s">
        <v>9465</v>
      </c>
      <c r="M1894" s="6"/>
    </row>
    <row r="1895" customFormat="false" ht="15" hidden="false" customHeight="false" outlineLevel="0" collapsed="false">
      <c r="A1895" s="6" t="s">
        <v>9466</v>
      </c>
      <c r="B1895" s="6" t="s">
        <v>5067</v>
      </c>
      <c r="C1895" s="6" t="s">
        <v>5050</v>
      </c>
      <c r="D1895" s="6" t="s">
        <v>9253</v>
      </c>
      <c r="E1895" s="6" t="s">
        <v>9461</v>
      </c>
      <c r="F1895" s="6" t="s">
        <v>9467</v>
      </c>
      <c r="G1895" s="9" t="n">
        <v>207569</v>
      </c>
      <c r="H1895" s="6" t="s">
        <v>384</v>
      </c>
      <c r="I1895" s="6" t="s">
        <v>13</v>
      </c>
      <c r="J1895" s="6" t="s">
        <v>228</v>
      </c>
      <c r="K1895" s="6" t="s">
        <v>9440</v>
      </c>
      <c r="M1895" s="6" t="s">
        <v>9468</v>
      </c>
    </row>
    <row r="1896" customFormat="false" ht="15" hidden="false" customHeight="false" outlineLevel="0" collapsed="false">
      <c r="A1896" s="6" t="s">
        <v>9469</v>
      </c>
      <c r="B1896" s="6" t="s">
        <v>5102</v>
      </c>
      <c r="C1896" s="6" t="s">
        <v>4975</v>
      </c>
      <c r="D1896" s="6" t="s">
        <v>9253</v>
      </c>
      <c r="E1896" s="6" t="s">
        <v>9470</v>
      </c>
      <c r="F1896" s="6" t="s">
        <v>9471</v>
      </c>
      <c r="G1896" s="19" t="n">
        <v>23</v>
      </c>
      <c r="H1896" s="6" t="s">
        <v>5105</v>
      </c>
      <c r="I1896" s="6" t="s">
        <v>13</v>
      </c>
      <c r="J1896" s="6" t="s">
        <v>209</v>
      </c>
      <c r="K1896" s="6" t="s">
        <v>9472</v>
      </c>
      <c r="M1896" s="6"/>
    </row>
    <row r="1897" customFormat="false" ht="15" hidden="false" customHeight="false" outlineLevel="0" collapsed="false">
      <c r="A1897" s="6" t="s">
        <v>9473</v>
      </c>
      <c r="B1897" s="6" t="s">
        <v>5097</v>
      </c>
      <c r="C1897" s="6" t="s">
        <v>4975</v>
      </c>
      <c r="D1897" s="6" t="s">
        <v>9253</v>
      </c>
      <c r="E1897" s="6" t="s">
        <v>9470</v>
      </c>
      <c r="F1897" s="6" t="s">
        <v>9474</v>
      </c>
      <c r="G1897" s="19" t="n">
        <v>23</v>
      </c>
      <c r="H1897" s="6" t="s">
        <v>5105</v>
      </c>
      <c r="I1897" s="6" t="s">
        <v>13</v>
      </c>
      <c r="J1897" s="6" t="s">
        <v>218</v>
      </c>
      <c r="K1897" s="6" t="s">
        <v>9475</v>
      </c>
      <c r="M1897" s="6"/>
    </row>
    <row r="1898" customFormat="false" ht="15" hidden="false" customHeight="false" outlineLevel="0" collapsed="false">
      <c r="A1898" s="6" t="s">
        <v>9476</v>
      </c>
      <c r="B1898" s="6" t="s">
        <v>5074</v>
      </c>
      <c r="C1898" s="6" t="s">
        <v>4975</v>
      </c>
      <c r="D1898" s="6" t="s">
        <v>9253</v>
      </c>
      <c r="E1898" s="6" t="s">
        <v>9470</v>
      </c>
      <c r="F1898" s="6" t="s">
        <v>9477</v>
      </c>
      <c r="G1898" s="19" t="n">
        <v>23</v>
      </c>
      <c r="H1898" s="6" t="s">
        <v>5105</v>
      </c>
      <c r="I1898" s="6" t="s">
        <v>13</v>
      </c>
      <c r="J1898" s="6" t="s">
        <v>223</v>
      </c>
      <c r="K1898" s="6" t="s">
        <v>9478</v>
      </c>
      <c r="M1898" s="6"/>
    </row>
    <row r="1899" customFormat="false" ht="15" hidden="false" customHeight="false" outlineLevel="0" collapsed="false">
      <c r="A1899" s="6" t="s">
        <v>9479</v>
      </c>
      <c r="B1899" s="6" t="s">
        <v>5113</v>
      </c>
      <c r="C1899" s="6" t="s">
        <v>4975</v>
      </c>
      <c r="D1899" s="6" t="s">
        <v>9253</v>
      </c>
      <c r="E1899" s="6" t="s">
        <v>9470</v>
      </c>
      <c r="F1899" s="6" t="s">
        <v>9480</v>
      </c>
      <c r="G1899" s="19" t="n">
        <v>23</v>
      </c>
      <c r="H1899" s="6" t="s">
        <v>5105</v>
      </c>
      <c r="I1899" s="6" t="s">
        <v>13</v>
      </c>
      <c r="J1899" s="6" t="s">
        <v>228</v>
      </c>
      <c r="K1899" s="6" t="s">
        <v>9481</v>
      </c>
      <c r="M1899" s="6"/>
    </row>
    <row r="1900" customFormat="false" ht="15" hidden="false" customHeight="false" outlineLevel="0" collapsed="false">
      <c r="A1900" s="6" t="s">
        <v>9482</v>
      </c>
      <c r="B1900" s="6" t="s">
        <v>5079</v>
      </c>
      <c r="C1900" s="6" t="s">
        <v>4975</v>
      </c>
      <c r="D1900" s="6" t="s">
        <v>9253</v>
      </c>
      <c r="E1900" s="6" t="s">
        <v>9470</v>
      </c>
      <c r="F1900" s="6" t="s">
        <v>9483</v>
      </c>
      <c r="G1900" s="19" t="n">
        <v>23</v>
      </c>
      <c r="H1900" s="6" t="s">
        <v>5105</v>
      </c>
      <c r="I1900" s="6" t="s">
        <v>13</v>
      </c>
      <c r="J1900" s="6" t="s">
        <v>233</v>
      </c>
      <c r="K1900" s="6" t="s">
        <v>9484</v>
      </c>
      <c r="M1900" s="6"/>
    </row>
    <row r="1901" customFormat="false" ht="15" hidden="false" customHeight="false" outlineLevel="0" collapsed="false">
      <c r="A1901" s="6" t="s">
        <v>9485</v>
      </c>
      <c r="B1901" s="6" t="s">
        <v>6032</v>
      </c>
      <c r="C1901" s="6" t="s">
        <v>4975</v>
      </c>
      <c r="D1901" s="6" t="s">
        <v>9253</v>
      </c>
      <c r="E1901" s="6" t="s">
        <v>9486</v>
      </c>
      <c r="F1901" s="6" t="s">
        <v>9487</v>
      </c>
      <c r="G1901" s="9" t="n">
        <v>-91788</v>
      </c>
      <c r="H1901" s="6" t="s">
        <v>384</v>
      </c>
      <c r="I1901" s="6" t="s">
        <v>13</v>
      </c>
      <c r="J1901" s="6" t="s">
        <v>209</v>
      </c>
      <c r="K1901" s="6" t="s">
        <v>9383</v>
      </c>
      <c r="M1901" s="6"/>
    </row>
    <row r="1902" customFormat="false" ht="15" hidden="false" customHeight="false" outlineLevel="0" collapsed="false">
      <c r="A1902" s="6" t="s">
        <v>9488</v>
      </c>
      <c r="B1902" s="6" t="s">
        <v>5203</v>
      </c>
      <c r="C1902" s="6" t="s">
        <v>4975</v>
      </c>
      <c r="D1902" s="6" t="s">
        <v>9253</v>
      </c>
      <c r="E1902" s="6" t="s">
        <v>9486</v>
      </c>
      <c r="F1902" s="6" t="s">
        <v>9487</v>
      </c>
      <c r="G1902" s="9" t="n">
        <v>-152335</v>
      </c>
      <c r="H1902" s="6" t="s">
        <v>384</v>
      </c>
      <c r="I1902" s="6" t="s">
        <v>13</v>
      </c>
      <c r="J1902" s="6" t="s">
        <v>209</v>
      </c>
      <c r="K1902" s="6" t="s">
        <v>9383</v>
      </c>
      <c r="M1902" s="6"/>
    </row>
    <row r="1903" customFormat="false" ht="15" hidden="false" customHeight="false" outlineLevel="0" collapsed="false">
      <c r="A1903" s="6" t="s">
        <v>9489</v>
      </c>
      <c r="B1903" s="6" t="s">
        <v>5102</v>
      </c>
      <c r="C1903" s="6" t="s">
        <v>4975</v>
      </c>
      <c r="D1903" s="6" t="s">
        <v>9253</v>
      </c>
      <c r="E1903" s="6" t="s">
        <v>9486</v>
      </c>
      <c r="F1903" s="6" t="s">
        <v>9487</v>
      </c>
      <c r="G1903" s="9" t="n">
        <v>-132203</v>
      </c>
      <c r="H1903" s="6" t="s">
        <v>384</v>
      </c>
      <c r="I1903" s="6" t="s">
        <v>13</v>
      </c>
      <c r="J1903" s="6" t="s">
        <v>209</v>
      </c>
      <c r="K1903" s="6" t="s">
        <v>9383</v>
      </c>
      <c r="M1903" s="6"/>
    </row>
    <row r="1904" customFormat="false" ht="15" hidden="false" customHeight="false" outlineLevel="0" collapsed="false">
      <c r="A1904" s="6" t="s">
        <v>9490</v>
      </c>
      <c r="B1904" s="6" t="s">
        <v>5203</v>
      </c>
      <c r="C1904" s="6" t="s">
        <v>4975</v>
      </c>
      <c r="D1904" s="6" t="s">
        <v>9253</v>
      </c>
      <c r="E1904" s="6" t="s">
        <v>9491</v>
      </c>
      <c r="F1904" s="6" t="s">
        <v>9492</v>
      </c>
      <c r="G1904" s="9" t="n">
        <v>-152335</v>
      </c>
      <c r="H1904" s="6" t="s">
        <v>384</v>
      </c>
      <c r="I1904" s="6" t="s">
        <v>13</v>
      </c>
      <c r="J1904" s="6" t="s">
        <v>218</v>
      </c>
      <c r="K1904" s="6" t="s">
        <v>9397</v>
      </c>
      <c r="M1904" s="6"/>
    </row>
    <row r="1905" customFormat="false" ht="15" hidden="false" customHeight="false" outlineLevel="0" collapsed="false">
      <c r="A1905" s="6" t="s">
        <v>9493</v>
      </c>
      <c r="B1905" s="6" t="s">
        <v>5102</v>
      </c>
      <c r="C1905" s="6" t="s">
        <v>4975</v>
      </c>
      <c r="D1905" s="6" t="s">
        <v>9253</v>
      </c>
      <c r="E1905" s="6" t="s">
        <v>9491</v>
      </c>
      <c r="F1905" s="6" t="s">
        <v>9492</v>
      </c>
      <c r="G1905" s="9" t="n">
        <v>-132203</v>
      </c>
      <c r="H1905" s="6" t="s">
        <v>384</v>
      </c>
      <c r="I1905" s="6" t="s">
        <v>13</v>
      </c>
      <c r="J1905" s="6" t="s">
        <v>218</v>
      </c>
      <c r="K1905" s="6" t="s">
        <v>9397</v>
      </c>
      <c r="M1905" s="6"/>
    </row>
    <row r="1906" customFormat="false" ht="15" hidden="false" customHeight="false" outlineLevel="0" collapsed="false">
      <c r="A1906" s="6" t="s">
        <v>9494</v>
      </c>
      <c r="B1906" s="6" t="s">
        <v>5097</v>
      </c>
      <c r="C1906" s="6" t="s">
        <v>4975</v>
      </c>
      <c r="D1906" s="6" t="s">
        <v>9253</v>
      </c>
      <c r="E1906" s="6" t="s">
        <v>9491</v>
      </c>
      <c r="F1906" s="6" t="s">
        <v>9492</v>
      </c>
      <c r="G1906" s="9" t="n">
        <v>-142527</v>
      </c>
      <c r="H1906" s="6" t="s">
        <v>384</v>
      </c>
      <c r="I1906" s="6" t="s">
        <v>13</v>
      </c>
      <c r="J1906" s="6" t="s">
        <v>218</v>
      </c>
      <c r="K1906" s="6" t="s">
        <v>9397</v>
      </c>
      <c r="M1906" s="6"/>
    </row>
    <row r="1907" customFormat="false" ht="15" hidden="false" customHeight="false" outlineLevel="0" collapsed="false">
      <c r="A1907" s="6" t="s">
        <v>9495</v>
      </c>
      <c r="B1907" s="6" t="s">
        <v>5072</v>
      </c>
      <c r="C1907" s="6" t="s">
        <v>5050</v>
      </c>
      <c r="D1907" s="6" t="s">
        <v>9253</v>
      </c>
      <c r="E1907" s="6" t="s">
        <v>9496</v>
      </c>
      <c r="F1907" s="6" t="s">
        <v>9497</v>
      </c>
      <c r="G1907" s="9" t="n">
        <v>58682</v>
      </c>
      <c r="H1907" s="6" t="s">
        <v>384</v>
      </c>
      <c r="I1907" s="6" t="s">
        <v>13</v>
      </c>
      <c r="J1907" s="6" t="s">
        <v>233</v>
      </c>
      <c r="K1907" s="6" t="s">
        <v>9498</v>
      </c>
      <c r="M1907" s="6"/>
    </row>
    <row r="1908" customFormat="false" ht="15" hidden="false" customHeight="false" outlineLevel="0" collapsed="false">
      <c r="A1908" s="6" t="s">
        <v>9499</v>
      </c>
      <c r="B1908" s="6" t="s">
        <v>6987</v>
      </c>
      <c r="C1908" s="6" t="s">
        <v>6234</v>
      </c>
      <c r="D1908" s="6" t="s">
        <v>9253</v>
      </c>
      <c r="E1908" s="6" t="s">
        <v>9500</v>
      </c>
      <c r="F1908" s="6" t="s">
        <v>9501</v>
      </c>
      <c r="H1908" s="6" t="s">
        <v>7024</v>
      </c>
      <c r="I1908" s="6" t="s">
        <v>13</v>
      </c>
      <c r="J1908" s="6" t="s">
        <v>265</v>
      </c>
      <c r="K1908" s="6" t="s">
        <v>9502</v>
      </c>
      <c r="M1908" s="6" t="s">
        <v>9503</v>
      </c>
    </row>
    <row r="1909" customFormat="false" ht="15" hidden="false" customHeight="false" outlineLevel="0" collapsed="false">
      <c r="A1909" s="6" t="s">
        <v>9504</v>
      </c>
      <c r="B1909" s="6" t="s">
        <v>9505</v>
      </c>
      <c r="C1909" s="6" t="s">
        <v>5050</v>
      </c>
      <c r="D1909" s="6" t="s">
        <v>9253</v>
      </c>
      <c r="E1909" s="6" t="s">
        <v>9506</v>
      </c>
      <c r="F1909" s="6" t="s">
        <v>9507</v>
      </c>
      <c r="G1909" s="19" t="n">
        <v>15</v>
      </c>
      <c r="H1909" s="6" t="s">
        <v>5105</v>
      </c>
      <c r="I1909" s="6" t="s">
        <v>13</v>
      </c>
      <c r="J1909" s="6" t="s">
        <v>233</v>
      </c>
      <c r="K1909" s="6" t="s">
        <v>9508</v>
      </c>
      <c r="M1909" s="6" t="s">
        <v>9509</v>
      </c>
    </row>
    <row r="1910" customFormat="false" ht="15" hidden="false" customHeight="false" outlineLevel="0" collapsed="false">
      <c r="A1910" s="6" t="s">
        <v>9510</v>
      </c>
      <c r="B1910" s="6" t="s">
        <v>5079</v>
      </c>
      <c r="C1910" s="6" t="s">
        <v>4975</v>
      </c>
      <c r="D1910" s="6" t="s">
        <v>9253</v>
      </c>
      <c r="E1910" s="6" t="s">
        <v>9511</v>
      </c>
      <c r="F1910" s="6" t="s">
        <v>9512</v>
      </c>
      <c r="G1910" s="19" t="n">
        <v>12</v>
      </c>
      <c r="H1910" s="6" t="s">
        <v>5105</v>
      </c>
      <c r="I1910" s="6" t="s">
        <v>13</v>
      </c>
      <c r="J1910" s="6" t="s">
        <v>233</v>
      </c>
      <c r="K1910" s="6" t="s">
        <v>9513</v>
      </c>
      <c r="M1910" s="6" t="s">
        <v>9514</v>
      </c>
    </row>
    <row r="1911" customFormat="false" ht="15" hidden="false" customHeight="false" outlineLevel="0" collapsed="false">
      <c r="A1911" s="6" t="s">
        <v>9515</v>
      </c>
      <c r="B1911" s="6" t="s">
        <v>5102</v>
      </c>
      <c r="C1911" s="6" t="s">
        <v>4975</v>
      </c>
      <c r="D1911" s="6" t="s">
        <v>9253</v>
      </c>
      <c r="E1911" s="6" t="s">
        <v>9516</v>
      </c>
      <c r="F1911" s="6" t="s">
        <v>9517</v>
      </c>
      <c r="G1911" s="19" t="n">
        <v>12</v>
      </c>
      <c r="H1911" s="6" t="s">
        <v>5105</v>
      </c>
      <c r="I1911" s="6" t="s">
        <v>13</v>
      </c>
      <c r="J1911" s="6" t="s">
        <v>209</v>
      </c>
      <c r="K1911" s="6" t="s">
        <v>9518</v>
      </c>
      <c r="M1911" s="6" t="s">
        <v>9519</v>
      </c>
    </row>
    <row r="1912" customFormat="false" ht="15" hidden="false" customHeight="false" outlineLevel="0" collapsed="false">
      <c r="A1912" s="6" t="s">
        <v>9520</v>
      </c>
      <c r="B1912" s="6" t="s">
        <v>5097</v>
      </c>
      <c r="C1912" s="6" t="s">
        <v>4975</v>
      </c>
      <c r="D1912" s="6" t="s">
        <v>9253</v>
      </c>
      <c r="E1912" s="6" t="s">
        <v>9521</v>
      </c>
      <c r="F1912" s="6" t="s">
        <v>9522</v>
      </c>
      <c r="G1912" s="19" t="n">
        <v>12</v>
      </c>
      <c r="H1912" s="6" t="s">
        <v>5105</v>
      </c>
      <c r="I1912" s="6" t="s">
        <v>13</v>
      </c>
      <c r="J1912" s="6" t="s">
        <v>218</v>
      </c>
      <c r="K1912" s="6" t="s">
        <v>9523</v>
      </c>
      <c r="M1912" s="6" t="s">
        <v>9524</v>
      </c>
    </row>
    <row r="1913" customFormat="false" ht="15" hidden="false" customHeight="false" outlineLevel="0" collapsed="false">
      <c r="A1913" s="6" t="s">
        <v>9525</v>
      </c>
      <c r="B1913" s="6" t="s">
        <v>5074</v>
      </c>
      <c r="C1913" s="6" t="s">
        <v>4975</v>
      </c>
      <c r="D1913" s="6" t="s">
        <v>9253</v>
      </c>
      <c r="E1913" s="6" t="s">
        <v>9521</v>
      </c>
      <c r="F1913" s="6" t="s">
        <v>9526</v>
      </c>
      <c r="G1913" s="19" t="n">
        <v>12</v>
      </c>
      <c r="H1913" s="6" t="s">
        <v>5105</v>
      </c>
      <c r="I1913" s="6" t="s">
        <v>13</v>
      </c>
      <c r="J1913" s="6" t="s">
        <v>223</v>
      </c>
      <c r="K1913" s="6" t="s">
        <v>9527</v>
      </c>
      <c r="M1913" s="6" t="s">
        <v>9528</v>
      </c>
    </row>
    <row r="1914" customFormat="false" ht="15" hidden="false" customHeight="false" outlineLevel="0" collapsed="false">
      <c r="A1914" s="6" t="s">
        <v>9529</v>
      </c>
      <c r="B1914" s="6" t="s">
        <v>5113</v>
      </c>
      <c r="C1914" s="6" t="s">
        <v>4975</v>
      </c>
      <c r="D1914" s="6" t="s">
        <v>9253</v>
      </c>
      <c r="E1914" s="6" t="s">
        <v>9521</v>
      </c>
      <c r="F1914" s="6" t="s">
        <v>9530</v>
      </c>
      <c r="G1914" s="19" t="n">
        <v>12</v>
      </c>
      <c r="H1914" s="6" t="s">
        <v>5105</v>
      </c>
      <c r="I1914" s="6" t="s">
        <v>13</v>
      </c>
      <c r="J1914" s="6" t="s">
        <v>228</v>
      </c>
      <c r="K1914" s="6" t="s">
        <v>9531</v>
      </c>
      <c r="M1914" s="6" t="s">
        <v>9532</v>
      </c>
    </row>
    <row r="1915" customFormat="false" ht="15" hidden="false" customHeight="false" outlineLevel="0" collapsed="false">
      <c r="A1915" s="6" t="s">
        <v>9533</v>
      </c>
      <c r="B1915" s="6" t="s">
        <v>5203</v>
      </c>
      <c r="C1915" s="6" t="s">
        <v>4975</v>
      </c>
      <c r="D1915" s="6" t="s">
        <v>9253</v>
      </c>
      <c r="E1915" s="6" t="s">
        <v>9534</v>
      </c>
      <c r="F1915" s="6" t="s">
        <v>9535</v>
      </c>
      <c r="G1915" s="9" t="n">
        <v>16757</v>
      </c>
      <c r="H1915" s="6" t="s">
        <v>384</v>
      </c>
      <c r="I1915" s="6" t="s">
        <v>13</v>
      </c>
      <c r="J1915" s="6" t="s">
        <v>218</v>
      </c>
      <c r="K1915" s="6" t="s">
        <v>9269</v>
      </c>
      <c r="M1915" s="6"/>
    </row>
    <row r="1916" customFormat="false" ht="15" hidden="false" customHeight="false" outlineLevel="0" collapsed="false">
      <c r="A1916" s="6" t="s">
        <v>9536</v>
      </c>
      <c r="B1916" s="6" t="s">
        <v>5102</v>
      </c>
      <c r="C1916" s="6" t="s">
        <v>4975</v>
      </c>
      <c r="D1916" s="6" t="s">
        <v>9253</v>
      </c>
      <c r="E1916" s="6" t="s">
        <v>9534</v>
      </c>
      <c r="F1916" s="6" t="s">
        <v>9535</v>
      </c>
      <c r="G1916" s="9" t="n">
        <v>14460</v>
      </c>
      <c r="H1916" s="6" t="s">
        <v>384</v>
      </c>
      <c r="I1916" s="6" t="s">
        <v>13</v>
      </c>
      <c r="J1916" s="6" t="s">
        <v>218</v>
      </c>
      <c r="K1916" s="6" t="s">
        <v>9269</v>
      </c>
      <c r="M1916" s="6"/>
    </row>
    <row r="1917" customFormat="false" ht="15" hidden="false" customHeight="false" outlineLevel="0" collapsed="false">
      <c r="A1917" s="6" t="s">
        <v>9537</v>
      </c>
      <c r="B1917" s="6" t="s">
        <v>5097</v>
      </c>
      <c r="C1917" s="6" t="s">
        <v>4975</v>
      </c>
      <c r="D1917" s="6" t="s">
        <v>9253</v>
      </c>
      <c r="E1917" s="6" t="s">
        <v>9534</v>
      </c>
      <c r="F1917" s="6" t="s">
        <v>9535</v>
      </c>
      <c r="G1917" s="9" t="n">
        <v>15523</v>
      </c>
      <c r="H1917" s="6" t="s">
        <v>384</v>
      </c>
      <c r="I1917" s="6" t="s">
        <v>13</v>
      </c>
      <c r="J1917" s="6" t="s">
        <v>218</v>
      </c>
      <c r="K1917" s="6" t="s">
        <v>9269</v>
      </c>
      <c r="M1917" s="6"/>
    </row>
    <row r="1918" customFormat="false" ht="15" hidden="false" customHeight="false" outlineLevel="0" collapsed="false">
      <c r="A1918" s="6" t="s">
        <v>9538</v>
      </c>
      <c r="B1918" s="6" t="s">
        <v>5315</v>
      </c>
      <c r="C1918" s="6" t="s">
        <v>5316</v>
      </c>
      <c r="D1918" s="6" t="s">
        <v>9253</v>
      </c>
      <c r="E1918" s="6" t="s">
        <v>9539</v>
      </c>
      <c r="F1918" s="6" t="s">
        <v>9540</v>
      </c>
      <c r="G1918" s="9" t="n">
        <v>14075</v>
      </c>
      <c r="H1918" s="6" t="s">
        <v>384</v>
      </c>
      <c r="I1918" s="6" t="s">
        <v>13</v>
      </c>
      <c r="J1918" s="6" t="s">
        <v>238</v>
      </c>
      <c r="K1918" s="6" t="s">
        <v>6102</v>
      </c>
      <c r="M1918" s="6"/>
    </row>
    <row r="1919" customFormat="false" ht="15" hidden="false" customHeight="false" outlineLevel="0" collapsed="false">
      <c r="A1919" s="6" t="s">
        <v>9541</v>
      </c>
      <c r="B1919" s="6" t="s">
        <v>5320</v>
      </c>
      <c r="C1919" s="6" t="s">
        <v>5316</v>
      </c>
      <c r="D1919" s="6" t="s">
        <v>9253</v>
      </c>
      <c r="E1919" s="6" t="s">
        <v>9542</v>
      </c>
      <c r="F1919" s="6" t="s">
        <v>9543</v>
      </c>
      <c r="G1919" s="9" t="n">
        <v>-5072</v>
      </c>
      <c r="H1919" s="6" t="s">
        <v>384</v>
      </c>
      <c r="I1919" s="6" t="s">
        <v>13</v>
      </c>
      <c r="J1919" s="6" t="s">
        <v>253</v>
      </c>
      <c r="K1919" s="6" t="s">
        <v>6106</v>
      </c>
      <c r="M1919" s="6"/>
    </row>
    <row r="1920" customFormat="false" ht="15" hidden="false" customHeight="false" outlineLevel="0" collapsed="false">
      <c r="A1920" s="6" t="s">
        <v>9544</v>
      </c>
      <c r="B1920" s="6" t="s">
        <v>5102</v>
      </c>
      <c r="C1920" s="6" t="s">
        <v>4975</v>
      </c>
      <c r="D1920" s="6" t="s">
        <v>9253</v>
      </c>
      <c r="E1920" s="6" t="s">
        <v>9545</v>
      </c>
      <c r="F1920" s="6" t="s">
        <v>9546</v>
      </c>
      <c r="G1920" s="9" t="n">
        <v>10184</v>
      </c>
      <c r="H1920" s="6" t="s">
        <v>384</v>
      </c>
      <c r="I1920" s="6" t="s">
        <v>13</v>
      </c>
      <c r="J1920" s="6" t="s">
        <v>223</v>
      </c>
      <c r="K1920" s="6" t="s">
        <v>9276</v>
      </c>
      <c r="M1920" s="6"/>
    </row>
    <row r="1921" customFormat="false" ht="15" hidden="false" customHeight="false" outlineLevel="0" collapsed="false">
      <c r="A1921" s="6" t="s">
        <v>9547</v>
      </c>
      <c r="B1921" s="6" t="s">
        <v>5097</v>
      </c>
      <c r="C1921" s="6" t="s">
        <v>4975</v>
      </c>
      <c r="D1921" s="6" t="s">
        <v>9253</v>
      </c>
      <c r="E1921" s="6" t="s">
        <v>9545</v>
      </c>
      <c r="F1921" s="6" t="s">
        <v>9546</v>
      </c>
      <c r="G1921" s="9" t="n">
        <v>14806</v>
      </c>
      <c r="H1921" s="6" t="s">
        <v>384</v>
      </c>
      <c r="I1921" s="6" t="s">
        <v>13</v>
      </c>
      <c r="J1921" s="6" t="s">
        <v>223</v>
      </c>
      <c r="K1921" s="6" t="s">
        <v>9276</v>
      </c>
      <c r="M1921" s="6"/>
    </row>
    <row r="1922" customFormat="false" ht="15" hidden="false" customHeight="false" outlineLevel="0" collapsed="false">
      <c r="A1922" s="6" t="s">
        <v>9548</v>
      </c>
      <c r="B1922" s="6" t="s">
        <v>5074</v>
      </c>
      <c r="C1922" s="6" t="s">
        <v>4975</v>
      </c>
      <c r="D1922" s="6" t="s">
        <v>9253</v>
      </c>
      <c r="E1922" s="6" t="s">
        <v>9545</v>
      </c>
      <c r="F1922" s="6" t="s">
        <v>9546</v>
      </c>
      <c r="G1922" s="9" t="n">
        <v>11262</v>
      </c>
      <c r="H1922" s="6" t="s">
        <v>384</v>
      </c>
      <c r="I1922" s="6" t="s">
        <v>13</v>
      </c>
      <c r="J1922" s="6" t="s">
        <v>223</v>
      </c>
      <c r="K1922" s="6" t="s">
        <v>9276</v>
      </c>
      <c r="M1922" s="6"/>
    </row>
    <row r="1923" customFormat="false" ht="15" hidden="false" customHeight="false" outlineLevel="0" collapsed="false">
      <c r="A1923" s="6" t="s">
        <v>9549</v>
      </c>
      <c r="B1923" s="6" t="s">
        <v>5097</v>
      </c>
      <c r="C1923" s="6" t="s">
        <v>4975</v>
      </c>
      <c r="D1923" s="6" t="s">
        <v>9253</v>
      </c>
      <c r="E1923" s="6" t="s">
        <v>9550</v>
      </c>
      <c r="F1923" s="6" t="s">
        <v>9551</v>
      </c>
      <c r="G1923" s="9" t="n">
        <v>1431</v>
      </c>
      <c r="H1923" s="6" t="s">
        <v>384</v>
      </c>
      <c r="I1923" s="6" t="s">
        <v>13</v>
      </c>
      <c r="J1923" s="6" t="s">
        <v>228</v>
      </c>
      <c r="K1923" s="6" t="s">
        <v>9552</v>
      </c>
      <c r="M1923" s="6"/>
    </row>
    <row r="1924" customFormat="false" ht="15" hidden="false" customHeight="false" outlineLevel="0" collapsed="false">
      <c r="A1924" s="6" t="s">
        <v>9553</v>
      </c>
      <c r="B1924" s="6" t="s">
        <v>5074</v>
      </c>
      <c r="C1924" s="6" t="s">
        <v>4975</v>
      </c>
      <c r="D1924" s="6" t="s">
        <v>9253</v>
      </c>
      <c r="E1924" s="6" t="s">
        <v>9550</v>
      </c>
      <c r="F1924" s="6" t="s">
        <v>9551</v>
      </c>
      <c r="G1924" s="9" t="n">
        <v>3392</v>
      </c>
      <c r="H1924" s="6" t="s">
        <v>384</v>
      </c>
      <c r="I1924" s="6" t="s">
        <v>13</v>
      </c>
      <c r="J1924" s="6" t="s">
        <v>228</v>
      </c>
      <c r="K1924" s="6" t="s">
        <v>9552</v>
      </c>
      <c r="M1924" s="6"/>
    </row>
    <row r="1925" customFormat="false" ht="15" hidden="false" customHeight="false" outlineLevel="0" collapsed="false">
      <c r="A1925" s="6" t="s">
        <v>9554</v>
      </c>
      <c r="B1925" s="6" t="s">
        <v>5113</v>
      </c>
      <c r="C1925" s="6" t="s">
        <v>4975</v>
      </c>
      <c r="D1925" s="6" t="s">
        <v>9253</v>
      </c>
      <c r="E1925" s="6" t="s">
        <v>9550</v>
      </c>
      <c r="F1925" s="6" t="s">
        <v>9551</v>
      </c>
      <c r="G1925" s="9" t="n">
        <v>2486</v>
      </c>
      <c r="H1925" s="6" t="s">
        <v>384</v>
      </c>
      <c r="I1925" s="6" t="s">
        <v>13</v>
      </c>
      <c r="J1925" s="6" t="s">
        <v>228</v>
      </c>
      <c r="K1925" s="6" t="s">
        <v>9552</v>
      </c>
      <c r="M1925" s="6"/>
    </row>
    <row r="1926" customFormat="false" ht="15" hidden="false" customHeight="false" outlineLevel="0" collapsed="false">
      <c r="A1926" s="6" t="s">
        <v>9555</v>
      </c>
      <c r="B1926" s="6" t="s">
        <v>5102</v>
      </c>
      <c r="C1926" s="6" t="s">
        <v>4975</v>
      </c>
      <c r="D1926" s="6" t="s">
        <v>9253</v>
      </c>
      <c r="E1926" s="6" t="s">
        <v>9556</v>
      </c>
      <c r="F1926" s="6" t="s">
        <v>9557</v>
      </c>
      <c r="G1926" s="9" t="n">
        <v>-3069</v>
      </c>
      <c r="H1926" s="6" t="s">
        <v>384</v>
      </c>
      <c r="I1926" s="6" t="s">
        <v>13</v>
      </c>
      <c r="J1926" s="6" t="s">
        <v>209</v>
      </c>
      <c r="K1926" s="6" t="s">
        <v>9272</v>
      </c>
      <c r="M1926" s="6" t="s">
        <v>9558</v>
      </c>
    </row>
    <row r="1927" customFormat="false" ht="15" hidden="false" customHeight="false" outlineLevel="0" collapsed="false">
      <c r="A1927" s="6" t="s">
        <v>9559</v>
      </c>
      <c r="B1927" s="6" t="s">
        <v>5102</v>
      </c>
      <c r="C1927" s="6" t="s">
        <v>4975</v>
      </c>
      <c r="D1927" s="6" t="s">
        <v>9253</v>
      </c>
      <c r="E1927" s="6" t="s">
        <v>9556</v>
      </c>
      <c r="F1927" s="6" t="s">
        <v>9560</v>
      </c>
      <c r="G1927" s="9" t="n">
        <v>-3069</v>
      </c>
      <c r="H1927" s="6" t="s">
        <v>384</v>
      </c>
      <c r="I1927" s="6" t="s">
        <v>13</v>
      </c>
      <c r="J1927" s="6" t="s">
        <v>218</v>
      </c>
      <c r="K1927" s="6" t="s">
        <v>9269</v>
      </c>
      <c r="M1927" s="6"/>
    </row>
    <row r="1928" customFormat="false" ht="15" hidden="false" customHeight="false" outlineLevel="0" collapsed="false">
      <c r="A1928" s="6" t="s">
        <v>9561</v>
      </c>
      <c r="B1928" s="6" t="s">
        <v>5097</v>
      </c>
      <c r="C1928" s="6" t="s">
        <v>4975</v>
      </c>
      <c r="D1928" s="6" t="s">
        <v>9253</v>
      </c>
      <c r="E1928" s="6" t="s">
        <v>9556</v>
      </c>
      <c r="F1928" s="6" t="s">
        <v>9560</v>
      </c>
      <c r="G1928" s="9" t="n">
        <v>-1394</v>
      </c>
      <c r="H1928" s="6" t="s">
        <v>384</v>
      </c>
      <c r="I1928" s="6" t="s">
        <v>13</v>
      </c>
      <c r="J1928" s="6" t="s">
        <v>218</v>
      </c>
      <c r="K1928" s="6" t="s">
        <v>9269</v>
      </c>
      <c r="M1928" s="6" t="s">
        <v>9562</v>
      </c>
    </row>
    <row r="1929" customFormat="false" ht="15" hidden="false" customHeight="false" outlineLevel="0" collapsed="false">
      <c r="A1929" s="6" t="s">
        <v>9563</v>
      </c>
      <c r="B1929" s="6" t="s">
        <v>5097</v>
      </c>
      <c r="C1929" s="6" t="s">
        <v>4975</v>
      </c>
      <c r="D1929" s="6" t="s">
        <v>9253</v>
      </c>
      <c r="E1929" s="6" t="s">
        <v>9564</v>
      </c>
      <c r="F1929" s="6" t="s">
        <v>9565</v>
      </c>
      <c r="G1929" s="9" t="n">
        <v>3767</v>
      </c>
      <c r="H1929" s="6" t="s">
        <v>384</v>
      </c>
      <c r="I1929" s="6" t="s">
        <v>13</v>
      </c>
      <c r="J1929" s="6" t="s">
        <v>228</v>
      </c>
      <c r="K1929" s="6" t="s">
        <v>9321</v>
      </c>
      <c r="M1929" s="6"/>
    </row>
    <row r="1930" customFormat="false" ht="15" hidden="false" customHeight="false" outlineLevel="0" collapsed="false">
      <c r="A1930" s="6" t="s">
        <v>9566</v>
      </c>
      <c r="B1930" s="6" t="s">
        <v>5074</v>
      </c>
      <c r="C1930" s="6" t="s">
        <v>4975</v>
      </c>
      <c r="D1930" s="6" t="s">
        <v>9253</v>
      </c>
      <c r="E1930" s="6" t="s">
        <v>9564</v>
      </c>
      <c r="F1930" s="6" t="s">
        <v>9565</v>
      </c>
      <c r="G1930" s="9" t="n">
        <v>-1117</v>
      </c>
      <c r="H1930" s="6" t="s">
        <v>384</v>
      </c>
      <c r="I1930" s="6" t="s">
        <v>13</v>
      </c>
      <c r="J1930" s="6" t="s">
        <v>228</v>
      </c>
      <c r="K1930" s="6" t="s">
        <v>9321</v>
      </c>
      <c r="M1930" s="6"/>
    </row>
    <row r="1931" customFormat="false" ht="15" hidden="false" customHeight="false" outlineLevel="0" collapsed="false">
      <c r="A1931" s="6" t="s">
        <v>9567</v>
      </c>
      <c r="B1931" s="6" t="s">
        <v>5113</v>
      </c>
      <c r="C1931" s="6" t="s">
        <v>4975</v>
      </c>
      <c r="D1931" s="6" t="s">
        <v>9253</v>
      </c>
      <c r="E1931" s="6" t="s">
        <v>9564</v>
      </c>
      <c r="F1931" s="6" t="s">
        <v>9565</v>
      </c>
      <c r="G1931" s="9" t="n">
        <v>-12340</v>
      </c>
      <c r="H1931" s="6" t="s">
        <v>384</v>
      </c>
      <c r="I1931" s="6" t="s">
        <v>13</v>
      </c>
      <c r="J1931" s="6" t="s">
        <v>228</v>
      </c>
      <c r="K1931" s="6" t="s">
        <v>9321</v>
      </c>
      <c r="M1931" s="6"/>
    </row>
    <row r="1932" customFormat="false" ht="15" hidden="false" customHeight="false" outlineLevel="0" collapsed="false">
      <c r="A1932" s="6" t="s">
        <v>9568</v>
      </c>
      <c r="B1932" s="6" t="s">
        <v>5097</v>
      </c>
      <c r="C1932" s="6" t="s">
        <v>4975</v>
      </c>
      <c r="D1932" s="6" t="s">
        <v>9253</v>
      </c>
      <c r="E1932" s="6" t="s">
        <v>9569</v>
      </c>
      <c r="F1932" s="6" t="s">
        <v>9570</v>
      </c>
      <c r="G1932" s="19" t="n">
        <v>21</v>
      </c>
      <c r="H1932" s="6" t="s">
        <v>5105</v>
      </c>
      <c r="I1932" s="6" t="s">
        <v>13</v>
      </c>
      <c r="J1932" s="6" t="s">
        <v>218</v>
      </c>
      <c r="K1932" s="6" t="s">
        <v>9475</v>
      </c>
      <c r="M1932" s="6"/>
    </row>
    <row r="1933" customFormat="false" ht="15" hidden="false" customHeight="false" outlineLevel="0" collapsed="false">
      <c r="A1933" s="6" t="s">
        <v>9571</v>
      </c>
      <c r="B1933" s="6" t="s">
        <v>5074</v>
      </c>
      <c r="C1933" s="6" t="s">
        <v>4975</v>
      </c>
      <c r="D1933" s="6" t="s">
        <v>9253</v>
      </c>
      <c r="E1933" s="6" t="s">
        <v>9569</v>
      </c>
      <c r="F1933" s="6" t="s">
        <v>9570</v>
      </c>
      <c r="G1933" s="19" t="n">
        <v>21</v>
      </c>
      <c r="H1933" s="6" t="s">
        <v>5105</v>
      </c>
      <c r="I1933" s="6" t="s">
        <v>13</v>
      </c>
      <c r="J1933" s="6" t="s">
        <v>223</v>
      </c>
      <c r="K1933" s="6" t="s">
        <v>9478</v>
      </c>
      <c r="M1933" s="6"/>
    </row>
    <row r="1934" customFormat="false" ht="15" hidden="false" customHeight="false" outlineLevel="0" collapsed="false">
      <c r="A1934" s="6" t="s">
        <v>9572</v>
      </c>
      <c r="B1934" s="6" t="s">
        <v>5113</v>
      </c>
      <c r="C1934" s="6" t="s">
        <v>4975</v>
      </c>
      <c r="D1934" s="6" t="s">
        <v>9253</v>
      </c>
      <c r="E1934" s="6" t="s">
        <v>9569</v>
      </c>
      <c r="F1934" s="6" t="s">
        <v>9573</v>
      </c>
      <c r="G1934" s="19" t="n">
        <v>21</v>
      </c>
      <c r="H1934" s="6" t="s">
        <v>5105</v>
      </c>
      <c r="I1934" s="6" t="s">
        <v>13</v>
      </c>
      <c r="J1934" s="6" t="s">
        <v>228</v>
      </c>
      <c r="K1934" s="6" t="s">
        <v>9481</v>
      </c>
      <c r="M1934" s="6"/>
    </row>
    <row r="1935" customFormat="false" ht="15" hidden="false" customHeight="false" outlineLevel="0" collapsed="false">
      <c r="A1935" s="6" t="s">
        <v>9574</v>
      </c>
      <c r="B1935" s="6" t="s">
        <v>5468</v>
      </c>
      <c r="C1935" s="6" t="s">
        <v>5050</v>
      </c>
      <c r="D1935" s="6" t="s">
        <v>9253</v>
      </c>
      <c r="E1935" s="6" t="s">
        <v>9575</v>
      </c>
      <c r="F1935" s="6" t="s">
        <v>9576</v>
      </c>
      <c r="G1935" s="9" t="n">
        <v>-32104</v>
      </c>
      <c r="H1935" s="6" t="s">
        <v>384</v>
      </c>
      <c r="I1935" s="6" t="s">
        <v>13</v>
      </c>
      <c r="J1935" s="6" t="s">
        <v>209</v>
      </c>
      <c r="K1935" s="6" t="s">
        <v>9459</v>
      </c>
      <c r="M1935" s="6"/>
    </row>
    <row r="1936" customFormat="false" ht="15" hidden="false" customHeight="false" outlineLevel="0" collapsed="false">
      <c r="A1936" s="6" t="s">
        <v>9577</v>
      </c>
      <c r="B1936" s="6" t="s">
        <v>5049</v>
      </c>
      <c r="C1936" s="6" t="s">
        <v>5050</v>
      </c>
      <c r="D1936" s="6" t="s">
        <v>9253</v>
      </c>
      <c r="E1936" s="6" t="s">
        <v>9575</v>
      </c>
      <c r="F1936" s="6" t="s">
        <v>9576</v>
      </c>
      <c r="G1936" s="9" t="n">
        <v>-47143</v>
      </c>
      <c r="H1936" s="6" t="s">
        <v>384</v>
      </c>
      <c r="I1936" s="6" t="s">
        <v>13</v>
      </c>
      <c r="J1936" s="6" t="s">
        <v>209</v>
      </c>
      <c r="K1936" s="6" t="s">
        <v>9459</v>
      </c>
      <c r="M1936" s="6" t="s">
        <v>9578</v>
      </c>
    </row>
    <row r="1937" customFormat="false" ht="15" hidden="false" customHeight="false" outlineLevel="0" collapsed="false">
      <c r="A1937" s="6" t="s">
        <v>9579</v>
      </c>
      <c r="B1937" s="6" t="s">
        <v>5049</v>
      </c>
      <c r="C1937" s="6" t="s">
        <v>5050</v>
      </c>
      <c r="D1937" s="6" t="s">
        <v>9253</v>
      </c>
      <c r="E1937" s="6" t="s">
        <v>9575</v>
      </c>
      <c r="F1937" s="6" t="s">
        <v>9580</v>
      </c>
      <c r="G1937" s="9" t="n">
        <v>47072</v>
      </c>
      <c r="H1937" s="6" t="s">
        <v>384</v>
      </c>
      <c r="I1937" s="6" t="s">
        <v>13</v>
      </c>
      <c r="J1937" s="6" t="s">
        <v>218</v>
      </c>
      <c r="K1937" s="6" t="s">
        <v>9288</v>
      </c>
      <c r="M1937" s="6"/>
    </row>
    <row r="1938" customFormat="false" ht="15" hidden="false" customHeight="false" outlineLevel="0" collapsed="false">
      <c r="A1938" s="6" t="s">
        <v>9581</v>
      </c>
      <c r="B1938" s="6" t="s">
        <v>5057</v>
      </c>
      <c r="C1938" s="6" t="s">
        <v>5050</v>
      </c>
      <c r="D1938" s="6" t="s">
        <v>9253</v>
      </c>
      <c r="E1938" s="6" t="s">
        <v>9575</v>
      </c>
      <c r="F1938" s="6" t="s">
        <v>9580</v>
      </c>
      <c r="G1938" s="9" t="n">
        <v>55561</v>
      </c>
      <c r="H1938" s="6" t="s">
        <v>384</v>
      </c>
      <c r="I1938" s="6" t="s">
        <v>13</v>
      </c>
      <c r="J1938" s="6" t="s">
        <v>218</v>
      </c>
      <c r="K1938" s="6" t="s">
        <v>9288</v>
      </c>
      <c r="M1938" s="6"/>
    </row>
    <row r="1939" customFormat="false" ht="15" hidden="false" customHeight="false" outlineLevel="0" collapsed="false">
      <c r="A1939" s="6" t="s">
        <v>9582</v>
      </c>
      <c r="B1939" s="6" t="s">
        <v>5057</v>
      </c>
      <c r="C1939" s="6" t="s">
        <v>5050</v>
      </c>
      <c r="D1939" s="6" t="s">
        <v>9253</v>
      </c>
      <c r="E1939" s="6" t="s">
        <v>9575</v>
      </c>
      <c r="F1939" s="6" t="s">
        <v>9583</v>
      </c>
      <c r="G1939" s="9" t="n">
        <v>-55561</v>
      </c>
      <c r="H1939" s="6" t="s">
        <v>384</v>
      </c>
      <c r="I1939" s="6" t="s">
        <v>13</v>
      </c>
      <c r="J1939" s="6" t="s">
        <v>223</v>
      </c>
      <c r="K1939" s="6" t="s">
        <v>9350</v>
      </c>
      <c r="M1939" s="6"/>
    </row>
    <row r="1940" customFormat="false" ht="15" hidden="false" customHeight="false" outlineLevel="0" collapsed="false">
      <c r="A1940" s="6" t="s">
        <v>9584</v>
      </c>
      <c r="B1940" s="6" t="s">
        <v>5062</v>
      </c>
      <c r="C1940" s="6" t="s">
        <v>5050</v>
      </c>
      <c r="D1940" s="6" t="s">
        <v>9253</v>
      </c>
      <c r="E1940" s="6" t="s">
        <v>9575</v>
      </c>
      <c r="F1940" s="6" t="s">
        <v>9583</v>
      </c>
      <c r="G1940" s="9" t="n">
        <v>-48430</v>
      </c>
      <c r="H1940" s="6" t="s">
        <v>384</v>
      </c>
      <c r="I1940" s="6" t="s">
        <v>13</v>
      </c>
      <c r="J1940" s="6" t="s">
        <v>223</v>
      </c>
      <c r="K1940" s="6" t="s">
        <v>9350</v>
      </c>
      <c r="M1940" s="6" t="s">
        <v>9578</v>
      </c>
    </row>
    <row r="1941" customFormat="false" ht="15" hidden="false" customHeight="false" outlineLevel="0" collapsed="false">
      <c r="A1941" s="6" t="s">
        <v>9585</v>
      </c>
      <c r="B1941" s="6" t="s">
        <v>5062</v>
      </c>
      <c r="C1941" s="6" t="s">
        <v>5050</v>
      </c>
      <c r="D1941" s="6" t="s">
        <v>9253</v>
      </c>
      <c r="E1941" s="6" t="s">
        <v>9586</v>
      </c>
      <c r="F1941" s="6" t="s">
        <v>9587</v>
      </c>
      <c r="G1941" s="9" t="n">
        <v>-62719</v>
      </c>
      <c r="H1941" s="6" t="s">
        <v>384</v>
      </c>
      <c r="I1941" s="6" t="s">
        <v>13</v>
      </c>
      <c r="J1941" s="6" t="s">
        <v>228</v>
      </c>
      <c r="K1941" s="6" t="s">
        <v>9291</v>
      </c>
      <c r="M1941" s="6" t="s">
        <v>9588</v>
      </c>
    </row>
    <row r="1942" customFormat="false" ht="15" hidden="false" customHeight="false" outlineLevel="0" collapsed="false">
      <c r="A1942" s="6" t="s">
        <v>9589</v>
      </c>
      <c r="B1942" s="6" t="s">
        <v>5067</v>
      </c>
      <c r="C1942" s="6" t="s">
        <v>5050</v>
      </c>
      <c r="D1942" s="6" t="s">
        <v>9253</v>
      </c>
      <c r="E1942" s="6" t="s">
        <v>9586</v>
      </c>
      <c r="F1942" s="6" t="s">
        <v>9587</v>
      </c>
      <c r="G1942" s="9" t="n">
        <v>-62227</v>
      </c>
      <c r="H1942" s="6" t="s">
        <v>384</v>
      </c>
      <c r="I1942" s="6" t="s">
        <v>13</v>
      </c>
      <c r="J1942" s="6" t="s">
        <v>228</v>
      </c>
      <c r="K1942" s="6" t="s">
        <v>9291</v>
      </c>
      <c r="M1942" s="6" t="s">
        <v>9588</v>
      </c>
    </row>
    <row r="1943" customFormat="false" ht="15" hidden="false" customHeight="false" outlineLevel="0" collapsed="false">
      <c r="A1943" s="6" t="s">
        <v>9590</v>
      </c>
      <c r="B1943" s="6" t="s">
        <v>5067</v>
      </c>
      <c r="C1943" s="6" t="s">
        <v>5050</v>
      </c>
      <c r="D1943" s="6" t="s">
        <v>9253</v>
      </c>
      <c r="E1943" s="6" t="s">
        <v>9586</v>
      </c>
      <c r="F1943" s="6" t="s">
        <v>9591</v>
      </c>
      <c r="G1943" s="9" t="n">
        <v>-62227</v>
      </c>
      <c r="H1943" s="6" t="s">
        <v>384</v>
      </c>
      <c r="I1943" s="6" t="s">
        <v>13</v>
      </c>
      <c r="J1943" s="6" t="s">
        <v>233</v>
      </c>
      <c r="K1943" s="6" t="s">
        <v>9498</v>
      </c>
      <c r="M1943" s="6"/>
    </row>
    <row r="1944" customFormat="false" ht="15" hidden="false" customHeight="false" outlineLevel="0" collapsed="false">
      <c r="A1944" s="6" t="s">
        <v>9592</v>
      </c>
      <c r="B1944" s="6" t="s">
        <v>5072</v>
      </c>
      <c r="C1944" s="6" t="s">
        <v>5050</v>
      </c>
      <c r="D1944" s="6" t="s">
        <v>9253</v>
      </c>
      <c r="E1944" s="6" t="s">
        <v>9586</v>
      </c>
      <c r="F1944" s="6" t="s">
        <v>9591</v>
      </c>
      <c r="G1944" s="9" t="n">
        <v>0</v>
      </c>
      <c r="H1944" s="6" t="s">
        <v>384</v>
      </c>
      <c r="I1944" s="6" t="s">
        <v>13</v>
      </c>
      <c r="J1944" s="6" t="s">
        <v>233</v>
      </c>
      <c r="K1944" s="6" t="s">
        <v>9498</v>
      </c>
      <c r="M1944" s="6"/>
    </row>
    <row r="1945" customFormat="false" ht="15" hidden="false" customHeight="false" outlineLevel="0" collapsed="false">
      <c r="A1945" s="6" t="s">
        <v>9593</v>
      </c>
      <c r="B1945" s="6" t="s">
        <v>9594</v>
      </c>
      <c r="C1945" s="6" t="s">
        <v>6234</v>
      </c>
      <c r="D1945" s="6" t="s">
        <v>9253</v>
      </c>
      <c r="E1945" s="6" t="s">
        <v>9595</v>
      </c>
      <c r="F1945" s="6" t="s">
        <v>9596</v>
      </c>
      <c r="H1945" s="6" t="s">
        <v>7024</v>
      </c>
      <c r="I1945" s="6" t="s">
        <v>13</v>
      </c>
      <c r="J1945" s="6" t="s">
        <v>265</v>
      </c>
      <c r="K1945" s="6" t="s">
        <v>9597</v>
      </c>
      <c r="M1945" s="6" t="s">
        <v>9598</v>
      </c>
    </row>
    <row r="1946" customFormat="false" ht="15" hidden="false" customHeight="false" outlineLevel="0" collapsed="false">
      <c r="A1946" s="6" t="s">
        <v>9599</v>
      </c>
      <c r="B1946" s="6" t="s">
        <v>5102</v>
      </c>
      <c r="C1946" s="6" t="s">
        <v>4975</v>
      </c>
      <c r="D1946" s="6" t="s">
        <v>9600</v>
      </c>
      <c r="E1946" s="6" t="s">
        <v>9601</v>
      </c>
      <c r="F1946" s="6" t="s">
        <v>9602</v>
      </c>
      <c r="G1946" s="19" t="n">
        <v>1</v>
      </c>
      <c r="H1946" s="6" t="s">
        <v>5105</v>
      </c>
      <c r="I1946" s="6" t="s">
        <v>13</v>
      </c>
      <c r="J1946" s="6" t="s">
        <v>209</v>
      </c>
      <c r="K1946" s="6" t="s">
        <v>9603</v>
      </c>
      <c r="M1946" s="6"/>
    </row>
    <row r="1947" customFormat="false" ht="15" hidden="false" customHeight="false" outlineLevel="0" collapsed="false">
      <c r="A1947" s="6" t="s">
        <v>9604</v>
      </c>
      <c r="B1947" s="6" t="s">
        <v>9605</v>
      </c>
      <c r="C1947" s="6" t="s">
        <v>4975</v>
      </c>
      <c r="D1947" s="6" t="s">
        <v>9600</v>
      </c>
      <c r="E1947" s="6" t="s">
        <v>9601</v>
      </c>
      <c r="F1947" s="6" t="s">
        <v>9602</v>
      </c>
      <c r="G1947" s="19" t="n">
        <v>1</v>
      </c>
      <c r="H1947" s="6" t="s">
        <v>5105</v>
      </c>
      <c r="I1947" s="6" t="s">
        <v>13</v>
      </c>
      <c r="J1947" s="6" t="s">
        <v>218</v>
      </c>
      <c r="K1947" s="6" t="s">
        <v>9606</v>
      </c>
      <c r="M1947" s="6"/>
    </row>
    <row r="1948" customFormat="false" ht="15" hidden="false" customHeight="false" outlineLevel="0" collapsed="false">
      <c r="A1948" s="6" t="s">
        <v>9607</v>
      </c>
      <c r="B1948" s="6" t="s">
        <v>5079</v>
      </c>
      <c r="C1948" s="6" t="s">
        <v>4975</v>
      </c>
      <c r="D1948" s="6" t="s">
        <v>9600</v>
      </c>
      <c r="E1948" s="6" t="s">
        <v>9608</v>
      </c>
      <c r="F1948" s="6" t="s">
        <v>9609</v>
      </c>
      <c r="G1948" s="19" t="n">
        <v>1</v>
      </c>
      <c r="H1948" s="6" t="s">
        <v>5105</v>
      </c>
      <c r="I1948" s="6" t="s">
        <v>13</v>
      </c>
      <c r="J1948" s="6" t="s">
        <v>228</v>
      </c>
      <c r="K1948" s="6" t="s">
        <v>9610</v>
      </c>
      <c r="M1948" s="6" t="s">
        <v>9611</v>
      </c>
    </row>
    <row r="1949" customFormat="false" ht="15" hidden="false" customHeight="false" outlineLevel="0" collapsed="false">
      <c r="A1949" s="6" t="s">
        <v>9612</v>
      </c>
      <c r="B1949" s="6" t="s">
        <v>7838</v>
      </c>
      <c r="C1949" s="6" t="s">
        <v>5050</v>
      </c>
      <c r="D1949" s="6" t="s">
        <v>9600</v>
      </c>
      <c r="E1949" s="6" t="s">
        <v>9613</v>
      </c>
      <c r="F1949" s="6" t="s">
        <v>9614</v>
      </c>
      <c r="G1949" s="19" t="n">
        <v>1</v>
      </c>
      <c r="H1949" s="6" t="s">
        <v>5105</v>
      </c>
      <c r="I1949" s="6" t="s">
        <v>13</v>
      </c>
      <c r="J1949" s="6" t="s">
        <v>233</v>
      </c>
      <c r="K1949" s="6" t="s">
        <v>9615</v>
      </c>
      <c r="M1949" s="6" t="s">
        <v>9616</v>
      </c>
    </row>
    <row r="1950" customFormat="false" ht="15" hidden="false" customHeight="false" outlineLevel="0" collapsed="false">
      <c r="A1950" s="6" t="s">
        <v>9617</v>
      </c>
      <c r="B1950" s="6" t="s">
        <v>5113</v>
      </c>
      <c r="C1950" s="6" t="s">
        <v>4975</v>
      </c>
      <c r="D1950" s="6" t="s">
        <v>9600</v>
      </c>
      <c r="E1950" s="6" t="s">
        <v>9618</v>
      </c>
      <c r="F1950" s="6" t="s">
        <v>9619</v>
      </c>
      <c r="G1950" s="9" t="n">
        <v>6300</v>
      </c>
      <c r="H1950" s="6" t="s">
        <v>384</v>
      </c>
      <c r="I1950" s="6" t="s">
        <v>13</v>
      </c>
      <c r="J1950" s="6" t="s">
        <v>228</v>
      </c>
      <c r="K1950" s="6" t="s">
        <v>9620</v>
      </c>
      <c r="M1950" s="6" t="s">
        <v>9621</v>
      </c>
    </row>
    <row r="1951" customFormat="false" ht="15" hidden="false" customHeight="false" outlineLevel="0" collapsed="false">
      <c r="A1951" s="6" t="s">
        <v>9622</v>
      </c>
      <c r="B1951" s="6" t="s">
        <v>5113</v>
      </c>
      <c r="C1951" s="6" t="s">
        <v>4975</v>
      </c>
      <c r="D1951" s="6" t="s">
        <v>9600</v>
      </c>
      <c r="E1951" s="6" t="s">
        <v>9623</v>
      </c>
      <c r="F1951" s="6" t="s">
        <v>9624</v>
      </c>
      <c r="G1951" s="9" t="n">
        <v>6300</v>
      </c>
      <c r="H1951" s="6" t="s">
        <v>384</v>
      </c>
      <c r="I1951" s="6" t="s">
        <v>13</v>
      </c>
      <c r="J1951" s="6" t="s">
        <v>233</v>
      </c>
      <c r="K1951" s="6" t="s">
        <v>9625</v>
      </c>
      <c r="M1951" s="6"/>
    </row>
    <row r="1952" customFormat="false" ht="15" hidden="false" customHeight="false" outlineLevel="0" collapsed="false">
      <c r="A1952" s="6" t="s">
        <v>9626</v>
      </c>
      <c r="B1952" s="6" t="s">
        <v>5049</v>
      </c>
      <c r="C1952" s="6" t="s">
        <v>5050</v>
      </c>
      <c r="D1952" s="6" t="s">
        <v>9600</v>
      </c>
      <c r="E1952" s="6" t="s">
        <v>8165</v>
      </c>
      <c r="F1952" s="6" t="s">
        <v>9627</v>
      </c>
      <c r="G1952" s="13" t="n">
        <v>6.3</v>
      </c>
      <c r="H1952" s="6" t="s">
        <v>3751</v>
      </c>
      <c r="I1952" s="6" t="s">
        <v>13</v>
      </c>
      <c r="J1952" s="6" t="s">
        <v>209</v>
      </c>
      <c r="K1952" s="6" t="s">
        <v>8170</v>
      </c>
      <c r="M1952" s="6" t="s">
        <v>9628</v>
      </c>
    </row>
    <row r="1953" customFormat="false" ht="15" hidden="false" customHeight="false" outlineLevel="0" collapsed="false">
      <c r="A1953" s="6" t="s">
        <v>9629</v>
      </c>
      <c r="B1953" s="6" t="s">
        <v>5057</v>
      </c>
      <c r="C1953" s="6" t="s">
        <v>5050</v>
      </c>
      <c r="D1953" s="6" t="s">
        <v>9600</v>
      </c>
      <c r="E1953" s="6" t="s">
        <v>8165</v>
      </c>
      <c r="F1953" s="6" t="s">
        <v>9630</v>
      </c>
      <c r="G1953" s="13" t="n">
        <v>6.3</v>
      </c>
      <c r="H1953" s="6" t="s">
        <v>3751</v>
      </c>
      <c r="I1953" s="6" t="s">
        <v>13</v>
      </c>
      <c r="J1953" s="6" t="s">
        <v>218</v>
      </c>
      <c r="K1953" s="6" t="s">
        <v>6080</v>
      </c>
      <c r="M1953" s="6"/>
    </row>
    <row r="1954" customFormat="false" ht="15" hidden="false" customHeight="false" outlineLevel="0" collapsed="false">
      <c r="A1954" s="6" t="s">
        <v>9631</v>
      </c>
      <c r="B1954" s="6" t="s">
        <v>5113</v>
      </c>
      <c r="C1954" s="6" t="s">
        <v>4975</v>
      </c>
      <c r="D1954" s="6" t="s">
        <v>9600</v>
      </c>
      <c r="E1954" s="6" t="s">
        <v>9632</v>
      </c>
      <c r="F1954" s="6" t="s">
        <v>9633</v>
      </c>
      <c r="G1954" s="9" t="n">
        <v>24208</v>
      </c>
      <c r="H1954" s="6" t="s">
        <v>384</v>
      </c>
      <c r="I1954" s="6" t="s">
        <v>13</v>
      </c>
      <c r="J1954" s="6" t="s">
        <v>233</v>
      </c>
      <c r="K1954" s="6" t="s">
        <v>5719</v>
      </c>
      <c r="M1954" s="6" t="s">
        <v>9634</v>
      </c>
    </row>
    <row r="1955" customFormat="false" ht="15" hidden="false" customHeight="false" outlineLevel="0" collapsed="false">
      <c r="A1955" s="6" t="s">
        <v>9635</v>
      </c>
      <c r="B1955" s="6" t="s">
        <v>5079</v>
      </c>
      <c r="C1955" s="6" t="s">
        <v>4975</v>
      </c>
      <c r="D1955" s="6" t="s">
        <v>9600</v>
      </c>
      <c r="E1955" s="6" t="s">
        <v>9632</v>
      </c>
      <c r="F1955" s="6" t="s">
        <v>9633</v>
      </c>
      <c r="G1955" s="9" t="n">
        <v>0</v>
      </c>
      <c r="H1955" s="6" t="s">
        <v>384</v>
      </c>
      <c r="I1955" s="6" t="s">
        <v>13</v>
      </c>
      <c r="J1955" s="6" t="s">
        <v>233</v>
      </c>
      <c r="K1955" s="6" t="s">
        <v>5719</v>
      </c>
      <c r="M1955" s="6" t="s">
        <v>9636</v>
      </c>
    </row>
    <row r="1956" customFormat="false" ht="15" hidden="false" customHeight="false" outlineLevel="0" collapsed="false">
      <c r="A1956" s="6" t="s">
        <v>9637</v>
      </c>
      <c r="B1956" s="6" t="s">
        <v>5067</v>
      </c>
      <c r="C1956" s="6" t="s">
        <v>5050</v>
      </c>
      <c r="D1956" s="6" t="s">
        <v>9600</v>
      </c>
      <c r="E1956" s="6" t="s">
        <v>9638</v>
      </c>
      <c r="F1956" s="6" t="s">
        <v>9639</v>
      </c>
      <c r="G1956" s="19" t="n">
        <v>14</v>
      </c>
      <c r="H1956" s="6" t="s">
        <v>5105</v>
      </c>
      <c r="I1956" s="6" t="s">
        <v>13</v>
      </c>
      <c r="J1956" s="6" t="s">
        <v>228</v>
      </c>
      <c r="K1956" s="6" t="s">
        <v>9620</v>
      </c>
      <c r="M1956" s="6" t="s">
        <v>9640</v>
      </c>
    </row>
    <row r="1957" customFormat="false" ht="15" hidden="false" customHeight="false" outlineLevel="0" collapsed="false">
      <c r="A1957" s="6" t="s">
        <v>9641</v>
      </c>
      <c r="B1957" s="6" t="s">
        <v>5097</v>
      </c>
      <c r="C1957" s="6" t="s">
        <v>4975</v>
      </c>
      <c r="D1957" s="6" t="s">
        <v>9600</v>
      </c>
      <c r="E1957" s="6" t="s">
        <v>9642</v>
      </c>
      <c r="F1957" s="6" t="s">
        <v>9643</v>
      </c>
      <c r="G1957" s="19" t="n">
        <v>750</v>
      </c>
      <c r="H1957" s="6" t="s">
        <v>5122</v>
      </c>
      <c r="I1957" s="6" t="s">
        <v>13</v>
      </c>
      <c r="J1957" s="6" t="s">
        <v>218</v>
      </c>
      <c r="K1957" s="6" t="s">
        <v>9644</v>
      </c>
      <c r="M1957" s="6" t="s">
        <v>9645</v>
      </c>
    </row>
    <row r="1958" customFormat="false" ht="15" hidden="false" customHeight="false" outlineLevel="0" collapsed="false">
      <c r="A1958" s="6" t="s">
        <v>9646</v>
      </c>
      <c r="B1958" s="6" t="s">
        <v>5097</v>
      </c>
      <c r="C1958" s="6" t="s">
        <v>4975</v>
      </c>
      <c r="D1958" s="6" t="s">
        <v>9600</v>
      </c>
      <c r="E1958" s="6" t="s">
        <v>9647</v>
      </c>
      <c r="F1958" s="6" t="s">
        <v>9648</v>
      </c>
      <c r="G1958" s="19" t="n">
        <v>1710</v>
      </c>
      <c r="H1958" s="6" t="s">
        <v>5122</v>
      </c>
      <c r="I1958" s="6" t="s">
        <v>13</v>
      </c>
      <c r="J1958" s="6" t="s">
        <v>218</v>
      </c>
      <c r="K1958" s="6" t="s">
        <v>9644</v>
      </c>
      <c r="M1958" s="6"/>
    </row>
    <row r="1959" customFormat="false" ht="15" hidden="false" customHeight="false" outlineLevel="0" collapsed="false">
      <c r="A1959" s="6" t="s">
        <v>9649</v>
      </c>
      <c r="B1959" s="6" t="s">
        <v>5097</v>
      </c>
      <c r="C1959" s="6" t="s">
        <v>4975</v>
      </c>
      <c r="D1959" s="6" t="s">
        <v>9600</v>
      </c>
      <c r="E1959" s="6" t="s">
        <v>9650</v>
      </c>
      <c r="F1959" s="6" t="s">
        <v>9651</v>
      </c>
      <c r="G1959" s="9" t="n">
        <v>820</v>
      </c>
      <c r="H1959" s="6" t="s">
        <v>384</v>
      </c>
      <c r="I1959" s="6" t="s">
        <v>13</v>
      </c>
      <c r="J1959" s="6" t="s">
        <v>218</v>
      </c>
      <c r="K1959" s="6" t="s">
        <v>9644</v>
      </c>
      <c r="M1959" s="6"/>
    </row>
    <row r="1960" customFormat="false" ht="15" hidden="false" customHeight="false" outlineLevel="0" collapsed="false">
      <c r="A1960" s="6" t="s">
        <v>9652</v>
      </c>
      <c r="B1960" s="6" t="s">
        <v>7336</v>
      </c>
      <c r="C1960" s="6" t="s">
        <v>5050</v>
      </c>
      <c r="D1960" s="6" t="s">
        <v>9600</v>
      </c>
      <c r="E1960" s="6" t="s">
        <v>9653</v>
      </c>
      <c r="F1960" s="6" t="s">
        <v>9654</v>
      </c>
      <c r="G1960" s="19" t="n">
        <v>10</v>
      </c>
      <c r="H1960" s="6" t="s">
        <v>9655</v>
      </c>
      <c r="I1960" s="6" t="s">
        <v>13</v>
      </c>
      <c r="J1960" s="6" t="s">
        <v>223</v>
      </c>
      <c r="K1960" s="6" t="s">
        <v>9656</v>
      </c>
      <c r="M1960" s="6"/>
    </row>
    <row r="1961" customFormat="false" ht="15" hidden="false" customHeight="false" outlineLevel="0" collapsed="false">
      <c r="A1961" s="6" t="s">
        <v>9657</v>
      </c>
      <c r="B1961" s="6" t="s">
        <v>7336</v>
      </c>
      <c r="C1961" s="6" t="s">
        <v>5050</v>
      </c>
      <c r="D1961" s="6" t="s">
        <v>9600</v>
      </c>
      <c r="E1961" s="6" t="s">
        <v>9658</v>
      </c>
      <c r="F1961" s="6" t="s">
        <v>9659</v>
      </c>
      <c r="G1961" s="19" t="n">
        <v>2</v>
      </c>
      <c r="H1961" s="6" t="s">
        <v>9655</v>
      </c>
      <c r="I1961" s="6" t="s">
        <v>13</v>
      </c>
      <c r="J1961" s="6" t="s">
        <v>223</v>
      </c>
      <c r="K1961" s="6" t="s">
        <v>9656</v>
      </c>
      <c r="M1961" s="6"/>
    </row>
    <row r="1962" customFormat="false" ht="15" hidden="false" customHeight="false" outlineLevel="0" collapsed="false">
      <c r="A1962" s="6" t="s">
        <v>9660</v>
      </c>
      <c r="B1962" s="6" t="s">
        <v>7336</v>
      </c>
      <c r="C1962" s="6" t="s">
        <v>5050</v>
      </c>
      <c r="D1962" s="6" t="s">
        <v>9600</v>
      </c>
      <c r="E1962" s="6" t="s">
        <v>9661</v>
      </c>
      <c r="F1962" s="6" t="s">
        <v>9662</v>
      </c>
      <c r="G1962" s="19" t="n">
        <v>8</v>
      </c>
      <c r="H1962" s="6" t="s">
        <v>9655</v>
      </c>
      <c r="I1962" s="6" t="s">
        <v>13</v>
      </c>
      <c r="J1962" s="6" t="s">
        <v>223</v>
      </c>
      <c r="K1962" s="6" t="s">
        <v>9656</v>
      </c>
      <c r="M1962" s="6"/>
    </row>
    <row r="1963" customFormat="false" ht="15" hidden="false" customHeight="false" outlineLevel="0" collapsed="false">
      <c r="A1963" s="6" t="s">
        <v>9663</v>
      </c>
      <c r="B1963" s="6" t="s">
        <v>5113</v>
      </c>
      <c r="C1963" s="6" t="s">
        <v>4975</v>
      </c>
      <c r="D1963" s="6" t="s">
        <v>9600</v>
      </c>
      <c r="E1963" s="6" t="s">
        <v>9664</v>
      </c>
      <c r="F1963" s="6" t="s">
        <v>9665</v>
      </c>
      <c r="G1963" s="19" t="n">
        <v>1</v>
      </c>
      <c r="H1963" s="6" t="s">
        <v>9666</v>
      </c>
      <c r="I1963" s="6" t="s">
        <v>13</v>
      </c>
      <c r="J1963" s="6" t="s">
        <v>228</v>
      </c>
      <c r="K1963" s="6" t="s">
        <v>9610</v>
      </c>
      <c r="M1963" s="6" t="s">
        <v>9667</v>
      </c>
    </row>
    <row r="1964" customFormat="false" ht="15" hidden="false" customHeight="false" outlineLevel="0" collapsed="false">
      <c r="A1964" s="6" t="s">
        <v>9668</v>
      </c>
      <c r="B1964" s="6" t="s">
        <v>5102</v>
      </c>
      <c r="C1964" s="6" t="s">
        <v>5050</v>
      </c>
      <c r="D1964" s="6" t="s">
        <v>9600</v>
      </c>
      <c r="E1964" s="6" t="s">
        <v>9669</v>
      </c>
      <c r="F1964" s="6" t="s">
        <v>9670</v>
      </c>
      <c r="G1964" s="19" t="n">
        <v>100000</v>
      </c>
      <c r="H1964" s="6" t="s">
        <v>6295</v>
      </c>
      <c r="I1964" s="6" t="s">
        <v>13</v>
      </c>
      <c r="J1964" s="6" t="s">
        <v>209</v>
      </c>
      <c r="K1964" s="6" t="s">
        <v>9671</v>
      </c>
      <c r="M1964" s="6"/>
    </row>
    <row r="1965" customFormat="false" ht="15" hidden="false" customHeight="false" outlineLevel="0" collapsed="false">
      <c r="A1965" s="6" t="s">
        <v>9672</v>
      </c>
      <c r="B1965" s="6" t="s">
        <v>9605</v>
      </c>
      <c r="C1965" s="6" t="s">
        <v>5050</v>
      </c>
      <c r="D1965" s="6" t="s">
        <v>9600</v>
      </c>
      <c r="E1965" s="6" t="s">
        <v>9669</v>
      </c>
      <c r="F1965" s="6" t="s">
        <v>9673</v>
      </c>
      <c r="G1965" s="19" t="n">
        <v>100000</v>
      </c>
      <c r="H1965" s="6" t="s">
        <v>6295</v>
      </c>
      <c r="I1965" s="6" t="s">
        <v>13</v>
      </c>
      <c r="J1965" s="6" t="s">
        <v>218</v>
      </c>
      <c r="K1965" s="6" t="s">
        <v>5123</v>
      </c>
      <c r="M1965" s="6"/>
    </row>
    <row r="1966" customFormat="false" ht="15" hidden="false" customHeight="false" outlineLevel="0" collapsed="false">
      <c r="A1966" s="6" t="s">
        <v>9674</v>
      </c>
      <c r="B1966" s="6" t="s">
        <v>5079</v>
      </c>
      <c r="C1966" s="6" t="s">
        <v>4975</v>
      </c>
      <c r="D1966" s="6" t="s">
        <v>9600</v>
      </c>
      <c r="E1966" s="6" t="s">
        <v>9675</v>
      </c>
      <c r="F1966" s="6" t="s">
        <v>9676</v>
      </c>
      <c r="G1966" s="13" t="n">
        <v>7.1</v>
      </c>
      <c r="H1966" s="6" t="s">
        <v>3751</v>
      </c>
      <c r="I1966" s="6" t="s">
        <v>13</v>
      </c>
      <c r="J1966" s="6" t="s">
        <v>233</v>
      </c>
      <c r="K1966" s="6" t="s">
        <v>9677</v>
      </c>
      <c r="M1966" s="6"/>
    </row>
    <row r="1967" customFormat="false" ht="15" hidden="false" customHeight="false" outlineLevel="0" collapsed="false">
      <c r="A1967" s="6" t="s">
        <v>9678</v>
      </c>
      <c r="B1967" s="6" t="s">
        <v>5102</v>
      </c>
      <c r="C1967" s="6" t="s">
        <v>5050</v>
      </c>
      <c r="D1967" s="6" t="s">
        <v>9600</v>
      </c>
      <c r="E1967" s="6" t="s">
        <v>5120</v>
      </c>
      <c r="F1967" s="6" t="s">
        <v>9679</v>
      </c>
      <c r="G1967" s="19" t="n">
        <v>550</v>
      </c>
      <c r="H1967" s="6" t="s">
        <v>9680</v>
      </c>
      <c r="I1967" s="6" t="s">
        <v>13</v>
      </c>
      <c r="J1967" s="6" t="s">
        <v>209</v>
      </c>
      <c r="K1967" s="6" t="s">
        <v>5760</v>
      </c>
      <c r="M1967" s="6"/>
    </row>
    <row r="1968" customFormat="false" ht="15" hidden="false" customHeight="false" outlineLevel="0" collapsed="false">
      <c r="A1968" s="6" t="s">
        <v>9681</v>
      </c>
      <c r="B1968" s="6" t="s">
        <v>5074</v>
      </c>
      <c r="C1968" s="6" t="s">
        <v>4975</v>
      </c>
      <c r="D1968" s="6" t="s">
        <v>9600</v>
      </c>
      <c r="E1968" s="6" t="s">
        <v>5120</v>
      </c>
      <c r="F1968" s="6" t="s">
        <v>9682</v>
      </c>
      <c r="G1968" s="19" t="n">
        <v>4000</v>
      </c>
      <c r="H1968" s="6" t="s">
        <v>9680</v>
      </c>
      <c r="I1968" s="6" t="s">
        <v>13</v>
      </c>
      <c r="J1968" s="6" t="s">
        <v>223</v>
      </c>
      <c r="K1968" s="6" t="s">
        <v>9656</v>
      </c>
      <c r="M1968" s="6" t="s">
        <v>9683</v>
      </c>
    </row>
    <row r="1969" customFormat="false" ht="15" hidden="false" customHeight="false" outlineLevel="0" collapsed="false">
      <c r="A1969" s="6" t="s">
        <v>9684</v>
      </c>
      <c r="B1969" s="6" t="s">
        <v>9605</v>
      </c>
      <c r="C1969" s="6" t="s">
        <v>5050</v>
      </c>
      <c r="D1969" s="6" t="s">
        <v>9600</v>
      </c>
      <c r="E1969" s="6" t="s">
        <v>9685</v>
      </c>
      <c r="F1969" s="6" t="s">
        <v>9686</v>
      </c>
      <c r="G1969" s="19" t="n">
        <v>1</v>
      </c>
      <c r="H1969" s="6" t="s">
        <v>5105</v>
      </c>
      <c r="I1969" s="6" t="s">
        <v>13</v>
      </c>
      <c r="J1969" s="6" t="s">
        <v>218</v>
      </c>
      <c r="K1969" s="6" t="s">
        <v>5123</v>
      </c>
      <c r="M1969" s="6"/>
    </row>
    <row r="1970" customFormat="false" ht="15" hidden="false" customHeight="false" outlineLevel="0" collapsed="false">
      <c r="A1970" s="6" t="s">
        <v>9687</v>
      </c>
      <c r="B1970" s="6" t="s">
        <v>5113</v>
      </c>
      <c r="C1970" s="6" t="s">
        <v>4975</v>
      </c>
      <c r="D1970" s="6" t="s">
        <v>9600</v>
      </c>
      <c r="E1970" s="6" t="s">
        <v>9688</v>
      </c>
      <c r="F1970" s="6" t="s">
        <v>9689</v>
      </c>
      <c r="G1970" s="9" t="n">
        <v>17908</v>
      </c>
      <c r="H1970" s="6" t="s">
        <v>384</v>
      </c>
      <c r="I1970" s="6" t="s">
        <v>13</v>
      </c>
      <c r="J1970" s="6" t="s">
        <v>233</v>
      </c>
      <c r="K1970" s="6" t="s">
        <v>9625</v>
      </c>
      <c r="M1970" s="6" t="s">
        <v>9690</v>
      </c>
    </row>
    <row r="1971" customFormat="false" ht="15" hidden="false" customHeight="false" outlineLevel="0" collapsed="false">
      <c r="A1971" s="6" t="s">
        <v>9691</v>
      </c>
      <c r="B1971" s="6" t="s">
        <v>5102</v>
      </c>
      <c r="C1971" s="6" t="s">
        <v>5050</v>
      </c>
      <c r="D1971" s="6" t="s">
        <v>9600</v>
      </c>
      <c r="E1971" s="6" t="s">
        <v>9692</v>
      </c>
      <c r="F1971" s="6" t="s">
        <v>9693</v>
      </c>
      <c r="G1971" s="19" t="n">
        <v>10</v>
      </c>
      <c r="H1971" s="6" t="s">
        <v>5105</v>
      </c>
      <c r="I1971" s="6" t="s">
        <v>13</v>
      </c>
      <c r="J1971" s="6" t="s">
        <v>209</v>
      </c>
      <c r="K1971" s="6" t="s">
        <v>5760</v>
      </c>
      <c r="M1971" s="6"/>
    </row>
    <row r="1972" customFormat="false" ht="15" hidden="false" customHeight="false" outlineLevel="0" collapsed="false">
      <c r="A1972" s="6" t="s">
        <v>9694</v>
      </c>
      <c r="B1972" s="6" t="s">
        <v>9605</v>
      </c>
      <c r="C1972" s="6" t="s">
        <v>5050</v>
      </c>
      <c r="D1972" s="6" t="s">
        <v>9600</v>
      </c>
      <c r="E1972" s="6" t="s">
        <v>9692</v>
      </c>
      <c r="F1972" s="6" t="s">
        <v>9695</v>
      </c>
      <c r="G1972" s="19" t="n">
        <v>10</v>
      </c>
      <c r="H1972" s="6" t="s">
        <v>5105</v>
      </c>
      <c r="I1972" s="6" t="s">
        <v>13</v>
      </c>
      <c r="J1972" s="6" t="s">
        <v>218</v>
      </c>
      <c r="K1972" s="6" t="s">
        <v>5123</v>
      </c>
      <c r="M1972" s="6"/>
    </row>
    <row r="1973" customFormat="false" ht="15" hidden="false" customHeight="false" outlineLevel="0" collapsed="false">
      <c r="A1973" s="6" t="s">
        <v>9696</v>
      </c>
      <c r="B1973" s="6" t="s">
        <v>9605</v>
      </c>
      <c r="C1973" s="6" t="s">
        <v>5050</v>
      </c>
      <c r="D1973" s="6" t="s">
        <v>9600</v>
      </c>
      <c r="E1973" s="6" t="s">
        <v>9697</v>
      </c>
      <c r="F1973" s="6" t="s">
        <v>9659</v>
      </c>
      <c r="G1973" s="19" t="n">
        <v>2</v>
      </c>
      <c r="H1973" s="6" t="s">
        <v>5105</v>
      </c>
      <c r="I1973" s="6" t="s">
        <v>13</v>
      </c>
      <c r="J1973" s="6" t="s">
        <v>218</v>
      </c>
      <c r="K1973" s="6" t="s">
        <v>5123</v>
      </c>
      <c r="M1973" s="6"/>
    </row>
    <row r="1974" customFormat="false" ht="15" hidden="false" customHeight="false" outlineLevel="0" collapsed="false">
      <c r="A1974" s="6" t="s">
        <v>9698</v>
      </c>
      <c r="B1974" s="6" t="s">
        <v>5102</v>
      </c>
      <c r="C1974" s="6" t="s">
        <v>5050</v>
      </c>
      <c r="D1974" s="6" t="s">
        <v>9600</v>
      </c>
      <c r="E1974" s="6" t="s">
        <v>9699</v>
      </c>
      <c r="F1974" s="6" t="s">
        <v>9700</v>
      </c>
      <c r="G1974" s="19" t="n">
        <v>2</v>
      </c>
      <c r="H1974" s="6" t="s">
        <v>5105</v>
      </c>
      <c r="I1974" s="6" t="s">
        <v>13</v>
      </c>
      <c r="J1974" s="6" t="s">
        <v>209</v>
      </c>
      <c r="K1974" s="6" t="s">
        <v>5760</v>
      </c>
      <c r="M1974" s="6"/>
    </row>
    <row r="1975" customFormat="false" ht="15" hidden="false" customHeight="false" outlineLevel="0" collapsed="false">
      <c r="A1975" s="6" t="s">
        <v>9701</v>
      </c>
      <c r="B1975" s="6" t="s">
        <v>5113</v>
      </c>
      <c r="C1975" s="6" t="s">
        <v>4975</v>
      </c>
      <c r="D1975" s="6" t="s">
        <v>9600</v>
      </c>
      <c r="E1975" s="6" t="s">
        <v>9702</v>
      </c>
      <c r="F1975" s="6" t="s">
        <v>9703</v>
      </c>
      <c r="G1975" s="9" t="n">
        <v>17908</v>
      </c>
      <c r="H1975" s="6" t="s">
        <v>384</v>
      </c>
      <c r="I1975" s="6" t="s">
        <v>13</v>
      </c>
      <c r="J1975" s="6" t="s">
        <v>228</v>
      </c>
      <c r="K1975" s="6" t="s">
        <v>9620</v>
      </c>
      <c r="M1975" s="6" t="s">
        <v>9704</v>
      </c>
    </row>
    <row r="1976" customFormat="false" ht="15" hidden="false" customHeight="false" outlineLevel="0" collapsed="false">
      <c r="A1976" s="6" t="s">
        <v>9705</v>
      </c>
      <c r="B1976" s="6" t="s">
        <v>5067</v>
      </c>
      <c r="C1976" s="6" t="s">
        <v>5050</v>
      </c>
      <c r="D1976" s="6" t="s">
        <v>9600</v>
      </c>
      <c r="E1976" s="6" t="s">
        <v>9706</v>
      </c>
      <c r="F1976" s="6" t="s">
        <v>9707</v>
      </c>
      <c r="G1976" s="12" t="n">
        <v>15000</v>
      </c>
      <c r="H1976" s="6" t="s">
        <v>3739</v>
      </c>
      <c r="I1976" s="6" t="s">
        <v>13</v>
      </c>
      <c r="J1976" s="6" t="s">
        <v>228</v>
      </c>
      <c r="K1976" s="6" t="s">
        <v>9708</v>
      </c>
      <c r="M1976" s="6" t="s">
        <v>9709</v>
      </c>
    </row>
    <row r="1977" customFormat="false" ht="15" hidden="false" customHeight="false" outlineLevel="0" collapsed="false">
      <c r="A1977" s="6" t="s">
        <v>9710</v>
      </c>
      <c r="B1977" s="6" t="s">
        <v>5315</v>
      </c>
      <c r="C1977" s="6" t="s">
        <v>5316</v>
      </c>
      <c r="D1977" s="6" t="s">
        <v>9600</v>
      </c>
      <c r="E1977" s="6" t="s">
        <v>9711</v>
      </c>
      <c r="F1977" s="6" t="s">
        <v>9712</v>
      </c>
      <c r="G1977" s="13" t="n">
        <v>0.5</v>
      </c>
      <c r="H1977" s="6" t="s">
        <v>3751</v>
      </c>
      <c r="I1977" s="6" t="s">
        <v>13</v>
      </c>
      <c r="J1977" s="6" t="s">
        <v>246</v>
      </c>
      <c r="K1977" s="6" t="s">
        <v>9713</v>
      </c>
      <c r="M1977" s="6" t="s">
        <v>9714</v>
      </c>
    </row>
    <row r="1978" customFormat="false" ht="15" hidden="false" customHeight="false" outlineLevel="0" collapsed="false">
      <c r="A1978" s="6" t="s">
        <v>9715</v>
      </c>
      <c r="B1978" s="6" t="s">
        <v>9716</v>
      </c>
      <c r="C1978" s="6" t="s">
        <v>6248</v>
      </c>
      <c r="D1978" s="6" t="s">
        <v>9600</v>
      </c>
      <c r="E1978" s="6" t="s">
        <v>9717</v>
      </c>
      <c r="F1978" s="6" t="s">
        <v>9718</v>
      </c>
      <c r="G1978" s="19" t="n">
        <v>10</v>
      </c>
      <c r="H1978" s="6" t="s">
        <v>5105</v>
      </c>
      <c r="I1978" s="6" t="s">
        <v>13</v>
      </c>
      <c r="J1978" s="6" t="s">
        <v>261</v>
      </c>
      <c r="K1978" s="6" t="s">
        <v>9719</v>
      </c>
      <c r="M1978" s="6"/>
    </row>
    <row r="1979" customFormat="false" ht="15" hidden="false" customHeight="false" outlineLevel="0" collapsed="false">
      <c r="A1979" s="6" t="s">
        <v>9720</v>
      </c>
      <c r="B1979" s="6" t="s">
        <v>5067</v>
      </c>
      <c r="C1979" s="6" t="s">
        <v>5050</v>
      </c>
      <c r="D1979" s="6" t="s">
        <v>9600</v>
      </c>
      <c r="E1979" s="6" t="s">
        <v>9721</v>
      </c>
      <c r="F1979" s="6" t="s">
        <v>9722</v>
      </c>
      <c r="G1979" s="19" t="n">
        <v>10</v>
      </c>
      <c r="H1979" s="6" t="s">
        <v>5105</v>
      </c>
      <c r="I1979" s="6" t="s">
        <v>13</v>
      </c>
      <c r="J1979" s="6" t="s">
        <v>228</v>
      </c>
      <c r="K1979" s="6" t="s">
        <v>9610</v>
      </c>
      <c r="M1979" s="6" t="s">
        <v>9723</v>
      </c>
    </row>
    <row r="1980" customFormat="false" ht="15" hidden="false" customHeight="false" outlineLevel="0" collapsed="false">
      <c r="A1980" s="6" t="s">
        <v>9724</v>
      </c>
      <c r="B1980" s="6" t="s">
        <v>5049</v>
      </c>
      <c r="C1980" s="6" t="s">
        <v>5050</v>
      </c>
      <c r="D1980" s="6" t="s">
        <v>9600</v>
      </c>
      <c r="E1980" s="6" t="s">
        <v>9725</v>
      </c>
      <c r="F1980" s="6" t="s">
        <v>9726</v>
      </c>
      <c r="G1980" s="13" t="n">
        <v>7.2</v>
      </c>
      <c r="H1980" s="6" t="s">
        <v>3751</v>
      </c>
      <c r="I1980" s="6" t="s">
        <v>13</v>
      </c>
      <c r="J1980" s="6" t="s">
        <v>209</v>
      </c>
      <c r="K1980" s="6" t="s">
        <v>5760</v>
      </c>
      <c r="M1980" s="6"/>
    </row>
    <row r="1981" customFormat="false" ht="15" hidden="false" customHeight="false" outlineLevel="0" collapsed="false">
      <c r="A1981" s="6" t="s">
        <v>9727</v>
      </c>
      <c r="B1981" s="6" t="s">
        <v>7336</v>
      </c>
      <c r="C1981" s="6" t="s">
        <v>5050</v>
      </c>
      <c r="D1981" s="6" t="s">
        <v>9600</v>
      </c>
      <c r="E1981" s="6" t="s">
        <v>9728</v>
      </c>
      <c r="F1981" s="6" t="s">
        <v>9729</v>
      </c>
      <c r="G1981" s="19" t="n">
        <v>1</v>
      </c>
      <c r="H1981" s="6" t="s">
        <v>9730</v>
      </c>
      <c r="I1981" s="6" t="s">
        <v>13</v>
      </c>
      <c r="J1981" s="6" t="s">
        <v>223</v>
      </c>
      <c r="K1981" s="6" t="s">
        <v>9606</v>
      </c>
      <c r="M1981" s="6"/>
    </row>
    <row r="1982" customFormat="false" ht="15" hidden="false" customHeight="false" outlineLevel="0" collapsed="false">
      <c r="A1982" s="6" t="s">
        <v>9731</v>
      </c>
      <c r="B1982" s="6" t="s">
        <v>5049</v>
      </c>
      <c r="C1982" s="6" t="s">
        <v>5050</v>
      </c>
      <c r="D1982" s="6" t="s">
        <v>9600</v>
      </c>
      <c r="E1982" s="6" t="s">
        <v>9732</v>
      </c>
      <c r="F1982" s="6" t="s">
        <v>5759</v>
      </c>
      <c r="G1982" s="19" t="n">
        <v>8500</v>
      </c>
      <c r="H1982" s="6" t="s">
        <v>5122</v>
      </c>
      <c r="I1982" s="6" t="s">
        <v>13</v>
      </c>
      <c r="J1982" s="6" t="s">
        <v>209</v>
      </c>
      <c r="K1982" s="6" t="s">
        <v>5760</v>
      </c>
      <c r="M1982" s="6"/>
    </row>
    <row r="1983" customFormat="false" ht="15" hidden="false" customHeight="false" outlineLevel="0" collapsed="false">
      <c r="A1983" s="6" t="s">
        <v>9733</v>
      </c>
      <c r="B1983" s="6" t="s">
        <v>5097</v>
      </c>
      <c r="C1983" s="6" t="s">
        <v>4975</v>
      </c>
      <c r="D1983" s="6" t="s">
        <v>9600</v>
      </c>
      <c r="E1983" s="6" t="s">
        <v>9734</v>
      </c>
      <c r="F1983" s="6" t="s">
        <v>9735</v>
      </c>
      <c r="G1983" s="19" t="n">
        <v>20000</v>
      </c>
      <c r="H1983" s="6" t="s">
        <v>5122</v>
      </c>
      <c r="I1983" s="6" t="s">
        <v>13</v>
      </c>
      <c r="J1983" s="6" t="s">
        <v>218</v>
      </c>
      <c r="K1983" s="6" t="s">
        <v>5123</v>
      </c>
      <c r="M1983" s="6"/>
    </row>
    <row r="1984" customFormat="false" ht="15" hidden="false" customHeight="false" outlineLevel="0" collapsed="false">
      <c r="A1984" s="6" t="s">
        <v>9736</v>
      </c>
      <c r="B1984" s="6" t="s">
        <v>5057</v>
      </c>
      <c r="C1984" s="6" t="s">
        <v>5050</v>
      </c>
      <c r="D1984" s="6" t="s">
        <v>9600</v>
      </c>
      <c r="E1984" s="6" t="s">
        <v>9737</v>
      </c>
      <c r="F1984" s="6" t="s">
        <v>9738</v>
      </c>
      <c r="G1984" s="12" t="n">
        <v>778500</v>
      </c>
      <c r="H1984" s="6" t="s">
        <v>3739</v>
      </c>
      <c r="I1984" s="6" t="s">
        <v>13</v>
      </c>
      <c r="J1984" s="6" t="s">
        <v>218</v>
      </c>
      <c r="K1984" s="6" t="s">
        <v>9606</v>
      </c>
      <c r="M1984" s="6" t="s">
        <v>9739</v>
      </c>
    </row>
    <row r="1985" customFormat="false" ht="15" hidden="false" customHeight="false" outlineLevel="0" collapsed="false">
      <c r="A1985" s="6" t="s">
        <v>9740</v>
      </c>
      <c r="B1985" s="6" t="s">
        <v>7336</v>
      </c>
      <c r="C1985" s="6" t="s">
        <v>5050</v>
      </c>
      <c r="D1985" s="6" t="s">
        <v>9600</v>
      </c>
      <c r="E1985" s="6" t="s">
        <v>9737</v>
      </c>
      <c r="F1985" s="6" t="s">
        <v>9741</v>
      </c>
      <c r="G1985" s="12" t="n">
        <v>778500</v>
      </c>
      <c r="H1985" s="6" t="s">
        <v>3739</v>
      </c>
      <c r="I1985" s="6" t="s">
        <v>13</v>
      </c>
      <c r="J1985" s="6" t="s">
        <v>223</v>
      </c>
      <c r="K1985" s="6" t="s">
        <v>9606</v>
      </c>
      <c r="M1985" s="6" t="s">
        <v>9742</v>
      </c>
    </row>
    <row r="1986" customFormat="false" ht="15" hidden="false" customHeight="false" outlineLevel="0" collapsed="false">
      <c r="A1986" s="6" t="s">
        <v>9743</v>
      </c>
      <c r="B1986" s="6" t="s">
        <v>5102</v>
      </c>
      <c r="C1986" s="6" t="s">
        <v>5050</v>
      </c>
      <c r="D1986" s="6" t="s">
        <v>9600</v>
      </c>
      <c r="E1986" s="6" t="s">
        <v>9744</v>
      </c>
      <c r="F1986" s="6" t="s">
        <v>9745</v>
      </c>
      <c r="G1986" s="12" t="n">
        <v>778500</v>
      </c>
      <c r="H1986" s="6" t="s">
        <v>3739</v>
      </c>
      <c r="I1986" s="6" t="s">
        <v>13</v>
      </c>
      <c r="J1986" s="6" t="s">
        <v>209</v>
      </c>
      <c r="K1986" s="6" t="s">
        <v>9603</v>
      </c>
      <c r="M1986" s="6" t="s">
        <v>9746</v>
      </c>
    </row>
    <row r="1987" customFormat="false" ht="15" hidden="false" customHeight="false" outlineLevel="0" collapsed="false">
      <c r="A1987" s="6" t="s">
        <v>9747</v>
      </c>
      <c r="B1987" s="6" t="s">
        <v>9605</v>
      </c>
      <c r="C1987" s="6" t="s">
        <v>5050</v>
      </c>
      <c r="D1987" s="6" t="s">
        <v>9600</v>
      </c>
      <c r="E1987" s="6" t="s">
        <v>9748</v>
      </c>
      <c r="F1987" s="6" t="s">
        <v>9749</v>
      </c>
      <c r="G1987" s="19" t="n">
        <v>1</v>
      </c>
      <c r="H1987" s="6" t="s">
        <v>6295</v>
      </c>
      <c r="I1987" s="6" t="s">
        <v>13</v>
      </c>
      <c r="J1987" s="6" t="s">
        <v>218</v>
      </c>
      <c r="K1987" s="6" t="s">
        <v>5123</v>
      </c>
      <c r="M1987" s="6"/>
    </row>
    <row r="1988" customFormat="false" ht="15" hidden="false" customHeight="false" outlineLevel="0" collapsed="false">
      <c r="A1988" s="6" t="s">
        <v>9750</v>
      </c>
      <c r="B1988" s="6" t="s">
        <v>9605</v>
      </c>
      <c r="C1988" s="6" t="s">
        <v>5050</v>
      </c>
      <c r="D1988" s="6" t="s">
        <v>9600</v>
      </c>
      <c r="E1988" s="6" t="s">
        <v>9751</v>
      </c>
      <c r="F1988" s="6" t="s">
        <v>9752</v>
      </c>
      <c r="G1988" s="19" t="n">
        <v>8</v>
      </c>
      <c r="H1988" s="6" t="s">
        <v>5105</v>
      </c>
      <c r="I1988" s="6" t="s">
        <v>13</v>
      </c>
      <c r="J1988" s="6" t="s">
        <v>218</v>
      </c>
      <c r="K1988" s="6" t="s">
        <v>5123</v>
      </c>
      <c r="M1988" s="6"/>
    </row>
    <row r="1989" customFormat="false" ht="15" hidden="false" customHeight="false" outlineLevel="0" collapsed="false">
      <c r="A1989" s="6" t="s">
        <v>9753</v>
      </c>
      <c r="B1989" s="6" t="s">
        <v>9754</v>
      </c>
      <c r="C1989" s="6" t="s">
        <v>6234</v>
      </c>
      <c r="D1989" s="6" t="s">
        <v>9600</v>
      </c>
      <c r="E1989" s="6" t="s">
        <v>9755</v>
      </c>
      <c r="F1989" s="6" t="s">
        <v>9756</v>
      </c>
      <c r="G1989" s="12" t="n">
        <v>196829</v>
      </c>
      <c r="H1989" s="6" t="s">
        <v>3739</v>
      </c>
      <c r="I1989" s="6" t="s">
        <v>13</v>
      </c>
      <c r="J1989" s="6" t="s">
        <v>261</v>
      </c>
      <c r="K1989" s="6" t="s">
        <v>9719</v>
      </c>
      <c r="M1989" s="6"/>
    </row>
    <row r="1990" customFormat="false" ht="15" hidden="false" customHeight="false" outlineLevel="0" collapsed="false">
      <c r="A1990" s="6" t="s">
        <v>9757</v>
      </c>
      <c r="B1990" s="6" t="s">
        <v>4968</v>
      </c>
      <c r="C1990" s="6" t="s">
        <v>6234</v>
      </c>
      <c r="D1990" s="6" t="s">
        <v>9600</v>
      </c>
      <c r="E1990" s="6" t="s">
        <v>9758</v>
      </c>
      <c r="F1990" s="6" t="s">
        <v>9759</v>
      </c>
      <c r="G1990" s="9" t="n">
        <v>18000</v>
      </c>
      <c r="H1990" s="6" t="s">
        <v>384</v>
      </c>
      <c r="I1990" s="6" t="s">
        <v>13</v>
      </c>
      <c r="J1990" s="6" t="s">
        <v>261</v>
      </c>
      <c r="K1990" s="6" t="s">
        <v>9719</v>
      </c>
      <c r="M1990" s="6" t="s">
        <v>9760</v>
      </c>
    </row>
    <row r="1991" customFormat="false" ht="15" hidden="false" customHeight="false" outlineLevel="0" collapsed="false">
      <c r="A1991" s="6" t="s">
        <v>9761</v>
      </c>
      <c r="B1991" s="6" t="s">
        <v>5067</v>
      </c>
      <c r="C1991" s="6" t="s">
        <v>5050</v>
      </c>
      <c r="D1991" s="6" t="s">
        <v>9600</v>
      </c>
      <c r="E1991" s="6" t="s">
        <v>9762</v>
      </c>
      <c r="F1991" s="6" t="s">
        <v>9763</v>
      </c>
      <c r="G1991" s="12" t="n">
        <v>15000</v>
      </c>
      <c r="H1991" s="6" t="s">
        <v>3739</v>
      </c>
      <c r="I1991" s="6" t="s">
        <v>13</v>
      </c>
      <c r="J1991" s="6" t="s">
        <v>253</v>
      </c>
      <c r="K1991" s="6" t="s">
        <v>9764</v>
      </c>
      <c r="M1991" s="6"/>
    </row>
    <row r="1992" customFormat="false" ht="15" hidden="false" customHeight="false" outlineLevel="0" collapsed="false">
      <c r="A1992" s="6" t="s">
        <v>9765</v>
      </c>
      <c r="B1992" s="6" t="s">
        <v>5245</v>
      </c>
      <c r="C1992" s="6" t="s">
        <v>5050</v>
      </c>
      <c r="D1992" s="6" t="s">
        <v>9600</v>
      </c>
      <c r="E1992" s="6" t="s">
        <v>9762</v>
      </c>
      <c r="F1992" s="6" t="s">
        <v>9763</v>
      </c>
      <c r="G1992" s="12" t="n">
        <v>14410</v>
      </c>
      <c r="H1992" s="6" t="s">
        <v>3739</v>
      </c>
      <c r="I1992" s="6" t="s">
        <v>13</v>
      </c>
      <c r="J1992" s="6" t="s">
        <v>253</v>
      </c>
      <c r="K1992" s="6" t="s">
        <v>9764</v>
      </c>
      <c r="M1992" s="6"/>
    </row>
    <row r="1993" customFormat="false" ht="15" hidden="false" customHeight="false" outlineLevel="0" collapsed="false">
      <c r="A1993" s="6" t="s">
        <v>9766</v>
      </c>
      <c r="B1993" s="6" t="s">
        <v>5072</v>
      </c>
      <c r="C1993" s="6" t="s">
        <v>5050</v>
      </c>
      <c r="D1993" s="6" t="s">
        <v>9600</v>
      </c>
      <c r="E1993" s="6" t="s">
        <v>9762</v>
      </c>
      <c r="F1993" s="6" t="s">
        <v>9767</v>
      </c>
      <c r="G1993" s="12" t="n">
        <v>14498</v>
      </c>
      <c r="H1993" s="6" t="s">
        <v>3739</v>
      </c>
      <c r="I1993" s="6" t="s">
        <v>13</v>
      </c>
      <c r="J1993" s="6" t="s">
        <v>261</v>
      </c>
      <c r="K1993" s="6" t="s">
        <v>6799</v>
      </c>
      <c r="M1993" s="6"/>
    </row>
    <row r="1994" customFormat="false" ht="15" hidden="false" customHeight="false" outlineLevel="0" collapsed="false">
      <c r="A1994" s="6" t="s">
        <v>9768</v>
      </c>
      <c r="B1994" s="6" t="s">
        <v>5249</v>
      </c>
      <c r="C1994" s="6" t="s">
        <v>5050</v>
      </c>
      <c r="D1994" s="6" t="s">
        <v>9600</v>
      </c>
      <c r="E1994" s="6" t="s">
        <v>9762</v>
      </c>
      <c r="F1994" s="6" t="s">
        <v>9767</v>
      </c>
      <c r="G1994" s="12" t="n">
        <v>12923</v>
      </c>
      <c r="H1994" s="6" t="s">
        <v>3739</v>
      </c>
      <c r="I1994" s="6" t="s">
        <v>13</v>
      </c>
      <c r="J1994" s="6" t="s">
        <v>261</v>
      </c>
      <c r="K1994" s="6" t="s">
        <v>6799</v>
      </c>
      <c r="M1994" s="6" t="s">
        <v>9769</v>
      </c>
    </row>
    <row r="1995" customFormat="false" ht="15" hidden="false" customHeight="false" outlineLevel="0" collapsed="false">
      <c r="A1995" s="6" t="s">
        <v>9770</v>
      </c>
      <c r="B1995" s="6" t="s">
        <v>5249</v>
      </c>
      <c r="C1995" s="6" t="s">
        <v>5050</v>
      </c>
      <c r="D1995" s="6" t="s">
        <v>9600</v>
      </c>
      <c r="E1995" s="6" t="s">
        <v>9762</v>
      </c>
      <c r="F1995" s="6" t="s">
        <v>9771</v>
      </c>
      <c r="G1995" s="12" t="n">
        <v>12923</v>
      </c>
      <c r="H1995" s="6" t="s">
        <v>3739</v>
      </c>
      <c r="I1995" s="6" t="s">
        <v>13</v>
      </c>
      <c r="J1995" s="6" t="s">
        <v>316</v>
      </c>
      <c r="K1995" s="6" t="s">
        <v>6783</v>
      </c>
      <c r="M1995" s="6"/>
    </row>
    <row r="1996" customFormat="false" ht="15" hidden="false" customHeight="false" outlineLevel="0" collapsed="false">
      <c r="A1996" s="6" t="s">
        <v>9772</v>
      </c>
      <c r="B1996" s="6" t="s">
        <v>5072</v>
      </c>
      <c r="C1996" s="6" t="s">
        <v>5050</v>
      </c>
      <c r="D1996" s="6" t="s">
        <v>9600</v>
      </c>
      <c r="E1996" s="6" t="s">
        <v>9773</v>
      </c>
      <c r="F1996" s="6" t="s">
        <v>9774</v>
      </c>
      <c r="G1996" s="12" t="n">
        <v>14498</v>
      </c>
      <c r="H1996" s="6" t="s">
        <v>3739</v>
      </c>
      <c r="I1996" s="6" t="s">
        <v>13</v>
      </c>
      <c r="J1996" s="6" t="s">
        <v>233</v>
      </c>
      <c r="K1996" s="6" t="s">
        <v>6778</v>
      </c>
      <c r="M1996" s="6"/>
    </row>
    <row r="1997" customFormat="false" ht="15" hidden="false" customHeight="false" outlineLevel="0" collapsed="false">
      <c r="A1997" s="6" t="s">
        <v>9775</v>
      </c>
      <c r="B1997" s="6" t="s">
        <v>5113</v>
      </c>
      <c r="C1997" s="6" t="s">
        <v>4975</v>
      </c>
      <c r="D1997" s="6" t="s">
        <v>9600</v>
      </c>
      <c r="E1997" s="6" t="s">
        <v>9776</v>
      </c>
      <c r="F1997" s="6" t="s">
        <v>9777</v>
      </c>
      <c r="G1997" s="12" t="n">
        <v>68000</v>
      </c>
      <c r="H1997" s="6" t="s">
        <v>3739</v>
      </c>
      <c r="I1997" s="6" t="s">
        <v>13</v>
      </c>
      <c r="J1997" s="6" t="s">
        <v>228</v>
      </c>
      <c r="K1997" s="6" t="s">
        <v>9778</v>
      </c>
      <c r="M1997" s="6" t="s">
        <v>9779</v>
      </c>
    </row>
    <row r="1998" customFormat="false" ht="15" hidden="false" customHeight="false" outlineLevel="0" collapsed="false">
      <c r="A1998" s="6" t="s">
        <v>9780</v>
      </c>
      <c r="B1998" s="6" t="s">
        <v>5113</v>
      </c>
      <c r="C1998" s="6" t="s">
        <v>4975</v>
      </c>
      <c r="D1998" s="6" t="s">
        <v>9600</v>
      </c>
      <c r="E1998" s="6" t="s">
        <v>9776</v>
      </c>
      <c r="F1998" s="6" t="s">
        <v>9781</v>
      </c>
      <c r="G1998" s="12" t="n">
        <v>68000</v>
      </c>
      <c r="H1998" s="6" t="s">
        <v>3739</v>
      </c>
      <c r="I1998" s="6" t="s">
        <v>13</v>
      </c>
      <c r="J1998" s="6" t="s">
        <v>233</v>
      </c>
      <c r="K1998" s="6" t="s">
        <v>9625</v>
      </c>
      <c r="M1998" s="6"/>
    </row>
    <row r="1999" customFormat="false" ht="15" hidden="false" customHeight="false" outlineLevel="0" collapsed="false">
      <c r="A1999" s="6" t="s">
        <v>9782</v>
      </c>
      <c r="B1999" s="6" t="s">
        <v>5113</v>
      </c>
      <c r="C1999" s="6" t="s">
        <v>4975</v>
      </c>
      <c r="D1999" s="6" t="s">
        <v>9600</v>
      </c>
      <c r="E1999" s="6" t="s">
        <v>9783</v>
      </c>
      <c r="F1999" s="6" t="s">
        <v>9784</v>
      </c>
      <c r="G1999" s="9" t="n">
        <v>24208</v>
      </c>
      <c r="H1999" s="6" t="s">
        <v>384</v>
      </c>
      <c r="I1999" s="6" t="s">
        <v>13</v>
      </c>
      <c r="J1999" s="6" t="s">
        <v>228</v>
      </c>
      <c r="K1999" s="6" t="s">
        <v>9552</v>
      </c>
      <c r="M1999" s="6"/>
    </row>
    <row r="2000" customFormat="false" ht="15" hidden="false" customHeight="false" outlineLevel="0" collapsed="false">
      <c r="A2000" s="6" t="s">
        <v>9785</v>
      </c>
      <c r="B2000" s="6" t="s">
        <v>9786</v>
      </c>
      <c r="C2000" s="6" t="s">
        <v>5050</v>
      </c>
      <c r="D2000" s="6" t="s">
        <v>9600</v>
      </c>
      <c r="E2000" s="6" t="s">
        <v>9787</v>
      </c>
      <c r="F2000" s="6" t="s">
        <v>9788</v>
      </c>
      <c r="G2000" s="19" t="n">
        <v>10</v>
      </c>
      <c r="H2000" s="6" t="s">
        <v>5105</v>
      </c>
      <c r="I2000" s="6" t="s">
        <v>13</v>
      </c>
      <c r="J2000" s="6" t="s">
        <v>233</v>
      </c>
      <c r="K2000" s="6" t="s">
        <v>9615</v>
      </c>
      <c r="M2000" s="6"/>
    </row>
    <row r="2001" customFormat="false" ht="15" hidden="false" customHeight="false" outlineLevel="0" collapsed="false">
      <c r="A2001" s="6" t="s">
        <v>9789</v>
      </c>
      <c r="B2001" s="6" t="s">
        <v>9790</v>
      </c>
      <c r="C2001" s="6" t="s">
        <v>6234</v>
      </c>
      <c r="D2001" s="6" t="s">
        <v>9600</v>
      </c>
      <c r="E2001" s="6" t="s">
        <v>9791</v>
      </c>
      <c r="F2001" s="6" t="s">
        <v>9792</v>
      </c>
      <c r="G2001" s="12" t="n">
        <v>68000</v>
      </c>
      <c r="H2001" s="6" t="s">
        <v>3739</v>
      </c>
      <c r="I2001" s="6" t="s">
        <v>13</v>
      </c>
      <c r="J2001" s="6" t="s">
        <v>298</v>
      </c>
      <c r="K2001" s="6" t="s">
        <v>9793</v>
      </c>
      <c r="M2001" s="6" t="s">
        <v>9794</v>
      </c>
    </row>
    <row r="2002" customFormat="false" ht="15" hidden="false" customHeight="false" outlineLevel="0" collapsed="false">
      <c r="A2002" s="6" t="s">
        <v>9795</v>
      </c>
      <c r="B2002" s="6" t="s">
        <v>9796</v>
      </c>
      <c r="C2002" s="6" t="s">
        <v>6234</v>
      </c>
      <c r="D2002" s="6" t="s">
        <v>9797</v>
      </c>
      <c r="E2002" s="6" t="s">
        <v>9798</v>
      </c>
      <c r="F2002" s="6" t="s">
        <v>9799</v>
      </c>
      <c r="H2002" s="6" t="s">
        <v>7024</v>
      </c>
      <c r="I2002" s="6" t="s">
        <v>13</v>
      </c>
      <c r="J2002" s="6" t="s">
        <v>275</v>
      </c>
      <c r="K2002" s="6" t="s">
        <v>9800</v>
      </c>
      <c r="M2002" s="6" t="s">
        <v>9801</v>
      </c>
    </row>
    <row r="2003" customFormat="false" ht="15" hidden="false" customHeight="false" outlineLevel="0" collapsed="false">
      <c r="A2003" s="6" t="s">
        <v>9802</v>
      </c>
      <c r="B2003" s="6" t="s">
        <v>6292</v>
      </c>
      <c r="C2003" s="6" t="s">
        <v>6234</v>
      </c>
      <c r="D2003" s="6" t="s">
        <v>9797</v>
      </c>
      <c r="E2003" s="6" t="s">
        <v>9803</v>
      </c>
      <c r="F2003" s="6" t="s">
        <v>9804</v>
      </c>
      <c r="G2003" s="19" t="n">
        <v>99.14</v>
      </c>
      <c r="H2003" s="6" t="s">
        <v>5105</v>
      </c>
      <c r="I2003" s="6" t="s">
        <v>13</v>
      </c>
      <c r="J2003" s="6" t="s">
        <v>321</v>
      </c>
      <c r="K2003" s="6" t="s">
        <v>9805</v>
      </c>
      <c r="M2003" s="6" t="s">
        <v>9806</v>
      </c>
    </row>
    <row r="2004" customFormat="false" ht="15" hidden="false" customHeight="false" outlineLevel="0" collapsed="false">
      <c r="A2004" s="6" t="s">
        <v>9807</v>
      </c>
      <c r="B2004" s="6" t="s">
        <v>6292</v>
      </c>
      <c r="C2004" s="6" t="s">
        <v>6234</v>
      </c>
      <c r="D2004" s="6" t="s">
        <v>9797</v>
      </c>
      <c r="E2004" s="6" t="s">
        <v>9808</v>
      </c>
      <c r="F2004" s="6" t="s">
        <v>9809</v>
      </c>
      <c r="G2004" s="19" t="n">
        <v>98.82</v>
      </c>
      <c r="H2004" s="6" t="s">
        <v>5105</v>
      </c>
      <c r="I2004" s="6" t="s">
        <v>13</v>
      </c>
      <c r="J2004" s="6" t="s">
        <v>321</v>
      </c>
      <c r="K2004" s="6" t="s">
        <v>9810</v>
      </c>
      <c r="M2004" s="6"/>
    </row>
    <row r="2005" customFormat="false" ht="15" hidden="false" customHeight="false" outlineLevel="0" collapsed="false">
      <c r="A2005" s="6" t="s">
        <v>9811</v>
      </c>
      <c r="B2005" s="6" t="s">
        <v>6292</v>
      </c>
      <c r="C2005" s="6" t="s">
        <v>6234</v>
      </c>
      <c r="D2005" s="6" t="s">
        <v>9797</v>
      </c>
      <c r="E2005" s="6" t="s">
        <v>9812</v>
      </c>
      <c r="F2005" s="6" t="s">
        <v>9813</v>
      </c>
      <c r="G2005" s="19" t="n">
        <v>99.78</v>
      </c>
      <c r="H2005" s="6" t="s">
        <v>5105</v>
      </c>
      <c r="I2005" s="6" t="s">
        <v>13</v>
      </c>
      <c r="J2005" s="6" t="s">
        <v>321</v>
      </c>
      <c r="K2005" s="6" t="s">
        <v>9814</v>
      </c>
      <c r="M2005" s="6"/>
    </row>
    <row r="2006" customFormat="false" ht="15" hidden="false" customHeight="false" outlineLevel="0" collapsed="false">
      <c r="A2006" s="6" t="s">
        <v>9815</v>
      </c>
      <c r="B2006" s="6" t="s">
        <v>6292</v>
      </c>
      <c r="C2006" s="6" t="s">
        <v>6234</v>
      </c>
      <c r="D2006" s="6" t="s">
        <v>9797</v>
      </c>
      <c r="E2006" s="6" t="s">
        <v>9816</v>
      </c>
      <c r="F2006" s="6" t="s">
        <v>9817</v>
      </c>
      <c r="G2006" s="19" t="n">
        <v>99.76</v>
      </c>
      <c r="H2006" s="6" t="s">
        <v>5105</v>
      </c>
      <c r="I2006" s="6" t="s">
        <v>13</v>
      </c>
      <c r="J2006" s="6" t="s">
        <v>321</v>
      </c>
      <c r="K2006" s="6" t="s">
        <v>9818</v>
      </c>
      <c r="M2006" s="6"/>
    </row>
    <row r="2007" customFormat="false" ht="15" hidden="false" customHeight="false" outlineLevel="0" collapsed="false">
      <c r="A2007" s="6" t="s">
        <v>9819</v>
      </c>
      <c r="B2007" s="6" t="s">
        <v>5062</v>
      </c>
      <c r="C2007" s="6" t="s">
        <v>5050</v>
      </c>
      <c r="D2007" s="6" t="s">
        <v>9797</v>
      </c>
      <c r="E2007" s="6" t="s">
        <v>9820</v>
      </c>
      <c r="F2007" s="6" t="s">
        <v>9821</v>
      </c>
      <c r="G2007" s="9" t="n">
        <v>31810</v>
      </c>
      <c r="H2007" s="6" t="s">
        <v>384</v>
      </c>
      <c r="I2007" s="6" t="s">
        <v>13</v>
      </c>
      <c r="J2007" s="6" t="s">
        <v>228</v>
      </c>
      <c r="K2007" s="6" t="s">
        <v>5065</v>
      </c>
      <c r="M2007" s="6"/>
    </row>
    <row r="2008" customFormat="false" ht="15" hidden="false" customHeight="false" outlineLevel="0" collapsed="false">
      <c r="A2008" s="6" t="s">
        <v>9822</v>
      </c>
      <c r="B2008" s="6" t="s">
        <v>5067</v>
      </c>
      <c r="C2008" s="6" t="s">
        <v>5050</v>
      </c>
      <c r="D2008" s="6" t="s">
        <v>9797</v>
      </c>
      <c r="E2008" s="6" t="s">
        <v>9820</v>
      </c>
      <c r="F2008" s="6" t="s">
        <v>9821</v>
      </c>
      <c r="G2008" s="9" t="n">
        <v>56528</v>
      </c>
      <c r="H2008" s="6" t="s">
        <v>384</v>
      </c>
      <c r="I2008" s="6" t="s">
        <v>13</v>
      </c>
      <c r="J2008" s="6" t="s">
        <v>228</v>
      </c>
      <c r="K2008" s="6" t="s">
        <v>5065</v>
      </c>
      <c r="M2008" s="6"/>
    </row>
    <row r="2009" customFormat="false" ht="15" hidden="false" customHeight="false" outlineLevel="0" collapsed="false">
      <c r="A2009" s="6" t="s">
        <v>9823</v>
      </c>
      <c r="B2009" s="6" t="s">
        <v>5049</v>
      </c>
      <c r="C2009" s="6" t="s">
        <v>5050</v>
      </c>
      <c r="D2009" s="6" t="s">
        <v>9797</v>
      </c>
      <c r="E2009" s="6" t="s">
        <v>7963</v>
      </c>
      <c r="F2009" s="6" t="s">
        <v>9824</v>
      </c>
      <c r="G2009" s="9" t="n">
        <v>-445660</v>
      </c>
      <c r="H2009" s="6" t="s">
        <v>384</v>
      </c>
      <c r="I2009" s="6" t="s">
        <v>13</v>
      </c>
      <c r="J2009" s="6" t="s">
        <v>209</v>
      </c>
      <c r="K2009" s="6" t="s">
        <v>9825</v>
      </c>
      <c r="M2009" s="6"/>
    </row>
    <row r="2010" customFormat="false" ht="15" hidden="false" customHeight="false" outlineLevel="0" collapsed="false">
      <c r="A2010" s="6" t="s">
        <v>9826</v>
      </c>
      <c r="B2010" s="6" t="s">
        <v>6032</v>
      </c>
      <c r="C2010" s="6" t="s">
        <v>4975</v>
      </c>
      <c r="D2010" s="6" t="s">
        <v>9797</v>
      </c>
      <c r="E2010" s="6" t="s">
        <v>9827</v>
      </c>
      <c r="F2010" s="6" t="s">
        <v>9828</v>
      </c>
      <c r="G2010" s="9" t="n">
        <v>98423</v>
      </c>
      <c r="H2010" s="6" t="s">
        <v>384</v>
      </c>
      <c r="I2010" s="6" t="s">
        <v>13</v>
      </c>
      <c r="J2010" s="6" t="s">
        <v>209</v>
      </c>
      <c r="K2010" s="6" t="s">
        <v>9829</v>
      </c>
      <c r="M2010" s="6"/>
    </row>
    <row r="2011" customFormat="false" ht="15" hidden="false" customHeight="false" outlineLevel="0" collapsed="false">
      <c r="A2011" s="6" t="s">
        <v>9830</v>
      </c>
      <c r="B2011" s="6" t="s">
        <v>5203</v>
      </c>
      <c r="C2011" s="6" t="s">
        <v>4975</v>
      </c>
      <c r="D2011" s="6" t="s">
        <v>9797</v>
      </c>
      <c r="E2011" s="6" t="s">
        <v>9827</v>
      </c>
      <c r="F2011" s="6" t="s">
        <v>9828</v>
      </c>
      <c r="G2011" s="9" t="n">
        <v>129101</v>
      </c>
      <c r="H2011" s="6" t="s">
        <v>384</v>
      </c>
      <c r="I2011" s="6" t="s">
        <v>13</v>
      </c>
      <c r="J2011" s="6" t="s">
        <v>209</v>
      </c>
      <c r="K2011" s="6" t="s">
        <v>9829</v>
      </c>
      <c r="M2011" s="6"/>
    </row>
    <row r="2012" customFormat="false" ht="15" hidden="false" customHeight="false" outlineLevel="0" collapsed="false">
      <c r="A2012" s="6" t="s">
        <v>9831</v>
      </c>
      <c r="B2012" s="6" t="s">
        <v>5203</v>
      </c>
      <c r="C2012" s="6" t="s">
        <v>4975</v>
      </c>
      <c r="D2012" s="6" t="s">
        <v>9797</v>
      </c>
      <c r="E2012" s="6" t="s">
        <v>9827</v>
      </c>
      <c r="F2012" s="6" t="s">
        <v>9832</v>
      </c>
      <c r="G2012" s="9" t="n">
        <v>129101</v>
      </c>
      <c r="H2012" s="6" t="s">
        <v>384</v>
      </c>
      <c r="I2012" s="6" t="s">
        <v>13</v>
      </c>
      <c r="J2012" s="6" t="s">
        <v>218</v>
      </c>
      <c r="K2012" s="6" t="s">
        <v>9833</v>
      </c>
      <c r="M2012" s="6"/>
    </row>
    <row r="2013" customFormat="false" ht="15" hidden="false" customHeight="false" outlineLevel="0" collapsed="false">
      <c r="A2013" s="6" t="s">
        <v>9834</v>
      </c>
      <c r="B2013" s="6" t="s">
        <v>5102</v>
      </c>
      <c r="C2013" s="6" t="s">
        <v>4975</v>
      </c>
      <c r="D2013" s="6" t="s">
        <v>9797</v>
      </c>
      <c r="E2013" s="6" t="s">
        <v>9827</v>
      </c>
      <c r="F2013" s="6" t="s">
        <v>9828</v>
      </c>
      <c r="G2013" s="9" t="n">
        <v>143472</v>
      </c>
      <c r="H2013" s="6" t="s">
        <v>384</v>
      </c>
      <c r="I2013" s="6" t="s">
        <v>13</v>
      </c>
      <c r="J2013" s="6" t="s">
        <v>209</v>
      </c>
      <c r="K2013" s="6" t="s">
        <v>9829</v>
      </c>
      <c r="M2013" s="6"/>
    </row>
    <row r="2014" customFormat="false" ht="15" hidden="false" customHeight="false" outlineLevel="0" collapsed="false">
      <c r="A2014" s="6" t="s">
        <v>9835</v>
      </c>
      <c r="B2014" s="6" t="s">
        <v>5102</v>
      </c>
      <c r="C2014" s="6" t="s">
        <v>4975</v>
      </c>
      <c r="D2014" s="6" t="s">
        <v>9797</v>
      </c>
      <c r="E2014" s="6" t="s">
        <v>9827</v>
      </c>
      <c r="F2014" s="6" t="s">
        <v>9832</v>
      </c>
      <c r="G2014" s="9" t="n">
        <v>143472</v>
      </c>
      <c r="H2014" s="6" t="s">
        <v>384</v>
      </c>
      <c r="I2014" s="6" t="s">
        <v>13</v>
      </c>
      <c r="J2014" s="6" t="s">
        <v>218</v>
      </c>
      <c r="K2014" s="6" t="s">
        <v>9833</v>
      </c>
      <c r="M2014" s="6"/>
    </row>
    <row r="2015" customFormat="false" ht="15" hidden="false" customHeight="false" outlineLevel="0" collapsed="false">
      <c r="A2015" s="6" t="s">
        <v>9836</v>
      </c>
      <c r="B2015" s="6" t="s">
        <v>5102</v>
      </c>
      <c r="C2015" s="6" t="s">
        <v>4975</v>
      </c>
      <c r="D2015" s="6" t="s">
        <v>9797</v>
      </c>
      <c r="E2015" s="6" t="s">
        <v>9827</v>
      </c>
      <c r="F2015" s="6" t="s">
        <v>9837</v>
      </c>
      <c r="G2015" s="9" t="n">
        <v>143472</v>
      </c>
      <c r="H2015" s="6" t="s">
        <v>384</v>
      </c>
      <c r="I2015" s="6" t="s">
        <v>13</v>
      </c>
      <c r="J2015" s="6" t="s">
        <v>223</v>
      </c>
      <c r="K2015" s="6" t="s">
        <v>9838</v>
      </c>
      <c r="M2015" s="6"/>
    </row>
    <row r="2016" customFormat="false" ht="15" hidden="false" customHeight="false" outlineLevel="0" collapsed="false">
      <c r="A2016" s="6" t="s">
        <v>9839</v>
      </c>
      <c r="B2016" s="6" t="s">
        <v>5097</v>
      </c>
      <c r="C2016" s="6" t="s">
        <v>4975</v>
      </c>
      <c r="D2016" s="6" t="s">
        <v>9797</v>
      </c>
      <c r="E2016" s="6" t="s">
        <v>9827</v>
      </c>
      <c r="F2016" s="6" t="s">
        <v>9832</v>
      </c>
      <c r="G2016" s="9" t="n">
        <v>181447</v>
      </c>
      <c r="H2016" s="6" t="s">
        <v>384</v>
      </c>
      <c r="I2016" s="6" t="s">
        <v>13</v>
      </c>
      <c r="J2016" s="6" t="s">
        <v>218</v>
      </c>
      <c r="K2016" s="6" t="s">
        <v>9833</v>
      </c>
      <c r="M2016" s="6"/>
    </row>
    <row r="2017" customFormat="false" ht="15" hidden="false" customHeight="false" outlineLevel="0" collapsed="false">
      <c r="A2017" s="6" t="s">
        <v>9840</v>
      </c>
      <c r="B2017" s="6" t="s">
        <v>5097</v>
      </c>
      <c r="C2017" s="6" t="s">
        <v>4975</v>
      </c>
      <c r="D2017" s="6" t="s">
        <v>9797</v>
      </c>
      <c r="E2017" s="6" t="s">
        <v>9827</v>
      </c>
      <c r="F2017" s="6" t="s">
        <v>9837</v>
      </c>
      <c r="G2017" s="9" t="n">
        <v>181447</v>
      </c>
      <c r="H2017" s="6" t="s">
        <v>384</v>
      </c>
      <c r="I2017" s="6" t="s">
        <v>13</v>
      </c>
      <c r="J2017" s="6" t="s">
        <v>223</v>
      </c>
      <c r="K2017" s="6" t="s">
        <v>9838</v>
      </c>
      <c r="M2017" s="6"/>
    </row>
    <row r="2018" customFormat="false" ht="15" hidden="false" customHeight="false" outlineLevel="0" collapsed="false">
      <c r="A2018" s="6" t="s">
        <v>9841</v>
      </c>
      <c r="B2018" s="6" t="s">
        <v>5097</v>
      </c>
      <c r="C2018" s="6" t="s">
        <v>4975</v>
      </c>
      <c r="D2018" s="6" t="s">
        <v>9797</v>
      </c>
      <c r="E2018" s="6" t="s">
        <v>9827</v>
      </c>
      <c r="F2018" s="6" t="s">
        <v>9842</v>
      </c>
      <c r="G2018" s="9" t="n">
        <v>181447</v>
      </c>
      <c r="H2018" s="6" t="s">
        <v>384</v>
      </c>
      <c r="I2018" s="6" t="s">
        <v>13</v>
      </c>
      <c r="J2018" s="6" t="s">
        <v>228</v>
      </c>
      <c r="K2018" s="6" t="s">
        <v>9843</v>
      </c>
      <c r="M2018" s="6"/>
    </row>
    <row r="2019" customFormat="false" ht="15" hidden="false" customHeight="false" outlineLevel="0" collapsed="false">
      <c r="A2019" s="6" t="s">
        <v>9844</v>
      </c>
      <c r="B2019" s="6" t="s">
        <v>5074</v>
      </c>
      <c r="C2019" s="6" t="s">
        <v>4975</v>
      </c>
      <c r="D2019" s="6" t="s">
        <v>9797</v>
      </c>
      <c r="E2019" s="6" t="s">
        <v>9827</v>
      </c>
      <c r="F2019" s="6" t="s">
        <v>9837</v>
      </c>
      <c r="G2019" s="9" t="n">
        <v>203235</v>
      </c>
      <c r="H2019" s="6" t="s">
        <v>384</v>
      </c>
      <c r="I2019" s="6" t="s">
        <v>13</v>
      </c>
      <c r="J2019" s="6" t="s">
        <v>223</v>
      </c>
      <c r="K2019" s="6" t="s">
        <v>9838</v>
      </c>
      <c r="M2019" s="6"/>
    </row>
    <row r="2020" customFormat="false" ht="15" hidden="false" customHeight="false" outlineLevel="0" collapsed="false">
      <c r="A2020" s="6" t="s">
        <v>9845</v>
      </c>
      <c r="B2020" s="6" t="s">
        <v>5074</v>
      </c>
      <c r="C2020" s="6" t="s">
        <v>4975</v>
      </c>
      <c r="D2020" s="6" t="s">
        <v>9797</v>
      </c>
      <c r="E2020" s="6" t="s">
        <v>9827</v>
      </c>
      <c r="F2020" s="6" t="s">
        <v>9842</v>
      </c>
      <c r="G2020" s="9" t="n">
        <v>203235</v>
      </c>
      <c r="H2020" s="6" t="s">
        <v>384</v>
      </c>
      <c r="I2020" s="6" t="s">
        <v>13</v>
      </c>
      <c r="J2020" s="6" t="s">
        <v>228</v>
      </c>
      <c r="K2020" s="6" t="s">
        <v>9843</v>
      </c>
      <c r="M2020" s="6"/>
    </row>
    <row r="2021" customFormat="false" ht="15" hidden="false" customHeight="false" outlineLevel="0" collapsed="false">
      <c r="A2021" s="6" t="s">
        <v>9846</v>
      </c>
      <c r="B2021" s="6" t="s">
        <v>5074</v>
      </c>
      <c r="C2021" s="6" t="s">
        <v>4975</v>
      </c>
      <c r="D2021" s="6" t="s">
        <v>9797</v>
      </c>
      <c r="E2021" s="6" t="s">
        <v>9827</v>
      </c>
      <c r="F2021" s="6" t="s">
        <v>9847</v>
      </c>
      <c r="G2021" s="9" t="n">
        <v>203235</v>
      </c>
      <c r="H2021" s="6" t="s">
        <v>384</v>
      </c>
      <c r="I2021" s="6" t="s">
        <v>13</v>
      </c>
      <c r="J2021" s="6" t="s">
        <v>233</v>
      </c>
      <c r="K2021" s="6" t="s">
        <v>9848</v>
      </c>
      <c r="M2021" s="6"/>
    </row>
    <row r="2022" customFormat="false" ht="15" hidden="false" customHeight="false" outlineLevel="0" collapsed="false">
      <c r="A2022" s="6" t="s">
        <v>9849</v>
      </c>
      <c r="B2022" s="6" t="s">
        <v>5113</v>
      </c>
      <c r="C2022" s="6" t="s">
        <v>4975</v>
      </c>
      <c r="D2022" s="6" t="s">
        <v>9797</v>
      </c>
      <c r="E2022" s="6" t="s">
        <v>9827</v>
      </c>
      <c r="F2022" s="6" t="s">
        <v>9842</v>
      </c>
      <c r="G2022" s="9" t="n">
        <v>218415</v>
      </c>
      <c r="H2022" s="6" t="s">
        <v>384</v>
      </c>
      <c r="I2022" s="6" t="s">
        <v>13</v>
      </c>
      <c r="J2022" s="6" t="s">
        <v>228</v>
      </c>
      <c r="K2022" s="6" t="s">
        <v>9843</v>
      </c>
      <c r="M2022" s="6"/>
    </row>
    <row r="2023" customFormat="false" ht="15" hidden="false" customHeight="false" outlineLevel="0" collapsed="false">
      <c r="A2023" s="6" t="s">
        <v>9850</v>
      </c>
      <c r="B2023" s="6" t="s">
        <v>5113</v>
      </c>
      <c r="C2023" s="6" t="s">
        <v>4975</v>
      </c>
      <c r="D2023" s="6" t="s">
        <v>9797</v>
      </c>
      <c r="E2023" s="6" t="s">
        <v>9827</v>
      </c>
      <c r="F2023" s="6" t="s">
        <v>9847</v>
      </c>
      <c r="G2023" s="9" t="n">
        <v>218415</v>
      </c>
      <c r="H2023" s="6" t="s">
        <v>384</v>
      </c>
      <c r="I2023" s="6" t="s">
        <v>13</v>
      </c>
      <c r="J2023" s="6" t="s">
        <v>233</v>
      </c>
      <c r="K2023" s="6" t="s">
        <v>9848</v>
      </c>
      <c r="M2023" s="6"/>
    </row>
    <row r="2024" customFormat="false" ht="15" hidden="false" customHeight="false" outlineLevel="0" collapsed="false">
      <c r="A2024" s="6" t="s">
        <v>9851</v>
      </c>
      <c r="B2024" s="6" t="s">
        <v>5079</v>
      </c>
      <c r="C2024" s="6" t="s">
        <v>4975</v>
      </c>
      <c r="D2024" s="6" t="s">
        <v>9797</v>
      </c>
      <c r="E2024" s="6" t="s">
        <v>9827</v>
      </c>
      <c r="F2024" s="6" t="s">
        <v>9847</v>
      </c>
      <c r="G2024" s="9" t="n">
        <v>237944</v>
      </c>
      <c r="H2024" s="6" t="s">
        <v>384</v>
      </c>
      <c r="I2024" s="6" t="s">
        <v>13</v>
      </c>
      <c r="J2024" s="6" t="s">
        <v>233</v>
      </c>
      <c r="K2024" s="6" t="s">
        <v>9848</v>
      </c>
      <c r="M2024" s="6"/>
    </row>
    <row r="2025" customFormat="false" ht="15" hidden="false" customHeight="false" outlineLevel="0" collapsed="false">
      <c r="A2025" s="6" t="s">
        <v>9852</v>
      </c>
      <c r="B2025" s="6" t="s">
        <v>6987</v>
      </c>
      <c r="C2025" s="6" t="s">
        <v>6234</v>
      </c>
      <c r="D2025" s="6" t="s">
        <v>9797</v>
      </c>
      <c r="E2025" s="6" t="s">
        <v>9853</v>
      </c>
      <c r="F2025" s="6" t="s">
        <v>9854</v>
      </c>
      <c r="H2025" s="6" t="s">
        <v>7024</v>
      </c>
      <c r="I2025" s="6" t="s">
        <v>13</v>
      </c>
      <c r="J2025" s="6" t="s">
        <v>310</v>
      </c>
      <c r="K2025" s="6" t="s">
        <v>9855</v>
      </c>
      <c r="M2025" s="6" t="s">
        <v>9856</v>
      </c>
    </row>
    <row r="2026" customFormat="false" ht="15" hidden="false" customHeight="false" outlineLevel="0" collapsed="false">
      <c r="A2026" s="6" t="s">
        <v>9857</v>
      </c>
      <c r="B2026" s="6" t="s">
        <v>5113</v>
      </c>
      <c r="C2026" s="6" t="s">
        <v>4975</v>
      </c>
      <c r="D2026" s="6" t="s">
        <v>9797</v>
      </c>
      <c r="E2026" s="6" t="s">
        <v>9858</v>
      </c>
      <c r="F2026" s="6" t="s">
        <v>9859</v>
      </c>
      <c r="G2026" s="9" t="n">
        <v>0</v>
      </c>
      <c r="H2026" s="6" t="s">
        <v>384</v>
      </c>
      <c r="I2026" s="6" t="s">
        <v>13</v>
      </c>
      <c r="J2026" s="6" t="s">
        <v>310</v>
      </c>
      <c r="K2026" s="6" t="s">
        <v>9860</v>
      </c>
      <c r="M2026" s="6" t="s">
        <v>5055</v>
      </c>
    </row>
    <row r="2027" customFormat="false" ht="15" hidden="false" customHeight="false" outlineLevel="0" collapsed="false">
      <c r="A2027" s="6" t="s">
        <v>9861</v>
      </c>
      <c r="B2027" s="6" t="s">
        <v>5079</v>
      </c>
      <c r="C2027" s="6" t="s">
        <v>4975</v>
      </c>
      <c r="D2027" s="6" t="s">
        <v>9797</v>
      </c>
      <c r="E2027" s="6" t="s">
        <v>9858</v>
      </c>
      <c r="F2027" s="6" t="s">
        <v>9859</v>
      </c>
      <c r="G2027" s="9" t="n">
        <v>66</v>
      </c>
      <c r="H2027" s="6" t="s">
        <v>384</v>
      </c>
      <c r="I2027" s="6" t="s">
        <v>13</v>
      </c>
      <c r="J2027" s="6" t="s">
        <v>310</v>
      </c>
      <c r="K2027" s="6" t="s">
        <v>9860</v>
      </c>
      <c r="M2027" s="6" t="s">
        <v>9862</v>
      </c>
    </row>
    <row r="2028" customFormat="false" ht="15" hidden="false" customHeight="false" outlineLevel="0" collapsed="false">
      <c r="A2028" s="6" t="s">
        <v>9863</v>
      </c>
      <c r="B2028" s="6" t="s">
        <v>5113</v>
      </c>
      <c r="C2028" s="6" t="s">
        <v>4975</v>
      </c>
      <c r="D2028" s="6" t="s">
        <v>9797</v>
      </c>
      <c r="E2028" s="6" t="s">
        <v>9864</v>
      </c>
      <c r="F2028" s="6" t="s">
        <v>9865</v>
      </c>
      <c r="G2028" s="9" t="n">
        <v>725</v>
      </c>
      <c r="H2028" s="6" t="s">
        <v>384</v>
      </c>
      <c r="I2028" s="6" t="s">
        <v>13</v>
      </c>
      <c r="J2028" s="6" t="s">
        <v>310</v>
      </c>
      <c r="K2028" s="6" t="s">
        <v>9860</v>
      </c>
      <c r="M2028" s="6" t="s">
        <v>5055</v>
      </c>
    </row>
    <row r="2029" customFormat="false" ht="15" hidden="false" customHeight="false" outlineLevel="0" collapsed="false">
      <c r="A2029" s="6" t="s">
        <v>9866</v>
      </c>
      <c r="B2029" s="6" t="s">
        <v>5079</v>
      </c>
      <c r="C2029" s="6" t="s">
        <v>4975</v>
      </c>
      <c r="D2029" s="6" t="s">
        <v>9797</v>
      </c>
      <c r="E2029" s="6" t="s">
        <v>9864</v>
      </c>
      <c r="F2029" s="6" t="s">
        <v>9865</v>
      </c>
      <c r="G2029" s="9" t="n">
        <v>830</v>
      </c>
      <c r="H2029" s="6" t="s">
        <v>384</v>
      </c>
      <c r="I2029" s="6" t="s">
        <v>13</v>
      </c>
      <c r="J2029" s="6" t="s">
        <v>310</v>
      </c>
      <c r="K2029" s="6" t="s">
        <v>9860</v>
      </c>
      <c r="M2029" s="6" t="s">
        <v>9867</v>
      </c>
    </row>
    <row r="2030" customFormat="false" ht="15" hidden="false" customHeight="false" outlineLevel="0" collapsed="false">
      <c r="A2030" s="6" t="s">
        <v>9868</v>
      </c>
      <c r="B2030" s="6" t="s">
        <v>5113</v>
      </c>
      <c r="C2030" s="6" t="s">
        <v>4975</v>
      </c>
      <c r="D2030" s="6" t="s">
        <v>9797</v>
      </c>
      <c r="E2030" s="6" t="s">
        <v>9869</v>
      </c>
      <c r="F2030" s="6" t="s">
        <v>9870</v>
      </c>
      <c r="G2030" s="9" t="n">
        <v>65</v>
      </c>
      <c r="H2030" s="6" t="s">
        <v>384</v>
      </c>
      <c r="I2030" s="6" t="s">
        <v>13</v>
      </c>
      <c r="J2030" s="6" t="s">
        <v>310</v>
      </c>
      <c r="K2030" s="6" t="s">
        <v>9860</v>
      </c>
      <c r="M2030" s="6" t="s">
        <v>5055</v>
      </c>
    </row>
    <row r="2031" customFormat="false" ht="15" hidden="false" customHeight="false" outlineLevel="0" collapsed="false">
      <c r="A2031" s="6" t="s">
        <v>9871</v>
      </c>
      <c r="B2031" s="6" t="s">
        <v>5079</v>
      </c>
      <c r="C2031" s="6" t="s">
        <v>4975</v>
      </c>
      <c r="D2031" s="6" t="s">
        <v>9797</v>
      </c>
      <c r="E2031" s="6" t="s">
        <v>9869</v>
      </c>
      <c r="F2031" s="6" t="s">
        <v>9870</v>
      </c>
      <c r="G2031" s="9" t="n">
        <v>76</v>
      </c>
      <c r="H2031" s="6" t="s">
        <v>384</v>
      </c>
      <c r="I2031" s="6" t="s">
        <v>13</v>
      </c>
      <c r="J2031" s="6" t="s">
        <v>310</v>
      </c>
      <c r="K2031" s="6" t="s">
        <v>9860</v>
      </c>
      <c r="M2031" s="6" t="s">
        <v>9872</v>
      </c>
    </row>
    <row r="2032" customFormat="false" ht="15" hidden="false" customHeight="false" outlineLevel="0" collapsed="false">
      <c r="A2032" s="6" t="s">
        <v>9873</v>
      </c>
      <c r="B2032" s="6" t="s">
        <v>5113</v>
      </c>
      <c r="C2032" s="6" t="s">
        <v>4975</v>
      </c>
      <c r="D2032" s="6" t="s">
        <v>9797</v>
      </c>
      <c r="E2032" s="6" t="s">
        <v>9874</v>
      </c>
      <c r="F2032" s="6" t="s">
        <v>9875</v>
      </c>
      <c r="G2032" s="9" t="n">
        <v>790</v>
      </c>
      <c r="H2032" s="6" t="s">
        <v>384</v>
      </c>
      <c r="I2032" s="6" t="s">
        <v>13</v>
      </c>
      <c r="J2032" s="6" t="s">
        <v>310</v>
      </c>
      <c r="K2032" s="6" t="s">
        <v>9860</v>
      </c>
      <c r="M2032" s="6"/>
    </row>
    <row r="2033" customFormat="false" ht="15" hidden="false" customHeight="false" outlineLevel="0" collapsed="false">
      <c r="A2033" s="6" t="s">
        <v>9876</v>
      </c>
      <c r="B2033" s="6" t="s">
        <v>5079</v>
      </c>
      <c r="C2033" s="6" t="s">
        <v>4975</v>
      </c>
      <c r="D2033" s="6" t="s">
        <v>9797</v>
      </c>
      <c r="E2033" s="6" t="s">
        <v>9874</v>
      </c>
      <c r="F2033" s="6" t="s">
        <v>9875</v>
      </c>
      <c r="G2033" s="9" t="n">
        <v>972</v>
      </c>
      <c r="H2033" s="6" t="s">
        <v>384</v>
      </c>
      <c r="I2033" s="6" t="s">
        <v>13</v>
      </c>
      <c r="J2033" s="6" t="s">
        <v>310</v>
      </c>
      <c r="K2033" s="6" t="s">
        <v>9860</v>
      </c>
      <c r="M2033" s="6" t="s">
        <v>9877</v>
      </c>
    </row>
    <row r="2034" customFormat="false" ht="15" hidden="false" customHeight="false" outlineLevel="0" collapsed="false">
      <c r="A2034" s="6" t="s">
        <v>9878</v>
      </c>
      <c r="B2034" s="6" t="s">
        <v>5097</v>
      </c>
      <c r="C2034" s="6" t="s">
        <v>4975</v>
      </c>
      <c r="D2034" s="6" t="s">
        <v>9797</v>
      </c>
      <c r="E2034" s="6" t="s">
        <v>9879</v>
      </c>
      <c r="F2034" s="6" t="s">
        <v>9880</v>
      </c>
      <c r="G2034" s="9" t="n">
        <v>1463</v>
      </c>
      <c r="H2034" s="6" t="s">
        <v>384</v>
      </c>
      <c r="I2034" s="6" t="s">
        <v>13</v>
      </c>
      <c r="J2034" s="6" t="s">
        <v>218</v>
      </c>
      <c r="K2034" s="6" t="s">
        <v>9881</v>
      </c>
      <c r="M2034" s="6"/>
    </row>
    <row r="2035" customFormat="false" ht="15" hidden="false" customHeight="false" outlineLevel="0" collapsed="false">
      <c r="A2035" s="6" t="s">
        <v>9882</v>
      </c>
      <c r="B2035" s="6" t="s">
        <v>5102</v>
      </c>
      <c r="C2035" s="6" t="s">
        <v>4975</v>
      </c>
      <c r="D2035" s="6" t="s">
        <v>9797</v>
      </c>
      <c r="E2035" s="6" t="s">
        <v>9883</v>
      </c>
      <c r="F2035" s="6" t="s">
        <v>9884</v>
      </c>
      <c r="G2035" s="19" t="n">
        <v>5</v>
      </c>
      <c r="H2035" s="6" t="s">
        <v>5105</v>
      </c>
      <c r="I2035" s="6" t="s">
        <v>13</v>
      </c>
      <c r="J2035" s="6" t="s">
        <v>223</v>
      </c>
      <c r="K2035" s="6" t="s">
        <v>9885</v>
      </c>
      <c r="M2035" s="6"/>
    </row>
    <row r="2036" customFormat="false" ht="15" hidden="false" customHeight="false" outlineLevel="0" collapsed="false">
      <c r="A2036" s="6" t="s">
        <v>9886</v>
      </c>
      <c r="B2036" s="6" t="s">
        <v>5097</v>
      </c>
      <c r="C2036" s="6" t="s">
        <v>4975</v>
      </c>
      <c r="D2036" s="6" t="s">
        <v>9797</v>
      </c>
      <c r="E2036" s="6" t="s">
        <v>9883</v>
      </c>
      <c r="F2036" s="6" t="s">
        <v>9887</v>
      </c>
      <c r="G2036" s="19" t="n">
        <v>5</v>
      </c>
      <c r="H2036" s="6" t="s">
        <v>5105</v>
      </c>
      <c r="I2036" s="6" t="s">
        <v>13</v>
      </c>
      <c r="J2036" s="6" t="s">
        <v>218</v>
      </c>
      <c r="K2036" s="6" t="s">
        <v>9888</v>
      </c>
      <c r="M2036" s="6" t="s">
        <v>9889</v>
      </c>
    </row>
    <row r="2037" customFormat="false" ht="15" hidden="false" customHeight="false" outlineLevel="0" collapsed="false">
      <c r="A2037" s="6" t="s">
        <v>9890</v>
      </c>
      <c r="B2037" s="6" t="s">
        <v>5097</v>
      </c>
      <c r="C2037" s="6" t="s">
        <v>4975</v>
      </c>
      <c r="D2037" s="6" t="s">
        <v>9797</v>
      </c>
      <c r="E2037" s="6" t="s">
        <v>9883</v>
      </c>
      <c r="F2037" s="6" t="s">
        <v>9884</v>
      </c>
      <c r="G2037" s="19" t="n">
        <v>5</v>
      </c>
      <c r="H2037" s="6" t="s">
        <v>5105</v>
      </c>
      <c r="I2037" s="6" t="s">
        <v>13</v>
      </c>
      <c r="J2037" s="6" t="s">
        <v>223</v>
      </c>
      <c r="K2037" s="6" t="s">
        <v>9885</v>
      </c>
      <c r="M2037" s="6"/>
    </row>
    <row r="2038" customFormat="false" ht="15" hidden="false" customHeight="false" outlineLevel="0" collapsed="false">
      <c r="A2038" s="6" t="s">
        <v>9891</v>
      </c>
      <c r="B2038" s="6" t="s">
        <v>5097</v>
      </c>
      <c r="C2038" s="6" t="s">
        <v>4975</v>
      </c>
      <c r="D2038" s="6" t="s">
        <v>9797</v>
      </c>
      <c r="E2038" s="6" t="s">
        <v>9883</v>
      </c>
      <c r="F2038" s="6" t="s">
        <v>9892</v>
      </c>
      <c r="G2038" s="19" t="n">
        <v>5</v>
      </c>
      <c r="H2038" s="6" t="s">
        <v>5105</v>
      </c>
      <c r="I2038" s="6" t="s">
        <v>13</v>
      </c>
      <c r="J2038" s="6" t="s">
        <v>228</v>
      </c>
      <c r="K2038" s="6" t="s">
        <v>9893</v>
      </c>
      <c r="M2038" s="6"/>
    </row>
    <row r="2039" customFormat="false" ht="15" hidden="false" customHeight="false" outlineLevel="0" collapsed="false">
      <c r="A2039" s="6" t="s">
        <v>9894</v>
      </c>
      <c r="B2039" s="6" t="s">
        <v>5074</v>
      </c>
      <c r="C2039" s="6" t="s">
        <v>4975</v>
      </c>
      <c r="D2039" s="6" t="s">
        <v>9797</v>
      </c>
      <c r="E2039" s="6" t="s">
        <v>9883</v>
      </c>
      <c r="F2039" s="6" t="s">
        <v>9884</v>
      </c>
      <c r="G2039" s="19" t="n">
        <v>6</v>
      </c>
      <c r="H2039" s="6" t="s">
        <v>5105</v>
      </c>
      <c r="I2039" s="6" t="s">
        <v>13</v>
      </c>
      <c r="J2039" s="6" t="s">
        <v>223</v>
      </c>
      <c r="K2039" s="6" t="s">
        <v>9885</v>
      </c>
      <c r="M2039" s="6"/>
    </row>
    <row r="2040" customFormat="false" ht="15" hidden="false" customHeight="false" outlineLevel="0" collapsed="false">
      <c r="A2040" s="6" t="s">
        <v>9895</v>
      </c>
      <c r="B2040" s="6" t="s">
        <v>5074</v>
      </c>
      <c r="C2040" s="6" t="s">
        <v>4975</v>
      </c>
      <c r="D2040" s="6" t="s">
        <v>9797</v>
      </c>
      <c r="E2040" s="6" t="s">
        <v>9883</v>
      </c>
      <c r="F2040" s="6" t="s">
        <v>9892</v>
      </c>
      <c r="G2040" s="19" t="n">
        <v>6</v>
      </c>
      <c r="H2040" s="6" t="s">
        <v>5105</v>
      </c>
      <c r="I2040" s="6" t="s">
        <v>13</v>
      </c>
      <c r="J2040" s="6" t="s">
        <v>228</v>
      </c>
      <c r="K2040" s="6" t="s">
        <v>9893</v>
      </c>
      <c r="M2040" s="6"/>
    </row>
    <row r="2041" customFormat="false" ht="15" hidden="false" customHeight="false" outlineLevel="0" collapsed="false">
      <c r="A2041" s="6" t="s">
        <v>9896</v>
      </c>
      <c r="B2041" s="6" t="s">
        <v>5113</v>
      </c>
      <c r="C2041" s="6" t="s">
        <v>4975</v>
      </c>
      <c r="D2041" s="6" t="s">
        <v>9797</v>
      </c>
      <c r="E2041" s="6" t="s">
        <v>9883</v>
      </c>
      <c r="F2041" s="6" t="s">
        <v>9892</v>
      </c>
      <c r="G2041" s="19" t="n">
        <v>5</v>
      </c>
      <c r="H2041" s="6" t="s">
        <v>5105</v>
      </c>
      <c r="I2041" s="6" t="s">
        <v>13</v>
      </c>
      <c r="J2041" s="6" t="s">
        <v>228</v>
      </c>
      <c r="K2041" s="6" t="s">
        <v>9893</v>
      </c>
      <c r="M2041" s="6"/>
    </row>
    <row r="2042" customFormat="false" ht="15" hidden="false" customHeight="false" outlineLevel="0" collapsed="false">
      <c r="A2042" s="6" t="s">
        <v>9897</v>
      </c>
      <c r="B2042" s="6" t="s">
        <v>5315</v>
      </c>
      <c r="C2042" s="6" t="s">
        <v>5316</v>
      </c>
      <c r="D2042" s="6" t="s">
        <v>9797</v>
      </c>
      <c r="E2042" s="6" t="s">
        <v>9883</v>
      </c>
      <c r="F2042" s="6" t="s">
        <v>9898</v>
      </c>
      <c r="G2042" s="19" t="n">
        <v>5</v>
      </c>
      <c r="H2042" s="6" t="s">
        <v>5105</v>
      </c>
      <c r="I2042" s="6" t="s">
        <v>13</v>
      </c>
      <c r="J2042" s="6" t="s">
        <v>246</v>
      </c>
      <c r="K2042" s="6" t="s">
        <v>9899</v>
      </c>
      <c r="M2042" s="6" t="s">
        <v>9900</v>
      </c>
    </row>
    <row r="2043" customFormat="false" ht="15" hidden="false" customHeight="false" outlineLevel="0" collapsed="false">
      <c r="A2043" s="6" t="s">
        <v>9901</v>
      </c>
      <c r="B2043" s="6" t="s">
        <v>5320</v>
      </c>
      <c r="C2043" s="6" t="s">
        <v>5316</v>
      </c>
      <c r="D2043" s="6" t="s">
        <v>9797</v>
      </c>
      <c r="E2043" s="6" t="s">
        <v>9883</v>
      </c>
      <c r="F2043" s="6" t="s">
        <v>9902</v>
      </c>
      <c r="G2043" s="19" t="n">
        <v>2</v>
      </c>
      <c r="H2043" s="6" t="s">
        <v>5105</v>
      </c>
      <c r="I2043" s="6" t="s">
        <v>13</v>
      </c>
      <c r="J2043" s="6" t="s">
        <v>257</v>
      </c>
      <c r="K2043" s="6" t="s">
        <v>9903</v>
      </c>
      <c r="M2043" s="6" t="s">
        <v>9904</v>
      </c>
    </row>
    <row r="2044" customFormat="false" ht="15" hidden="false" customHeight="false" outlineLevel="0" collapsed="false">
      <c r="A2044" s="6" t="s">
        <v>9905</v>
      </c>
      <c r="B2044" s="6" t="s">
        <v>6032</v>
      </c>
      <c r="C2044" s="6" t="s">
        <v>4975</v>
      </c>
      <c r="D2044" s="6" t="s">
        <v>9797</v>
      </c>
      <c r="E2044" s="6" t="s">
        <v>9906</v>
      </c>
      <c r="F2044" s="6" t="s">
        <v>9907</v>
      </c>
      <c r="G2044" s="19" t="n">
        <v>4</v>
      </c>
      <c r="H2044" s="6" t="s">
        <v>5105</v>
      </c>
      <c r="I2044" s="6" t="s">
        <v>13</v>
      </c>
      <c r="J2044" s="6" t="s">
        <v>209</v>
      </c>
      <c r="K2044" s="6" t="s">
        <v>9908</v>
      </c>
      <c r="M2044" s="6"/>
    </row>
    <row r="2045" customFormat="false" ht="15" hidden="false" customHeight="false" outlineLevel="0" collapsed="false">
      <c r="A2045" s="6" t="s">
        <v>9909</v>
      </c>
      <c r="B2045" s="6" t="s">
        <v>5203</v>
      </c>
      <c r="C2045" s="6" t="s">
        <v>4975</v>
      </c>
      <c r="D2045" s="6" t="s">
        <v>9797</v>
      </c>
      <c r="E2045" s="6" t="s">
        <v>9906</v>
      </c>
      <c r="F2045" s="6" t="s">
        <v>9907</v>
      </c>
      <c r="G2045" s="19" t="n">
        <v>5</v>
      </c>
      <c r="H2045" s="6" t="s">
        <v>5105</v>
      </c>
      <c r="I2045" s="6" t="s">
        <v>13</v>
      </c>
      <c r="J2045" s="6" t="s">
        <v>209</v>
      </c>
      <c r="K2045" s="6" t="s">
        <v>9908</v>
      </c>
      <c r="M2045" s="6"/>
    </row>
    <row r="2046" customFormat="false" ht="15" hidden="false" customHeight="false" outlineLevel="0" collapsed="false">
      <c r="A2046" s="6" t="s">
        <v>9910</v>
      </c>
      <c r="B2046" s="6" t="s">
        <v>5102</v>
      </c>
      <c r="C2046" s="6" t="s">
        <v>4975</v>
      </c>
      <c r="D2046" s="6" t="s">
        <v>9797</v>
      </c>
      <c r="E2046" s="6" t="s">
        <v>9906</v>
      </c>
      <c r="F2046" s="6" t="s">
        <v>9907</v>
      </c>
      <c r="G2046" s="19" t="n">
        <v>5</v>
      </c>
      <c r="H2046" s="6" t="s">
        <v>5105</v>
      </c>
      <c r="I2046" s="6" t="s">
        <v>13</v>
      </c>
      <c r="J2046" s="6" t="s">
        <v>209</v>
      </c>
      <c r="K2046" s="6" t="s">
        <v>9908</v>
      </c>
      <c r="M2046" s="6"/>
    </row>
    <row r="2047" customFormat="false" ht="15" hidden="false" customHeight="false" outlineLevel="0" collapsed="false">
      <c r="A2047" s="6" t="s">
        <v>9911</v>
      </c>
      <c r="B2047" s="6" t="s">
        <v>9912</v>
      </c>
      <c r="C2047" s="6" t="s">
        <v>6234</v>
      </c>
      <c r="D2047" s="6" t="s">
        <v>9797</v>
      </c>
      <c r="E2047" s="6" t="s">
        <v>9913</v>
      </c>
      <c r="F2047" s="6" t="s">
        <v>9914</v>
      </c>
      <c r="H2047" s="6" t="s">
        <v>7024</v>
      </c>
      <c r="I2047" s="6" t="s">
        <v>13</v>
      </c>
      <c r="J2047" s="6" t="s">
        <v>287</v>
      </c>
      <c r="K2047" s="6" t="s">
        <v>5169</v>
      </c>
      <c r="M2047" s="6"/>
    </row>
    <row r="2048" customFormat="false" ht="15" hidden="false" customHeight="false" outlineLevel="0" collapsed="false">
      <c r="A2048" s="6" t="s">
        <v>9915</v>
      </c>
      <c r="B2048" s="6" t="s">
        <v>6247</v>
      </c>
      <c r="C2048" s="6" t="s">
        <v>6248</v>
      </c>
      <c r="D2048" s="6" t="s">
        <v>9797</v>
      </c>
      <c r="E2048" s="6" t="s">
        <v>9916</v>
      </c>
      <c r="F2048" s="6" t="s">
        <v>9917</v>
      </c>
      <c r="G2048" s="19" t="n">
        <v>110000</v>
      </c>
      <c r="H2048" s="6" t="s">
        <v>9918</v>
      </c>
      <c r="I2048" s="6" t="s">
        <v>13</v>
      </c>
      <c r="J2048" s="6" t="s">
        <v>310</v>
      </c>
      <c r="K2048" s="6" t="s">
        <v>9919</v>
      </c>
      <c r="M2048" s="6" t="s">
        <v>9920</v>
      </c>
    </row>
    <row r="2049" customFormat="false" ht="15" hidden="false" customHeight="false" outlineLevel="0" collapsed="false">
      <c r="A2049" s="6" t="s">
        <v>9921</v>
      </c>
      <c r="B2049" s="6" t="s">
        <v>6247</v>
      </c>
      <c r="C2049" s="6" t="s">
        <v>9922</v>
      </c>
      <c r="D2049" s="6" t="s">
        <v>9797</v>
      </c>
      <c r="E2049" s="6" t="s">
        <v>9923</v>
      </c>
      <c r="F2049" s="6" t="s">
        <v>9924</v>
      </c>
      <c r="G2049" s="13" t="n">
        <v>10.4</v>
      </c>
      <c r="H2049" s="6" t="s">
        <v>3751</v>
      </c>
      <c r="I2049" s="6" t="s">
        <v>13</v>
      </c>
      <c r="J2049" s="6" t="s">
        <v>310</v>
      </c>
      <c r="K2049" s="6" t="s">
        <v>9925</v>
      </c>
      <c r="M2049" s="6" t="s">
        <v>9926</v>
      </c>
    </row>
    <row r="2050" customFormat="false" ht="15" hidden="false" customHeight="false" outlineLevel="0" collapsed="false">
      <c r="A2050" s="6" t="s">
        <v>9927</v>
      </c>
      <c r="B2050" s="6" t="s">
        <v>6254</v>
      </c>
      <c r="C2050" s="6" t="s">
        <v>9922</v>
      </c>
      <c r="D2050" s="6" t="s">
        <v>9797</v>
      </c>
      <c r="E2050" s="6" t="s">
        <v>9928</v>
      </c>
      <c r="F2050" s="6" t="s">
        <v>9924</v>
      </c>
      <c r="G2050" s="13" t="n">
        <v>13.9</v>
      </c>
      <c r="H2050" s="6" t="s">
        <v>3751</v>
      </c>
      <c r="I2050" s="6" t="s">
        <v>13</v>
      </c>
      <c r="J2050" s="6" t="s">
        <v>310</v>
      </c>
      <c r="K2050" s="6" t="s">
        <v>9925</v>
      </c>
      <c r="M2050" s="6" t="s">
        <v>9926</v>
      </c>
    </row>
    <row r="2051" customFormat="false" ht="15" hidden="false" customHeight="false" outlineLevel="0" collapsed="false">
      <c r="A2051" s="6" t="s">
        <v>9929</v>
      </c>
      <c r="B2051" s="6" t="s">
        <v>6259</v>
      </c>
      <c r="C2051" s="6" t="s">
        <v>9922</v>
      </c>
      <c r="D2051" s="6" t="s">
        <v>9797</v>
      </c>
      <c r="E2051" s="6" t="s">
        <v>9930</v>
      </c>
      <c r="F2051" s="6" t="s">
        <v>9924</v>
      </c>
      <c r="G2051" s="13" t="n">
        <v>14.6</v>
      </c>
      <c r="H2051" s="6" t="s">
        <v>3751</v>
      </c>
      <c r="I2051" s="6" t="s">
        <v>13</v>
      </c>
      <c r="J2051" s="6" t="s">
        <v>310</v>
      </c>
      <c r="K2051" s="6" t="s">
        <v>9925</v>
      </c>
      <c r="M2051" s="6" t="s">
        <v>9926</v>
      </c>
    </row>
    <row r="2052" customFormat="false" ht="15" hidden="false" customHeight="false" outlineLevel="0" collapsed="false">
      <c r="A2052" s="6" t="s">
        <v>9931</v>
      </c>
      <c r="B2052" s="6" t="s">
        <v>5113</v>
      </c>
      <c r="C2052" s="6" t="s">
        <v>4975</v>
      </c>
      <c r="D2052" s="6" t="s">
        <v>9797</v>
      </c>
      <c r="E2052" s="6" t="s">
        <v>9932</v>
      </c>
      <c r="F2052" s="6" t="s">
        <v>9933</v>
      </c>
      <c r="G2052" s="19" t="n">
        <v>3</v>
      </c>
      <c r="H2052" s="6" t="s">
        <v>5307</v>
      </c>
      <c r="I2052" s="6" t="s">
        <v>13</v>
      </c>
      <c r="J2052" s="6" t="s">
        <v>228</v>
      </c>
      <c r="K2052" s="6" t="s">
        <v>6006</v>
      </c>
      <c r="M2052" s="6" t="s">
        <v>5055</v>
      </c>
    </row>
    <row r="2053" customFormat="false" ht="15" hidden="false" customHeight="false" outlineLevel="0" collapsed="false">
      <c r="A2053" s="6" t="s">
        <v>9934</v>
      </c>
      <c r="B2053" s="6" t="s">
        <v>9935</v>
      </c>
      <c r="C2053" s="6" t="s">
        <v>5050</v>
      </c>
      <c r="D2053" s="6" t="s">
        <v>9797</v>
      </c>
      <c r="E2053" s="6" t="s">
        <v>9936</v>
      </c>
      <c r="F2053" s="6" t="s">
        <v>9937</v>
      </c>
      <c r="G2053" s="9" t="n">
        <v>150000</v>
      </c>
      <c r="H2053" s="6" t="s">
        <v>384</v>
      </c>
      <c r="I2053" s="6" t="s">
        <v>13</v>
      </c>
      <c r="J2053" s="6" t="s">
        <v>209</v>
      </c>
      <c r="K2053" s="6" t="s">
        <v>9938</v>
      </c>
      <c r="M2053" s="6" t="s">
        <v>9939</v>
      </c>
    </row>
    <row r="2054" customFormat="false" ht="15" hidden="false" customHeight="false" outlineLevel="0" collapsed="false">
      <c r="A2054" s="6" t="s">
        <v>9940</v>
      </c>
      <c r="B2054" s="6" t="s">
        <v>6032</v>
      </c>
      <c r="C2054" s="6" t="s">
        <v>4975</v>
      </c>
      <c r="D2054" s="6" t="s">
        <v>9797</v>
      </c>
      <c r="E2054" s="6" t="s">
        <v>510</v>
      </c>
      <c r="F2054" s="6" t="s">
        <v>9941</v>
      </c>
      <c r="G2054" s="9" t="n">
        <v>11978</v>
      </c>
      <c r="H2054" s="6" t="s">
        <v>384</v>
      </c>
      <c r="I2054" s="6" t="s">
        <v>13</v>
      </c>
      <c r="J2054" s="6" t="s">
        <v>209</v>
      </c>
      <c r="K2054" s="6" t="s">
        <v>9942</v>
      </c>
      <c r="M2054" s="6"/>
    </row>
    <row r="2055" customFormat="false" ht="15" hidden="false" customHeight="false" outlineLevel="0" collapsed="false">
      <c r="A2055" s="6" t="s">
        <v>9943</v>
      </c>
      <c r="B2055" s="6" t="s">
        <v>5203</v>
      </c>
      <c r="C2055" s="6" t="s">
        <v>4975</v>
      </c>
      <c r="D2055" s="6" t="s">
        <v>9797</v>
      </c>
      <c r="E2055" s="6" t="s">
        <v>510</v>
      </c>
      <c r="F2055" s="6" t="s">
        <v>9941</v>
      </c>
      <c r="G2055" s="9" t="n">
        <v>22488</v>
      </c>
      <c r="H2055" s="6" t="s">
        <v>384</v>
      </c>
      <c r="I2055" s="6" t="s">
        <v>13</v>
      </c>
      <c r="J2055" s="6" t="s">
        <v>209</v>
      </c>
      <c r="K2055" s="6" t="s">
        <v>9942</v>
      </c>
      <c r="M2055" s="6"/>
    </row>
    <row r="2056" customFormat="false" ht="15" hidden="false" customHeight="false" outlineLevel="0" collapsed="false">
      <c r="A2056" s="6" t="s">
        <v>9944</v>
      </c>
      <c r="B2056" s="6" t="s">
        <v>5203</v>
      </c>
      <c r="C2056" s="6" t="s">
        <v>4975</v>
      </c>
      <c r="D2056" s="6" t="s">
        <v>9797</v>
      </c>
      <c r="E2056" s="6" t="s">
        <v>510</v>
      </c>
      <c r="F2056" s="6" t="s">
        <v>9945</v>
      </c>
      <c r="G2056" s="9" t="n">
        <v>22488</v>
      </c>
      <c r="H2056" s="6" t="s">
        <v>384</v>
      </c>
      <c r="I2056" s="6" t="s">
        <v>13</v>
      </c>
      <c r="J2056" s="6" t="s">
        <v>218</v>
      </c>
      <c r="K2056" s="6" t="s">
        <v>9942</v>
      </c>
      <c r="M2056" s="6"/>
    </row>
    <row r="2057" customFormat="false" ht="15" hidden="false" customHeight="false" outlineLevel="0" collapsed="false">
      <c r="A2057" s="6" t="s">
        <v>9946</v>
      </c>
      <c r="B2057" s="6" t="s">
        <v>5102</v>
      </c>
      <c r="C2057" s="6" t="s">
        <v>4975</v>
      </c>
      <c r="D2057" s="6" t="s">
        <v>9797</v>
      </c>
      <c r="E2057" s="6" t="s">
        <v>510</v>
      </c>
      <c r="F2057" s="6" t="s">
        <v>9941</v>
      </c>
      <c r="G2057" s="9" t="n">
        <v>39013</v>
      </c>
      <c r="H2057" s="6" t="s">
        <v>384</v>
      </c>
      <c r="I2057" s="6" t="s">
        <v>13</v>
      </c>
      <c r="J2057" s="6" t="s">
        <v>209</v>
      </c>
      <c r="K2057" s="6" t="s">
        <v>9942</v>
      </c>
      <c r="M2057" s="6"/>
    </row>
    <row r="2058" customFormat="false" ht="15" hidden="false" customHeight="false" outlineLevel="0" collapsed="false">
      <c r="A2058" s="6" t="s">
        <v>9947</v>
      </c>
      <c r="B2058" s="6" t="s">
        <v>5102</v>
      </c>
      <c r="C2058" s="6" t="s">
        <v>4975</v>
      </c>
      <c r="D2058" s="6" t="s">
        <v>9797</v>
      </c>
      <c r="E2058" s="6" t="s">
        <v>510</v>
      </c>
      <c r="F2058" s="6" t="s">
        <v>9945</v>
      </c>
      <c r="G2058" s="9" t="n">
        <v>39013</v>
      </c>
      <c r="H2058" s="6" t="s">
        <v>384</v>
      </c>
      <c r="I2058" s="6" t="s">
        <v>13</v>
      </c>
      <c r="J2058" s="6" t="s">
        <v>218</v>
      </c>
      <c r="K2058" s="6" t="s">
        <v>9942</v>
      </c>
      <c r="M2058" s="6"/>
    </row>
    <row r="2059" customFormat="false" ht="15" hidden="false" customHeight="false" outlineLevel="0" collapsed="false">
      <c r="A2059" s="6" t="s">
        <v>9948</v>
      </c>
      <c r="B2059" s="6" t="s">
        <v>5102</v>
      </c>
      <c r="C2059" s="6" t="s">
        <v>4975</v>
      </c>
      <c r="D2059" s="6" t="s">
        <v>9797</v>
      </c>
      <c r="E2059" s="6" t="s">
        <v>510</v>
      </c>
      <c r="F2059" s="6" t="s">
        <v>9949</v>
      </c>
      <c r="G2059" s="9" t="n">
        <v>39013</v>
      </c>
      <c r="H2059" s="6" t="s">
        <v>384</v>
      </c>
      <c r="I2059" s="6" t="s">
        <v>13</v>
      </c>
      <c r="J2059" s="6" t="s">
        <v>223</v>
      </c>
      <c r="K2059" s="6" t="s">
        <v>9942</v>
      </c>
      <c r="M2059" s="6"/>
    </row>
    <row r="2060" customFormat="false" ht="15" hidden="false" customHeight="false" outlineLevel="0" collapsed="false">
      <c r="A2060" s="6" t="s">
        <v>9950</v>
      </c>
      <c r="B2060" s="6" t="s">
        <v>5097</v>
      </c>
      <c r="C2060" s="6" t="s">
        <v>4975</v>
      </c>
      <c r="D2060" s="6" t="s">
        <v>9797</v>
      </c>
      <c r="E2060" s="6" t="s">
        <v>510</v>
      </c>
      <c r="F2060" s="6" t="s">
        <v>9945</v>
      </c>
      <c r="G2060" s="9" t="n">
        <v>66528</v>
      </c>
      <c r="H2060" s="6" t="s">
        <v>384</v>
      </c>
      <c r="I2060" s="6" t="s">
        <v>13</v>
      </c>
      <c r="J2060" s="6" t="s">
        <v>218</v>
      </c>
      <c r="K2060" s="6" t="s">
        <v>9942</v>
      </c>
      <c r="M2060" s="6"/>
    </row>
    <row r="2061" customFormat="false" ht="15" hidden="false" customHeight="false" outlineLevel="0" collapsed="false">
      <c r="A2061" s="6" t="s">
        <v>9951</v>
      </c>
      <c r="B2061" s="6" t="s">
        <v>5097</v>
      </c>
      <c r="C2061" s="6" t="s">
        <v>4975</v>
      </c>
      <c r="D2061" s="6" t="s">
        <v>9797</v>
      </c>
      <c r="E2061" s="6" t="s">
        <v>510</v>
      </c>
      <c r="F2061" s="6" t="s">
        <v>9949</v>
      </c>
      <c r="G2061" s="9" t="n">
        <v>66528</v>
      </c>
      <c r="H2061" s="6" t="s">
        <v>384</v>
      </c>
      <c r="I2061" s="6" t="s">
        <v>13</v>
      </c>
      <c r="J2061" s="6" t="s">
        <v>223</v>
      </c>
      <c r="K2061" s="6" t="s">
        <v>9942</v>
      </c>
      <c r="M2061" s="6"/>
    </row>
    <row r="2062" customFormat="false" ht="15" hidden="false" customHeight="false" outlineLevel="0" collapsed="false">
      <c r="A2062" s="6" t="s">
        <v>9952</v>
      </c>
      <c r="B2062" s="6" t="s">
        <v>5097</v>
      </c>
      <c r="C2062" s="6" t="s">
        <v>4975</v>
      </c>
      <c r="D2062" s="6" t="s">
        <v>9797</v>
      </c>
      <c r="E2062" s="6" t="s">
        <v>510</v>
      </c>
      <c r="F2062" s="6" t="s">
        <v>9953</v>
      </c>
      <c r="G2062" s="9" t="n">
        <v>66528</v>
      </c>
      <c r="H2062" s="6" t="s">
        <v>384</v>
      </c>
      <c r="I2062" s="6" t="s">
        <v>13</v>
      </c>
      <c r="J2062" s="6" t="s">
        <v>228</v>
      </c>
      <c r="K2062" s="6" t="s">
        <v>9954</v>
      </c>
      <c r="M2062" s="6"/>
    </row>
    <row r="2063" customFormat="false" ht="15" hidden="false" customHeight="false" outlineLevel="0" collapsed="false">
      <c r="A2063" s="6" t="s">
        <v>9955</v>
      </c>
      <c r="B2063" s="6" t="s">
        <v>5074</v>
      </c>
      <c r="C2063" s="6" t="s">
        <v>4975</v>
      </c>
      <c r="D2063" s="6" t="s">
        <v>9797</v>
      </c>
      <c r="E2063" s="6" t="s">
        <v>510</v>
      </c>
      <c r="F2063" s="6" t="s">
        <v>9949</v>
      </c>
      <c r="G2063" s="9" t="n">
        <v>80645</v>
      </c>
      <c r="H2063" s="6" t="s">
        <v>384</v>
      </c>
      <c r="I2063" s="6" t="s">
        <v>13</v>
      </c>
      <c r="J2063" s="6" t="s">
        <v>223</v>
      </c>
      <c r="K2063" s="6" t="s">
        <v>9942</v>
      </c>
      <c r="M2063" s="6"/>
    </row>
    <row r="2064" customFormat="false" ht="15" hidden="false" customHeight="false" outlineLevel="0" collapsed="false">
      <c r="A2064" s="6" t="s">
        <v>9956</v>
      </c>
      <c r="B2064" s="6" t="s">
        <v>5074</v>
      </c>
      <c r="C2064" s="6" t="s">
        <v>4975</v>
      </c>
      <c r="D2064" s="6" t="s">
        <v>9797</v>
      </c>
      <c r="E2064" s="6" t="s">
        <v>510</v>
      </c>
      <c r="F2064" s="6" t="s">
        <v>9953</v>
      </c>
      <c r="G2064" s="9" t="n">
        <v>80645</v>
      </c>
      <c r="H2064" s="6" t="s">
        <v>384</v>
      </c>
      <c r="I2064" s="6" t="s">
        <v>13</v>
      </c>
      <c r="J2064" s="6" t="s">
        <v>228</v>
      </c>
      <c r="K2064" s="6" t="s">
        <v>9954</v>
      </c>
      <c r="M2064" s="6"/>
    </row>
    <row r="2065" customFormat="false" ht="15" hidden="false" customHeight="false" outlineLevel="0" collapsed="false">
      <c r="A2065" s="6" t="s">
        <v>9957</v>
      </c>
      <c r="B2065" s="6" t="s">
        <v>5074</v>
      </c>
      <c r="C2065" s="6" t="s">
        <v>4975</v>
      </c>
      <c r="D2065" s="6" t="s">
        <v>9797</v>
      </c>
      <c r="E2065" s="6" t="s">
        <v>510</v>
      </c>
      <c r="F2065" s="6" t="s">
        <v>9958</v>
      </c>
      <c r="G2065" s="9" t="n">
        <v>80645</v>
      </c>
      <c r="H2065" s="6" t="s">
        <v>384</v>
      </c>
      <c r="I2065" s="6" t="s">
        <v>13</v>
      </c>
      <c r="J2065" s="6" t="s">
        <v>233</v>
      </c>
      <c r="K2065" s="6" t="s">
        <v>9403</v>
      </c>
      <c r="M2065" s="6"/>
    </row>
    <row r="2066" customFormat="false" ht="15" hidden="false" customHeight="false" outlineLevel="0" collapsed="false">
      <c r="A2066" s="6" t="s">
        <v>9959</v>
      </c>
      <c r="B2066" s="6" t="s">
        <v>5113</v>
      </c>
      <c r="C2066" s="6" t="s">
        <v>4975</v>
      </c>
      <c r="D2066" s="6" t="s">
        <v>9797</v>
      </c>
      <c r="E2066" s="6" t="s">
        <v>510</v>
      </c>
      <c r="F2066" s="6" t="s">
        <v>9953</v>
      </c>
      <c r="G2066" s="9" t="n">
        <v>103691</v>
      </c>
      <c r="H2066" s="6" t="s">
        <v>384</v>
      </c>
      <c r="I2066" s="6" t="s">
        <v>13</v>
      </c>
      <c r="J2066" s="6" t="s">
        <v>228</v>
      </c>
      <c r="K2066" s="6" t="s">
        <v>9954</v>
      </c>
      <c r="M2066" s="6"/>
    </row>
    <row r="2067" customFormat="false" ht="15" hidden="false" customHeight="false" outlineLevel="0" collapsed="false">
      <c r="A2067" s="6" t="s">
        <v>9960</v>
      </c>
      <c r="B2067" s="6" t="s">
        <v>5113</v>
      </c>
      <c r="C2067" s="6" t="s">
        <v>4975</v>
      </c>
      <c r="D2067" s="6" t="s">
        <v>9797</v>
      </c>
      <c r="E2067" s="6" t="s">
        <v>510</v>
      </c>
      <c r="F2067" s="6" t="s">
        <v>9958</v>
      </c>
      <c r="G2067" s="9" t="n">
        <v>103691</v>
      </c>
      <c r="H2067" s="6" t="s">
        <v>384</v>
      </c>
      <c r="I2067" s="6" t="s">
        <v>13</v>
      </c>
      <c r="J2067" s="6" t="s">
        <v>233</v>
      </c>
      <c r="K2067" s="6" t="s">
        <v>9403</v>
      </c>
      <c r="M2067" s="6"/>
    </row>
    <row r="2068" customFormat="false" ht="15" hidden="false" customHeight="false" outlineLevel="0" collapsed="false">
      <c r="A2068" s="6" t="s">
        <v>9961</v>
      </c>
      <c r="B2068" s="6" t="s">
        <v>5079</v>
      </c>
      <c r="C2068" s="6" t="s">
        <v>4975</v>
      </c>
      <c r="D2068" s="6" t="s">
        <v>9797</v>
      </c>
      <c r="E2068" s="6" t="s">
        <v>510</v>
      </c>
      <c r="F2068" s="6" t="s">
        <v>9958</v>
      </c>
      <c r="G2068" s="9" t="n">
        <v>133099</v>
      </c>
      <c r="H2068" s="6" t="s">
        <v>384</v>
      </c>
      <c r="I2068" s="6" t="s">
        <v>13</v>
      </c>
      <c r="J2068" s="6" t="s">
        <v>233</v>
      </c>
      <c r="K2068" s="6" t="s">
        <v>9403</v>
      </c>
      <c r="M2068" s="6"/>
    </row>
    <row r="2069" customFormat="false" ht="15" hidden="false" customHeight="false" outlineLevel="0" collapsed="false">
      <c r="A2069" s="6" t="s">
        <v>9962</v>
      </c>
      <c r="B2069" s="6" t="s">
        <v>5519</v>
      </c>
      <c r="C2069" s="6" t="s">
        <v>5316</v>
      </c>
      <c r="D2069" s="6" t="s">
        <v>9797</v>
      </c>
      <c r="E2069" s="6" t="s">
        <v>510</v>
      </c>
      <c r="F2069" s="6" t="s">
        <v>9963</v>
      </c>
      <c r="G2069" s="9" t="n">
        <v>36530</v>
      </c>
      <c r="H2069" s="6" t="s">
        <v>384</v>
      </c>
      <c r="I2069" s="6" t="s">
        <v>13</v>
      </c>
      <c r="J2069" s="6" t="s">
        <v>238</v>
      </c>
      <c r="K2069" s="6" t="s">
        <v>5824</v>
      </c>
      <c r="M2069" s="6"/>
    </row>
    <row r="2070" customFormat="false" ht="15" hidden="false" customHeight="false" outlineLevel="0" collapsed="false">
      <c r="A2070" s="6" t="s">
        <v>9964</v>
      </c>
      <c r="B2070" s="6" t="s">
        <v>5315</v>
      </c>
      <c r="C2070" s="6" t="s">
        <v>5316</v>
      </c>
      <c r="D2070" s="6" t="s">
        <v>9797</v>
      </c>
      <c r="E2070" s="6" t="s">
        <v>510</v>
      </c>
      <c r="F2070" s="6" t="s">
        <v>9963</v>
      </c>
      <c r="G2070" s="9" t="n">
        <v>47217</v>
      </c>
      <c r="H2070" s="6" t="s">
        <v>384</v>
      </c>
      <c r="I2070" s="6" t="s">
        <v>13</v>
      </c>
      <c r="J2070" s="6" t="s">
        <v>238</v>
      </c>
      <c r="K2070" s="6" t="s">
        <v>5824</v>
      </c>
      <c r="M2070" s="6"/>
    </row>
    <row r="2071" customFormat="false" ht="15" hidden="false" customHeight="false" outlineLevel="0" collapsed="false">
      <c r="A2071" s="6" t="s">
        <v>9965</v>
      </c>
      <c r="B2071" s="6" t="s">
        <v>5320</v>
      </c>
      <c r="C2071" s="6" t="s">
        <v>5316</v>
      </c>
      <c r="D2071" s="6" t="s">
        <v>9797</v>
      </c>
      <c r="E2071" s="6" t="s">
        <v>510</v>
      </c>
      <c r="F2071" s="6" t="s">
        <v>9966</v>
      </c>
      <c r="G2071" s="9" t="n">
        <v>59978</v>
      </c>
      <c r="H2071" s="6" t="s">
        <v>384</v>
      </c>
      <c r="I2071" s="6" t="s">
        <v>13</v>
      </c>
      <c r="J2071" s="6" t="s">
        <v>253</v>
      </c>
      <c r="K2071" s="6" t="s">
        <v>5828</v>
      </c>
      <c r="M2071" s="6"/>
    </row>
    <row r="2072" customFormat="false" ht="15" hidden="false" customHeight="false" outlineLevel="0" collapsed="false">
      <c r="A2072" s="6" t="s">
        <v>9967</v>
      </c>
      <c r="B2072" s="6" t="s">
        <v>5325</v>
      </c>
      <c r="C2072" s="6" t="s">
        <v>5316</v>
      </c>
      <c r="D2072" s="6" t="s">
        <v>9797</v>
      </c>
      <c r="E2072" s="6" t="s">
        <v>510</v>
      </c>
      <c r="F2072" s="6" t="s">
        <v>9968</v>
      </c>
      <c r="G2072" s="9" t="n">
        <v>80785</v>
      </c>
      <c r="H2072" s="6" t="s">
        <v>384</v>
      </c>
      <c r="I2072" s="6" t="s">
        <v>13</v>
      </c>
      <c r="J2072" s="6" t="s">
        <v>261</v>
      </c>
      <c r="K2072" s="6" t="s">
        <v>5831</v>
      </c>
      <c r="M2072" s="6"/>
    </row>
    <row r="2073" customFormat="false" ht="15" hidden="false" customHeight="false" outlineLevel="0" collapsed="false">
      <c r="A2073" s="6" t="s">
        <v>9969</v>
      </c>
      <c r="B2073" s="6" t="s">
        <v>5102</v>
      </c>
      <c r="C2073" s="6" t="s">
        <v>4975</v>
      </c>
      <c r="D2073" s="6" t="s">
        <v>9797</v>
      </c>
      <c r="E2073" s="6" t="s">
        <v>9970</v>
      </c>
      <c r="F2073" s="6" t="s">
        <v>9971</v>
      </c>
      <c r="G2073" s="9" t="n">
        <v>594</v>
      </c>
      <c r="H2073" s="6" t="s">
        <v>384</v>
      </c>
      <c r="I2073" s="6" t="s">
        <v>13</v>
      </c>
      <c r="J2073" s="6" t="s">
        <v>223</v>
      </c>
      <c r="K2073" s="6" t="s">
        <v>9972</v>
      </c>
      <c r="M2073" s="6"/>
    </row>
    <row r="2074" customFormat="false" ht="15" hidden="false" customHeight="false" outlineLevel="0" collapsed="false">
      <c r="A2074" s="6" t="s">
        <v>9973</v>
      </c>
      <c r="B2074" s="6" t="s">
        <v>5097</v>
      </c>
      <c r="C2074" s="6" t="s">
        <v>4975</v>
      </c>
      <c r="D2074" s="6" t="s">
        <v>9797</v>
      </c>
      <c r="E2074" s="6" t="s">
        <v>9970</v>
      </c>
      <c r="F2074" s="6" t="s">
        <v>9971</v>
      </c>
      <c r="G2074" s="9" t="n">
        <v>1622</v>
      </c>
      <c r="H2074" s="6" t="s">
        <v>384</v>
      </c>
      <c r="I2074" s="6" t="s">
        <v>13</v>
      </c>
      <c r="J2074" s="6" t="s">
        <v>223</v>
      </c>
      <c r="K2074" s="6" t="s">
        <v>9972</v>
      </c>
      <c r="M2074" s="6"/>
    </row>
    <row r="2075" customFormat="false" ht="15" hidden="false" customHeight="false" outlineLevel="0" collapsed="false">
      <c r="A2075" s="6" t="s">
        <v>9974</v>
      </c>
      <c r="B2075" s="6" t="s">
        <v>5097</v>
      </c>
      <c r="C2075" s="6" t="s">
        <v>4975</v>
      </c>
      <c r="D2075" s="6" t="s">
        <v>9797</v>
      </c>
      <c r="E2075" s="6" t="s">
        <v>9970</v>
      </c>
      <c r="F2075" s="6" t="s">
        <v>9975</v>
      </c>
      <c r="G2075" s="9" t="n">
        <v>1622</v>
      </c>
      <c r="H2075" s="6" t="s">
        <v>384</v>
      </c>
      <c r="I2075" s="6" t="s">
        <v>13</v>
      </c>
      <c r="J2075" s="6" t="s">
        <v>228</v>
      </c>
      <c r="K2075" s="6" t="s">
        <v>9976</v>
      </c>
      <c r="M2075" s="6"/>
    </row>
    <row r="2076" customFormat="false" ht="15" hidden="false" customHeight="false" outlineLevel="0" collapsed="false">
      <c r="A2076" s="6" t="s">
        <v>9977</v>
      </c>
      <c r="B2076" s="6" t="s">
        <v>5074</v>
      </c>
      <c r="C2076" s="6" t="s">
        <v>4975</v>
      </c>
      <c r="D2076" s="6" t="s">
        <v>9797</v>
      </c>
      <c r="E2076" s="6" t="s">
        <v>9970</v>
      </c>
      <c r="F2076" s="6" t="s">
        <v>9971</v>
      </c>
      <c r="G2076" s="9" t="n">
        <v>2040</v>
      </c>
      <c r="H2076" s="6" t="s">
        <v>384</v>
      </c>
      <c r="I2076" s="6" t="s">
        <v>13</v>
      </c>
      <c r="J2076" s="6" t="s">
        <v>223</v>
      </c>
      <c r="K2076" s="6" t="s">
        <v>9972</v>
      </c>
      <c r="M2076" s="6"/>
    </row>
    <row r="2077" customFormat="false" ht="15" hidden="false" customHeight="false" outlineLevel="0" collapsed="false">
      <c r="A2077" s="6" t="s">
        <v>9978</v>
      </c>
      <c r="B2077" s="6" t="s">
        <v>5074</v>
      </c>
      <c r="C2077" s="6" t="s">
        <v>4975</v>
      </c>
      <c r="D2077" s="6" t="s">
        <v>9797</v>
      </c>
      <c r="E2077" s="6" t="s">
        <v>9970</v>
      </c>
      <c r="F2077" s="6" t="s">
        <v>9975</v>
      </c>
      <c r="G2077" s="9" t="n">
        <v>2040</v>
      </c>
      <c r="H2077" s="6" t="s">
        <v>384</v>
      </c>
      <c r="I2077" s="6" t="s">
        <v>13</v>
      </c>
      <c r="J2077" s="6" t="s">
        <v>228</v>
      </c>
      <c r="K2077" s="6" t="s">
        <v>9976</v>
      </c>
      <c r="M2077" s="6"/>
    </row>
    <row r="2078" customFormat="false" ht="15" hidden="false" customHeight="false" outlineLevel="0" collapsed="false">
      <c r="A2078" s="6" t="s">
        <v>9979</v>
      </c>
      <c r="B2078" s="6" t="s">
        <v>5074</v>
      </c>
      <c r="C2078" s="6" t="s">
        <v>4975</v>
      </c>
      <c r="D2078" s="6" t="s">
        <v>9797</v>
      </c>
      <c r="E2078" s="6" t="s">
        <v>9970</v>
      </c>
      <c r="F2078" s="6" t="s">
        <v>9980</v>
      </c>
      <c r="G2078" s="9" t="n">
        <v>2040</v>
      </c>
      <c r="H2078" s="6" t="s">
        <v>384</v>
      </c>
      <c r="I2078" s="6" t="s">
        <v>13</v>
      </c>
      <c r="J2078" s="6" t="s">
        <v>233</v>
      </c>
      <c r="K2078" s="6" t="s">
        <v>9981</v>
      </c>
      <c r="M2078" s="6"/>
    </row>
    <row r="2079" customFormat="false" ht="15" hidden="false" customHeight="false" outlineLevel="0" collapsed="false">
      <c r="A2079" s="6" t="s">
        <v>9982</v>
      </c>
      <c r="B2079" s="6" t="s">
        <v>5113</v>
      </c>
      <c r="C2079" s="6" t="s">
        <v>4975</v>
      </c>
      <c r="D2079" s="6" t="s">
        <v>9797</v>
      </c>
      <c r="E2079" s="6" t="s">
        <v>9970</v>
      </c>
      <c r="F2079" s="6" t="s">
        <v>9975</v>
      </c>
      <c r="G2079" s="9" t="n">
        <v>2525</v>
      </c>
      <c r="H2079" s="6" t="s">
        <v>384</v>
      </c>
      <c r="I2079" s="6" t="s">
        <v>13</v>
      </c>
      <c r="J2079" s="6" t="s">
        <v>228</v>
      </c>
      <c r="K2079" s="6" t="s">
        <v>9976</v>
      </c>
      <c r="M2079" s="6"/>
    </row>
    <row r="2080" customFormat="false" ht="15" hidden="false" customHeight="false" outlineLevel="0" collapsed="false">
      <c r="A2080" s="6" t="s">
        <v>9983</v>
      </c>
      <c r="B2080" s="6" t="s">
        <v>5113</v>
      </c>
      <c r="C2080" s="6" t="s">
        <v>4975</v>
      </c>
      <c r="D2080" s="6" t="s">
        <v>9797</v>
      </c>
      <c r="E2080" s="6" t="s">
        <v>9970</v>
      </c>
      <c r="F2080" s="6" t="s">
        <v>9980</v>
      </c>
      <c r="G2080" s="9" t="n">
        <v>2525</v>
      </c>
      <c r="H2080" s="6" t="s">
        <v>384</v>
      </c>
      <c r="I2080" s="6" t="s">
        <v>13</v>
      </c>
      <c r="J2080" s="6" t="s">
        <v>233</v>
      </c>
      <c r="K2080" s="6" t="s">
        <v>9981</v>
      </c>
      <c r="M2080" s="6"/>
    </row>
    <row r="2081" customFormat="false" ht="15" hidden="false" customHeight="false" outlineLevel="0" collapsed="false">
      <c r="A2081" s="6" t="s">
        <v>9984</v>
      </c>
      <c r="B2081" s="6" t="s">
        <v>5079</v>
      </c>
      <c r="C2081" s="6" t="s">
        <v>4975</v>
      </c>
      <c r="D2081" s="6" t="s">
        <v>9797</v>
      </c>
      <c r="E2081" s="6" t="s">
        <v>9970</v>
      </c>
      <c r="F2081" s="6" t="s">
        <v>9980</v>
      </c>
      <c r="G2081" s="9" t="n">
        <v>4467</v>
      </c>
      <c r="H2081" s="6" t="s">
        <v>384</v>
      </c>
      <c r="I2081" s="6" t="s">
        <v>13</v>
      </c>
      <c r="J2081" s="6" t="s">
        <v>233</v>
      </c>
      <c r="K2081" s="6" t="s">
        <v>9981</v>
      </c>
      <c r="M2081" s="6"/>
    </row>
    <row r="2082" customFormat="false" ht="15" hidden="false" customHeight="false" outlineLevel="0" collapsed="false">
      <c r="A2082" s="6" t="s">
        <v>9985</v>
      </c>
      <c r="B2082" s="6" t="s">
        <v>5074</v>
      </c>
      <c r="C2082" s="6" t="s">
        <v>4975</v>
      </c>
      <c r="D2082" s="6" t="s">
        <v>9797</v>
      </c>
      <c r="E2082" s="6" t="s">
        <v>9986</v>
      </c>
      <c r="F2082" s="6" t="s">
        <v>9987</v>
      </c>
      <c r="G2082" s="19" t="n">
        <v>1</v>
      </c>
      <c r="H2082" s="6" t="s">
        <v>5105</v>
      </c>
      <c r="I2082" s="6" t="s">
        <v>13</v>
      </c>
      <c r="J2082" s="6" t="s">
        <v>223</v>
      </c>
      <c r="K2082" s="6" t="s">
        <v>5183</v>
      </c>
      <c r="M2082" s="6" t="s">
        <v>9988</v>
      </c>
    </row>
    <row r="2083" customFormat="false" ht="15" hidden="false" customHeight="false" outlineLevel="0" collapsed="false">
      <c r="A2083" s="6" t="s">
        <v>9989</v>
      </c>
      <c r="B2083" s="6" t="s">
        <v>5074</v>
      </c>
      <c r="C2083" s="6" t="s">
        <v>4975</v>
      </c>
      <c r="D2083" s="6" t="s">
        <v>9797</v>
      </c>
      <c r="E2083" s="6" t="s">
        <v>5356</v>
      </c>
      <c r="F2083" s="6" t="s">
        <v>9990</v>
      </c>
      <c r="G2083" s="19" t="n">
        <v>10</v>
      </c>
      <c r="H2083" s="6" t="s">
        <v>5105</v>
      </c>
      <c r="I2083" s="6" t="s">
        <v>13</v>
      </c>
      <c r="J2083" s="6" t="s">
        <v>223</v>
      </c>
      <c r="K2083" s="6" t="s">
        <v>5183</v>
      </c>
      <c r="M2083" s="6" t="s">
        <v>9991</v>
      </c>
    </row>
    <row r="2084" customFormat="false" ht="15" hidden="false" customHeight="false" outlineLevel="0" collapsed="false">
      <c r="A2084" s="6" t="s">
        <v>9992</v>
      </c>
      <c r="B2084" s="6" t="s">
        <v>6292</v>
      </c>
      <c r="C2084" s="6" t="s">
        <v>6248</v>
      </c>
      <c r="D2084" s="6" t="s">
        <v>9797</v>
      </c>
      <c r="E2084" s="6" t="s">
        <v>9993</v>
      </c>
      <c r="F2084" s="6" t="s">
        <v>9994</v>
      </c>
      <c r="G2084" s="13" t="n">
        <v>450</v>
      </c>
      <c r="H2084" s="6" t="s">
        <v>3751</v>
      </c>
      <c r="I2084" s="6" t="s">
        <v>13</v>
      </c>
      <c r="J2084" s="6" t="s">
        <v>310</v>
      </c>
      <c r="K2084" s="6" t="s">
        <v>9995</v>
      </c>
      <c r="M2084" s="6"/>
    </row>
    <row r="2085" customFormat="false" ht="15" hidden="false" customHeight="false" outlineLevel="0" collapsed="false">
      <c r="A2085" s="6" t="s">
        <v>9996</v>
      </c>
      <c r="B2085" s="6" t="s">
        <v>5097</v>
      </c>
      <c r="C2085" s="6" t="s">
        <v>4975</v>
      </c>
      <c r="D2085" s="6" t="s">
        <v>9797</v>
      </c>
      <c r="E2085" s="6" t="s">
        <v>9997</v>
      </c>
      <c r="F2085" s="6" t="s">
        <v>9998</v>
      </c>
      <c r="G2085" s="13" t="n">
        <v>22.9</v>
      </c>
      <c r="H2085" s="6" t="s">
        <v>3751</v>
      </c>
      <c r="I2085" s="6" t="s">
        <v>13</v>
      </c>
      <c r="J2085" s="6" t="s">
        <v>218</v>
      </c>
      <c r="K2085" s="6" t="s">
        <v>7390</v>
      </c>
      <c r="M2085" s="6"/>
    </row>
    <row r="2086" customFormat="false" ht="15" hidden="false" customHeight="false" outlineLevel="0" collapsed="false">
      <c r="A2086" s="6" t="s">
        <v>9999</v>
      </c>
      <c r="B2086" s="6" t="s">
        <v>5079</v>
      </c>
      <c r="C2086" s="6" t="s">
        <v>4975</v>
      </c>
      <c r="D2086" s="6" t="s">
        <v>9797</v>
      </c>
      <c r="E2086" s="6" t="s">
        <v>10000</v>
      </c>
      <c r="F2086" s="6" t="s">
        <v>10001</v>
      </c>
      <c r="G2086" s="13" t="n">
        <v>25.2</v>
      </c>
      <c r="H2086" s="6" t="s">
        <v>3751</v>
      </c>
      <c r="I2086" s="6" t="s">
        <v>13</v>
      </c>
      <c r="J2086" s="6" t="s">
        <v>233</v>
      </c>
      <c r="K2086" s="6" t="s">
        <v>10002</v>
      </c>
      <c r="M2086" s="6"/>
    </row>
    <row r="2087" customFormat="false" ht="15" hidden="false" customHeight="false" outlineLevel="0" collapsed="false">
      <c r="A2087" s="6" t="s">
        <v>10003</v>
      </c>
      <c r="B2087" s="6" t="s">
        <v>5315</v>
      </c>
      <c r="C2087" s="6" t="s">
        <v>5316</v>
      </c>
      <c r="D2087" s="6" t="s">
        <v>9797</v>
      </c>
      <c r="E2087" s="6" t="s">
        <v>10004</v>
      </c>
      <c r="F2087" s="6" t="s">
        <v>10005</v>
      </c>
      <c r="G2087" s="9" t="n">
        <v>-1825</v>
      </c>
      <c r="H2087" s="6" t="s">
        <v>384</v>
      </c>
      <c r="I2087" s="6" t="s">
        <v>13</v>
      </c>
      <c r="J2087" s="6" t="s">
        <v>253</v>
      </c>
      <c r="K2087" s="6" t="s">
        <v>10006</v>
      </c>
      <c r="M2087" s="6" t="s">
        <v>5055</v>
      </c>
    </row>
    <row r="2088" customFormat="false" ht="15" hidden="false" customHeight="false" outlineLevel="0" collapsed="false">
      <c r="A2088" s="6" t="s">
        <v>10007</v>
      </c>
      <c r="B2088" s="6" t="s">
        <v>5320</v>
      </c>
      <c r="C2088" s="6" t="s">
        <v>5316</v>
      </c>
      <c r="D2088" s="6" t="s">
        <v>9797</v>
      </c>
      <c r="E2088" s="6" t="s">
        <v>10004</v>
      </c>
      <c r="F2088" s="6" t="s">
        <v>10005</v>
      </c>
      <c r="G2088" s="9" t="n">
        <v>-9090</v>
      </c>
      <c r="H2088" s="6" t="s">
        <v>384</v>
      </c>
      <c r="I2088" s="6" t="s">
        <v>13</v>
      </c>
      <c r="J2088" s="6" t="s">
        <v>253</v>
      </c>
      <c r="K2088" s="6" t="s">
        <v>10006</v>
      </c>
      <c r="M2088" s="6" t="s">
        <v>5055</v>
      </c>
    </row>
    <row r="2089" customFormat="false" ht="15" hidden="false" customHeight="false" outlineLevel="0" collapsed="false">
      <c r="A2089" s="6" t="s">
        <v>10008</v>
      </c>
      <c r="B2089" s="6" t="s">
        <v>5325</v>
      </c>
      <c r="C2089" s="6" t="s">
        <v>5316</v>
      </c>
      <c r="D2089" s="6" t="s">
        <v>9797</v>
      </c>
      <c r="E2089" s="6" t="s">
        <v>10004</v>
      </c>
      <c r="F2089" s="6" t="s">
        <v>10009</v>
      </c>
      <c r="G2089" s="9" t="n">
        <v>-22034</v>
      </c>
      <c r="H2089" s="6" t="s">
        <v>384</v>
      </c>
      <c r="I2089" s="6" t="s">
        <v>13</v>
      </c>
      <c r="J2089" s="6" t="s">
        <v>261</v>
      </c>
      <c r="K2089" s="6" t="s">
        <v>10010</v>
      </c>
      <c r="M2089" s="6" t="s">
        <v>5055</v>
      </c>
    </row>
    <row r="2090" customFormat="false" ht="15" hidden="false" customHeight="false" outlineLevel="0" collapsed="false">
      <c r="A2090" s="6" t="s">
        <v>10011</v>
      </c>
      <c r="B2090" s="6" t="s">
        <v>5315</v>
      </c>
      <c r="C2090" s="6" t="s">
        <v>5316</v>
      </c>
      <c r="D2090" s="6" t="s">
        <v>9797</v>
      </c>
      <c r="E2090" s="6" t="s">
        <v>10012</v>
      </c>
      <c r="F2090" s="6" t="s">
        <v>10013</v>
      </c>
      <c r="G2090" s="9" t="n">
        <v>3675</v>
      </c>
      <c r="H2090" s="6" t="s">
        <v>384</v>
      </c>
      <c r="I2090" s="6" t="s">
        <v>13</v>
      </c>
      <c r="J2090" s="6" t="s">
        <v>253</v>
      </c>
      <c r="K2090" s="6" t="s">
        <v>10006</v>
      </c>
      <c r="M2090" s="6" t="s">
        <v>5055</v>
      </c>
    </row>
    <row r="2091" customFormat="false" ht="15" hidden="false" customHeight="false" outlineLevel="0" collapsed="false">
      <c r="A2091" s="6" t="s">
        <v>10014</v>
      </c>
      <c r="B2091" s="6" t="s">
        <v>5320</v>
      </c>
      <c r="C2091" s="6" t="s">
        <v>5316</v>
      </c>
      <c r="D2091" s="6" t="s">
        <v>9797</v>
      </c>
      <c r="E2091" s="6" t="s">
        <v>10012</v>
      </c>
      <c r="F2091" s="6" t="s">
        <v>10013</v>
      </c>
      <c r="G2091" s="9" t="n">
        <v>20522</v>
      </c>
      <c r="H2091" s="6" t="s">
        <v>384</v>
      </c>
      <c r="I2091" s="6" t="s">
        <v>13</v>
      </c>
      <c r="J2091" s="6" t="s">
        <v>253</v>
      </c>
      <c r="K2091" s="6" t="s">
        <v>10006</v>
      </c>
      <c r="M2091" s="6" t="s">
        <v>5055</v>
      </c>
    </row>
    <row r="2092" customFormat="false" ht="15" hidden="false" customHeight="false" outlineLevel="0" collapsed="false">
      <c r="A2092" s="6" t="s">
        <v>10015</v>
      </c>
      <c r="B2092" s="6" t="s">
        <v>5325</v>
      </c>
      <c r="C2092" s="6" t="s">
        <v>5316</v>
      </c>
      <c r="D2092" s="6" t="s">
        <v>9797</v>
      </c>
      <c r="E2092" s="6" t="s">
        <v>10012</v>
      </c>
      <c r="F2092" s="6" t="s">
        <v>10016</v>
      </c>
      <c r="G2092" s="9" t="n">
        <v>85808</v>
      </c>
      <c r="H2092" s="6" t="s">
        <v>384</v>
      </c>
      <c r="I2092" s="6" t="s">
        <v>13</v>
      </c>
      <c r="J2092" s="6" t="s">
        <v>261</v>
      </c>
      <c r="K2092" s="6" t="s">
        <v>10010</v>
      </c>
      <c r="M2092" s="6" t="s">
        <v>5055</v>
      </c>
    </row>
    <row r="2093" customFormat="false" ht="15" hidden="false" customHeight="false" outlineLevel="0" collapsed="false">
      <c r="A2093" s="6" t="s">
        <v>10017</v>
      </c>
      <c r="B2093" s="6" t="s">
        <v>5315</v>
      </c>
      <c r="C2093" s="6" t="s">
        <v>5316</v>
      </c>
      <c r="D2093" s="6" t="s">
        <v>9797</v>
      </c>
      <c r="E2093" s="6" t="s">
        <v>10018</v>
      </c>
      <c r="F2093" s="6" t="s">
        <v>10019</v>
      </c>
      <c r="G2093" s="9" t="n">
        <v>10187</v>
      </c>
      <c r="H2093" s="6" t="s">
        <v>384</v>
      </c>
      <c r="I2093" s="6" t="s">
        <v>13</v>
      </c>
      <c r="J2093" s="6" t="s">
        <v>253</v>
      </c>
      <c r="K2093" s="6" t="s">
        <v>10006</v>
      </c>
      <c r="M2093" s="6"/>
    </row>
    <row r="2094" customFormat="false" ht="15" hidden="false" customHeight="false" outlineLevel="0" collapsed="false">
      <c r="A2094" s="6" t="s">
        <v>10020</v>
      </c>
      <c r="B2094" s="6" t="s">
        <v>5320</v>
      </c>
      <c r="C2094" s="6" t="s">
        <v>5316</v>
      </c>
      <c r="D2094" s="6" t="s">
        <v>9797</v>
      </c>
      <c r="E2094" s="6" t="s">
        <v>10018</v>
      </c>
      <c r="F2094" s="6" t="s">
        <v>10019</v>
      </c>
      <c r="G2094" s="9" t="n">
        <v>34787</v>
      </c>
      <c r="H2094" s="6" t="s">
        <v>384</v>
      </c>
      <c r="I2094" s="6" t="s">
        <v>13</v>
      </c>
      <c r="J2094" s="6" t="s">
        <v>253</v>
      </c>
      <c r="K2094" s="6" t="s">
        <v>10006</v>
      </c>
      <c r="M2094" s="6"/>
    </row>
    <row r="2095" customFormat="false" ht="15" hidden="false" customHeight="false" outlineLevel="0" collapsed="false">
      <c r="A2095" s="6" t="s">
        <v>10021</v>
      </c>
      <c r="B2095" s="6" t="s">
        <v>5325</v>
      </c>
      <c r="C2095" s="6" t="s">
        <v>5316</v>
      </c>
      <c r="D2095" s="6" t="s">
        <v>9797</v>
      </c>
      <c r="E2095" s="6" t="s">
        <v>10018</v>
      </c>
      <c r="F2095" s="6" t="s">
        <v>10022</v>
      </c>
      <c r="G2095" s="9" t="n">
        <v>62753</v>
      </c>
      <c r="H2095" s="6" t="s">
        <v>384</v>
      </c>
      <c r="I2095" s="6" t="s">
        <v>13</v>
      </c>
      <c r="J2095" s="6" t="s">
        <v>261</v>
      </c>
      <c r="K2095" s="6" t="s">
        <v>10010</v>
      </c>
      <c r="M2095" s="6"/>
    </row>
    <row r="2096" customFormat="false" ht="15" hidden="false" customHeight="false" outlineLevel="0" collapsed="false">
      <c r="A2096" s="6" t="s">
        <v>10023</v>
      </c>
      <c r="B2096" s="6" t="s">
        <v>5315</v>
      </c>
      <c r="C2096" s="6" t="s">
        <v>5316</v>
      </c>
      <c r="D2096" s="6" t="s">
        <v>9797</v>
      </c>
      <c r="E2096" s="6" t="s">
        <v>10024</v>
      </c>
      <c r="F2096" s="6" t="s">
        <v>10025</v>
      </c>
      <c r="G2096" s="9" t="n">
        <v>12037</v>
      </c>
      <c r="H2096" s="6" t="s">
        <v>384</v>
      </c>
      <c r="I2096" s="6" t="s">
        <v>13</v>
      </c>
      <c r="J2096" s="6" t="s">
        <v>253</v>
      </c>
      <c r="K2096" s="6" t="s">
        <v>10006</v>
      </c>
      <c r="M2096" s="6" t="s">
        <v>5055</v>
      </c>
    </row>
    <row r="2097" customFormat="false" ht="15" hidden="false" customHeight="false" outlineLevel="0" collapsed="false">
      <c r="A2097" s="6" t="s">
        <v>10026</v>
      </c>
      <c r="B2097" s="6" t="s">
        <v>5320</v>
      </c>
      <c r="C2097" s="6" t="s">
        <v>5316</v>
      </c>
      <c r="D2097" s="6" t="s">
        <v>9797</v>
      </c>
      <c r="E2097" s="6" t="s">
        <v>10024</v>
      </c>
      <c r="F2097" s="6" t="s">
        <v>10025</v>
      </c>
      <c r="G2097" s="9" t="n">
        <v>46219</v>
      </c>
      <c r="H2097" s="6" t="s">
        <v>384</v>
      </c>
      <c r="I2097" s="6" t="s">
        <v>13</v>
      </c>
      <c r="J2097" s="6" t="s">
        <v>253</v>
      </c>
      <c r="K2097" s="6" t="s">
        <v>10006</v>
      </c>
      <c r="M2097" s="6" t="s">
        <v>5055</v>
      </c>
    </row>
    <row r="2098" customFormat="false" ht="15" hidden="false" customHeight="false" outlineLevel="0" collapsed="false">
      <c r="A2098" s="6" t="s">
        <v>10027</v>
      </c>
      <c r="B2098" s="6" t="s">
        <v>5325</v>
      </c>
      <c r="C2098" s="6" t="s">
        <v>5316</v>
      </c>
      <c r="D2098" s="6" t="s">
        <v>9797</v>
      </c>
      <c r="E2098" s="6" t="s">
        <v>10024</v>
      </c>
      <c r="F2098" s="6" t="s">
        <v>10028</v>
      </c>
      <c r="G2098" s="9" t="n">
        <v>126527</v>
      </c>
      <c r="H2098" s="6" t="s">
        <v>384</v>
      </c>
      <c r="I2098" s="6" t="s">
        <v>13</v>
      </c>
      <c r="J2098" s="6" t="s">
        <v>261</v>
      </c>
      <c r="K2098" s="6" t="s">
        <v>10010</v>
      </c>
      <c r="M2098" s="6" t="s">
        <v>5055</v>
      </c>
    </row>
    <row r="2099" customFormat="false" ht="15" hidden="false" customHeight="false" outlineLevel="0" collapsed="false">
      <c r="A2099" s="6" t="s">
        <v>10029</v>
      </c>
      <c r="B2099" s="6" t="s">
        <v>5245</v>
      </c>
      <c r="C2099" s="6" t="s">
        <v>5050</v>
      </c>
      <c r="D2099" s="6" t="s">
        <v>9797</v>
      </c>
      <c r="E2099" s="6" t="s">
        <v>10030</v>
      </c>
      <c r="F2099" s="6" t="s">
        <v>10031</v>
      </c>
      <c r="G2099" s="19" t="n">
        <v>3</v>
      </c>
      <c r="H2099" s="6" t="s">
        <v>5307</v>
      </c>
      <c r="I2099" s="6" t="s">
        <v>13</v>
      </c>
      <c r="J2099" s="6" t="s">
        <v>253</v>
      </c>
      <c r="K2099" s="6" t="s">
        <v>10032</v>
      </c>
      <c r="M2099" s="6" t="s">
        <v>5055</v>
      </c>
    </row>
    <row r="2100" customFormat="false" ht="15" hidden="false" customHeight="false" outlineLevel="0" collapsed="false">
      <c r="A2100" s="6" t="s">
        <v>10033</v>
      </c>
      <c r="B2100" s="6" t="s">
        <v>5245</v>
      </c>
      <c r="C2100" s="6" t="s">
        <v>5050</v>
      </c>
      <c r="D2100" s="6" t="s">
        <v>9797</v>
      </c>
      <c r="E2100" s="6" t="s">
        <v>10034</v>
      </c>
      <c r="F2100" s="6" t="s">
        <v>10035</v>
      </c>
      <c r="G2100" s="9" t="n">
        <v>20160</v>
      </c>
      <c r="H2100" s="6" t="s">
        <v>384</v>
      </c>
      <c r="I2100" s="6" t="s">
        <v>13</v>
      </c>
      <c r="J2100" s="6" t="s">
        <v>253</v>
      </c>
      <c r="K2100" s="6" t="s">
        <v>10032</v>
      </c>
      <c r="M2100" s="6" t="s">
        <v>10036</v>
      </c>
    </row>
    <row r="2101" customFormat="false" ht="15" hidden="false" customHeight="false" outlineLevel="0" collapsed="false">
      <c r="A2101" s="6" t="s">
        <v>10037</v>
      </c>
      <c r="B2101" s="6" t="s">
        <v>5249</v>
      </c>
      <c r="C2101" s="6" t="s">
        <v>5050</v>
      </c>
      <c r="D2101" s="6" t="s">
        <v>9797</v>
      </c>
      <c r="E2101" s="6" t="s">
        <v>10034</v>
      </c>
      <c r="F2101" s="6" t="s">
        <v>10038</v>
      </c>
      <c r="G2101" s="9" t="n">
        <v>54476</v>
      </c>
      <c r="H2101" s="6" t="s">
        <v>384</v>
      </c>
      <c r="I2101" s="6" t="s">
        <v>13</v>
      </c>
      <c r="J2101" s="6" t="s">
        <v>261</v>
      </c>
      <c r="K2101" s="6" t="s">
        <v>10039</v>
      </c>
      <c r="M2101" s="6" t="s">
        <v>10040</v>
      </c>
    </row>
    <row r="2102" customFormat="false" ht="15" hidden="false" customHeight="false" outlineLevel="0" collapsed="false">
      <c r="A2102" s="6" t="s">
        <v>10041</v>
      </c>
      <c r="B2102" s="6" t="s">
        <v>5245</v>
      </c>
      <c r="C2102" s="6" t="s">
        <v>5050</v>
      </c>
      <c r="D2102" s="6" t="s">
        <v>9797</v>
      </c>
      <c r="E2102" s="6" t="s">
        <v>10042</v>
      </c>
      <c r="F2102" s="6" t="s">
        <v>10043</v>
      </c>
      <c r="G2102" s="9" t="n">
        <v>26059</v>
      </c>
      <c r="H2102" s="6" t="s">
        <v>384</v>
      </c>
      <c r="I2102" s="6" t="s">
        <v>13</v>
      </c>
      <c r="J2102" s="6" t="s">
        <v>253</v>
      </c>
      <c r="K2102" s="6" t="s">
        <v>10032</v>
      </c>
      <c r="M2102" s="6" t="s">
        <v>10044</v>
      </c>
    </row>
    <row r="2103" customFormat="false" ht="15" hidden="false" customHeight="false" outlineLevel="0" collapsed="false">
      <c r="A2103" s="6" t="s">
        <v>10045</v>
      </c>
      <c r="B2103" s="6" t="s">
        <v>5249</v>
      </c>
      <c r="C2103" s="6" t="s">
        <v>5050</v>
      </c>
      <c r="D2103" s="6" t="s">
        <v>9797</v>
      </c>
      <c r="E2103" s="6" t="s">
        <v>10042</v>
      </c>
      <c r="F2103" s="6" t="s">
        <v>10046</v>
      </c>
      <c r="G2103" s="9" t="n">
        <v>72051</v>
      </c>
      <c r="H2103" s="6" t="s">
        <v>384</v>
      </c>
      <c r="I2103" s="6" t="s">
        <v>13</v>
      </c>
      <c r="J2103" s="6" t="s">
        <v>261</v>
      </c>
      <c r="K2103" s="6" t="s">
        <v>10039</v>
      </c>
      <c r="M2103" s="6" t="s">
        <v>10047</v>
      </c>
    </row>
    <row r="2104" customFormat="false" ht="15" hidden="false" customHeight="false" outlineLevel="0" collapsed="false">
      <c r="A2104" s="6" t="s">
        <v>10048</v>
      </c>
      <c r="B2104" s="6" t="s">
        <v>5074</v>
      </c>
      <c r="C2104" s="6" t="s">
        <v>4975</v>
      </c>
      <c r="D2104" s="6" t="s">
        <v>9797</v>
      </c>
      <c r="E2104" s="6" t="s">
        <v>10049</v>
      </c>
      <c r="F2104" s="6" t="s">
        <v>10050</v>
      </c>
      <c r="G2104" s="19" t="n">
        <v>-0.04</v>
      </c>
      <c r="H2104" s="6" t="s">
        <v>6356</v>
      </c>
      <c r="I2104" s="6" t="s">
        <v>13</v>
      </c>
      <c r="J2104" s="6" t="s">
        <v>233</v>
      </c>
      <c r="K2104" s="6" t="s">
        <v>9403</v>
      </c>
      <c r="M2104" s="6"/>
    </row>
    <row r="2105" customFormat="false" ht="15" hidden="false" customHeight="false" outlineLevel="0" collapsed="false">
      <c r="A2105" s="6" t="s">
        <v>10051</v>
      </c>
      <c r="B2105" s="6" t="s">
        <v>5113</v>
      </c>
      <c r="C2105" s="6" t="s">
        <v>4975</v>
      </c>
      <c r="D2105" s="6" t="s">
        <v>9797</v>
      </c>
      <c r="E2105" s="6" t="s">
        <v>10049</v>
      </c>
      <c r="F2105" s="6" t="s">
        <v>10052</v>
      </c>
      <c r="G2105" s="19" t="n">
        <v>0.62</v>
      </c>
      <c r="H2105" s="6" t="s">
        <v>6356</v>
      </c>
      <c r="I2105" s="6" t="s">
        <v>13</v>
      </c>
      <c r="J2105" s="6" t="s">
        <v>228</v>
      </c>
      <c r="K2105" s="6" t="s">
        <v>10053</v>
      </c>
      <c r="M2105" s="6"/>
    </row>
    <row r="2106" customFormat="false" ht="15" hidden="false" customHeight="false" outlineLevel="0" collapsed="false">
      <c r="A2106" s="6" t="s">
        <v>10054</v>
      </c>
      <c r="B2106" s="6" t="s">
        <v>5113</v>
      </c>
      <c r="C2106" s="6" t="s">
        <v>4975</v>
      </c>
      <c r="D2106" s="6" t="s">
        <v>9797</v>
      </c>
      <c r="E2106" s="6" t="s">
        <v>10049</v>
      </c>
      <c r="F2106" s="6" t="s">
        <v>10050</v>
      </c>
      <c r="G2106" s="19" t="n">
        <v>0.62</v>
      </c>
      <c r="H2106" s="6" t="s">
        <v>6356</v>
      </c>
      <c r="I2106" s="6" t="s">
        <v>13</v>
      </c>
      <c r="J2106" s="6" t="s">
        <v>233</v>
      </c>
      <c r="K2106" s="6" t="s">
        <v>9403</v>
      </c>
      <c r="M2106" s="6"/>
    </row>
    <row r="2107" customFormat="false" ht="15" hidden="false" customHeight="false" outlineLevel="0" collapsed="false">
      <c r="A2107" s="6" t="s">
        <v>10055</v>
      </c>
      <c r="B2107" s="6" t="s">
        <v>5079</v>
      </c>
      <c r="C2107" s="6" t="s">
        <v>4975</v>
      </c>
      <c r="D2107" s="6" t="s">
        <v>9797</v>
      </c>
      <c r="E2107" s="6" t="s">
        <v>10049</v>
      </c>
      <c r="F2107" s="6" t="s">
        <v>10050</v>
      </c>
      <c r="G2107" s="19" t="n">
        <v>2.24</v>
      </c>
      <c r="H2107" s="6" t="s">
        <v>6356</v>
      </c>
      <c r="I2107" s="6" t="s">
        <v>13</v>
      </c>
      <c r="J2107" s="6" t="s">
        <v>233</v>
      </c>
      <c r="K2107" s="6" t="s">
        <v>9403</v>
      </c>
      <c r="M2107" s="6"/>
    </row>
    <row r="2108" customFormat="false" ht="15" hidden="false" customHeight="false" outlineLevel="0" collapsed="false">
      <c r="A2108" s="6" t="s">
        <v>10056</v>
      </c>
      <c r="B2108" s="6" t="s">
        <v>5102</v>
      </c>
      <c r="C2108" s="6" t="s">
        <v>4975</v>
      </c>
      <c r="D2108" s="6" t="s">
        <v>9797</v>
      </c>
      <c r="E2108" s="6" t="s">
        <v>10057</v>
      </c>
      <c r="F2108" s="6" t="s">
        <v>10058</v>
      </c>
      <c r="G2108" s="13" t="n">
        <v>11.7</v>
      </c>
      <c r="H2108" s="6" t="s">
        <v>3751</v>
      </c>
      <c r="I2108" s="6" t="s">
        <v>13</v>
      </c>
      <c r="J2108" s="6" t="s">
        <v>209</v>
      </c>
      <c r="K2108" s="6" t="s">
        <v>8931</v>
      </c>
      <c r="M2108" s="6"/>
    </row>
    <row r="2109" customFormat="false" ht="15" hidden="false" customHeight="false" outlineLevel="0" collapsed="false">
      <c r="A2109" s="6" t="s">
        <v>10059</v>
      </c>
      <c r="B2109" s="6" t="s">
        <v>5203</v>
      </c>
      <c r="C2109" s="6" t="s">
        <v>4975</v>
      </c>
      <c r="D2109" s="6" t="s">
        <v>9797</v>
      </c>
      <c r="E2109" s="6" t="s">
        <v>10060</v>
      </c>
      <c r="F2109" s="6" t="s">
        <v>10061</v>
      </c>
      <c r="G2109" s="9" t="n">
        <v>264</v>
      </c>
      <c r="H2109" s="6" t="s">
        <v>384</v>
      </c>
      <c r="I2109" s="6" t="s">
        <v>13</v>
      </c>
      <c r="J2109" s="6" t="s">
        <v>209</v>
      </c>
      <c r="K2109" s="6" t="s">
        <v>10062</v>
      </c>
      <c r="M2109" s="6"/>
    </row>
    <row r="2110" customFormat="false" ht="15" hidden="false" customHeight="false" outlineLevel="0" collapsed="false">
      <c r="A2110" s="6" t="s">
        <v>10063</v>
      </c>
      <c r="B2110" s="6" t="s">
        <v>5102</v>
      </c>
      <c r="C2110" s="6" t="s">
        <v>4975</v>
      </c>
      <c r="D2110" s="6" t="s">
        <v>9797</v>
      </c>
      <c r="E2110" s="6" t="s">
        <v>10060</v>
      </c>
      <c r="F2110" s="6" t="s">
        <v>10064</v>
      </c>
      <c r="G2110" s="9" t="n">
        <v>594</v>
      </c>
      <c r="H2110" s="6" t="s">
        <v>384</v>
      </c>
      <c r="I2110" s="6" t="s">
        <v>13</v>
      </c>
      <c r="J2110" s="6" t="s">
        <v>209</v>
      </c>
      <c r="K2110" s="6" t="s">
        <v>10062</v>
      </c>
      <c r="M2110" s="6"/>
    </row>
    <row r="2111" customFormat="false" ht="15" hidden="false" customHeight="false" outlineLevel="0" collapsed="false">
      <c r="A2111" s="6" t="s">
        <v>10065</v>
      </c>
      <c r="B2111" s="6" t="s">
        <v>5102</v>
      </c>
      <c r="C2111" s="6" t="s">
        <v>4975</v>
      </c>
      <c r="D2111" s="6" t="s">
        <v>9797</v>
      </c>
      <c r="E2111" s="6" t="s">
        <v>10060</v>
      </c>
      <c r="F2111" s="6" t="s">
        <v>9880</v>
      </c>
      <c r="G2111" s="9" t="n">
        <v>594</v>
      </c>
      <c r="H2111" s="6" t="s">
        <v>384</v>
      </c>
      <c r="I2111" s="6" t="s">
        <v>13</v>
      </c>
      <c r="J2111" s="6" t="s">
        <v>218</v>
      </c>
      <c r="K2111" s="6" t="s">
        <v>9881</v>
      </c>
      <c r="M2111" s="6"/>
    </row>
    <row r="2112" customFormat="false" ht="15" hidden="false" customHeight="false" outlineLevel="0" collapsed="false">
      <c r="A2112" s="6" t="s">
        <v>10066</v>
      </c>
      <c r="B2112" s="6" t="s">
        <v>5097</v>
      </c>
      <c r="C2112" s="6" t="s">
        <v>4975</v>
      </c>
      <c r="D2112" s="6" t="s">
        <v>9797</v>
      </c>
      <c r="E2112" s="6" t="s">
        <v>10060</v>
      </c>
      <c r="F2112" s="6" t="s">
        <v>9880</v>
      </c>
      <c r="G2112" s="9" t="n">
        <v>1622</v>
      </c>
      <c r="H2112" s="6" t="s">
        <v>384</v>
      </c>
      <c r="I2112" s="6" t="s">
        <v>13</v>
      </c>
      <c r="J2112" s="6" t="s">
        <v>218</v>
      </c>
      <c r="K2112" s="6" t="s">
        <v>9881</v>
      </c>
      <c r="M2112" s="6"/>
    </row>
    <row r="2113" customFormat="false" ht="15" hidden="false" customHeight="false" outlineLevel="0" collapsed="false">
      <c r="A2113" s="6" t="s">
        <v>10067</v>
      </c>
      <c r="B2113" s="6" t="s">
        <v>5079</v>
      </c>
      <c r="C2113" s="6" t="s">
        <v>4975</v>
      </c>
      <c r="D2113" s="6" t="s">
        <v>9797</v>
      </c>
      <c r="E2113" s="6" t="s">
        <v>10068</v>
      </c>
      <c r="F2113" s="6" t="s">
        <v>10069</v>
      </c>
      <c r="G2113" s="13" t="n">
        <v>118.7</v>
      </c>
      <c r="H2113" s="6" t="s">
        <v>3751</v>
      </c>
      <c r="I2113" s="6" t="s">
        <v>13</v>
      </c>
      <c r="J2113" s="6" t="s">
        <v>310</v>
      </c>
      <c r="K2113" s="6" t="s">
        <v>5405</v>
      </c>
      <c r="M2113" s="6"/>
    </row>
    <row r="2114" customFormat="false" ht="15" hidden="false" customHeight="false" outlineLevel="0" collapsed="false">
      <c r="A2114" s="6" t="s">
        <v>10070</v>
      </c>
      <c r="B2114" s="6" t="s">
        <v>5079</v>
      </c>
      <c r="C2114" s="6" t="s">
        <v>4975</v>
      </c>
      <c r="D2114" s="6" t="s">
        <v>9797</v>
      </c>
      <c r="E2114" s="6" t="s">
        <v>10071</v>
      </c>
      <c r="F2114" s="6" t="s">
        <v>10072</v>
      </c>
      <c r="G2114" s="19" t="n">
        <v>1.232</v>
      </c>
      <c r="H2114" s="6" t="s">
        <v>5337</v>
      </c>
      <c r="I2114" s="6" t="s">
        <v>13</v>
      </c>
      <c r="J2114" s="6" t="s">
        <v>310</v>
      </c>
      <c r="K2114" s="6" t="s">
        <v>5405</v>
      </c>
      <c r="M2114" s="6" t="s">
        <v>10073</v>
      </c>
    </row>
    <row r="2115" customFormat="false" ht="15" hidden="false" customHeight="false" outlineLevel="0" collapsed="false">
      <c r="A2115" s="6" t="s">
        <v>10074</v>
      </c>
      <c r="B2115" s="6" t="s">
        <v>5079</v>
      </c>
      <c r="C2115" s="6" t="s">
        <v>4975</v>
      </c>
      <c r="D2115" s="6" t="s">
        <v>9797</v>
      </c>
      <c r="E2115" s="6" t="s">
        <v>10075</v>
      </c>
      <c r="F2115" s="6" t="s">
        <v>10076</v>
      </c>
      <c r="G2115" s="19" t="n">
        <v>27</v>
      </c>
      <c r="H2115" s="6" t="s">
        <v>5105</v>
      </c>
      <c r="I2115" s="6" t="s">
        <v>13</v>
      </c>
      <c r="J2115" s="6" t="s">
        <v>310</v>
      </c>
      <c r="K2115" s="6" t="s">
        <v>5405</v>
      </c>
      <c r="M2115" s="6"/>
    </row>
    <row r="2116" customFormat="false" ht="15" hidden="false" customHeight="false" outlineLevel="0" collapsed="false">
      <c r="A2116" s="6" t="s">
        <v>10077</v>
      </c>
      <c r="B2116" s="6" t="s">
        <v>6987</v>
      </c>
      <c r="C2116" s="6" t="s">
        <v>5166</v>
      </c>
      <c r="D2116" s="6" t="s">
        <v>9797</v>
      </c>
      <c r="E2116" s="6" t="s">
        <v>10078</v>
      </c>
      <c r="F2116" s="6" t="s">
        <v>10079</v>
      </c>
      <c r="H2116" s="6" t="s">
        <v>7024</v>
      </c>
      <c r="I2116" s="6" t="s">
        <v>13</v>
      </c>
      <c r="J2116" s="6" t="s">
        <v>265</v>
      </c>
      <c r="K2116" s="6" t="s">
        <v>9502</v>
      </c>
      <c r="M2116" s="6" t="s">
        <v>10080</v>
      </c>
    </row>
    <row r="2117" customFormat="false" ht="15" hidden="false" customHeight="false" outlineLevel="0" collapsed="false">
      <c r="A2117" s="6" t="s">
        <v>10081</v>
      </c>
      <c r="B2117" s="6" t="s">
        <v>6987</v>
      </c>
      <c r="C2117" s="6" t="s">
        <v>5166</v>
      </c>
      <c r="D2117" s="6" t="s">
        <v>9797</v>
      </c>
      <c r="E2117" s="6" t="s">
        <v>10082</v>
      </c>
      <c r="F2117" s="6" t="s">
        <v>10083</v>
      </c>
      <c r="H2117" s="6" t="s">
        <v>7024</v>
      </c>
      <c r="I2117" s="6" t="s">
        <v>13</v>
      </c>
      <c r="J2117" s="6" t="s">
        <v>265</v>
      </c>
      <c r="K2117" s="6" t="s">
        <v>10084</v>
      </c>
      <c r="M2117" s="6" t="s">
        <v>10085</v>
      </c>
    </row>
    <row r="2118" customFormat="false" ht="15" hidden="false" customHeight="false" outlineLevel="0" collapsed="false">
      <c r="A2118" s="6" t="s">
        <v>10086</v>
      </c>
      <c r="B2118" s="6" t="s">
        <v>6987</v>
      </c>
      <c r="C2118" s="6" t="s">
        <v>8976</v>
      </c>
      <c r="D2118" s="6" t="s">
        <v>9797</v>
      </c>
      <c r="E2118" s="6" t="s">
        <v>10087</v>
      </c>
      <c r="F2118" s="6" t="s">
        <v>10088</v>
      </c>
      <c r="G2118" s="19" t="n">
        <v>20</v>
      </c>
      <c r="H2118" s="6" t="s">
        <v>5105</v>
      </c>
      <c r="I2118" s="6" t="s">
        <v>13</v>
      </c>
      <c r="J2118" s="6" t="s">
        <v>281</v>
      </c>
      <c r="K2118" s="6" t="s">
        <v>10089</v>
      </c>
      <c r="M2118" s="6" t="s">
        <v>10090</v>
      </c>
    </row>
    <row r="2119" customFormat="false" ht="15" hidden="false" customHeight="false" outlineLevel="0" collapsed="false">
      <c r="A2119" s="6" t="s">
        <v>10091</v>
      </c>
      <c r="B2119" s="6" t="s">
        <v>6987</v>
      </c>
      <c r="C2119" s="6" t="s">
        <v>8976</v>
      </c>
      <c r="D2119" s="6" t="s">
        <v>9797</v>
      </c>
      <c r="E2119" s="6" t="s">
        <v>10092</v>
      </c>
      <c r="F2119" s="6" t="s">
        <v>10088</v>
      </c>
      <c r="G2119" s="19" t="n">
        <v>19</v>
      </c>
      <c r="H2119" s="6" t="s">
        <v>5105</v>
      </c>
      <c r="I2119" s="6" t="s">
        <v>13</v>
      </c>
      <c r="J2119" s="6" t="s">
        <v>281</v>
      </c>
      <c r="K2119" s="6" t="s">
        <v>10089</v>
      </c>
      <c r="M2119" s="6" t="s">
        <v>10093</v>
      </c>
    </row>
    <row r="2120" customFormat="false" ht="15" hidden="false" customHeight="false" outlineLevel="0" collapsed="false">
      <c r="A2120" s="6" t="s">
        <v>10094</v>
      </c>
      <c r="B2120" s="6" t="s">
        <v>6987</v>
      </c>
      <c r="C2120" s="6" t="s">
        <v>8976</v>
      </c>
      <c r="D2120" s="6" t="s">
        <v>9797</v>
      </c>
      <c r="E2120" s="6" t="s">
        <v>10095</v>
      </c>
      <c r="F2120" s="6" t="s">
        <v>10096</v>
      </c>
      <c r="G2120" s="19" t="n">
        <v>15</v>
      </c>
      <c r="H2120" s="6" t="s">
        <v>5105</v>
      </c>
      <c r="I2120" s="6" t="s">
        <v>13</v>
      </c>
      <c r="J2120" s="6" t="s">
        <v>281</v>
      </c>
      <c r="K2120" s="6" t="s">
        <v>10089</v>
      </c>
      <c r="M2120" s="6" t="s">
        <v>10097</v>
      </c>
    </row>
    <row r="2121" customFormat="false" ht="15" hidden="false" customHeight="false" outlineLevel="0" collapsed="false">
      <c r="A2121" s="6" t="s">
        <v>10098</v>
      </c>
      <c r="B2121" s="6" t="s">
        <v>6987</v>
      </c>
      <c r="C2121" s="6" t="s">
        <v>8976</v>
      </c>
      <c r="D2121" s="6" t="s">
        <v>9797</v>
      </c>
      <c r="E2121" s="6" t="s">
        <v>10099</v>
      </c>
      <c r="F2121" s="6" t="s">
        <v>10100</v>
      </c>
      <c r="G2121" s="19" t="n">
        <v>20</v>
      </c>
      <c r="H2121" s="6" t="s">
        <v>5105</v>
      </c>
      <c r="I2121" s="6" t="s">
        <v>13</v>
      </c>
      <c r="J2121" s="6" t="s">
        <v>281</v>
      </c>
      <c r="K2121" s="6" t="s">
        <v>10089</v>
      </c>
      <c r="M2121" s="6" t="s">
        <v>10090</v>
      </c>
    </row>
    <row r="2122" customFormat="false" ht="15" hidden="false" customHeight="false" outlineLevel="0" collapsed="false">
      <c r="A2122" s="6" t="s">
        <v>10101</v>
      </c>
      <c r="B2122" s="6" t="s">
        <v>6987</v>
      </c>
      <c r="C2122" s="6" t="s">
        <v>8976</v>
      </c>
      <c r="D2122" s="6" t="s">
        <v>9797</v>
      </c>
      <c r="E2122" s="6" t="s">
        <v>10102</v>
      </c>
      <c r="F2122" s="6" t="s">
        <v>10100</v>
      </c>
      <c r="G2122" s="19" t="n">
        <v>19</v>
      </c>
      <c r="H2122" s="6" t="s">
        <v>5105</v>
      </c>
      <c r="I2122" s="6" t="s">
        <v>13</v>
      </c>
      <c r="J2122" s="6" t="s">
        <v>281</v>
      </c>
      <c r="K2122" s="6" t="s">
        <v>10089</v>
      </c>
      <c r="M2122" s="6" t="s">
        <v>10093</v>
      </c>
    </row>
    <row r="2123" customFormat="false" ht="15" hidden="false" customHeight="false" outlineLevel="0" collapsed="false">
      <c r="A2123" s="6" t="s">
        <v>10103</v>
      </c>
      <c r="B2123" s="6" t="s">
        <v>6987</v>
      </c>
      <c r="C2123" s="6" t="s">
        <v>8976</v>
      </c>
      <c r="D2123" s="6" t="s">
        <v>9797</v>
      </c>
      <c r="E2123" s="6" t="s">
        <v>10104</v>
      </c>
      <c r="F2123" s="6" t="s">
        <v>10105</v>
      </c>
      <c r="G2123" s="19" t="n">
        <v>1.47</v>
      </c>
      <c r="H2123" s="6" t="s">
        <v>5337</v>
      </c>
      <c r="I2123" s="6" t="s">
        <v>13</v>
      </c>
      <c r="J2123" s="6" t="s">
        <v>310</v>
      </c>
      <c r="K2123" s="6" t="s">
        <v>5411</v>
      </c>
      <c r="M2123" s="6"/>
    </row>
    <row r="2124" customFormat="false" ht="15" hidden="false" customHeight="false" outlineLevel="0" collapsed="false">
      <c r="A2124" s="6" t="s">
        <v>10106</v>
      </c>
      <c r="B2124" s="6" t="s">
        <v>6032</v>
      </c>
      <c r="C2124" s="6" t="s">
        <v>4975</v>
      </c>
      <c r="D2124" s="6" t="s">
        <v>9797</v>
      </c>
      <c r="E2124" s="6" t="s">
        <v>10107</v>
      </c>
      <c r="F2124" s="6" t="s">
        <v>10108</v>
      </c>
      <c r="G2124" s="9" t="n">
        <v>1590</v>
      </c>
      <c r="H2124" s="6" t="s">
        <v>384</v>
      </c>
      <c r="I2124" s="6" t="s">
        <v>13</v>
      </c>
      <c r="J2124" s="6" t="s">
        <v>209</v>
      </c>
      <c r="K2124" s="6" t="s">
        <v>8275</v>
      </c>
      <c r="M2124" s="6"/>
    </row>
    <row r="2125" customFormat="false" ht="15" hidden="false" customHeight="false" outlineLevel="0" collapsed="false">
      <c r="A2125" s="6" t="s">
        <v>10109</v>
      </c>
      <c r="B2125" s="6" t="s">
        <v>5203</v>
      </c>
      <c r="C2125" s="6" t="s">
        <v>4975</v>
      </c>
      <c r="D2125" s="6" t="s">
        <v>9797</v>
      </c>
      <c r="E2125" s="6" t="s">
        <v>10107</v>
      </c>
      <c r="F2125" s="6" t="s">
        <v>10108</v>
      </c>
      <c r="G2125" s="9" t="n">
        <v>526</v>
      </c>
      <c r="H2125" s="6" t="s">
        <v>384</v>
      </c>
      <c r="I2125" s="6" t="s">
        <v>13</v>
      </c>
      <c r="J2125" s="6" t="s">
        <v>209</v>
      </c>
      <c r="K2125" s="6" t="s">
        <v>8275</v>
      </c>
      <c r="M2125" s="6"/>
    </row>
    <row r="2126" customFormat="false" ht="15" hidden="false" customHeight="false" outlineLevel="0" collapsed="false">
      <c r="A2126" s="6" t="s">
        <v>10110</v>
      </c>
      <c r="B2126" s="6" t="s">
        <v>5102</v>
      </c>
      <c r="C2126" s="6" t="s">
        <v>4975</v>
      </c>
      <c r="D2126" s="6" t="s">
        <v>9797</v>
      </c>
      <c r="E2126" s="6" t="s">
        <v>10107</v>
      </c>
      <c r="F2126" s="6" t="s">
        <v>10108</v>
      </c>
      <c r="G2126" s="9" t="n">
        <v>-838</v>
      </c>
      <c r="H2126" s="6" t="s">
        <v>384</v>
      </c>
      <c r="I2126" s="6" t="s">
        <v>13</v>
      </c>
      <c r="J2126" s="6" t="s">
        <v>209</v>
      </c>
      <c r="K2126" s="6" t="s">
        <v>8275</v>
      </c>
      <c r="M2126" s="6"/>
    </row>
    <row r="2127" customFormat="false" ht="15" hidden="false" customHeight="false" outlineLevel="0" collapsed="false">
      <c r="A2127" s="6" t="s">
        <v>10111</v>
      </c>
      <c r="B2127" s="6" t="s">
        <v>5519</v>
      </c>
      <c r="C2127" s="6" t="s">
        <v>5316</v>
      </c>
      <c r="D2127" s="6" t="s">
        <v>9797</v>
      </c>
      <c r="E2127" s="6" t="s">
        <v>10107</v>
      </c>
      <c r="F2127" s="6" t="s">
        <v>10112</v>
      </c>
      <c r="G2127" s="9" t="n">
        <v>17495</v>
      </c>
      <c r="H2127" s="6" t="s">
        <v>384</v>
      </c>
      <c r="I2127" s="6" t="s">
        <v>13</v>
      </c>
      <c r="J2127" s="6" t="s">
        <v>238</v>
      </c>
      <c r="K2127" s="6" t="s">
        <v>5824</v>
      </c>
      <c r="M2127" s="6"/>
    </row>
    <row r="2128" customFormat="false" ht="15" hidden="false" customHeight="false" outlineLevel="0" collapsed="false">
      <c r="A2128" s="6" t="s">
        <v>10113</v>
      </c>
      <c r="B2128" s="6" t="s">
        <v>5315</v>
      </c>
      <c r="C2128" s="6" t="s">
        <v>5316</v>
      </c>
      <c r="D2128" s="6" t="s">
        <v>9797</v>
      </c>
      <c r="E2128" s="6" t="s">
        <v>10107</v>
      </c>
      <c r="F2128" s="6" t="s">
        <v>10112</v>
      </c>
      <c r="G2128" s="9" t="n">
        <v>27689</v>
      </c>
      <c r="H2128" s="6" t="s">
        <v>384</v>
      </c>
      <c r="I2128" s="6" t="s">
        <v>13</v>
      </c>
      <c r="J2128" s="6" t="s">
        <v>238</v>
      </c>
      <c r="K2128" s="6" t="s">
        <v>5824</v>
      </c>
      <c r="M2128" s="6"/>
    </row>
    <row r="2129" customFormat="false" ht="15" hidden="false" customHeight="false" outlineLevel="0" collapsed="false">
      <c r="A2129" s="6" t="s">
        <v>10114</v>
      </c>
      <c r="B2129" s="6" t="s">
        <v>5097</v>
      </c>
      <c r="C2129" s="6" t="s">
        <v>4975</v>
      </c>
      <c r="D2129" s="6" t="s">
        <v>9797</v>
      </c>
      <c r="E2129" s="6" t="s">
        <v>8254</v>
      </c>
      <c r="F2129" s="6" t="s">
        <v>10115</v>
      </c>
      <c r="G2129" s="9" t="n">
        <v>22554</v>
      </c>
      <c r="H2129" s="6" t="s">
        <v>384</v>
      </c>
      <c r="I2129" s="6" t="s">
        <v>13</v>
      </c>
      <c r="J2129" s="6" t="s">
        <v>228</v>
      </c>
      <c r="K2129" s="6" t="s">
        <v>9954</v>
      </c>
      <c r="M2129" s="6"/>
    </row>
    <row r="2130" customFormat="false" ht="15" hidden="false" customHeight="false" outlineLevel="0" collapsed="false">
      <c r="A2130" s="6" t="s">
        <v>10116</v>
      </c>
      <c r="B2130" s="6" t="s">
        <v>5074</v>
      </c>
      <c r="C2130" s="6" t="s">
        <v>4975</v>
      </c>
      <c r="D2130" s="6" t="s">
        <v>9797</v>
      </c>
      <c r="E2130" s="6" t="s">
        <v>8254</v>
      </c>
      <c r="F2130" s="6" t="s">
        <v>10115</v>
      </c>
      <c r="G2130" s="9" t="n">
        <v>41911</v>
      </c>
      <c r="H2130" s="6" t="s">
        <v>384</v>
      </c>
      <c r="I2130" s="6" t="s">
        <v>13</v>
      </c>
      <c r="J2130" s="6" t="s">
        <v>228</v>
      </c>
      <c r="K2130" s="6" t="s">
        <v>9954</v>
      </c>
      <c r="M2130" s="6"/>
    </row>
    <row r="2131" customFormat="false" ht="15" hidden="false" customHeight="false" outlineLevel="0" collapsed="false">
      <c r="A2131" s="6" t="s">
        <v>10117</v>
      </c>
      <c r="B2131" s="6" t="s">
        <v>5113</v>
      </c>
      <c r="C2131" s="6" t="s">
        <v>4975</v>
      </c>
      <c r="D2131" s="6" t="s">
        <v>9797</v>
      </c>
      <c r="E2131" s="6" t="s">
        <v>8254</v>
      </c>
      <c r="F2131" s="6" t="s">
        <v>10115</v>
      </c>
      <c r="G2131" s="9" t="n">
        <v>55500</v>
      </c>
      <c r="H2131" s="6" t="s">
        <v>384</v>
      </c>
      <c r="I2131" s="6" t="s">
        <v>13</v>
      </c>
      <c r="J2131" s="6" t="s">
        <v>228</v>
      </c>
      <c r="K2131" s="6" t="s">
        <v>9954</v>
      </c>
      <c r="M2131" s="6"/>
    </row>
    <row r="2132" customFormat="false" ht="15" hidden="false" customHeight="false" outlineLevel="0" collapsed="false">
      <c r="A2132" s="6" t="s">
        <v>10118</v>
      </c>
      <c r="B2132" s="6" t="s">
        <v>5320</v>
      </c>
      <c r="C2132" s="6" t="s">
        <v>5316</v>
      </c>
      <c r="D2132" s="6" t="s">
        <v>9797</v>
      </c>
      <c r="E2132" s="6" t="s">
        <v>8254</v>
      </c>
      <c r="F2132" s="6" t="s">
        <v>10119</v>
      </c>
      <c r="G2132" s="9" t="n">
        <v>31749</v>
      </c>
      <c r="H2132" s="6" t="s">
        <v>384</v>
      </c>
      <c r="I2132" s="6" t="s">
        <v>13</v>
      </c>
      <c r="J2132" s="6" t="s">
        <v>253</v>
      </c>
      <c r="K2132" s="6" t="s">
        <v>5828</v>
      </c>
      <c r="M2132" s="6"/>
    </row>
    <row r="2133" customFormat="false" ht="15" hidden="false" customHeight="false" outlineLevel="0" collapsed="false">
      <c r="A2133" s="6" t="s">
        <v>10120</v>
      </c>
      <c r="B2133" s="6" t="s">
        <v>5325</v>
      </c>
      <c r="C2133" s="6" t="s">
        <v>5316</v>
      </c>
      <c r="D2133" s="6" t="s">
        <v>9797</v>
      </c>
      <c r="E2133" s="6" t="s">
        <v>8254</v>
      </c>
      <c r="F2133" s="6" t="s">
        <v>10121</v>
      </c>
      <c r="G2133" s="9" t="n">
        <v>17336</v>
      </c>
      <c r="H2133" s="6" t="s">
        <v>384</v>
      </c>
      <c r="I2133" s="6" t="s">
        <v>13</v>
      </c>
      <c r="J2133" s="6" t="s">
        <v>261</v>
      </c>
      <c r="K2133" s="6" t="s">
        <v>5831</v>
      </c>
      <c r="M2133" s="6"/>
    </row>
    <row r="2134" customFormat="false" ht="15" hidden="false" customHeight="false" outlineLevel="0" collapsed="false">
      <c r="A2134" s="6" t="s">
        <v>10122</v>
      </c>
      <c r="B2134" s="6" t="s">
        <v>5072</v>
      </c>
      <c r="C2134" s="6" t="s">
        <v>5050</v>
      </c>
      <c r="D2134" s="6" t="s">
        <v>9797</v>
      </c>
      <c r="E2134" s="6" t="s">
        <v>10123</v>
      </c>
      <c r="F2134" s="6" t="s">
        <v>10124</v>
      </c>
      <c r="G2134" s="19" t="n">
        <v>2</v>
      </c>
      <c r="H2134" s="6" t="s">
        <v>5122</v>
      </c>
      <c r="I2134" s="6" t="s">
        <v>13</v>
      </c>
      <c r="J2134" s="6" t="s">
        <v>233</v>
      </c>
      <c r="K2134" s="6" t="s">
        <v>10125</v>
      </c>
      <c r="M2134" s="6" t="s">
        <v>10126</v>
      </c>
    </row>
    <row r="2135" customFormat="false" ht="15" hidden="false" customHeight="false" outlineLevel="0" collapsed="false">
      <c r="A2135" s="6" t="s">
        <v>10127</v>
      </c>
      <c r="B2135" s="6" t="s">
        <v>9605</v>
      </c>
      <c r="C2135" s="6" t="s">
        <v>5050</v>
      </c>
      <c r="D2135" s="6" t="s">
        <v>9797</v>
      </c>
      <c r="E2135" s="6" t="s">
        <v>10128</v>
      </c>
      <c r="F2135" s="6" t="s">
        <v>10129</v>
      </c>
      <c r="G2135" s="19" t="n">
        <v>14</v>
      </c>
      <c r="H2135" s="6" t="s">
        <v>7205</v>
      </c>
      <c r="I2135" s="6" t="s">
        <v>13</v>
      </c>
      <c r="J2135" s="6" t="s">
        <v>218</v>
      </c>
      <c r="K2135" s="6" t="s">
        <v>10130</v>
      </c>
      <c r="M2135" s="6"/>
    </row>
    <row r="2136" customFormat="false" ht="15" hidden="false" customHeight="false" outlineLevel="0" collapsed="false">
      <c r="A2136" s="6" t="s">
        <v>10131</v>
      </c>
      <c r="B2136" s="6" t="s">
        <v>7336</v>
      </c>
      <c r="C2136" s="6" t="s">
        <v>5050</v>
      </c>
      <c r="D2136" s="6" t="s">
        <v>9797</v>
      </c>
      <c r="E2136" s="6" t="s">
        <v>10128</v>
      </c>
      <c r="F2136" s="6" t="s">
        <v>10132</v>
      </c>
      <c r="G2136" s="19" t="n">
        <v>14</v>
      </c>
      <c r="H2136" s="6" t="s">
        <v>7205</v>
      </c>
      <c r="I2136" s="6" t="s">
        <v>13</v>
      </c>
      <c r="J2136" s="6" t="s">
        <v>223</v>
      </c>
      <c r="K2136" s="6" t="s">
        <v>10133</v>
      </c>
      <c r="M2136" s="6" t="s">
        <v>10134</v>
      </c>
    </row>
    <row r="2137" customFormat="false" ht="15" hidden="false" customHeight="false" outlineLevel="0" collapsed="false">
      <c r="A2137" s="6" t="s">
        <v>10135</v>
      </c>
      <c r="B2137" s="6" t="s">
        <v>5203</v>
      </c>
      <c r="C2137" s="6" t="s">
        <v>4975</v>
      </c>
      <c r="D2137" s="6" t="s">
        <v>9797</v>
      </c>
      <c r="E2137" s="6" t="s">
        <v>10136</v>
      </c>
      <c r="F2137" s="6" t="s">
        <v>10137</v>
      </c>
      <c r="G2137" s="19" t="n">
        <v>33</v>
      </c>
      <c r="H2137" s="6" t="s">
        <v>5105</v>
      </c>
      <c r="I2137" s="6" t="s">
        <v>13</v>
      </c>
      <c r="J2137" s="6" t="s">
        <v>218</v>
      </c>
      <c r="K2137" s="6" t="s">
        <v>10138</v>
      </c>
      <c r="M2137" s="6"/>
    </row>
    <row r="2138" customFormat="false" ht="15" hidden="false" customHeight="false" outlineLevel="0" collapsed="false">
      <c r="A2138" s="6" t="s">
        <v>10139</v>
      </c>
      <c r="B2138" s="6" t="s">
        <v>5102</v>
      </c>
      <c r="C2138" s="6" t="s">
        <v>4975</v>
      </c>
      <c r="D2138" s="6" t="s">
        <v>9797</v>
      </c>
      <c r="E2138" s="6" t="s">
        <v>10136</v>
      </c>
      <c r="F2138" s="6" t="s">
        <v>10137</v>
      </c>
      <c r="G2138" s="19" t="n">
        <v>17</v>
      </c>
      <c r="H2138" s="6" t="s">
        <v>5105</v>
      </c>
      <c r="I2138" s="6" t="s">
        <v>13</v>
      </c>
      <c r="J2138" s="6" t="s">
        <v>218</v>
      </c>
      <c r="K2138" s="6" t="s">
        <v>10138</v>
      </c>
      <c r="M2138" s="6"/>
    </row>
    <row r="2139" customFormat="false" ht="15" hidden="false" customHeight="false" outlineLevel="0" collapsed="false">
      <c r="A2139" s="6" t="s">
        <v>10140</v>
      </c>
      <c r="B2139" s="6" t="s">
        <v>5102</v>
      </c>
      <c r="C2139" s="6" t="s">
        <v>4975</v>
      </c>
      <c r="D2139" s="6" t="s">
        <v>9797</v>
      </c>
      <c r="E2139" s="6" t="s">
        <v>10136</v>
      </c>
      <c r="F2139" s="6" t="s">
        <v>10141</v>
      </c>
      <c r="G2139" s="19" t="n">
        <v>17</v>
      </c>
      <c r="H2139" s="6" t="s">
        <v>5105</v>
      </c>
      <c r="I2139" s="6" t="s">
        <v>13</v>
      </c>
      <c r="J2139" s="6" t="s">
        <v>223</v>
      </c>
      <c r="K2139" s="6" t="s">
        <v>10142</v>
      </c>
      <c r="M2139" s="6"/>
    </row>
    <row r="2140" customFormat="false" ht="15" hidden="false" customHeight="false" outlineLevel="0" collapsed="false">
      <c r="A2140" s="6" t="s">
        <v>10143</v>
      </c>
      <c r="B2140" s="6" t="s">
        <v>5097</v>
      </c>
      <c r="C2140" s="6" t="s">
        <v>4975</v>
      </c>
      <c r="D2140" s="6" t="s">
        <v>9797</v>
      </c>
      <c r="E2140" s="6" t="s">
        <v>10136</v>
      </c>
      <c r="F2140" s="6" t="s">
        <v>10137</v>
      </c>
      <c r="G2140" s="19" t="n">
        <v>16</v>
      </c>
      <c r="H2140" s="6" t="s">
        <v>5105</v>
      </c>
      <c r="I2140" s="6" t="s">
        <v>13</v>
      </c>
      <c r="J2140" s="6" t="s">
        <v>218</v>
      </c>
      <c r="K2140" s="6" t="s">
        <v>10138</v>
      </c>
      <c r="M2140" s="6"/>
    </row>
    <row r="2141" customFormat="false" ht="15" hidden="false" customHeight="false" outlineLevel="0" collapsed="false">
      <c r="A2141" s="6" t="s">
        <v>10144</v>
      </c>
      <c r="B2141" s="6" t="s">
        <v>5097</v>
      </c>
      <c r="C2141" s="6" t="s">
        <v>4975</v>
      </c>
      <c r="D2141" s="6" t="s">
        <v>9797</v>
      </c>
      <c r="E2141" s="6" t="s">
        <v>10136</v>
      </c>
      <c r="F2141" s="6" t="s">
        <v>10141</v>
      </c>
      <c r="G2141" s="19" t="n">
        <v>16</v>
      </c>
      <c r="H2141" s="6" t="s">
        <v>5105</v>
      </c>
      <c r="I2141" s="6" t="s">
        <v>13</v>
      </c>
      <c r="J2141" s="6" t="s">
        <v>223</v>
      </c>
      <c r="K2141" s="6" t="s">
        <v>10142</v>
      </c>
      <c r="M2141" s="6"/>
    </row>
    <row r="2142" customFormat="false" ht="15" hidden="false" customHeight="false" outlineLevel="0" collapsed="false">
      <c r="A2142" s="6" t="s">
        <v>10145</v>
      </c>
      <c r="B2142" s="6" t="s">
        <v>5097</v>
      </c>
      <c r="C2142" s="6" t="s">
        <v>4975</v>
      </c>
      <c r="D2142" s="6" t="s">
        <v>9797</v>
      </c>
      <c r="E2142" s="6" t="s">
        <v>10136</v>
      </c>
      <c r="F2142" s="6" t="s">
        <v>10146</v>
      </c>
      <c r="G2142" s="19" t="n">
        <v>16</v>
      </c>
      <c r="H2142" s="6" t="s">
        <v>5105</v>
      </c>
      <c r="I2142" s="6" t="s">
        <v>13</v>
      </c>
      <c r="J2142" s="6" t="s">
        <v>228</v>
      </c>
      <c r="K2142" s="6" t="s">
        <v>10147</v>
      </c>
      <c r="M2142" s="6"/>
    </row>
    <row r="2143" customFormat="false" ht="15" hidden="false" customHeight="false" outlineLevel="0" collapsed="false">
      <c r="A2143" s="6" t="s">
        <v>10148</v>
      </c>
      <c r="B2143" s="6" t="s">
        <v>5074</v>
      </c>
      <c r="C2143" s="6" t="s">
        <v>4975</v>
      </c>
      <c r="D2143" s="6" t="s">
        <v>9797</v>
      </c>
      <c r="E2143" s="6" t="s">
        <v>10136</v>
      </c>
      <c r="F2143" s="6" t="s">
        <v>10141</v>
      </c>
      <c r="G2143" s="19" t="n">
        <v>13</v>
      </c>
      <c r="H2143" s="6" t="s">
        <v>5105</v>
      </c>
      <c r="I2143" s="6" t="s">
        <v>13</v>
      </c>
      <c r="J2143" s="6" t="s">
        <v>223</v>
      </c>
      <c r="K2143" s="6" t="s">
        <v>10142</v>
      </c>
      <c r="M2143" s="6"/>
    </row>
    <row r="2144" customFormat="false" ht="15" hidden="false" customHeight="false" outlineLevel="0" collapsed="false">
      <c r="A2144" s="6" t="s">
        <v>10149</v>
      </c>
      <c r="B2144" s="6" t="s">
        <v>5074</v>
      </c>
      <c r="C2144" s="6" t="s">
        <v>4975</v>
      </c>
      <c r="D2144" s="6" t="s">
        <v>9797</v>
      </c>
      <c r="E2144" s="6" t="s">
        <v>10136</v>
      </c>
      <c r="F2144" s="6" t="s">
        <v>10146</v>
      </c>
      <c r="G2144" s="19" t="n">
        <v>13</v>
      </c>
      <c r="H2144" s="6" t="s">
        <v>5105</v>
      </c>
      <c r="I2144" s="6" t="s">
        <v>13</v>
      </c>
      <c r="J2144" s="6" t="s">
        <v>228</v>
      </c>
      <c r="K2144" s="6" t="s">
        <v>10147</v>
      </c>
      <c r="M2144" s="6"/>
    </row>
    <row r="2145" customFormat="false" ht="15" hidden="false" customHeight="false" outlineLevel="0" collapsed="false">
      <c r="A2145" s="6" t="s">
        <v>10150</v>
      </c>
      <c r="B2145" s="6" t="s">
        <v>5113</v>
      </c>
      <c r="C2145" s="6" t="s">
        <v>4975</v>
      </c>
      <c r="D2145" s="6" t="s">
        <v>9797</v>
      </c>
      <c r="E2145" s="6" t="s">
        <v>10136</v>
      </c>
      <c r="F2145" s="6" t="s">
        <v>10146</v>
      </c>
      <c r="G2145" s="19" t="n">
        <v>15</v>
      </c>
      <c r="H2145" s="6" t="s">
        <v>5105</v>
      </c>
      <c r="I2145" s="6" t="s">
        <v>13</v>
      </c>
      <c r="J2145" s="6" t="s">
        <v>228</v>
      </c>
      <c r="K2145" s="6" t="s">
        <v>10147</v>
      </c>
      <c r="M2145" s="6"/>
    </row>
    <row r="2146" customFormat="false" ht="15" hidden="false" customHeight="false" outlineLevel="0" collapsed="false">
      <c r="A2146" s="6" t="s">
        <v>10151</v>
      </c>
      <c r="B2146" s="6" t="s">
        <v>5315</v>
      </c>
      <c r="C2146" s="6" t="s">
        <v>5316</v>
      </c>
      <c r="D2146" s="6" t="s">
        <v>9797</v>
      </c>
      <c r="E2146" s="6" t="s">
        <v>10136</v>
      </c>
      <c r="F2146" s="6" t="s">
        <v>10152</v>
      </c>
      <c r="G2146" s="19" t="n">
        <v>12</v>
      </c>
      <c r="H2146" s="6" t="s">
        <v>5105</v>
      </c>
      <c r="I2146" s="6" t="s">
        <v>13</v>
      </c>
      <c r="J2146" s="6" t="s">
        <v>246</v>
      </c>
      <c r="K2146" s="6" t="s">
        <v>9713</v>
      </c>
      <c r="M2146" s="6" t="s">
        <v>10153</v>
      </c>
    </row>
    <row r="2147" customFormat="false" ht="15" hidden="false" customHeight="false" outlineLevel="0" collapsed="false">
      <c r="A2147" s="6" t="s">
        <v>10154</v>
      </c>
      <c r="B2147" s="6" t="s">
        <v>5320</v>
      </c>
      <c r="C2147" s="6" t="s">
        <v>5316</v>
      </c>
      <c r="D2147" s="6" t="s">
        <v>9797</v>
      </c>
      <c r="E2147" s="6" t="s">
        <v>10136</v>
      </c>
      <c r="F2147" s="6" t="s">
        <v>10155</v>
      </c>
      <c r="G2147" s="19" t="n">
        <v>12</v>
      </c>
      <c r="H2147" s="6" t="s">
        <v>5105</v>
      </c>
      <c r="I2147" s="6" t="s">
        <v>13</v>
      </c>
      <c r="J2147" s="6" t="s">
        <v>257</v>
      </c>
      <c r="K2147" s="6" t="s">
        <v>9903</v>
      </c>
      <c r="M2147" s="6" t="s">
        <v>10156</v>
      </c>
    </row>
    <row r="2148" customFormat="false" ht="15" hidden="false" customHeight="false" outlineLevel="0" collapsed="false">
      <c r="A2148" s="6" t="s">
        <v>10157</v>
      </c>
      <c r="B2148" s="6" t="s">
        <v>5325</v>
      </c>
      <c r="C2148" s="6" t="s">
        <v>5316</v>
      </c>
      <c r="D2148" s="6" t="s">
        <v>9797</v>
      </c>
      <c r="E2148" s="6" t="s">
        <v>10136</v>
      </c>
      <c r="F2148" s="6" t="s">
        <v>10158</v>
      </c>
      <c r="G2148" s="19" t="n">
        <v>11</v>
      </c>
      <c r="H2148" s="6" t="s">
        <v>5105</v>
      </c>
      <c r="I2148" s="6" t="s">
        <v>13</v>
      </c>
      <c r="J2148" s="6" t="s">
        <v>265</v>
      </c>
      <c r="K2148" s="6" t="s">
        <v>10159</v>
      </c>
      <c r="M2148" s="6" t="s">
        <v>10160</v>
      </c>
    </row>
    <row r="2149" customFormat="false" ht="15" hidden="false" customHeight="false" outlineLevel="0" collapsed="false">
      <c r="A2149" s="6" t="s">
        <v>10161</v>
      </c>
      <c r="B2149" s="6" t="s">
        <v>5325</v>
      </c>
      <c r="C2149" s="6" t="s">
        <v>5316</v>
      </c>
      <c r="D2149" s="6" t="s">
        <v>9797</v>
      </c>
      <c r="E2149" s="6" t="s">
        <v>10162</v>
      </c>
      <c r="F2149" s="6" t="s">
        <v>10163</v>
      </c>
      <c r="G2149" s="9" t="n">
        <v>18210</v>
      </c>
      <c r="H2149" s="6" t="s">
        <v>384</v>
      </c>
      <c r="I2149" s="6" t="s">
        <v>13</v>
      </c>
      <c r="J2149" s="6" t="s">
        <v>261</v>
      </c>
      <c r="K2149" s="6" t="s">
        <v>5831</v>
      </c>
      <c r="M2149" s="6"/>
    </row>
    <row r="2150" customFormat="false" ht="15" hidden="false" customHeight="false" outlineLevel="0" collapsed="false">
      <c r="A2150" s="6" t="s">
        <v>10164</v>
      </c>
      <c r="B2150" s="6" t="s">
        <v>5074</v>
      </c>
      <c r="C2150" s="6" t="s">
        <v>4975</v>
      </c>
      <c r="D2150" s="6" t="s">
        <v>9797</v>
      </c>
      <c r="E2150" s="6" t="s">
        <v>10165</v>
      </c>
      <c r="F2150" s="6" t="s">
        <v>10166</v>
      </c>
      <c r="G2150" s="9" t="n">
        <v>-38585</v>
      </c>
      <c r="H2150" s="6" t="s">
        <v>384</v>
      </c>
      <c r="I2150" s="6" t="s">
        <v>13</v>
      </c>
      <c r="J2150" s="6" t="s">
        <v>233</v>
      </c>
      <c r="K2150" s="6" t="s">
        <v>9403</v>
      </c>
      <c r="M2150" s="6"/>
    </row>
    <row r="2151" customFormat="false" ht="15" hidden="false" customHeight="false" outlineLevel="0" collapsed="false">
      <c r="A2151" s="6" t="s">
        <v>10167</v>
      </c>
      <c r="B2151" s="6" t="s">
        <v>5113</v>
      </c>
      <c r="C2151" s="6" t="s">
        <v>4975</v>
      </c>
      <c r="D2151" s="6" t="s">
        <v>9797</v>
      </c>
      <c r="E2151" s="6" t="s">
        <v>10165</v>
      </c>
      <c r="F2151" s="6" t="s">
        <v>10166</v>
      </c>
      <c r="G2151" s="9" t="n">
        <v>-21034</v>
      </c>
      <c r="H2151" s="6" t="s">
        <v>384</v>
      </c>
      <c r="I2151" s="6" t="s">
        <v>13</v>
      </c>
      <c r="J2151" s="6" t="s">
        <v>233</v>
      </c>
      <c r="K2151" s="6" t="s">
        <v>9403</v>
      </c>
      <c r="M2151" s="6"/>
    </row>
    <row r="2152" customFormat="false" ht="15" hidden="false" customHeight="false" outlineLevel="0" collapsed="false">
      <c r="A2152" s="6" t="s">
        <v>10168</v>
      </c>
      <c r="B2152" s="6" t="s">
        <v>5079</v>
      </c>
      <c r="C2152" s="6" t="s">
        <v>4975</v>
      </c>
      <c r="D2152" s="6" t="s">
        <v>9797</v>
      </c>
      <c r="E2152" s="6" t="s">
        <v>10165</v>
      </c>
      <c r="F2152" s="6" t="s">
        <v>10166</v>
      </c>
      <c r="G2152" s="9" t="n">
        <v>-1748</v>
      </c>
      <c r="H2152" s="6" t="s">
        <v>384</v>
      </c>
      <c r="I2152" s="6" t="s">
        <v>13</v>
      </c>
      <c r="J2152" s="6" t="s">
        <v>233</v>
      </c>
      <c r="K2152" s="6" t="s">
        <v>9403</v>
      </c>
      <c r="M2152" s="6"/>
    </row>
    <row r="2153" customFormat="false" ht="15" hidden="false" customHeight="false" outlineLevel="0" collapsed="false">
      <c r="A2153" s="6" t="s">
        <v>10169</v>
      </c>
      <c r="B2153" s="6" t="s">
        <v>5079</v>
      </c>
      <c r="C2153" s="6" t="s">
        <v>4975</v>
      </c>
      <c r="D2153" s="6" t="s">
        <v>9797</v>
      </c>
      <c r="E2153" s="6" t="s">
        <v>10165</v>
      </c>
      <c r="F2153" s="6" t="s">
        <v>10170</v>
      </c>
      <c r="G2153" s="9" t="n">
        <v>-1748</v>
      </c>
      <c r="H2153" s="6" t="s">
        <v>384</v>
      </c>
      <c r="I2153" s="6" t="s">
        <v>13</v>
      </c>
      <c r="J2153" s="6" t="s">
        <v>310</v>
      </c>
      <c r="K2153" s="6" t="s">
        <v>5747</v>
      </c>
      <c r="M2153" s="6"/>
    </row>
    <row r="2154" customFormat="false" ht="15" hidden="false" customHeight="false" outlineLevel="0" collapsed="false">
      <c r="A2154" s="6" t="s">
        <v>10171</v>
      </c>
      <c r="B2154" s="6" t="s">
        <v>5519</v>
      </c>
      <c r="C2154" s="6" t="s">
        <v>5316</v>
      </c>
      <c r="D2154" s="6" t="s">
        <v>9797</v>
      </c>
      <c r="E2154" s="6" t="s">
        <v>10165</v>
      </c>
      <c r="F2154" s="6" t="s">
        <v>10172</v>
      </c>
      <c r="G2154" s="9" t="n">
        <v>-34919</v>
      </c>
      <c r="H2154" s="6" t="s">
        <v>384</v>
      </c>
      <c r="I2154" s="6" t="s">
        <v>13</v>
      </c>
      <c r="J2154" s="6" t="s">
        <v>238</v>
      </c>
      <c r="K2154" s="6" t="s">
        <v>5824</v>
      </c>
      <c r="M2154" s="6"/>
    </row>
    <row r="2155" customFormat="false" ht="15" hidden="false" customHeight="false" outlineLevel="0" collapsed="false">
      <c r="A2155" s="6" t="s">
        <v>10173</v>
      </c>
      <c r="B2155" s="6" t="s">
        <v>5315</v>
      </c>
      <c r="C2155" s="6" t="s">
        <v>5316</v>
      </c>
      <c r="D2155" s="6" t="s">
        <v>9797</v>
      </c>
      <c r="E2155" s="6" t="s">
        <v>10165</v>
      </c>
      <c r="F2155" s="6" t="s">
        <v>10172</v>
      </c>
      <c r="G2155" s="9" t="n">
        <v>-3228</v>
      </c>
      <c r="H2155" s="6" t="s">
        <v>384</v>
      </c>
      <c r="I2155" s="6" t="s">
        <v>13</v>
      </c>
      <c r="J2155" s="6" t="s">
        <v>238</v>
      </c>
      <c r="K2155" s="6" t="s">
        <v>5824</v>
      </c>
      <c r="M2155" s="6"/>
    </row>
    <row r="2156" customFormat="false" ht="15" hidden="false" customHeight="false" outlineLevel="0" collapsed="false">
      <c r="A2156" s="6" t="s">
        <v>10174</v>
      </c>
      <c r="B2156" s="6" t="s">
        <v>5320</v>
      </c>
      <c r="C2156" s="6" t="s">
        <v>5316</v>
      </c>
      <c r="D2156" s="6" t="s">
        <v>9797</v>
      </c>
      <c r="E2156" s="6" t="s">
        <v>10165</v>
      </c>
      <c r="F2156" s="6" t="s">
        <v>10175</v>
      </c>
      <c r="G2156" s="9" t="n">
        <v>-1755</v>
      </c>
      <c r="H2156" s="6" t="s">
        <v>384</v>
      </c>
      <c r="I2156" s="6" t="s">
        <v>13</v>
      </c>
      <c r="J2156" s="6" t="s">
        <v>253</v>
      </c>
      <c r="K2156" s="6" t="s">
        <v>5828</v>
      </c>
      <c r="M2156" s="6"/>
    </row>
    <row r="2157" customFormat="false" ht="15" hidden="false" customHeight="false" outlineLevel="0" collapsed="false">
      <c r="A2157" s="6" t="s">
        <v>10176</v>
      </c>
      <c r="B2157" s="6" t="s">
        <v>5325</v>
      </c>
      <c r="C2157" s="6" t="s">
        <v>5316</v>
      </c>
      <c r="D2157" s="6" t="s">
        <v>9797</v>
      </c>
      <c r="E2157" s="6" t="s">
        <v>10177</v>
      </c>
      <c r="F2157" s="6" t="s">
        <v>10178</v>
      </c>
      <c r="G2157" s="19" t="n">
        <v>3</v>
      </c>
      <c r="H2157" s="6" t="s">
        <v>5105</v>
      </c>
      <c r="I2157" s="6" t="s">
        <v>13</v>
      </c>
      <c r="J2157" s="6" t="s">
        <v>265</v>
      </c>
      <c r="K2157" s="6" t="s">
        <v>10179</v>
      </c>
      <c r="M2157" s="6"/>
    </row>
    <row r="2158" customFormat="false" ht="15" hidden="false" customHeight="false" outlineLevel="0" collapsed="false">
      <c r="A2158" s="6" t="s">
        <v>10180</v>
      </c>
      <c r="B2158" s="6" t="s">
        <v>5102</v>
      </c>
      <c r="C2158" s="6" t="s">
        <v>4975</v>
      </c>
      <c r="D2158" s="6" t="s">
        <v>9797</v>
      </c>
      <c r="E2158" s="6" t="s">
        <v>10181</v>
      </c>
      <c r="F2158" s="6" t="s">
        <v>10182</v>
      </c>
      <c r="G2158" s="9" t="n">
        <v>53493</v>
      </c>
      <c r="H2158" s="6" t="s">
        <v>384</v>
      </c>
      <c r="I2158" s="6" t="s">
        <v>13</v>
      </c>
      <c r="J2158" s="6" t="s">
        <v>223</v>
      </c>
      <c r="K2158" s="6" t="s">
        <v>9942</v>
      </c>
      <c r="M2158" s="6"/>
    </row>
    <row r="2159" customFormat="false" ht="15" hidden="false" customHeight="false" outlineLevel="0" collapsed="false">
      <c r="A2159" s="6" t="s">
        <v>10183</v>
      </c>
      <c r="B2159" s="6" t="s">
        <v>5097</v>
      </c>
      <c r="C2159" s="6" t="s">
        <v>4975</v>
      </c>
      <c r="D2159" s="6" t="s">
        <v>9797</v>
      </c>
      <c r="E2159" s="6" t="s">
        <v>10181</v>
      </c>
      <c r="F2159" s="6" t="s">
        <v>10182</v>
      </c>
      <c r="G2159" s="9" t="n">
        <v>85401</v>
      </c>
      <c r="H2159" s="6" t="s">
        <v>384</v>
      </c>
      <c r="I2159" s="6" t="s">
        <v>13</v>
      </c>
      <c r="J2159" s="6" t="s">
        <v>223</v>
      </c>
      <c r="K2159" s="6" t="s">
        <v>9942</v>
      </c>
      <c r="M2159" s="6"/>
    </row>
    <row r="2160" customFormat="false" ht="15" hidden="false" customHeight="false" outlineLevel="0" collapsed="false">
      <c r="A2160" s="6" t="s">
        <v>10184</v>
      </c>
      <c r="B2160" s="6" t="s">
        <v>5097</v>
      </c>
      <c r="C2160" s="6" t="s">
        <v>4975</v>
      </c>
      <c r="D2160" s="6" t="s">
        <v>9797</v>
      </c>
      <c r="E2160" s="6" t="s">
        <v>10181</v>
      </c>
      <c r="F2160" s="6" t="s">
        <v>10185</v>
      </c>
      <c r="G2160" s="9" t="n">
        <v>85401</v>
      </c>
      <c r="H2160" s="6" t="s">
        <v>384</v>
      </c>
      <c r="I2160" s="6" t="s">
        <v>13</v>
      </c>
      <c r="J2160" s="6" t="s">
        <v>228</v>
      </c>
      <c r="K2160" s="6" t="s">
        <v>9954</v>
      </c>
      <c r="M2160" s="6"/>
    </row>
    <row r="2161" customFormat="false" ht="15" hidden="false" customHeight="false" outlineLevel="0" collapsed="false">
      <c r="A2161" s="6" t="s">
        <v>10186</v>
      </c>
      <c r="B2161" s="6" t="s">
        <v>5074</v>
      </c>
      <c r="C2161" s="6" t="s">
        <v>4975</v>
      </c>
      <c r="D2161" s="6" t="s">
        <v>9797</v>
      </c>
      <c r="E2161" s="6" t="s">
        <v>10181</v>
      </c>
      <c r="F2161" s="6" t="s">
        <v>10182</v>
      </c>
      <c r="G2161" s="9" t="n">
        <v>92733</v>
      </c>
      <c r="H2161" s="6" t="s">
        <v>384</v>
      </c>
      <c r="I2161" s="6" t="s">
        <v>13</v>
      </c>
      <c r="J2161" s="6" t="s">
        <v>223</v>
      </c>
      <c r="K2161" s="6" t="s">
        <v>9942</v>
      </c>
      <c r="M2161" s="6"/>
    </row>
    <row r="2162" customFormat="false" ht="15" hidden="false" customHeight="false" outlineLevel="0" collapsed="false">
      <c r="A2162" s="6" t="s">
        <v>10187</v>
      </c>
      <c r="B2162" s="6" t="s">
        <v>5074</v>
      </c>
      <c r="C2162" s="6" t="s">
        <v>4975</v>
      </c>
      <c r="D2162" s="6" t="s">
        <v>9797</v>
      </c>
      <c r="E2162" s="6" t="s">
        <v>10181</v>
      </c>
      <c r="F2162" s="6" t="s">
        <v>10185</v>
      </c>
      <c r="G2162" s="9" t="n">
        <v>92733</v>
      </c>
      <c r="H2162" s="6" t="s">
        <v>384</v>
      </c>
      <c r="I2162" s="6" t="s">
        <v>13</v>
      </c>
      <c r="J2162" s="6" t="s">
        <v>228</v>
      </c>
      <c r="K2162" s="6" t="s">
        <v>9954</v>
      </c>
      <c r="M2162" s="6"/>
    </row>
    <row r="2163" customFormat="false" ht="15" hidden="false" customHeight="false" outlineLevel="0" collapsed="false">
      <c r="A2163" s="6" t="s">
        <v>10188</v>
      </c>
      <c r="B2163" s="6" t="s">
        <v>5113</v>
      </c>
      <c r="C2163" s="6" t="s">
        <v>4975</v>
      </c>
      <c r="D2163" s="6" t="s">
        <v>9797</v>
      </c>
      <c r="E2163" s="6" t="s">
        <v>10181</v>
      </c>
      <c r="F2163" s="6" t="s">
        <v>10185</v>
      </c>
      <c r="G2163" s="9" t="n">
        <v>142090</v>
      </c>
      <c r="H2163" s="6" t="s">
        <v>384</v>
      </c>
      <c r="I2163" s="6" t="s">
        <v>13</v>
      </c>
      <c r="J2163" s="6" t="s">
        <v>228</v>
      </c>
      <c r="K2163" s="6" t="s">
        <v>9954</v>
      </c>
      <c r="M2163" s="6"/>
    </row>
    <row r="2164" customFormat="false" ht="15" hidden="false" customHeight="false" outlineLevel="0" collapsed="false">
      <c r="A2164" s="6" t="s">
        <v>10189</v>
      </c>
      <c r="B2164" s="6" t="s">
        <v>5320</v>
      </c>
      <c r="C2164" s="6" t="s">
        <v>5316</v>
      </c>
      <c r="D2164" s="6" t="s">
        <v>9797</v>
      </c>
      <c r="E2164" s="6" t="s">
        <v>10181</v>
      </c>
      <c r="F2164" s="6" t="s">
        <v>10190</v>
      </c>
      <c r="G2164" s="9" t="n">
        <v>72307</v>
      </c>
      <c r="H2164" s="6" t="s">
        <v>384</v>
      </c>
      <c r="I2164" s="6" t="s">
        <v>13</v>
      </c>
      <c r="J2164" s="6" t="s">
        <v>253</v>
      </c>
      <c r="K2164" s="6" t="s">
        <v>5828</v>
      </c>
      <c r="M2164" s="6"/>
    </row>
    <row r="2165" customFormat="false" ht="15" hidden="false" customHeight="false" outlineLevel="0" collapsed="false">
      <c r="A2165" s="6" t="s">
        <v>10191</v>
      </c>
      <c r="B2165" s="6" t="s">
        <v>5325</v>
      </c>
      <c r="C2165" s="6" t="s">
        <v>5316</v>
      </c>
      <c r="D2165" s="6" t="s">
        <v>9797</v>
      </c>
      <c r="E2165" s="6" t="s">
        <v>10181</v>
      </c>
      <c r="F2165" s="6" t="s">
        <v>10192</v>
      </c>
      <c r="G2165" s="9" t="n">
        <v>76331</v>
      </c>
      <c r="H2165" s="6" t="s">
        <v>384</v>
      </c>
      <c r="I2165" s="6" t="s">
        <v>13</v>
      </c>
      <c r="J2165" s="6" t="s">
        <v>261</v>
      </c>
      <c r="K2165" s="6" t="s">
        <v>5831</v>
      </c>
      <c r="M2165" s="6"/>
    </row>
    <row r="2166" customFormat="false" ht="15" hidden="false" customHeight="false" outlineLevel="0" collapsed="false">
      <c r="A2166" s="6" t="s">
        <v>10193</v>
      </c>
      <c r="B2166" s="6" t="s">
        <v>6032</v>
      </c>
      <c r="C2166" s="6" t="s">
        <v>4975</v>
      </c>
      <c r="D2166" s="6" t="s">
        <v>9797</v>
      </c>
      <c r="E2166" s="6" t="s">
        <v>10194</v>
      </c>
      <c r="F2166" s="6" t="s">
        <v>10195</v>
      </c>
      <c r="G2166" s="9" t="n">
        <v>15458</v>
      </c>
      <c r="H2166" s="6" t="s">
        <v>384</v>
      </c>
      <c r="I2166" s="6" t="s">
        <v>13</v>
      </c>
      <c r="J2166" s="6" t="s">
        <v>209</v>
      </c>
      <c r="K2166" s="6" t="s">
        <v>9942</v>
      </c>
      <c r="M2166" s="6"/>
    </row>
    <row r="2167" customFormat="false" ht="15" hidden="false" customHeight="false" outlineLevel="0" collapsed="false">
      <c r="A2167" s="6" t="s">
        <v>10196</v>
      </c>
      <c r="B2167" s="6" t="s">
        <v>5203</v>
      </c>
      <c r="C2167" s="6" t="s">
        <v>4975</v>
      </c>
      <c r="D2167" s="6" t="s">
        <v>9797</v>
      </c>
      <c r="E2167" s="6" t="s">
        <v>10194</v>
      </c>
      <c r="F2167" s="6" t="s">
        <v>10195</v>
      </c>
      <c r="G2167" s="9" t="n">
        <v>54339</v>
      </c>
      <c r="H2167" s="6" t="s">
        <v>384</v>
      </c>
      <c r="I2167" s="6" t="s">
        <v>13</v>
      </c>
      <c r="J2167" s="6" t="s">
        <v>209</v>
      </c>
      <c r="K2167" s="6" t="s">
        <v>9942</v>
      </c>
      <c r="M2167" s="6"/>
    </row>
    <row r="2168" customFormat="false" ht="15" hidden="false" customHeight="false" outlineLevel="0" collapsed="false">
      <c r="A2168" s="6" t="s">
        <v>10197</v>
      </c>
      <c r="B2168" s="6" t="s">
        <v>5203</v>
      </c>
      <c r="C2168" s="6" t="s">
        <v>4975</v>
      </c>
      <c r="D2168" s="6" t="s">
        <v>9797</v>
      </c>
      <c r="E2168" s="6" t="s">
        <v>10194</v>
      </c>
      <c r="F2168" s="6" t="s">
        <v>10198</v>
      </c>
      <c r="G2168" s="9" t="n">
        <v>54339</v>
      </c>
      <c r="H2168" s="6" t="s">
        <v>384</v>
      </c>
      <c r="I2168" s="6" t="s">
        <v>13</v>
      </c>
      <c r="J2168" s="6" t="s">
        <v>218</v>
      </c>
      <c r="K2168" s="6" t="s">
        <v>9942</v>
      </c>
      <c r="M2168" s="6"/>
    </row>
    <row r="2169" customFormat="false" ht="15" hidden="false" customHeight="false" outlineLevel="0" collapsed="false">
      <c r="A2169" s="6" t="s">
        <v>10199</v>
      </c>
      <c r="B2169" s="6" t="s">
        <v>5102</v>
      </c>
      <c r="C2169" s="6" t="s">
        <v>4975</v>
      </c>
      <c r="D2169" s="6" t="s">
        <v>9797</v>
      </c>
      <c r="E2169" s="6" t="s">
        <v>10194</v>
      </c>
      <c r="F2169" s="6" t="s">
        <v>10195</v>
      </c>
      <c r="G2169" s="9" t="n">
        <v>53493</v>
      </c>
      <c r="H2169" s="6" t="s">
        <v>384</v>
      </c>
      <c r="I2169" s="6" t="s">
        <v>13</v>
      </c>
      <c r="J2169" s="6" t="s">
        <v>209</v>
      </c>
      <c r="K2169" s="6" t="s">
        <v>9942</v>
      </c>
      <c r="M2169" s="6"/>
    </row>
    <row r="2170" customFormat="false" ht="15" hidden="false" customHeight="false" outlineLevel="0" collapsed="false">
      <c r="A2170" s="6" t="s">
        <v>10200</v>
      </c>
      <c r="B2170" s="6" t="s">
        <v>5102</v>
      </c>
      <c r="C2170" s="6" t="s">
        <v>4975</v>
      </c>
      <c r="D2170" s="6" t="s">
        <v>9797</v>
      </c>
      <c r="E2170" s="6" t="s">
        <v>10194</v>
      </c>
      <c r="F2170" s="6" t="s">
        <v>10198</v>
      </c>
      <c r="G2170" s="9" t="n">
        <v>53493</v>
      </c>
      <c r="H2170" s="6" t="s">
        <v>384</v>
      </c>
      <c r="I2170" s="6" t="s">
        <v>13</v>
      </c>
      <c r="J2170" s="6" t="s">
        <v>218</v>
      </c>
      <c r="K2170" s="6" t="s">
        <v>9942</v>
      </c>
      <c r="M2170" s="6"/>
    </row>
    <row r="2171" customFormat="false" ht="15" hidden="false" customHeight="false" outlineLevel="0" collapsed="false">
      <c r="A2171" s="6" t="s">
        <v>10201</v>
      </c>
      <c r="B2171" s="6" t="s">
        <v>5097</v>
      </c>
      <c r="C2171" s="6" t="s">
        <v>4975</v>
      </c>
      <c r="D2171" s="6" t="s">
        <v>9797</v>
      </c>
      <c r="E2171" s="6" t="s">
        <v>10194</v>
      </c>
      <c r="F2171" s="6" t="s">
        <v>10198</v>
      </c>
      <c r="G2171" s="9" t="n">
        <v>85401</v>
      </c>
      <c r="H2171" s="6" t="s">
        <v>384</v>
      </c>
      <c r="I2171" s="6" t="s">
        <v>13</v>
      </c>
      <c r="J2171" s="6" t="s">
        <v>218</v>
      </c>
      <c r="K2171" s="6" t="s">
        <v>9942</v>
      </c>
      <c r="M2171" s="6"/>
    </row>
    <row r="2172" customFormat="false" ht="15" hidden="false" customHeight="false" outlineLevel="0" collapsed="false">
      <c r="A2172" s="6" t="s">
        <v>10202</v>
      </c>
      <c r="B2172" s="6" t="s">
        <v>5074</v>
      </c>
      <c r="C2172" s="6" t="s">
        <v>4975</v>
      </c>
      <c r="D2172" s="6" t="s">
        <v>9797</v>
      </c>
      <c r="E2172" s="6" t="s">
        <v>10194</v>
      </c>
      <c r="F2172" s="6" t="s">
        <v>10203</v>
      </c>
      <c r="G2172" s="9" t="n">
        <v>92733</v>
      </c>
      <c r="H2172" s="6" t="s">
        <v>384</v>
      </c>
      <c r="I2172" s="6" t="s">
        <v>13</v>
      </c>
      <c r="J2172" s="6" t="s">
        <v>233</v>
      </c>
      <c r="K2172" s="6" t="s">
        <v>9403</v>
      </c>
      <c r="M2172" s="6"/>
    </row>
    <row r="2173" customFormat="false" ht="15" hidden="false" customHeight="false" outlineLevel="0" collapsed="false">
      <c r="A2173" s="6" t="s">
        <v>10204</v>
      </c>
      <c r="B2173" s="6" t="s">
        <v>5113</v>
      </c>
      <c r="C2173" s="6" t="s">
        <v>4975</v>
      </c>
      <c r="D2173" s="6" t="s">
        <v>9797</v>
      </c>
      <c r="E2173" s="6" t="s">
        <v>10194</v>
      </c>
      <c r="F2173" s="6" t="s">
        <v>10203</v>
      </c>
      <c r="G2173" s="9" t="n">
        <v>142090</v>
      </c>
      <c r="H2173" s="6" t="s">
        <v>384</v>
      </c>
      <c r="I2173" s="6" t="s">
        <v>13</v>
      </c>
      <c r="J2173" s="6" t="s">
        <v>233</v>
      </c>
      <c r="K2173" s="6" t="s">
        <v>9403</v>
      </c>
      <c r="M2173" s="6"/>
    </row>
    <row r="2174" customFormat="false" ht="15" hidden="false" customHeight="false" outlineLevel="0" collapsed="false">
      <c r="A2174" s="6" t="s">
        <v>10205</v>
      </c>
      <c r="B2174" s="6" t="s">
        <v>5079</v>
      </c>
      <c r="C2174" s="6" t="s">
        <v>4975</v>
      </c>
      <c r="D2174" s="6" t="s">
        <v>9797</v>
      </c>
      <c r="E2174" s="6" t="s">
        <v>10194</v>
      </c>
      <c r="F2174" s="6" t="s">
        <v>10203</v>
      </c>
      <c r="G2174" s="9" t="n">
        <v>148996</v>
      </c>
      <c r="H2174" s="6" t="s">
        <v>384</v>
      </c>
      <c r="I2174" s="6" t="s">
        <v>13</v>
      </c>
      <c r="J2174" s="6" t="s">
        <v>233</v>
      </c>
      <c r="K2174" s="6" t="s">
        <v>9403</v>
      </c>
      <c r="M2174" s="6"/>
    </row>
    <row r="2175" customFormat="false" ht="15" hidden="false" customHeight="false" outlineLevel="0" collapsed="false">
      <c r="A2175" s="6" t="s">
        <v>10206</v>
      </c>
      <c r="B2175" s="6" t="s">
        <v>5519</v>
      </c>
      <c r="C2175" s="6" t="s">
        <v>5316</v>
      </c>
      <c r="D2175" s="6" t="s">
        <v>9797</v>
      </c>
      <c r="E2175" s="6" t="s">
        <v>10194</v>
      </c>
      <c r="F2175" s="6" t="s">
        <v>10207</v>
      </c>
      <c r="G2175" s="9" t="n">
        <v>45032</v>
      </c>
      <c r="H2175" s="6" t="s">
        <v>384</v>
      </c>
      <c r="I2175" s="6" t="s">
        <v>13</v>
      </c>
      <c r="J2175" s="6" t="s">
        <v>238</v>
      </c>
      <c r="K2175" s="6" t="s">
        <v>5824</v>
      </c>
      <c r="M2175" s="6"/>
    </row>
    <row r="2176" customFormat="false" ht="15" hidden="false" customHeight="false" outlineLevel="0" collapsed="false">
      <c r="A2176" s="6" t="s">
        <v>10208</v>
      </c>
      <c r="B2176" s="6" t="s">
        <v>5315</v>
      </c>
      <c r="C2176" s="6" t="s">
        <v>5316</v>
      </c>
      <c r="D2176" s="6" t="s">
        <v>9797</v>
      </c>
      <c r="E2176" s="6" t="s">
        <v>10194</v>
      </c>
      <c r="F2176" s="6" t="s">
        <v>10207</v>
      </c>
      <c r="G2176" s="9" t="n">
        <v>54550</v>
      </c>
      <c r="H2176" s="6" t="s">
        <v>384</v>
      </c>
      <c r="I2176" s="6" t="s">
        <v>13</v>
      </c>
      <c r="J2176" s="6" t="s">
        <v>238</v>
      </c>
      <c r="K2176" s="6" t="s">
        <v>5824</v>
      </c>
      <c r="M2176" s="6"/>
    </row>
    <row r="2177" customFormat="false" ht="15" hidden="false" customHeight="false" outlineLevel="0" collapsed="false">
      <c r="A2177" s="6" t="s">
        <v>10209</v>
      </c>
      <c r="B2177" s="6" t="s">
        <v>5203</v>
      </c>
      <c r="C2177" s="6" t="s">
        <v>4975</v>
      </c>
      <c r="D2177" s="6" t="s">
        <v>9797</v>
      </c>
      <c r="E2177" s="6" t="s">
        <v>5530</v>
      </c>
      <c r="F2177" s="6" t="s">
        <v>10210</v>
      </c>
      <c r="G2177" s="19" t="n">
        <v>86</v>
      </c>
      <c r="H2177" s="6" t="s">
        <v>5105</v>
      </c>
      <c r="I2177" s="6" t="s">
        <v>13</v>
      </c>
      <c r="J2177" s="6" t="s">
        <v>218</v>
      </c>
      <c r="K2177" s="6" t="s">
        <v>10138</v>
      </c>
      <c r="M2177" s="6"/>
    </row>
    <row r="2178" customFormat="false" ht="15" hidden="false" customHeight="false" outlineLevel="0" collapsed="false">
      <c r="A2178" s="6" t="s">
        <v>10211</v>
      </c>
      <c r="B2178" s="6" t="s">
        <v>5102</v>
      </c>
      <c r="C2178" s="6" t="s">
        <v>4975</v>
      </c>
      <c r="D2178" s="6" t="s">
        <v>9797</v>
      </c>
      <c r="E2178" s="6" t="s">
        <v>5530</v>
      </c>
      <c r="F2178" s="6" t="s">
        <v>10210</v>
      </c>
      <c r="G2178" s="19" t="n">
        <v>87</v>
      </c>
      <c r="H2178" s="6" t="s">
        <v>5105</v>
      </c>
      <c r="I2178" s="6" t="s">
        <v>13</v>
      </c>
      <c r="J2178" s="6" t="s">
        <v>218</v>
      </c>
      <c r="K2178" s="6" t="s">
        <v>10138</v>
      </c>
      <c r="M2178" s="6"/>
    </row>
    <row r="2179" customFormat="false" ht="15" hidden="false" customHeight="false" outlineLevel="0" collapsed="false">
      <c r="A2179" s="6" t="s">
        <v>10212</v>
      </c>
      <c r="B2179" s="6" t="s">
        <v>5102</v>
      </c>
      <c r="C2179" s="6" t="s">
        <v>4975</v>
      </c>
      <c r="D2179" s="6" t="s">
        <v>9797</v>
      </c>
      <c r="E2179" s="6" t="s">
        <v>5530</v>
      </c>
      <c r="F2179" s="6" t="s">
        <v>10213</v>
      </c>
      <c r="G2179" s="19" t="n">
        <v>87</v>
      </c>
      <c r="H2179" s="6" t="s">
        <v>5105</v>
      </c>
      <c r="I2179" s="6" t="s">
        <v>13</v>
      </c>
      <c r="J2179" s="6" t="s">
        <v>223</v>
      </c>
      <c r="K2179" s="6" t="s">
        <v>10142</v>
      </c>
      <c r="M2179" s="6"/>
    </row>
    <row r="2180" customFormat="false" ht="15" hidden="false" customHeight="false" outlineLevel="0" collapsed="false">
      <c r="A2180" s="6" t="s">
        <v>10214</v>
      </c>
      <c r="B2180" s="6" t="s">
        <v>5097</v>
      </c>
      <c r="C2180" s="6" t="s">
        <v>4975</v>
      </c>
      <c r="D2180" s="6" t="s">
        <v>9797</v>
      </c>
      <c r="E2180" s="6" t="s">
        <v>5530</v>
      </c>
      <c r="F2180" s="6" t="s">
        <v>10210</v>
      </c>
      <c r="G2180" s="19" t="n">
        <v>87</v>
      </c>
      <c r="H2180" s="6" t="s">
        <v>5105</v>
      </c>
      <c r="I2180" s="6" t="s">
        <v>13</v>
      </c>
      <c r="J2180" s="6" t="s">
        <v>218</v>
      </c>
      <c r="K2180" s="6" t="s">
        <v>10138</v>
      </c>
      <c r="M2180" s="6"/>
    </row>
    <row r="2181" customFormat="false" ht="15" hidden="false" customHeight="false" outlineLevel="0" collapsed="false">
      <c r="A2181" s="6" t="s">
        <v>10215</v>
      </c>
      <c r="B2181" s="6" t="s">
        <v>5097</v>
      </c>
      <c r="C2181" s="6" t="s">
        <v>4975</v>
      </c>
      <c r="D2181" s="6" t="s">
        <v>9797</v>
      </c>
      <c r="E2181" s="6" t="s">
        <v>5530</v>
      </c>
      <c r="F2181" s="6" t="s">
        <v>10213</v>
      </c>
      <c r="G2181" s="19" t="n">
        <v>87</v>
      </c>
      <c r="H2181" s="6" t="s">
        <v>5105</v>
      </c>
      <c r="I2181" s="6" t="s">
        <v>13</v>
      </c>
      <c r="J2181" s="6" t="s">
        <v>223</v>
      </c>
      <c r="K2181" s="6" t="s">
        <v>10142</v>
      </c>
      <c r="M2181" s="6"/>
    </row>
    <row r="2182" customFormat="false" ht="15" hidden="false" customHeight="false" outlineLevel="0" collapsed="false">
      <c r="A2182" s="6" t="s">
        <v>10216</v>
      </c>
      <c r="B2182" s="6" t="s">
        <v>5074</v>
      </c>
      <c r="C2182" s="6" t="s">
        <v>4975</v>
      </c>
      <c r="D2182" s="6" t="s">
        <v>9797</v>
      </c>
      <c r="E2182" s="6" t="s">
        <v>5530</v>
      </c>
      <c r="F2182" s="6" t="s">
        <v>10213</v>
      </c>
      <c r="G2182" s="19" t="n">
        <v>89</v>
      </c>
      <c r="H2182" s="6" t="s">
        <v>5105</v>
      </c>
      <c r="I2182" s="6" t="s">
        <v>13</v>
      </c>
      <c r="J2182" s="6" t="s">
        <v>223</v>
      </c>
      <c r="K2182" s="6" t="s">
        <v>10142</v>
      </c>
      <c r="M2182" s="6"/>
    </row>
    <row r="2183" customFormat="false" ht="15" hidden="false" customHeight="false" outlineLevel="0" collapsed="false">
      <c r="A2183" s="6" t="s">
        <v>10217</v>
      </c>
      <c r="B2183" s="6" t="s">
        <v>5315</v>
      </c>
      <c r="C2183" s="6" t="s">
        <v>5316</v>
      </c>
      <c r="D2183" s="6" t="s">
        <v>9797</v>
      </c>
      <c r="E2183" s="6" t="s">
        <v>5530</v>
      </c>
      <c r="F2183" s="6" t="s">
        <v>10218</v>
      </c>
      <c r="G2183" s="19" t="n">
        <v>90</v>
      </c>
      <c r="H2183" s="6" t="s">
        <v>5105</v>
      </c>
      <c r="I2183" s="6" t="s">
        <v>13</v>
      </c>
      <c r="J2183" s="6" t="s">
        <v>246</v>
      </c>
      <c r="K2183" s="6" t="s">
        <v>10219</v>
      </c>
      <c r="M2183" s="6" t="s">
        <v>10220</v>
      </c>
    </row>
    <row r="2184" customFormat="false" ht="15" hidden="false" customHeight="false" outlineLevel="0" collapsed="false">
      <c r="A2184" s="6" t="s">
        <v>10221</v>
      </c>
      <c r="B2184" s="6" t="s">
        <v>5325</v>
      </c>
      <c r="C2184" s="6" t="s">
        <v>5316</v>
      </c>
      <c r="D2184" s="6" t="s">
        <v>9797</v>
      </c>
      <c r="E2184" s="6" t="s">
        <v>5530</v>
      </c>
      <c r="F2184" s="6" t="s">
        <v>10222</v>
      </c>
      <c r="G2184" s="19" t="n">
        <v>89</v>
      </c>
      <c r="H2184" s="6" t="s">
        <v>5105</v>
      </c>
      <c r="I2184" s="6" t="s">
        <v>13</v>
      </c>
      <c r="J2184" s="6" t="s">
        <v>265</v>
      </c>
      <c r="K2184" s="6" t="s">
        <v>10159</v>
      </c>
      <c r="M2184" s="6" t="s">
        <v>10223</v>
      </c>
    </row>
    <row r="2185" customFormat="false" ht="15" hidden="false" customHeight="false" outlineLevel="0" collapsed="false">
      <c r="A2185" s="6" t="s">
        <v>10224</v>
      </c>
      <c r="B2185" s="6" t="s">
        <v>5097</v>
      </c>
      <c r="C2185" s="6" t="s">
        <v>4975</v>
      </c>
      <c r="D2185" s="6" t="s">
        <v>9797</v>
      </c>
      <c r="E2185" s="6" t="s">
        <v>10225</v>
      </c>
      <c r="F2185" s="6" t="s">
        <v>10226</v>
      </c>
      <c r="G2185" s="19" t="n">
        <v>87</v>
      </c>
      <c r="H2185" s="6" t="s">
        <v>5105</v>
      </c>
      <c r="I2185" s="6" t="s">
        <v>13</v>
      </c>
      <c r="J2185" s="6" t="s">
        <v>228</v>
      </c>
      <c r="K2185" s="6" t="s">
        <v>10147</v>
      </c>
      <c r="M2185" s="6"/>
    </row>
    <row r="2186" customFormat="false" ht="15" hidden="false" customHeight="false" outlineLevel="0" collapsed="false">
      <c r="A2186" s="6" t="s">
        <v>10227</v>
      </c>
      <c r="B2186" s="6" t="s">
        <v>5074</v>
      </c>
      <c r="C2186" s="6" t="s">
        <v>4975</v>
      </c>
      <c r="D2186" s="6" t="s">
        <v>9797</v>
      </c>
      <c r="E2186" s="6" t="s">
        <v>10225</v>
      </c>
      <c r="F2186" s="6" t="s">
        <v>10226</v>
      </c>
      <c r="G2186" s="19" t="n">
        <v>89</v>
      </c>
      <c r="H2186" s="6" t="s">
        <v>5105</v>
      </c>
      <c r="I2186" s="6" t="s">
        <v>13</v>
      </c>
      <c r="J2186" s="6" t="s">
        <v>228</v>
      </c>
      <c r="K2186" s="6" t="s">
        <v>10147</v>
      </c>
      <c r="M2186" s="6"/>
    </row>
    <row r="2187" customFormat="false" ht="15" hidden="false" customHeight="false" outlineLevel="0" collapsed="false">
      <c r="A2187" s="6" t="s">
        <v>10228</v>
      </c>
      <c r="B2187" s="6" t="s">
        <v>5113</v>
      </c>
      <c r="C2187" s="6" t="s">
        <v>4975</v>
      </c>
      <c r="D2187" s="6" t="s">
        <v>9797</v>
      </c>
      <c r="E2187" s="6" t="s">
        <v>10225</v>
      </c>
      <c r="F2187" s="6" t="s">
        <v>10226</v>
      </c>
      <c r="G2187" s="19" t="n">
        <v>89</v>
      </c>
      <c r="H2187" s="6" t="s">
        <v>5105</v>
      </c>
      <c r="I2187" s="6" t="s">
        <v>13</v>
      </c>
      <c r="J2187" s="6" t="s">
        <v>228</v>
      </c>
      <c r="K2187" s="6" t="s">
        <v>10147</v>
      </c>
      <c r="M2187" s="6"/>
    </row>
    <row r="2188" customFormat="false" ht="15" hidden="false" customHeight="false" outlineLevel="0" collapsed="false">
      <c r="A2188" s="6" t="s">
        <v>10229</v>
      </c>
      <c r="B2188" s="6" t="s">
        <v>10230</v>
      </c>
      <c r="C2188" s="6" t="s">
        <v>10231</v>
      </c>
      <c r="D2188" s="6" t="s">
        <v>9797</v>
      </c>
      <c r="E2188" s="6" t="s">
        <v>10232</v>
      </c>
      <c r="F2188" s="6" t="s">
        <v>10233</v>
      </c>
      <c r="H2188" s="6" t="s">
        <v>7024</v>
      </c>
      <c r="I2188" s="6" t="s">
        <v>13</v>
      </c>
      <c r="J2188" s="6" t="s">
        <v>265</v>
      </c>
      <c r="K2188" s="6" t="s">
        <v>10234</v>
      </c>
      <c r="M2188" s="6"/>
    </row>
    <row r="2189" customFormat="false" ht="15" hidden="false" customHeight="false" outlineLevel="0" collapsed="false">
      <c r="A2189" s="6" t="s">
        <v>10235</v>
      </c>
      <c r="B2189" s="6" t="s">
        <v>6032</v>
      </c>
      <c r="C2189" s="6" t="s">
        <v>4975</v>
      </c>
      <c r="D2189" s="6" t="s">
        <v>9797</v>
      </c>
      <c r="E2189" s="6" t="s">
        <v>10236</v>
      </c>
      <c r="F2189" s="6" t="s">
        <v>10237</v>
      </c>
      <c r="G2189" s="9" t="n">
        <v>66111</v>
      </c>
      <c r="H2189" s="6" t="s">
        <v>384</v>
      </c>
      <c r="I2189" s="6" t="s">
        <v>13</v>
      </c>
      <c r="J2189" s="6" t="s">
        <v>209</v>
      </c>
      <c r="K2189" s="6" t="s">
        <v>9942</v>
      </c>
      <c r="M2189" s="6"/>
    </row>
    <row r="2190" customFormat="false" ht="15" hidden="false" customHeight="false" outlineLevel="0" collapsed="false">
      <c r="A2190" s="6" t="s">
        <v>10238</v>
      </c>
      <c r="B2190" s="6" t="s">
        <v>5203</v>
      </c>
      <c r="C2190" s="6" t="s">
        <v>4975</v>
      </c>
      <c r="D2190" s="6" t="s">
        <v>9797</v>
      </c>
      <c r="E2190" s="6" t="s">
        <v>10236</v>
      </c>
      <c r="F2190" s="6" t="s">
        <v>10237</v>
      </c>
      <c r="G2190" s="9" t="n">
        <v>138635</v>
      </c>
      <c r="H2190" s="6" t="s">
        <v>384</v>
      </c>
      <c r="I2190" s="6" t="s">
        <v>13</v>
      </c>
      <c r="J2190" s="6" t="s">
        <v>209</v>
      </c>
      <c r="K2190" s="6" t="s">
        <v>9942</v>
      </c>
      <c r="M2190" s="6"/>
    </row>
    <row r="2191" customFormat="false" ht="15" hidden="false" customHeight="false" outlineLevel="0" collapsed="false">
      <c r="A2191" s="6" t="s">
        <v>10239</v>
      </c>
      <c r="B2191" s="6" t="s">
        <v>5203</v>
      </c>
      <c r="C2191" s="6" t="s">
        <v>4975</v>
      </c>
      <c r="D2191" s="6" t="s">
        <v>9797</v>
      </c>
      <c r="E2191" s="6" t="s">
        <v>10236</v>
      </c>
      <c r="F2191" s="6" t="s">
        <v>10240</v>
      </c>
      <c r="G2191" s="9" t="n">
        <v>138635</v>
      </c>
      <c r="H2191" s="6" t="s">
        <v>384</v>
      </c>
      <c r="I2191" s="6" t="s">
        <v>13</v>
      </c>
      <c r="J2191" s="6" t="s">
        <v>218</v>
      </c>
      <c r="K2191" s="6" t="s">
        <v>9942</v>
      </c>
      <c r="M2191" s="6"/>
    </row>
    <row r="2192" customFormat="false" ht="15" hidden="false" customHeight="false" outlineLevel="0" collapsed="false">
      <c r="A2192" s="6" t="s">
        <v>10241</v>
      </c>
      <c r="B2192" s="6" t="s">
        <v>5102</v>
      </c>
      <c r="C2192" s="6" t="s">
        <v>4975</v>
      </c>
      <c r="D2192" s="6" t="s">
        <v>9797</v>
      </c>
      <c r="E2192" s="6" t="s">
        <v>10236</v>
      </c>
      <c r="F2192" s="6" t="s">
        <v>10237</v>
      </c>
      <c r="G2192" s="9" t="n">
        <v>269137</v>
      </c>
      <c r="H2192" s="6" t="s">
        <v>384</v>
      </c>
      <c r="I2192" s="6" t="s">
        <v>13</v>
      </c>
      <c r="J2192" s="6" t="s">
        <v>209</v>
      </c>
      <c r="K2192" s="6" t="s">
        <v>9942</v>
      </c>
      <c r="M2192" s="6"/>
    </row>
    <row r="2193" customFormat="false" ht="15" hidden="false" customHeight="false" outlineLevel="0" collapsed="false">
      <c r="A2193" s="6" t="s">
        <v>10242</v>
      </c>
      <c r="B2193" s="6" t="s">
        <v>5102</v>
      </c>
      <c r="C2193" s="6" t="s">
        <v>4975</v>
      </c>
      <c r="D2193" s="6" t="s">
        <v>9797</v>
      </c>
      <c r="E2193" s="6" t="s">
        <v>10236</v>
      </c>
      <c r="F2193" s="6" t="s">
        <v>10240</v>
      </c>
      <c r="G2193" s="9" t="n">
        <v>269137</v>
      </c>
      <c r="H2193" s="6" t="s">
        <v>384</v>
      </c>
      <c r="I2193" s="6" t="s">
        <v>13</v>
      </c>
      <c r="J2193" s="6" t="s">
        <v>218</v>
      </c>
      <c r="K2193" s="6" t="s">
        <v>9942</v>
      </c>
      <c r="M2193" s="6"/>
    </row>
    <row r="2194" customFormat="false" ht="15" hidden="false" customHeight="false" outlineLevel="0" collapsed="false">
      <c r="A2194" s="6" t="s">
        <v>10243</v>
      </c>
      <c r="B2194" s="6" t="s">
        <v>5102</v>
      </c>
      <c r="C2194" s="6" t="s">
        <v>4975</v>
      </c>
      <c r="D2194" s="6" t="s">
        <v>9797</v>
      </c>
      <c r="E2194" s="6" t="s">
        <v>10236</v>
      </c>
      <c r="F2194" s="6" t="s">
        <v>10244</v>
      </c>
      <c r="G2194" s="9" t="n">
        <v>269137</v>
      </c>
      <c r="H2194" s="6" t="s">
        <v>384</v>
      </c>
      <c r="I2194" s="6" t="s">
        <v>13</v>
      </c>
      <c r="J2194" s="6" t="s">
        <v>223</v>
      </c>
      <c r="K2194" s="6" t="s">
        <v>9942</v>
      </c>
      <c r="M2194" s="6"/>
    </row>
    <row r="2195" customFormat="false" ht="15" hidden="false" customHeight="false" outlineLevel="0" collapsed="false">
      <c r="A2195" s="6" t="s">
        <v>10245</v>
      </c>
      <c r="B2195" s="6" t="s">
        <v>5097</v>
      </c>
      <c r="C2195" s="6" t="s">
        <v>4975</v>
      </c>
      <c r="D2195" s="6" t="s">
        <v>9797</v>
      </c>
      <c r="E2195" s="6" t="s">
        <v>10236</v>
      </c>
      <c r="F2195" s="6" t="s">
        <v>10240</v>
      </c>
      <c r="G2195" s="9" t="n">
        <v>452501</v>
      </c>
      <c r="H2195" s="6" t="s">
        <v>384</v>
      </c>
      <c r="I2195" s="6" t="s">
        <v>13</v>
      </c>
      <c r="J2195" s="6" t="s">
        <v>218</v>
      </c>
      <c r="K2195" s="6" t="s">
        <v>9942</v>
      </c>
      <c r="M2195" s="6"/>
    </row>
    <row r="2196" customFormat="false" ht="15" hidden="false" customHeight="false" outlineLevel="0" collapsed="false">
      <c r="A2196" s="6" t="s">
        <v>10246</v>
      </c>
      <c r="B2196" s="6" t="s">
        <v>5097</v>
      </c>
      <c r="C2196" s="6" t="s">
        <v>4975</v>
      </c>
      <c r="D2196" s="6" t="s">
        <v>9797</v>
      </c>
      <c r="E2196" s="6" t="s">
        <v>10236</v>
      </c>
      <c r="F2196" s="6" t="s">
        <v>10244</v>
      </c>
      <c r="G2196" s="9" t="n">
        <v>452501</v>
      </c>
      <c r="H2196" s="6" t="s">
        <v>384</v>
      </c>
      <c r="I2196" s="6" t="s">
        <v>13</v>
      </c>
      <c r="J2196" s="6" t="s">
        <v>223</v>
      </c>
      <c r="K2196" s="6" t="s">
        <v>9942</v>
      </c>
      <c r="M2196" s="6"/>
    </row>
    <row r="2197" customFormat="false" ht="15" hidden="false" customHeight="false" outlineLevel="0" collapsed="false">
      <c r="A2197" s="6" t="s">
        <v>10247</v>
      </c>
      <c r="B2197" s="6" t="s">
        <v>5097</v>
      </c>
      <c r="C2197" s="6" t="s">
        <v>4975</v>
      </c>
      <c r="D2197" s="6" t="s">
        <v>9797</v>
      </c>
      <c r="E2197" s="6" t="s">
        <v>10236</v>
      </c>
      <c r="F2197" s="6" t="s">
        <v>10248</v>
      </c>
      <c r="G2197" s="9" t="n">
        <v>452501</v>
      </c>
      <c r="H2197" s="6" t="s">
        <v>384</v>
      </c>
      <c r="I2197" s="6" t="s">
        <v>13</v>
      </c>
      <c r="J2197" s="6" t="s">
        <v>228</v>
      </c>
      <c r="K2197" s="6" t="s">
        <v>9954</v>
      </c>
      <c r="M2197" s="6"/>
    </row>
    <row r="2198" customFormat="false" ht="15" hidden="false" customHeight="false" outlineLevel="0" collapsed="false">
      <c r="A2198" s="6" t="s">
        <v>10249</v>
      </c>
      <c r="B2198" s="6" t="s">
        <v>5074</v>
      </c>
      <c r="C2198" s="6" t="s">
        <v>4975</v>
      </c>
      <c r="D2198" s="6" t="s">
        <v>9797</v>
      </c>
      <c r="E2198" s="6" t="s">
        <v>10236</v>
      </c>
      <c r="F2198" s="6" t="s">
        <v>10244</v>
      </c>
      <c r="G2198" s="9" t="n">
        <v>649050</v>
      </c>
      <c r="H2198" s="6" t="s">
        <v>384</v>
      </c>
      <c r="I2198" s="6" t="s">
        <v>13</v>
      </c>
      <c r="J2198" s="6" t="s">
        <v>223</v>
      </c>
      <c r="K2198" s="6" t="s">
        <v>9942</v>
      </c>
      <c r="M2198" s="6"/>
    </row>
    <row r="2199" customFormat="false" ht="15" hidden="false" customHeight="false" outlineLevel="0" collapsed="false">
      <c r="A2199" s="6" t="s">
        <v>10250</v>
      </c>
      <c r="B2199" s="6" t="s">
        <v>5074</v>
      </c>
      <c r="C2199" s="6" t="s">
        <v>4975</v>
      </c>
      <c r="D2199" s="6" t="s">
        <v>9797</v>
      </c>
      <c r="E2199" s="6" t="s">
        <v>10236</v>
      </c>
      <c r="F2199" s="6" t="s">
        <v>10248</v>
      </c>
      <c r="G2199" s="9" t="n">
        <v>649050</v>
      </c>
      <c r="H2199" s="6" t="s">
        <v>384</v>
      </c>
      <c r="I2199" s="6" t="s">
        <v>13</v>
      </c>
      <c r="J2199" s="6" t="s">
        <v>228</v>
      </c>
      <c r="K2199" s="6" t="s">
        <v>9954</v>
      </c>
      <c r="M2199" s="6"/>
    </row>
    <row r="2200" customFormat="false" ht="15" hidden="false" customHeight="false" outlineLevel="0" collapsed="false">
      <c r="A2200" s="6" t="s">
        <v>10251</v>
      </c>
      <c r="B2200" s="6" t="s">
        <v>5113</v>
      </c>
      <c r="C2200" s="6" t="s">
        <v>4975</v>
      </c>
      <c r="D2200" s="6" t="s">
        <v>9797</v>
      </c>
      <c r="E2200" s="6" t="s">
        <v>10236</v>
      </c>
      <c r="F2200" s="6" t="s">
        <v>10248</v>
      </c>
      <c r="G2200" s="9" t="n">
        <v>868304</v>
      </c>
      <c r="H2200" s="6" t="s">
        <v>384</v>
      </c>
      <c r="I2200" s="6" t="s">
        <v>13</v>
      </c>
      <c r="J2200" s="6" t="s">
        <v>228</v>
      </c>
      <c r="K2200" s="6" t="s">
        <v>9954</v>
      </c>
      <c r="M2200" s="6"/>
    </row>
    <row r="2201" customFormat="false" ht="15" hidden="false" customHeight="false" outlineLevel="0" collapsed="false">
      <c r="A2201" s="6" t="s">
        <v>10252</v>
      </c>
      <c r="B2201" s="6" t="s">
        <v>5519</v>
      </c>
      <c r="C2201" s="6" t="s">
        <v>5316</v>
      </c>
      <c r="D2201" s="6" t="s">
        <v>9797</v>
      </c>
      <c r="E2201" s="6" t="s">
        <v>10236</v>
      </c>
      <c r="F2201" s="6" t="s">
        <v>10253</v>
      </c>
      <c r="G2201" s="9" t="n">
        <v>301405</v>
      </c>
      <c r="H2201" s="6" t="s">
        <v>384</v>
      </c>
      <c r="I2201" s="6" t="s">
        <v>13</v>
      </c>
      <c r="J2201" s="6" t="s">
        <v>238</v>
      </c>
      <c r="K2201" s="6" t="s">
        <v>5824</v>
      </c>
      <c r="M2201" s="6"/>
    </row>
    <row r="2202" customFormat="false" ht="15" hidden="false" customHeight="false" outlineLevel="0" collapsed="false">
      <c r="A2202" s="6" t="s">
        <v>10254</v>
      </c>
      <c r="B2202" s="6" t="s">
        <v>5315</v>
      </c>
      <c r="C2202" s="6" t="s">
        <v>5316</v>
      </c>
      <c r="D2202" s="6" t="s">
        <v>9797</v>
      </c>
      <c r="E2202" s="6" t="s">
        <v>10236</v>
      </c>
      <c r="F2202" s="6" t="s">
        <v>10253</v>
      </c>
      <c r="G2202" s="9" t="n">
        <v>405802</v>
      </c>
      <c r="H2202" s="6" t="s">
        <v>384</v>
      </c>
      <c r="I2202" s="6" t="s">
        <v>13</v>
      </c>
      <c r="J2202" s="6" t="s">
        <v>238</v>
      </c>
      <c r="K2202" s="6" t="s">
        <v>5824</v>
      </c>
      <c r="M2202" s="6"/>
    </row>
    <row r="2203" customFormat="false" ht="15" hidden="false" customHeight="false" outlineLevel="0" collapsed="false">
      <c r="A2203" s="6" t="s">
        <v>10255</v>
      </c>
      <c r="B2203" s="6" t="s">
        <v>5320</v>
      </c>
      <c r="C2203" s="6" t="s">
        <v>5316</v>
      </c>
      <c r="D2203" s="6" t="s">
        <v>9797</v>
      </c>
      <c r="E2203" s="6" t="s">
        <v>10236</v>
      </c>
      <c r="F2203" s="6" t="s">
        <v>10256</v>
      </c>
      <c r="G2203" s="9" t="n">
        <v>521286</v>
      </c>
      <c r="H2203" s="6" t="s">
        <v>384</v>
      </c>
      <c r="I2203" s="6" t="s">
        <v>13</v>
      </c>
      <c r="J2203" s="6" t="s">
        <v>253</v>
      </c>
      <c r="K2203" s="6" t="s">
        <v>5828</v>
      </c>
      <c r="M2203" s="6"/>
    </row>
    <row r="2204" customFormat="false" ht="15" hidden="false" customHeight="false" outlineLevel="0" collapsed="false">
      <c r="A2204" s="6" t="s">
        <v>10257</v>
      </c>
      <c r="B2204" s="6" t="s">
        <v>5325</v>
      </c>
      <c r="C2204" s="6" t="s">
        <v>5316</v>
      </c>
      <c r="D2204" s="6" t="s">
        <v>9797</v>
      </c>
      <c r="E2204" s="6" t="s">
        <v>10236</v>
      </c>
      <c r="F2204" s="6" t="s">
        <v>10258</v>
      </c>
      <c r="G2204" s="9" t="n">
        <v>635101</v>
      </c>
      <c r="H2204" s="6" t="s">
        <v>384</v>
      </c>
      <c r="I2204" s="6" t="s">
        <v>13</v>
      </c>
      <c r="J2204" s="6" t="s">
        <v>261</v>
      </c>
      <c r="K2204" s="6" t="s">
        <v>5831</v>
      </c>
      <c r="M2204" s="6"/>
    </row>
    <row r="2205" customFormat="false" ht="15" hidden="false" customHeight="false" outlineLevel="0" collapsed="false">
      <c r="A2205" s="6" t="s">
        <v>10259</v>
      </c>
      <c r="B2205" s="6" t="s">
        <v>5102</v>
      </c>
      <c r="C2205" s="6" t="s">
        <v>4975</v>
      </c>
      <c r="D2205" s="6" t="s">
        <v>9797</v>
      </c>
      <c r="E2205" s="6" t="s">
        <v>10260</v>
      </c>
      <c r="F2205" s="6" t="s">
        <v>10261</v>
      </c>
      <c r="G2205" s="9" t="n">
        <v>735856</v>
      </c>
      <c r="H2205" s="6" t="s">
        <v>384</v>
      </c>
      <c r="I2205" s="6" t="s">
        <v>13</v>
      </c>
      <c r="J2205" s="6" t="s">
        <v>209</v>
      </c>
      <c r="K2205" s="6" t="s">
        <v>6035</v>
      </c>
      <c r="M2205" s="6"/>
    </row>
    <row r="2206" customFormat="false" ht="15" hidden="false" customHeight="false" outlineLevel="0" collapsed="false">
      <c r="A2206" s="6" t="s">
        <v>10262</v>
      </c>
      <c r="B2206" s="6" t="s">
        <v>10263</v>
      </c>
      <c r="C2206" s="6" t="s">
        <v>6234</v>
      </c>
      <c r="D2206" s="6" t="s">
        <v>9797</v>
      </c>
      <c r="E2206" s="6" t="s">
        <v>10264</v>
      </c>
      <c r="F2206" s="6" t="s">
        <v>10265</v>
      </c>
      <c r="G2206" s="19" t="n">
        <v>25</v>
      </c>
      <c r="H2206" s="6" t="s">
        <v>5105</v>
      </c>
      <c r="I2206" s="6" t="s">
        <v>13</v>
      </c>
      <c r="J2206" s="6" t="s">
        <v>304</v>
      </c>
      <c r="K2206" s="6" t="s">
        <v>10266</v>
      </c>
      <c r="M2206" s="6" t="s">
        <v>10267</v>
      </c>
    </row>
    <row r="2207" customFormat="false" ht="15" hidden="false" customHeight="false" outlineLevel="0" collapsed="false">
      <c r="A2207" s="6" t="s">
        <v>10268</v>
      </c>
      <c r="B2207" s="6" t="s">
        <v>10263</v>
      </c>
      <c r="C2207" s="6" t="s">
        <v>6234</v>
      </c>
      <c r="D2207" s="6" t="s">
        <v>9797</v>
      </c>
      <c r="E2207" s="6" t="s">
        <v>10269</v>
      </c>
      <c r="F2207" s="6" t="s">
        <v>10270</v>
      </c>
      <c r="G2207" s="19" t="n">
        <v>5</v>
      </c>
      <c r="H2207" s="6" t="s">
        <v>5105</v>
      </c>
      <c r="I2207" s="6" t="s">
        <v>13</v>
      </c>
      <c r="J2207" s="6" t="s">
        <v>304</v>
      </c>
      <c r="K2207" s="6" t="s">
        <v>10266</v>
      </c>
      <c r="M2207" s="6"/>
    </row>
    <row r="2208" customFormat="false" ht="15" hidden="false" customHeight="false" outlineLevel="0" collapsed="false">
      <c r="A2208" s="6" t="s">
        <v>10271</v>
      </c>
      <c r="B2208" s="6" t="s">
        <v>10272</v>
      </c>
      <c r="C2208" s="6" t="s">
        <v>6234</v>
      </c>
      <c r="D2208" s="6" t="s">
        <v>9797</v>
      </c>
      <c r="E2208" s="6" t="s">
        <v>10273</v>
      </c>
      <c r="F2208" s="6" t="s">
        <v>10274</v>
      </c>
      <c r="H2208" s="6" t="s">
        <v>7024</v>
      </c>
      <c r="I2208" s="6" t="s">
        <v>13</v>
      </c>
      <c r="J2208" s="6" t="s">
        <v>304</v>
      </c>
      <c r="K2208" s="6" t="s">
        <v>10266</v>
      </c>
      <c r="M2208" s="6"/>
    </row>
    <row r="2209" customFormat="false" ht="15" hidden="false" customHeight="false" outlineLevel="0" collapsed="false">
      <c r="A2209" s="6" t="s">
        <v>10275</v>
      </c>
      <c r="B2209" s="6" t="s">
        <v>9935</v>
      </c>
      <c r="C2209" s="6" t="s">
        <v>5050</v>
      </c>
      <c r="D2209" s="6" t="s">
        <v>9797</v>
      </c>
      <c r="E2209" s="6" t="s">
        <v>10276</v>
      </c>
      <c r="F2209" s="6" t="s">
        <v>10277</v>
      </c>
      <c r="G2209" s="9" t="n">
        <v>591856</v>
      </c>
      <c r="H2209" s="6" t="s">
        <v>384</v>
      </c>
      <c r="I2209" s="6" t="s">
        <v>13</v>
      </c>
      <c r="J2209" s="6" t="s">
        <v>209</v>
      </c>
      <c r="K2209" s="6" t="s">
        <v>9938</v>
      </c>
      <c r="M2209" s="6"/>
    </row>
    <row r="2210" customFormat="false" ht="15" hidden="false" customHeight="false" outlineLevel="0" collapsed="false">
      <c r="A2210" s="6" t="s">
        <v>10278</v>
      </c>
      <c r="B2210" s="6" t="s">
        <v>9935</v>
      </c>
      <c r="C2210" s="6" t="s">
        <v>5050</v>
      </c>
      <c r="D2210" s="6" t="s">
        <v>9797</v>
      </c>
      <c r="E2210" s="6" t="s">
        <v>10279</v>
      </c>
      <c r="F2210" s="6" t="s">
        <v>10280</v>
      </c>
      <c r="H2210" s="6" t="s">
        <v>3739</v>
      </c>
      <c r="I2210" s="6" t="s">
        <v>13</v>
      </c>
      <c r="J2210" s="6" t="s">
        <v>209</v>
      </c>
      <c r="K2210" s="6" t="s">
        <v>9938</v>
      </c>
      <c r="M2210" s="6" t="s">
        <v>10281</v>
      </c>
    </row>
    <row r="2211" customFormat="false" ht="15" hidden="false" customHeight="false" outlineLevel="0" collapsed="false">
      <c r="A2211" s="6" t="s">
        <v>10282</v>
      </c>
      <c r="B2211" s="6" t="s">
        <v>6987</v>
      </c>
      <c r="C2211" s="6" t="s">
        <v>6248</v>
      </c>
      <c r="D2211" s="6" t="s">
        <v>9797</v>
      </c>
      <c r="E2211" s="6" t="s">
        <v>10283</v>
      </c>
      <c r="F2211" s="6" t="s">
        <v>10284</v>
      </c>
      <c r="H2211" s="6" t="s">
        <v>7024</v>
      </c>
      <c r="I2211" s="6" t="s">
        <v>13</v>
      </c>
      <c r="J2211" s="6" t="s">
        <v>310</v>
      </c>
      <c r="K2211" s="6" t="s">
        <v>10285</v>
      </c>
      <c r="M2211" s="6"/>
    </row>
    <row r="2212" customFormat="false" ht="15" hidden="false" customHeight="false" outlineLevel="0" collapsed="false">
      <c r="A2212" s="6" t="s">
        <v>10286</v>
      </c>
      <c r="B2212" s="6" t="s">
        <v>5079</v>
      </c>
      <c r="C2212" s="6" t="s">
        <v>4975</v>
      </c>
      <c r="D2212" s="6" t="s">
        <v>9797</v>
      </c>
      <c r="E2212" s="6" t="s">
        <v>10287</v>
      </c>
      <c r="F2212" s="6" t="s">
        <v>10288</v>
      </c>
      <c r="G2212" s="13" t="n">
        <v>9.5</v>
      </c>
      <c r="H2212" s="6" t="s">
        <v>3751</v>
      </c>
      <c r="I2212" s="6" t="s">
        <v>13</v>
      </c>
      <c r="J2212" s="6" t="s">
        <v>233</v>
      </c>
      <c r="K2212" s="6" t="s">
        <v>9677</v>
      </c>
      <c r="M2212" s="6"/>
    </row>
    <row r="2213" customFormat="false" ht="15" hidden="false" customHeight="false" outlineLevel="0" collapsed="false">
      <c r="A2213" s="6" t="s">
        <v>10289</v>
      </c>
      <c r="B2213" s="6" t="s">
        <v>5097</v>
      </c>
      <c r="C2213" s="6" t="s">
        <v>4975</v>
      </c>
      <c r="D2213" s="6" t="s">
        <v>9797</v>
      </c>
      <c r="E2213" s="6" t="s">
        <v>10290</v>
      </c>
      <c r="F2213" s="6" t="s">
        <v>10291</v>
      </c>
      <c r="G2213" s="13" t="n">
        <v>27.3</v>
      </c>
      <c r="H2213" s="6" t="s">
        <v>3751</v>
      </c>
      <c r="I2213" s="6" t="s">
        <v>13</v>
      </c>
      <c r="J2213" s="6" t="s">
        <v>218</v>
      </c>
      <c r="K2213" s="6" t="s">
        <v>10292</v>
      </c>
      <c r="M2213" s="6"/>
    </row>
    <row r="2214" customFormat="false" ht="15" hidden="false" customHeight="false" outlineLevel="0" collapsed="false">
      <c r="A2214" s="6" t="s">
        <v>10293</v>
      </c>
      <c r="B2214" s="6" t="s">
        <v>5079</v>
      </c>
      <c r="C2214" s="6" t="s">
        <v>4975</v>
      </c>
      <c r="D2214" s="6" t="s">
        <v>9797</v>
      </c>
      <c r="E2214" s="6" t="s">
        <v>10290</v>
      </c>
      <c r="F2214" s="6" t="s">
        <v>10294</v>
      </c>
      <c r="G2214" s="13" t="n">
        <v>59.6</v>
      </c>
      <c r="H2214" s="6" t="s">
        <v>3751</v>
      </c>
      <c r="I2214" s="6" t="s">
        <v>13</v>
      </c>
      <c r="J2214" s="6" t="s">
        <v>233</v>
      </c>
      <c r="K2214" s="6" t="s">
        <v>10295</v>
      </c>
      <c r="M2214" s="6"/>
    </row>
    <row r="2215" customFormat="false" ht="15" hidden="false" customHeight="false" outlineLevel="0" collapsed="false">
      <c r="A2215" s="6" t="s">
        <v>10296</v>
      </c>
      <c r="B2215" s="6" t="s">
        <v>5097</v>
      </c>
      <c r="C2215" s="6" t="s">
        <v>4975</v>
      </c>
      <c r="D2215" s="6" t="s">
        <v>9797</v>
      </c>
      <c r="E2215" s="6" t="s">
        <v>10297</v>
      </c>
      <c r="F2215" s="6" t="s">
        <v>10298</v>
      </c>
      <c r="G2215" s="13" t="n">
        <v>45.7</v>
      </c>
      <c r="H2215" s="6" t="s">
        <v>3751</v>
      </c>
      <c r="I2215" s="6" t="s">
        <v>13</v>
      </c>
      <c r="J2215" s="6" t="s">
        <v>218</v>
      </c>
      <c r="K2215" s="6" t="s">
        <v>10299</v>
      </c>
      <c r="M2215" s="6"/>
    </row>
    <row r="2216" customFormat="false" ht="15" hidden="false" customHeight="false" outlineLevel="0" collapsed="false">
      <c r="A2216" s="6" t="s">
        <v>10300</v>
      </c>
      <c r="B2216" s="6" t="s">
        <v>5079</v>
      </c>
      <c r="C2216" s="6" t="s">
        <v>4975</v>
      </c>
      <c r="D2216" s="6" t="s">
        <v>9797</v>
      </c>
      <c r="E2216" s="6" t="s">
        <v>10297</v>
      </c>
      <c r="F2216" s="6" t="s">
        <v>10301</v>
      </c>
      <c r="G2216" s="13" t="n">
        <v>79.6</v>
      </c>
      <c r="H2216" s="6" t="s">
        <v>3751</v>
      </c>
      <c r="I2216" s="6" t="s">
        <v>13</v>
      </c>
      <c r="J2216" s="6" t="s">
        <v>233</v>
      </c>
      <c r="K2216" s="6" t="s">
        <v>10002</v>
      </c>
      <c r="M2216" s="6"/>
    </row>
    <row r="2217" customFormat="false" ht="15" hidden="false" customHeight="false" outlineLevel="0" collapsed="false">
      <c r="A2217" s="6" t="s">
        <v>10302</v>
      </c>
      <c r="B2217" s="6" t="s">
        <v>5097</v>
      </c>
      <c r="C2217" s="6" t="s">
        <v>4975</v>
      </c>
      <c r="D2217" s="6" t="s">
        <v>9797</v>
      </c>
      <c r="E2217" s="6" t="s">
        <v>10303</v>
      </c>
      <c r="F2217" s="6" t="s">
        <v>10304</v>
      </c>
      <c r="G2217" s="13" t="n">
        <v>5.1</v>
      </c>
      <c r="H2217" s="6" t="s">
        <v>3751</v>
      </c>
      <c r="I2217" s="6" t="s">
        <v>13</v>
      </c>
      <c r="J2217" s="6" t="s">
        <v>218</v>
      </c>
      <c r="K2217" s="6" t="s">
        <v>10305</v>
      </c>
      <c r="M2217" s="6"/>
    </row>
    <row r="2218" customFormat="false" ht="15" hidden="false" customHeight="false" outlineLevel="0" collapsed="false">
      <c r="A2218" s="6" t="s">
        <v>10306</v>
      </c>
      <c r="B2218" s="6" t="s">
        <v>5079</v>
      </c>
      <c r="C2218" s="6" t="s">
        <v>4975</v>
      </c>
      <c r="D2218" s="6" t="s">
        <v>9797</v>
      </c>
      <c r="E2218" s="6" t="s">
        <v>10303</v>
      </c>
      <c r="F2218" s="6" t="s">
        <v>10307</v>
      </c>
      <c r="G2218" s="13" t="n">
        <v>7.1</v>
      </c>
      <c r="H2218" s="6" t="s">
        <v>3751</v>
      </c>
      <c r="I2218" s="6" t="s">
        <v>13</v>
      </c>
      <c r="J2218" s="6" t="s">
        <v>233</v>
      </c>
      <c r="K2218" s="6" t="s">
        <v>5532</v>
      </c>
      <c r="M2218" s="6"/>
    </row>
    <row r="2219" customFormat="false" ht="15" hidden="false" customHeight="false" outlineLevel="0" collapsed="false">
      <c r="A2219" s="6" t="s">
        <v>10308</v>
      </c>
      <c r="B2219" s="6" t="s">
        <v>5097</v>
      </c>
      <c r="C2219" s="6" t="s">
        <v>4975</v>
      </c>
      <c r="D2219" s="6" t="s">
        <v>9797</v>
      </c>
      <c r="E2219" s="6" t="s">
        <v>10309</v>
      </c>
      <c r="F2219" s="6" t="s">
        <v>10310</v>
      </c>
      <c r="G2219" s="13" t="n">
        <v>17.8</v>
      </c>
      <c r="H2219" s="6" t="s">
        <v>3751</v>
      </c>
      <c r="I2219" s="6" t="s">
        <v>13</v>
      </c>
      <c r="J2219" s="6" t="s">
        <v>218</v>
      </c>
      <c r="K2219" s="6" t="s">
        <v>9044</v>
      </c>
      <c r="M2219" s="6"/>
    </row>
    <row r="2220" customFormat="false" ht="15" hidden="false" customHeight="false" outlineLevel="0" collapsed="false">
      <c r="A2220" s="6" t="s">
        <v>10311</v>
      </c>
      <c r="B2220" s="6" t="s">
        <v>5097</v>
      </c>
      <c r="C2220" s="6" t="s">
        <v>4975</v>
      </c>
      <c r="D2220" s="6" t="s">
        <v>9797</v>
      </c>
      <c r="E2220" s="6" t="s">
        <v>10312</v>
      </c>
      <c r="F2220" s="6" t="s">
        <v>10313</v>
      </c>
      <c r="G2220" s="13" t="n">
        <v>38</v>
      </c>
      <c r="H2220" s="6" t="s">
        <v>3751</v>
      </c>
      <c r="I2220" s="6" t="s">
        <v>13</v>
      </c>
      <c r="J2220" s="6" t="s">
        <v>218</v>
      </c>
      <c r="K2220" s="6" t="s">
        <v>10299</v>
      </c>
      <c r="M2220" s="6"/>
    </row>
    <row r="2221" customFormat="false" ht="15" hidden="false" customHeight="false" outlineLevel="0" collapsed="false">
      <c r="A2221" s="6" t="s">
        <v>10314</v>
      </c>
      <c r="B2221" s="6" t="s">
        <v>5079</v>
      </c>
      <c r="C2221" s="6" t="s">
        <v>4975</v>
      </c>
      <c r="D2221" s="6" t="s">
        <v>9797</v>
      </c>
      <c r="E2221" s="6" t="s">
        <v>10315</v>
      </c>
      <c r="F2221" s="6" t="s">
        <v>10316</v>
      </c>
      <c r="G2221" s="13" t="n">
        <v>18.6</v>
      </c>
      <c r="H2221" s="6" t="s">
        <v>3751</v>
      </c>
      <c r="I2221" s="6" t="s">
        <v>13</v>
      </c>
      <c r="J2221" s="6" t="s">
        <v>233</v>
      </c>
      <c r="K2221" s="6" t="s">
        <v>10002</v>
      </c>
      <c r="M2221" s="6"/>
    </row>
    <row r="2222" customFormat="false" ht="15" hidden="false" customHeight="false" outlineLevel="0" collapsed="false">
      <c r="A2222" s="6" t="s">
        <v>10317</v>
      </c>
      <c r="B2222" s="6" t="s">
        <v>5097</v>
      </c>
      <c r="C2222" s="6" t="s">
        <v>4975</v>
      </c>
      <c r="D2222" s="6" t="s">
        <v>9797</v>
      </c>
      <c r="E2222" s="6" t="s">
        <v>10318</v>
      </c>
      <c r="F2222" s="6" t="s">
        <v>10319</v>
      </c>
      <c r="G2222" s="13" t="n">
        <v>10.4</v>
      </c>
      <c r="H2222" s="6" t="s">
        <v>3751</v>
      </c>
      <c r="I2222" s="6" t="s">
        <v>13</v>
      </c>
      <c r="J2222" s="6" t="s">
        <v>218</v>
      </c>
      <c r="K2222" s="6" t="s">
        <v>10299</v>
      </c>
      <c r="M2222" s="6"/>
    </row>
    <row r="2223" customFormat="false" ht="15" hidden="false" customHeight="false" outlineLevel="0" collapsed="false">
      <c r="A2223" s="6" t="s">
        <v>10320</v>
      </c>
      <c r="B2223" s="6" t="s">
        <v>5097</v>
      </c>
      <c r="C2223" s="6" t="s">
        <v>4975</v>
      </c>
      <c r="D2223" s="6" t="s">
        <v>9797</v>
      </c>
      <c r="E2223" s="6" t="s">
        <v>10321</v>
      </c>
      <c r="F2223" s="6" t="s">
        <v>10322</v>
      </c>
      <c r="G2223" s="13" t="n">
        <v>3.5</v>
      </c>
      <c r="H2223" s="6" t="s">
        <v>3751</v>
      </c>
      <c r="I2223" s="6" t="s">
        <v>13</v>
      </c>
      <c r="J2223" s="6" t="s">
        <v>218</v>
      </c>
      <c r="K2223" s="6" t="s">
        <v>10305</v>
      </c>
      <c r="M2223" s="6"/>
    </row>
    <row r="2224" customFormat="false" ht="15" hidden="false" customHeight="false" outlineLevel="0" collapsed="false">
      <c r="A2224" s="6" t="s">
        <v>10323</v>
      </c>
      <c r="B2224" s="6" t="s">
        <v>5097</v>
      </c>
      <c r="C2224" s="6" t="s">
        <v>4975</v>
      </c>
      <c r="D2224" s="6" t="s">
        <v>9797</v>
      </c>
      <c r="E2224" s="6" t="s">
        <v>10324</v>
      </c>
      <c r="F2224" s="6" t="s">
        <v>10325</v>
      </c>
      <c r="G2224" s="13" t="n">
        <v>8</v>
      </c>
      <c r="H2224" s="6" t="s">
        <v>3751</v>
      </c>
      <c r="I2224" s="6" t="s">
        <v>13</v>
      </c>
      <c r="J2224" s="6" t="s">
        <v>218</v>
      </c>
      <c r="K2224" s="6" t="s">
        <v>10305</v>
      </c>
      <c r="M2224" s="6"/>
    </row>
    <row r="2225" customFormat="false" ht="15" hidden="false" customHeight="false" outlineLevel="0" collapsed="false">
      <c r="A2225" s="6" t="s">
        <v>10326</v>
      </c>
      <c r="B2225" s="6" t="s">
        <v>5097</v>
      </c>
      <c r="C2225" s="6" t="s">
        <v>4975</v>
      </c>
      <c r="D2225" s="6" t="s">
        <v>9797</v>
      </c>
      <c r="E2225" s="6" t="s">
        <v>8292</v>
      </c>
      <c r="F2225" s="6" t="s">
        <v>10327</v>
      </c>
      <c r="G2225" s="9" t="n">
        <v>18659</v>
      </c>
      <c r="H2225" s="6" t="s">
        <v>384</v>
      </c>
      <c r="I2225" s="6" t="s">
        <v>13</v>
      </c>
      <c r="J2225" s="6" t="s">
        <v>228</v>
      </c>
      <c r="K2225" s="6" t="s">
        <v>8304</v>
      </c>
      <c r="M2225" s="6"/>
    </row>
    <row r="2226" customFormat="false" ht="15" hidden="false" customHeight="false" outlineLevel="0" collapsed="false">
      <c r="A2226" s="6" t="s">
        <v>10328</v>
      </c>
      <c r="B2226" s="6" t="s">
        <v>5074</v>
      </c>
      <c r="C2226" s="6" t="s">
        <v>4975</v>
      </c>
      <c r="D2226" s="6" t="s">
        <v>9797</v>
      </c>
      <c r="E2226" s="6" t="s">
        <v>8292</v>
      </c>
      <c r="F2226" s="6" t="s">
        <v>10327</v>
      </c>
      <c r="G2226" s="9" t="n">
        <v>41993</v>
      </c>
      <c r="H2226" s="6" t="s">
        <v>384</v>
      </c>
      <c r="I2226" s="6" t="s">
        <v>13</v>
      </c>
      <c r="J2226" s="6" t="s">
        <v>228</v>
      </c>
      <c r="K2226" s="6" t="s">
        <v>8304</v>
      </c>
      <c r="M2226" s="6"/>
    </row>
    <row r="2227" customFormat="false" ht="15" hidden="false" customHeight="false" outlineLevel="0" collapsed="false">
      <c r="A2227" s="6" t="s">
        <v>10329</v>
      </c>
      <c r="B2227" s="6" t="s">
        <v>5113</v>
      </c>
      <c r="C2227" s="6" t="s">
        <v>4975</v>
      </c>
      <c r="D2227" s="6" t="s">
        <v>9797</v>
      </c>
      <c r="E2227" s="6" t="s">
        <v>8292</v>
      </c>
      <c r="F2227" s="6" t="s">
        <v>10327</v>
      </c>
      <c r="G2227" s="9" t="n">
        <v>60659</v>
      </c>
      <c r="H2227" s="6" t="s">
        <v>384</v>
      </c>
      <c r="I2227" s="6" t="s">
        <v>13</v>
      </c>
      <c r="J2227" s="6" t="s">
        <v>228</v>
      </c>
      <c r="K2227" s="6" t="s">
        <v>8304</v>
      </c>
      <c r="M2227" s="6"/>
    </row>
    <row r="2228" customFormat="false" ht="15" hidden="false" customHeight="false" outlineLevel="0" collapsed="false">
      <c r="A2228" s="6" t="s">
        <v>10330</v>
      </c>
      <c r="B2228" s="6" t="s">
        <v>5062</v>
      </c>
      <c r="C2228" s="6" t="s">
        <v>5050</v>
      </c>
      <c r="D2228" s="6" t="s">
        <v>9797</v>
      </c>
      <c r="E2228" s="6" t="s">
        <v>7534</v>
      </c>
      <c r="F2228" s="6" t="s">
        <v>10331</v>
      </c>
      <c r="G2228" s="9" t="n">
        <v>72262</v>
      </c>
      <c r="H2228" s="6" t="s">
        <v>384</v>
      </c>
      <c r="I2228" s="6" t="s">
        <v>13</v>
      </c>
      <c r="J2228" s="6" t="s">
        <v>238</v>
      </c>
      <c r="K2228" s="6" t="s">
        <v>8740</v>
      </c>
      <c r="M2228" s="6" t="s">
        <v>5055</v>
      </c>
    </row>
    <row r="2229" customFormat="false" ht="15" hidden="false" customHeight="false" outlineLevel="0" collapsed="false">
      <c r="A2229" s="6" t="s">
        <v>10332</v>
      </c>
      <c r="B2229" s="6" t="s">
        <v>5239</v>
      </c>
      <c r="C2229" s="6" t="s">
        <v>5050</v>
      </c>
      <c r="D2229" s="6" t="s">
        <v>9797</v>
      </c>
      <c r="E2229" s="6" t="s">
        <v>7534</v>
      </c>
      <c r="F2229" s="6" t="s">
        <v>10331</v>
      </c>
      <c r="G2229" s="9" t="n">
        <v>76382</v>
      </c>
      <c r="H2229" s="6" t="s">
        <v>384</v>
      </c>
      <c r="I2229" s="6" t="s">
        <v>13</v>
      </c>
      <c r="J2229" s="6" t="s">
        <v>238</v>
      </c>
      <c r="K2229" s="6" t="s">
        <v>8740</v>
      </c>
      <c r="M2229" s="6" t="s">
        <v>5055</v>
      </c>
    </row>
    <row r="2230" customFormat="false" ht="15" hidden="false" customHeight="false" outlineLevel="0" collapsed="false">
      <c r="A2230" s="6" t="s">
        <v>10333</v>
      </c>
      <c r="B2230" s="6" t="s">
        <v>5067</v>
      </c>
      <c r="C2230" s="6" t="s">
        <v>5050</v>
      </c>
      <c r="D2230" s="6" t="s">
        <v>9797</v>
      </c>
      <c r="E2230" s="6" t="s">
        <v>7534</v>
      </c>
      <c r="F2230" s="6" t="s">
        <v>10334</v>
      </c>
      <c r="G2230" s="9" t="n">
        <v>72613</v>
      </c>
      <c r="H2230" s="6" t="s">
        <v>384</v>
      </c>
      <c r="I2230" s="6" t="s">
        <v>13</v>
      </c>
      <c r="J2230" s="6" t="s">
        <v>253</v>
      </c>
      <c r="K2230" s="6" t="s">
        <v>6817</v>
      </c>
      <c r="M2230" s="6" t="s">
        <v>5055</v>
      </c>
    </row>
    <row r="2231" customFormat="false" ht="15" hidden="false" customHeight="false" outlineLevel="0" collapsed="false">
      <c r="A2231" s="6" t="s">
        <v>10335</v>
      </c>
      <c r="B2231" s="6" t="s">
        <v>5245</v>
      </c>
      <c r="C2231" s="6" t="s">
        <v>5050</v>
      </c>
      <c r="D2231" s="6" t="s">
        <v>9797</v>
      </c>
      <c r="E2231" s="6" t="s">
        <v>7534</v>
      </c>
      <c r="F2231" s="6" t="s">
        <v>10334</v>
      </c>
      <c r="G2231" s="9" t="n">
        <v>94257</v>
      </c>
      <c r="H2231" s="6" t="s">
        <v>384</v>
      </c>
      <c r="I2231" s="6" t="s">
        <v>13</v>
      </c>
      <c r="J2231" s="6" t="s">
        <v>253</v>
      </c>
      <c r="K2231" s="6" t="s">
        <v>6817</v>
      </c>
      <c r="M2231" s="6" t="s">
        <v>5055</v>
      </c>
    </row>
    <row r="2232" customFormat="false" ht="15" hidden="false" customHeight="false" outlineLevel="0" collapsed="false">
      <c r="A2232" s="6" t="s">
        <v>10336</v>
      </c>
      <c r="B2232" s="6" t="s">
        <v>5062</v>
      </c>
      <c r="C2232" s="6" t="s">
        <v>5050</v>
      </c>
      <c r="D2232" s="6" t="s">
        <v>9797</v>
      </c>
      <c r="E2232" s="6" t="s">
        <v>7539</v>
      </c>
      <c r="F2232" s="6" t="s">
        <v>10337</v>
      </c>
      <c r="G2232" s="9" t="n">
        <v>3663</v>
      </c>
      <c r="H2232" s="6" t="s">
        <v>384</v>
      </c>
      <c r="I2232" s="6" t="s">
        <v>13</v>
      </c>
      <c r="J2232" s="6" t="s">
        <v>238</v>
      </c>
      <c r="K2232" s="6" t="s">
        <v>8740</v>
      </c>
      <c r="M2232" s="6"/>
    </row>
    <row r="2233" customFormat="false" ht="15" hidden="false" customHeight="false" outlineLevel="0" collapsed="false">
      <c r="A2233" s="6" t="s">
        <v>10338</v>
      </c>
      <c r="B2233" s="6" t="s">
        <v>5239</v>
      </c>
      <c r="C2233" s="6" t="s">
        <v>5050</v>
      </c>
      <c r="D2233" s="6" t="s">
        <v>9797</v>
      </c>
      <c r="E2233" s="6" t="s">
        <v>7539</v>
      </c>
      <c r="F2233" s="6" t="s">
        <v>10337</v>
      </c>
      <c r="G2233" s="9" t="n">
        <v>4321</v>
      </c>
      <c r="H2233" s="6" t="s">
        <v>384</v>
      </c>
      <c r="I2233" s="6" t="s">
        <v>13</v>
      </c>
      <c r="J2233" s="6" t="s">
        <v>238</v>
      </c>
      <c r="K2233" s="6" t="s">
        <v>8740</v>
      </c>
      <c r="M2233" s="6"/>
    </row>
    <row r="2234" customFormat="false" ht="15" hidden="false" customHeight="false" outlineLevel="0" collapsed="false">
      <c r="A2234" s="6" t="s">
        <v>10339</v>
      </c>
      <c r="B2234" s="6" t="s">
        <v>5067</v>
      </c>
      <c r="C2234" s="6" t="s">
        <v>5050</v>
      </c>
      <c r="D2234" s="6" t="s">
        <v>9797</v>
      </c>
      <c r="E2234" s="6" t="s">
        <v>7539</v>
      </c>
      <c r="F2234" s="6" t="s">
        <v>10340</v>
      </c>
      <c r="G2234" s="9" t="n">
        <v>2741</v>
      </c>
      <c r="H2234" s="6" t="s">
        <v>384</v>
      </c>
      <c r="I2234" s="6" t="s">
        <v>13</v>
      </c>
      <c r="J2234" s="6" t="s">
        <v>253</v>
      </c>
      <c r="K2234" s="6" t="s">
        <v>6817</v>
      </c>
      <c r="M2234" s="6"/>
    </row>
    <row r="2235" customFormat="false" ht="15" hidden="false" customHeight="false" outlineLevel="0" collapsed="false">
      <c r="A2235" s="6" t="s">
        <v>10341</v>
      </c>
      <c r="B2235" s="6" t="s">
        <v>5245</v>
      </c>
      <c r="C2235" s="6" t="s">
        <v>5050</v>
      </c>
      <c r="D2235" s="6" t="s">
        <v>9797</v>
      </c>
      <c r="E2235" s="6" t="s">
        <v>7539</v>
      </c>
      <c r="F2235" s="6" t="s">
        <v>10340</v>
      </c>
      <c r="G2235" s="9" t="n">
        <v>2168</v>
      </c>
      <c r="H2235" s="6" t="s">
        <v>384</v>
      </c>
      <c r="I2235" s="6" t="s">
        <v>13</v>
      </c>
      <c r="J2235" s="6" t="s">
        <v>253</v>
      </c>
      <c r="K2235" s="6" t="s">
        <v>6817</v>
      </c>
      <c r="M2235" s="6"/>
    </row>
    <row r="2236" customFormat="false" ht="15" hidden="false" customHeight="false" outlineLevel="0" collapsed="false">
      <c r="A2236" s="6" t="s">
        <v>10342</v>
      </c>
      <c r="B2236" s="6" t="s">
        <v>5062</v>
      </c>
      <c r="C2236" s="6" t="s">
        <v>5050</v>
      </c>
      <c r="D2236" s="6" t="s">
        <v>9797</v>
      </c>
      <c r="E2236" s="6" t="s">
        <v>7543</v>
      </c>
      <c r="F2236" s="6" t="s">
        <v>10343</v>
      </c>
      <c r="G2236" s="9" t="n">
        <v>99698</v>
      </c>
      <c r="H2236" s="6" t="s">
        <v>384</v>
      </c>
      <c r="I2236" s="6" t="s">
        <v>13</v>
      </c>
      <c r="J2236" s="6" t="s">
        <v>238</v>
      </c>
      <c r="K2236" s="6" t="s">
        <v>8740</v>
      </c>
      <c r="M2236" s="6" t="s">
        <v>5055</v>
      </c>
    </row>
    <row r="2237" customFormat="false" ht="15" hidden="false" customHeight="false" outlineLevel="0" collapsed="false">
      <c r="A2237" s="6" t="s">
        <v>10344</v>
      </c>
      <c r="B2237" s="6" t="s">
        <v>5239</v>
      </c>
      <c r="C2237" s="6" t="s">
        <v>5050</v>
      </c>
      <c r="D2237" s="6" t="s">
        <v>9797</v>
      </c>
      <c r="E2237" s="6" t="s">
        <v>7543</v>
      </c>
      <c r="F2237" s="6" t="s">
        <v>10343</v>
      </c>
      <c r="G2237" s="9" t="n">
        <v>100236</v>
      </c>
      <c r="H2237" s="6" t="s">
        <v>384</v>
      </c>
      <c r="I2237" s="6" t="s">
        <v>13</v>
      </c>
      <c r="J2237" s="6" t="s">
        <v>238</v>
      </c>
      <c r="K2237" s="6" t="s">
        <v>8740</v>
      </c>
      <c r="M2237" s="6" t="s">
        <v>5055</v>
      </c>
    </row>
    <row r="2238" customFormat="false" ht="15" hidden="false" customHeight="false" outlineLevel="0" collapsed="false">
      <c r="A2238" s="6" t="s">
        <v>10345</v>
      </c>
      <c r="B2238" s="6" t="s">
        <v>5067</v>
      </c>
      <c r="C2238" s="6" t="s">
        <v>5050</v>
      </c>
      <c r="D2238" s="6" t="s">
        <v>9797</v>
      </c>
      <c r="E2238" s="6" t="s">
        <v>7543</v>
      </c>
      <c r="F2238" s="6" t="s">
        <v>10346</v>
      </c>
      <c r="G2238" s="9" t="n">
        <v>136279</v>
      </c>
      <c r="H2238" s="6" t="s">
        <v>384</v>
      </c>
      <c r="I2238" s="6" t="s">
        <v>13</v>
      </c>
      <c r="J2238" s="6" t="s">
        <v>253</v>
      </c>
      <c r="K2238" s="6" t="s">
        <v>6817</v>
      </c>
      <c r="M2238" s="6" t="s">
        <v>5055</v>
      </c>
    </row>
    <row r="2239" customFormat="false" ht="15" hidden="false" customHeight="false" outlineLevel="0" collapsed="false">
      <c r="A2239" s="6" t="s">
        <v>10347</v>
      </c>
      <c r="B2239" s="6" t="s">
        <v>5245</v>
      </c>
      <c r="C2239" s="6" t="s">
        <v>5050</v>
      </c>
      <c r="D2239" s="6" t="s">
        <v>9797</v>
      </c>
      <c r="E2239" s="6" t="s">
        <v>7543</v>
      </c>
      <c r="F2239" s="6" t="s">
        <v>10346</v>
      </c>
      <c r="G2239" s="9" t="n">
        <v>156845</v>
      </c>
      <c r="H2239" s="6" t="s">
        <v>384</v>
      </c>
      <c r="I2239" s="6" t="s">
        <v>13</v>
      </c>
      <c r="J2239" s="6" t="s">
        <v>253</v>
      </c>
      <c r="K2239" s="6" t="s">
        <v>6817</v>
      </c>
      <c r="M2239" s="6" t="s">
        <v>5055</v>
      </c>
    </row>
    <row r="2240" customFormat="false" ht="15" hidden="false" customHeight="false" outlineLevel="0" collapsed="false">
      <c r="A2240" s="6" t="s">
        <v>10348</v>
      </c>
      <c r="B2240" s="6" t="s">
        <v>5067</v>
      </c>
      <c r="C2240" s="6" t="s">
        <v>5050</v>
      </c>
      <c r="D2240" s="6" t="s">
        <v>9797</v>
      </c>
      <c r="E2240" s="6" t="s">
        <v>7547</v>
      </c>
      <c r="F2240" s="6" t="s">
        <v>10349</v>
      </c>
      <c r="G2240" s="9" t="n">
        <v>43030</v>
      </c>
      <c r="H2240" s="6" t="s">
        <v>384</v>
      </c>
      <c r="I2240" s="6" t="s">
        <v>13</v>
      </c>
      <c r="J2240" s="6" t="s">
        <v>253</v>
      </c>
      <c r="K2240" s="6" t="s">
        <v>6817</v>
      </c>
      <c r="M2240" s="6"/>
    </row>
    <row r="2241" customFormat="false" ht="15" hidden="false" customHeight="false" outlineLevel="0" collapsed="false">
      <c r="A2241" s="6" t="s">
        <v>10350</v>
      </c>
      <c r="B2241" s="6" t="s">
        <v>5245</v>
      </c>
      <c r="C2241" s="6" t="s">
        <v>5050</v>
      </c>
      <c r="D2241" s="6" t="s">
        <v>9797</v>
      </c>
      <c r="E2241" s="6" t="s">
        <v>7547</v>
      </c>
      <c r="F2241" s="6" t="s">
        <v>10349</v>
      </c>
      <c r="G2241" s="9" t="n">
        <v>46953</v>
      </c>
      <c r="H2241" s="6" t="s">
        <v>384</v>
      </c>
      <c r="I2241" s="6" t="s">
        <v>13</v>
      </c>
      <c r="J2241" s="6" t="s">
        <v>253</v>
      </c>
      <c r="K2241" s="6" t="s">
        <v>6817</v>
      </c>
      <c r="M2241" s="6"/>
    </row>
    <row r="2242" customFormat="false" ht="15" hidden="false" customHeight="false" outlineLevel="0" collapsed="false">
      <c r="A2242" s="6" t="s">
        <v>10351</v>
      </c>
      <c r="B2242" s="6" t="s">
        <v>5062</v>
      </c>
      <c r="C2242" s="6" t="s">
        <v>5050</v>
      </c>
      <c r="D2242" s="6" t="s">
        <v>9797</v>
      </c>
      <c r="E2242" s="6" t="s">
        <v>7552</v>
      </c>
      <c r="F2242" s="6" t="s">
        <v>10352</v>
      </c>
      <c r="G2242" s="9" t="n">
        <v>23773</v>
      </c>
      <c r="H2242" s="6" t="s">
        <v>384</v>
      </c>
      <c r="I2242" s="6" t="s">
        <v>13</v>
      </c>
      <c r="J2242" s="6" t="s">
        <v>238</v>
      </c>
      <c r="K2242" s="6" t="s">
        <v>8740</v>
      </c>
      <c r="M2242" s="6"/>
    </row>
    <row r="2243" customFormat="false" ht="15" hidden="false" customHeight="false" outlineLevel="0" collapsed="false">
      <c r="A2243" s="6" t="s">
        <v>10353</v>
      </c>
      <c r="B2243" s="6" t="s">
        <v>5239</v>
      </c>
      <c r="C2243" s="6" t="s">
        <v>5050</v>
      </c>
      <c r="D2243" s="6" t="s">
        <v>9797</v>
      </c>
      <c r="E2243" s="6" t="s">
        <v>7552</v>
      </c>
      <c r="F2243" s="6" t="s">
        <v>10352</v>
      </c>
      <c r="G2243" s="9" t="n">
        <v>19533</v>
      </c>
      <c r="H2243" s="6" t="s">
        <v>384</v>
      </c>
      <c r="I2243" s="6" t="s">
        <v>13</v>
      </c>
      <c r="J2243" s="6" t="s">
        <v>238</v>
      </c>
      <c r="K2243" s="6" t="s">
        <v>8740</v>
      </c>
      <c r="M2243" s="6"/>
    </row>
    <row r="2244" customFormat="false" ht="15" hidden="false" customHeight="false" outlineLevel="0" collapsed="false">
      <c r="A2244" s="6" t="s">
        <v>10354</v>
      </c>
      <c r="B2244" s="6" t="s">
        <v>5067</v>
      </c>
      <c r="C2244" s="6" t="s">
        <v>5050</v>
      </c>
      <c r="D2244" s="6" t="s">
        <v>9797</v>
      </c>
      <c r="E2244" s="6" t="s">
        <v>7552</v>
      </c>
      <c r="F2244" s="6" t="s">
        <v>10355</v>
      </c>
      <c r="G2244" s="9" t="n">
        <v>17895</v>
      </c>
      <c r="H2244" s="6" t="s">
        <v>384</v>
      </c>
      <c r="I2244" s="6" t="s">
        <v>13</v>
      </c>
      <c r="J2244" s="6" t="s">
        <v>253</v>
      </c>
      <c r="K2244" s="6" t="s">
        <v>6817</v>
      </c>
      <c r="M2244" s="6"/>
    </row>
    <row r="2245" customFormat="false" ht="15" hidden="false" customHeight="false" outlineLevel="0" collapsed="false">
      <c r="A2245" s="6" t="s">
        <v>10356</v>
      </c>
      <c r="B2245" s="6" t="s">
        <v>5245</v>
      </c>
      <c r="C2245" s="6" t="s">
        <v>5050</v>
      </c>
      <c r="D2245" s="6" t="s">
        <v>9797</v>
      </c>
      <c r="E2245" s="6" t="s">
        <v>7552</v>
      </c>
      <c r="F2245" s="6" t="s">
        <v>10355</v>
      </c>
      <c r="G2245" s="9" t="n">
        <v>13467</v>
      </c>
      <c r="H2245" s="6" t="s">
        <v>384</v>
      </c>
      <c r="I2245" s="6" t="s">
        <v>13</v>
      </c>
      <c r="J2245" s="6" t="s">
        <v>253</v>
      </c>
      <c r="K2245" s="6" t="s">
        <v>6817</v>
      </c>
      <c r="M2245" s="6"/>
    </row>
    <row r="2246" customFormat="false" ht="15" hidden="false" customHeight="false" outlineLevel="0" collapsed="false">
      <c r="A2246" s="6" t="s">
        <v>10357</v>
      </c>
      <c r="B2246" s="6" t="s">
        <v>5072</v>
      </c>
      <c r="C2246" s="6" t="s">
        <v>5050</v>
      </c>
      <c r="D2246" s="6" t="s">
        <v>9797</v>
      </c>
      <c r="E2246" s="6" t="s">
        <v>10358</v>
      </c>
      <c r="F2246" s="6" t="s">
        <v>10359</v>
      </c>
      <c r="G2246" s="9" t="n">
        <v>89123</v>
      </c>
      <c r="H2246" s="6" t="s">
        <v>384</v>
      </c>
      <c r="I2246" s="6" t="s">
        <v>13</v>
      </c>
      <c r="J2246" s="6" t="s">
        <v>261</v>
      </c>
      <c r="K2246" s="6" t="s">
        <v>6822</v>
      </c>
      <c r="M2246" s="6" t="s">
        <v>5055</v>
      </c>
    </row>
    <row r="2247" customFormat="false" ht="15" hidden="false" customHeight="false" outlineLevel="0" collapsed="false">
      <c r="A2247" s="6" t="s">
        <v>10360</v>
      </c>
      <c r="B2247" s="6" t="s">
        <v>5249</v>
      </c>
      <c r="C2247" s="6" t="s">
        <v>5050</v>
      </c>
      <c r="D2247" s="6" t="s">
        <v>9797</v>
      </c>
      <c r="E2247" s="6" t="s">
        <v>10358</v>
      </c>
      <c r="F2247" s="6" t="s">
        <v>10359</v>
      </c>
      <c r="G2247" s="9" t="n">
        <v>86895</v>
      </c>
      <c r="H2247" s="6" t="s">
        <v>384</v>
      </c>
      <c r="I2247" s="6" t="s">
        <v>13</v>
      </c>
      <c r="J2247" s="6" t="s">
        <v>261</v>
      </c>
      <c r="K2247" s="6" t="s">
        <v>6822</v>
      </c>
      <c r="M2247" s="6" t="s">
        <v>5055</v>
      </c>
    </row>
    <row r="2248" customFormat="false" ht="15" hidden="false" customHeight="false" outlineLevel="0" collapsed="false">
      <c r="A2248" s="6" t="s">
        <v>10361</v>
      </c>
      <c r="B2248" s="6" t="s">
        <v>5072</v>
      </c>
      <c r="C2248" s="6" t="s">
        <v>5050</v>
      </c>
      <c r="D2248" s="6" t="s">
        <v>9797</v>
      </c>
      <c r="E2248" s="6" t="s">
        <v>10362</v>
      </c>
      <c r="F2248" s="6" t="s">
        <v>10363</v>
      </c>
      <c r="G2248" s="9" t="n">
        <v>4748</v>
      </c>
      <c r="H2248" s="6" t="s">
        <v>384</v>
      </c>
      <c r="I2248" s="6" t="s">
        <v>13</v>
      </c>
      <c r="J2248" s="6" t="s">
        <v>261</v>
      </c>
      <c r="K2248" s="6" t="s">
        <v>6822</v>
      </c>
      <c r="M2248" s="6"/>
    </row>
    <row r="2249" customFormat="false" ht="15" hidden="false" customHeight="false" outlineLevel="0" collapsed="false">
      <c r="A2249" s="6" t="s">
        <v>10364</v>
      </c>
      <c r="B2249" s="6" t="s">
        <v>5249</v>
      </c>
      <c r="C2249" s="6" t="s">
        <v>5050</v>
      </c>
      <c r="D2249" s="6" t="s">
        <v>9797</v>
      </c>
      <c r="E2249" s="6" t="s">
        <v>10362</v>
      </c>
      <c r="F2249" s="6" t="s">
        <v>10363</v>
      </c>
      <c r="G2249" s="9" t="n">
        <v>4533</v>
      </c>
      <c r="H2249" s="6" t="s">
        <v>384</v>
      </c>
      <c r="I2249" s="6" t="s">
        <v>13</v>
      </c>
      <c r="J2249" s="6" t="s">
        <v>261</v>
      </c>
      <c r="K2249" s="6" t="s">
        <v>6822</v>
      </c>
      <c r="M2249" s="6"/>
    </row>
    <row r="2250" customFormat="false" ht="15" hidden="false" customHeight="false" outlineLevel="0" collapsed="false">
      <c r="A2250" s="6" t="s">
        <v>10365</v>
      </c>
      <c r="B2250" s="6" t="s">
        <v>5072</v>
      </c>
      <c r="C2250" s="6" t="s">
        <v>5050</v>
      </c>
      <c r="D2250" s="6" t="s">
        <v>9797</v>
      </c>
      <c r="E2250" s="6" t="s">
        <v>10366</v>
      </c>
      <c r="F2250" s="6" t="s">
        <v>10367</v>
      </c>
      <c r="G2250" s="9" t="n">
        <v>203037</v>
      </c>
      <c r="H2250" s="6" t="s">
        <v>384</v>
      </c>
      <c r="I2250" s="6" t="s">
        <v>13</v>
      </c>
      <c r="J2250" s="6" t="s">
        <v>261</v>
      </c>
      <c r="K2250" s="6" t="s">
        <v>6822</v>
      </c>
      <c r="M2250" s="6" t="s">
        <v>5055</v>
      </c>
    </row>
    <row r="2251" customFormat="false" ht="15" hidden="false" customHeight="false" outlineLevel="0" collapsed="false">
      <c r="A2251" s="6" t="s">
        <v>10368</v>
      </c>
      <c r="B2251" s="6" t="s">
        <v>5249</v>
      </c>
      <c r="C2251" s="6" t="s">
        <v>5050</v>
      </c>
      <c r="D2251" s="6" t="s">
        <v>9797</v>
      </c>
      <c r="E2251" s="6" t="s">
        <v>10366</v>
      </c>
      <c r="F2251" s="6" t="s">
        <v>10367</v>
      </c>
      <c r="G2251" s="9" t="n">
        <v>256392</v>
      </c>
      <c r="H2251" s="6" t="s">
        <v>384</v>
      </c>
      <c r="I2251" s="6" t="s">
        <v>13</v>
      </c>
      <c r="J2251" s="6" t="s">
        <v>261</v>
      </c>
      <c r="K2251" s="6" t="s">
        <v>6822</v>
      </c>
      <c r="M2251" s="6" t="s">
        <v>5055</v>
      </c>
    </row>
    <row r="2252" customFormat="false" ht="15" hidden="false" customHeight="false" outlineLevel="0" collapsed="false">
      <c r="A2252" s="6" t="s">
        <v>10369</v>
      </c>
      <c r="B2252" s="6" t="s">
        <v>5072</v>
      </c>
      <c r="C2252" s="6" t="s">
        <v>5050</v>
      </c>
      <c r="D2252" s="6" t="s">
        <v>9797</v>
      </c>
      <c r="E2252" s="6" t="s">
        <v>10370</v>
      </c>
      <c r="F2252" s="6" t="s">
        <v>10371</v>
      </c>
      <c r="G2252" s="9" t="n">
        <v>49548</v>
      </c>
      <c r="H2252" s="6" t="s">
        <v>384</v>
      </c>
      <c r="I2252" s="6" t="s">
        <v>13</v>
      </c>
      <c r="J2252" s="6" t="s">
        <v>261</v>
      </c>
      <c r="K2252" s="6" t="s">
        <v>6822</v>
      </c>
      <c r="M2252" s="6"/>
    </row>
    <row r="2253" customFormat="false" ht="15" hidden="false" customHeight="false" outlineLevel="0" collapsed="false">
      <c r="A2253" s="6" t="s">
        <v>10372</v>
      </c>
      <c r="B2253" s="6" t="s">
        <v>5249</v>
      </c>
      <c r="C2253" s="6" t="s">
        <v>5050</v>
      </c>
      <c r="D2253" s="6" t="s">
        <v>9797</v>
      </c>
      <c r="E2253" s="6" t="s">
        <v>10370</v>
      </c>
      <c r="F2253" s="6" t="s">
        <v>10371</v>
      </c>
      <c r="G2253" s="9" t="n">
        <v>46399</v>
      </c>
      <c r="H2253" s="6" t="s">
        <v>384</v>
      </c>
      <c r="I2253" s="6" t="s">
        <v>13</v>
      </c>
      <c r="J2253" s="6" t="s">
        <v>261</v>
      </c>
      <c r="K2253" s="6" t="s">
        <v>6822</v>
      </c>
      <c r="M2253" s="6"/>
    </row>
    <row r="2254" customFormat="false" ht="15" hidden="false" customHeight="false" outlineLevel="0" collapsed="false">
      <c r="A2254" s="6" t="s">
        <v>10373</v>
      </c>
      <c r="B2254" s="6" t="s">
        <v>5072</v>
      </c>
      <c r="C2254" s="6" t="s">
        <v>5050</v>
      </c>
      <c r="D2254" s="6" t="s">
        <v>9797</v>
      </c>
      <c r="E2254" s="6" t="s">
        <v>10374</v>
      </c>
      <c r="F2254" s="6" t="s">
        <v>10375</v>
      </c>
      <c r="G2254" s="9" t="n">
        <v>59618</v>
      </c>
      <c r="H2254" s="6" t="s">
        <v>384</v>
      </c>
      <c r="I2254" s="6" t="s">
        <v>13</v>
      </c>
      <c r="J2254" s="6" t="s">
        <v>261</v>
      </c>
      <c r="K2254" s="6" t="s">
        <v>6822</v>
      </c>
      <c r="M2254" s="6"/>
    </row>
    <row r="2255" customFormat="false" ht="15" hidden="false" customHeight="false" outlineLevel="0" collapsed="false">
      <c r="A2255" s="6" t="s">
        <v>10376</v>
      </c>
      <c r="B2255" s="6" t="s">
        <v>5249</v>
      </c>
      <c r="C2255" s="6" t="s">
        <v>5050</v>
      </c>
      <c r="D2255" s="6" t="s">
        <v>9797</v>
      </c>
      <c r="E2255" s="6" t="s">
        <v>10374</v>
      </c>
      <c r="F2255" s="6" t="s">
        <v>10375</v>
      </c>
      <c r="G2255" s="9" t="n">
        <v>118565</v>
      </c>
      <c r="H2255" s="6" t="s">
        <v>384</v>
      </c>
      <c r="I2255" s="6" t="s">
        <v>13</v>
      </c>
      <c r="J2255" s="6" t="s">
        <v>261</v>
      </c>
      <c r="K2255" s="6" t="s">
        <v>6822</v>
      </c>
      <c r="M2255" s="6"/>
    </row>
    <row r="2256" customFormat="false" ht="15" hidden="false" customHeight="false" outlineLevel="0" collapsed="false">
      <c r="A2256" s="6" t="s">
        <v>10377</v>
      </c>
      <c r="B2256" s="6" t="s">
        <v>5320</v>
      </c>
      <c r="C2256" s="6" t="s">
        <v>5316</v>
      </c>
      <c r="D2256" s="6" t="s">
        <v>9797</v>
      </c>
      <c r="E2256" s="6" t="s">
        <v>10378</v>
      </c>
      <c r="F2256" s="6" t="s">
        <v>10379</v>
      </c>
      <c r="G2256" s="9" t="n">
        <v>28998</v>
      </c>
      <c r="H2256" s="6" t="s">
        <v>384</v>
      </c>
      <c r="I2256" s="6" t="s">
        <v>13</v>
      </c>
      <c r="J2256" s="6" t="s">
        <v>253</v>
      </c>
      <c r="K2256" s="6" t="s">
        <v>5828</v>
      </c>
      <c r="M2256" s="6"/>
    </row>
    <row r="2257" customFormat="false" ht="15" hidden="false" customHeight="false" outlineLevel="0" collapsed="false">
      <c r="A2257" s="6" t="s">
        <v>10380</v>
      </c>
      <c r="B2257" s="6" t="s">
        <v>5325</v>
      </c>
      <c r="C2257" s="6" t="s">
        <v>5316</v>
      </c>
      <c r="D2257" s="6" t="s">
        <v>9797</v>
      </c>
      <c r="E2257" s="6" t="s">
        <v>10378</v>
      </c>
      <c r="F2257" s="6" t="s">
        <v>10381</v>
      </c>
      <c r="G2257" s="9" t="n">
        <v>31494</v>
      </c>
      <c r="H2257" s="6" t="s">
        <v>384</v>
      </c>
      <c r="I2257" s="6" t="s">
        <v>13</v>
      </c>
      <c r="J2257" s="6" t="s">
        <v>261</v>
      </c>
      <c r="K2257" s="6" t="s">
        <v>5831</v>
      </c>
      <c r="M2257" s="6"/>
    </row>
    <row r="2258" customFormat="false" ht="15" hidden="false" customHeight="false" outlineLevel="0" collapsed="false">
      <c r="A2258" s="6" t="s">
        <v>10382</v>
      </c>
      <c r="B2258" s="6" t="s">
        <v>5097</v>
      </c>
      <c r="C2258" s="6" t="s">
        <v>4975</v>
      </c>
      <c r="D2258" s="6" t="s">
        <v>9797</v>
      </c>
      <c r="E2258" s="6" t="s">
        <v>10383</v>
      </c>
      <c r="F2258" s="6" t="s">
        <v>10384</v>
      </c>
      <c r="G2258" s="9" t="n">
        <v>-136867</v>
      </c>
      <c r="H2258" s="6" t="s">
        <v>384</v>
      </c>
      <c r="I2258" s="6" t="s">
        <v>13</v>
      </c>
      <c r="J2258" s="6" t="s">
        <v>228</v>
      </c>
      <c r="K2258" s="6" t="s">
        <v>9954</v>
      </c>
      <c r="M2258" s="6"/>
    </row>
    <row r="2259" customFormat="false" ht="15" hidden="false" customHeight="false" outlineLevel="0" collapsed="false">
      <c r="A2259" s="6" t="s">
        <v>10385</v>
      </c>
      <c r="B2259" s="6" t="s">
        <v>5074</v>
      </c>
      <c r="C2259" s="6" t="s">
        <v>4975</v>
      </c>
      <c r="D2259" s="6" t="s">
        <v>9797</v>
      </c>
      <c r="E2259" s="6" t="s">
        <v>10383</v>
      </c>
      <c r="F2259" s="6" t="s">
        <v>10384</v>
      </c>
      <c r="G2259" s="9" t="n">
        <v>-1877</v>
      </c>
      <c r="H2259" s="6" t="s">
        <v>384</v>
      </c>
      <c r="I2259" s="6" t="s">
        <v>13</v>
      </c>
      <c r="J2259" s="6" t="s">
        <v>228</v>
      </c>
      <c r="K2259" s="6" t="s">
        <v>9954</v>
      </c>
      <c r="M2259" s="6"/>
    </row>
    <row r="2260" customFormat="false" ht="15" hidden="false" customHeight="false" outlineLevel="0" collapsed="false">
      <c r="A2260" s="6" t="s">
        <v>10386</v>
      </c>
      <c r="B2260" s="6" t="s">
        <v>5074</v>
      </c>
      <c r="C2260" s="6" t="s">
        <v>4975</v>
      </c>
      <c r="D2260" s="6" t="s">
        <v>9797</v>
      </c>
      <c r="E2260" s="6" t="s">
        <v>10383</v>
      </c>
      <c r="F2260" s="6" t="s">
        <v>10387</v>
      </c>
      <c r="G2260" s="9" t="n">
        <v>-1877</v>
      </c>
      <c r="H2260" s="6" t="s">
        <v>384</v>
      </c>
      <c r="I2260" s="6" t="s">
        <v>13</v>
      </c>
      <c r="J2260" s="6" t="s">
        <v>233</v>
      </c>
      <c r="K2260" s="6" t="s">
        <v>9403</v>
      </c>
      <c r="M2260" s="6"/>
    </row>
    <row r="2261" customFormat="false" ht="15" hidden="false" customHeight="false" outlineLevel="0" collapsed="false">
      <c r="A2261" s="6" t="s">
        <v>10388</v>
      </c>
      <c r="B2261" s="6" t="s">
        <v>5113</v>
      </c>
      <c r="C2261" s="6" t="s">
        <v>4975</v>
      </c>
      <c r="D2261" s="6" t="s">
        <v>9797</v>
      </c>
      <c r="E2261" s="6" t="s">
        <v>10383</v>
      </c>
      <c r="F2261" s="6" t="s">
        <v>10384</v>
      </c>
      <c r="G2261" s="9" t="n">
        <v>32372</v>
      </c>
      <c r="H2261" s="6" t="s">
        <v>384</v>
      </c>
      <c r="I2261" s="6" t="s">
        <v>13</v>
      </c>
      <c r="J2261" s="6" t="s">
        <v>228</v>
      </c>
      <c r="K2261" s="6" t="s">
        <v>9954</v>
      </c>
      <c r="M2261" s="6"/>
    </row>
    <row r="2262" customFormat="false" ht="15" hidden="false" customHeight="false" outlineLevel="0" collapsed="false">
      <c r="A2262" s="6" t="s">
        <v>10389</v>
      </c>
      <c r="B2262" s="6" t="s">
        <v>5113</v>
      </c>
      <c r="C2262" s="6" t="s">
        <v>4975</v>
      </c>
      <c r="D2262" s="6" t="s">
        <v>9797</v>
      </c>
      <c r="E2262" s="6" t="s">
        <v>10383</v>
      </c>
      <c r="F2262" s="6" t="s">
        <v>10387</v>
      </c>
      <c r="G2262" s="9" t="n">
        <v>32372</v>
      </c>
      <c r="H2262" s="6" t="s">
        <v>384</v>
      </c>
      <c r="I2262" s="6" t="s">
        <v>13</v>
      </c>
      <c r="J2262" s="6" t="s">
        <v>233</v>
      </c>
      <c r="K2262" s="6" t="s">
        <v>9403</v>
      </c>
      <c r="M2262" s="6"/>
    </row>
    <row r="2263" customFormat="false" ht="15" hidden="false" customHeight="false" outlineLevel="0" collapsed="false">
      <c r="A2263" s="6" t="s">
        <v>10390</v>
      </c>
      <c r="B2263" s="6" t="s">
        <v>5079</v>
      </c>
      <c r="C2263" s="6" t="s">
        <v>4975</v>
      </c>
      <c r="D2263" s="6" t="s">
        <v>9797</v>
      </c>
      <c r="E2263" s="6" t="s">
        <v>10383</v>
      </c>
      <c r="F2263" s="6" t="s">
        <v>10387</v>
      </c>
      <c r="G2263" s="9" t="n">
        <v>118742</v>
      </c>
      <c r="H2263" s="6" t="s">
        <v>384</v>
      </c>
      <c r="I2263" s="6" t="s">
        <v>13</v>
      </c>
      <c r="J2263" s="6" t="s">
        <v>233</v>
      </c>
      <c r="K2263" s="6" t="s">
        <v>9403</v>
      </c>
      <c r="M2263" s="6"/>
    </row>
    <row r="2264" customFormat="false" ht="15" hidden="false" customHeight="false" outlineLevel="0" collapsed="false">
      <c r="A2264" s="6" t="s">
        <v>10391</v>
      </c>
      <c r="B2264" s="6" t="s">
        <v>5519</v>
      </c>
      <c r="C2264" s="6" t="s">
        <v>5316</v>
      </c>
      <c r="D2264" s="6" t="s">
        <v>9797</v>
      </c>
      <c r="E2264" s="6" t="s">
        <v>10383</v>
      </c>
      <c r="F2264" s="6" t="s">
        <v>10392</v>
      </c>
      <c r="G2264" s="9" t="n">
        <v>-21702</v>
      </c>
      <c r="H2264" s="6" t="s">
        <v>384</v>
      </c>
      <c r="I2264" s="6" t="s">
        <v>13</v>
      </c>
      <c r="J2264" s="6" t="s">
        <v>238</v>
      </c>
      <c r="K2264" s="6" t="s">
        <v>5824</v>
      </c>
      <c r="M2264" s="6"/>
    </row>
    <row r="2265" customFormat="false" ht="15" hidden="false" customHeight="false" outlineLevel="0" collapsed="false">
      <c r="A2265" s="6" t="s">
        <v>10393</v>
      </c>
      <c r="B2265" s="6" t="s">
        <v>5315</v>
      </c>
      <c r="C2265" s="6" t="s">
        <v>5316</v>
      </c>
      <c r="D2265" s="6" t="s">
        <v>9797</v>
      </c>
      <c r="E2265" s="6" t="s">
        <v>10383</v>
      </c>
      <c r="F2265" s="6" t="s">
        <v>10392</v>
      </c>
      <c r="G2265" s="9" t="n">
        <v>21393</v>
      </c>
      <c r="H2265" s="6" t="s">
        <v>384</v>
      </c>
      <c r="I2265" s="6" t="s">
        <v>13</v>
      </c>
      <c r="J2265" s="6" t="s">
        <v>238</v>
      </c>
      <c r="K2265" s="6" t="s">
        <v>5824</v>
      </c>
      <c r="M2265" s="6"/>
    </row>
    <row r="2266" customFormat="false" ht="15" hidden="false" customHeight="false" outlineLevel="0" collapsed="false">
      <c r="A2266" s="6" t="s">
        <v>10394</v>
      </c>
      <c r="B2266" s="6" t="s">
        <v>6032</v>
      </c>
      <c r="C2266" s="6" t="s">
        <v>4975</v>
      </c>
      <c r="D2266" s="6" t="s">
        <v>9797</v>
      </c>
      <c r="E2266" s="6" t="s">
        <v>10395</v>
      </c>
      <c r="F2266" s="6" t="s">
        <v>10396</v>
      </c>
      <c r="G2266" s="9" t="n">
        <v>-91611</v>
      </c>
      <c r="H2266" s="6" t="s">
        <v>384</v>
      </c>
      <c r="I2266" s="6" t="s">
        <v>13</v>
      </c>
      <c r="J2266" s="6" t="s">
        <v>209</v>
      </c>
      <c r="K2266" s="6" t="s">
        <v>9942</v>
      </c>
      <c r="M2266" s="6"/>
    </row>
    <row r="2267" customFormat="false" ht="15" hidden="false" customHeight="false" outlineLevel="0" collapsed="false">
      <c r="A2267" s="6" t="s">
        <v>10397</v>
      </c>
      <c r="B2267" s="6" t="s">
        <v>5203</v>
      </c>
      <c r="C2267" s="6" t="s">
        <v>4975</v>
      </c>
      <c r="D2267" s="6" t="s">
        <v>9797</v>
      </c>
      <c r="E2267" s="6" t="s">
        <v>10395</v>
      </c>
      <c r="F2267" s="6" t="s">
        <v>10396</v>
      </c>
      <c r="G2267" s="9" t="n">
        <v>-152203</v>
      </c>
      <c r="H2267" s="6" t="s">
        <v>384</v>
      </c>
      <c r="I2267" s="6" t="s">
        <v>13</v>
      </c>
      <c r="J2267" s="6" t="s">
        <v>209</v>
      </c>
      <c r="K2267" s="6" t="s">
        <v>9942</v>
      </c>
      <c r="M2267" s="6"/>
    </row>
    <row r="2268" customFormat="false" ht="15" hidden="false" customHeight="false" outlineLevel="0" collapsed="false">
      <c r="A2268" s="6" t="s">
        <v>10398</v>
      </c>
      <c r="B2268" s="6" t="s">
        <v>5203</v>
      </c>
      <c r="C2268" s="6" t="s">
        <v>4975</v>
      </c>
      <c r="D2268" s="6" t="s">
        <v>9797</v>
      </c>
      <c r="E2268" s="6" t="s">
        <v>10395</v>
      </c>
      <c r="F2268" s="6" t="s">
        <v>10399</v>
      </c>
      <c r="G2268" s="9" t="n">
        <v>-152203</v>
      </c>
      <c r="H2268" s="6" t="s">
        <v>384</v>
      </c>
      <c r="I2268" s="6" t="s">
        <v>13</v>
      </c>
      <c r="J2268" s="6" t="s">
        <v>218</v>
      </c>
      <c r="K2268" s="6" t="s">
        <v>9942</v>
      </c>
      <c r="M2268" s="6"/>
    </row>
    <row r="2269" customFormat="false" ht="15" hidden="false" customHeight="false" outlineLevel="0" collapsed="false">
      <c r="A2269" s="6" t="s">
        <v>10400</v>
      </c>
      <c r="B2269" s="6" t="s">
        <v>5102</v>
      </c>
      <c r="C2269" s="6" t="s">
        <v>4975</v>
      </c>
      <c r="D2269" s="6" t="s">
        <v>9797</v>
      </c>
      <c r="E2269" s="6" t="s">
        <v>10395</v>
      </c>
      <c r="F2269" s="6" t="s">
        <v>10396</v>
      </c>
      <c r="G2269" s="9" t="n">
        <v>-129294</v>
      </c>
      <c r="H2269" s="6" t="s">
        <v>384</v>
      </c>
      <c r="I2269" s="6" t="s">
        <v>13</v>
      </c>
      <c r="J2269" s="6" t="s">
        <v>209</v>
      </c>
      <c r="K2269" s="6" t="s">
        <v>9942</v>
      </c>
      <c r="M2269" s="6"/>
    </row>
    <row r="2270" customFormat="false" ht="15" hidden="false" customHeight="false" outlineLevel="0" collapsed="false">
      <c r="A2270" s="6" t="s">
        <v>10401</v>
      </c>
      <c r="B2270" s="6" t="s">
        <v>5102</v>
      </c>
      <c r="C2270" s="6" t="s">
        <v>4975</v>
      </c>
      <c r="D2270" s="6" t="s">
        <v>9797</v>
      </c>
      <c r="E2270" s="6" t="s">
        <v>10395</v>
      </c>
      <c r="F2270" s="6" t="s">
        <v>10399</v>
      </c>
      <c r="G2270" s="9" t="n">
        <v>-129294</v>
      </c>
      <c r="H2270" s="6" t="s">
        <v>384</v>
      </c>
      <c r="I2270" s="6" t="s">
        <v>13</v>
      </c>
      <c r="J2270" s="6" t="s">
        <v>218</v>
      </c>
      <c r="K2270" s="6" t="s">
        <v>9942</v>
      </c>
      <c r="M2270" s="6"/>
    </row>
    <row r="2271" customFormat="false" ht="15" hidden="false" customHeight="false" outlineLevel="0" collapsed="false">
      <c r="A2271" s="6" t="s">
        <v>10402</v>
      </c>
      <c r="B2271" s="6" t="s">
        <v>5102</v>
      </c>
      <c r="C2271" s="6" t="s">
        <v>4975</v>
      </c>
      <c r="D2271" s="6" t="s">
        <v>9797</v>
      </c>
      <c r="E2271" s="6" t="s">
        <v>10395</v>
      </c>
      <c r="F2271" s="6" t="s">
        <v>10403</v>
      </c>
      <c r="G2271" s="9" t="n">
        <v>-129294</v>
      </c>
      <c r="H2271" s="6" t="s">
        <v>384</v>
      </c>
      <c r="I2271" s="6" t="s">
        <v>13</v>
      </c>
      <c r="J2271" s="6" t="s">
        <v>223</v>
      </c>
      <c r="K2271" s="6" t="s">
        <v>9942</v>
      </c>
      <c r="M2271" s="6"/>
    </row>
    <row r="2272" customFormat="false" ht="15" hidden="false" customHeight="false" outlineLevel="0" collapsed="false">
      <c r="A2272" s="6" t="s">
        <v>10404</v>
      </c>
      <c r="B2272" s="6" t="s">
        <v>5097</v>
      </c>
      <c r="C2272" s="6" t="s">
        <v>4975</v>
      </c>
      <c r="D2272" s="6" t="s">
        <v>9797</v>
      </c>
      <c r="E2272" s="6" t="s">
        <v>10395</v>
      </c>
      <c r="F2272" s="6" t="s">
        <v>10399</v>
      </c>
      <c r="G2272" s="9" t="n">
        <v>-136867</v>
      </c>
      <c r="H2272" s="6" t="s">
        <v>384</v>
      </c>
      <c r="I2272" s="6" t="s">
        <v>13</v>
      </c>
      <c r="J2272" s="6" t="s">
        <v>218</v>
      </c>
      <c r="K2272" s="6" t="s">
        <v>9942</v>
      </c>
      <c r="M2272" s="6"/>
    </row>
    <row r="2273" customFormat="false" ht="15" hidden="false" customHeight="false" outlineLevel="0" collapsed="false">
      <c r="A2273" s="6" t="s">
        <v>10405</v>
      </c>
      <c r="B2273" s="6" t="s">
        <v>5097</v>
      </c>
      <c r="C2273" s="6" t="s">
        <v>4975</v>
      </c>
      <c r="D2273" s="6" t="s">
        <v>9797</v>
      </c>
      <c r="E2273" s="6" t="s">
        <v>10395</v>
      </c>
      <c r="F2273" s="6" t="s">
        <v>10403</v>
      </c>
      <c r="G2273" s="9" t="n">
        <v>-136867</v>
      </c>
      <c r="H2273" s="6" t="s">
        <v>384</v>
      </c>
      <c r="I2273" s="6" t="s">
        <v>13</v>
      </c>
      <c r="J2273" s="6" t="s">
        <v>223</v>
      </c>
      <c r="K2273" s="6" t="s">
        <v>9942</v>
      </c>
      <c r="M2273" s="6"/>
    </row>
    <row r="2274" customFormat="false" ht="15" hidden="false" customHeight="false" outlineLevel="0" collapsed="false">
      <c r="A2274" s="6" t="s">
        <v>10406</v>
      </c>
      <c r="B2274" s="6" t="s">
        <v>5074</v>
      </c>
      <c r="C2274" s="6" t="s">
        <v>4975</v>
      </c>
      <c r="D2274" s="6" t="s">
        <v>9797</v>
      </c>
      <c r="E2274" s="6" t="s">
        <v>10395</v>
      </c>
      <c r="F2274" s="6" t="s">
        <v>10403</v>
      </c>
      <c r="G2274" s="9" t="n">
        <v>-1877</v>
      </c>
      <c r="H2274" s="6" t="s">
        <v>384</v>
      </c>
      <c r="I2274" s="6" t="s">
        <v>13</v>
      </c>
      <c r="J2274" s="6" t="s">
        <v>223</v>
      </c>
      <c r="K2274" s="6" t="s">
        <v>9942</v>
      </c>
      <c r="M2274" s="6"/>
    </row>
    <row r="2275" customFormat="false" ht="15" hidden="false" customHeight="false" outlineLevel="0" collapsed="false">
      <c r="A2275" s="6" t="s">
        <v>10407</v>
      </c>
      <c r="B2275" s="6" t="s">
        <v>6032</v>
      </c>
      <c r="C2275" s="6" t="s">
        <v>4975</v>
      </c>
      <c r="D2275" s="6" t="s">
        <v>9797</v>
      </c>
      <c r="E2275" s="6" t="s">
        <v>10408</v>
      </c>
      <c r="F2275" s="6" t="s">
        <v>10409</v>
      </c>
      <c r="G2275" s="19" t="n">
        <v>-9.22</v>
      </c>
      <c r="H2275" s="6" t="s">
        <v>6356</v>
      </c>
      <c r="I2275" s="6" t="s">
        <v>13</v>
      </c>
      <c r="J2275" s="6" t="s">
        <v>209</v>
      </c>
      <c r="K2275" s="6" t="s">
        <v>9942</v>
      </c>
      <c r="M2275" s="6"/>
    </row>
    <row r="2276" customFormat="false" ht="15" hidden="false" customHeight="false" outlineLevel="0" collapsed="false">
      <c r="A2276" s="6" t="s">
        <v>10410</v>
      </c>
      <c r="B2276" s="6" t="s">
        <v>5203</v>
      </c>
      <c r="C2276" s="6" t="s">
        <v>4975</v>
      </c>
      <c r="D2276" s="6" t="s">
        <v>9797</v>
      </c>
      <c r="E2276" s="6" t="s">
        <v>10408</v>
      </c>
      <c r="F2276" s="6" t="s">
        <v>10409</v>
      </c>
      <c r="G2276" s="19" t="n">
        <v>-14.19</v>
      </c>
      <c r="H2276" s="6" t="s">
        <v>6356</v>
      </c>
      <c r="I2276" s="6" t="s">
        <v>13</v>
      </c>
      <c r="J2276" s="6" t="s">
        <v>209</v>
      </c>
      <c r="K2276" s="6" t="s">
        <v>9942</v>
      </c>
      <c r="M2276" s="6"/>
    </row>
    <row r="2277" customFormat="false" ht="15" hidden="false" customHeight="false" outlineLevel="0" collapsed="false">
      <c r="A2277" s="6" t="s">
        <v>10411</v>
      </c>
      <c r="B2277" s="6" t="s">
        <v>5102</v>
      </c>
      <c r="C2277" s="6" t="s">
        <v>4975</v>
      </c>
      <c r="D2277" s="6" t="s">
        <v>9797</v>
      </c>
      <c r="E2277" s="6" t="s">
        <v>10408</v>
      </c>
      <c r="F2277" s="6" t="s">
        <v>10409</v>
      </c>
      <c r="G2277" s="19" t="n">
        <v>-4.53</v>
      </c>
      <c r="H2277" s="6" t="s">
        <v>6356</v>
      </c>
      <c r="I2277" s="6" t="s">
        <v>13</v>
      </c>
      <c r="J2277" s="6" t="s">
        <v>209</v>
      </c>
      <c r="K2277" s="6" t="s">
        <v>9942</v>
      </c>
      <c r="M2277" s="6"/>
    </row>
    <row r="2278" customFormat="false" ht="15" hidden="false" customHeight="false" outlineLevel="0" collapsed="false">
      <c r="A2278" s="6" t="s">
        <v>10412</v>
      </c>
      <c r="B2278" s="6" t="s">
        <v>5097</v>
      </c>
      <c r="C2278" s="6" t="s">
        <v>4975</v>
      </c>
      <c r="D2278" s="6" t="s">
        <v>9797</v>
      </c>
      <c r="E2278" s="6" t="s">
        <v>10408</v>
      </c>
      <c r="F2278" s="6" t="s">
        <v>10413</v>
      </c>
      <c r="G2278" s="19" t="n">
        <v>-2.99</v>
      </c>
      <c r="H2278" s="6" t="s">
        <v>6356</v>
      </c>
      <c r="I2278" s="6" t="s">
        <v>13</v>
      </c>
      <c r="J2278" s="6" t="s">
        <v>218</v>
      </c>
      <c r="K2278" s="6" t="s">
        <v>10414</v>
      </c>
      <c r="M2278" s="6"/>
    </row>
    <row r="2279" customFormat="false" ht="15" hidden="false" customHeight="false" outlineLevel="0" collapsed="false">
      <c r="A2279" s="6" t="s">
        <v>10415</v>
      </c>
      <c r="B2279" s="6" t="s">
        <v>5102</v>
      </c>
      <c r="C2279" s="6" t="s">
        <v>4975</v>
      </c>
      <c r="D2279" s="6" t="s">
        <v>9797</v>
      </c>
      <c r="E2279" s="6" t="s">
        <v>4717</v>
      </c>
      <c r="F2279" s="6" t="s">
        <v>10416</v>
      </c>
      <c r="G2279" s="9" t="n">
        <v>-52596</v>
      </c>
      <c r="H2279" s="6" t="s">
        <v>384</v>
      </c>
      <c r="I2279" s="6" t="s">
        <v>13</v>
      </c>
      <c r="J2279" s="6" t="s">
        <v>223</v>
      </c>
      <c r="K2279" s="6" t="s">
        <v>7989</v>
      </c>
      <c r="M2279" s="6" t="s">
        <v>10417</v>
      </c>
    </row>
    <row r="2280" customFormat="false" ht="15" hidden="false" customHeight="false" outlineLevel="0" collapsed="false">
      <c r="A2280" s="6" t="s">
        <v>10418</v>
      </c>
      <c r="B2280" s="6" t="s">
        <v>5097</v>
      </c>
      <c r="C2280" s="6" t="s">
        <v>4975</v>
      </c>
      <c r="D2280" s="6" t="s">
        <v>9797</v>
      </c>
      <c r="E2280" s="6" t="s">
        <v>4717</v>
      </c>
      <c r="F2280" s="6" t="s">
        <v>10416</v>
      </c>
      <c r="G2280" s="9" t="n">
        <v>-47095</v>
      </c>
      <c r="H2280" s="6" t="s">
        <v>384</v>
      </c>
      <c r="I2280" s="6" t="s">
        <v>13</v>
      </c>
      <c r="J2280" s="6" t="s">
        <v>223</v>
      </c>
      <c r="K2280" s="6" t="s">
        <v>7989</v>
      </c>
      <c r="M2280" s="6" t="s">
        <v>10417</v>
      </c>
    </row>
    <row r="2281" customFormat="false" ht="15" hidden="false" customHeight="false" outlineLevel="0" collapsed="false">
      <c r="A2281" s="6" t="s">
        <v>10419</v>
      </c>
      <c r="B2281" s="6" t="s">
        <v>5074</v>
      </c>
      <c r="C2281" s="6" t="s">
        <v>4975</v>
      </c>
      <c r="D2281" s="6" t="s">
        <v>9797</v>
      </c>
      <c r="E2281" s="6" t="s">
        <v>4717</v>
      </c>
      <c r="F2281" s="6" t="s">
        <v>10416</v>
      </c>
      <c r="G2281" s="9" t="n">
        <v>61601</v>
      </c>
      <c r="H2281" s="6" t="s">
        <v>384</v>
      </c>
      <c r="I2281" s="6" t="s">
        <v>13</v>
      </c>
      <c r="J2281" s="6" t="s">
        <v>223</v>
      </c>
      <c r="K2281" s="6" t="s">
        <v>7989</v>
      </c>
      <c r="M2281" s="6" t="s">
        <v>10417</v>
      </c>
    </row>
    <row r="2282" customFormat="false" ht="15" hidden="false" customHeight="false" outlineLevel="0" collapsed="false">
      <c r="A2282" s="6" t="s">
        <v>10420</v>
      </c>
      <c r="B2282" s="6" t="s">
        <v>6032</v>
      </c>
      <c r="C2282" s="6" t="s">
        <v>4975</v>
      </c>
      <c r="D2282" s="6" t="s">
        <v>9797</v>
      </c>
      <c r="E2282" s="6" t="s">
        <v>10421</v>
      </c>
      <c r="F2282" s="6" t="s">
        <v>10422</v>
      </c>
      <c r="G2282" s="9" t="n">
        <v>-70679</v>
      </c>
      <c r="H2282" s="6" t="s">
        <v>384</v>
      </c>
      <c r="I2282" s="6" t="s">
        <v>13</v>
      </c>
      <c r="J2282" s="6" t="s">
        <v>209</v>
      </c>
      <c r="K2282" s="6" t="s">
        <v>10423</v>
      </c>
      <c r="M2282" s="6"/>
    </row>
    <row r="2283" customFormat="false" ht="15" hidden="false" customHeight="false" outlineLevel="0" collapsed="false">
      <c r="A2283" s="6" t="s">
        <v>10424</v>
      </c>
      <c r="B2283" s="6" t="s">
        <v>5203</v>
      </c>
      <c r="C2283" s="6" t="s">
        <v>4975</v>
      </c>
      <c r="D2283" s="6" t="s">
        <v>9797</v>
      </c>
      <c r="E2283" s="6" t="s">
        <v>10421</v>
      </c>
      <c r="F2283" s="6" t="s">
        <v>10422</v>
      </c>
      <c r="G2283" s="9" t="n">
        <v>-86192</v>
      </c>
      <c r="H2283" s="6" t="s">
        <v>384</v>
      </c>
      <c r="I2283" s="6" t="s">
        <v>13</v>
      </c>
      <c r="J2283" s="6" t="s">
        <v>209</v>
      </c>
      <c r="K2283" s="6" t="s">
        <v>10423</v>
      </c>
      <c r="M2283" s="6"/>
    </row>
    <row r="2284" customFormat="false" ht="15" hidden="false" customHeight="false" outlineLevel="0" collapsed="false">
      <c r="A2284" s="6" t="s">
        <v>10425</v>
      </c>
      <c r="B2284" s="6" t="s">
        <v>5203</v>
      </c>
      <c r="C2284" s="6" t="s">
        <v>4975</v>
      </c>
      <c r="D2284" s="6" t="s">
        <v>9797</v>
      </c>
      <c r="E2284" s="6" t="s">
        <v>10421</v>
      </c>
      <c r="F2284" s="6" t="s">
        <v>10426</v>
      </c>
      <c r="G2284" s="9" t="n">
        <v>-86192</v>
      </c>
      <c r="H2284" s="6" t="s">
        <v>384</v>
      </c>
      <c r="I2284" s="6" t="s">
        <v>13</v>
      </c>
      <c r="J2284" s="6" t="s">
        <v>218</v>
      </c>
      <c r="K2284" s="6" t="s">
        <v>10427</v>
      </c>
      <c r="M2284" s="6"/>
    </row>
    <row r="2285" customFormat="false" ht="15" hidden="false" customHeight="false" outlineLevel="0" collapsed="false">
      <c r="A2285" s="6" t="s">
        <v>10428</v>
      </c>
      <c r="B2285" s="6" t="s">
        <v>5102</v>
      </c>
      <c r="C2285" s="6" t="s">
        <v>4975</v>
      </c>
      <c r="D2285" s="6" t="s">
        <v>9797</v>
      </c>
      <c r="E2285" s="6" t="s">
        <v>10421</v>
      </c>
      <c r="F2285" s="6" t="s">
        <v>10422</v>
      </c>
      <c r="G2285" s="9" t="n">
        <v>-52596</v>
      </c>
      <c r="H2285" s="6" t="s">
        <v>384</v>
      </c>
      <c r="I2285" s="6" t="s">
        <v>13</v>
      </c>
      <c r="J2285" s="6" t="s">
        <v>209</v>
      </c>
      <c r="K2285" s="6" t="s">
        <v>10423</v>
      </c>
      <c r="M2285" s="6"/>
    </row>
    <row r="2286" customFormat="false" ht="15" hidden="false" customHeight="false" outlineLevel="0" collapsed="false">
      <c r="A2286" s="6" t="s">
        <v>10429</v>
      </c>
      <c r="B2286" s="6" t="s">
        <v>5102</v>
      </c>
      <c r="C2286" s="6" t="s">
        <v>4975</v>
      </c>
      <c r="D2286" s="6" t="s">
        <v>9797</v>
      </c>
      <c r="E2286" s="6" t="s">
        <v>10421</v>
      </c>
      <c r="F2286" s="6" t="s">
        <v>10426</v>
      </c>
      <c r="G2286" s="9" t="n">
        <v>-52596</v>
      </c>
      <c r="H2286" s="6" t="s">
        <v>384</v>
      </c>
      <c r="I2286" s="6" t="s">
        <v>13</v>
      </c>
      <c r="J2286" s="6" t="s">
        <v>218</v>
      </c>
      <c r="K2286" s="6" t="s">
        <v>10427</v>
      </c>
      <c r="M2286" s="6"/>
    </row>
    <row r="2287" customFormat="false" ht="15" hidden="false" customHeight="false" outlineLevel="0" collapsed="false">
      <c r="A2287" s="6" t="s">
        <v>10430</v>
      </c>
      <c r="B2287" s="6" t="s">
        <v>5097</v>
      </c>
      <c r="C2287" s="6" t="s">
        <v>4975</v>
      </c>
      <c r="D2287" s="6" t="s">
        <v>9797</v>
      </c>
      <c r="E2287" s="6" t="s">
        <v>10421</v>
      </c>
      <c r="F2287" s="6" t="s">
        <v>10426</v>
      </c>
      <c r="G2287" s="9" t="n">
        <v>-47095</v>
      </c>
      <c r="H2287" s="6" t="s">
        <v>384</v>
      </c>
      <c r="I2287" s="6" t="s">
        <v>13</v>
      </c>
      <c r="J2287" s="6" t="s">
        <v>218</v>
      </c>
      <c r="K2287" s="6" t="s">
        <v>10427</v>
      </c>
      <c r="M2287" s="6"/>
    </row>
    <row r="2288" customFormat="false" ht="15" hidden="false" customHeight="false" outlineLevel="0" collapsed="false">
      <c r="A2288" s="6" t="s">
        <v>10431</v>
      </c>
      <c r="B2288" s="6" t="s">
        <v>6292</v>
      </c>
      <c r="C2288" s="6" t="s">
        <v>6248</v>
      </c>
      <c r="D2288" s="6" t="s">
        <v>9797</v>
      </c>
      <c r="E2288" s="6" t="s">
        <v>10432</v>
      </c>
      <c r="F2288" s="6" t="s">
        <v>10433</v>
      </c>
      <c r="G2288" s="19" t="n">
        <v>40000</v>
      </c>
      <c r="H2288" s="6" t="s">
        <v>6295</v>
      </c>
      <c r="I2288" s="6" t="s">
        <v>13</v>
      </c>
      <c r="J2288" s="6" t="s">
        <v>310</v>
      </c>
      <c r="K2288" s="6" t="s">
        <v>10434</v>
      </c>
      <c r="M2288" s="6"/>
    </row>
    <row r="2289" customFormat="false" ht="15" hidden="false" customHeight="false" outlineLevel="0" collapsed="false">
      <c r="A2289" s="6" t="s">
        <v>10435</v>
      </c>
      <c r="B2289" s="6" t="s">
        <v>6292</v>
      </c>
      <c r="C2289" s="6" t="s">
        <v>6248</v>
      </c>
      <c r="D2289" s="6" t="s">
        <v>9797</v>
      </c>
      <c r="E2289" s="6" t="s">
        <v>10436</v>
      </c>
      <c r="F2289" s="6" t="s">
        <v>10437</v>
      </c>
      <c r="G2289" s="19" t="n">
        <v>200000</v>
      </c>
      <c r="H2289" s="6" t="s">
        <v>6295</v>
      </c>
      <c r="I2289" s="6" t="s">
        <v>13</v>
      </c>
      <c r="J2289" s="6" t="s">
        <v>310</v>
      </c>
      <c r="K2289" s="6" t="s">
        <v>10434</v>
      </c>
      <c r="M2289" s="6" t="s">
        <v>10438</v>
      </c>
    </row>
    <row r="2290" customFormat="false" ht="15" hidden="false" customHeight="false" outlineLevel="0" collapsed="false">
      <c r="A2290" s="6" t="s">
        <v>10439</v>
      </c>
      <c r="B2290" s="6" t="s">
        <v>6292</v>
      </c>
      <c r="C2290" s="6" t="s">
        <v>6248</v>
      </c>
      <c r="D2290" s="6" t="s">
        <v>9797</v>
      </c>
      <c r="E2290" s="6" t="s">
        <v>10440</v>
      </c>
      <c r="F2290" s="6" t="s">
        <v>10441</v>
      </c>
      <c r="G2290" s="19" t="n">
        <v>400000</v>
      </c>
      <c r="H2290" s="6" t="s">
        <v>6295</v>
      </c>
      <c r="I2290" s="6" t="s">
        <v>13</v>
      </c>
      <c r="J2290" s="6" t="s">
        <v>310</v>
      </c>
      <c r="K2290" s="6" t="s">
        <v>10434</v>
      </c>
      <c r="M2290" s="6"/>
    </row>
    <row r="2291" customFormat="false" ht="15" hidden="false" customHeight="false" outlineLevel="0" collapsed="false">
      <c r="A2291" s="6" t="s">
        <v>10442</v>
      </c>
      <c r="B2291" s="6" t="s">
        <v>5097</v>
      </c>
      <c r="C2291" s="6" t="s">
        <v>4975</v>
      </c>
      <c r="D2291" s="6" t="s">
        <v>9797</v>
      </c>
      <c r="E2291" s="6" t="s">
        <v>10443</v>
      </c>
      <c r="F2291" s="6" t="s">
        <v>10444</v>
      </c>
      <c r="H2291" s="6" t="s">
        <v>5122</v>
      </c>
      <c r="I2291" s="6" t="s">
        <v>13</v>
      </c>
      <c r="J2291" s="6" t="s">
        <v>218</v>
      </c>
      <c r="K2291" s="6" t="s">
        <v>10445</v>
      </c>
      <c r="M2291" s="6" t="s">
        <v>10446</v>
      </c>
    </row>
    <row r="2292" customFormat="false" ht="15" hidden="false" customHeight="false" outlineLevel="0" collapsed="false">
      <c r="A2292" s="6" t="s">
        <v>10447</v>
      </c>
      <c r="B2292" s="6" t="s">
        <v>9605</v>
      </c>
      <c r="C2292" s="6" t="s">
        <v>5050</v>
      </c>
      <c r="D2292" s="6" t="s">
        <v>9797</v>
      </c>
      <c r="E2292" s="6" t="s">
        <v>10448</v>
      </c>
      <c r="F2292" s="6" t="s">
        <v>10449</v>
      </c>
      <c r="G2292" s="19" t="n">
        <v>4</v>
      </c>
      <c r="H2292" s="6" t="s">
        <v>5122</v>
      </c>
      <c r="I2292" s="6" t="s">
        <v>13</v>
      </c>
      <c r="J2292" s="6" t="s">
        <v>218</v>
      </c>
      <c r="K2292" s="6" t="s">
        <v>10130</v>
      </c>
      <c r="M2292" s="6" t="s">
        <v>5055</v>
      </c>
    </row>
    <row r="2293" customFormat="false" ht="15" hidden="false" customHeight="false" outlineLevel="0" collapsed="false">
      <c r="A2293" s="6" t="s">
        <v>10450</v>
      </c>
      <c r="B2293" s="6" t="s">
        <v>5239</v>
      </c>
      <c r="C2293" s="6" t="s">
        <v>5050</v>
      </c>
      <c r="D2293" s="6" t="s">
        <v>9797</v>
      </c>
      <c r="E2293" s="6" t="s">
        <v>10451</v>
      </c>
      <c r="F2293" s="6" t="s">
        <v>10452</v>
      </c>
      <c r="G2293" s="19" t="n">
        <v>7</v>
      </c>
      <c r="H2293" s="6" t="s">
        <v>5122</v>
      </c>
      <c r="I2293" s="6" t="s">
        <v>13</v>
      </c>
      <c r="J2293" s="6" t="s">
        <v>238</v>
      </c>
      <c r="K2293" s="6" t="s">
        <v>10453</v>
      </c>
      <c r="M2293" s="6" t="s">
        <v>5055</v>
      </c>
    </row>
    <row r="2294" customFormat="false" ht="15" hidden="false" customHeight="false" outlineLevel="0" collapsed="false">
      <c r="A2294" s="6" t="s">
        <v>10454</v>
      </c>
      <c r="B2294" s="6" t="s">
        <v>5245</v>
      </c>
      <c r="C2294" s="6" t="s">
        <v>5050</v>
      </c>
      <c r="D2294" s="6" t="s">
        <v>9797</v>
      </c>
      <c r="E2294" s="6" t="s">
        <v>10451</v>
      </c>
      <c r="F2294" s="6" t="s">
        <v>10455</v>
      </c>
      <c r="G2294" s="19" t="n">
        <v>9</v>
      </c>
      <c r="H2294" s="6" t="s">
        <v>5122</v>
      </c>
      <c r="I2294" s="6" t="s">
        <v>13</v>
      </c>
      <c r="J2294" s="6" t="s">
        <v>253</v>
      </c>
      <c r="K2294" s="6" t="s">
        <v>10456</v>
      </c>
      <c r="M2294" s="6" t="s">
        <v>10457</v>
      </c>
    </row>
    <row r="2295" customFormat="false" ht="15" hidden="false" customHeight="false" outlineLevel="0" collapsed="false">
      <c r="A2295" s="6" t="s">
        <v>10458</v>
      </c>
      <c r="B2295" s="6" t="s">
        <v>5249</v>
      </c>
      <c r="C2295" s="6" t="s">
        <v>5050</v>
      </c>
      <c r="D2295" s="6" t="s">
        <v>9797</v>
      </c>
      <c r="E2295" s="6" t="s">
        <v>10451</v>
      </c>
      <c r="F2295" s="6" t="s">
        <v>10459</v>
      </c>
      <c r="G2295" s="19" t="n">
        <v>10</v>
      </c>
      <c r="H2295" s="6" t="s">
        <v>5122</v>
      </c>
      <c r="I2295" s="6" t="s">
        <v>13</v>
      </c>
      <c r="J2295" s="6" t="s">
        <v>261</v>
      </c>
      <c r="K2295" s="6" t="s">
        <v>10460</v>
      </c>
      <c r="M2295" s="6" t="s">
        <v>10461</v>
      </c>
    </row>
    <row r="2296" customFormat="false" ht="15" hidden="false" customHeight="false" outlineLevel="0" collapsed="false">
      <c r="A2296" s="6" t="s">
        <v>10462</v>
      </c>
      <c r="B2296" s="6" t="s">
        <v>6032</v>
      </c>
      <c r="C2296" s="6" t="s">
        <v>4975</v>
      </c>
      <c r="D2296" s="6" t="s">
        <v>9797</v>
      </c>
      <c r="E2296" s="6" t="s">
        <v>10463</v>
      </c>
      <c r="F2296" s="6" t="s">
        <v>10464</v>
      </c>
      <c r="G2296" s="9" t="n">
        <v>-92518</v>
      </c>
      <c r="H2296" s="6" t="s">
        <v>384</v>
      </c>
      <c r="I2296" s="6" t="s">
        <v>13</v>
      </c>
      <c r="J2296" s="6" t="s">
        <v>209</v>
      </c>
      <c r="K2296" s="6" t="s">
        <v>9942</v>
      </c>
      <c r="M2296" s="6"/>
    </row>
    <row r="2297" customFormat="false" ht="15" hidden="false" customHeight="false" outlineLevel="0" collapsed="false">
      <c r="A2297" s="6" t="s">
        <v>10465</v>
      </c>
      <c r="B2297" s="6" t="s">
        <v>5203</v>
      </c>
      <c r="C2297" s="6" t="s">
        <v>4975</v>
      </c>
      <c r="D2297" s="6" t="s">
        <v>9797</v>
      </c>
      <c r="E2297" s="6" t="s">
        <v>10463</v>
      </c>
      <c r="F2297" s="6" t="s">
        <v>10464</v>
      </c>
      <c r="G2297" s="9" t="n">
        <v>-150537</v>
      </c>
      <c r="H2297" s="6" t="s">
        <v>384</v>
      </c>
      <c r="I2297" s="6" t="s">
        <v>13</v>
      </c>
      <c r="J2297" s="6" t="s">
        <v>209</v>
      </c>
      <c r="K2297" s="6" t="s">
        <v>9942</v>
      </c>
      <c r="M2297" s="6"/>
    </row>
    <row r="2298" customFormat="false" ht="15" hidden="false" customHeight="false" outlineLevel="0" collapsed="false">
      <c r="A2298" s="6" t="s">
        <v>10466</v>
      </c>
      <c r="B2298" s="6" t="s">
        <v>5203</v>
      </c>
      <c r="C2298" s="6" t="s">
        <v>4975</v>
      </c>
      <c r="D2298" s="6" t="s">
        <v>9797</v>
      </c>
      <c r="E2298" s="6" t="s">
        <v>10463</v>
      </c>
      <c r="F2298" s="6" t="s">
        <v>10467</v>
      </c>
      <c r="G2298" s="9" t="n">
        <v>-150537</v>
      </c>
      <c r="H2298" s="6" t="s">
        <v>384</v>
      </c>
      <c r="I2298" s="6" t="s">
        <v>13</v>
      </c>
      <c r="J2298" s="6" t="s">
        <v>218</v>
      </c>
      <c r="K2298" s="6" t="s">
        <v>9942</v>
      </c>
      <c r="M2298" s="6"/>
    </row>
    <row r="2299" customFormat="false" ht="15" hidden="false" customHeight="false" outlineLevel="0" collapsed="false">
      <c r="A2299" s="6" t="s">
        <v>10468</v>
      </c>
      <c r="B2299" s="6" t="s">
        <v>5102</v>
      </c>
      <c r="C2299" s="6" t="s">
        <v>4975</v>
      </c>
      <c r="D2299" s="6" t="s">
        <v>9797</v>
      </c>
      <c r="E2299" s="6" t="s">
        <v>10463</v>
      </c>
      <c r="F2299" s="6" t="s">
        <v>10464</v>
      </c>
      <c r="G2299" s="9" t="n">
        <v>-126125</v>
      </c>
      <c r="H2299" s="6" t="s">
        <v>384</v>
      </c>
      <c r="I2299" s="6" t="s">
        <v>13</v>
      </c>
      <c r="J2299" s="6" t="s">
        <v>209</v>
      </c>
      <c r="K2299" s="6" t="s">
        <v>9942</v>
      </c>
      <c r="M2299" s="6"/>
    </row>
    <row r="2300" customFormat="false" ht="15" hidden="false" customHeight="false" outlineLevel="0" collapsed="false">
      <c r="A2300" s="6" t="s">
        <v>10469</v>
      </c>
      <c r="B2300" s="6" t="s">
        <v>5102</v>
      </c>
      <c r="C2300" s="6" t="s">
        <v>4975</v>
      </c>
      <c r="D2300" s="6" t="s">
        <v>9797</v>
      </c>
      <c r="E2300" s="6" t="s">
        <v>10463</v>
      </c>
      <c r="F2300" s="6" t="s">
        <v>10467</v>
      </c>
      <c r="G2300" s="9" t="n">
        <v>-126125</v>
      </c>
      <c r="H2300" s="6" t="s">
        <v>384</v>
      </c>
      <c r="I2300" s="6" t="s">
        <v>13</v>
      </c>
      <c r="J2300" s="6" t="s">
        <v>218</v>
      </c>
      <c r="K2300" s="6" t="s">
        <v>9942</v>
      </c>
      <c r="M2300" s="6"/>
    </row>
    <row r="2301" customFormat="false" ht="15" hidden="false" customHeight="false" outlineLevel="0" collapsed="false">
      <c r="A2301" s="6" t="s">
        <v>10470</v>
      </c>
      <c r="B2301" s="6" t="s">
        <v>5102</v>
      </c>
      <c r="C2301" s="6" t="s">
        <v>4975</v>
      </c>
      <c r="D2301" s="6" t="s">
        <v>9797</v>
      </c>
      <c r="E2301" s="6" t="s">
        <v>10463</v>
      </c>
      <c r="F2301" s="6" t="s">
        <v>10471</v>
      </c>
      <c r="G2301" s="9" t="n">
        <v>-126125</v>
      </c>
      <c r="H2301" s="6" t="s">
        <v>384</v>
      </c>
      <c r="I2301" s="6" t="s">
        <v>13</v>
      </c>
      <c r="J2301" s="6" t="s">
        <v>223</v>
      </c>
      <c r="K2301" s="6" t="s">
        <v>9942</v>
      </c>
      <c r="M2301" s="6"/>
    </row>
    <row r="2302" customFormat="false" ht="15" hidden="false" customHeight="false" outlineLevel="0" collapsed="false">
      <c r="A2302" s="6" t="s">
        <v>10472</v>
      </c>
      <c r="B2302" s="6" t="s">
        <v>5097</v>
      </c>
      <c r="C2302" s="6" t="s">
        <v>4975</v>
      </c>
      <c r="D2302" s="6" t="s">
        <v>9797</v>
      </c>
      <c r="E2302" s="6" t="s">
        <v>10463</v>
      </c>
      <c r="F2302" s="6" t="s">
        <v>10467</v>
      </c>
      <c r="G2302" s="9" t="n">
        <v>-152015</v>
      </c>
      <c r="H2302" s="6" t="s">
        <v>384</v>
      </c>
      <c r="I2302" s="6" t="s">
        <v>13</v>
      </c>
      <c r="J2302" s="6" t="s">
        <v>218</v>
      </c>
      <c r="K2302" s="6" t="s">
        <v>9942</v>
      </c>
      <c r="M2302" s="6"/>
    </row>
    <row r="2303" customFormat="false" ht="15" hidden="false" customHeight="false" outlineLevel="0" collapsed="false">
      <c r="A2303" s="6" t="s">
        <v>10473</v>
      </c>
      <c r="B2303" s="6" t="s">
        <v>5097</v>
      </c>
      <c r="C2303" s="6" t="s">
        <v>4975</v>
      </c>
      <c r="D2303" s="6" t="s">
        <v>9797</v>
      </c>
      <c r="E2303" s="6" t="s">
        <v>10463</v>
      </c>
      <c r="F2303" s="6" t="s">
        <v>10471</v>
      </c>
      <c r="G2303" s="9" t="n">
        <v>-152015</v>
      </c>
      <c r="H2303" s="6" t="s">
        <v>384</v>
      </c>
      <c r="I2303" s="6" t="s">
        <v>13</v>
      </c>
      <c r="J2303" s="6" t="s">
        <v>223</v>
      </c>
      <c r="K2303" s="6" t="s">
        <v>9942</v>
      </c>
      <c r="M2303" s="6"/>
    </row>
    <row r="2304" customFormat="false" ht="15" hidden="false" customHeight="false" outlineLevel="0" collapsed="false">
      <c r="A2304" s="6" t="s">
        <v>10474</v>
      </c>
      <c r="B2304" s="6" t="s">
        <v>5097</v>
      </c>
      <c r="C2304" s="6" t="s">
        <v>4975</v>
      </c>
      <c r="D2304" s="6" t="s">
        <v>9797</v>
      </c>
      <c r="E2304" s="6" t="s">
        <v>10463</v>
      </c>
      <c r="F2304" s="6" t="s">
        <v>10475</v>
      </c>
      <c r="G2304" s="9" t="n">
        <v>-152015</v>
      </c>
      <c r="H2304" s="6" t="s">
        <v>384</v>
      </c>
      <c r="I2304" s="6" t="s">
        <v>13</v>
      </c>
      <c r="J2304" s="6" t="s">
        <v>228</v>
      </c>
      <c r="K2304" s="6" t="s">
        <v>9954</v>
      </c>
      <c r="M2304" s="6"/>
    </row>
    <row r="2305" customFormat="false" ht="15" hidden="false" customHeight="false" outlineLevel="0" collapsed="false">
      <c r="A2305" s="6" t="s">
        <v>10476</v>
      </c>
      <c r="B2305" s="6" t="s">
        <v>5074</v>
      </c>
      <c r="C2305" s="6" t="s">
        <v>4975</v>
      </c>
      <c r="D2305" s="6" t="s">
        <v>9797</v>
      </c>
      <c r="E2305" s="6" t="s">
        <v>10463</v>
      </c>
      <c r="F2305" s="6" t="s">
        <v>10471</v>
      </c>
      <c r="G2305" s="9" t="n">
        <v>-38585</v>
      </c>
      <c r="H2305" s="6" t="s">
        <v>384</v>
      </c>
      <c r="I2305" s="6" t="s">
        <v>13</v>
      </c>
      <c r="J2305" s="6" t="s">
        <v>223</v>
      </c>
      <c r="K2305" s="6" t="s">
        <v>9942</v>
      </c>
      <c r="M2305" s="6"/>
    </row>
    <row r="2306" customFormat="false" ht="15" hidden="false" customHeight="false" outlineLevel="0" collapsed="false">
      <c r="A2306" s="6" t="s">
        <v>10477</v>
      </c>
      <c r="B2306" s="6" t="s">
        <v>5074</v>
      </c>
      <c r="C2306" s="6" t="s">
        <v>4975</v>
      </c>
      <c r="D2306" s="6" t="s">
        <v>9797</v>
      </c>
      <c r="E2306" s="6" t="s">
        <v>10463</v>
      </c>
      <c r="F2306" s="6" t="s">
        <v>10475</v>
      </c>
      <c r="G2306" s="9" t="n">
        <v>-38585</v>
      </c>
      <c r="H2306" s="6" t="s">
        <v>384</v>
      </c>
      <c r="I2306" s="6" t="s">
        <v>13</v>
      </c>
      <c r="J2306" s="6" t="s">
        <v>228</v>
      </c>
      <c r="K2306" s="6" t="s">
        <v>9954</v>
      </c>
      <c r="M2306" s="6"/>
    </row>
    <row r="2307" customFormat="false" ht="15" hidden="false" customHeight="false" outlineLevel="0" collapsed="false">
      <c r="A2307" s="6" t="s">
        <v>10478</v>
      </c>
      <c r="B2307" s="6" t="s">
        <v>5113</v>
      </c>
      <c r="C2307" s="6" t="s">
        <v>4975</v>
      </c>
      <c r="D2307" s="6" t="s">
        <v>9797</v>
      </c>
      <c r="E2307" s="6" t="s">
        <v>10463</v>
      </c>
      <c r="F2307" s="6" t="s">
        <v>10475</v>
      </c>
      <c r="G2307" s="9" t="n">
        <v>-21034</v>
      </c>
      <c r="H2307" s="6" t="s">
        <v>384</v>
      </c>
      <c r="I2307" s="6" t="s">
        <v>13</v>
      </c>
      <c r="J2307" s="6" t="s">
        <v>228</v>
      </c>
      <c r="K2307" s="6" t="s">
        <v>9954</v>
      </c>
      <c r="M2307" s="6"/>
    </row>
    <row r="2308" customFormat="false" ht="15" hidden="false" customHeight="false" outlineLevel="0" collapsed="false">
      <c r="A2308" s="6" t="s">
        <v>10479</v>
      </c>
      <c r="B2308" s="6" t="s">
        <v>5102</v>
      </c>
      <c r="C2308" s="6" t="s">
        <v>4975</v>
      </c>
      <c r="D2308" s="6" t="s">
        <v>9797</v>
      </c>
      <c r="E2308" s="6" t="s">
        <v>10480</v>
      </c>
      <c r="F2308" s="6" t="s">
        <v>10481</v>
      </c>
      <c r="G2308" s="19" t="n">
        <v>-41</v>
      </c>
      <c r="H2308" s="6" t="s">
        <v>5105</v>
      </c>
      <c r="I2308" s="6" t="s">
        <v>13</v>
      </c>
      <c r="J2308" s="6" t="s">
        <v>223</v>
      </c>
      <c r="K2308" s="6" t="s">
        <v>10142</v>
      </c>
      <c r="M2308" s="6"/>
    </row>
    <row r="2309" customFormat="false" ht="15" hidden="false" customHeight="false" outlineLevel="0" collapsed="false">
      <c r="A2309" s="6" t="s">
        <v>10482</v>
      </c>
      <c r="B2309" s="6" t="s">
        <v>5097</v>
      </c>
      <c r="C2309" s="6" t="s">
        <v>4975</v>
      </c>
      <c r="D2309" s="6" t="s">
        <v>9797</v>
      </c>
      <c r="E2309" s="6" t="s">
        <v>10480</v>
      </c>
      <c r="F2309" s="6" t="s">
        <v>10481</v>
      </c>
      <c r="G2309" s="19" t="n">
        <v>-29</v>
      </c>
      <c r="H2309" s="6" t="s">
        <v>5105</v>
      </c>
      <c r="I2309" s="6" t="s">
        <v>13</v>
      </c>
      <c r="J2309" s="6" t="s">
        <v>223</v>
      </c>
      <c r="K2309" s="6" t="s">
        <v>10142</v>
      </c>
      <c r="M2309" s="6"/>
    </row>
    <row r="2310" customFormat="false" ht="15" hidden="false" customHeight="false" outlineLevel="0" collapsed="false">
      <c r="A2310" s="6" t="s">
        <v>10483</v>
      </c>
      <c r="B2310" s="6" t="s">
        <v>5074</v>
      </c>
      <c r="C2310" s="6" t="s">
        <v>4975</v>
      </c>
      <c r="D2310" s="6" t="s">
        <v>9797</v>
      </c>
      <c r="E2310" s="6" t="s">
        <v>10480</v>
      </c>
      <c r="F2310" s="6" t="s">
        <v>10481</v>
      </c>
      <c r="G2310" s="19" t="n">
        <v>-5</v>
      </c>
      <c r="H2310" s="6" t="s">
        <v>5105</v>
      </c>
      <c r="I2310" s="6" t="s">
        <v>13</v>
      </c>
      <c r="J2310" s="6" t="s">
        <v>223</v>
      </c>
      <c r="K2310" s="6" t="s">
        <v>10142</v>
      </c>
      <c r="M2310" s="6"/>
    </row>
    <row r="2311" customFormat="false" ht="15" hidden="false" customHeight="false" outlineLevel="0" collapsed="false">
      <c r="A2311" s="6" t="s">
        <v>10484</v>
      </c>
      <c r="B2311" s="6" t="s">
        <v>5203</v>
      </c>
      <c r="C2311" s="6" t="s">
        <v>4975</v>
      </c>
      <c r="D2311" s="6" t="s">
        <v>9797</v>
      </c>
      <c r="E2311" s="6" t="s">
        <v>10485</v>
      </c>
      <c r="F2311" s="6" t="s">
        <v>10486</v>
      </c>
      <c r="G2311" s="19" t="n">
        <v>-93</v>
      </c>
      <c r="H2311" s="6" t="s">
        <v>5105</v>
      </c>
      <c r="I2311" s="6" t="s">
        <v>13</v>
      </c>
      <c r="J2311" s="6" t="s">
        <v>218</v>
      </c>
      <c r="K2311" s="6" t="s">
        <v>10138</v>
      </c>
      <c r="M2311" s="6"/>
    </row>
    <row r="2312" customFormat="false" ht="15" hidden="false" customHeight="false" outlineLevel="0" collapsed="false">
      <c r="A2312" s="6" t="s">
        <v>10487</v>
      </c>
      <c r="B2312" s="6" t="s">
        <v>5102</v>
      </c>
      <c r="C2312" s="6" t="s">
        <v>4975</v>
      </c>
      <c r="D2312" s="6" t="s">
        <v>9797</v>
      </c>
      <c r="E2312" s="6" t="s">
        <v>10485</v>
      </c>
      <c r="F2312" s="6" t="s">
        <v>10486</v>
      </c>
      <c r="G2312" s="19" t="n">
        <v>-41</v>
      </c>
      <c r="H2312" s="6" t="s">
        <v>5105</v>
      </c>
      <c r="I2312" s="6" t="s">
        <v>13</v>
      </c>
      <c r="J2312" s="6" t="s">
        <v>218</v>
      </c>
      <c r="K2312" s="6" t="s">
        <v>10138</v>
      </c>
      <c r="M2312" s="6"/>
    </row>
    <row r="2313" customFormat="false" ht="15" hidden="false" customHeight="false" outlineLevel="0" collapsed="false">
      <c r="A2313" s="6" t="s">
        <v>10488</v>
      </c>
      <c r="B2313" s="6" t="s">
        <v>5097</v>
      </c>
      <c r="C2313" s="6" t="s">
        <v>4975</v>
      </c>
      <c r="D2313" s="6" t="s">
        <v>9797</v>
      </c>
      <c r="E2313" s="6" t="s">
        <v>10485</v>
      </c>
      <c r="F2313" s="6" t="s">
        <v>10486</v>
      </c>
      <c r="G2313" s="19" t="n">
        <v>-29</v>
      </c>
      <c r="H2313" s="6" t="s">
        <v>5105</v>
      </c>
      <c r="I2313" s="6" t="s">
        <v>13</v>
      </c>
      <c r="J2313" s="6" t="s">
        <v>218</v>
      </c>
      <c r="K2313" s="6" t="s">
        <v>10138</v>
      </c>
      <c r="M2313" s="6"/>
    </row>
    <row r="2314" customFormat="false" ht="15" hidden="false" customHeight="false" outlineLevel="0" collapsed="false">
      <c r="A2314" s="6" t="s">
        <v>10489</v>
      </c>
      <c r="B2314" s="6" t="s">
        <v>5097</v>
      </c>
      <c r="C2314" s="6" t="s">
        <v>4975</v>
      </c>
      <c r="D2314" s="6" t="s">
        <v>9797</v>
      </c>
      <c r="E2314" s="6" t="s">
        <v>10490</v>
      </c>
      <c r="F2314" s="6" t="s">
        <v>10491</v>
      </c>
      <c r="G2314" s="19" t="n">
        <v>-29</v>
      </c>
      <c r="H2314" s="6" t="s">
        <v>5105</v>
      </c>
      <c r="I2314" s="6" t="s">
        <v>13</v>
      </c>
      <c r="J2314" s="6" t="s">
        <v>228</v>
      </c>
      <c r="K2314" s="6" t="s">
        <v>10147</v>
      </c>
      <c r="M2314" s="6"/>
    </row>
    <row r="2315" customFormat="false" ht="15" hidden="false" customHeight="false" outlineLevel="0" collapsed="false">
      <c r="A2315" s="6" t="s">
        <v>10492</v>
      </c>
      <c r="B2315" s="6" t="s">
        <v>5074</v>
      </c>
      <c r="C2315" s="6" t="s">
        <v>4975</v>
      </c>
      <c r="D2315" s="6" t="s">
        <v>9797</v>
      </c>
      <c r="E2315" s="6" t="s">
        <v>10490</v>
      </c>
      <c r="F2315" s="6" t="s">
        <v>10491</v>
      </c>
      <c r="G2315" s="19" t="n">
        <v>-5</v>
      </c>
      <c r="H2315" s="6" t="s">
        <v>5105</v>
      </c>
      <c r="I2315" s="6" t="s">
        <v>13</v>
      </c>
      <c r="J2315" s="6" t="s">
        <v>228</v>
      </c>
      <c r="K2315" s="6" t="s">
        <v>10147</v>
      </c>
      <c r="M2315" s="6"/>
    </row>
    <row r="2316" customFormat="false" ht="15" hidden="false" customHeight="false" outlineLevel="0" collapsed="false">
      <c r="A2316" s="6" t="s">
        <v>10493</v>
      </c>
      <c r="B2316" s="6" t="s">
        <v>5113</v>
      </c>
      <c r="C2316" s="6" t="s">
        <v>4975</v>
      </c>
      <c r="D2316" s="6" t="s">
        <v>9797</v>
      </c>
      <c r="E2316" s="6" t="s">
        <v>10490</v>
      </c>
      <c r="F2316" s="6" t="s">
        <v>10491</v>
      </c>
      <c r="G2316" s="19" t="n">
        <v>-3</v>
      </c>
      <c r="H2316" s="6" t="s">
        <v>5105</v>
      </c>
      <c r="I2316" s="6" t="s">
        <v>13</v>
      </c>
      <c r="J2316" s="6" t="s">
        <v>228</v>
      </c>
      <c r="K2316" s="6" t="s">
        <v>10147</v>
      </c>
      <c r="M2316" s="6"/>
    </row>
    <row r="2317" customFormat="false" ht="15" hidden="false" customHeight="false" outlineLevel="0" collapsed="false">
      <c r="A2317" s="6" t="s">
        <v>10494</v>
      </c>
      <c r="B2317" s="6" t="s">
        <v>5074</v>
      </c>
      <c r="C2317" s="6" t="s">
        <v>4975</v>
      </c>
      <c r="D2317" s="6" t="s">
        <v>9797</v>
      </c>
      <c r="E2317" s="6" t="s">
        <v>10495</v>
      </c>
      <c r="F2317" s="6" t="s">
        <v>10444</v>
      </c>
      <c r="H2317" s="6" t="s">
        <v>5122</v>
      </c>
      <c r="I2317" s="6" t="s">
        <v>13</v>
      </c>
      <c r="J2317" s="6" t="s">
        <v>223</v>
      </c>
      <c r="K2317" s="6" t="s">
        <v>10496</v>
      </c>
      <c r="M2317" s="6" t="s">
        <v>10446</v>
      </c>
    </row>
    <row r="2318" customFormat="false" ht="15" hidden="false" customHeight="false" outlineLevel="0" collapsed="false">
      <c r="A2318" s="6" t="s">
        <v>10497</v>
      </c>
      <c r="B2318" s="6" t="s">
        <v>5079</v>
      </c>
      <c r="C2318" s="6" t="s">
        <v>4975</v>
      </c>
      <c r="D2318" s="6" t="s">
        <v>9797</v>
      </c>
      <c r="E2318" s="6" t="s">
        <v>10495</v>
      </c>
      <c r="F2318" s="6" t="s">
        <v>10498</v>
      </c>
      <c r="H2318" s="6" t="s">
        <v>5122</v>
      </c>
      <c r="I2318" s="6" t="s">
        <v>13</v>
      </c>
      <c r="J2318" s="6" t="s">
        <v>233</v>
      </c>
      <c r="K2318" s="6" t="s">
        <v>10499</v>
      </c>
      <c r="M2318" s="6" t="s">
        <v>10446</v>
      </c>
    </row>
    <row r="2319" customFormat="false" ht="15" hidden="false" customHeight="false" outlineLevel="0" collapsed="false">
      <c r="A2319" s="6" t="s">
        <v>10500</v>
      </c>
      <c r="B2319" s="6" t="s">
        <v>5049</v>
      </c>
      <c r="C2319" s="6" t="s">
        <v>5050</v>
      </c>
      <c r="D2319" s="6" t="s">
        <v>9797</v>
      </c>
      <c r="E2319" s="6" t="s">
        <v>10501</v>
      </c>
      <c r="F2319" s="6" t="s">
        <v>10502</v>
      </c>
      <c r="G2319" s="12" t="n">
        <v>44924038</v>
      </c>
      <c r="H2319" s="6" t="s">
        <v>3739</v>
      </c>
      <c r="I2319" s="6" t="s">
        <v>13</v>
      </c>
      <c r="J2319" s="6" t="s">
        <v>209</v>
      </c>
      <c r="K2319" s="6" t="s">
        <v>9825</v>
      </c>
      <c r="M2319" s="6"/>
    </row>
    <row r="2320" customFormat="false" ht="15" hidden="false" customHeight="false" outlineLevel="0" collapsed="false">
      <c r="A2320" s="6" t="s">
        <v>10503</v>
      </c>
      <c r="B2320" s="6" t="s">
        <v>5062</v>
      </c>
      <c r="C2320" s="6" t="s">
        <v>5050</v>
      </c>
      <c r="D2320" s="6" t="s">
        <v>9797</v>
      </c>
      <c r="E2320" s="6" t="s">
        <v>10501</v>
      </c>
      <c r="F2320" s="6" t="s">
        <v>10504</v>
      </c>
      <c r="G2320" s="12" t="n">
        <v>48923903</v>
      </c>
      <c r="H2320" s="6" t="s">
        <v>3739</v>
      </c>
      <c r="I2320" s="6" t="s">
        <v>13</v>
      </c>
      <c r="J2320" s="6" t="s">
        <v>228</v>
      </c>
      <c r="K2320" s="6" t="s">
        <v>6075</v>
      </c>
      <c r="M2320" s="6"/>
    </row>
    <row r="2321" customFormat="false" ht="15" hidden="false" customHeight="false" outlineLevel="0" collapsed="false">
      <c r="A2321" s="6" t="s">
        <v>10505</v>
      </c>
      <c r="B2321" s="6" t="s">
        <v>5067</v>
      </c>
      <c r="C2321" s="6" t="s">
        <v>5050</v>
      </c>
      <c r="D2321" s="6" t="s">
        <v>9797</v>
      </c>
      <c r="E2321" s="6" t="s">
        <v>10501</v>
      </c>
      <c r="F2321" s="6" t="s">
        <v>10504</v>
      </c>
      <c r="G2321" s="12" t="n">
        <v>50773337</v>
      </c>
      <c r="H2321" s="6" t="s">
        <v>3739</v>
      </c>
      <c r="I2321" s="6" t="s">
        <v>13</v>
      </c>
      <c r="J2321" s="6" t="s">
        <v>228</v>
      </c>
      <c r="K2321" s="6" t="s">
        <v>6075</v>
      </c>
      <c r="M2321" s="6"/>
    </row>
    <row r="2322" customFormat="false" ht="15" hidden="false" customHeight="false" outlineLevel="0" collapsed="false">
      <c r="A2322" s="6" t="s">
        <v>10506</v>
      </c>
      <c r="B2322" s="6" t="s">
        <v>5057</v>
      </c>
      <c r="C2322" s="6" t="s">
        <v>5050</v>
      </c>
      <c r="D2322" s="6" t="s">
        <v>9797</v>
      </c>
      <c r="E2322" s="6" t="s">
        <v>6381</v>
      </c>
      <c r="F2322" s="6" t="s">
        <v>10507</v>
      </c>
      <c r="G2322" s="12" t="n">
        <v>47737868</v>
      </c>
      <c r="H2322" s="6" t="s">
        <v>3739</v>
      </c>
      <c r="I2322" s="6" t="s">
        <v>13</v>
      </c>
      <c r="J2322" s="6" t="s">
        <v>218</v>
      </c>
      <c r="K2322" s="6" t="s">
        <v>10508</v>
      </c>
      <c r="M2322" s="6"/>
    </row>
    <row r="2323" customFormat="false" ht="15" hidden="false" customHeight="false" outlineLevel="0" collapsed="false">
      <c r="A2323" s="6" t="s">
        <v>10509</v>
      </c>
      <c r="B2323" s="6" t="s">
        <v>5072</v>
      </c>
      <c r="C2323" s="6" t="s">
        <v>5050</v>
      </c>
      <c r="D2323" s="6" t="s">
        <v>9797</v>
      </c>
      <c r="E2323" s="6" t="s">
        <v>6381</v>
      </c>
      <c r="F2323" s="6" t="s">
        <v>10510</v>
      </c>
      <c r="G2323" s="12" t="n">
        <v>51160822</v>
      </c>
      <c r="H2323" s="6" t="s">
        <v>3739</v>
      </c>
      <c r="I2323" s="6" t="s">
        <v>13</v>
      </c>
      <c r="J2323" s="6" t="s">
        <v>233</v>
      </c>
      <c r="K2323" s="6" t="s">
        <v>10511</v>
      </c>
      <c r="M2323" s="6" t="s">
        <v>10512</v>
      </c>
    </row>
    <row r="2324" customFormat="false" ht="15" hidden="false" customHeight="false" outlineLevel="0" collapsed="false">
      <c r="A2324" s="6" t="s">
        <v>10513</v>
      </c>
      <c r="B2324" s="6" t="s">
        <v>5049</v>
      </c>
      <c r="C2324" s="6" t="s">
        <v>5050</v>
      </c>
      <c r="D2324" s="6" t="s">
        <v>9797</v>
      </c>
      <c r="E2324" s="6" t="s">
        <v>10514</v>
      </c>
      <c r="F2324" s="6" t="s">
        <v>10515</v>
      </c>
      <c r="G2324" s="19" t="n">
        <v>62</v>
      </c>
      <c r="H2324" s="6" t="s">
        <v>5122</v>
      </c>
      <c r="I2324" s="6" t="s">
        <v>13</v>
      </c>
      <c r="J2324" s="6" t="s">
        <v>209</v>
      </c>
      <c r="K2324" s="6" t="s">
        <v>10516</v>
      </c>
      <c r="M2324" s="6" t="s">
        <v>10517</v>
      </c>
    </row>
    <row r="2325" customFormat="false" ht="15" hidden="false" customHeight="false" outlineLevel="0" collapsed="false">
      <c r="A2325" s="6" t="s">
        <v>10518</v>
      </c>
      <c r="B2325" s="6" t="s">
        <v>6228</v>
      </c>
      <c r="C2325" s="6" t="s">
        <v>6229</v>
      </c>
      <c r="D2325" s="6" t="s">
        <v>9797</v>
      </c>
      <c r="E2325" s="6" t="s">
        <v>10519</v>
      </c>
      <c r="F2325" s="6" t="s">
        <v>10520</v>
      </c>
      <c r="G2325" s="19" t="n">
        <v>113.5</v>
      </c>
      <c r="H2325" s="6" t="s">
        <v>5105</v>
      </c>
      <c r="I2325" s="6" t="s">
        <v>13</v>
      </c>
      <c r="J2325" s="6" t="s">
        <v>310</v>
      </c>
      <c r="K2325" s="6" t="s">
        <v>6257</v>
      </c>
      <c r="M2325" s="6"/>
    </row>
    <row r="2326" customFormat="false" ht="15" hidden="false" customHeight="false" outlineLevel="0" collapsed="false">
      <c r="A2326" s="6" t="s">
        <v>10521</v>
      </c>
      <c r="B2326" s="6" t="s">
        <v>5102</v>
      </c>
      <c r="C2326" s="6" t="s">
        <v>4975</v>
      </c>
      <c r="D2326" s="6" t="s">
        <v>9797</v>
      </c>
      <c r="E2326" s="6" t="s">
        <v>10522</v>
      </c>
      <c r="F2326" s="6" t="s">
        <v>10523</v>
      </c>
      <c r="G2326" s="12" t="n">
        <v>6302344</v>
      </c>
      <c r="H2326" s="6" t="s">
        <v>3739</v>
      </c>
      <c r="I2326" s="6" t="s">
        <v>13</v>
      </c>
      <c r="J2326" s="6" t="s">
        <v>209</v>
      </c>
      <c r="K2326" s="6" t="s">
        <v>10524</v>
      </c>
      <c r="M2326" s="6"/>
    </row>
    <row r="2327" customFormat="false" ht="15" hidden="false" customHeight="false" outlineLevel="0" collapsed="false">
      <c r="A2327" s="6" t="s">
        <v>10525</v>
      </c>
      <c r="B2327" s="6" t="s">
        <v>5074</v>
      </c>
      <c r="C2327" s="6" t="s">
        <v>4975</v>
      </c>
      <c r="D2327" s="6" t="s">
        <v>9797</v>
      </c>
      <c r="E2327" s="6" t="s">
        <v>10526</v>
      </c>
      <c r="F2327" s="6" t="s">
        <v>10527</v>
      </c>
      <c r="G2327" s="12" t="n">
        <v>4294853</v>
      </c>
      <c r="H2327" s="6" t="s">
        <v>3739</v>
      </c>
      <c r="I2327" s="6" t="s">
        <v>13</v>
      </c>
      <c r="J2327" s="6" t="s">
        <v>223</v>
      </c>
      <c r="K2327" s="6" t="s">
        <v>10528</v>
      </c>
      <c r="M2327" s="6"/>
    </row>
    <row r="2328" customFormat="false" ht="15" hidden="false" customHeight="false" outlineLevel="0" collapsed="false">
      <c r="A2328" s="6" t="s">
        <v>10529</v>
      </c>
      <c r="B2328" s="6" t="s">
        <v>5102</v>
      </c>
      <c r="C2328" s="6" t="s">
        <v>4975</v>
      </c>
      <c r="D2328" s="6" t="s">
        <v>9797</v>
      </c>
      <c r="E2328" s="6" t="s">
        <v>10530</v>
      </c>
      <c r="F2328" s="6" t="s">
        <v>10531</v>
      </c>
      <c r="G2328" s="9" t="n">
        <v>1374</v>
      </c>
      <c r="H2328" s="6" t="s">
        <v>384</v>
      </c>
      <c r="I2328" s="6" t="s">
        <v>13</v>
      </c>
      <c r="J2328" s="6" t="s">
        <v>209</v>
      </c>
      <c r="K2328" s="6" t="s">
        <v>10532</v>
      </c>
      <c r="M2328" s="6"/>
    </row>
    <row r="2329" customFormat="false" ht="15" hidden="false" customHeight="false" outlineLevel="0" collapsed="false">
      <c r="A2329" s="6" t="s">
        <v>10533</v>
      </c>
      <c r="B2329" s="6" t="s">
        <v>5074</v>
      </c>
      <c r="C2329" s="6" t="s">
        <v>4975</v>
      </c>
      <c r="D2329" s="6" t="s">
        <v>9797</v>
      </c>
      <c r="E2329" s="6" t="s">
        <v>10534</v>
      </c>
      <c r="F2329" s="6" t="s">
        <v>10535</v>
      </c>
      <c r="G2329" s="9" t="n">
        <v>783</v>
      </c>
      <c r="H2329" s="6" t="s">
        <v>384</v>
      </c>
      <c r="I2329" s="6" t="s">
        <v>13</v>
      </c>
      <c r="J2329" s="6" t="s">
        <v>223</v>
      </c>
      <c r="K2329" s="6" t="s">
        <v>10536</v>
      </c>
      <c r="M2329" s="6"/>
    </row>
    <row r="2330" customFormat="false" ht="15" hidden="false" customHeight="false" outlineLevel="0" collapsed="false">
      <c r="A2330" s="6" t="s">
        <v>10537</v>
      </c>
      <c r="B2330" s="6" t="s">
        <v>10538</v>
      </c>
      <c r="C2330" s="6" t="s">
        <v>6248</v>
      </c>
      <c r="D2330" s="6" t="s">
        <v>9797</v>
      </c>
      <c r="E2330" s="6" t="s">
        <v>10539</v>
      </c>
      <c r="F2330" s="6" t="s">
        <v>10540</v>
      </c>
      <c r="G2330" s="13" t="n">
        <v>7</v>
      </c>
      <c r="H2330" s="6" t="s">
        <v>3751</v>
      </c>
      <c r="I2330" s="6" t="s">
        <v>13</v>
      </c>
      <c r="J2330" s="6" t="s">
        <v>310</v>
      </c>
      <c r="K2330" s="6" t="s">
        <v>10541</v>
      </c>
      <c r="M2330" s="6"/>
    </row>
    <row r="2331" customFormat="false" ht="15" hidden="false" customHeight="false" outlineLevel="0" collapsed="false">
      <c r="A2331" s="6" t="s">
        <v>10542</v>
      </c>
      <c r="B2331" s="6" t="s">
        <v>5304</v>
      </c>
      <c r="C2331" s="6" t="s">
        <v>6234</v>
      </c>
      <c r="D2331" s="6" t="s">
        <v>9797</v>
      </c>
      <c r="E2331" s="6" t="s">
        <v>10543</v>
      </c>
      <c r="F2331" s="6" t="s">
        <v>10544</v>
      </c>
      <c r="H2331" s="6" t="s">
        <v>7024</v>
      </c>
      <c r="I2331" s="6" t="s">
        <v>13</v>
      </c>
      <c r="J2331" s="6" t="s">
        <v>293</v>
      </c>
      <c r="K2331" s="6" t="s">
        <v>5308</v>
      </c>
      <c r="M2331" s="6"/>
    </row>
    <row r="2332" customFormat="false" ht="15" hidden="false" customHeight="false" outlineLevel="0" collapsed="false">
      <c r="A2332" s="6" t="s">
        <v>10545</v>
      </c>
      <c r="B2332" s="6" t="s">
        <v>10546</v>
      </c>
      <c r="C2332" s="6" t="s">
        <v>6234</v>
      </c>
      <c r="D2332" s="6" t="s">
        <v>9797</v>
      </c>
      <c r="E2332" s="6" t="s">
        <v>10547</v>
      </c>
      <c r="F2332" s="6" t="s">
        <v>10548</v>
      </c>
      <c r="H2332" s="6" t="s">
        <v>7024</v>
      </c>
      <c r="I2332" s="6" t="s">
        <v>13</v>
      </c>
      <c r="J2332" s="6" t="s">
        <v>310</v>
      </c>
      <c r="K2332" s="6" t="s">
        <v>10549</v>
      </c>
      <c r="M2332" s="6" t="s">
        <v>10550</v>
      </c>
    </row>
    <row r="2333" customFormat="false" ht="15" hidden="false" customHeight="false" outlineLevel="0" collapsed="false">
      <c r="A2333" s="6" t="s">
        <v>10551</v>
      </c>
      <c r="B2333" s="6" t="s">
        <v>201</v>
      </c>
      <c r="C2333" s="6" t="s">
        <v>8581</v>
      </c>
      <c r="D2333" s="6" t="s">
        <v>9797</v>
      </c>
      <c r="E2333" s="6" t="s">
        <v>10552</v>
      </c>
      <c r="F2333" s="6" t="s">
        <v>10553</v>
      </c>
      <c r="G2333" s="13" t="n">
        <v>351.3</v>
      </c>
      <c r="H2333" s="6" t="s">
        <v>3751</v>
      </c>
      <c r="I2333" s="6" t="s">
        <v>13</v>
      </c>
      <c r="J2333" s="6" t="s">
        <v>310</v>
      </c>
      <c r="K2333" s="6" t="s">
        <v>5411</v>
      </c>
      <c r="M2333" s="6"/>
    </row>
    <row r="2334" customFormat="false" ht="15" hidden="false" customHeight="false" outlineLevel="0" collapsed="false">
      <c r="A2334" s="6" t="s">
        <v>10554</v>
      </c>
      <c r="B2334" s="6" t="s">
        <v>201</v>
      </c>
      <c r="C2334" s="6" t="s">
        <v>8581</v>
      </c>
      <c r="D2334" s="6" t="s">
        <v>9797</v>
      </c>
      <c r="E2334" s="6" t="s">
        <v>10555</v>
      </c>
      <c r="F2334" s="6" t="s">
        <v>10556</v>
      </c>
      <c r="G2334" s="19" t="n">
        <v>24</v>
      </c>
      <c r="H2334" s="6" t="s">
        <v>5105</v>
      </c>
      <c r="I2334" s="6" t="s">
        <v>13</v>
      </c>
      <c r="J2334" s="6" t="s">
        <v>310</v>
      </c>
      <c r="K2334" s="6" t="s">
        <v>5411</v>
      </c>
      <c r="M2334" s="6"/>
    </row>
    <row r="2335" customFormat="false" ht="15" hidden="false" customHeight="false" outlineLevel="0" collapsed="false">
      <c r="A2335" s="6" t="s">
        <v>10557</v>
      </c>
      <c r="B2335" s="6" t="s">
        <v>5203</v>
      </c>
      <c r="C2335" s="6" t="s">
        <v>4975</v>
      </c>
      <c r="D2335" s="6" t="s">
        <v>9797</v>
      </c>
      <c r="E2335" s="6" t="s">
        <v>10558</v>
      </c>
      <c r="F2335" s="6" t="s">
        <v>10559</v>
      </c>
      <c r="G2335" s="19" t="n">
        <v>27</v>
      </c>
      <c r="H2335" s="6" t="s">
        <v>5105</v>
      </c>
      <c r="I2335" s="6" t="s">
        <v>13</v>
      </c>
      <c r="J2335" s="6" t="s">
        <v>218</v>
      </c>
      <c r="K2335" s="6" t="s">
        <v>10138</v>
      </c>
      <c r="M2335" s="6"/>
    </row>
    <row r="2336" customFormat="false" ht="15" hidden="false" customHeight="false" outlineLevel="0" collapsed="false">
      <c r="A2336" s="6" t="s">
        <v>10560</v>
      </c>
      <c r="B2336" s="6" t="s">
        <v>5102</v>
      </c>
      <c r="C2336" s="6" t="s">
        <v>4975</v>
      </c>
      <c r="D2336" s="6" t="s">
        <v>9797</v>
      </c>
      <c r="E2336" s="6" t="s">
        <v>10558</v>
      </c>
      <c r="F2336" s="6" t="s">
        <v>10559</v>
      </c>
      <c r="G2336" s="19" t="n">
        <v>24</v>
      </c>
      <c r="H2336" s="6" t="s">
        <v>5105</v>
      </c>
      <c r="I2336" s="6" t="s">
        <v>13</v>
      </c>
      <c r="J2336" s="6" t="s">
        <v>218</v>
      </c>
      <c r="K2336" s="6" t="s">
        <v>10138</v>
      </c>
      <c r="M2336" s="6"/>
    </row>
    <row r="2337" customFormat="false" ht="15" hidden="false" customHeight="false" outlineLevel="0" collapsed="false">
      <c r="A2337" s="6" t="s">
        <v>10561</v>
      </c>
      <c r="B2337" s="6" t="s">
        <v>5102</v>
      </c>
      <c r="C2337" s="6" t="s">
        <v>4975</v>
      </c>
      <c r="D2337" s="6" t="s">
        <v>9797</v>
      </c>
      <c r="E2337" s="6" t="s">
        <v>10558</v>
      </c>
      <c r="F2337" s="6" t="s">
        <v>10562</v>
      </c>
      <c r="G2337" s="19" t="n">
        <v>24</v>
      </c>
      <c r="H2337" s="6" t="s">
        <v>5105</v>
      </c>
      <c r="I2337" s="6" t="s">
        <v>13</v>
      </c>
      <c r="J2337" s="6" t="s">
        <v>223</v>
      </c>
      <c r="K2337" s="6" t="s">
        <v>10142</v>
      </c>
      <c r="M2337" s="6"/>
    </row>
    <row r="2338" customFormat="false" ht="15" hidden="false" customHeight="false" outlineLevel="0" collapsed="false">
      <c r="A2338" s="6" t="s">
        <v>10563</v>
      </c>
      <c r="B2338" s="6" t="s">
        <v>5097</v>
      </c>
      <c r="C2338" s="6" t="s">
        <v>4975</v>
      </c>
      <c r="D2338" s="6" t="s">
        <v>9797</v>
      </c>
      <c r="E2338" s="6" t="s">
        <v>10558</v>
      </c>
      <c r="F2338" s="6" t="s">
        <v>10559</v>
      </c>
      <c r="G2338" s="19" t="n">
        <v>24</v>
      </c>
      <c r="H2338" s="6" t="s">
        <v>5105</v>
      </c>
      <c r="I2338" s="6" t="s">
        <v>13</v>
      </c>
      <c r="J2338" s="6" t="s">
        <v>218</v>
      </c>
      <c r="K2338" s="6" t="s">
        <v>10138</v>
      </c>
      <c r="M2338" s="6"/>
    </row>
    <row r="2339" customFormat="false" ht="15" hidden="false" customHeight="false" outlineLevel="0" collapsed="false">
      <c r="A2339" s="6" t="s">
        <v>10564</v>
      </c>
      <c r="B2339" s="6" t="s">
        <v>5097</v>
      </c>
      <c r="C2339" s="6" t="s">
        <v>4975</v>
      </c>
      <c r="D2339" s="6" t="s">
        <v>9797</v>
      </c>
      <c r="E2339" s="6" t="s">
        <v>10558</v>
      </c>
      <c r="F2339" s="6" t="s">
        <v>10562</v>
      </c>
      <c r="G2339" s="19" t="n">
        <v>24</v>
      </c>
      <c r="H2339" s="6" t="s">
        <v>5105</v>
      </c>
      <c r="I2339" s="6" t="s">
        <v>13</v>
      </c>
      <c r="J2339" s="6" t="s">
        <v>223</v>
      </c>
      <c r="K2339" s="6" t="s">
        <v>10142</v>
      </c>
      <c r="M2339" s="6"/>
    </row>
    <row r="2340" customFormat="false" ht="15" hidden="false" customHeight="false" outlineLevel="0" collapsed="false">
      <c r="A2340" s="6" t="s">
        <v>10565</v>
      </c>
      <c r="B2340" s="6" t="s">
        <v>5097</v>
      </c>
      <c r="C2340" s="6" t="s">
        <v>4975</v>
      </c>
      <c r="D2340" s="6" t="s">
        <v>9797</v>
      </c>
      <c r="E2340" s="6" t="s">
        <v>10558</v>
      </c>
      <c r="F2340" s="6" t="s">
        <v>10566</v>
      </c>
      <c r="G2340" s="19" t="n">
        <v>24</v>
      </c>
      <c r="H2340" s="6" t="s">
        <v>5105</v>
      </c>
      <c r="I2340" s="6" t="s">
        <v>13</v>
      </c>
      <c r="J2340" s="6" t="s">
        <v>228</v>
      </c>
      <c r="K2340" s="6" t="s">
        <v>10147</v>
      </c>
      <c r="M2340" s="6"/>
    </row>
    <row r="2341" customFormat="false" ht="15" hidden="false" customHeight="false" outlineLevel="0" collapsed="false">
      <c r="A2341" s="6" t="s">
        <v>10567</v>
      </c>
      <c r="B2341" s="6" t="s">
        <v>5074</v>
      </c>
      <c r="C2341" s="6" t="s">
        <v>4975</v>
      </c>
      <c r="D2341" s="6" t="s">
        <v>9797</v>
      </c>
      <c r="E2341" s="6" t="s">
        <v>10558</v>
      </c>
      <c r="F2341" s="6" t="s">
        <v>10562</v>
      </c>
      <c r="G2341" s="19" t="n">
        <v>21</v>
      </c>
      <c r="H2341" s="6" t="s">
        <v>5105</v>
      </c>
      <c r="I2341" s="6" t="s">
        <v>13</v>
      </c>
      <c r="J2341" s="6" t="s">
        <v>223</v>
      </c>
      <c r="K2341" s="6" t="s">
        <v>10142</v>
      </c>
      <c r="M2341" s="6"/>
    </row>
    <row r="2342" customFormat="false" ht="15" hidden="false" customHeight="false" outlineLevel="0" collapsed="false">
      <c r="A2342" s="6" t="s">
        <v>10568</v>
      </c>
      <c r="B2342" s="6" t="s">
        <v>5074</v>
      </c>
      <c r="C2342" s="6" t="s">
        <v>4975</v>
      </c>
      <c r="D2342" s="6" t="s">
        <v>9797</v>
      </c>
      <c r="E2342" s="6" t="s">
        <v>10558</v>
      </c>
      <c r="F2342" s="6" t="s">
        <v>10566</v>
      </c>
      <c r="G2342" s="19" t="n">
        <v>21</v>
      </c>
      <c r="H2342" s="6" t="s">
        <v>5105</v>
      </c>
      <c r="I2342" s="6" t="s">
        <v>13</v>
      </c>
      <c r="J2342" s="6" t="s">
        <v>228</v>
      </c>
      <c r="K2342" s="6" t="s">
        <v>10147</v>
      </c>
      <c r="M2342" s="6"/>
    </row>
    <row r="2343" customFormat="false" ht="15" hidden="false" customHeight="false" outlineLevel="0" collapsed="false">
      <c r="A2343" s="6" t="s">
        <v>10569</v>
      </c>
      <c r="B2343" s="6" t="s">
        <v>5113</v>
      </c>
      <c r="C2343" s="6" t="s">
        <v>4975</v>
      </c>
      <c r="D2343" s="6" t="s">
        <v>9797</v>
      </c>
      <c r="E2343" s="6" t="s">
        <v>10558</v>
      </c>
      <c r="F2343" s="6" t="s">
        <v>10566</v>
      </c>
      <c r="G2343" s="19" t="n">
        <v>22</v>
      </c>
      <c r="H2343" s="6" t="s">
        <v>5105</v>
      </c>
      <c r="I2343" s="6" t="s">
        <v>13</v>
      </c>
      <c r="J2343" s="6" t="s">
        <v>228</v>
      </c>
      <c r="K2343" s="6" t="s">
        <v>10147</v>
      </c>
      <c r="M2343" s="6"/>
    </row>
    <row r="2344" customFormat="false" ht="15" hidden="false" customHeight="false" outlineLevel="0" collapsed="false">
      <c r="A2344" s="6" t="s">
        <v>10570</v>
      </c>
      <c r="B2344" s="6" t="s">
        <v>5315</v>
      </c>
      <c r="C2344" s="6" t="s">
        <v>5316</v>
      </c>
      <c r="D2344" s="6" t="s">
        <v>9797</v>
      </c>
      <c r="E2344" s="6" t="s">
        <v>10558</v>
      </c>
      <c r="F2344" s="6" t="s">
        <v>10571</v>
      </c>
      <c r="G2344" s="19" t="n">
        <v>21</v>
      </c>
      <c r="H2344" s="6" t="s">
        <v>5105</v>
      </c>
      <c r="I2344" s="6" t="s">
        <v>13</v>
      </c>
      <c r="J2344" s="6" t="s">
        <v>246</v>
      </c>
      <c r="K2344" s="6" t="s">
        <v>10572</v>
      </c>
      <c r="M2344" s="6" t="s">
        <v>10573</v>
      </c>
    </row>
    <row r="2345" customFormat="false" ht="15" hidden="false" customHeight="false" outlineLevel="0" collapsed="false">
      <c r="A2345" s="6" t="s">
        <v>10574</v>
      </c>
      <c r="B2345" s="6" t="s">
        <v>5320</v>
      </c>
      <c r="C2345" s="6" t="s">
        <v>5316</v>
      </c>
      <c r="D2345" s="6" t="s">
        <v>9797</v>
      </c>
      <c r="E2345" s="6" t="s">
        <v>10558</v>
      </c>
      <c r="F2345" s="6" t="s">
        <v>10575</v>
      </c>
      <c r="G2345" s="19" t="n">
        <v>27</v>
      </c>
      <c r="H2345" s="6" t="s">
        <v>5105</v>
      </c>
      <c r="I2345" s="6" t="s">
        <v>13</v>
      </c>
      <c r="J2345" s="6" t="s">
        <v>257</v>
      </c>
      <c r="K2345" s="6" t="s">
        <v>9903</v>
      </c>
      <c r="M2345" s="6" t="s">
        <v>10576</v>
      </c>
    </row>
    <row r="2346" customFormat="false" ht="15" hidden="false" customHeight="false" outlineLevel="0" collapsed="false">
      <c r="A2346" s="6" t="s">
        <v>10577</v>
      </c>
      <c r="B2346" s="6" t="s">
        <v>5325</v>
      </c>
      <c r="C2346" s="6" t="s">
        <v>5316</v>
      </c>
      <c r="D2346" s="6" t="s">
        <v>9797</v>
      </c>
      <c r="E2346" s="6" t="s">
        <v>10558</v>
      </c>
      <c r="F2346" s="6" t="s">
        <v>10578</v>
      </c>
      <c r="G2346" s="19" t="n">
        <v>27</v>
      </c>
      <c r="H2346" s="6" t="s">
        <v>5105</v>
      </c>
      <c r="I2346" s="6" t="s">
        <v>13</v>
      </c>
      <c r="J2346" s="6" t="s">
        <v>265</v>
      </c>
      <c r="K2346" s="6" t="s">
        <v>10159</v>
      </c>
      <c r="M2346" s="6" t="s">
        <v>10579</v>
      </c>
    </row>
    <row r="2347" customFormat="false" ht="15" hidden="false" customHeight="false" outlineLevel="0" collapsed="false">
      <c r="A2347" s="6" t="s">
        <v>10580</v>
      </c>
      <c r="B2347" s="6" t="s">
        <v>6032</v>
      </c>
      <c r="C2347" s="6" t="s">
        <v>4975</v>
      </c>
      <c r="D2347" s="6" t="s">
        <v>9797</v>
      </c>
      <c r="E2347" s="6" t="s">
        <v>10581</v>
      </c>
      <c r="F2347" s="6" t="s">
        <v>10582</v>
      </c>
      <c r="G2347" s="19" t="n">
        <v>32</v>
      </c>
      <c r="H2347" s="6" t="s">
        <v>5105</v>
      </c>
      <c r="I2347" s="6" t="s">
        <v>13</v>
      </c>
      <c r="J2347" s="6" t="s">
        <v>209</v>
      </c>
      <c r="K2347" s="6" t="s">
        <v>10583</v>
      </c>
      <c r="M2347" s="6" t="s">
        <v>10584</v>
      </c>
    </row>
    <row r="2348" customFormat="false" ht="15" hidden="false" customHeight="false" outlineLevel="0" collapsed="false">
      <c r="A2348" s="6" t="s">
        <v>10585</v>
      </c>
      <c r="B2348" s="6" t="s">
        <v>5203</v>
      </c>
      <c r="C2348" s="6" t="s">
        <v>4975</v>
      </c>
      <c r="D2348" s="6" t="s">
        <v>9797</v>
      </c>
      <c r="E2348" s="6" t="s">
        <v>10581</v>
      </c>
      <c r="F2348" s="6" t="s">
        <v>10582</v>
      </c>
      <c r="G2348" s="19" t="n">
        <v>27</v>
      </c>
      <c r="H2348" s="6" t="s">
        <v>5105</v>
      </c>
      <c r="I2348" s="6" t="s">
        <v>13</v>
      </c>
      <c r="J2348" s="6" t="s">
        <v>209</v>
      </c>
      <c r="K2348" s="6" t="s">
        <v>10583</v>
      </c>
      <c r="M2348" s="6" t="s">
        <v>10584</v>
      </c>
    </row>
    <row r="2349" customFormat="false" ht="15" hidden="false" customHeight="false" outlineLevel="0" collapsed="false">
      <c r="A2349" s="6" t="s">
        <v>10586</v>
      </c>
      <c r="B2349" s="6" t="s">
        <v>5102</v>
      </c>
      <c r="C2349" s="6" t="s">
        <v>4975</v>
      </c>
      <c r="D2349" s="6" t="s">
        <v>9797</v>
      </c>
      <c r="E2349" s="6" t="s">
        <v>10581</v>
      </c>
      <c r="F2349" s="6" t="s">
        <v>10582</v>
      </c>
      <c r="G2349" s="19" t="n">
        <v>24</v>
      </c>
      <c r="H2349" s="6" t="s">
        <v>5105</v>
      </c>
      <c r="I2349" s="6" t="s">
        <v>13</v>
      </c>
      <c r="J2349" s="6" t="s">
        <v>209</v>
      </c>
      <c r="K2349" s="6" t="s">
        <v>10583</v>
      </c>
      <c r="M2349" s="6" t="s">
        <v>10584</v>
      </c>
    </row>
    <row r="2350" customFormat="false" ht="15" hidden="false" customHeight="false" outlineLevel="0" collapsed="false">
      <c r="A2350" s="6" t="s">
        <v>10587</v>
      </c>
      <c r="B2350" s="6" t="s">
        <v>5245</v>
      </c>
      <c r="C2350" s="6" t="s">
        <v>5050</v>
      </c>
      <c r="D2350" s="6" t="s">
        <v>9797</v>
      </c>
      <c r="E2350" s="6" t="s">
        <v>10588</v>
      </c>
      <c r="F2350" s="6" t="s">
        <v>10589</v>
      </c>
      <c r="G2350" s="9" t="n">
        <v>81</v>
      </c>
      <c r="H2350" s="6" t="s">
        <v>384</v>
      </c>
      <c r="I2350" s="6" t="s">
        <v>13</v>
      </c>
      <c r="J2350" s="6" t="s">
        <v>253</v>
      </c>
      <c r="K2350" s="6" t="s">
        <v>10590</v>
      </c>
      <c r="M2350" s="6" t="s">
        <v>10591</v>
      </c>
    </row>
    <row r="2351" customFormat="false" ht="15" hidden="false" customHeight="false" outlineLevel="0" collapsed="false">
      <c r="A2351" s="6" t="s">
        <v>10592</v>
      </c>
      <c r="B2351" s="6" t="s">
        <v>5102</v>
      </c>
      <c r="C2351" s="6" t="s">
        <v>4975</v>
      </c>
      <c r="D2351" s="6" t="s">
        <v>9797</v>
      </c>
      <c r="E2351" s="6" t="s">
        <v>10593</v>
      </c>
      <c r="F2351" s="6" t="s">
        <v>10594</v>
      </c>
      <c r="G2351" s="9" t="n">
        <v>73686</v>
      </c>
      <c r="H2351" s="6" t="s">
        <v>384</v>
      </c>
      <c r="I2351" s="6" t="s">
        <v>13</v>
      </c>
      <c r="J2351" s="6" t="s">
        <v>223</v>
      </c>
      <c r="K2351" s="6" t="s">
        <v>9942</v>
      </c>
      <c r="M2351" s="6"/>
    </row>
    <row r="2352" customFormat="false" ht="15" hidden="false" customHeight="false" outlineLevel="0" collapsed="false">
      <c r="A2352" s="6" t="s">
        <v>10595</v>
      </c>
      <c r="B2352" s="6" t="s">
        <v>5097</v>
      </c>
      <c r="C2352" s="6" t="s">
        <v>4975</v>
      </c>
      <c r="D2352" s="6" t="s">
        <v>9797</v>
      </c>
      <c r="E2352" s="6" t="s">
        <v>10593</v>
      </c>
      <c r="F2352" s="6" t="s">
        <v>10594</v>
      </c>
      <c r="G2352" s="9" t="n">
        <v>127047</v>
      </c>
      <c r="H2352" s="6" t="s">
        <v>384</v>
      </c>
      <c r="I2352" s="6" t="s">
        <v>13</v>
      </c>
      <c r="J2352" s="6" t="s">
        <v>223</v>
      </c>
      <c r="K2352" s="6" t="s">
        <v>9942</v>
      </c>
      <c r="M2352" s="6"/>
    </row>
    <row r="2353" customFormat="false" ht="15" hidden="false" customHeight="false" outlineLevel="0" collapsed="false">
      <c r="A2353" s="6" t="s">
        <v>10596</v>
      </c>
      <c r="B2353" s="6" t="s">
        <v>5097</v>
      </c>
      <c r="C2353" s="6" t="s">
        <v>4975</v>
      </c>
      <c r="D2353" s="6" t="s">
        <v>9797</v>
      </c>
      <c r="E2353" s="6" t="s">
        <v>10593</v>
      </c>
      <c r="F2353" s="6" t="s">
        <v>10597</v>
      </c>
      <c r="G2353" s="9" t="n">
        <v>127047</v>
      </c>
      <c r="H2353" s="6" t="s">
        <v>384</v>
      </c>
      <c r="I2353" s="6" t="s">
        <v>13</v>
      </c>
      <c r="J2353" s="6" t="s">
        <v>228</v>
      </c>
      <c r="K2353" s="6" t="s">
        <v>9954</v>
      </c>
      <c r="M2353" s="6"/>
    </row>
    <row r="2354" customFormat="false" ht="15" hidden="false" customHeight="false" outlineLevel="0" collapsed="false">
      <c r="A2354" s="6" t="s">
        <v>10598</v>
      </c>
      <c r="B2354" s="6" t="s">
        <v>5074</v>
      </c>
      <c r="C2354" s="6" t="s">
        <v>4975</v>
      </c>
      <c r="D2354" s="6" t="s">
        <v>9797</v>
      </c>
      <c r="E2354" s="6" t="s">
        <v>10593</v>
      </c>
      <c r="F2354" s="6" t="s">
        <v>10594</v>
      </c>
      <c r="G2354" s="9" t="n">
        <v>156500</v>
      </c>
      <c r="H2354" s="6" t="s">
        <v>384</v>
      </c>
      <c r="I2354" s="6" t="s">
        <v>13</v>
      </c>
      <c r="J2354" s="6" t="s">
        <v>223</v>
      </c>
      <c r="K2354" s="6" t="s">
        <v>9942</v>
      </c>
      <c r="M2354" s="6"/>
    </row>
    <row r="2355" customFormat="false" ht="15" hidden="false" customHeight="false" outlineLevel="0" collapsed="false">
      <c r="A2355" s="6" t="s">
        <v>10599</v>
      </c>
      <c r="B2355" s="6" t="s">
        <v>5074</v>
      </c>
      <c r="C2355" s="6" t="s">
        <v>4975</v>
      </c>
      <c r="D2355" s="6" t="s">
        <v>9797</v>
      </c>
      <c r="E2355" s="6" t="s">
        <v>10593</v>
      </c>
      <c r="F2355" s="6" t="s">
        <v>10597</v>
      </c>
      <c r="G2355" s="9" t="n">
        <v>156500</v>
      </c>
      <c r="H2355" s="6" t="s">
        <v>384</v>
      </c>
      <c r="I2355" s="6" t="s">
        <v>13</v>
      </c>
      <c r="J2355" s="6" t="s">
        <v>228</v>
      </c>
      <c r="K2355" s="6" t="s">
        <v>9954</v>
      </c>
      <c r="M2355" s="6"/>
    </row>
    <row r="2356" customFormat="false" ht="15" hidden="false" customHeight="false" outlineLevel="0" collapsed="false">
      <c r="A2356" s="6" t="s">
        <v>10600</v>
      </c>
      <c r="B2356" s="6" t="s">
        <v>5113</v>
      </c>
      <c r="C2356" s="6" t="s">
        <v>4975</v>
      </c>
      <c r="D2356" s="6" t="s">
        <v>9797</v>
      </c>
      <c r="E2356" s="6" t="s">
        <v>10593</v>
      </c>
      <c r="F2356" s="6" t="s">
        <v>10597</v>
      </c>
      <c r="G2356" s="9" t="n">
        <v>213709</v>
      </c>
      <c r="H2356" s="6" t="s">
        <v>384</v>
      </c>
      <c r="I2356" s="6" t="s">
        <v>13</v>
      </c>
      <c r="J2356" s="6" t="s">
        <v>228</v>
      </c>
      <c r="K2356" s="6" t="s">
        <v>9954</v>
      </c>
      <c r="M2356" s="6"/>
    </row>
    <row r="2357" customFormat="false" ht="15" hidden="false" customHeight="false" outlineLevel="0" collapsed="false">
      <c r="A2357" s="6" t="s">
        <v>10601</v>
      </c>
      <c r="B2357" s="6" t="s">
        <v>5320</v>
      </c>
      <c r="C2357" s="6" t="s">
        <v>5316</v>
      </c>
      <c r="D2357" s="6" t="s">
        <v>9797</v>
      </c>
      <c r="E2357" s="6" t="s">
        <v>10593</v>
      </c>
      <c r="F2357" s="6" t="s">
        <v>10602</v>
      </c>
      <c r="G2357" s="9" t="n">
        <v>156424</v>
      </c>
      <c r="H2357" s="6" t="s">
        <v>384</v>
      </c>
      <c r="I2357" s="6" t="s">
        <v>13</v>
      </c>
      <c r="J2357" s="6" t="s">
        <v>253</v>
      </c>
      <c r="K2357" s="6" t="s">
        <v>5828</v>
      </c>
      <c r="M2357" s="6"/>
    </row>
    <row r="2358" customFormat="false" ht="15" hidden="false" customHeight="false" outlineLevel="0" collapsed="false">
      <c r="A2358" s="6" t="s">
        <v>10603</v>
      </c>
      <c r="B2358" s="6" t="s">
        <v>5325</v>
      </c>
      <c r="C2358" s="6" t="s">
        <v>5316</v>
      </c>
      <c r="D2358" s="6" t="s">
        <v>9797</v>
      </c>
      <c r="E2358" s="6" t="s">
        <v>10593</v>
      </c>
      <c r="F2358" s="6" t="s">
        <v>10604</v>
      </c>
      <c r="G2358" s="9" t="n">
        <v>191327</v>
      </c>
      <c r="H2358" s="6" t="s">
        <v>384</v>
      </c>
      <c r="I2358" s="6" t="s">
        <v>13</v>
      </c>
      <c r="J2358" s="6" t="s">
        <v>261</v>
      </c>
      <c r="K2358" s="6" t="s">
        <v>5831</v>
      </c>
      <c r="M2358" s="6"/>
    </row>
    <row r="2359" customFormat="false" ht="15" hidden="false" customHeight="false" outlineLevel="0" collapsed="false">
      <c r="A2359" s="6" t="s">
        <v>10605</v>
      </c>
      <c r="B2359" s="6" t="s">
        <v>6032</v>
      </c>
      <c r="C2359" s="6" t="s">
        <v>4975</v>
      </c>
      <c r="D2359" s="6" t="s">
        <v>9797</v>
      </c>
      <c r="E2359" s="6" t="s">
        <v>10606</v>
      </c>
      <c r="F2359" s="6" t="s">
        <v>10607</v>
      </c>
      <c r="G2359" s="9" t="n">
        <v>24637</v>
      </c>
      <c r="H2359" s="6" t="s">
        <v>384</v>
      </c>
      <c r="I2359" s="6" t="s">
        <v>13</v>
      </c>
      <c r="J2359" s="6" t="s">
        <v>209</v>
      </c>
      <c r="K2359" s="6" t="s">
        <v>9942</v>
      </c>
      <c r="M2359" s="6"/>
    </row>
    <row r="2360" customFormat="false" ht="15" hidden="false" customHeight="false" outlineLevel="0" collapsed="false">
      <c r="A2360" s="6" t="s">
        <v>10608</v>
      </c>
      <c r="B2360" s="6" t="s">
        <v>5203</v>
      </c>
      <c r="C2360" s="6" t="s">
        <v>4975</v>
      </c>
      <c r="D2360" s="6" t="s">
        <v>9797</v>
      </c>
      <c r="E2360" s="6" t="s">
        <v>10606</v>
      </c>
      <c r="F2360" s="6" t="s">
        <v>10607</v>
      </c>
      <c r="G2360" s="9" t="n">
        <v>43480</v>
      </c>
      <c r="H2360" s="6" t="s">
        <v>384</v>
      </c>
      <c r="I2360" s="6" t="s">
        <v>13</v>
      </c>
      <c r="J2360" s="6" t="s">
        <v>209</v>
      </c>
      <c r="K2360" s="6" t="s">
        <v>9942</v>
      </c>
      <c r="M2360" s="6"/>
    </row>
    <row r="2361" customFormat="false" ht="15" hidden="false" customHeight="false" outlineLevel="0" collapsed="false">
      <c r="A2361" s="6" t="s">
        <v>10609</v>
      </c>
      <c r="B2361" s="6" t="s">
        <v>5203</v>
      </c>
      <c r="C2361" s="6" t="s">
        <v>4975</v>
      </c>
      <c r="D2361" s="6" t="s">
        <v>9797</v>
      </c>
      <c r="E2361" s="6" t="s">
        <v>10606</v>
      </c>
      <c r="F2361" s="6" t="s">
        <v>10610</v>
      </c>
      <c r="G2361" s="9" t="n">
        <v>43480</v>
      </c>
      <c r="H2361" s="6" t="s">
        <v>384</v>
      </c>
      <c r="I2361" s="6" t="s">
        <v>13</v>
      </c>
      <c r="J2361" s="6" t="s">
        <v>218</v>
      </c>
      <c r="K2361" s="6" t="s">
        <v>9942</v>
      </c>
      <c r="M2361" s="6"/>
    </row>
    <row r="2362" customFormat="false" ht="15" hidden="false" customHeight="false" outlineLevel="0" collapsed="false">
      <c r="A2362" s="6" t="s">
        <v>10611</v>
      </c>
      <c r="B2362" s="6" t="s">
        <v>5102</v>
      </c>
      <c r="C2362" s="6" t="s">
        <v>4975</v>
      </c>
      <c r="D2362" s="6" t="s">
        <v>9797</v>
      </c>
      <c r="E2362" s="6" t="s">
        <v>10606</v>
      </c>
      <c r="F2362" s="6" t="s">
        <v>10607</v>
      </c>
      <c r="G2362" s="9" t="n">
        <v>73686</v>
      </c>
      <c r="H2362" s="6" t="s">
        <v>384</v>
      </c>
      <c r="I2362" s="6" t="s">
        <v>13</v>
      </c>
      <c r="J2362" s="6" t="s">
        <v>209</v>
      </c>
      <c r="K2362" s="6" t="s">
        <v>9942</v>
      </c>
      <c r="M2362" s="6"/>
    </row>
    <row r="2363" customFormat="false" ht="15" hidden="false" customHeight="false" outlineLevel="0" collapsed="false">
      <c r="A2363" s="6" t="s">
        <v>10612</v>
      </c>
      <c r="B2363" s="6" t="s">
        <v>5102</v>
      </c>
      <c r="C2363" s="6" t="s">
        <v>4975</v>
      </c>
      <c r="D2363" s="6" t="s">
        <v>9797</v>
      </c>
      <c r="E2363" s="6" t="s">
        <v>10606</v>
      </c>
      <c r="F2363" s="6" t="s">
        <v>10610</v>
      </c>
      <c r="G2363" s="9" t="n">
        <v>73686</v>
      </c>
      <c r="H2363" s="6" t="s">
        <v>384</v>
      </c>
      <c r="I2363" s="6" t="s">
        <v>13</v>
      </c>
      <c r="J2363" s="6" t="s">
        <v>218</v>
      </c>
      <c r="K2363" s="6" t="s">
        <v>9942</v>
      </c>
      <c r="M2363" s="6"/>
    </row>
    <row r="2364" customFormat="false" ht="15" hidden="false" customHeight="false" outlineLevel="0" collapsed="false">
      <c r="A2364" s="6" t="s">
        <v>10613</v>
      </c>
      <c r="B2364" s="6" t="s">
        <v>5097</v>
      </c>
      <c r="C2364" s="6" t="s">
        <v>4975</v>
      </c>
      <c r="D2364" s="6" t="s">
        <v>9797</v>
      </c>
      <c r="E2364" s="6" t="s">
        <v>10606</v>
      </c>
      <c r="F2364" s="6" t="s">
        <v>10610</v>
      </c>
      <c r="G2364" s="9" t="n">
        <v>127047</v>
      </c>
      <c r="H2364" s="6" t="s">
        <v>384</v>
      </c>
      <c r="I2364" s="6" t="s">
        <v>13</v>
      </c>
      <c r="J2364" s="6" t="s">
        <v>218</v>
      </c>
      <c r="K2364" s="6" t="s">
        <v>9942</v>
      </c>
      <c r="M2364" s="6"/>
    </row>
    <row r="2365" customFormat="false" ht="15" hidden="false" customHeight="false" outlineLevel="0" collapsed="false">
      <c r="A2365" s="6" t="s">
        <v>10614</v>
      </c>
      <c r="B2365" s="6" t="s">
        <v>5074</v>
      </c>
      <c r="C2365" s="6" t="s">
        <v>4975</v>
      </c>
      <c r="D2365" s="6" t="s">
        <v>9797</v>
      </c>
      <c r="E2365" s="6" t="s">
        <v>10606</v>
      </c>
      <c r="F2365" s="6" t="s">
        <v>10615</v>
      </c>
      <c r="G2365" s="9" t="n">
        <v>156500</v>
      </c>
      <c r="H2365" s="6" t="s">
        <v>384</v>
      </c>
      <c r="I2365" s="6" t="s">
        <v>13</v>
      </c>
      <c r="J2365" s="6" t="s">
        <v>233</v>
      </c>
      <c r="K2365" s="6" t="s">
        <v>9403</v>
      </c>
      <c r="M2365" s="6"/>
    </row>
    <row r="2366" customFormat="false" ht="15" hidden="false" customHeight="false" outlineLevel="0" collapsed="false">
      <c r="A2366" s="6" t="s">
        <v>10616</v>
      </c>
      <c r="B2366" s="6" t="s">
        <v>5113</v>
      </c>
      <c r="C2366" s="6" t="s">
        <v>4975</v>
      </c>
      <c r="D2366" s="6" t="s">
        <v>9797</v>
      </c>
      <c r="E2366" s="6" t="s">
        <v>10606</v>
      </c>
      <c r="F2366" s="6" t="s">
        <v>10615</v>
      </c>
      <c r="G2366" s="9" t="n">
        <v>213709</v>
      </c>
      <c r="H2366" s="6" t="s">
        <v>384</v>
      </c>
      <c r="I2366" s="6" t="s">
        <v>13</v>
      </c>
      <c r="J2366" s="6" t="s">
        <v>233</v>
      </c>
      <c r="K2366" s="6" t="s">
        <v>9403</v>
      </c>
      <c r="M2366" s="6"/>
    </row>
    <row r="2367" customFormat="false" ht="15" hidden="false" customHeight="false" outlineLevel="0" collapsed="false">
      <c r="A2367" s="6" t="s">
        <v>10617</v>
      </c>
      <c r="B2367" s="6" t="s">
        <v>5079</v>
      </c>
      <c r="C2367" s="6" t="s">
        <v>4975</v>
      </c>
      <c r="D2367" s="6" t="s">
        <v>9797</v>
      </c>
      <c r="E2367" s="6" t="s">
        <v>10606</v>
      </c>
      <c r="F2367" s="6" t="s">
        <v>10615</v>
      </c>
      <c r="G2367" s="9" t="n">
        <v>320799</v>
      </c>
      <c r="H2367" s="6" t="s">
        <v>384</v>
      </c>
      <c r="I2367" s="6" t="s">
        <v>13</v>
      </c>
      <c r="J2367" s="6" t="s">
        <v>233</v>
      </c>
      <c r="K2367" s="6" t="s">
        <v>9403</v>
      </c>
      <c r="M2367" s="6"/>
    </row>
    <row r="2368" customFormat="false" ht="15" hidden="false" customHeight="false" outlineLevel="0" collapsed="false">
      <c r="A2368" s="6" t="s">
        <v>10618</v>
      </c>
      <c r="B2368" s="6" t="s">
        <v>5519</v>
      </c>
      <c r="C2368" s="6" t="s">
        <v>5316</v>
      </c>
      <c r="D2368" s="6" t="s">
        <v>9797</v>
      </c>
      <c r="E2368" s="6" t="s">
        <v>10606</v>
      </c>
      <c r="F2368" s="6" t="s">
        <v>10619</v>
      </c>
      <c r="G2368" s="9" t="n">
        <v>76169</v>
      </c>
      <c r="H2368" s="6" t="s">
        <v>384</v>
      </c>
      <c r="I2368" s="6" t="s">
        <v>13</v>
      </c>
      <c r="J2368" s="6" t="s">
        <v>238</v>
      </c>
      <c r="K2368" s="6" t="s">
        <v>5824</v>
      </c>
      <c r="M2368" s="6"/>
    </row>
    <row r="2369" customFormat="false" ht="15" hidden="false" customHeight="false" outlineLevel="0" collapsed="false">
      <c r="A2369" s="6" t="s">
        <v>10620</v>
      </c>
      <c r="B2369" s="6" t="s">
        <v>5315</v>
      </c>
      <c r="C2369" s="6" t="s">
        <v>5316</v>
      </c>
      <c r="D2369" s="6" t="s">
        <v>9797</v>
      </c>
      <c r="E2369" s="6" t="s">
        <v>10606</v>
      </c>
      <c r="F2369" s="6" t="s">
        <v>10619</v>
      </c>
      <c r="G2369" s="9" t="n">
        <v>94868</v>
      </c>
      <c r="H2369" s="6" t="s">
        <v>384</v>
      </c>
      <c r="I2369" s="6" t="s">
        <v>13</v>
      </c>
      <c r="J2369" s="6" t="s">
        <v>238</v>
      </c>
      <c r="K2369" s="6" t="s">
        <v>5824</v>
      </c>
      <c r="M2369" s="6"/>
    </row>
    <row r="2370" customFormat="false" ht="15" hidden="false" customHeight="false" outlineLevel="0" collapsed="false">
      <c r="A2370" s="6" t="s">
        <v>10621</v>
      </c>
      <c r="B2370" s="6" t="s">
        <v>5325</v>
      </c>
      <c r="C2370" s="6" t="s">
        <v>5316</v>
      </c>
      <c r="D2370" s="6" t="s">
        <v>9797</v>
      </c>
      <c r="E2370" s="6" t="s">
        <v>10622</v>
      </c>
      <c r="F2370" s="6" t="s">
        <v>10623</v>
      </c>
      <c r="G2370" s="9" t="n">
        <v>21436</v>
      </c>
      <c r="H2370" s="6" t="s">
        <v>384</v>
      </c>
      <c r="I2370" s="6" t="s">
        <v>13</v>
      </c>
      <c r="J2370" s="6" t="s">
        <v>261</v>
      </c>
      <c r="K2370" s="6" t="s">
        <v>5831</v>
      </c>
      <c r="M2370" s="6"/>
    </row>
    <row r="2371" customFormat="false" ht="15" hidden="false" customHeight="false" outlineLevel="0" collapsed="false">
      <c r="A2371" s="6" t="s">
        <v>10624</v>
      </c>
      <c r="B2371" s="6" t="s">
        <v>5325</v>
      </c>
      <c r="C2371" s="6" t="s">
        <v>5316</v>
      </c>
      <c r="D2371" s="6" t="s">
        <v>9797</v>
      </c>
      <c r="E2371" s="6" t="s">
        <v>10625</v>
      </c>
      <c r="F2371" s="6" t="s">
        <v>10626</v>
      </c>
      <c r="G2371" s="19" t="n">
        <v>3</v>
      </c>
      <c r="H2371" s="6" t="s">
        <v>5105</v>
      </c>
      <c r="I2371" s="6" t="s">
        <v>13</v>
      </c>
      <c r="J2371" s="6" t="s">
        <v>265</v>
      </c>
      <c r="K2371" s="6" t="s">
        <v>10159</v>
      </c>
      <c r="M2371" s="6" t="s">
        <v>10627</v>
      </c>
    </row>
    <row r="2372" customFormat="false" ht="15" hidden="false" customHeight="false" outlineLevel="0" collapsed="false">
      <c r="A2372" s="6" t="s">
        <v>10628</v>
      </c>
      <c r="B2372" s="6" t="s">
        <v>6032</v>
      </c>
      <c r="C2372" s="6" t="s">
        <v>4975</v>
      </c>
      <c r="D2372" s="6" t="s">
        <v>9797</v>
      </c>
      <c r="E2372" s="6" t="s">
        <v>382</v>
      </c>
      <c r="F2372" s="6" t="s">
        <v>10629</v>
      </c>
      <c r="G2372" s="9" t="n">
        <v>78089</v>
      </c>
      <c r="H2372" s="6" t="s">
        <v>384</v>
      </c>
      <c r="I2372" s="6" t="s">
        <v>13</v>
      </c>
      <c r="J2372" s="6" t="s">
        <v>209</v>
      </c>
      <c r="K2372" s="6" t="s">
        <v>9942</v>
      </c>
      <c r="M2372" s="6"/>
    </row>
    <row r="2373" customFormat="false" ht="15" hidden="false" customHeight="false" outlineLevel="0" collapsed="false">
      <c r="A2373" s="6" t="s">
        <v>10630</v>
      </c>
      <c r="B2373" s="6" t="s">
        <v>5203</v>
      </c>
      <c r="C2373" s="6" t="s">
        <v>4975</v>
      </c>
      <c r="D2373" s="6" t="s">
        <v>9797</v>
      </c>
      <c r="E2373" s="6" t="s">
        <v>382</v>
      </c>
      <c r="F2373" s="6" t="s">
        <v>10629</v>
      </c>
      <c r="G2373" s="9" t="n">
        <v>161123</v>
      </c>
      <c r="H2373" s="6" t="s">
        <v>384</v>
      </c>
      <c r="I2373" s="6" t="s">
        <v>13</v>
      </c>
      <c r="J2373" s="6" t="s">
        <v>209</v>
      </c>
      <c r="K2373" s="6" t="s">
        <v>9942</v>
      </c>
      <c r="M2373" s="6"/>
    </row>
    <row r="2374" customFormat="false" ht="15" hidden="false" customHeight="false" outlineLevel="0" collapsed="false">
      <c r="A2374" s="6" t="s">
        <v>10631</v>
      </c>
      <c r="B2374" s="6" t="s">
        <v>5203</v>
      </c>
      <c r="C2374" s="6" t="s">
        <v>4975</v>
      </c>
      <c r="D2374" s="6" t="s">
        <v>9797</v>
      </c>
      <c r="E2374" s="6" t="s">
        <v>382</v>
      </c>
      <c r="F2374" s="6" t="s">
        <v>10632</v>
      </c>
      <c r="G2374" s="9" t="n">
        <v>161123</v>
      </c>
      <c r="H2374" s="6" t="s">
        <v>384</v>
      </c>
      <c r="I2374" s="6" t="s">
        <v>13</v>
      </c>
      <c r="J2374" s="6" t="s">
        <v>218</v>
      </c>
      <c r="K2374" s="6" t="s">
        <v>9942</v>
      </c>
      <c r="M2374" s="6"/>
    </row>
    <row r="2375" customFormat="false" ht="15" hidden="false" customHeight="false" outlineLevel="0" collapsed="false">
      <c r="A2375" s="6" t="s">
        <v>10633</v>
      </c>
      <c r="B2375" s="6" t="s">
        <v>5102</v>
      </c>
      <c r="C2375" s="6" t="s">
        <v>4975</v>
      </c>
      <c r="D2375" s="6" t="s">
        <v>9797</v>
      </c>
      <c r="E2375" s="6" t="s">
        <v>382</v>
      </c>
      <c r="F2375" s="6" t="s">
        <v>10629</v>
      </c>
      <c r="G2375" s="9" t="n">
        <v>308150</v>
      </c>
      <c r="H2375" s="6" t="s">
        <v>384</v>
      </c>
      <c r="I2375" s="6" t="s">
        <v>13</v>
      </c>
      <c r="J2375" s="6" t="s">
        <v>209</v>
      </c>
      <c r="K2375" s="6" t="s">
        <v>9942</v>
      </c>
      <c r="M2375" s="6"/>
    </row>
    <row r="2376" customFormat="false" ht="15" hidden="false" customHeight="false" outlineLevel="0" collapsed="false">
      <c r="A2376" s="6" t="s">
        <v>10634</v>
      </c>
      <c r="B2376" s="6" t="s">
        <v>5102</v>
      </c>
      <c r="C2376" s="6" t="s">
        <v>4975</v>
      </c>
      <c r="D2376" s="6" t="s">
        <v>9797</v>
      </c>
      <c r="E2376" s="6" t="s">
        <v>382</v>
      </c>
      <c r="F2376" s="6" t="s">
        <v>10632</v>
      </c>
      <c r="G2376" s="9" t="n">
        <v>308150</v>
      </c>
      <c r="H2376" s="6" t="s">
        <v>384</v>
      </c>
      <c r="I2376" s="6" t="s">
        <v>13</v>
      </c>
      <c r="J2376" s="6" t="s">
        <v>218</v>
      </c>
      <c r="K2376" s="6" t="s">
        <v>9942</v>
      </c>
      <c r="M2376" s="6"/>
    </row>
    <row r="2377" customFormat="false" ht="15" hidden="false" customHeight="false" outlineLevel="0" collapsed="false">
      <c r="A2377" s="6" t="s">
        <v>10635</v>
      </c>
      <c r="B2377" s="6" t="s">
        <v>5102</v>
      </c>
      <c r="C2377" s="6" t="s">
        <v>4975</v>
      </c>
      <c r="D2377" s="6" t="s">
        <v>9797</v>
      </c>
      <c r="E2377" s="6" t="s">
        <v>382</v>
      </c>
      <c r="F2377" s="6" t="s">
        <v>10636</v>
      </c>
      <c r="G2377" s="9" t="n">
        <v>308150</v>
      </c>
      <c r="H2377" s="6" t="s">
        <v>384</v>
      </c>
      <c r="I2377" s="6" t="s">
        <v>13</v>
      </c>
      <c r="J2377" s="6" t="s">
        <v>223</v>
      </c>
      <c r="K2377" s="6" t="s">
        <v>9942</v>
      </c>
      <c r="M2377" s="6"/>
    </row>
    <row r="2378" customFormat="false" ht="15" hidden="false" customHeight="false" outlineLevel="0" collapsed="false">
      <c r="A2378" s="6" t="s">
        <v>10637</v>
      </c>
      <c r="B2378" s="6" t="s">
        <v>5097</v>
      </c>
      <c r="C2378" s="6" t="s">
        <v>4975</v>
      </c>
      <c r="D2378" s="6" t="s">
        <v>9797</v>
      </c>
      <c r="E2378" s="6" t="s">
        <v>382</v>
      </c>
      <c r="F2378" s="6" t="s">
        <v>10632</v>
      </c>
      <c r="G2378" s="9" t="n">
        <v>519029</v>
      </c>
      <c r="H2378" s="6" t="s">
        <v>384</v>
      </c>
      <c r="I2378" s="6" t="s">
        <v>13</v>
      </c>
      <c r="J2378" s="6" t="s">
        <v>218</v>
      </c>
      <c r="K2378" s="6" t="s">
        <v>9942</v>
      </c>
      <c r="M2378" s="6"/>
    </row>
    <row r="2379" customFormat="false" ht="15" hidden="false" customHeight="false" outlineLevel="0" collapsed="false">
      <c r="A2379" s="6" t="s">
        <v>10638</v>
      </c>
      <c r="B2379" s="6" t="s">
        <v>5097</v>
      </c>
      <c r="C2379" s="6" t="s">
        <v>4975</v>
      </c>
      <c r="D2379" s="6" t="s">
        <v>9797</v>
      </c>
      <c r="E2379" s="6" t="s">
        <v>382</v>
      </c>
      <c r="F2379" s="6" t="s">
        <v>10636</v>
      </c>
      <c r="G2379" s="9" t="n">
        <v>519029</v>
      </c>
      <c r="H2379" s="6" t="s">
        <v>384</v>
      </c>
      <c r="I2379" s="6" t="s">
        <v>13</v>
      </c>
      <c r="J2379" s="6" t="s">
        <v>223</v>
      </c>
      <c r="K2379" s="6" t="s">
        <v>9942</v>
      </c>
      <c r="M2379" s="6"/>
    </row>
    <row r="2380" customFormat="false" ht="15" hidden="false" customHeight="false" outlineLevel="0" collapsed="false">
      <c r="A2380" s="6" t="s">
        <v>10639</v>
      </c>
      <c r="B2380" s="6" t="s">
        <v>5097</v>
      </c>
      <c r="C2380" s="6" t="s">
        <v>4975</v>
      </c>
      <c r="D2380" s="6" t="s">
        <v>9797</v>
      </c>
      <c r="E2380" s="6" t="s">
        <v>382</v>
      </c>
      <c r="F2380" s="6" t="s">
        <v>10640</v>
      </c>
      <c r="G2380" s="9" t="n">
        <v>519029</v>
      </c>
      <c r="H2380" s="6" t="s">
        <v>384</v>
      </c>
      <c r="I2380" s="6" t="s">
        <v>13</v>
      </c>
      <c r="J2380" s="6" t="s">
        <v>228</v>
      </c>
      <c r="K2380" s="6" t="s">
        <v>9954</v>
      </c>
      <c r="M2380" s="6"/>
    </row>
    <row r="2381" customFormat="false" ht="15" hidden="false" customHeight="false" outlineLevel="0" collapsed="false">
      <c r="A2381" s="6" t="s">
        <v>10641</v>
      </c>
      <c r="B2381" s="6" t="s">
        <v>5074</v>
      </c>
      <c r="C2381" s="6" t="s">
        <v>4975</v>
      </c>
      <c r="D2381" s="6" t="s">
        <v>9797</v>
      </c>
      <c r="E2381" s="6" t="s">
        <v>382</v>
      </c>
      <c r="F2381" s="6" t="s">
        <v>10636</v>
      </c>
      <c r="G2381" s="9" t="n">
        <v>729695</v>
      </c>
      <c r="H2381" s="6" t="s">
        <v>384</v>
      </c>
      <c r="I2381" s="6" t="s">
        <v>13</v>
      </c>
      <c r="J2381" s="6" t="s">
        <v>223</v>
      </c>
      <c r="K2381" s="6" t="s">
        <v>9942</v>
      </c>
      <c r="M2381" s="6"/>
    </row>
    <row r="2382" customFormat="false" ht="15" hidden="false" customHeight="false" outlineLevel="0" collapsed="false">
      <c r="A2382" s="6" t="s">
        <v>10642</v>
      </c>
      <c r="B2382" s="6" t="s">
        <v>5074</v>
      </c>
      <c r="C2382" s="6" t="s">
        <v>4975</v>
      </c>
      <c r="D2382" s="6" t="s">
        <v>9797</v>
      </c>
      <c r="E2382" s="6" t="s">
        <v>382</v>
      </c>
      <c r="F2382" s="6" t="s">
        <v>10640</v>
      </c>
      <c r="G2382" s="9" t="n">
        <v>729695</v>
      </c>
      <c r="H2382" s="6" t="s">
        <v>384</v>
      </c>
      <c r="I2382" s="6" t="s">
        <v>13</v>
      </c>
      <c r="J2382" s="6" t="s">
        <v>228</v>
      </c>
      <c r="K2382" s="6" t="s">
        <v>9954</v>
      </c>
      <c r="M2382" s="6"/>
    </row>
    <row r="2383" customFormat="false" ht="15" hidden="false" customHeight="false" outlineLevel="0" collapsed="false">
      <c r="A2383" s="6" t="s">
        <v>10643</v>
      </c>
      <c r="B2383" s="6" t="s">
        <v>5113</v>
      </c>
      <c r="C2383" s="6" t="s">
        <v>4975</v>
      </c>
      <c r="D2383" s="6" t="s">
        <v>9797</v>
      </c>
      <c r="E2383" s="6" t="s">
        <v>382</v>
      </c>
      <c r="F2383" s="6" t="s">
        <v>10640</v>
      </c>
      <c r="G2383" s="9" t="n">
        <v>971995</v>
      </c>
      <c r="H2383" s="6" t="s">
        <v>384</v>
      </c>
      <c r="I2383" s="6" t="s">
        <v>13</v>
      </c>
      <c r="J2383" s="6" t="s">
        <v>228</v>
      </c>
      <c r="K2383" s="6" t="s">
        <v>9954</v>
      </c>
      <c r="M2383" s="6"/>
    </row>
    <row r="2384" customFormat="false" ht="15" hidden="false" customHeight="false" outlineLevel="0" collapsed="false">
      <c r="A2384" s="6" t="s">
        <v>10644</v>
      </c>
      <c r="B2384" s="6" t="s">
        <v>5074</v>
      </c>
      <c r="C2384" s="6" t="s">
        <v>4975</v>
      </c>
      <c r="D2384" s="6" t="s">
        <v>9797</v>
      </c>
      <c r="E2384" s="6" t="s">
        <v>10645</v>
      </c>
      <c r="F2384" s="6" t="s">
        <v>10646</v>
      </c>
      <c r="G2384" s="19" t="n">
        <v>100</v>
      </c>
      <c r="H2384" s="6" t="s">
        <v>5105</v>
      </c>
      <c r="I2384" s="6" t="s">
        <v>13</v>
      </c>
      <c r="J2384" s="6" t="s">
        <v>223</v>
      </c>
      <c r="K2384" s="6" t="s">
        <v>10647</v>
      </c>
      <c r="M2384" s="6" t="s">
        <v>10648</v>
      </c>
    </row>
    <row r="2385" customFormat="false" ht="15" hidden="false" customHeight="false" outlineLevel="0" collapsed="false">
      <c r="A2385" s="6" t="s">
        <v>10649</v>
      </c>
      <c r="B2385" s="6" t="s">
        <v>5102</v>
      </c>
      <c r="C2385" s="6" t="s">
        <v>4975</v>
      </c>
      <c r="D2385" s="6" t="s">
        <v>9797</v>
      </c>
      <c r="E2385" s="6" t="s">
        <v>10650</v>
      </c>
      <c r="F2385" s="6" t="s">
        <v>10651</v>
      </c>
      <c r="G2385" s="19" t="n">
        <v>100</v>
      </c>
      <c r="H2385" s="6" t="s">
        <v>5105</v>
      </c>
      <c r="I2385" s="6" t="s">
        <v>13</v>
      </c>
      <c r="J2385" s="6" t="s">
        <v>209</v>
      </c>
      <c r="K2385" s="6" t="s">
        <v>10652</v>
      </c>
      <c r="M2385" s="6" t="s">
        <v>10653</v>
      </c>
    </row>
    <row r="2386" customFormat="false" ht="15" hidden="false" customHeight="false" outlineLevel="0" collapsed="false">
      <c r="A2386" s="6" t="s">
        <v>10654</v>
      </c>
      <c r="B2386" s="6" t="s">
        <v>6032</v>
      </c>
      <c r="C2386" s="6" t="s">
        <v>4975</v>
      </c>
      <c r="D2386" s="6" t="s">
        <v>9797</v>
      </c>
      <c r="E2386" s="6" t="s">
        <v>10655</v>
      </c>
      <c r="F2386" s="6" t="s">
        <v>10656</v>
      </c>
      <c r="G2386" s="19" t="n">
        <v>143</v>
      </c>
      <c r="H2386" s="6" t="s">
        <v>5105</v>
      </c>
      <c r="I2386" s="6" t="s">
        <v>13</v>
      </c>
      <c r="J2386" s="6" t="s">
        <v>209</v>
      </c>
      <c r="K2386" s="6" t="s">
        <v>10657</v>
      </c>
      <c r="M2386" s="6"/>
    </row>
    <row r="2387" customFormat="false" ht="15" hidden="false" customHeight="false" outlineLevel="0" collapsed="false">
      <c r="A2387" s="6" t="s">
        <v>10658</v>
      </c>
      <c r="B2387" s="6" t="s">
        <v>5203</v>
      </c>
      <c r="C2387" s="6" t="s">
        <v>4975</v>
      </c>
      <c r="D2387" s="6" t="s">
        <v>9797</v>
      </c>
      <c r="E2387" s="6" t="s">
        <v>10655</v>
      </c>
      <c r="F2387" s="6" t="s">
        <v>10656</v>
      </c>
      <c r="G2387" s="19" t="n">
        <v>106</v>
      </c>
      <c r="H2387" s="6" t="s">
        <v>5105</v>
      </c>
      <c r="I2387" s="6" t="s">
        <v>13</v>
      </c>
      <c r="J2387" s="6" t="s">
        <v>209</v>
      </c>
      <c r="K2387" s="6" t="s">
        <v>10657</v>
      </c>
      <c r="M2387" s="6"/>
    </row>
    <row r="2388" customFormat="false" ht="15" hidden="false" customHeight="false" outlineLevel="0" collapsed="false">
      <c r="A2388" s="6" t="s">
        <v>10659</v>
      </c>
      <c r="B2388" s="6" t="s">
        <v>5203</v>
      </c>
      <c r="C2388" s="6" t="s">
        <v>4975</v>
      </c>
      <c r="D2388" s="6" t="s">
        <v>9797</v>
      </c>
      <c r="E2388" s="6" t="s">
        <v>10655</v>
      </c>
      <c r="F2388" s="6" t="s">
        <v>10660</v>
      </c>
      <c r="G2388" s="19" t="n">
        <v>106</v>
      </c>
      <c r="H2388" s="6" t="s">
        <v>5105</v>
      </c>
      <c r="I2388" s="6" t="s">
        <v>13</v>
      </c>
      <c r="J2388" s="6" t="s">
        <v>218</v>
      </c>
      <c r="K2388" s="6" t="s">
        <v>10661</v>
      </c>
      <c r="M2388" s="6"/>
    </row>
    <row r="2389" customFormat="false" ht="15" hidden="false" customHeight="false" outlineLevel="0" collapsed="false">
      <c r="A2389" s="6" t="s">
        <v>10662</v>
      </c>
      <c r="B2389" s="6" t="s">
        <v>5102</v>
      </c>
      <c r="C2389" s="6" t="s">
        <v>4975</v>
      </c>
      <c r="D2389" s="6" t="s">
        <v>9797</v>
      </c>
      <c r="E2389" s="6" t="s">
        <v>10655</v>
      </c>
      <c r="F2389" s="6" t="s">
        <v>10656</v>
      </c>
      <c r="G2389" s="19" t="n">
        <v>91</v>
      </c>
      <c r="H2389" s="6" t="s">
        <v>5105</v>
      </c>
      <c r="I2389" s="6" t="s">
        <v>13</v>
      </c>
      <c r="J2389" s="6" t="s">
        <v>209</v>
      </c>
      <c r="K2389" s="6" t="s">
        <v>10657</v>
      </c>
      <c r="M2389" s="6"/>
    </row>
    <row r="2390" customFormat="false" ht="15" hidden="false" customHeight="false" outlineLevel="0" collapsed="false">
      <c r="A2390" s="6" t="s">
        <v>10663</v>
      </c>
      <c r="B2390" s="6" t="s">
        <v>5102</v>
      </c>
      <c r="C2390" s="6" t="s">
        <v>4975</v>
      </c>
      <c r="D2390" s="6" t="s">
        <v>9797</v>
      </c>
      <c r="E2390" s="6" t="s">
        <v>10655</v>
      </c>
      <c r="F2390" s="6" t="s">
        <v>10660</v>
      </c>
      <c r="G2390" s="19" t="n">
        <v>91</v>
      </c>
      <c r="H2390" s="6" t="s">
        <v>5105</v>
      </c>
      <c r="I2390" s="6" t="s">
        <v>13</v>
      </c>
      <c r="J2390" s="6" t="s">
        <v>218</v>
      </c>
      <c r="K2390" s="6" t="s">
        <v>10661</v>
      </c>
      <c r="M2390" s="6"/>
    </row>
    <row r="2391" customFormat="false" ht="15" hidden="false" customHeight="false" outlineLevel="0" collapsed="false">
      <c r="A2391" s="6" t="s">
        <v>10664</v>
      </c>
      <c r="B2391" s="6" t="s">
        <v>5102</v>
      </c>
      <c r="C2391" s="6" t="s">
        <v>4975</v>
      </c>
      <c r="D2391" s="6" t="s">
        <v>9797</v>
      </c>
      <c r="E2391" s="6" t="s">
        <v>10655</v>
      </c>
      <c r="F2391" s="6" t="s">
        <v>10665</v>
      </c>
      <c r="G2391" s="19" t="n">
        <v>91</v>
      </c>
      <c r="H2391" s="6" t="s">
        <v>5105</v>
      </c>
      <c r="I2391" s="6" t="s">
        <v>13</v>
      </c>
      <c r="J2391" s="6" t="s">
        <v>223</v>
      </c>
      <c r="K2391" s="6" t="s">
        <v>10666</v>
      </c>
      <c r="M2391" s="6"/>
    </row>
    <row r="2392" customFormat="false" ht="15" hidden="false" customHeight="false" outlineLevel="0" collapsed="false">
      <c r="A2392" s="6" t="s">
        <v>10667</v>
      </c>
      <c r="B2392" s="6" t="s">
        <v>5097</v>
      </c>
      <c r="C2392" s="6" t="s">
        <v>4975</v>
      </c>
      <c r="D2392" s="6" t="s">
        <v>9797</v>
      </c>
      <c r="E2392" s="6" t="s">
        <v>10655</v>
      </c>
      <c r="F2392" s="6" t="s">
        <v>10660</v>
      </c>
      <c r="G2392" s="19" t="n">
        <v>68</v>
      </c>
      <c r="H2392" s="6" t="s">
        <v>5105</v>
      </c>
      <c r="I2392" s="6" t="s">
        <v>13</v>
      </c>
      <c r="J2392" s="6" t="s">
        <v>218</v>
      </c>
      <c r="K2392" s="6" t="s">
        <v>10661</v>
      </c>
      <c r="M2392" s="6"/>
    </row>
    <row r="2393" customFormat="false" ht="15" hidden="false" customHeight="false" outlineLevel="0" collapsed="false">
      <c r="A2393" s="6" t="s">
        <v>10668</v>
      </c>
      <c r="B2393" s="6" t="s">
        <v>5097</v>
      </c>
      <c r="C2393" s="6" t="s">
        <v>4975</v>
      </c>
      <c r="D2393" s="6" t="s">
        <v>9797</v>
      </c>
      <c r="E2393" s="6" t="s">
        <v>10655</v>
      </c>
      <c r="F2393" s="6" t="s">
        <v>10665</v>
      </c>
      <c r="G2393" s="19" t="n">
        <v>68</v>
      </c>
      <c r="H2393" s="6" t="s">
        <v>5105</v>
      </c>
      <c r="I2393" s="6" t="s">
        <v>13</v>
      </c>
      <c r="J2393" s="6" t="s">
        <v>223</v>
      </c>
      <c r="K2393" s="6" t="s">
        <v>10666</v>
      </c>
      <c r="M2393" s="6"/>
    </row>
    <row r="2394" customFormat="false" ht="15" hidden="false" customHeight="false" outlineLevel="0" collapsed="false">
      <c r="A2394" s="6" t="s">
        <v>10669</v>
      </c>
      <c r="B2394" s="6" t="s">
        <v>5097</v>
      </c>
      <c r="C2394" s="6" t="s">
        <v>4975</v>
      </c>
      <c r="D2394" s="6" t="s">
        <v>9797</v>
      </c>
      <c r="E2394" s="6" t="s">
        <v>10655</v>
      </c>
      <c r="F2394" s="6" t="s">
        <v>10670</v>
      </c>
      <c r="G2394" s="19" t="n">
        <v>68</v>
      </c>
      <c r="H2394" s="6" t="s">
        <v>5105</v>
      </c>
      <c r="I2394" s="6" t="s">
        <v>13</v>
      </c>
      <c r="J2394" s="6" t="s">
        <v>228</v>
      </c>
      <c r="K2394" s="6" t="s">
        <v>10671</v>
      </c>
      <c r="M2394" s="6"/>
    </row>
    <row r="2395" customFormat="false" ht="15" hidden="false" customHeight="false" outlineLevel="0" collapsed="false">
      <c r="A2395" s="6" t="s">
        <v>10672</v>
      </c>
      <c r="B2395" s="6" t="s">
        <v>5074</v>
      </c>
      <c r="C2395" s="6" t="s">
        <v>4975</v>
      </c>
      <c r="D2395" s="6" t="s">
        <v>9797</v>
      </c>
      <c r="E2395" s="6" t="s">
        <v>10655</v>
      </c>
      <c r="F2395" s="6" t="s">
        <v>10665</v>
      </c>
      <c r="G2395" s="19" t="n">
        <v>41</v>
      </c>
      <c r="H2395" s="6" t="s">
        <v>5105</v>
      </c>
      <c r="I2395" s="6" t="s">
        <v>13</v>
      </c>
      <c r="J2395" s="6" t="s">
        <v>223</v>
      </c>
      <c r="K2395" s="6" t="s">
        <v>10666</v>
      </c>
      <c r="M2395" s="6"/>
    </row>
    <row r="2396" customFormat="false" ht="15" hidden="false" customHeight="false" outlineLevel="0" collapsed="false">
      <c r="A2396" s="6" t="s">
        <v>10673</v>
      </c>
      <c r="B2396" s="6" t="s">
        <v>5074</v>
      </c>
      <c r="C2396" s="6" t="s">
        <v>4975</v>
      </c>
      <c r="D2396" s="6" t="s">
        <v>9797</v>
      </c>
      <c r="E2396" s="6" t="s">
        <v>10655</v>
      </c>
      <c r="F2396" s="6" t="s">
        <v>10670</v>
      </c>
      <c r="G2396" s="19" t="n">
        <v>41</v>
      </c>
      <c r="H2396" s="6" t="s">
        <v>5105</v>
      </c>
      <c r="I2396" s="6" t="s">
        <v>13</v>
      </c>
      <c r="J2396" s="6" t="s">
        <v>228</v>
      </c>
      <c r="K2396" s="6" t="s">
        <v>10671</v>
      </c>
      <c r="M2396" s="6"/>
    </row>
    <row r="2397" customFormat="false" ht="15" hidden="false" customHeight="false" outlineLevel="0" collapsed="false">
      <c r="A2397" s="6" t="s">
        <v>10674</v>
      </c>
      <c r="B2397" s="6" t="s">
        <v>5113</v>
      </c>
      <c r="C2397" s="6" t="s">
        <v>4975</v>
      </c>
      <c r="D2397" s="6" t="s">
        <v>9797</v>
      </c>
      <c r="E2397" s="6" t="s">
        <v>10655</v>
      </c>
      <c r="F2397" s="6" t="s">
        <v>10670</v>
      </c>
      <c r="G2397" s="19" t="n">
        <v>33</v>
      </c>
      <c r="H2397" s="6" t="s">
        <v>5105</v>
      </c>
      <c r="I2397" s="6" t="s">
        <v>13</v>
      </c>
      <c r="J2397" s="6" t="s">
        <v>228</v>
      </c>
      <c r="K2397" s="6" t="s">
        <v>10671</v>
      </c>
      <c r="M2397" s="6"/>
    </row>
    <row r="2398" customFormat="false" ht="15" hidden="false" customHeight="false" outlineLevel="0" collapsed="false">
      <c r="A2398" s="6" t="s">
        <v>10675</v>
      </c>
      <c r="B2398" s="6" t="s">
        <v>5203</v>
      </c>
      <c r="C2398" s="6" t="s">
        <v>4975</v>
      </c>
      <c r="D2398" s="6" t="s">
        <v>9797</v>
      </c>
      <c r="E2398" s="6" t="s">
        <v>6185</v>
      </c>
      <c r="F2398" s="6" t="s">
        <v>10676</v>
      </c>
      <c r="G2398" s="9" t="n">
        <v>40981</v>
      </c>
      <c r="H2398" s="6" t="s">
        <v>384</v>
      </c>
      <c r="I2398" s="6" t="s">
        <v>13</v>
      </c>
      <c r="J2398" s="6" t="s">
        <v>209</v>
      </c>
      <c r="K2398" s="6" t="s">
        <v>10677</v>
      </c>
      <c r="M2398" s="6"/>
    </row>
    <row r="2399" customFormat="false" ht="15" hidden="false" customHeight="false" outlineLevel="0" collapsed="false">
      <c r="A2399" s="6" t="s">
        <v>10678</v>
      </c>
      <c r="B2399" s="6" t="s">
        <v>5102</v>
      </c>
      <c r="C2399" s="6" t="s">
        <v>4975</v>
      </c>
      <c r="D2399" s="6" t="s">
        <v>9797</v>
      </c>
      <c r="E2399" s="6" t="s">
        <v>6185</v>
      </c>
      <c r="F2399" s="6" t="s">
        <v>10679</v>
      </c>
      <c r="G2399" s="9" t="n">
        <v>70719</v>
      </c>
      <c r="H2399" s="6" t="s">
        <v>384</v>
      </c>
      <c r="I2399" s="6" t="s">
        <v>13</v>
      </c>
      <c r="J2399" s="6" t="s">
        <v>209</v>
      </c>
      <c r="K2399" s="6" t="s">
        <v>10677</v>
      </c>
      <c r="M2399" s="6"/>
    </row>
    <row r="2400" customFormat="false" ht="15" hidden="false" customHeight="false" outlineLevel="0" collapsed="false">
      <c r="A2400" s="6" t="s">
        <v>10680</v>
      </c>
      <c r="B2400" s="6" t="s">
        <v>5203</v>
      </c>
      <c r="C2400" s="6" t="s">
        <v>4975</v>
      </c>
      <c r="D2400" s="6" t="s">
        <v>9797</v>
      </c>
      <c r="E2400" s="6" t="s">
        <v>10681</v>
      </c>
      <c r="F2400" s="6" t="s">
        <v>10682</v>
      </c>
      <c r="G2400" s="19" t="n">
        <v>119</v>
      </c>
      <c r="H2400" s="6" t="s">
        <v>5105</v>
      </c>
      <c r="I2400" s="6" t="s">
        <v>13</v>
      </c>
      <c r="J2400" s="6" t="s">
        <v>218</v>
      </c>
      <c r="K2400" s="6" t="s">
        <v>10138</v>
      </c>
      <c r="M2400" s="6"/>
    </row>
    <row r="2401" customFormat="false" ht="15" hidden="false" customHeight="false" outlineLevel="0" collapsed="false">
      <c r="A2401" s="6" t="s">
        <v>10683</v>
      </c>
      <c r="B2401" s="6" t="s">
        <v>5102</v>
      </c>
      <c r="C2401" s="6" t="s">
        <v>4975</v>
      </c>
      <c r="D2401" s="6" t="s">
        <v>9797</v>
      </c>
      <c r="E2401" s="6" t="s">
        <v>10681</v>
      </c>
      <c r="F2401" s="6" t="s">
        <v>10682</v>
      </c>
      <c r="G2401" s="19" t="n">
        <v>87</v>
      </c>
      <c r="H2401" s="6" t="s">
        <v>5105</v>
      </c>
      <c r="I2401" s="6" t="s">
        <v>13</v>
      </c>
      <c r="J2401" s="6" t="s">
        <v>218</v>
      </c>
      <c r="K2401" s="6" t="s">
        <v>10138</v>
      </c>
      <c r="M2401" s="6"/>
    </row>
    <row r="2402" customFormat="false" ht="15" hidden="false" customHeight="false" outlineLevel="0" collapsed="false">
      <c r="A2402" s="6" t="s">
        <v>10684</v>
      </c>
      <c r="B2402" s="6" t="s">
        <v>5102</v>
      </c>
      <c r="C2402" s="6" t="s">
        <v>4975</v>
      </c>
      <c r="D2402" s="6" t="s">
        <v>9797</v>
      </c>
      <c r="E2402" s="6" t="s">
        <v>10681</v>
      </c>
      <c r="F2402" s="6" t="s">
        <v>10685</v>
      </c>
      <c r="G2402" s="19" t="n">
        <v>87</v>
      </c>
      <c r="H2402" s="6" t="s">
        <v>5105</v>
      </c>
      <c r="I2402" s="6" t="s">
        <v>13</v>
      </c>
      <c r="J2402" s="6" t="s">
        <v>223</v>
      </c>
      <c r="K2402" s="6" t="s">
        <v>10142</v>
      </c>
      <c r="M2402" s="6"/>
    </row>
    <row r="2403" customFormat="false" ht="15" hidden="false" customHeight="false" outlineLevel="0" collapsed="false">
      <c r="A2403" s="6" t="s">
        <v>10686</v>
      </c>
      <c r="B2403" s="6" t="s">
        <v>5097</v>
      </c>
      <c r="C2403" s="6" t="s">
        <v>4975</v>
      </c>
      <c r="D2403" s="6" t="s">
        <v>9797</v>
      </c>
      <c r="E2403" s="6" t="s">
        <v>10681</v>
      </c>
      <c r="F2403" s="6" t="s">
        <v>10682</v>
      </c>
      <c r="G2403" s="19" t="n">
        <v>76</v>
      </c>
      <c r="H2403" s="6" t="s">
        <v>5105</v>
      </c>
      <c r="I2403" s="6" t="s">
        <v>13</v>
      </c>
      <c r="J2403" s="6" t="s">
        <v>218</v>
      </c>
      <c r="K2403" s="6" t="s">
        <v>10138</v>
      </c>
      <c r="M2403" s="6"/>
    </row>
    <row r="2404" customFormat="false" ht="15" hidden="false" customHeight="false" outlineLevel="0" collapsed="false">
      <c r="A2404" s="6" t="s">
        <v>10687</v>
      </c>
      <c r="B2404" s="6" t="s">
        <v>5097</v>
      </c>
      <c r="C2404" s="6" t="s">
        <v>4975</v>
      </c>
      <c r="D2404" s="6" t="s">
        <v>9797</v>
      </c>
      <c r="E2404" s="6" t="s">
        <v>10681</v>
      </c>
      <c r="F2404" s="6" t="s">
        <v>10685</v>
      </c>
      <c r="G2404" s="19" t="n">
        <v>76</v>
      </c>
      <c r="H2404" s="6" t="s">
        <v>5105</v>
      </c>
      <c r="I2404" s="6" t="s">
        <v>13</v>
      </c>
      <c r="J2404" s="6" t="s">
        <v>223</v>
      </c>
      <c r="K2404" s="6" t="s">
        <v>10142</v>
      </c>
      <c r="M2404" s="6"/>
    </row>
    <row r="2405" customFormat="false" ht="15" hidden="false" customHeight="false" outlineLevel="0" collapsed="false">
      <c r="A2405" s="6" t="s">
        <v>10688</v>
      </c>
      <c r="B2405" s="6" t="s">
        <v>5097</v>
      </c>
      <c r="C2405" s="6" t="s">
        <v>4975</v>
      </c>
      <c r="D2405" s="6" t="s">
        <v>9797</v>
      </c>
      <c r="E2405" s="6" t="s">
        <v>10681</v>
      </c>
      <c r="F2405" s="6" t="s">
        <v>10689</v>
      </c>
      <c r="G2405" s="19" t="n">
        <v>76</v>
      </c>
      <c r="H2405" s="6" t="s">
        <v>5105</v>
      </c>
      <c r="I2405" s="6" t="s">
        <v>13</v>
      </c>
      <c r="J2405" s="6" t="s">
        <v>228</v>
      </c>
      <c r="K2405" s="6" t="s">
        <v>10147</v>
      </c>
      <c r="M2405" s="6"/>
    </row>
    <row r="2406" customFormat="false" ht="15" hidden="false" customHeight="false" outlineLevel="0" collapsed="false">
      <c r="A2406" s="6" t="s">
        <v>10690</v>
      </c>
      <c r="B2406" s="6" t="s">
        <v>5074</v>
      </c>
      <c r="C2406" s="6" t="s">
        <v>4975</v>
      </c>
      <c r="D2406" s="6" t="s">
        <v>9797</v>
      </c>
      <c r="E2406" s="6" t="s">
        <v>10681</v>
      </c>
      <c r="F2406" s="6" t="s">
        <v>10685</v>
      </c>
      <c r="G2406" s="19" t="n">
        <v>60</v>
      </c>
      <c r="H2406" s="6" t="s">
        <v>5105</v>
      </c>
      <c r="I2406" s="6" t="s">
        <v>13</v>
      </c>
      <c r="J2406" s="6" t="s">
        <v>223</v>
      </c>
      <c r="K2406" s="6" t="s">
        <v>10142</v>
      </c>
      <c r="M2406" s="6"/>
    </row>
    <row r="2407" customFormat="false" ht="15" hidden="false" customHeight="false" outlineLevel="0" collapsed="false">
      <c r="A2407" s="6" t="s">
        <v>10691</v>
      </c>
      <c r="B2407" s="6" t="s">
        <v>5074</v>
      </c>
      <c r="C2407" s="6" t="s">
        <v>4975</v>
      </c>
      <c r="D2407" s="6" t="s">
        <v>9797</v>
      </c>
      <c r="E2407" s="6" t="s">
        <v>10681</v>
      </c>
      <c r="F2407" s="6" t="s">
        <v>10689</v>
      </c>
      <c r="G2407" s="19" t="n">
        <v>60</v>
      </c>
      <c r="H2407" s="6" t="s">
        <v>5105</v>
      </c>
      <c r="I2407" s="6" t="s">
        <v>13</v>
      </c>
      <c r="J2407" s="6" t="s">
        <v>228</v>
      </c>
      <c r="K2407" s="6" t="s">
        <v>10147</v>
      </c>
      <c r="M2407" s="6"/>
    </row>
    <row r="2408" customFormat="false" ht="15" hidden="false" customHeight="false" outlineLevel="0" collapsed="false">
      <c r="A2408" s="6" t="s">
        <v>10692</v>
      </c>
      <c r="B2408" s="6" t="s">
        <v>5113</v>
      </c>
      <c r="C2408" s="6" t="s">
        <v>4975</v>
      </c>
      <c r="D2408" s="6" t="s">
        <v>9797</v>
      </c>
      <c r="E2408" s="6" t="s">
        <v>10681</v>
      </c>
      <c r="F2408" s="6" t="s">
        <v>10689</v>
      </c>
      <c r="G2408" s="19" t="n">
        <v>55</v>
      </c>
      <c r="H2408" s="6" t="s">
        <v>5105</v>
      </c>
      <c r="I2408" s="6" t="s">
        <v>13</v>
      </c>
      <c r="J2408" s="6" t="s">
        <v>228</v>
      </c>
      <c r="K2408" s="6" t="s">
        <v>10147</v>
      </c>
      <c r="M2408" s="6"/>
    </row>
    <row r="2409" customFormat="false" ht="15" hidden="false" customHeight="false" outlineLevel="0" collapsed="false">
      <c r="A2409" s="6" t="s">
        <v>10693</v>
      </c>
      <c r="B2409" s="6" t="s">
        <v>5315</v>
      </c>
      <c r="C2409" s="6" t="s">
        <v>5316</v>
      </c>
      <c r="D2409" s="6" t="s">
        <v>9797</v>
      </c>
      <c r="E2409" s="6" t="s">
        <v>10681</v>
      </c>
      <c r="F2409" s="6" t="s">
        <v>10694</v>
      </c>
      <c r="G2409" s="19" t="n">
        <v>57</v>
      </c>
      <c r="H2409" s="6" t="s">
        <v>5105</v>
      </c>
      <c r="I2409" s="6" t="s">
        <v>13</v>
      </c>
      <c r="J2409" s="6" t="s">
        <v>246</v>
      </c>
      <c r="K2409" s="6" t="s">
        <v>9899</v>
      </c>
      <c r="M2409" s="6" t="s">
        <v>10695</v>
      </c>
    </row>
    <row r="2410" customFormat="false" ht="15" hidden="false" customHeight="false" outlineLevel="0" collapsed="false">
      <c r="A2410" s="6" t="s">
        <v>10696</v>
      </c>
      <c r="B2410" s="6" t="s">
        <v>5320</v>
      </c>
      <c r="C2410" s="6" t="s">
        <v>5316</v>
      </c>
      <c r="D2410" s="6" t="s">
        <v>9797</v>
      </c>
      <c r="E2410" s="6" t="s">
        <v>10681</v>
      </c>
      <c r="F2410" s="6" t="s">
        <v>10697</v>
      </c>
      <c r="G2410" s="19" t="n">
        <v>51</v>
      </c>
      <c r="H2410" s="6" t="s">
        <v>5105</v>
      </c>
      <c r="I2410" s="6" t="s">
        <v>13</v>
      </c>
      <c r="J2410" s="6" t="s">
        <v>257</v>
      </c>
      <c r="K2410" s="6" t="s">
        <v>9903</v>
      </c>
      <c r="M2410" s="6" t="s">
        <v>10698</v>
      </c>
    </row>
    <row r="2411" customFormat="false" ht="15" hidden="false" customHeight="false" outlineLevel="0" collapsed="false">
      <c r="A2411" s="6" t="s">
        <v>10699</v>
      </c>
      <c r="B2411" s="6" t="s">
        <v>5325</v>
      </c>
      <c r="C2411" s="6" t="s">
        <v>5316</v>
      </c>
      <c r="D2411" s="6" t="s">
        <v>9797</v>
      </c>
      <c r="E2411" s="6" t="s">
        <v>10681</v>
      </c>
      <c r="F2411" s="6" t="s">
        <v>10700</v>
      </c>
      <c r="G2411" s="19" t="n">
        <v>46</v>
      </c>
      <c r="H2411" s="6" t="s">
        <v>5105</v>
      </c>
      <c r="I2411" s="6" t="s">
        <v>13</v>
      </c>
      <c r="J2411" s="6" t="s">
        <v>265</v>
      </c>
      <c r="K2411" s="6" t="s">
        <v>10159</v>
      </c>
      <c r="M2411" s="6" t="s">
        <v>10701</v>
      </c>
    </row>
    <row r="2412" customFormat="false" ht="15" hidden="false" customHeight="false" outlineLevel="0" collapsed="false">
      <c r="A2412" s="6" t="s">
        <v>10702</v>
      </c>
      <c r="B2412" s="6" t="s">
        <v>5102</v>
      </c>
      <c r="C2412" s="6" t="s">
        <v>4975</v>
      </c>
      <c r="D2412" s="6" t="s">
        <v>9797</v>
      </c>
      <c r="E2412" s="6" t="s">
        <v>10703</v>
      </c>
      <c r="F2412" s="6" t="s">
        <v>10704</v>
      </c>
      <c r="G2412" s="9" t="n">
        <v>268083</v>
      </c>
      <c r="H2412" s="6" t="s">
        <v>384</v>
      </c>
      <c r="I2412" s="6" t="s">
        <v>13</v>
      </c>
      <c r="J2412" s="6" t="s">
        <v>223</v>
      </c>
      <c r="K2412" s="6" t="s">
        <v>9942</v>
      </c>
      <c r="M2412" s="6"/>
    </row>
    <row r="2413" customFormat="false" ht="15" hidden="false" customHeight="false" outlineLevel="0" collapsed="false">
      <c r="A2413" s="6" t="s">
        <v>10705</v>
      </c>
      <c r="B2413" s="6" t="s">
        <v>5097</v>
      </c>
      <c r="C2413" s="6" t="s">
        <v>4975</v>
      </c>
      <c r="D2413" s="6" t="s">
        <v>9797</v>
      </c>
      <c r="E2413" s="6" t="s">
        <v>10703</v>
      </c>
      <c r="F2413" s="6" t="s">
        <v>10704</v>
      </c>
      <c r="G2413" s="9" t="n">
        <v>392068</v>
      </c>
      <c r="H2413" s="6" t="s">
        <v>384</v>
      </c>
      <c r="I2413" s="6" t="s">
        <v>13</v>
      </c>
      <c r="J2413" s="6" t="s">
        <v>223</v>
      </c>
      <c r="K2413" s="6" t="s">
        <v>9942</v>
      </c>
      <c r="M2413" s="6"/>
    </row>
    <row r="2414" customFormat="false" ht="15" hidden="false" customHeight="false" outlineLevel="0" collapsed="false">
      <c r="A2414" s="6" t="s">
        <v>10706</v>
      </c>
      <c r="B2414" s="6" t="s">
        <v>5097</v>
      </c>
      <c r="C2414" s="6" t="s">
        <v>4975</v>
      </c>
      <c r="D2414" s="6" t="s">
        <v>9797</v>
      </c>
      <c r="E2414" s="6" t="s">
        <v>10703</v>
      </c>
      <c r="F2414" s="6" t="s">
        <v>10707</v>
      </c>
      <c r="G2414" s="9" t="n">
        <v>392068</v>
      </c>
      <c r="H2414" s="6" t="s">
        <v>384</v>
      </c>
      <c r="I2414" s="6" t="s">
        <v>13</v>
      </c>
      <c r="J2414" s="6" t="s">
        <v>228</v>
      </c>
      <c r="K2414" s="6" t="s">
        <v>9954</v>
      </c>
      <c r="M2414" s="6"/>
    </row>
    <row r="2415" customFormat="false" ht="15" hidden="false" customHeight="false" outlineLevel="0" collapsed="false">
      <c r="A2415" s="6" t="s">
        <v>10708</v>
      </c>
      <c r="B2415" s="6" t="s">
        <v>5074</v>
      </c>
      <c r="C2415" s="6" t="s">
        <v>4975</v>
      </c>
      <c r="D2415" s="6" t="s">
        <v>9797</v>
      </c>
      <c r="E2415" s="6" t="s">
        <v>10703</v>
      </c>
      <c r="F2415" s="6" t="s">
        <v>10704</v>
      </c>
      <c r="G2415" s="9" t="n">
        <v>438402</v>
      </c>
      <c r="H2415" s="6" t="s">
        <v>384</v>
      </c>
      <c r="I2415" s="6" t="s">
        <v>13</v>
      </c>
      <c r="J2415" s="6" t="s">
        <v>223</v>
      </c>
      <c r="K2415" s="6" t="s">
        <v>9942</v>
      </c>
      <c r="M2415" s="6"/>
    </row>
    <row r="2416" customFormat="false" ht="15" hidden="false" customHeight="false" outlineLevel="0" collapsed="false">
      <c r="A2416" s="6" t="s">
        <v>10709</v>
      </c>
      <c r="B2416" s="6" t="s">
        <v>5074</v>
      </c>
      <c r="C2416" s="6" t="s">
        <v>4975</v>
      </c>
      <c r="D2416" s="6" t="s">
        <v>9797</v>
      </c>
      <c r="E2416" s="6" t="s">
        <v>10703</v>
      </c>
      <c r="F2416" s="6" t="s">
        <v>10707</v>
      </c>
      <c r="G2416" s="9" t="n">
        <v>438402</v>
      </c>
      <c r="H2416" s="6" t="s">
        <v>384</v>
      </c>
      <c r="I2416" s="6" t="s">
        <v>13</v>
      </c>
      <c r="J2416" s="6" t="s">
        <v>228</v>
      </c>
      <c r="K2416" s="6" t="s">
        <v>9954</v>
      </c>
      <c r="M2416" s="6"/>
    </row>
    <row r="2417" customFormat="false" ht="15" hidden="false" customHeight="false" outlineLevel="0" collapsed="false">
      <c r="A2417" s="6" t="s">
        <v>10710</v>
      </c>
      <c r="B2417" s="6" t="s">
        <v>5113</v>
      </c>
      <c r="C2417" s="6" t="s">
        <v>4975</v>
      </c>
      <c r="D2417" s="6" t="s">
        <v>9797</v>
      </c>
      <c r="E2417" s="6" t="s">
        <v>10703</v>
      </c>
      <c r="F2417" s="6" t="s">
        <v>10707</v>
      </c>
      <c r="G2417" s="9" t="n">
        <v>533539</v>
      </c>
      <c r="H2417" s="6" t="s">
        <v>384</v>
      </c>
      <c r="I2417" s="6" t="s">
        <v>13</v>
      </c>
      <c r="J2417" s="6" t="s">
        <v>228</v>
      </c>
      <c r="K2417" s="6" t="s">
        <v>9954</v>
      </c>
      <c r="M2417" s="6"/>
    </row>
    <row r="2418" customFormat="false" ht="15" hidden="false" customHeight="false" outlineLevel="0" collapsed="false">
      <c r="A2418" s="6" t="s">
        <v>10711</v>
      </c>
      <c r="B2418" s="6" t="s">
        <v>5320</v>
      </c>
      <c r="C2418" s="6" t="s">
        <v>5316</v>
      </c>
      <c r="D2418" s="6" t="s">
        <v>9797</v>
      </c>
      <c r="E2418" s="6" t="s">
        <v>10703</v>
      </c>
      <c r="F2418" s="6" t="s">
        <v>10712</v>
      </c>
      <c r="G2418" s="9" t="n">
        <v>294310</v>
      </c>
      <c r="H2418" s="6" t="s">
        <v>384</v>
      </c>
      <c r="I2418" s="6" t="s">
        <v>13</v>
      </c>
      <c r="J2418" s="6" t="s">
        <v>253</v>
      </c>
      <c r="K2418" s="6" t="s">
        <v>5828</v>
      </c>
      <c r="M2418" s="6"/>
    </row>
    <row r="2419" customFormat="false" ht="15" hidden="false" customHeight="false" outlineLevel="0" collapsed="false">
      <c r="A2419" s="6" t="s">
        <v>10713</v>
      </c>
      <c r="B2419" s="6" t="s">
        <v>5325</v>
      </c>
      <c r="C2419" s="6" t="s">
        <v>5316</v>
      </c>
      <c r="D2419" s="6" t="s">
        <v>9797</v>
      </c>
      <c r="E2419" s="6" t="s">
        <v>10703</v>
      </c>
      <c r="F2419" s="6" t="s">
        <v>10714</v>
      </c>
      <c r="G2419" s="9" t="n">
        <v>327797</v>
      </c>
      <c r="H2419" s="6" t="s">
        <v>384</v>
      </c>
      <c r="I2419" s="6" t="s">
        <v>13</v>
      </c>
      <c r="J2419" s="6" t="s">
        <v>261</v>
      </c>
      <c r="K2419" s="6" t="s">
        <v>5831</v>
      </c>
      <c r="M2419" s="6"/>
    </row>
    <row r="2420" customFormat="false" ht="15" hidden="false" customHeight="false" outlineLevel="0" collapsed="false">
      <c r="A2420" s="6" t="s">
        <v>10715</v>
      </c>
      <c r="B2420" s="6" t="s">
        <v>6032</v>
      </c>
      <c r="C2420" s="6" t="s">
        <v>4975</v>
      </c>
      <c r="D2420" s="6" t="s">
        <v>9797</v>
      </c>
      <c r="E2420" s="6" t="s">
        <v>10716</v>
      </c>
      <c r="F2420" s="6" t="s">
        <v>10717</v>
      </c>
      <c r="G2420" s="9" t="n">
        <v>118534</v>
      </c>
      <c r="H2420" s="6" t="s">
        <v>384</v>
      </c>
      <c r="I2420" s="6" t="s">
        <v>13</v>
      </c>
      <c r="J2420" s="6" t="s">
        <v>209</v>
      </c>
      <c r="K2420" s="6" t="s">
        <v>9942</v>
      </c>
      <c r="M2420" s="6"/>
    </row>
    <row r="2421" customFormat="false" ht="15" hidden="false" customHeight="false" outlineLevel="0" collapsed="false">
      <c r="A2421" s="6" t="s">
        <v>10718</v>
      </c>
      <c r="B2421" s="6" t="s">
        <v>5203</v>
      </c>
      <c r="C2421" s="6" t="s">
        <v>4975</v>
      </c>
      <c r="D2421" s="6" t="s">
        <v>9797</v>
      </c>
      <c r="E2421" s="6" t="s">
        <v>10716</v>
      </c>
      <c r="F2421" s="6" t="s">
        <v>10717</v>
      </c>
      <c r="G2421" s="9" t="n">
        <v>191353</v>
      </c>
      <c r="H2421" s="6" t="s">
        <v>384</v>
      </c>
      <c r="I2421" s="6" t="s">
        <v>13</v>
      </c>
      <c r="J2421" s="6" t="s">
        <v>209</v>
      </c>
      <c r="K2421" s="6" t="s">
        <v>9942</v>
      </c>
      <c r="M2421" s="6"/>
    </row>
    <row r="2422" customFormat="false" ht="15" hidden="false" customHeight="false" outlineLevel="0" collapsed="false">
      <c r="A2422" s="6" t="s">
        <v>10719</v>
      </c>
      <c r="B2422" s="6" t="s">
        <v>5203</v>
      </c>
      <c r="C2422" s="6" t="s">
        <v>4975</v>
      </c>
      <c r="D2422" s="6" t="s">
        <v>9797</v>
      </c>
      <c r="E2422" s="6" t="s">
        <v>10716</v>
      </c>
      <c r="F2422" s="6" t="s">
        <v>10720</v>
      </c>
      <c r="G2422" s="9" t="n">
        <v>191353</v>
      </c>
      <c r="H2422" s="6" t="s">
        <v>384</v>
      </c>
      <c r="I2422" s="6" t="s">
        <v>13</v>
      </c>
      <c r="J2422" s="6" t="s">
        <v>218</v>
      </c>
      <c r="K2422" s="6" t="s">
        <v>9942</v>
      </c>
      <c r="M2422" s="6"/>
    </row>
    <row r="2423" customFormat="false" ht="15" hidden="false" customHeight="false" outlineLevel="0" collapsed="false">
      <c r="A2423" s="6" t="s">
        <v>10721</v>
      </c>
      <c r="B2423" s="6" t="s">
        <v>5102</v>
      </c>
      <c r="C2423" s="6" t="s">
        <v>4975</v>
      </c>
      <c r="D2423" s="6" t="s">
        <v>9797</v>
      </c>
      <c r="E2423" s="6" t="s">
        <v>10716</v>
      </c>
      <c r="F2423" s="6" t="s">
        <v>10717</v>
      </c>
      <c r="G2423" s="9" t="n">
        <v>268083</v>
      </c>
      <c r="H2423" s="6" t="s">
        <v>384</v>
      </c>
      <c r="I2423" s="6" t="s">
        <v>13</v>
      </c>
      <c r="J2423" s="6" t="s">
        <v>209</v>
      </c>
      <c r="K2423" s="6" t="s">
        <v>9942</v>
      </c>
      <c r="M2423" s="6"/>
    </row>
    <row r="2424" customFormat="false" ht="15" hidden="false" customHeight="false" outlineLevel="0" collapsed="false">
      <c r="A2424" s="6" t="s">
        <v>10722</v>
      </c>
      <c r="B2424" s="6" t="s">
        <v>5102</v>
      </c>
      <c r="C2424" s="6" t="s">
        <v>4975</v>
      </c>
      <c r="D2424" s="6" t="s">
        <v>9797</v>
      </c>
      <c r="E2424" s="6" t="s">
        <v>10716</v>
      </c>
      <c r="F2424" s="6" t="s">
        <v>10720</v>
      </c>
      <c r="G2424" s="9" t="n">
        <v>268083</v>
      </c>
      <c r="H2424" s="6" t="s">
        <v>384</v>
      </c>
      <c r="I2424" s="6" t="s">
        <v>13</v>
      </c>
      <c r="J2424" s="6" t="s">
        <v>218</v>
      </c>
      <c r="K2424" s="6" t="s">
        <v>9942</v>
      </c>
      <c r="M2424" s="6"/>
    </row>
    <row r="2425" customFormat="false" ht="15" hidden="false" customHeight="false" outlineLevel="0" collapsed="false">
      <c r="A2425" s="6" t="s">
        <v>10723</v>
      </c>
      <c r="B2425" s="6" t="s">
        <v>5097</v>
      </c>
      <c r="C2425" s="6" t="s">
        <v>4975</v>
      </c>
      <c r="D2425" s="6" t="s">
        <v>9797</v>
      </c>
      <c r="E2425" s="6" t="s">
        <v>10716</v>
      </c>
      <c r="F2425" s="6" t="s">
        <v>10720</v>
      </c>
      <c r="G2425" s="9" t="n">
        <v>392068</v>
      </c>
      <c r="H2425" s="6" t="s">
        <v>384</v>
      </c>
      <c r="I2425" s="6" t="s">
        <v>13</v>
      </c>
      <c r="J2425" s="6" t="s">
        <v>218</v>
      </c>
      <c r="K2425" s="6" t="s">
        <v>9942</v>
      </c>
      <c r="M2425" s="6"/>
    </row>
    <row r="2426" customFormat="false" ht="15" hidden="false" customHeight="false" outlineLevel="0" collapsed="false">
      <c r="A2426" s="6" t="s">
        <v>10724</v>
      </c>
      <c r="B2426" s="6" t="s">
        <v>5074</v>
      </c>
      <c r="C2426" s="6" t="s">
        <v>4975</v>
      </c>
      <c r="D2426" s="6" t="s">
        <v>9797</v>
      </c>
      <c r="E2426" s="6" t="s">
        <v>10716</v>
      </c>
      <c r="F2426" s="6" t="s">
        <v>10725</v>
      </c>
      <c r="G2426" s="9" t="n">
        <v>438402</v>
      </c>
      <c r="H2426" s="6" t="s">
        <v>384</v>
      </c>
      <c r="I2426" s="6" t="s">
        <v>13</v>
      </c>
      <c r="J2426" s="6" t="s">
        <v>233</v>
      </c>
      <c r="K2426" s="6" t="s">
        <v>9403</v>
      </c>
      <c r="M2426" s="6"/>
    </row>
    <row r="2427" customFormat="false" ht="15" hidden="false" customHeight="false" outlineLevel="0" collapsed="false">
      <c r="A2427" s="6" t="s">
        <v>10726</v>
      </c>
      <c r="B2427" s="6" t="s">
        <v>5113</v>
      </c>
      <c r="C2427" s="6" t="s">
        <v>4975</v>
      </c>
      <c r="D2427" s="6" t="s">
        <v>9797</v>
      </c>
      <c r="E2427" s="6" t="s">
        <v>10716</v>
      </c>
      <c r="F2427" s="6" t="s">
        <v>10725</v>
      </c>
      <c r="G2427" s="9" t="n">
        <v>533539</v>
      </c>
      <c r="H2427" s="6" t="s">
        <v>384</v>
      </c>
      <c r="I2427" s="6" t="s">
        <v>13</v>
      </c>
      <c r="J2427" s="6" t="s">
        <v>233</v>
      </c>
      <c r="K2427" s="6" t="s">
        <v>9403</v>
      </c>
      <c r="M2427" s="6"/>
    </row>
    <row r="2428" customFormat="false" ht="15" hidden="false" customHeight="false" outlineLevel="0" collapsed="false">
      <c r="A2428" s="6" t="s">
        <v>10727</v>
      </c>
      <c r="B2428" s="6" t="s">
        <v>5079</v>
      </c>
      <c r="C2428" s="6" t="s">
        <v>4975</v>
      </c>
      <c r="D2428" s="6" t="s">
        <v>9797</v>
      </c>
      <c r="E2428" s="6" t="s">
        <v>10716</v>
      </c>
      <c r="F2428" s="6" t="s">
        <v>10725</v>
      </c>
      <c r="G2428" s="9" t="n">
        <v>630851</v>
      </c>
      <c r="H2428" s="6" t="s">
        <v>384</v>
      </c>
      <c r="I2428" s="6" t="s">
        <v>13</v>
      </c>
      <c r="J2428" s="6" t="s">
        <v>233</v>
      </c>
      <c r="K2428" s="6" t="s">
        <v>9403</v>
      </c>
      <c r="M2428" s="6"/>
    </row>
    <row r="2429" customFormat="false" ht="15" hidden="false" customHeight="false" outlineLevel="0" collapsed="false">
      <c r="A2429" s="6" t="s">
        <v>10728</v>
      </c>
      <c r="B2429" s="6" t="s">
        <v>5519</v>
      </c>
      <c r="C2429" s="6" t="s">
        <v>5316</v>
      </c>
      <c r="D2429" s="6" t="s">
        <v>9797</v>
      </c>
      <c r="E2429" s="6" t="s">
        <v>10716</v>
      </c>
      <c r="F2429" s="6" t="s">
        <v>10729</v>
      </c>
      <c r="G2429" s="9" t="n">
        <v>215123</v>
      </c>
      <c r="H2429" s="6" t="s">
        <v>384</v>
      </c>
      <c r="I2429" s="6" t="s">
        <v>13</v>
      </c>
      <c r="J2429" s="6" t="s">
        <v>238</v>
      </c>
      <c r="K2429" s="6" t="s">
        <v>5824</v>
      </c>
      <c r="M2429" s="6"/>
    </row>
    <row r="2430" customFormat="false" ht="15" hidden="false" customHeight="false" outlineLevel="0" collapsed="false">
      <c r="A2430" s="6" t="s">
        <v>10730</v>
      </c>
      <c r="B2430" s="6" t="s">
        <v>5315</v>
      </c>
      <c r="C2430" s="6" t="s">
        <v>5316</v>
      </c>
      <c r="D2430" s="6" t="s">
        <v>9797</v>
      </c>
      <c r="E2430" s="6" t="s">
        <v>10716</v>
      </c>
      <c r="F2430" s="6" t="s">
        <v>10729</v>
      </c>
      <c r="G2430" s="9" t="n">
        <v>259612</v>
      </c>
      <c r="H2430" s="6" t="s">
        <v>384</v>
      </c>
      <c r="I2430" s="6" t="s">
        <v>13</v>
      </c>
      <c r="J2430" s="6" t="s">
        <v>238</v>
      </c>
      <c r="K2430" s="6" t="s">
        <v>5824</v>
      </c>
      <c r="M2430" s="6"/>
    </row>
    <row r="2431" customFormat="false" ht="15" hidden="false" customHeight="false" outlineLevel="0" collapsed="false">
      <c r="A2431" s="6" t="s">
        <v>10731</v>
      </c>
      <c r="B2431" s="6" t="s">
        <v>5325</v>
      </c>
      <c r="C2431" s="6" t="s">
        <v>5316</v>
      </c>
      <c r="D2431" s="6" t="s">
        <v>9797</v>
      </c>
      <c r="E2431" s="6" t="s">
        <v>5888</v>
      </c>
      <c r="F2431" s="6" t="s">
        <v>10732</v>
      </c>
      <c r="G2431" s="19" t="n">
        <v>2</v>
      </c>
      <c r="H2431" s="6" t="s">
        <v>5105</v>
      </c>
      <c r="I2431" s="6" t="s">
        <v>13</v>
      </c>
      <c r="J2431" s="6" t="s">
        <v>265</v>
      </c>
      <c r="K2431" s="6" t="s">
        <v>10159</v>
      </c>
      <c r="M2431" s="6" t="s">
        <v>10733</v>
      </c>
    </row>
    <row r="2432" customFormat="false" ht="15" hidden="false" customHeight="false" outlineLevel="0" collapsed="false">
      <c r="A2432" s="6" t="s">
        <v>10734</v>
      </c>
      <c r="B2432" s="6" t="s">
        <v>10735</v>
      </c>
      <c r="C2432" s="6" t="s">
        <v>6234</v>
      </c>
      <c r="D2432" s="6" t="s">
        <v>9797</v>
      </c>
      <c r="E2432" s="6" t="s">
        <v>10736</v>
      </c>
      <c r="F2432" s="6" t="s">
        <v>10737</v>
      </c>
      <c r="H2432" s="6" t="s">
        <v>7024</v>
      </c>
      <c r="I2432" s="6" t="s">
        <v>13</v>
      </c>
      <c r="J2432" s="6" t="s">
        <v>261</v>
      </c>
      <c r="K2432" s="6" t="s">
        <v>10738</v>
      </c>
      <c r="M2432" s="6" t="s">
        <v>10739</v>
      </c>
    </row>
    <row r="2433" customFormat="false" ht="15" hidden="false" customHeight="false" outlineLevel="0" collapsed="false">
      <c r="A2433" s="6" t="s">
        <v>10740</v>
      </c>
      <c r="B2433" s="6" t="s">
        <v>5320</v>
      </c>
      <c r="C2433" s="6" t="s">
        <v>5316</v>
      </c>
      <c r="D2433" s="6" t="s">
        <v>9797</v>
      </c>
      <c r="E2433" s="6" t="s">
        <v>10741</v>
      </c>
      <c r="F2433" s="6" t="s">
        <v>10742</v>
      </c>
      <c r="G2433" s="9" t="n">
        <v>-464585</v>
      </c>
      <c r="H2433" s="6" t="s">
        <v>384</v>
      </c>
      <c r="I2433" s="6" t="s">
        <v>13</v>
      </c>
      <c r="J2433" s="6" t="s">
        <v>253</v>
      </c>
      <c r="K2433" s="6" t="s">
        <v>6817</v>
      </c>
      <c r="M2433" s="6" t="s">
        <v>10743</v>
      </c>
    </row>
    <row r="2434" customFormat="false" ht="15" hidden="false" customHeight="false" outlineLevel="0" collapsed="false">
      <c r="A2434" s="6" t="s">
        <v>10744</v>
      </c>
      <c r="B2434" s="6" t="s">
        <v>5097</v>
      </c>
      <c r="C2434" s="6" t="s">
        <v>4975</v>
      </c>
      <c r="D2434" s="6" t="s">
        <v>9797</v>
      </c>
      <c r="E2434" s="6" t="s">
        <v>10745</v>
      </c>
      <c r="F2434" s="6" t="s">
        <v>10746</v>
      </c>
      <c r="G2434" s="9" t="n">
        <v>-552407</v>
      </c>
      <c r="H2434" s="6" t="s">
        <v>384</v>
      </c>
      <c r="I2434" s="6" t="s">
        <v>13</v>
      </c>
      <c r="J2434" s="6" t="s">
        <v>228</v>
      </c>
      <c r="K2434" s="6" t="s">
        <v>9552</v>
      </c>
      <c r="M2434" s="6" t="s">
        <v>10747</v>
      </c>
    </row>
    <row r="2435" customFormat="false" ht="15" hidden="false" customHeight="false" outlineLevel="0" collapsed="false">
      <c r="A2435" s="6" t="s">
        <v>10748</v>
      </c>
      <c r="B2435" s="6" t="s">
        <v>5074</v>
      </c>
      <c r="C2435" s="6" t="s">
        <v>4975</v>
      </c>
      <c r="D2435" s="6" t="s">
        <v>9797</v>
      </c>
      <c r="E2435" s="6" t="s">
        <v>10745</v>
      </c>
      <c r="F2435" s="6" t="s">
        <v>10746</v>
      </c>
      <c r="G2435" s="9" t="n">
        <v>-634778</v>
      </c>
      <c r="H2435" s="6" t="s">
        <v>384</v>
      </c>
      <c r="I2435" s="6" t="s">
        <v>13</v>
      </c>
      <c r="J2435" s="6" t="s">
        <v>228</v>
      </c>
      <c r="K2435" s="6" t="s">
        <v>9552</v>
      </c>
      <c r="M2435" s="6" t="s">
        <v>10747</v>
      </c>
    </row>
    <row r="2436" customFormat="false" ht="15" hidden="false" customHeight="false" outlineLevel="0" collapsed="false">
      <c r="A2436" s="6" t="s">
        <v>10749</v>
      </c>
      <c r="B2436" s="6" t="s">
        <v>5113</v>
      </c>
      <c r="C2436" s="6" t="s">
        <v>4975</v>
      </c>
      <c r="D2436" s="6" t="s">
        <v>9797</v>
      </c>
      <c r="E2436" s="6" t="s">
        <v>10745</v>
      </c>
      <c r="F2436" s="6" t="s">
        <v>10746</v>
      </c>
      <c r="G2436" s="9" t="n">
        <v>-788692</v>
      </c>
      <c r="H2436" s="6" t="s">
        <v>384</v>
      </c>
      <c r="I2436" s="6" t="s">
        <v>13</v>
      </c>
      <c r="J2436" s="6" t="s">
        <v>228</v>
      </c>
      <c r="K2436" s="6" t="s">
        <v>9552</v>
      </c>
      <c r="M2436" s="6" t="s">
        <v>10747</v>
      </c>
    </row>
    <row r="2437" customFormat="false" ht="15" hidden="false" customHeight="false" outlineLevel="0" collapsed="false">
      <c r="A2437" s="6" t="s">
        <v>10750</v>
      </c>
      <c r="B2437" s="6" t="s">
        <v>5320</v>
      </c>
      <c r="C2437" s="6" t="s">
        <v>5316</v>
      </c>
      <c r="D2437" s="6" t="s">
        <v>9797</v>
      </c>
      <c r="E2437" s="6" t="s">
        <v>10751</v>
      </c>
      <c r="F2437" s="6" t="s">
        <v>10752</v>
      </c>
      <c r="H2437" s="6" t="s">
        <v>7024</v>
      </c>
      <c r="I2437" s="6" t="s">
        <v>13</v>
      </c>
      <c r="J2437" s="6" t="s">
        <v>253</v>
      </c>
      <c r="K2437" s="6" t="s">
        <v>6817</v>
      </c>
      <c r="M2437" s="6"/>
    </row>
    <row r="2438" customFormat="false" ht="15" hidden="false" customHeight="false" outlineLevel="0" collapsed="false">
      <c r="A2438" s="6" t="s">
        <v>10753</v>
      </c>
      <c r="B2438" s="6" t="s">
        <v>6032</v>
      </c>
      <c r="C2438" s="6" t="s">
        <v>4975</v>
      </c>
      <c r="D2438" s="6" t="s">
        <v>9797</v>
      </c>
      <c r="E2438" s="6" t="s">
        <v>10754</v>
      </c>
      <c r="F2438" s="6" t="s">
        <v>10755</v>
      </c>
      <c r="G2438" s="9" t="n">
        <v>1349</v>
      </c>
      <c r="H2438" s="6" t="s">
        <v>384</v>
      </c>
      <c r="I2438" s="6" t="s">
        <v>13</v>
      </c>
      <c r="J2438" s="6" t="s">
        <v>209</v>
      </c>
      <c r="K2438" s="6" t="s">
        <v>10756</v>
      </c>
      <c r="M2438" s="6"/>
    </row>
    <row r="2439" customFormat="false" ht="15" hidden="false" customHeight="false" outlineLevel="0" collapsed="false">
      <c r="A2439" s="6" t="s">
        <v>10757</v>
      </c>
      <c r="B2439" s="6" t="s">
        <v>5203</v>
      </c>
      <c r="C2439" s="6" t="s">
        <v>4975</v>
      </c>
      <c r="D2439" s="6" t="s">
        <v>9797</v>
      </c>
      <c r="E2439" s="6" t="s">
        <v>10754</v>
      </c>
      <c r="F2439" s="6" t="s">
        <v>10755</v>
      </c>
      <c r="G2439" s="9" t="n">
        <v>2721</v>
      </c>
      <c r="H2439" s="6" t="s">
        <v>384</v>
      </c>
      <c r="I2439" s="6" t="s">
        <v>13</v>
      </c>
      <c r="J2439" s="6" t="s">
        <v>209</v>
      </c>
      <c r="K2439" s="6" t="s">
        <v>10756</v>
      </c>
      <c r="M2439" s="6"/>
    </row>
    <row r="2440" customFormat="false" ht="15" hidden="false" customHeight="false" outlineLevel="0" collapsed="false">
      <c r="A2440" s="6" t="s">
        <v>10758</v>
      </c>
      <c r="B2440" s="6" t="s">
        <v>5102</v>
      </c>
      <c r="C2440" s="6" t="s">
        <v>4975</v>
      </c>
      <c r="D2440" s="6" t="s">
        <v>9797</v>
      </c>
      <c r="E2440" s="6" t="s">
        <v>10754</v>
      </c>
      <c r="F2440" s="6" t="s">
        <v>10755</v>
      </c>
      <c r="G2440" s="9" t="n">
        <v>4608</v>
      </c>
      <c r="H2440" s="6" t="s">
        <v>384</v>
      </c>
      <c r="I2440" s="6" t="s">
        <v>13</v>
      </c>
      <c r="J2440" s="6" t="s">
        <v>209</v>
      </c>
      <c r="K2440" s="6" t="s">
        <v>10756</v>
      </c>
      <c r="M2440" s="6"/>
    </row>
    <row r="2441" customFormat="false" ht="15" hidden="false" customHeight="false" outlineLevel="0" collapsed="false">
      <c r="A2441" s="6" t="s">
        <v>10759</v>
      </c>
      <c r="B2441" s="6" t="s">
        <v>5097</v>
      </c>
      <c r="C2441" s="6" t="s">
        <v>4975</v>
      </c>
      <c r="D2441" s="6" t="s">
        <v>9797</v>
      </c>
      <c r="E2441" s="6" t="s">
        <v>10760</v>
      </c>
      <c r="F2441" s="6" t="s">
        <v>10761</v>
      </c>
      <c r="G2441" s="19" t="n">
        <v>100</v>
      </c>
      <c r="H2441" s="6" t="s">
        <v>5105</v>
      </c>
      <c r="I2441" s="6" t="s">
        <v>13</v>
      </c>
      <c r="J2441" s="6" t="s">
        <v>218</v>
      </c>
      <c r="K2441" s="6" t="s">
        <v>10647</v>
      </c>
      <c r="M2441" s="6" t="s">
        <v>10762</v>
      </c>
    </row>
    <row r="2442" customFormat="false" ht="15" hidden="false" customHeight="false" outlineLevel="0" collapsed="false">
      <c r="A2442" s="6" t="s">
        <v>10763</v>
      </c>
      <c r="B2442" s="6" t="s">
        <v>10735</v>
      </c>
      <c r="C2442" s="6" t="s">
        <v>5050</v>
      </c>
      <c r="D2442" s="6" t="s">
        <v>9797</v>
      </c>
      <c r="E2442" s="6" t="s">
        <v>10764</v>
      </c>
      <c r="F2442" s="6" t="s">
        <v>10765</v>
      </c>
      <c r="H2442" s="6" t="s">
        <v>362</v>
      </c>
      <c r="I2442" s="6" t="s">
        <v>13</v>
      </c>
      <c r="J2442" s="6" t="s">
        <v>233</v>
      </c>
      <c r="K2442" s="6" t="s">
        <v>10766</v>
      </c>
      <c r="M2442" s="6" t="s">
        <v>10767</v>
      </c>
    </row>
    <row r="2443" customFormat="false" ht="15" hidden="false" customHeight="false" outlineLevel="0" collapsed="false">
      <c r="A2443" s="6" t="s">
        <v>10768</v>
      </c>
      <c r="B2443" s="6" t="s">
        <v>5049</v>
      </c>
      <c r="C2443" s="6" t="s">
        <v>5050</v>
      </c>
      <c r="D2443" s="6" t="s">
        <v>9797</v>
      </c>
      <c r="E2443" s="6" t="s">
        <v>10769</v>
      </c>
      <c r="F2443" s="6" t="s">
        <v>10770</v>
      </c>
      <c r="G2443" s="12" t="n">
        <v>5281960</v>
      </c>
      <c r="H2443" s="6" t="s">
        <v>3739</v>
      </c>
      <c r="I2443" s="6" t="s">
        <v>13</v>
      </c>
      <c r="J2443" s="6" t="s">
        <v>209</v>
      </c>
      <c r="K2443" s="6" t="s">
        <v>10771</v>
      </c>
      <c r="M2443" s="6"/>
    </row>
    <row r="2444" customFormat="false" ht="15" hidden="false" customHeight="false" outlineLevel="0" collapsed="false">
      <c r="A2444" s="6" t="s">
        <v>10772</v>
      </c>
      <c r="B2444" s="6" t="s">
        <v>5102</v>
      </c>
      <c r="C2444" s="6" t="s">
        <v>4975</v>
      </c>
      <c r="D2444" s="6" t="s">
        <v>9797</v>
      </c>
      <c r="E2444" s="6" t="s">
        <v>10773</v>
      </c>
      <c r="F2444" s="6" t="s">
        <v>10444</v>
      </c>
      <c r="H2444" s="6" t="s">
        <v>5122</v>
      </c>
      <c r="I2444" s="6" t="s">
        <v>13</v>
      </c>
      <c r="J2444" s="6" t="s">
        <v>209</v>
      </c>
      <c r="K2444" s="6" t="s">
        <v>10774</v>
      </c>
      <c r="M2444" s="6" t="s">
        <v>10446</v>
      </c>
    </row>
    <row r="2445" customFormat="false" ht="15" hidden="false" customHeight="false" outlineLevel="0" collapsed="false">
      <c r="A2445" s="6" t="s">
        <v>10775</v>
      </c>
      <c r="B2445" s="6" t="s">
        <v>10776</v>
      </c>
      <c r="C2445" s="6" t="s">
        <v>4975</v>
      </c>
      <c r="D2445" s="6" t="s">
        <v>9797</v>
      </c>
      <c r="E2445" s="6" t="s">
        <v>10777</v>
      </c>
      <c r="F2445" s="6" t="s">
        <v>10778</v>
      </c>
      <c r="G2445" s="19" t="n">
        <v>56.1</v>
      </c>
      <c r="H2445" s="6" t="s">
        <v>5337</v>
      </c>
      <c r="I2445" s="6" t="s">
        <v>13</v>
      </c>
      <c r="J2445" s="6" t="s">
        <v>209</v>
      </c>
      <c r="K2445" s="6" t="s">
        <v>10779</v>
      </c>
      <c r="M2445" s="6" t="s">
        <v>10780</v>
      </c>
    </row>
    <row r="2446" customFormat="false" ht="15" hidden="false" customHeight="false" outlineLevel="0" collapsed="false">
      <c r="A2446" s="6" t="s">
        <v>10781</v>
      </c>
      <c r="B2446" s="6" t="s">
        <v>5203</v>
      </c>
      <c r="C2446" s="6" t="s">
        <v>4975</v>
      </c>
      <c r="D2446" s="6" t="s">
        <v>9797</v>
      </c>
      <c r="E2446" s="6" t="s">
        <v>10777</v>
      </c>
      <c r="F2446" s="6" t="s">
        <v>10782</v>
      </c>
      <c r="G2446" s="19" t="n">
        <v>56.1</v>
      </c>
      <c r="H2446" s="6" t="s">
        <v>5337</v>
      </c>
      <c r="I2446" s="6" t="s">
        <v>13</v>
      </c>
      <c r="J2446" s="6" t="s">
        <v>218</v>
      </c>
      <c r="K2446" s="6" t="s">
        <v>10783</v>
      </c>
      <c r="M2446" s="6"/>
    </row>
    <row r="2447" customFormat="false" ht="15" hidden="false" customHeight="false" outlineLevel="0" collapsed="false">
      <c r="A2447" s="6" t="s">
        <v>10784</v>
      </c>
      <c r="B2447" s="6" t="s">
        <v>5113</v>
      </c>
      <c r="C2447" s="6" t="s">
        <v>4975</v>
      </c>
      <c r="D2447" s="6" t="s">
        <v>9797</v>
      </c>
      <c r="E2447" s="6" t="s">
        <v>10785</v>
      </c>
      <c r="F2447" s="6" t="s">
        <v>10782</v>
      </c>
      <c r="G2447" s="19" t="n">
        <v>87.6</v>
      </c>
      <c r="H2447" s="6" t="s">
        <v>5337</v>
      </c>
      <c r="I2447" s="6" t="s">
        <v>13</v>
      </c>
      <c r="J2447" s="6" t="s">
        <v>218</v>
      </c>
      <c r="K2447" s="6" t="s">
        <v>10783</v>
      </c>
      <c r="M2447" s="6"/>
    </row>
    <row r="2448" customFormat="false" ht="15" hidden="false" customHeight="false" outlineLevel="0" collapsed="false">
      <c r="A2448" s="6" t="s">
        <v>10786</v>
      </c>
      <c r="B2448" s="6" t="s">
        <v>10787</v>
      </c>
      <c r="C2448" s="6" t="s">
        <v>4975</v>
      </c>
      <c r="D2448" s="6" t="s">
        <v>9797</v>
      </c>
      <c r="E2448" s="6" t="s">
        <v>10788</v>
      </c>
      <c r="F2448" s="6" t="s">
        <v>10789</v>
      </c>
      <c r="G2448" s="19" t="n">
        <v>101</v>
      </c>
      <c r="H2448" s="6" t="s">
        <v>5337</v>
      </c>
      <c r="I2448" s="6" t="s">
        <v>13</v>
      </c>
      <c r="J2448" s="6" t="s">
        <v>223</v>
      </c>
      <c r="K2448" s="6" t="s">
        <v>10790</v>
      </c>
      <c r="M2448" s="6"/>
    </row>
    <row r="2449" customFormat="false" ht="15" hidden="false" customHeight="false" outlineLevel="0" collapsed="false">
      <c r="A2449" s="6" t="s">
        <v>10791</v>
      </c>
      <c r="B2449" s="6" t="s">
        <v>10792</v>
      </c>
      <c r="C2449" s="6" t="s">
        <v>4975</v>
      </c>
      <c r="D2449" s="6" t="s">
        <v>9797</v>
      </c>
      <c r="E2449" s="6" t="s">
        <v>10788</v>
      </c>
      <c r="F2449" s="6" t="s">
        <v>10793</v>
      </c>
      <c r="G2449" s="19" t="n">
        <v>150</v>
      </c>
      <c r="H2449" s="6" t="s">
        <v>5337</v>
      </c>
      <c r="I2449" s="6" t="s">
        <v>13</v>
      </c>
      <c r="J2449" s="6" t="s">
        <v>223</v>
      </c>
      <c r="K2449" s="6" t="s">
        <v>10790</v>
      </c>
      <c r="M2449" s="6" t="s">
        <v>10794</v>
      </c>
    </row>
    <row r="2450" customFormat="false" ht="15" hidden="false" customHeight="false" outlineLevel="0" collapsed="false">
      <c r="A2450" s="6" t="s">
        <v>10795</v>
      </c>
      <c r="B2450" s="6" t="s">
        <v>6032</v>
      </c>
      <c r="C2450" s="6" t="s">
        <v>4975</v>
      </c>
      <c r="D2450" s="6" t="s">
        <v>9797</v>
      </c>
      <c r="E2450" s="6" t="s">
        <v>10796</v>
      </c>
      <c r="F2450" s="6" t="s">
        <v>10797</v>
      </c>
      <c r="G2450" s="9" t="n">
        <v>158629</v>
      </c>
      <c r="H2450" s="6" t="s">
        <v>384</v>
      </c>
      <c r="I2450" s="6" t="s">
        <v>13</v>
      </c>
      <c r="J2450" s="6" t="s">
        <v>209</v>
      </c>
      <c r="K2450" s="6" t="s">
        <v>9942</v>
      </c>
      <c r="M2450" s="6"/>
    </row>
    <row r="2451" customFormat="false" ht="15" hidden="false" customHeight="false" outlineLevel="0" collapsed="false">
      <c r="A2451" s="6" t="s">
        <v>10798</v>
      </c>
      <c r="B2451" s="6" t="s">
        <v>5203</v>
      </c>
      <c r="C2451" s="6" t="s">
        <v>4975</v>
      </c>
      <c r="D2451" s="6" t="s">
        <v>9797</v>
      </c>
      <c r="E2451" s="6" t="s">
        <v>10796</v>
      </c>
      <c r="F2451" s="6" t="s">
        <v>10797</v>
      </c>
      <c r="G2451" s="9" t="n">
        <v>289172</v>
      </c>
      <c r="H2451" s="6" t="s">
        <v>384</v>
      </c>
      <c r="I2451" s="6" t="s">
        <v>13</v>
      </c>
      <c r="J2451" s="6" t="s">
        <v>209</v>
      </c>
      <c r="K2451" s="6" t="s">
        <v>9942</v>
      </c>
      <c r="M2451" s="6"/>
    </row>
    <row r="2452" customFormat="false" ht="15" hidden="false" customHeight="false" outlineLevel="0" collapsed="false">
      <c r="A2452" s="6" t="s">
        <v>10799</v>
      </c>
      <c r="B2452" s="6" t="s">
        <v>5102</v>
      </c>
      <c r="C2452" s="6" t="s">
        <v>4975</v>
      </c>
      <c r="D2452" s="6" t="s">
        <v>9797</v>
      </c>
      <c r="E2452" s="6" t="s">
        <v>10796</v>
      </c>
      <c r="F2452" s="6" t="s">
        <v>10797</v>
      </c>
      <c r="G2452" s="9" t="n">
        <v>395262</v>
      </c>
      <c r="H2452" s="6" t="s">
        <v>384</v>
      </c>
      <c r="I2452" s="6" t="s">
        <v>13</v>
      </c>
      <c r="J2452" s="6" t="s">
        <v>209</v>
      </c>
      <c r="K2452" s="6" t="s">
        <v>9942</v>
      </c>
      <c r="M2452" s="6" t="s">
        <v>10800</v>
      </c>
    </row>
    <row r="2453" customFormat="false" ht="15" hidden="false" customHeight="false" outlineLevel="0" collapsed="false">
      <c r="A2453" s="6" t="s">
        <v>10801</v>
      </c>
      <c r="B2453" s="6" t="s">
        <v>5519</v>
      </c>
      <c r="C2453" s="6" t="s">
        <v>5316</v>
      </c>
      <c r="D2453" s="6" t="s">
        <v>9797</v>
      </c>
      <c r="E2453" s="6" t="s">
        <v>10796</v>
      </c>
      <c r="F2453" s="6" t="s">
        <v>10802</v>
      </c>
      <c r="G2453" s="9" t="n">
        <v>336324</v>
      </c>
      <c r="H2453" s="6" t="s">
        <v>384</v>
      </c>
      <c r="I2453" s="6" t="s">
        <v>13</v>
      </c>
      <c r="J2453" s="6" t="s">
        <v>238</v>
      </c>
      <c r="K2453" s="6" t="s">
        <v>5824</v>
      </c>
      <c r="M2453" s="6" t="s">
        <v>5055</v>
      </c>
    </row>
    <row r="2454" customFormat="false" ht="15" hidden="false" customHeight="false" outlineLevel="0" collapsed="false">
      <c r="A2454" s="6" t="s">
        <v>10803</v>
      </c>
      <c r="B2454" s="6" t="s">
        <v>5315</v>
      </c>
      <c r="C2454" s="6" t="s">
        <v>5316</v>
      </c>
      <c r="D2454" s="6" t="s">
        <v>9797</v>
      </c>
      <c r="E2454" s="6" t="s">
        <v>10796</v>
      </c>
      <c r="F2454" s="6" t="s">
        <v>10802</v>
      </c>
      <c r="G2454" s="9" t="n">
        <v>409030</v>
      </c>
      <c r="H2454" s="6" t="s">
        <v>384</v>
      </c>
      <c r="I2454" s="6" t="s">
        <v>13</v>
      </c>
      <c r="J2454" s="6" t="s">
        <v>238</v>
      </c>
      <c r="K2454" s="6" t="s">
        <v>5824</v>
      </c>
      <c r="M2454" s="6" t="s">
        <v>5055</v>
      </c>
    </row>
    <row r="2455" customFormat="false" ht="15" hidden="false" customHeight="false" outlineLevel="0" collapsed="false">
      <c r="A2455" s="6" t="s">
        <v>10804</v>
      </c>
      <c r="B2455" s="6" t="s">
        <v>5320</v>
      </c>
      <c r="C2455" s="6" t="s">
        <v>5316</v>
      </c>
      <c r="D2455" s="6" t="s">
        <v>9797</v>
      </c>
      <c r="E2455" s="6" t="s">
        <v>10796</v>
      </c>
      <c r="F2455" s="6" t="s">
        <v>10805</v>
      </c>
      <c r="G2455" s="9" t="n">
        <v>523041</v>
      </c>
      <c r="H2455" s="6" t="s">
        <v>384</v>
      </c>
      <c r="I2455" s="6" t="s">
        <v>13</v>
      </c>
      <c r="J2455" s="6" t="s">
        <v>253</v>
      </c>
      <c r="K2455" s="6" t="s">
        <v>5828</v>
      </c>
      <c r="M2455" s="6"/>
    </row>
    <row r="2456" customFormat="false" ht="15" hidden="false" customHeight="false" outlineLevel="0" collapsed="false">
      <c r="A2456" s="6" t="s">
        <v>10806</v>
      </c>
      <c r="B2456" s="6" t="s">
        <v>5325</v>
      </c>
      <c r="C2456" s="6" t="s">
        <v>5316</v>
      </c>
      <c r="D2456" s="6" t="s">
        <v>9797</v>
      </c>
      <c r="E2456" s="6" t="s">
        <v>10796</v>
      </c>
      <c r="F2456" s="6" t="s">
        <v>10807</v>
      </c>
      <c r="G2456" s="9" t="n">
        <v>616891</v>
      </c>
      <c r="H2456" s="6" t="s">
        <v>384</v>
      </c>
      <c r="I2456" s="6" t="s">
        <v>13</v>
      </c>
      <c r="J2456" s="6" t="s">
        <v>261</v>
      </c>
      <c r="K2456" s="6" t="s">
        <v>5831</v>
      </c>
      <c r="M2456" s="6"/>
    </row>
    <row r="2457" customFormat="false" ht="15" hidden="false" customHeight="false" outlineLevel="0" collapsed="false">
      <c r="A2457" s="6" t="s">
        <v>10808</v>
      </c>
      <c r="B2457" s="6" t="s">
        <v>5097</v>
      </c>
      <c r="C2457" s="6" t="s">
        <v>4975</v>
      </c>
      <c r="D2457" s="6" t="s">
        <v>9797</v>
      </c>
      <c r="E2457" s="6" t="s">
        <v>10809</v>
      </c>
      <c r="F2457" s="6" t="s">
        <v>10810</v>
      </c>
      <c r="G2457" s="9" t="n">
        <v>749</v>
      </c>
      <c r="H2457" s="6" t="s">
        <v>384</v>
      </c>
      <c r="I2457" s="6" t="s">
        <v>13</v>
      </c>
      <c r="J2457" s="6" t="s">
        <v>218</v>
      </c>
      <c r="K2457" s="6" t="s">
        <v>10811</v>
      </c>
      <c r="M2457" s="6"/>
    </row>
    <row r="2458" customFormat="false" ht="15" hidden="false" customHeight="false" outlineLevel="0" collapsed="false">
      <c r="A2458" s="6" t="s">
        <v>10812</v>
      </c>
      <c r="B2458" s="6" t="s">
        <v>6032</v>
      </c>
      <c r="C2458" s="6" t="s">
        <v>4975</v>
      </c>
      <c r="D2458" s="6" t="s">
        <v>9797</v>
      </c>
      <c r="E2458" s="6" t="s">
        <v>5221</v>
      </c>
      <c r="F2458" s="6" t="s">
        <v>10813</v>
      </c>
      <c r="G2458" s="9" t="n">
        <v>165</v>
      </c>
      <c r="H2458" s="6" t="s">
        <v>384</v>
      </c>
      <c r="I2458" s="6" t="s">
        <v>13</v>
      </c>
      <c r="J2458" s="6" t="s">
        <v>209</v>
      </c>
      <c r="K2458" s="6" t="s">
        <v>10756</v>
      </c>
      <c r="M2458" s="6"/>
    </row>
    <row r="2459" customFormat="false" ht="15" hidden="false" customHeight="false" outlineLevel="0" collapsed="false">
      <c r="A2459" s="6" t="s">
        <v>10814</v>
      </c>
      <c r="B2459" s="6" t="s">
        <v>5203</v>
      </c>
      <c r="C2459" s="6" t="s">
        <v>4975</v>
      </c>
      <c r="D2459" s="6" t="s">
        <v>9797</v>
      </c>
      <c r="E2459" s="6" t="s">
        <v>5221</v>
      </c>
      <c r="F2459" s="6" t="s">
        <v>10813</v>
      </c>
      <c r="G2459" s="9" t="n">
        <v>529</v>
      </c>
      <c r="H2459" s="6" t="s">
        <v>384</v>
      </c>
      <c r="I2459" s="6" t="s">
        <v>13</v>
      </c>
      <c r="J2459" s="6" t="s">
        <v>209</v>
      </c>
      <c r="K2459" s="6" t="s">
        <v>10756</v>
      </c>
      <c r="M2459" s="6"/>
    </row>
    <row r="2460" customFormat="false" ht="15" hidden="false" customHeight="false" outlineLevel="0" collapsed="false">
      <c r="A2460" s="6" t="s">
        <v>10815</v>
      </c>
      <c r="B2460" s="6" t="s">
        <v>5102</v>
      </c>
      <c r="C2460" s="6" t="s">
        <v>4975</v>
      </c>
      <c r="D2460" s="6" t="s">
        <v>9797</v>
      </c>
      <c r="E2460" s="6" t="s">
        <v>5221</v>
      </c>
      <c r="F2460" s="6" t="s">
        <v>10813</v>
      </c>
      <c r="G2460" s="9" t="n">
        <v>915</v>
      </c>
      <c r="H2460" s="6" t="s">
        <v>384</v>
      </c>
      <c r="I2460" s="6" t="s">
        <v>13</v>
      </c>
      <c r="J2460" s="6" t="s">
        <v>209</v>
      </c>
      <c r="K2460" s="6" t="s">
        <v>10756</v>
      </c>
      <c r="M2460" s="6"/>
    </row>
    <row r="2461" customFormat="false" ht="15" hidden="false" customHeight="false" outlineLevel="0" collapsed="false">
      <c r="A2461" s="6" t="s">
        <v>10816</v>
      </c>
      <c r="B2461" s="6" t="s">
        <v>5113</v>
      </c>
      <c r="C2461" s="6" t="s">
        <v>4975</v>
      </c>
      <c r="D2461" s="6" t="s">
        <v>9797</v>
      </c>
      <c r="E2461" s="6" t="s">
        <v>6928</v>
      </c>
      <c r="F2461" s="6" t="s">
        <v>10817</v>
      </c>
      <c r="G2461" s="12" t="n">
        <v>52420826</v>
      </c>
      <c r="H2461" s="6" t="s">
        <v>3739</v>
      </c>
      <c r="I2461" s="6" t="s">
        <v>13</v>
      </c>
      <c r="J2461" s="6" t="s">
        <v>228</v>
      </c>
      <c r="K2461" s="6" t="s">
        <v>10053</v>
      </c>
      <c r="M2461" s="6"/>
    </row>
    <row r="2462" customFormat="false" ht="15" hidden="false" customHeight="false" outlineLevel="0" collapsed="false">
      <c r="A2462" s="6" t="s">
        <v>10818</v>
      </c>
      <c r="B2462" s="6" t="s">
        <v>5097</v>
      </c>
      <c r="C2462" s="6" t="s">
        <v>4975</v>
      </c>
      <c r="D2462" s="6" t="s">
        <v>9797</v>
      </c>
      <c r="E2462" s="6" t="s">
        <v>6949</v>
      </c>
      <c r="F2462" s="6" t="s">
        <v>10819</v>
      </c>
      <c r="G2462" s="12" t="n">
        <v>45804714</v>
      </c>
      <c r="H2462" s="6" t="s">
        <v>3739</v>
      </c>
      <c r="I2462" s="6" t="s">
        <v>13</v>
      </c>
      <c r="J2462" s="6" t="s">
        <v>218</v>
      </c>
      <c r="K2462" s="6" t="s">
        <v>10414</v>
      </c>
      <c r="M2462" s="6"/>
    </row>
    <row r="2463" customFormat="false" ht="15" hidden="false" customHeight="false" outlineLevel="0" collapsed="false">
      <c r="A2463" s="6" t="s">
        <v>10820</v>
      </c>
      <c r="B2463" s="6" t="s">
        <v>6032</v>
      </c>
      <c r="C2463" s="6" t="s">
        <v>4975</v>
      </c>
      <c r="D2463" s="6" t="s">
        <v>9797</v>
      </c>
      <c r="E2463" s="6" t="s">
        <v>10821</v>
      </c>
      <c r="F2463" s="6" t="s">
        <v>10822</v>
      </c>
      <c r="G2463" s="12" t="n">
        <v>11348428</v>
      </c>
      <c r="H2463" s="6" t="s">
        <v>3739</v>
      </c>
      <c r="I2463" s="6" t="s">
        <v>13</v>
      </c>
      <c r="J2463" s="6" t="s">
        <v>209</v>
      </c>
      <c r="K2463" s="6" t="s">
        <v>9942</v>
      </c>
      <c r="M2463" s="6"/>
    </row>
    <row r="2464" customFormat="false" ht="15" hidden="false" customHeight="false" outlineLevel="0" collapsed="false">
      <c r="A2464" s="6" t="s">
        <v>10823</v>
      </c>
      <c r="B2464" s="6" t="s">
        <v>5203</v>
      </c>
      <c r="C2464" s="6" t="s">
        <v>4975</v>
      </c>
      <c r="D2464" s="6" t="s">
        <v>9797</v>
      </c>
      <c r="E2464" s="6" t="s">
        <v>10821</v>
      </c>
      <c r="F2464" s="6" t="s">
        <v>10822</v>
      </c>
      <c r="G2464" s="12" t="n">
        <v>12048909</v>
      </c>
      <c r="H2464" s="6" t="s">
        <v>3739</v>
      </c>
      <c r="I2464" s="6" t="s">
        <v>13</v>
      </c>
      <c r="J2464" s="6" t="s">
        <v>209</v>
      </c>
      <c r="K2464" s="6" t="s">
        <v>9942</v>
      </c>
      <c r="M2464" s="6"/>
    </row>
    <row r="2465" customFormat="false" ht="15" hidden="false" customHeight="false" outlineLevel="0" collapsed="false">
      <c r="A2465" s="6" t="s">
        <v>10824</v>
      </c>
      <c r="B2465" s="6" t="s">
        <v>5102</v>
      </c>
      <c r="C2465" s="6" t="s">
        <v>4975</v>
      </c>
      <c r="D2465" s="6" t="s">
        <v>9797</v>
      </c>
      <c r="E2465" s="6" t="s">
        <v>10821</v>
      </c>
      <c r="F2465" s="6" t="s">
        <v>10822</v>
      </c>
      <c r="G2465" s="12" t="n">
        <v>30332006</v>
      </c>
      <c r="H2465" s="6" t="s">
        <v>3739</v>
      </c>
      <c r="I2465" s="6" t="s">
        <v>13</v>
      </c>
      <c r="J2465" s="6" t="s">
        <v>209</v>
      </c>
      <c r="K2465" s="6" t="s">
        <v>9942</v>
      </c>
      <c r="M2465" s="6"/>
    </row>
    <row r="2466" customFormat="false" ht="15" hidden="false" customHeight="false" outlineLevel="0" collapsed="false">
      <c r="A2466" s="6" t="s">
        <v>10825</v>
      </c>
      <c r="B2466" s="6" t="s">
        <v>5074</v>
      </c>
      <c r="C2466" s="6" t="s">
        <v>4975</v>
      </c>
      <c r="D2466" s="6" t="s">
        <v>9797</v>
      </c>
      <c r="E2466" s="6" t="s">
        <v>10826</v>
      </c>
      <c r="F2466" s="6" t="s">
        <v>10827</v>
      </c>
      <c r="G2466" s="12" t="n">
        <v>48366378</v>
      </c>
      <c r="H2466" s="6" t="s">
        <v>3739</v>
      </c>
      <c r="I2466" s="6" t="s">
        <v>13</v>
      </c>
      <c r="J2466" s="6" t="s">
        <v>233</v>
      </c>
      <c r="K2466" s="6" t="s">
        <v>10828</v>
      </c>
      <c r="M2466" s="6"/>
    </row>
    <row r="2467" customFormat="false" ht="15" hidden="false" customHeight="false" outlineLevel="0" collapsed="false">
      <c r="A2467" s="6" t="s">
        <v>10829</v>
      </c>
      <c r="B2467" s="6" t="s">
        <v>5113</v>
      </c>
      <c r="C2467" s="6" t="s">
        <v>4975</v>
      </c>
      <c r="D2467" s="6" t="s">
        <v>9797</v>
      </c>
      <c r="E2467" s="6" t="s">
        <v>10826</v>
      </c>
      <c r="F2467" s="6" t="s">
        <v>10827</v>
      </c>
      <c r="G2467" s="12" t="n">
        <v>52420826</v>
      </c>
      <c r="H2467" s="6" t="s">
        <v>3739</v>
      </c>
      <c r="I2467" s="6" t="s">
        <v>13</v>
      </c>
      <c r="J2467" s="6" t="s">
        <v>233</v>
      </c>
      <c r="K2467" s="6" t="s">
        <v>10828</v>
      </c>
      <c r="M2467" s="6"/>
    </row>
    <row r="2468" customFormat="false" ht="15" hidden="false" customHeight="false" outlineLevel="0" collapsed="false">
      <c r="A2468" s="6" t="s">
        <v>10830</v>
      </c>
      <c r="B2468" s="6" t="s">
        <v>5079</v>
      </c>
      <c r="C2468" s="6" t="s">
        <v>4975</v>
      </c>
      <c r="D2468" s="6" t="s">
        <v>9797</v>
      </c>
      <c r="E2468" s="6" t="s">
        <v>10826</v>
      </c>
      <c r="F2468" s="6" t="s">
        <v>10827</v>
      </c>
      <c r="G2468" s="12" t="n">
        <v>53086984</v>
      </c>
      <c r="H2468" s="6" t="s">
        <v>3739</v>
      </c>
      <c r="I2468" s="6" t="s">
        <v>13</v>
      </c>
      <c r="J2468" s="6" t="s">
        <v>233</v>
      </c>
      <c r="K2468" s="6" t="s">
        <v>10828</v>
      </c>
      <c r="M2468" s="6"/>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5" min="5" style="0" width="46"/>
    <col collapsed="false" customWidth="true" hidden="false" outlineLevel="0" max="6" min="6" style="0" width="60"/>
    <col collapsed="false" customWidth="true" hidden="false" outlineLevel="0" max="7" min="7" style="0" width="16"/>
    <col collapsed="false" customWidth="true" hidden="false" outlineLevel="0" max="9" min="8" style="0" width="14"/>
    <col collapsed="false" customWidth="true" hidden="false" outlineLevel="0" max="11" min="10" style="0" width="12"/>
    <col collapsed="false" customWidth="true" hidden="false" outlineLevel="0" max="12" min="12" style="0" width="70"/>
    <col collapsed="false" customWidth="true" hidden="false" outlineLevel="0" max="13" min="13" style="0" width="12"/>
    <col collapsed="false" customWidth="true" hidden="false" outlineLevel="0" max="14" min="14" style="0" width="40"/>
  </cols>
  <sheetData>
    <row r="1" customFormat="false" ht="23.85" hidden="false" customHeight="false" outlineLevel="0" collapsed="false">
      <c r="A1" s="5" t="s">
        <v>365</v>
      </c>
      <c r="B1" s="5" t="s">
        <v>93</v>
      </c>
      <c r="C1" s="5" t="s">
        <v>366</v>
      </c>
      <c r="D1" s="5" t="s">
        <v>367</v>
      </c>
      <c r="E1" s="5" t="s">
        <v>10831</v>
      </c>
      <c r="F1" s="5" t="s">
        <v>10832</v>
      </c>
      <c r="G1" s="5" t="s">
        <v>10833</v>
      </c>
      <c r="H1" s="5" t="s">
        <v>10834</v>
      </c>
      <c r="I1" s="5" t="s">
        <v>374</v>
      </c>
      <c r="J1" s="5" t="s">
        <v>375</v>
      </c>
      <c r="K1" s="5" t="s">
        <v>90</v>
      </c>
      <c r="L1" s="5" t="s">
        <v>10835</v>
      </c>
      <c r="M1" s="5" t="s">
        <v>10836</v>
      </c>
      <c r="N1" s="5" t="s">
        <v>99</v>
      </c>
    </row>
    <row r="2" customFormat="false" ht="15" hidden="false" customHeight="false" outlineLevel="0" collapsed="false">
      <c r="A2" s="6" t="s">
        <v>10837</v>
      </c>
      <c r="B2" s="6" t="s">
        <v>379</v>
      </c>
      <c r="C2" s="7" t="n">
        <v>44286</v>
      </c>
      <c r="D2" s="6" t="s">
        <v>380</v>
      </c>
      <c r="E2" s="6" t="s">
        <v>10838</v>
      </c>
      <c r="F2" s="6" t="s">
        <v>10839</v>
      </c>
      <c r="G2" s="6" t="s">
        <v>10840</v>
      </c>
      <c r="H2" s="9" t="n">
        <v>51048</v>
      </c>
      <c r="I2" s="6" t="s">
        <v>384</v>
      </c>
      <c r="J2" s="6" t="s">
        <v>13</v>
      </c>
      <c r="K2" s="6" t="s">
        <v>119</v>
      </c>
      <c r="L2" s="6" t="s">
        <v>10841</v>
      </c>
      <c r="M2" s="6" t="s">
        <v>10842</v>
      </c>
      <c r="N2" s="6" t="s">
        <v>10843</v>
      </c>
    </row>
    <row r="3" customFormat="false" ht="15" hidden="false" customHeight="false" outlineLevel="0" collapsed="false">
      <c r="A3" s="6" t="s">
        <v>10844</v>
      </c>
      <c r="B3" s="6" t="s">
        <v>379</v>
      </c>
      <c r="C3" s="7" t="n">
        <v>44286</v>
      </c>
      <c r="D3" s="6" t="s">
        <v>380</v>
      </c>
      <c r="E3" s="6" t="s">
        <v>10838</v>
      </c>
      <c r="F3" s="6" t="s">
        <v>2706</v>
      </c>
      <c r="G3" s="6" t="s">
        <v>10845</v>
      </c>
      <c r="H3" s="9" t="n">
        <v>1531</v>
      </c>
      <c r="I3" s="6" t="s">
        <v>384</v>
      </c>
      <c r="J3" s="6" t="s">
        <v>13</v>
      </c>
      <c r="K3" s="6" t="s">
        <v>119</v>
      </c>
      <c r="L3" s="6" t="s">
        <v>10846</v>
      </c>
      <c r="M3" s="6" t="s">
        <v>10842</v>
      </c>
      <c r="N3" s="6" t="s">
        <v>10843</v>
      </c>
    </row>
    <row r="4" customFormat="false" ht="15" hidden="false" customHeight="false" outlineLevel="0" collapsed="false">
      <c r="A4" s="6" t="s">
        <v>10847</v>
      </c>
      <c r="B4" s="6" t="s">
        <v>379</v>
      </c>
      <c r="C4" s="7" t="n">
        <v>44286</v>
      </c>
      <c r="D4" s="6" t="s">
        <v>380</v>
      </c>
      <c r="E4" s="6" t="s">
        <v>10838</v>
      </c>
      <c r="F4" s="6" t="s">
        <v>10848</v>
      </c>
      <c r="G4" s="6" t="s">
        <v>10849</v>
      </c>
      <c r="H4" s="9" t="n">
        <v>52579</v>
      </c>
      <c r="I4" s="6" t="s">
        <v>384</v>
      </c>
      <c r="J4" s="6" t="s">
        <v>13</v>
      </c>
      <c r="K4" s="6" t="s">
        <v>119</v>
      </c>
      <c r="L4" s="6" t="s">
        <v>1737</v>
      </c>
      <c r="M4" s="6" t="s">
        <v>10842</v>
      </c>
      <c r="N4" s="6" t="s">
        <v>10843</v>
      </c>
    </row>
    <row r="5" customFormat="false" ht="15" hidden="false" customHeight="false" outlineLevel="0" collapsed="false">
      <c r="A5" s="6" t="s">
        <v>10850</v>
      </c>
      <c r="B5" s="6" t="s">
        <v>379</v>
      </c>
      <c r="C5" s="7" t="n">
        <v>44286</v>
      </c>
      <c r="D5" s="6" t="s">
        <v>380</v>
      </c>
      <c r="E5" s="6" t="s">
        <v>10851</v>
      </c>
      <c r="F5" s="6" t="s">
        <v>10852</v>
      </c>
      <c r="G5" s="6" t="s">
        <v>10840</v>
      </c>
      <c r="H5" s="9" t="n">
        <v>15581</v>
      </c>
      <c r="I5" s="6" t="s">
        <v>384</v>
      </c>
      <c r="J5" s="6" t="s">
        <v>13</v>
      </c>
      <c r="K5" s="6" t="s">
        <v>119</v>
      </c>
      <c r="L5" s="6" t="s">
        <v>10853</v>
      </c>
      <c r="M5" s="6" t="s">
        <v>10854</v>
      </c>
      <c r="N5" s="6" t="s">
        <v>10843</v>
      </c>
    </row>
    <row r="6" customFormat="false" ht="15" hidden="false" customHeight="false" outlineLevel="0" collapsed="false">
      <c r="A6" s="6" t="s">
        <v>10855</v>
      </c>
      <c r="B6" s="6" t="s">
        <v>379</v>
      </c>
      <c r="C6" s="7" t="n">
        <v>44286</v>
      </c>
      <c r="D6" s="6" t="s">
        <v>380</v>
      </c>
      <c r="E6" s="6" t="s">
        <v>10851</v>
      </c>
      <c r="F6" s="6" t="s">
        <v>2706</v>
      </c>
      <c r="G6" s="6" t="s">
        <v>10845</v>
      </c>
      <c r="H6" s="9" t="n">
        <v>-4537</v>
      </c>
      <c r="I6" s="6" t="s">
        <v>384</v>
      </c>
      <c r="J6" s="6" t="s">
        <v>13</v>
      </c>
      <c r="K6" s="6" t="s">
        <v>119</v>
      </c>
      <c r="L6" s="6" t="s">
        <v>10856</v>
      </c>
      <c r="M6" s="6" t="s">
        <v>10854</v>
      </c>
      <c r="N6" s="6" t="s">
        <v>10843</v>
      </c>
    </row>
    <row r="7" customFormat="false" ht="15" hidden="false" customHeight="false" outlineLevel="0" collapsed="false">
      <c r="A7" s="6" t="s">
        <v>10857</v>
      </c>
      <c r="B7" s="6" t="s">
        <v>379</v>
      </c>
      <c r="C7" s="7" t="n">
        <v>44286</v>
      </c>
      <c r="D7" s="6" t="s">
        <v>380</v>
      </c>
      <c r="E7" s="6" t="s">
        <v>10851</v>
      </c>
      <c r="F7" s="6" t="s">
        <v>10858</v>
      </c>
      <c r="G7" s="6" t="s">
        <v>10849</v>
      </c>
      <c r="H7" s="9" t="n">
        <v>11044</v>
      </c>
      <c r="I7" s="6" t="s">
        <v>384</v>
      </c>
      <c r="J7" s="6" t="s">
        <v>13</v>
      </c>
      <c r="K7" s="6" t="s">
        <v>119</v>
      </c>
      <c r="L7" s="6" t="s">
        <v>1930</v>
      </c>
      <c r="M7" s="6" t="s">
        <v>10854</v>
      </c>
      <c r="N7" s="6" t="s">
        <v>10843</v>
      </c>
    </row>
    <row r="8" customFormat="false" ht="15" hidden="false" customHeight="false" outlineLevel="0" collapsed="false">
      <c r="A8" s="6" t="s">
        <v>10859</v>
      </c>
      <c r="B8" s="6" t="s">
        <v>379</v>
      </c>
      <c r="C8" s="7" t="n">
        <v>44286</v>
      </c>
      <c r="D8" s="6" t="s">
        <v>380</v>
      </c>
      <c r="E8" s="6" t="s">
        <v>10851</v>
      </c>
      <c r="F8" s="6" t="s">
        <v>10860</v>
      </c>
      <c r="G8" s="6" t="s">
        <v>10840</v>
      </c>
      <c r="H8" s="9" t="n">
        <v>63048</v>
      </c>
      <c r="I8" s="6" t="s">
        <v>384</v>
      </c>
      <c r="J8" s="6" t="s">
        <v>13</v>
      </c>
      <c r="K8" s="6" t="s">
        <v>119</v>
      </c>
      <c r="L8" s="6" t="s">
        <v>10861</v>
      </c>
      <c r="M8" s="6" t="s">
        <v>10862</v>
      </c>
      <c r="N8" s="6" t="s">
        <v>10843</v>
      </c>
    </row>
    <row r="9" customFormat="false" ht="15" hidden="false" customHeight="false" outlineLevel="0" collapsed="false">
      <c r="A9" s="6" t="s">
        <v>10863</v>
      </c>
      <c r="B9" s="6" t="s">
        <v>379</v>
      </c>
      <c r="C9" s="7" t="n">
        <v>44286</v>
      </c>
      <c r="D9" s="6" t="s">
        <v>380</v>
      </c>
      <c r="E9" s="6" t="s">
        <v>10851</v>
      </c>
      <c r="F9" s="6" t="s">
        <v>2706</v>
      </c>
      <c r="G9" s="6" t="s">
        <v>10845</v>
      </c>
      <c r="H9" s="9" t="n">
        <v>-4034</v>
      </c>
      <c r="I9" s="6" t="s">
        <v>384</v>
      </c>
      <c r="J9" s="6" t="s">
        <v>13</v>
      </c>
      <c r="K9" s="6" t="s">
        <v>119</v>
      </c>
      <c r="L9" s="6" t="s">
        <v>10856</v>
      </c>
      <c r="M9" s="6" t="s">
        <v>10862</v>
      </c>
      <c r="N9" s="6" t="s">
        <v>10843</v>
      </c>
    </row>
    <row r="10" customFormat="false" ht="15" hidden="false" customHeight="false" outlineLevel="0" collapsed="false">
      <c r="A10" s="6" t="s">
        <v>10864</v>
      </c>
      <c r="B10" s="6" t="s">
        <v>379</v>
      </c>
      <c r="C10" s="7" t="n">
        <v>44286</v>
      </c>
      <c r="D10" s="6" t="s">
        <v>380</v>
      </c>
      <c r="E10" s="6" t="s">
        <v>10851</v>
      </c>
      <c r="F10" s="6" t="s">
        <v>10865</v>
      </c>
      <c r="G10" s="6" t="s">
        <v>10849</v>
      </c>
      <c r="H10" s="9" t="n">
        <v>59014</v>
      </c>
      <c r="I10" s="6" t="s">
        <v>384</v>
      </c>
      <c r="J10" s="6" t="s">
        <v>13</v>
      </c>
      <c r="K10" s="6" t="s">
        <v>119</v>
      </c>
      <c r="L10" s="6" t="s">
        <v>2045</v>
      </c>
      <c r="M10" s="6" t="s">
        <v>10862</v>
      </c>
      <c r="N10" s="6" t="s">
        <v>10843</v>
      </c>
    </row>
    <row r="11" customFormat="false" ht="15" hidden="false" customHeight="false" outlineLevel="0" collapsed="false">
      <c r="A11" s="6" t="s">
        <v>10866</v>
      </c>
      <c r="B11" s="6" t="s">
        <v>379</v>
      </c>
      <c r="C11" s="7" t="n">
        <v>44286</v>
      </c>
      <c r="D11" s="6" t="s">
        <v>380</v>
      </c>
      <c r="E11" s="6" t="s">
        <v>10851</v>
      </c>
      <c r="F11" s="6" t="s">
        <v>10867</v>
      </c>
      <c r="G11" s="6" t="s">
        <v>10840</v>
      </c>
      <c r="H11" s="9" t="n">
        <v>10266</v>
      </c>
      <c r="I11" s="6" t="s">
        <v>384</v>
      </c>
      <c r="J11" s="6" t="s">
        <v>13</v>
      </c>
      <c r="K11" s="6" t="s">
        <v>119</v>
      </c>
      <c r="L11" s="6" t="s">
        <v>10868</v>
      </c>
      <c r="M11" s="6" t="s">
        <v>10869</v>
      </c>
      <c r="N11" s="6" t="s">
        <v>10843</v>
      </c>
    </row>
    <row r="12" customFormat="false" ht="15" hidden="false" customHeight="false" outlineLevel="0" collapsed="false">
      <c r="A12" s="6" t="s">
        <v>10870</v>
      </c>
      <c r="B12" s="6" t="s">
        <v>379</v>
      </c>
      <c r="C12" s="7" t="n">
        <v>44286</v>
      </c>
      <c r="D12" s="6" t="s">
        <v>380</v>
      </c>
      <c r="E12" s="6" t="s">
        <v>10851</v>
      </c>
      <c r="F12" s="6" t="s">
        <v>2706</v>
      </c>
      <c r="G12" s="6" t="s">
        <v>10845</v>
      </c>
      <c r="H12" s="9" t="n">
        <v>-4438</v>
      </c>
      <c r="I12" s="6" t="s">
        <v>384</v>
      </c>
      <c r="J12" s="6" t="s">
        <v>13</v>
      </c>
      <c r="K12" s="6" t="s">
        <v>119</v>
      </c>
      <c r="L12" s="6" t="s">
        <v>10856</v>
      </c>
      <c r="M12" s="6" t="s">
        <v>10869</v>
      </c>
      <c r="N12" s="6" t="s">
        <v>10843</v>
      </c>
    </row>
    <row r="13" customFormat="false" ht="15" hidden="false" customHeight="false" outlineLevel="0" collapsed="false">
      <c r="A13" s="6" t="s">
        <v>10871</v>
      </c>
      <c r="B13" s="6" t="s">
        <v>379</v>
      </c>
      <c r="C13" s="7" t="n">
        <v>44286</v>
      </c>
      <c r="D13" s="6" t="s">
        <v>380</v>
      </c>
      <c r="E13" s="6" t="s">
        <v>10851</v>
      </c>
      <c r="F13" s="6" t="s">
        <v>10872</v>
      </c>
      <c r="G13" s="6" t="s">
        <v>10849</v>
      </c>
      <c r="H13" s="9" t="n">
        <v>5828</v>
      </c>
      <c r="I13" s="6" t="s">
        <v>384</v>
      </c>
      <c r="J13" s="6" t="s">
        <v>13</v>
      </c>
      <c r="K13" s="6" t="s">
        <v>119</v>
      </c>
      <c r="L13" s="6" t="s">
        <v>2160</v>
      </c>
      <c r="M13" s="6" t="s">
        <v>10869</v>
      </c>
      <c r="N13" s="6" t="s">
        <v>10843</v>
      </c>
    </row>
    <row r="14" customFormat="false" ht="15" hidden="false" customHeight="false" outlineLevel="0" collapsed="false">
      <c r="A14" s="6" t="s">
        <v>10873</v>
      </c>
      <c r="B14" s="6" t="s">
        <v>379</v>
      </c>
      <c r="C14" s="7" t="n">
        <v>44286</v>
      </c>
      <c r="D14" s="6" t="s">
        <v>380</v>
      </c>
      <c r="E14" s="6" t="s">
        <v>10874</v>
      </c>
      <c r="F14" s="6" t="s">
        <v>10165</v>
      </c>
      <c r="G14" s="6" t="s">
        <v>10840</v>
      </c>
      <c r="H14" s="9" t="n">
        <v>-37847</v>
      </c>
      <c r="I14" s="6" t="s">
        <v>384</v>
      </c>
      <c r="J14" s="6" t="s">
        <v>13</v>
      </c>
      <c r="K14" s="6" t="s">
        <v>119</v>
      </c>
      <c r="L14" s="6" t="s">
        <v>10875</v>
      </c>
      <c r="M14" s="6" t="s">
        <v>10876</v>
      </c>
      <c r="N14" s="6" t="s">
        <v>10843</v>
      </c>
    </row>
    <row r="15" customFormat="false" ht="15" hidden="false" customHeight="false" outlineLevel="0" collapsed="false">
      <c r="A15" s="6" t="s">
        <v>10877</v>
      </c>
      <c r="B15" s="6" t="s">
        <v>379</v>
      </c>
      <c r="C15" s="7" t="n">
        <v>44286</v>
      </c>
      <c r="D15" s="6" t="s">
        <v>380</v>
      </c>
      <c r="E15" s="6" t="s">
        <v>10874</v>
      </c>
      <c r="F15" s="6" t="s">
        <v>2706</v>
      </c>
      <c r="G15" s="6" t="s">
        <v>10845</v>
      </c>
      <c r="H15" s="9" t="n">
        <v>14540</v>
      </c>
      <c r="I15" s="6" t="s">
        <v>384</v>
      </c>
      <c r="J15" s="6" t="s">
        <v>13</v>
      </c>
      <c r="K15" s="6" t="s">
        <v>119</v>
      </c>
      <c r="L15" s="6" t="s">
        <v>2709</v>
      </c>
      <c r="M15" s="6" t="s">
        <v>10876</v>
      </c>
      <c r="N15" s="6" t="s">
        <v>10843</v>
      </c>
    </row>
    <row r="16" customFormat="false" ht="15" hidden="false" customHeight="false" outlineLevel="0" collapsed="false">
      <c r="A16" s="6" t="s">
        <v>10878</v>
      </c>
      <c r="B16" s="6" t="s">
        <v>379</v>
      </c>
      <c r="C16" s="7" t="n">
        <v>44286</v>
      </c>
      <c r="D16" s="6" t="s">
        <v>380</v>
      </c>
      <c r="E16" s="6" t="s">
        <v>10874</v>
      </c>
      <c r="F16" s="6" t="s">
        <v>10421</v>
      </c>
      <c r="G16" s="6" t="s">
        <v>10849</v>
      </c>
      <c r="H16" s="9" t="n">
        <v>-23307</v>
      </c>
      <c r="I16" s="6" t="s">
        <v>384</v>
      </c>
      <c r="J16" s="6" t="s">
        <v>13</v>
      </c>
      <c r="K16" s="6" t="s">
        <v>119</v>
      </c>
      <c r="L16" s="6" t="s">
        <v>2275</v>
      </c>
      <c r="M16" s="6" t="s">
        <v>10876</v>
      </c>
      <c r="N16" s="6" t="s">
        <v>10843</v>
      </c>
    </row>
    <row r="17" customFormat="false" ht="15" hidden="false" customHeight="false" outlineLevel="0" collapsed="false">
      <c r="A17" s="6" t="s">
        <v>10879</v>
      </c>
      <c r="B17" s="6" t="s">
        <v>379</v>
      </c>
      <c r="C17" s="7" t="n">
        <v>44286</v>
      </c>
      <c r="D17" s="6" t="s">
        <v>380</v>
      </c>
      <c r="E17" s="6" t="s">
        <v>10874</v>
      </c>
      <c r="F17" s="6" t="s">
        <v>10880</v>
      </c>
      <c r="G17" s="6" t="s">
        <v>10840</v>
      </c>
      <c r="H17" s="9" t="n">
        <v>-38952</v>
      </c>
      <c r="I17" s="6" t="s">
        <v>384</v>
      </c>
      <c r="J17" s="6" t="s">
        <v>13</v>
      </c>
      <c r="K17" s="6" t="s">
        <v>119</v>
      </c>
      <c r="L17" s="6" t="s">
        <v>10881</v>
      </c>
      <c r="M17" s="6" t="s">
        <v>10882</v>
      </c>
      <c r="N17" s="6" t="s">
        <v>10843</v>
      </c>
    </row>
    <row r="18" customFormat="false" ht="15" hidden="false" customHeight="false" outlineLevel="0" collapsed="false">
      <c r="A18" s="6" t="s">
        <v>10883</v>
      </c>
      <c r="B18" s="6" t="s">
        <v>379</v>
      </c>
      <c r="C18" s="7" t="n">
        <v>44286</v>
      </c>
      <c r="D18" s="6" t="s">
        <v>380</v>
      </c>
      <c r="E18" s="6" t="s">
        <v>10874</v>
      </c>
      <c r="F18" s="6" t="s">
        <v>2706</v>
      </c>
      <c r="G18" s="6" t="s">
        <v>10845</v>
      </c>
      <c r="H18" s="9" t="n">
        <v>14540</v>
      </c>
      <c r="I18" s="6" t="s">
        <v>384</v>
      </c>
      <c r="J18" s="6" t="s">
        <v>13</v>
      </c>
      <c r="K18" s="6" t="s">
        <v>119</v>
      </c>
      <c r="L18" s="6" t="s">
        <v>2709</v>
      </c>
      <c r="M18" s="6" t="s">
        <v>10882</v>
      </c>
      <c r="N18" s="6" t="s">
        <v>10843</v>
      </c>
    </row>
    <row r="19" customFormat="false" ht="15" hidden="false" customHeight="false" outlineLevel="0" collapsed="false">
      <c r="A19" s="6" t="s">
        <v>10884</v>
      </c>
      <c r="B19" s="6" t="s">
        <v>379</v>
      </c>
      <c r="C19" s="7" t="n">
        <v>44286</v>
      </c>
      <c r="D19" s="6" t="s">
        <v>380</v>
      </c>
      <c r="E19" s="6" t="s">
        <v>10874</v>
      </c>
      <c r="F19" s="6" t="s">
        <v>10885</v>
      </c>
      <c r="G19" s="6" t="s">
        <v>10845</v>
      </c>
      <c r="H19" s="9" t="n">
        <v>0</v>
      </c>
      <c r="I19" s="6" t="s">
        <v>384</v>
      </c>
      <c r="J19" s="6" t="s">
        <v>13</v>
      </c>
      <c r="K19" s="6" t="s">
        <v>119</v>
      </c>
      <c r="L19" s="6" t="s">
        <v>10886</v>
      </c>
      <c r="M19" s="6" t="s">
        <v>10882</v>
      </c>
      <c r="N19" s="6" t="s">
        <v>10843</v>
      </c>
    </row>
    <row r="20" customFormat="false" ht="15" hidden="false" customHeight="false" outlineLevel="0" collapsed="false">
      <c r="A20" s="6" t="s">
        <v>10887</v>
      </c>
      <c r="B20" s="6" t="s">
        <v>379</v>
      </c>
      <c r="C20" s="7" t="n">
        <v>44286</v>
      </c>
      <c r="D20" s="6" t="s">
        <v>380</v>
      </c>
      <c r="E20" s="6" t="s">
        <v>10874</v>
      </c>
      <c r="F20" s="6" t="s">
        <v>10888</v>
      </c>
      <c r="G20" s="6" t="s">
        <v>10849</v>
      </c>
      <c r="H20" s="9" t="n">
        <v>-24412</v>
      </c>
      <c r="I20" s="6" t="s">
        <v>384</v>
      </c>
      <c r="J20" s="6" t="s">
        <v>13</v>
      </c>
      <c r="K20" s="6" t="s">
        <v>119</v>
      </c>
      <c r="L20" s="6" t="s">
        <v>2483</v>
      </c>
      <c r="M20" s="6" t="s">
        <v>10882</v>
      </c>
      <c r="N20" s="6" t="s">
        <v>10843</v>
      </c>
    </row>
    <row r="21" customFormat="false" ht="15" hidden="false" customHeight="false" outlineLevel="0" collapsed="false">
      <c r="A21" s="6" t="s">
        <v>10889</v>
      </c>
      <c r="B21" s="6" t="s">
        <v>379</v>
      </c>
      <c r="C21" s="7" t="n">
        <v>44286</v>
      </c>
      <c r="D21" s="6" t="s">
        <v>380</v>
      </c>
      <c r="E21" s="6" t="s">
        <v>10890</v>
      </c>
      <c r="F21" s="6" t="s">
        <v>10891</v>
      </c>
      <c r="G21" s="6" t="s">
        <v>10840</v>
      </c>
      <c r="H21" s="9" t="n">
        <v>-43566</v>
      </c>
      <c r="I21" s="6" t="s">
        <v>384</v>
      </c>
      <c r="J21" s="6" t="s">
        <v>13</v>
      </c>
      <c r="K21" s="6" t="s">
        <v>119</v>
      </c>
      <c r="L21" s="6" t="s">
        <v>10892</v>
      </c>
      <c r="M21" s="6" t="s">
        <v>10893</v>
      </c>
      <c r="N21" s="6" t="s">
        <v>10843</v>
      </c>
    </row>
    <row r="22" customFormat="false" ht="15" hidden="false" customHeight="false" outlineLevel="0" collapsed="false">
      <c r="A22" s="6" t="s">
        <v>10894</v>
      </c>
      <c r="B22" s="6" t="s">
        <v>379</v>
      </c>
      <c r="C22" s="7" t="n">
        <v>44286</v>
      </c>
      <c r="D22" s="6" t="s">
        <v>380</v>
      </c>
      <c r="E22" s="6" t="s">
        <v>10890</v>
      </c>
      <c r="F22" s="6" t="s">
        <v>10895</v>
      </c>
      <c r="G22" s="6" t="s">
        <v>10845</v>
      </c>
      <c r="H22" s="9" t="n">
        <v>4614</v>
      </c>
      <c r="I22" s="6" t="s">
        <v>384</v>
      </c>
      <c r="J22" s="6" t="s">
        <v>13</v>
      </c>
      <c r="K22" s="6" t="s">
        <v>119</v>
      </c>
      <c r="L22" s="6" t="s">
        <v>10896</v>
      </c>
      <c r="M22" s="6" t="s">
        <v>10893</v>
      </c>
      <c r="N22" s="6" t="s">
        <v>10843</v>
      </c>
    </row>
    <row r="23" customFormat="false" ht="15" hidden="false" customHeight="false" outlineLevel="0" collapsed="false">
      <c r="A23" s="6" t="s">
        <v>10897</v>
      </c>
      <c r="B23" s="6" t="s">
        <v>379</v>
      </c>
      <c r="C23" s="7" t="n">
        <v>44286</v>
      </c>
      <c r="D23" s="6" t="s">
        <v>380</v>
      </c>
      <c r="E23" s="6" t="s">
        <v>10890</v>
      </c>
      <c r="F23" s="6" t="s">
        <v>2706</v>
      </c>
      <c r="G23" s="6" t="s">
        <v>10845</v>
      </c>
      <c r="H23" s="9" t="n">
        <v>14540</v>
      </c>
      <c r="I23" s="6" t="s">
        <v>384</v>
      </c>
      <c r="J23" s="6" t="s">
        <v>13</v>
      </c>
      <c r="K23" s="6" t="s">
        <v>119</v>
      </c>
      <c r="L23" s="6" t="s">
        <v>10898</v>
      </c>
      <c r="M23" s="6" t="s">
        <v>10893</v>
      </c>
      <c r="N23" s="6" t="s">
        <v>10843</v>
      </c>
    </row>
    <row r="24" customFormat="false" ht="15" hidden="false" customHeight="false" outlineLevel="0" collapsed="false">
      <c r="A24" s="6" t="s">
        <v>10899</v>
      </c>
      <c r="B24" s="6" t="s">
        <v>379</v>
      </c>
      <c r="C24" s="7" t="n">
        <v>44286</v>
      </c>
      <c r="D24" s="6" t="s">
        <v>380</v>
      </c>
      <c r="E24" s="6" t="s">
        <v>10890</v>
      </c>
      <c r="F24" s="6" t="s">
        <v>10885</v>
      </c>
      <c r="G24" s="6" t="s">
        <v>10845</v>
      </c>
      <c r="H24" s="9" t="n">
        <v>0</v>
      </c>
      <c r="I24" s="6" t="s">
        <v>384</v>
      </c>
      <c r="J24" s="6" t="s">
        <v>13</v>
      </c>
      <c r="K24" s="6" t="s">
        <v>119</v>
      </c>
      <c r="L24" s="6" t="s">
        <v>10900</v>
      </c>
      <c r="M24" s="6" t="s">
        <v>10893</v>
      </c>
      <c r="N24" s="6" t="s">
        <v>10843</v>
      </c>
    </row>
    <row r="25" customFormat="false" ht="15" hidden="false" customHeight="false" outlineLevel="0" collapsed="false">
      <c r="A25" s="6" t="s">
        <v>10901</v>
      </c>
      <c r="B25" s="6" t="s">
        <v>379</v>
      </c>
      <c r="C25" s="7" t="n">
        <v>44286</v>
      </c>
      <c r="D25" s="6" t="s">
        <v>380</v>
      </c>
      <c r="E25" s="6" t="s">
        <v>10890</v>
      </c>
      <c r="F25" s="6" t="s">
        <v>10888</v>
      </c>
      <c r="G25" s="6" t="s">
        <v>10849</v>
      </c>
      <c r="H25" s="9" t="n">
        <v>-24412</v>
      </c>
      <c r="I25" s="6" t="s">
        <v>384</v>
      </c>
      <c r="J25" s="6" t="s">
        <v>13</v>
      </c>
      <c r="K25" s="6" t="s">
        <v>119</v>
      </c>
      <c r="L25" s="6" t="s">
        <v>10902</v>
      </c>
      <c r="M25" s="6" t="s">
        <v>10893</v>
      </c>
      <c r="N25" s="6" t="s">
        <v>10843</v>
      </c>
    </row>
    <row r="26" customFormat="false" ht="15" hidden="false" customHeight="false" outlineLevel="0" collapsed="false">
      <c r="A26" s="6" t="s">
        <v>10903</v>
      </c>
      <c r="B26" s="6" t="s">
        <v>379</v>
      </c>
      <c r="C26" s="7" t="n">
        <v>44286</v>
      </c>
      <c r="D26" s="6" t="s">
        <v>380</v>
      </c>
      <c r="E26" s="6" t="s">
        <v>10904</v>
      </c>
      <c r="F26" s="6" t="s">
        <v>10905</v>
      </c>
      <c r="G26" s="6" t="s">
        <v>10840</v>
      </c>
      <c r="H26" s="9" t="n">
        <v>-599</v>
      </c>
      <c r="I26" s="6" t="s">
        <v>384</v>
      </c>
      <c r="J26" s="6" t="s">
        <v>13</v>
      </c>
      <c r="K26" s="6" t="s">
        <v>119</v>
      </c>
      <c r="L26" s="6" t="s">
        <v>10906</v>
      </c>
      <c r="M26" s="6" t="s">
        <v>10907</v>
      </c>
      <c r="N26" s="6" t="s">
        <v>10843</v>
      </c>
    </row>
    <row r="27" customFormat="false" ht="15" hidden="false" customHeight="false" outlineLevel="0" collapsed="false">
      <c r="A27" s="6" t="s">
        <v>10908</v>
      </c>
      <c r="B27" s="6" t="s">
        <v>379</v>
      </c>
      <c r="C27" s="7" t="n">
        <v>44286</v>
      </c>
      <c r="D27" s="6" t="s">
        <v>380</v>
      </c>
      <c r="E27" s="6" t="s">
        <v>10904</v>
      </c>
      <c r="F27" s="6" t="s">
        <v>8520</v>
      </c>
      <c r="G27" s="6" t="s">
        <v>10845</v>
      </c>
      <c r="H27" s="9" t="n">
        <v>-4223</v>
      </c>
      <c r="I27" s="6" t="s">
        <v>384</v>
      </c>
      <c r="J27" s="6" t="s">
        <v>13</v>
      </c>
      <c r="K27" s="6" t="s">
        <v>119</v>
      </c>
      <c r="L27" s="6" t="s">
        <v>3066</v>
      </c>
      <c r="M27" s="6" t="s">
        <v>10907</v>
      </c>
      <c r="N27" s="6" t="s">
        <v>10843</v>
      </c>
    </row>
    <row r="28" customFormat="false" ht="15" hidden="false" customHeight="false" outlineLevel="0" collapsed="false">
      <c r="A28" s="6" t="s">
        <v>10909</v>
      </c>
      <c r="B28" s="6" t="s">
        <v>379</v>
      </c>
      <c r="C28" s="7" t="n">
        <v>44286</v>
      </c>
      <c r="D28" s="6" t="s">
        <v>380</v>
      </c>
      <c r="E28" s="6" t="s">
        <v>10904</v>
      </c>
      <c r="F28" s="6" t="s">
        <v>8081</v>
      </c>
      <c r="G28" s="6" t="s">
        <v>10845</v>
      </c>
      <c r="H28" s="9" t="n">
        <v>-440</v>
      </c>
      <c r="I28" s="6" t="s">
        <v>384</v>
      </c>
      <c r="J28" s="6" t="s">
        <v>13</v>
      </c>
      <c r="K28" s="6" t="s">
        <v>119</v>
      </c>
      <c r="L28" s="6" t="s">
        <v>3181</v>
      </c>
      <c r="M28" s="6" t="s">
        <v>10907</v>
      </c>
      <c r="N28" s="6" t="s">
        <v>10843</v>
      </c>
    </row>
    <row r="29" customFormat="false" ht="15" hidden="false" customHeight="false" outlineLevel="0" collapsed="false">
      <c r="A29" s="6" t="s">
        <v>10910</v>
      </c>
      <c r="B29" s="6" t="s">
        <v>379</v>
      </c>
      <c r="C29" s="7" t="n">
        <v>44286</v>
      </c>
      <c r="D29" s="6" t="s">
        <v>380</v>
      </c>
      <c r="E29" s="6" t="s">
        <v>10904</v>
      </c>
      <c r="F29" s="6" t="s">
        <v>10911</v>
      </c>
      <c r="G29" s="6" t="s">
        <v>10845</v>
      </c>
      <c r="H29" s="9" t="n">
        <v>3667</v>
      </c>
      <c r="I29" s="6" t="s">
        <v>384</v>
      </c>
      <c r="J29" s="6" t="s">
        <v>13</v>
      </c>
      <c r="K29" s="6" t="s">
        <v>119</v>
      </c>
      <c r="L29" s="6" t="s">
        <v>3294</v>
      </c>
      <c r="M29" s="6" t="s">
        <v>10907</v>
      </c>
      <c r="N29" s="6" t="s">
        <v>10843</v>
      </c>
    </row>
    <row r="30" customFormat="false" ht="15" hidden="false" customHeight="false" outlineLevel="0" collapsed="false">
      <c r="A30" s="6" t="s">
        <v>10912</v>
      </c>
      <c r="B30" s="6" t="s">
        <v>379</v>
      </c>
      <c r="C30" s="7" t="n">
        <v>44286</v>
      </c>
      <c r="D30" s="6" t="s">
        <v>380</v>
      </c>
      <c r="E30" s="6" t="s">
        <v>10904</v>
      </c>
      <c r="F30" s="6" t="s">
        <v>4887</v>
      </c>
      <c r="G30" s="6" t="s">
        <v>10849</v>
      </c>
      <c r="H30" s="9" t="n">
        <v>-1595</v>
      </c>
      <c r="I30" s="6" t="s">
        <v>384</v>
      </c>
      <c r="J30" s="6" t="s">
        <v>13</v>
      </c>
      <c r="K30" s="6" t="s">
        <v>119</v>
      </c>
      <c r="L30" s="6" t="s">
        <v>3359</v>
      </c>
      <c r="M30" s="6" t="s">
        <v>10907</v>
      </c>
      <c r="N30" s="6" t="s">
        <v>10843</v>
      </c>
    </row>
    <row r="31" customFormat="false" ht="15" hidden="false" customHeight="false" outlineLevel="0" collapsed="false">
      <c r="A31" s="6" t="s">
        <v>10913</v>
      </c>
      <c r="B31" s="6" t="s">
        <v>103</v>
      </c>
      <c r="C31" s="7" t="n">
        <v>44377</v>
      </c>
      <c r="D31" s="6" t="s">
        <v>380</v>
      </c>
      <c r="E31" s="6" t="s">
        <v>10838</v>
      </c>
      <c r="F31" s="6" t="s">
        <v>10839</v>
      </c>
      <c r="G31" s="6" t="s">
        <v>10840</v>
      </c>
      <c r="H31" s="9" t="n">
        <v>61507</v>
      </c>
      <c r="I31" s="6" t="s">
        <v>384</v>
      </c>
      <c r="J31" s="6" t="s">
        <v>13</v>
      </c>
      <c r="K31" s="6" t="s">
        <v>100</v>
      </c>
      <c r="L31" s="6" t="s">
        <v>10914</v>
      </c>
      <c r="M31" s="6" t="s">
        <v>10915</v>
      </c>
      <c r="N31" s="6"/>
    </row>
    <row r="32" customFormat="false" ht="15" hidden="false" customHeight="false" outlineLevel="0" collapsed="false">
      <c r="A32" s="6" t="s">
        <v>10916</v>
      </c>
      <c r="B32" s="6" t="s">
        <v>103</v>
      </c>
      <c r="C32" s="7" t="n">
        <v>44377</v>
      </c>
      <c r="D32" s="6" t="s">
        <v>380</v>
      </c>
      <c r="E32" s="6" t="s">
        <v>10838</v>
      </c>
      <c r="F32" s="6" t="s">
        <v>2706</v>
      </c>
      <c r="G32" s="6" t="s">
        <v>10845</v>
      </c>
      <c r="H32" s="9" t="n">
        <v>1833</v>
      </c>
      <c r="I32" s="6" t="s">
        <v>384</v>
      </c>
      <c r="J32" s="6" t="s">
        <v>13</v>
      </c>
      <c r="K32" s="6" t="s">
        <v>100</v>
      </c>
      <c r="L32" s="6" t="s">
        <v>10917</v>
      </c>
      <c r="M32" s="6" t="s">
        <v>10915</v>
      </c>
      <c r="N32" s="6"/>
    </row>
    <row r="33" customFormat="false" ht="15" hidden="false" customHeight="false" outlineLevel="0" collapsed="false">
      <c r="A33" s="6" t="s">
        <v>10918</v>
      </c>
      <c r="B33" s="6" t="s">
        <v>103</v>
      </c>
      <c r="C33" s="7" t="n">
        <v>44377</v>
      </c>
      <c r="D33" s="6" t="s">
        <v>380</v>
      </c>
      <c r="E33" s="6" t="s">
        <v>10838</v>
      </c>
      <c r="F33" s="6" t="s">
        <v>10848</v>
      </c>
      <c r="G33" s="6" t="s">
        <v>10849</v>
      </c>
      <c r="H33" s="9" t="n">
        <v>63340</v>
      </c>
      <c r="I33" s="6" t="s">
        <v>384</v>
      </c>
      <c r="J33" s="6" t="s">
        <v>13</v>
      </c>
      <c r="K33" s="6" t="s">
        <v>100</v>
      </c>
      <c r="L33" s="6" t="s">
        <v>1740</v>
      </c>
      <c r="M33" s="6" t="s">
        <v>10915</v>
      </c>
      <c r="N33" s="6"/>
    </row>
    <row r="34" customFormat="false" ht="15" hidden="false" customHeight="false" outlineLevel="0" collapsed="false">
      <c r="A34" s="6" t="s">
        <v>10919</v>
      </c>
      <c r="B34" s="6" t="s">
        <v>103</v>
      </c>
      <c r="C34" s="7" t="n">
        <v>44377</v>
      </c>
      <c r="D34" s="6" t="s">
        <v>380</v>
      </c>
      <c r="E34" s="6" t="s">
        <v>10851</v>
      </c>
      <c r="F34" s="6" t="s">
        <v>10852</v>
      </c>
      <c r="G34" s="6" t="s">
        <v>10840</v>
      </c>
      <c r="H34" s="9" t="n">
        <v>16271</v>
      </c>
      <c r="I34" s="6" t="s">
        <v>384</v>
      </c>
      <c r="J34" s="6" t="s">
        <v>13</v>
      </c>
      <c r="K34" s="6" t="s">
        <v>100</v>
      </c>
      <c r="L34" s="6" t="s">
        <v>10920</v>
      </c>
      <c r="M34" s="6" t="s">
        <v>10921</v>
      </c>
      <c r="N34" s="6"/>
    </row>
    <row r="35" customFormat="false" ht="15" hidden="false" customHeight="false" outlineLevel="0" collapsed="false">
      <c r="A35" s="6" t="s">
        <v>10922</v>
      </c>
      <c r="B35" s="6" t="s">
        <v>103</v>
      </c>
      <c r="C35" s="7" t="n">
        <v>44377</v>
      </c>
      <c r="D35" s="6" t="s">
        <v>380</v>
      </c>
      <c r="E35" s="6" t="s">
        <v>10851</v>
      </c>
      <c r="F35" s="6" t="s">
        <v>2706</v>
      </c>
      <c r="G35" s="6" t="s">
        <v>10845</v>
      </c>
      <c r="H35" s="9" t="n">
        <v>-5068</v>
      </c>
      <c r="I35" s="6" t="s">
        <v>384</v>
      </c>
      <c r="J35" s="6" t="s">
        <v>13</v>
      </c>
      <c r="K35" s="6" t="s">
        <v>100</v>
      </c>
      <c r="L35" s="6" t="s">
        <v>10923</v>
      </c>
      <c r="M35" s="6" t="s">
        <v>10921</v>
      </c>
      <c r="N35" s="6"/>
    </row>
    <row r="36" customFormat="false" ht="15" hidden="false" customHeight="false" outlineLevel="0" collapsed="false">
      <c r="A36" s="6" t="s">
        <v>10924</v>
      </c>
      <c r="B36" s="6" t="s">
        <v>103</v>
      </c>
      <c r="C36" s="7" t="n">
        <v>44377</v>
      </c>
      <c r="D36" s="6" t="s">
        <v>380</v>
      </c>
      <c r="E36" s="6" t="s">
        <v>10851</v>
      </c>
      <c r="F36" s="6" t="s">
        <v>10858</v>
      </c>
      <c r="G36" s="6" t="s">
        <v>10849</v>
      </c>
      <c r="H36" s="9" t="n">
        <v>11203</v>
      </c>
      <c r="I36" s="6" t="s">
        <v>384</v>
      </c>
      <c r="J36" s="6" t="s">
        <v>13</v>
      </c>
      <c r="K36" s="6" t="s">
        <v>100</v>
      </c>
      <c r="L36" s="6" t="s">
        <v>1933</v>
      </c>
      <c r="M36" s="6" t="s">
        <v>10921</v>
      </c>
      <c r="N36" s="6"/>
    </row>
    <row r="37" customFormat="false" ht="15" hidden="false" customHeight="false" outlineLevel="0" collapsed="false">
      <c r="A37" s="6" t="s">
        <v>10925</v>
      </c>
      <c r="B37" s="6" t="s">
        <v>103</v>
      </c>
      <c r="C37" s="7" t="n">
        <v>44377</v>
      </c>
      <c r="D37" s="6" t="s">
        <v>380</v>
      </c>
      <c r="E37" s="6" t="s">
        <v>10851</v>
      </c>
      <c r="F37" s="6" t="s">
        <v>10860</v>
      </c>
      <c r="G37" s="6" t="s">
        <v>10840</v>
      </c>
      <c r="H37" s="9" t="n">
        <v>61057</v>
      </c>
      <c r="I37" s="6" t="s">
        <v>384</v>
      </c>
      <c r="J37" s="6" t="s">
        <v>13</v>
      </c>
      <c r="K37" s="6" t="s">
        <v>100</v>
      </c>
      <c r="L37" s="6" t="s">
        <v>10926</v>
      </c>
      <c r="M37" s="6" t="s">
        <v>10927</v>
      </c>
      <c r="N37" s="6"/>
    </row>
    <row r="38" customFormat="false" ht="15" hidden="false" customHeight="false" outlineLevel="0" collapsed="false">
      <c r="A38" s="6" t="s">
        <v>10928</v>
      </c>
      <c r="B38" s="6" t="s">
        <v>103</v>
      </c>
      <c r="C38" s="7" t="n">
        <v>44377</v>
      </c>
      <c r="D38" s="6" t="s">
        <v>380</v>
      </c>
      <c r="E38" s="6" t="s">
        <v>10851</v>
      </c>
      <c r="F38" s="6" t="s">
        <v>2706</v>
      </c>
      <c r="G38" s="6" t="s">
        <v>10845</v>
      </c>
      <c r="H38" s="9" t="n">
        <v>-5536</v>
      </c>
      <c r="I38" s="6" t="s">
        <v>384</v>
      </c>
      <c r="J38" s="6" t="s">
        <v>13</v>
      </c>
      <c r="K38" s="6" t="s">
        <v>100</v>
      </c>
      <c r="L38" s="6" t="s">
        <v>10923</v>
      </c>
      <c r="M38" s="6" t="s">
        <v>10927</v>
      </c>
      <c r="N38" s="6"/>
    </row>
    <row r="39" customFormat="false" ht="15" hidden="false" customHeight="false" outlineLevel="0" collapsed="false">
      <c r="A39" s="6" t="s">
        <v>10929</v>
      </c>
      <c r="B39" s="6" t="s">
        <v>103</v>
      </c>
      <c r="C39" s="7" t="n">
        <v>44377</v>
      </c>
      <c r="D39" s="6" t="s">
        <v>380</v>
      </c>
      <c r="E39" s="6" t="s">
        <v>10851</v>
      </c>
      <c r="F39" s="6" t="s">
        <v>10865</v>
      </c>
      <c r="G39" s="6" t="s">
        <v>10849</v>
      </c>
      <c r="H39" s="9" t="n">
        <v>55521</v>
      </c>
      <c r="I39" s="6" t="s">
        <v>384</v>
      </c>
      <c r="J39" s="6" t="s">
        <v>13</v>
      </c>
      <c r="K39" s="6" t="s">
        <v>100</v>
      </c>
      <c r="L39" s="6" t="s">
        <v>2048</v>
      </c>
      <c r="M39" s="6" t="s">
        <v>10927</v>
      </c>
      <c r="N39" s="6"/>
    </row>
    <row r="40" customFormat="false" ht="15" hidden="false" customHeight="false" outlineLevel="0" collapsed="false">
      <c r="A40" s="6" t="s">
        <v>10930</v>
      </c>
      <c r="B40" s="6" t="s">
        <v>103</v>
      </c>
      <c r="C40" s="7" t="n">
        <v>44377</v>
      </c>
      <c r="D40" s="6" t="s">
        <v>380</v>
      </c>
      <c r="E40" s="6" t="s">
        <v>10851</v>
      </c>
      <c r="F40" s="6" t="s">
        <v>10867</v>
      </c>
      <c r="G40" s="6" t="s">
        <v>10840</v>
      </c>
      <c r="H40" s="9" t="n">
        <v>11648</v>
      </c>
      <c r="I40" s="6" t="s">
        <v>384</v>
      </c>
      <c r="J40" s="6" t="s">
        <v>13</v>
      </c>
      <c r="K40" s="6" t="s">
        <v>100</v>
      </c>
      <c r="L40" s="6" t="s">
        <v>10931</v>
      </c>
      <c r="M40" s="6" t="s">
        <v>10932</v>
      </c>
      <c r="N40" s="6"/>
    </row>
    <row r="41" customFormat="false" ht="15" hidden="false" customHeight="false" outlineLevel="0" collapsed="false">
      <c r="A41" s="6" t="s">
        <v>10933</v>
      </c>
      <c r="B41" s="6" t="s">
        <v>103</v>
      </c>
      <c r="C41" s="7" t="n">
        <v>44377</v>
      </c>
      <c r="D41" s="6" t="s">
        <v>380</v>
      </c>
      <c r="E41" s="6" t="s">
        <v>10851</v>
      </c>
      <c r="F41" s="6" t="s">
        <v>2706</v>
      </c>
      <c r="G41" s="6" t="s">
        <v>10845</v>
      </c>
      <c r="H41" s="9" t="n">
        <v>-5121</v>
      </c>
      <c r="I41" s="6" t="s">
        <v>384</v>
      </c>
      <c r="J41" s="6" t="s">
        <v>13</v>
      </c>
      <c r="K41" s="6" t="s">
        <v>100</v>
      </c>
      <c r="L41" s="6" t="s">
        <v>10923</v>
      </c>
      <c r="M41" s="6" t="s">
        <v>10932</v>
      </c>
      <c r="N41" s="6"/>
    </row>
    <row r="42" customFormat="false" ht="15" hidden="false" customHeight="false" outlineLevel="0" collapsed="false">
      <c r="A42" s="6" t="s">
        <v>10934</v>
      </c>
      <c r="B42" s="6" t="s">
        <v>103</v>
      </c>
      <c r="C42" s="7" t="n">
        <v>44377</v>
      </c>
      <c r="D42" s="6" t="s">
        <v>380</v>
      </c>
      <c r="E42" s="6" t="s">
        <v>10851</v>
      </c>
      <c r="F42" s="6" t="s">
        <v>10872</v>
      </c>
      <c r="G42" s="6" t="s">
        <v>10849</v>
      </c>
      <c r="H42" s="9" t="n">
        <v>6527</v>
      </c>
      <c r="I42" s="6" t="s">
        <v>384</v>
      </c>
      <c r="J42" s="6" t="s">
        <v>13</v>
      </c>
      <c r="K42" s="6" t="s">
        <v>100</v>
      </c>
      <c r="L42" s="6" t="s">
        <v>2163</v>
      </c>
      <c r="M42" s="6" t="s">
        <v>10932</v>
      </c>
      <c r="N42" s="6"/>
    </row>
    <row r="43" customFormat="false" ht="15" hidden="false" customHeight="false" outlineLevel="0" collapsed="false">
      <c r="A43" s="6" t="s">
        <v>10935</v>
      </c>
      <c r="B43" s="6" t="s">
        <v>103</v>
      </c>
      <c r="C43" s="7" t="n">
        <v>44377</v>
      </c>
      <c r="D43" s="6" t="s">
        <v>380</v>
      </c>
      <c r="E43" s="6" t="s">
        <v>10874</v>
      </c>
      <c r="F43" s="6" t="s">
        <v>10165</v>
      </c>
      <c r="G43" s="6" t="s">
        <v>10840</v>
      </c>
      <c r="H43" s="9" t="n">
        <v>-27469</v>
      </c>
      <c r="I43" s="6" t="s">
        <v>384</v>
      </c>
      <c r="J43" s="6" t="s">
        <v>13</v>
      </c>
      <c r="K43" s="6" t="s">
        <v>100</v>
      </c>
      <c r="L43" s="6" t="s">
        <v>10936</v>
      </c>
      <c r="M43" s="6" t="s">
        <v>10937</v>
      </c>
      <c r="N43" s="6"/>
    </row>
    <row r="44" customFormat="false" ht="15" hidden="false" customHeight="false" outlineLevel="0" collapsed="false">
      <c r="A44" s="6" t="s">
        <v>10938</v>
      </c>
      <c r="B44" s="6" t="s">
        <v>103</v>
      </c>
      <c r="C44" s="7" t="n">
        <v>44377</v>
      </c>
      <c r="D44" s="6" t="s">
        <v>380</v>
      </c>
      <c r="E44" s="6" t="s">
        <v>10874</v>
      </c>
      <c r="F44" s="6" t="s">
        <v>2706</v>
      </c>
      <c r="G44" s="6" t="s">
        <v>10845</v>
      </c>
      <c r="H44" s="9" t="n">
        <v>17558</v>
      </c>
      <c r="I44" s="6" t="s">
        <v>384</v>
      </c>
      <c r="J44" s="6" t="s">
        <v>13</v>
      </c>
      <c r="K44" s="6" t="s">
        <v>100</v>
      </c>
      <c r="L44" s="6" t="s">
        <v>2712</v>
      </c>
      <c r="M44" s="6" t="s">
        <v>10937</v>
      </c>
      <c r="N44" s="6"/>
    </row>
    <row r="45" customFormat="false" ht="15" hidden="false" customHeight="false" outlineLevel="0" collapsed="false">
      <c r="A45" s="6" t="s">
        <v>10939</v>
      </c>
      <c r="B45" s="6" t="s">
        <v>103</v>
      </c>
      <c r="C45" s="7" t="n">
        <v>44377</v>
      </c>
      <c r="D45" s="6" t="s">
        <v>380</v>
      </c>
      <c r="E45" s="6" t="s">
        <v>10874</v>
      </c>
      <c r="F45" s="6" t="s">
        <v>10421</v>
      </c>
      <c r="G45" s="6" t="s">
        <v>10849</v>
      </c>
      <c r="H45" s="9" t="n">
        <v>-9911</v>
      </c>
      <c r="I45" s="6" t="s">
        <v>384</v>
      </c>
      <c r="J45" s="6" t="s">
        <v>13</v>
      </c>
      <c r="K45" s="6" t="s">
        <v>100</v>
      </c>
      <c r="L45" s="6" t="s">
        <v>2278</v>
      </c>
      <c r="M45" s="6" t="s">
        <v>10937</v>
      </c>
      <c r="N45" s="6"/>
    </row>
    <row r="46" customFormat="false" ht="15" hidden="false" customHeight="false" outlineLevel="0" collapsed="false">
      <c r="A46" s="6" t="s">
        <v>10940</v>
      </c>
      <c r="B46" s="6" t="s">
        <v>103</v>
      </c>
      <c r="C46" s="7" t="n">
        <v>44377</v>
      </c>
      <c r="D46" s="6" t="s">
        <v>380</v>
      </c>
      <c r="E46" s="6" t="s">
        <v>10941</v>
      </c>
      <c r="F46" s="6" t="s">
        <v>10880</v>
      </c>
      <c r="G46" s="6" t="s">
        <v>10840</v>
      </c>
      <c r="H46" s="9" t="n">
        <v>-28891</v>
      </c>
      <c r="I46" s="6" t="s">
        <v>384</v>
      </c>
      <c r="J46" s="6" t="s">
        <v>13</v>
      </c>
      <c r="K46" s="6" t="s">
        <v>100</v>
      </c>
      <c r="L46" s="6" t="s">
        <v>10942</v>
      </c>
      <c r="M46" s="6" t="s">
        <v>10943</v>
      </c>
      <c r="N46" s="6"/>
    </row>
    <row r="47" customFormat="false" ht="15" hidden="false" customHeight="false" outlineLevel="0" collapsed="false">
      <c r="A47" s="6" t="s">
        <v>10944</v>
      </c>
      <c r="B47" s="6" t="s">
        <v>103</v>
      </c>
      <c r="C47" s="7" t="n">
        <v>44377</v>
      </c>
      <c r="D47" s="6" t="s">
        <v>380</v>
      </c>
      <c r="E47" s="6" t="s">
        <v>10941</v>
      </c>
      <c r="F47" s="6" t="s">
        <v>2706</v>
      </c>
      <c r="G47" s="6" t="s">
        <v>10845</v>
      </c>
      <c r="H47" s="9" t="n">
        <v>17558</v>
      </c>
      <c r="I47" s="6" t="s">
        <v>384</v>
      </c>
      <c r="J47" s="6" t="s">
        <v>13</v>
      </c>
      <c r="K47" s="6" t="s">
        <v>100</v>
      </c>
      <c r="L47" s="6" t="s">
        <v>10945</v>
      </c>
      <c r="M47" s="6" t="s">
        <v>10943</v>
      </c>
      <c r="N47" s="6"/>
    </row>
    <row r="48" customFormat="false" ht="15" hidden="false" customHeight="false" outlineLevel="0" collapsed="false">
      <c r="A48" s="6" t="s">
        <v>10946</v>
      </c>
      <c r="B48" s="6" t="s">
        <v>103</v>
      </c>
      <c r="C48" s="7" t="n">
        <v>44377</v>
      </c>
      <c r="D48" s="6" t="s">
        <v>380</v>
      </c>
      <c r="E48" s="6" t="s">
        <v>10941</v>
      </c>
      <c r="F48" s="6" t="s">
        <v>10888</v>
      </c>
      <c r="G48" s="6" t="s">
        <v>10849</v>
      </c>
      <c r="H48" s="9" t="n">
        <v>-11333</v>
      </c>
      <c r="I48" s="6" t="s">
        <v>384</v>
      </c>
      <c r="J48" s="6" t="s">
        <v>13</v>
      </c>
      <c r="K48" s="6" t="s">
        <v>100</v>
      </c>
      <c r="L48" s="6" t="s">
        <v>2486</v>
      </c>
      <c r="M48" s="6" t="s">
        <v>10943</v>
      </c>
      <c r="N48" s="6"/>
    </row>
    <row r="49" customFormat="false" ht="15" hidden="false" customHeight="false" outlineLevel="0" collapsed="false">
      <c r="A49" s="6" t="s">
        <v>10947</v>
      </c>
      <c r="B49" s="6" t="s">
        <v>103</v>
      </c>
      <c r="C49" s="7" t="n">
        <v>44377</v>
      </c>
      <c r="D49" s="6" t="s">
        <v>380</v>
      </c>
      <c r="E49" s="6" t="s">
        <v>10890</v>
      </c>
      <c r="F49" s="6" t="s">
        <v>10891</v>
      </c>
      <c r="G49" s="6" t="s">
        <v>10840</v>
      </c>
      <c r="H49" s="9" t="n">
        <v>-32480</v>
      </c>
      <c r="I49" s="6" t="s">
        <v>384</v>
      </c>
      <c r="J49" s="6" t="s">
        <v>13</v>
      </c>
      <c r="K49" s="6" t="s">
        <v>100</v>
      </c>
      <c r="L49" s="6" t="s">
        <v>10948</v>
      </c>
      <c r="M49" s="6" t="s">
        <v>10949</v>
      </c>
      <c r="N49" s="6"/>
    </row>
    <row r="50" customFormat="false" ht="15" hidden="false" customHeight="false" outlineLevel="0" collapsed="false">
      <c r="A50" s="6" t="s">
        <v>10950</v>
      </c>
      <c r="B50" s="6" t="s">
        <v>103</v>
      </c>
      <c r="C50" s="7" t="n">
        <v>44377</v>
      </c>
      <c r="D50" s="6" t="s">
        <v>380</v>
      </c>
      <c r="E50" s="6" t="s">
        <v>10890</v>
      </c>
      <c r="F50" s="6" t="s">
        <v>10895</v>
      </c>
      <c r="G50" s="6" t="s">
        <v>10845</v>
      </c>
      <c r="H50" s="9" t="n">
        <v>3589</v>
      </c>
      <c r="I50" s="6" t="s">
        <v>384</v>
      </c>
      <c r="J50" s="6" t="s">
        <v>13</v>
      </c>
      <c r="K50" s="6" t="s">
        <v>100</v>
      </c>
      <c r="L50" s="6" t="s">
        <v>10951</v>
      </c>
      <c r="M50" s="6" t="s">
        <v>10949</v>
      </c>
      <c r="N50" s="6"/>
    </row>
    <row r="51" customFormat="false" ht="15" hidden="false" customHeight="false" outlineLevel="0" collapsed="false">
      <c r="A51" s="6" t="s">
        <v>10952</v>
      </c>
      <c r="B51" s="6" t="s">
        <v>103</v>
      </c>
      <c r="C51" s="7" t="n">
        <v>44377</v>
      </c>
      <c r="D51" s="6" t="s">
        <v>380</v>
      </c>
      <c r="E51" s="6" t="s">
        <v>10890</v>
      </c>
      <c r="F51" s="6" t="s">
        <v>2706</v>
      </c>
      <c r="G51" s="6" t="s">
        <v>10845</v>
      </c>
      <c r="H51" s="9" t="n">
        <v>17558</v>
      </c>
      <c r="I51" s="6" t="s">
        <v>384</v>
      </c>
      <c r="J51" s="6" t="s">
        <v>13</v>
      </c>
      <c r="K51" s="6" t="s">
        <v>100</v>
      </c>
      <c r="L51" s="6" t="s">
        <v>10953</v>
      </c>
      <c r="M51" s="6" t="s">
        <v>10949</v>
      </c>
      <c r="N51" s="6"/>
    </row>
    <row r="52" customFormat="false" ht="15" hidden="false" customHeight="false" outlineLevel="0" collapsed="false">
      <c r="A52" s="6" t="s">
        <v>10954</v>
      </c>
      <c r="B52" s="6" t="s">
        <v>103</v>
      </c>
      <c r="C52" s="7" t="n">
        <v>44377</v>
      </c>
      <c r="D52" s="6" t="s">
        <v>380</v>
      </c>
      <c r="E52" s="6" t="s">
        <v>10890</v>
      </c>
      <c r="F52" s="6" t="s">
        <v>10888</v>
      </c>
      <c r="G52" s="6" t="s">
        <v>10849</v>
      </c>
      <c r="H52" s="9" t="n">
        <v>-11333</v>
      </c>
      <c r="I52" s="6" t="s">
        <v>384</v>
      </c>
      <c r="J52" s="6" t="s">
        <v>13</v>
      </c>
      <c r="K52" s="6" t="s">
        <v>100</v>
      </c>
      <c r="L52" s="6" t="s">
        <v>10955</v>
      </c>
      <c r="M52" s="6" t="s">
        <v>10949</v>
      </c>
      <c r="N52" s="6"/>
    </row>
    <row r="53" customFormat="false" ht="15" hidden="false" customHeight="false" outlineLevel="0" collapsed="false">
      <c r="A53" s="6" t="s">
        <v>10956</v>
      </c>
      <c r="B53" s="6" t="s">
        <v>103</v>
      </c>
      <c r="C53" s="7" t="n">
        <v>44377</v>
      </c>
      <c r="D53" s="6" t="s">
        <v>380</v>
      </c>
      <c r="E53" s="6" t="s">
        <v>10904</v>
      </c>
      <c r="F53" s="6" t="s">
        <v>8429</v>
      </c>
      <c r="G53" s="6" t="s">
        <v>10840</v>
      </c>
      <c r="H53" s="9" t="n">
        <v>-355</v>
      </c>
      <c r="I53" s="6" t="s">
        <v>384</v>
      </c>
      <c r="J53" s="6" t="s">
        <v>13</v>
      </c>
      <c r="K53" s="6" t="s">
        <v>100</v>
      </c>
      <c r="L53" s="6" t="s">
        <v>10957</v>
      </c>
      <c r="M53" s="6" t="s">
        <v>10958</v>
      </c>
      <c r="N53" s="6"/>
    </row>
    <row r="54" customFormat="false" ht="15" hidden="false" customHeight="false" outlineLevel="0" collapsed="false">
      <c r="A54" s="6" t="s">
        <v>10959</v>
      </c>
      <c r="B54" s="6" t="s">
        <v>103</v>
      </c>
      <c r="C54" s="7" t="n">
        <v>44377</v>
      </c>
      <c r="D54" s="6" t="s">
        <v>380</v>
      </c>
      <c r="E54" s="6" t="s">
        <v>10904</v>
      </c>
      <c r="F54" s="6" t="s">
        <v>8520</v>
      </c>
      <c r="G54" s="6" t="s">
        <v>10845</v>
      </c>
      <c r="H54" s="9" t="n">
        <v>-1358</v>
      </c>
      <c r="I54" s="6" t="s">
        <v>384</v>
      </c>
      <c r="J54" s="6" t="s">
        <v>13</v>
      </c>
      <c r="K54" s="6" t="s">
        <v>100</v>
      </c>
      <c r="L54" s="6" t="s">
        <v>3069</v>
      </c>
      <c r="M54" s="6" t="s">
        <v>10958</v>
      </c>
      <c r="N54" s="6"/>
    </row>
    <row r="55" customFormat="false" ht="15" hidden="false" customHeight="false" outlineLevel="0" collapsed="false">
      <c r="A55" s="6" t="s">
        <v>10960</v>
      </c>
      <c r="B55" s="6" t="s">
        <v>103</v>
      </c>
      <c r="C55" s="7" t="n">
        <v>44377</v>
      </c>
      <c r="D55" s="6" t="s">
        <v>380</v>
      </c>
      <c r="E55" s="6" t="s">
        <v>10904</v>
      </c>
      <c r="F55" s="6" t="s">
        <v>8081</v>
      </c>
      <c r="G55" s="6" t="s">
        <v>10845</v>
      </c>
      <c r="H55" s="9" t="n">
        <v>-718</v>
      </c>
      <c r="I55" s="6" t="s">
        <v>384</v>
      </c>
      <c r="J55" s="6" t="s">
        <v>13</v>
      </c>
      <c r="K55" s="6" t="s">
        <v>100</v>
      </c>
      <c r="L55" s="6" t="s">
        <v>3184</v>
      </c>
      <c r="M55" s="6" t="s">
        <v>10958</v>
      </c>
      <c r="N55" s="6"/>
    </row>
    <row r="56" customFormat="false" ht="15" hidden="false" customHeight="false" outlineLevel="0" collapsed="false">
      <c r="A56" s="6" t="s">
        <v>10961</v>
      </c>
      <c r="B56" s="6" t="s">
        <v>103</v>
      </c>
      <c r="C56" s="7" t="n">
        <v>44377</v>
      </c>
      <c r="D56" s="6" t="s">
        <v>380</v>
      </c>
      <c r="E56" s="6" t="s">
        <v>10904</v>
      </c>
      <c r="F56" s="6" t="s">
        <v>10911</v>
      </c>
      <c r="G56" s="6" t="s">
        <v>10845</v>
      </c>
      <c r="H56" s="9" t="n">
        <v>951</v>
      </c>
      <c r="I56" s="6" t="s">
        <v>384</v>
      </c>
      <c r="J56" s="6" t="s">
        <v>13</v>
      </c>
      <c r="K56" s="6" t="s">
        <v>100</v>
      </c>
      <c r="L56" s="6" t="s">
        <v>3297</v>
      </c>
      <c r="M56" s="6" t="s">
        <v>10958</v>
      </c>
      <c r="N56" s="6"/>
    </row>
    <row r="57" customFormat="false" ht="15" hidden="false" customHeight="false" outlineLevel="0" collapsed="false">
      <c r="A57" s="6" t="s">
        <v>10962</v>
      </c>
      <c r="B57" s="6" t="s">
        <v>103</v>
      </c>
      <c r="C57" s="7" t="n">
        <v>44377</v>
      </c>
      <c r="D57" s="6" t="s">
        <v>380</v>
      </c>
      <c r="E57" s="6" t="s">
        <v>10904</v>
      </c>
      <c r="F57" s="6" t="s">
        <v>4887</v>
      </c>
      <c r="G57" s="6" t="s">
        <v>10849</v>
      </c>
      <c r="H57" s="9" t="n">
        <v>-1480</v>
      </c>
      <c r="I57" s="6" t="s">
        <v>384</v>
      </c>
      <c r="J57" s="6" t="s">
        <v>13</v>
      </c>
      <c r="K57" s="6" t="s">
        <v>100</v>
      </c>
      <c r="L57" s="6" t="s">
        <v>3363</v>
      </c>
      <c r="M57" s="6" t="s">
        <v>10958</v>
      </c>
      <c r="N57" s="6"/>
    </row>
    <row r="58" customFormat="false" ht="15" hidden="false" customHeight="false" outlineLevel="0" collapsed="false">
      <c r="A58" s="6" t="s">
        <v>10963</v>
      </c>
      <c r="B58" s="6" t="s">
        <v>111</v>
      </c>
      <c r="C58" s="7" t="n">
        <v>44469</v>
      </c>
      <c r="D58" s="6" t="s">
        <v>380</v>
      </c>
      <c r="E58" s="6" t="s">
        <v>10838</v>
      </c>
      <c r="F58" s="6" t="s">
        <v>10839</v>
      </c>
      <c r="G58" s="6" t="s">
        <v>10840</v>
      </c>
      <c r="H58" s="9" t="n">
        <v>72805</v>
      </c>
      <c r="I58" s="6" t="s">
        <v>384</v>
      </c>
      <c r="J58" s="6" t="s">
        <v>13</v>
      </c>
      <c r="K58" s="6" t="s">
        <v>109</v>
      </c>
      <c r="L58" s="6" t="s">
        <v>10964</v>
      </c>
      <c r="M58" s="6" t="s">
        <v>10965</v>
      </c>
      <c r="N58" s="6"/>
    </row>
    <row r="59" customFormat="false" ht="15" hidden="false" customHeight="false" outlineLevel="0" collapsed="false">
      <c r="A59" s="6" t="s">
        <v>10966</v>
      </c>
      <c r="B59" s="6" t="s">
        <v>111</v>
      </c>
      <c r="C59" s="7" t="n">
        <v>44469</v>
      </c>
      <c r="D59" s="6" t="s">
        <v>380</v>
      </c>
      <c r="E59" s="6" t="s">
        <v>10838</v>
      </c>
      <c r="F59" s="6" t="s">
        <v>2706</v>
      </c>
      <c r="G59" s="6" t="s">
        <v>10845</v>
      </c>
      <c r="H59" s="9" t="n">
        <v>2107</v>
      </c>
      <c r="I59" s="6" t="s">
        <v>384</v>
      </c>
      <c r="J59" s="6" t="s">
        <v>13</v>
      </c>
      <c r="K59" s="6" t="s">
        <v>109</v>
      </c>
      <c r="L59" s="6" t="s">
        <v>10967</v>
      </c>
      <c r="M59" s="6" t="s">
        <v>10965</v>
      </c>
      <c r="N59" s="6"/>
    </row>
    <row r="60" customFormat="false" ht="15" hidden="false" customHeight="false" outlineLevel="0" collapsed="false">
      <c r="A60" s="6" t="s">
        <v>10968</v>
      </c>
      <c r="B60" s="6" t="s">
        <v>111</v>
      </c>
      <c r="C60" s="7" t="n">
        <v>44469</v>
      </c>
      <c r="D60" s="6" t="s">
        <v>380</v>
      </c>
      <c r="E60" s="6" t="s">
        <v>10838</v>
      </c>
      <c r="F60" s="6" t="s">
        <v>10848</v>
      </c>
      <c r="G60" s="6" t="s">
        <v>10849</v>
      </c>
      <c r="H60" s="9" t="n">
        <v>74912</v>
      </c>
      <c r="I60" s="6" t="s">
        <v>384</v>
      </c>
      <c r="J60" s="6" t="s">
        <v>13</v>
      </c>
      <c r="K60" s="6" t="s">
        <v>109</v>
      </c>
      <c r="L60" s="6" t="s">
        <v>1746</v>
      </c>
      <c r="M60" s="6" t="s">
        <v>10965</v>
      </c>
      <c r="N60" s="6"/>
    </row>
    <row r="61" customFormat="false" ht="15" hidden="false" customHeight="false" outlineLevel="0" collapsed="false">
      <c r="A61" s="6" t="s">
        <v>10969</v>
      </c>
      <c r="B61" s="6" t="s">
        <v>111</v>
      </c>
      <c r="C61" s="7" t="n">
        <v>44469</v>
      </c>
      <c r="D61" s="6" t="s">
        <v>380</v>
      </c>
      <c r="E61" s="6" t="s">
        <v>10851</v>
      </c>
      <c r="F61" s="6" t="s">
        <v>10852</v>
      </c>
      <c r="G61" s="6" t="s">
        <v>10840</v>
      </c>
      <c r="H61" s="9" t="n">
        <v>19875</v>
      </c>
      <c r="I61" s="6" t="s">
        <v>384</v>
      </c>
      <c r="J61" s="6" t="s">
        <v>13</v>
      </c>
      <c r="K61" s="6" t="s">
        <v>109</v>
      </c>
      <c r="L61" s="6" t="s">
        <v>10970</v>
      </c>
      <c r="M61" s="6" t="s">
        <v>10971</v>
      </c>
      <c r="N61" s="6"/>
    </row>
    <row r="62" customFormat="false" ht="15" hidden="false" customHeight="false" outlineLevel="0" collapsed="false">
      <c r="A62" s="6" t="s">
        <v>10972</v>
      </c>
      <c r="B62" s="6" t="s">
        <v>111</v>
      </c>
      <c r="C62" s="7" t="n">
        <v>44469</v>
      </c>
      <c r="D62" s="6" t="s">
        <v>380</v>
      </c>
      <c r="E62" s="6" t="s">
        <v>10851</v>
      </c>
      <c r="F62" s="6" t="s">
        <v>2706</v>
      </c>
      <c r="G62" s="6" t="s">
        <v>10845</v>
      </c>
      <c r="H62" s="9" t="n">
        <v>-5620</v>
      </c>
      <c r="I62" s="6" t="s">
        <v>384</v>
      </c>
      <c r="J62" s="6" t="s">
        <v>13</v>
      </c>
      <c r="K62" s="6" t="s">
        <v>109</v>
      </c>
      <c r="L62" s="6" t="s">
        <v>10973</v>
      </c>
      <c r="M62" s="6" t="s">
        <v>10971</v>
      </c>
      <c r="N62" s="6"/>
    </row>
    <row r="63" customFormat="false" ht="15" hidden="false" customHeight="false" outlineLevel="0" collapsed="false">
      <c r="A63" s="6" t="s">
        <v>10974</v>
      </c>
      <c r="B63" s="6" t="s">
        <v>111</v>
      </c>
      <c r="C63" s="7" t="n">
        <v>44469</v>
      </c>
      <c r="D63" s="6" t="s">
        <v>380</v>
      </c>
      <c r="E63" s="6" t="s">
        <v>10851</v>
      </c>
      <c r="F63" s="6" t="s">
        <v>10858</v>
      </c>
      <c r="G63" s="6" t="s">
        <v>10849</v>
      </c>
      <c r="H63" s="9" t="n">
        <v>14255</v>
      </c>
      <c r="I63" s="6" t="s">
        <v>384</v>
      </c>
      <c r="J63" s="6" t="s">
        <v>13</v>
      </c>
      <c r="K63" s="6" t="s">
        <v>109</v>
      </c>
      <c r="L63" s="6" t="s">
        <v>1939</v>
      </c>
      <c r="M63" s="6" t="s">
        <v>10971</v>
      </c>
      <c r="N63" s="6"/>
    </row>
    <row r="64" customFormat="false" ht="15" hidden="false" customHeight="false" outlineLevel="0" collapsed="false">
      <c r="A64" s="6" t="s">
        <v>10975</v>
      </c>
      <c r="B64" s="6" t="s">
        <v>111</v>
      </c>
      <c r="C64" s="7" t="n">
        <v>44469</v>
      </c>
      <c r="D64" s="6" t="s">
        <v>380</v>
      </c>
      <c r="E64" s="6" t="s">
        <v>10851</v>
      </c>
      <c r="F64" s="6" t="s">
        <v>10860</v>
      </c>
      <c r="G64" s="6" t="s">
        <v>10840</v>
      </c>
      <c r="H64" s="9" t="n">
        <v>67443</v>
      </c>
      <c r="I64" s="6" t="s">
        <v>384</v>
      </c>
      <c r="J64" s="6" t="s">
        <v>13</v>
      </c>
      <c r="K64" s="6" t="s">
        <v>109</v>
      </c>
      <c r="L64" s="6" t="s">
        <v>10976</v>
      </c>
      <c r="M64" s="6" t="s">
        <v>10977</v>
      </c>
      <c r="N64" s="6"/>
    </row>
    <row r="65" customFormat="false" ht="15" hidden="false" customHeight="false" outlineLevel="0" collapsed="false">
      <c r="A65" s="6" t="s">
        <v>10978</v>
      </c>
      <c r="B65" s="6" t="s">
        <v>111</v>
      </c>
      <c r="C65" s="7" t="n">
        <v>44469</v>
      </c>
      <c r="D65" s="6" t="s">
        <v>380</v>
      </c>
      <c r="E65" s="6" t="s">
        <v>10851</v>
      </c>
      <c r="F65" s="6" t="s">
        <v>2706</v>
      </c>
      <c r="G65" s="6" t="s">
        <v>10845</v>
      </c>
      <c r="H65" s="9" t="n">
        <v>-6448</v>
      </c>
      <c r="I65" s="6" t="s">
        <v>384</v>
      </c>
      <c r="J65" s="6" t="s">
        <v>13</v>
      </c>
      <c r="K65" s="6" t="s">
        <v>109</v>
      </c>
      <c r="L65" s="6" t="s">
        <v>10973</v>
      </c>
      <c r="M65" s="6" t="s">
        <v>10977</v>
      </c>
      <c r="N65" s="6"/>
    </row>
    <row r="66" customFormat="false" ht="15" hidden="false" customHeight="false" outlineLevel="0" collapsed="false">
      <c r="A66" s="6" t="s">
        <v>10979</v>
      </c>
      <c r="B66" s="6" t="s">
        <v>111</v>
      </c>
      <c r="C66" s="7" t="n">
        <v>44469</v>
      </c>
      <c r="D66" s="6" t="s">
        <v>380</v>
      </c>
      <c r="E66" s="6" t="s">
        <v>10851</v>
      </c>
      <c r="F66" s="6" t="s">
        <v>10865</v>
      </c>
      <c r="G66" s="6" t="s">
        <v>10849</v>
      </c>
      <c r="H66" s="9" t="n">
        <v>60995</v>
      </c>
      <c r="I66" s="6" t="s">
        <v>384</v>
      </c>
      <c r="J66" s="6" t="s">
        <v>13</v>
      </c>
      <c r="K66" s="6" t="s">
        <v>109</v>
      </c>
      <c r="L66" s="6" t="s">
        <v>2054</v>
      </c>
      <c r="M66" s="6" t="s">
        <v>10977</v>
      </c>
      <c r="N66" s="6"/>
    </row>
    <row r="67" customFormat="false" ht="15" hidden="false" customHeight="false" outlineLevel="0" collapsed="false">
      <c r="A67" s="6" t="s">
        <v>10980</v>
      </c>
      <c r="B67" s="6" t="s">
        <v>111</v>
      </c>
      <c r="C67" s="7" t="n">
        <v>44469</v>
      </c>
      <c r="D67" s="6" t="s">
        <v>380</v>
      </c>
      <c r="E67" s="6" t="s">
        <v>10851</v>
      </c>
      <c r="F67" s="6" t="s">
        <v>10867</v>
      </c>
      <c r="G67" s="6" t="s">
        <v>10840</v>
      </c>
      <c r="H67" s="9" t="n">
        <v>14698</v>
      </c>
      <c r="I67" s="6" t="s">
        <v>384</v>
      </c>
      <c r="J67" s="6" t="s">
        <v>13</v>
      </c>
      <c r="K67" s="6" t="s">
        <v>109</v>
      </c>
      <c r="L67" s="6" t="s">
        <v>10981</v>
      </c>
      <c r="M67" s="6" t="s">
        <v>10982</v>
      </c>
      <c r="N67" s="6"/>
    </row>
    <row r="68" customFormat="false" ht="15" hidden="false" customHeight="false" outlineLevel="0" collapsed="false">
      <c r="A68" s="6" t="s">
        <v>10983</v>
      </c>
      <c r="B68" s="6" t="s">
        <v>111</v>
      </c>
      <c r="C68" s="7" t="n">
        <v>44469</v>
      </c>
      <c r="D68" s="6" t="s">
        <v>380</v>
      </c>
      <c r="E68" s="6" t="s">
        <v>10851</v>
      </c>
      <c r="F68" s="6" t="s">
        <v>2706</v>
      </c>
      <c r="G68" s="6" t="s">
        <v>10845</v>
      </c>
      <c r="H68" s="9" t="n">
        <v>-5587</v>
      </c>
      <c r="I68" s="6" t="s">
        <v>384</v>
      </c>
      <c r="J68" s="6" t="s">
        <v>13</v>
      </c>
      <c r="K68" s="6" t="s">
        <v>109</v>
      </c>
      <c r="L68" s="6" t="s">
        <v>10973</v>
      </c>
      <c r="M68" s="6" t="s">
        <v>10982</v>
      </c>
      <c r="N68" s="6"/>
    </row>
    <row r="69" customFormat="false" ht="15" hidden="false" customHeight="false" outlineLevel="0" collapsed="false">
      <c r="A69" s="6" t="s">
        <v>10984</v>
      </c>
      <c r="B69" s="6" t="s">
        <v>111</v>
      </c>
      <c r="C69" s="7" t="n">
        <v>44469</v>
      </c>
      <c r="D69" s="6" t="s">
        <v>380</v>
      </c>
      <c r="E69" s="6" t="s">
        <v>10851</v>
      </c>
      <c r="F69" s="6" t="s">
        <v>10872</v>
      </c>
      <c r="G69" s="6" t="s">
        <v>10849</v>
      </c>
      <c r="H69" s="9" t="n">
        <v>9111</v>
      </c>
      <c r="I69" s="6" t="s">
        <v>384</v>
      </c>
      <c r="J69" s="6" t="s">
        <v>13</v>
      </c>
      <c r="K69" s="6" t="s">
        <v>109</v>
      </c>
      <c r="L69" s="6" t="s">
        <v>2169</v>
      </c>
      <c r="M69" s="6" t="s">
        <v>10982</v>
      </c>
      <c r="N69" s="6"/>
    </row>
    <row r="70" customFormat="false" ht="15" hidden="false" customHeight="false" outlineLevel="0" collapsed="false">
      <c r="A70" s="6" t="s">
        <v>10985</v>
      </c>
      <c r="B70" s="6" t="s">
        <v>111</v>
      </c>
      <c r="C70" s="7" t="n">
        <v>44469</v>
      </c>
      <c r="D70" s="6" t="s">
        <v>380</v>
      </c>
      <c r="E70" s="6" t="s">
        <v>10874</v>
      </c>
      <c r="F70" s="6" t="s">
        <v>10165</v>
      </c>
      <c r="G70" s="6" t="s">
        <v>10840</v>
      </c>
      <c r="H70" s="9" t="n">
        <v>-29211</v>
      </c>
      <c r="I70" s="6" t="s">
        <v>384</v>
      </c>
      <c r="J70" s="6" t="s">
        <v>13</v>
      </c>
      <c r="K70" s="6" t="s">
        <v>109</v>
      </c>
      <c r="L70" s="6" t="s">
        <v>10986</v>
      </c>
      <c r="M70" s="6" t="s">
        <v>10987</v>
      </c>
      <c r="N70" s="6"/>
    </row>
    <row r="71" customFormat="false" ht="15" hidden="false" customHeight="false" outlineLevel="0" collapsed="false">
      <c r="A71" s="6" t="s">
        <v>10988</v>
      </c>
      <c r="B71" s="6" t="s">
        <v>111</v>
      </c>
      <c r="C71" s="7" t="n">
        <v>44469</v>
      </c>
      <c r="D71" s="6" t="s">
        <v>380</v>
      </c>
      <c r="E71" s="6" t="s">
        <v>10874</v>
      </c>
      <c r="F71" s="6" t="s">
        <v>2706</v>
      </c>
      <c r="G71" s="6" t="s">
        <v>10845</v>
      </c>
      <c r="H71" s="9" t="n">
        <v>19762</v>
      </c>
      <c r="I71" s="6" t="s">
        <v>384</v>
      </c>
      <c r="J71" s="6" t="s">
        <v>13</v>
      </c>
      <c r="K71" s="6" t="s">
        <v>109</v>
      </c>
      <c r="L71" s="6" t="s">
        <v>2718</v>
      </c>
      <c r="M71" s="6" t="s">
        <v>10987</v>
      </c>
      <c r="N71" s="6"/>
    </row>
    <row r="72" customFormat="false" ht="15" hidden="false" customHeight="false" outlineLevel="0" collapsed="false">
      <c r="A72" s="6" t="s">
        <v>10989</v>
      </c>
      <c r="B72" s="6" t="s">
        <v>111</v>
      </c>
      <c r="C72" s="7" t="n">
        <v>44469</v>
      </c>
      <c r="D72" s="6" t="s">
        <v>380</v>
      </c>
      <c r="E72" s="6" t="s">
        <v>10874</v>
      </c>
      <c r="F72" s="6" t="s">
        <v>10421</v>
      </c>
      <c r="G72" s="6" t="s">
        <v>10849</v>
      </c>
      <c r="H72" s="9" t="n">
        <v>-9449</v>
      </c>
      <c r="I72" s="6" t="s">
        <v>384</v>
      </c>
      <c r="J72" s="6" t="s">
        <v>13</v>
      </c>
      <c r="K72" s="6" t="s">
        <v>109</v>
      </c>
      <c r="L72" s="6" t="s">
        <v>2284</v>
      </c>
      <c r="M72" s="6" t="s">
        <v>10987</v>
      </c>
      <c r="N72" s="6"/>
    </row>
    <row r="73" customFormat="false" ht="15" hidden="false" customHeight="false" outlineLevel="0" collapsed="false">
      <c r="A73" s="6" t="s">
        <v>10990</v>
      </c>
      <c r="B73" s="6" t="s">
        <v>111</v>
      </c>
      <c r="C73" s="7" t="n">
        <v>44469</v>
      </c>
      <c r="D73" s="6" t="s">
        <v>380</v>
      </c>
      <c r="E73" s="6" t="s">
        <v>10941</v>
      </c>
      <c r="F73" s="6" t="s">
        <v>10880</v>
      </c>
      <c r="G73" s="6" t="s">
        <v>10840</v>
      </c>
      <c r="H73" s="9" t="n">
        <v>-28846</v>
      </c>
      <c r="I73" s="6" t="s">
        <v>384</v>
      </c>
      <c r="J73" s="6" t="s">
        <v>13</v>
      </c>
      <c r="K73" s="6" t="s">
        <v>109</v>
      </c>
      <c r="L73" s="6" t="s">
        <v>10991</v>
      </c>
      <c r="M73" s="6" t="s">
        <v>10992</v>
      </c>
      <c r="N73" s="6"/>
    </row>
    <row r="74" customFormat="false" ht="15" hidden="false" customHeight="false" outlineLevel="0" collapsed="false">
      <c r="A74" s="6" t="s">
        <v>10993</v>
      </c>
      <c r="B74" s="6" t="s">
        <v>111</v>
      </c>
      <c r="C74" s="7" t="n">
        <v>44469</v>
      </c>
      <c r="D74" s="6" t="s">
        <v>380</v>
      </c>
      <c r="E74" s="6" t="s">
        <v>10941</v>
      </c>
      <c r="F74" s="6" t="s">
        <v>2706</v>
      </c>
      <c r="G74" s="6" t="s">
        <v>10845</v>
      </c>
      <c r="H74" s="9" t="n">
        <v>19762</v>
      </c>
      <c r="I74" s="6" t="s">
        <v>384</v>
      </c>
      <c r="J74" s="6" t="s">
        <v>13</v>
      </c>
      <c r="K74" s="6" t="s">
        <v>109</v>
      </c>
      <c r="L74" s="6" t="s">
        <v>10994</v>
      </c>
      <c r="M74" s="6" t="s">
        <v>10992</v>
      </c>
      <c r="N74" s="6"/>
    </row>
    <row r="75" customFormat="false" ht="15" hidden="false" customHeight="false" outlineLevel="0" collapsed="false">
      <c r="A75" s="6" t="s">
        <v>10995</v>
      </c>
      <c r="B75" s="6" t="s">
        <v>111</v>
      </c>
      <c r="C75" s="7" t="n">
        <v>44469</v>
      </c>
      <c r="D75" s="6" t="s">
        <v>380</v>
      </c>
      <c r="E75" s="6" t="s">
        <v>10941</v>
      </c>
      <c r="F75" s="6" t="s">
        <v>10885</v>
      </c>
      <c r="G75" s="6" t="s">
        <v>10845</v>
      </c>
      <c r="H75" s="9" t="n">
        <v>-2289</v>
      </c>
      <c r="I75" s="6" t="s">
        <v>384</v>
      </c>
      <c r="J75" s="6" t="s">
        <v>13</v>
      </c>
      <c r="K75" s="6" t="s">
        <v>109</v>
      </c>
      <c r="L75" s="6" t="s">
        <v>10996</v>
      </c>
      <c r="M75" s="6" t="s">
        <v>10992</v>
      </c>
      <c r="N75" s="6"/>
    </row>
    <row r="76" customFormat="false" ht="15" hidden="false" customHeight="false" outlineLevel="0" collapsed="false">
      <c r="A76" s="6" t="s">
        <v>10997</v>
      </c>
      <c r="B76" s="6" t="s">
        <v>111</v>
      </c>
      <c r="C76" s="7" t="n">
        <v>44469</v>
      </c>
      <c r="D76" s="6" t="s">
        <v>380</v>
      </c>
      <c r="E76" s="6" t="s">
        <v>10941</v>
      </c>
      <c r="F76" s="6" t="s">
        <v>10888</v>
      </c>
      <c r="G76" s="6" t="s">
        <v>10849</v>
      </c>
      <c r="H76" s="9" t="n">
        <v>-11373</v>
      </c>
      <c r="I76" s="6" t="s">
        <v>384</v>
      </c>
      <c r="J76" s="6" t="s">
        <v>13</v>
      </c>
      <c r="K76" s="6" t="s">
        <v>109</v>
      </c>
      <c r="L76" s="6" t="s">
        <v>2492</v>
      </c>
      <c r="M76" s="6" t="s">
        <v>10992</v>
      </c>
      <c r="N76" s="6"/>
    </row>
    <row r="77" customFormat="false" ht="15" hidden="false" customHeight="false" outlineLevel="0" collapsed="false">
      <c r="A77" s="6" t="s">
        <v>10998</v>
      </c>
      <c r="B77" s="6" t="s">
        <v>111</v>
      </c>
      <c r="C77" s="7" t="n">
        <v>44469</v>
      </c>
      <c r="D77" s="6" t="s">
        <v>380</v>
      </c>
      <c r="E77" s="6" t="s">
        <v>10890</v>
      </c>
      <c r="F77" s="6" t="s">
        <v>10891</v>
      </c>
      <c r="G77" s="6" t="s">
        <v>10840</v>
      </c>
      <c r="H77" s="9" t="n">
        <v>-28846</v>
      </c>
      <c r="I77" s="6" t="s">
        <v>384</v>
      </c>
      <c r="J77" s="6" t="s">
        <v>13</v>
      </c>
      <c r="K77" s="6" t="s">
        <v>109</v>
      </c>
      <c r="L77" s="6" t="s">
        <v>10999</v>
      </c>
      <c r="M77" s="6" t="s">
        <v>11000</v>
      </c>
      <c r="N77" s="6"/>
    </row>
    <row r="78" customFormat="false" ht="15" hidden="false" customHeight="false" outlineLevel="0" collapsed="false">
      <c r="A78" s="6" t="s">
        <v>11001</v>
      </c>
      <c r="B78" s="6" t="s">
        <v>111</v>
      </c>
      <c r="C78" s="7" t="n">
        <v>44469</v>
      </c>
      <c r="D78" s="6" t="s">
        <v>380</v>
      </c>
      <c r="E78" s="6" t="s">
        <v>10890</v>
      </c>
      <c r="F78" s="6" t="s">
        <v>10895</v>
      </c>
      <c r="G78" s="6" t="s">
        <v>10845</v>
      </c>
      <c r="H78" s="9" t="n">
        <v>0</v>
      </c>
      <c r="I78" s="6" t="s">
        <v>384</v>
      </c>
      <c r="J78" s="6" t="s">
        <v>13</v>
      </c>
      <c r="K78" s="6" t="s">
        <v>109</v>
      </c>
      <c r="L78" s="6" t="s">
        <v>11002</v>
      </c>
      <c r="M78" s="6" t="s">
        <v>11000</v>
      </c>
      <c r="N78" s="6"/>
    </row>
    <row r="79" customFormat="false" ht="15" hidden="false" customHeight="false" outlineLevel="0" collapsed="false">
      <c r="A79" s="6" t="s">
        <v>11003</v>
      </c>
      <c r="B79" s="6" t="s">
        <v>111</v>
      </c>
      <c r="C79" s="7" t="n">
        <v>44469</v>
      </c>
      <c r="D79" s="6" t="s">
        <v>380</v>
      </c>
      <c r="E79" s="6" t="s">
        <v>10890</v>
      </c>
      <c r="F79" s="6" t="s">
        <v>2706</v>
      </c>
      <c r="G79" s="6" t="s">
        <v>10845</v>
      </c>
      <c r="H79" s="9" t="n">
        <v>19762</v>
      </c>
      <c r="I79" s="6" t="s">
        <v>384</v>
      </c>
      <c r="J79" s="6" t="s">
        <v>13</v>
      </c>
      <c r="K79" s="6" t="s">
        <v>109</v>
      </c>
      <c r="L79" s="6" t="s">
        <v>11004</v>
      </c>
      <c r="M79" s="6" t="s">
        <v>11000</v>
      </c>
      <c r="N79" s="6"/>
    </row>
    <row r="80" customFormat="false" ht="15" hidden="false" customHeight="false" outlineLevel="0" collapsed="false">
      <c r="A80" s="6" t="s">
        <v>11005</v>
      </c>
      <c r="B80" s="6" t="s">
        <v>111</v>
      </c>
      <c r="C80" s="7" t="n">
        <v>44469</v>
      </c>
      <c r="D80" s="6" t="s">
        <v>380</v>
      </c>
      <c r="E80" s="6" t="s">
        <v>10890</v>
      </c>
      <c r="F80" s="6" t="s">
        <v>10885</v>
      </c>
      <c r="G80" s="6" t="s">
        <v>10845</v>
      </c>
      <c r="H80" s="9" t="n">
        <v>-2289</v>
      </c>
      <c r="I80" s="6" t="s">
        <v>384</v>
      </c>
      <c r="J80" s="6" t="s">
        <v>13</v>
      </c>
      <c r="K80" s="6" t="s">
        <v>109</v>
      </c>
      <c r="L80" s="6" t="s">
        <v>11006</v>
      </c>
      <c r="M80" s="6" t="s">
        <v>11000</v>
      </c>
      <c r="N80" s="6"/>
    </row>
    <row r="81" customFormat="false" ht="15" hidden="false" customHeight="false" outlineLevel="0" collapsed="false">
      <c r="A81" s="6" t="s">
        <v>11007</v>
      </c>
      <c r="B81" s="6" t="s">
        <v>111</v>
      </c>
      <c r="C81" s="7" t="n">
        <v>44469</v>
      </c>
      <c r="D81" s="6" t="s">
        <v>380</v>
      </c>
      <c r="E81" s="6" t="s">
        <v>10890</v>
      </c>
      <c r="F81" s="6" t="s">
        <v>10888</v>
      </c>
      <c r="G81" s="6" t="s">
        <v>10849</v>
      </c>
      <c r="H81" s="9" t="n">
        <v>-11373</v>
      </c>
      <c r="I81" s="6" t="s">
        <v>384</v>
      </c>
      <c r="J81" s="6" t="s">
        <v>13</v>
      </c>
      <c r="K81" s="6" t="s">
        <v>109</v>
      </c>
      <c r="L81" s="6" t="s">
        <v>11008</v>
      </c>
      <c r="M81" s="6" t="s">
        <v>11000</v>
      </c>
      <c r="N81" s="6"/>
    </row>
    <row r="82" customFormat="false" ht="15" hidden="false" customHeight="false" outlineLevel="0" collapsed="false">
      <c r="A82" s="6" t="s">
        <v>11009</v>
      </c>
      <c r="B82" s="6" t="s">
        <v>111</v>
      </c>
      <c r="C82" s="7" t="n">
        <v>44469</v>
      </c>
      <c r="D82" s="6" t="s">
        <v>380</v>
      </c>
      <c r="E82" s="6" t="s">
        <v>10904</v>
      </c>
      <c r="F82" s="6" t="s">
        <v>2949</v>
      </c>
      <c r="G82" s="6" t="s">
        <v>10840</v>
      </c>
      <c r="H82" s="9" t="n">
        <v>3793</v>
      </c>
      <c r="I82" s="6" t="s">
        <v>384</v>
      </c>
      <c r="J82" s="6" t="s">
        <v>13</v>
      </c>
      <c r="K82" s="6" t="s">
        <v>109</v>
      </c>
      <c r="L82" s="6" t="s">
        <v>11010</v>
      </c>
      <c r="M82" s="6" t="s">
        <v>11011</v>
      </c>
      <c r="N82" s="6"/>
    </row>
    <row r="83" customFormat="false" ht="15" hidden="false" customHeight="false" outlineLevel="0" collapsed="false">
      <c r="A83" s="6" t="s">
        <v>11012</v>
      </c>
      <c r="B83" s="6" t="s">
        <v>111</v>
      </c>
      <c r="C83" s="7" t="n">
        <v>44469</v>
      </c>
      <c r="D83" s="6" t="s">
        <v>380</v>
      </c>
      <c r="E83" s="6" t="s">
        <v>10904</v>
      </c>
      <c r="F83" s="6" t="s">
        <v>8520</v>
      </c>
      <c r="G83" s="6" t="s">
        <v>10845</v>
      </c>
      <c r="H83" s="9" t="n">
        <v>-3023</v>
      </c>
      <c r="I83" s="6" t="s">
        <v>384</v>
      </c>
      <c r="J83" s="6" t="s">
        <v>13</v>
      </c>
      <c r="K83" s="6" t="s">
        <v>109</v>
      </c>
      <c r="L83" s="6" t="s">
        <v>3075</v>
      </c>
      <c r="M83" s="6" t="s">
        <v>11011</v>
      </c>
      <c r="N83" s="6"/>
    </row>
    <row r="84" customFormat="false" ht="15" hidden="false" customHeight="false" outlineLevel="0" collapsed="false">
      <c r="A84" s="6" t="s">
        <v>11013</v>
      </c>
      <c r="B84" s="6" t="s">
        <v>111</v>
      </c>
      <c r="C84" s="7" t="n">
        <v>44469</v>
      </c>
      <c r="D84" s="6" t="s">
        <v>380</v>
      </c>
      <c r="E84" s="6" t="s">
        <v>10904</v>
      </c>
      <c r="F84" s="6" t="s">
        <v>8081</v>
      </c>
      <c r="G84" s="6" t="s">
        <v>10845</v>
      </c>
      <c r="H84" s="9" t="n">
        <v>-590</v>
      </c>
      <c r="I84" s="6" t="s">
        <v>384</v>
      </c>
      <c r="J84" s="6" t="s">
        <v>13</v>
      </c>
      <c r="K84" s="6" t="s">
        <v>109</v>
      </c>
      <c r="L84" s="6" t="s">
        <v>3190</v>
      </c>
      <c r="M84" s="6" t="s">
        <v>11011</v>
      </c>
      <c r="N84" s="6"/>
    </row>
    <row r="85" customFormat="false" ht="15" hidden="false" customHeight="false" outlineLevel="0" collapsed="false">
      <c r="A85" s="6" t="s">
        <v>11014</v>
      </c>
      <c r="B85" s="6" t="s">
        <v>111</v>
      </c>
      <c r="C85" s="7" t="n">
        <v>44469</v>
      </c>
      <c r="D85" s="6" t="s">
        <v>380</v>
      </c>
      <c r="E85" s="6" t="s">
        <v>10904</v>
      </c>
      <c r="F85" s="6" t="s">
        <v>10911</v>
      </c>
      <c r="G85" s="6" t="s">
        <v>10845</v>
      </c>
      <c r="H85" s="9" t="n">
        <v>2685</v>
      </c>
      <c r="I85" s="6" t="s">
        <v>384</v>
      </c>
      <c r="J85" s="6" t="s">
        <v>13</v>
      </c>
      <c r="K85" s="6" t="s">
        <v>109</v>
      </c>
      <c r="L85" s="6" t="s">
        <v>3303</v>
      </c>
      <c r="M85" s="6" t="s">
        <v>11011</v>
      </c>
      <c r="N85" s="6"/>
    </row>
    <row r="86" customFormat="false" ht="15" hidden="false" customHeight="false" outlineLevel="0" collapsed="false">
      <c r="A86" s="6" t="s">
        <v>11015</v>
      </c>
      <c r="B86" s="6" t="s">
        <v>111</v>
      </c>
      <c r="C86" s="7" t="n">
        <v>44469</v>
      </c>
      <c r="D86" s="6" t="s">
        <v>380</v>
      </c>
      <c r="E86" s="6" t="s">
        <v>10904</v>
      </c>
      <c r="F86" s="6" t="s">
        <v>4887</v>
      </c>
      <c r="G86" s="6" t="s">
        <v>10849</v>
      </c>
      <c r="H86" s="9" t="n">
        <v>2865</v>
      </c>
      <c r="I86" s="6" t="s">
        <v>384</v>
      </c>
      <c r="J86" s="6" t="s">
        <v>13</v>
      </c>
      <c r="K86" s="6" t="s">
        <v>109</v>
      </c>
      <c r="L86" s="6" t="s">
        <v>3370</v>
      </c>
      <c r="M86" s="6" t="s">
        <v>11011</v>
      </c>
      <c r="N86" s="6"/>
    </row>
    <row r="87" customFormat="false" ht="15" hidden="false" customHeight="false" outlineLevel="0" collapsed="false">
      <c r="A87" s="6" t="s">
        <v>11016</v>
      </c>
      <c r="B87" s="6" t="s">
        <v>116</v>
      </c>
      <c r="C87" s="7" t="n">
        <v>44561</v>
      </c>
      <c r="D87" s="6" t="s">
        <v>380</v>
      </c>
      <c r="E87" s="6" t="s">
        <v>10838</v>
      </c>
      <c r="F87" s="6" t="s">
        <v>10839</v>
      </c>
      <c r="G87" s="6" t="s">
        <v>10840</v>
      </c>
      <c r="H87" s="9" t="n">
        <v>83777</v>
      </c>
      <c r="I87" s="6" t="s">
        <v>384</v>
      </c>
      <c r="J87" s="6" t="s">
        <v>13</v>
      </c>
      <c r="K87" s="6" t="s">
        <v>114</v>
      </c>
      <c r="L87" s="6" t="s">
        <v>11017</v>
      </c>
      <c r="M87" s="6" t="s">
        <v>11018</v>
      </c>
      <c r="N87" s="6"/>
    </row>
    <row r="88" customFormat="false" ht="15" hidden="false" customHeight="false" outlineLevel="0" collapsed="false">
      <c r="A88" s="6" t="s">
        <v>11019</v>
      </c>
      <c r="B88" s="6" t="s">
        <v>116</v>
      </c>
      <c r="C88" s="7" t="n">
        <v>44561</v>
      </c>
      <c r="D88" s="6" t="s">
        <v>380</v>
      </c>
      <c r="E88" s="6" t="s">
        <v>10838</v>
      </c>
      <c r="F88" s="6" t="s">
        <v>2706</v>
      </c>
      <c r="G88" s="6" t="s">
        <v>10845</v>
      </c>
      <c r="H88" s="9" t="n">
        <v>2210</v>
      </c>
      <c r="I88" s="6" t="s">
        <v>384</v>
      </c>
      <c r="J88" s="6" t="s">
        <v>13</v>
      </c>
      <c r="K88" s="6" t="s">
        <v>114</v>
      </c>
      <c r="L88" s="6" t="s">
        <v>11020</v>
      </c>
      <c r="M88" s="6" t="s">
        <v>11018</v>
      </c>
      <c r="N88" s="6"/>
    </row>
    <row r="89" customFormat="false" ht="15" hidden="false" customHeight="false" outlineLevel="0" collapsed="false">
      <c r="A89" s="6" t="s">
        <v>11021</v>
      </c>
      <c r="B89" s="6" t="s">
        <v>116</v>
      </c>
      <c r="C89" s="7" t="n">
        <v>44561</v>
      </c>
      <c r="D89" s="6" t="s">
        <v>380</v>
      </c>
      <c r="E89" s="6" t="s">
        <v>10838</v>
      </c>
      <c r="F89" s="6" t="s">
        <v>10848</v>
      </c>
      <c r="G89" s="6" t="s">
        <v>10849</v>
      </c>
      <c r="H89" s="9" t="n">
        <v>85987</v>
      </c>
      <c r="I89" s="6" t="s">
        <v>384</v>
      </c>
      <c r="J89" s="6" t="s">
        <v>13</v>
      </c>
      <c r="K89" s="6" t="s">
        <v>114</v>
      </c>
      <c r="L89" s="6" t="s">
        <v>1752</v>
      </c>
      <c r="M89" s="6" t="s">
        <v>11018</v>
      </c>
      <c r="N89" s="6"/>
    </row>
    <row r="90" customFormat="false" ht="15" hidden="false" customHeight="false" outlineLevel="0" collapsed="false">
      <c r="A90" s="6" t="s">
        <v>11022</v>
      </c>
      <c r="B90" s="6" t="s">
        <v>116</v>
      </c>
      <c r="C90" s="7" t="n">
        <v>44561</v>
      </c>
      <c r="D90" s="6" t="s">
        <v>380</v>
      </c>
      <c r="E90" s="6" t="s">
        <v>10851</v>
      </c>
      <c r="F90" s="6" t="s">
        <v>10852</v>
      </c>
      <c r="G90" s="6" t="s">
        <v>10840</v>
      </c>
      <c r="H90" s="9" t="n">
        <v>21959</v>
      </c>
      <c r="I90" s="6" t="s">
        <v>384</v>
      </c>
      <c r="J90" s="6" t="s">
        <v>13</v>
      </c>
      <c r="K90" s="6" t="s">
        <v>114</v>
      </c>
      <c r="L90" s="6" t="s">
        <v>11023</v>
      </c>
      <c r="M90" s="6" t="s">
        <v>11024</v>
      </c>
      <c r="N90" s="6"/>
    </row>
    <row r="91" customFormat="false" ht="15" hidden="false" customHeight="false" outlineLevel="0" collapsed="false">
      <c r="A91" s="6" t="s">
        <v>11025</v>
      </c>
      <c r="B91" s="6" t="s">
        <v>116</v>
      </c>
      <c r="C91" s="7" t="n">
        <v>44561</v>
      </c>
      <c r="D91" s="6" t="s">
        <v>380</v>
      </c>
      <c r="E91" s="6" t="s">
        <v>10851</v>
      </c>
      <c r="F91" s="6" t="s">
        <v>2706</v>
      </c>
      <c r="G91" s="6" t="s">
        <v>10845</v>
      </c>
      <c r="H91" s="9" t="n">
        <v>-6554</v>
      </c>
      <c r="I91" s="6" t="s">
        <v>384</v>
      </c>
      <c r="J91" s="6" t="s">
        <v>13</v>
      </c>
      <c r="K91" s="6" t="s">
        <v>114</v>
      </c>
      <c r="L91" s="6" t="s">
        <v>11026</v>
      </c>
      <c r="M91" s="6" t="s">
        <v>11024</v>
      </c>
      <c r="N91" s="6"/>
    </row>
    <row r="92" customFormat="false" ht="15" hidden="false" customHeight="false" outlineLevel="0" collapsed="false">
      <c r="A92" s="6" t="s">
        <v>11027</v>
      </c>
      <c r="B92" s="6" t="s">
        <v>116</v>
      </c>
      <c r="C92" s="7" t="n">
        <v>44561</v>
      </c>
      <c r="D92" s="6" t="s">
        <v>380</v>
      </c>
      <c r="E92" s="6" t="s">
        <v>10851</v>
      </c>
      <c r="F92" s="6" t="s">
        <v>10858</v>
      </c>
      <c r="G92" s="6" t="s">
        <v>10849</v>
      </c>
      <c r="H92" s="9" t="n">
        <v>15405</v>
      </c>
      <c r="I92" s="6" t="s">
        <v>384</v>
      </c>
      <c r="J92" s="6" t="s">
        <v>13</v>
      </c>
      <c r="K92" s="6" t="s">
        <v>114</v>
      </c>
      <c r="L92" s="6" t="s">
        <v>1945</v>
      </c>
      <c r="M92" s="6" t="s">
        <v>11024</v>
      </c>
      <c r="N92" s="6"/>
    </row>
    <row r="93" customFormat="false" ht="15" hidden="false" customHeight="false" outlineLevel="0" collapsed="false">
      <c r="A93" s="6" t="s">
        <v>11028</v>
      </c>
      <c r="B93" s="6" t="s">
        <v>116</v>
      </c>
      <c r="C93" s="7" t="n">
        <v>44561</v>
      </c>
      <c r="D93" s="6" t="s">
        <v>380</v>
      </c>
      <c r="E93" s="6" t="s">
        <v>10851</v>
      </c>
      <c r="F93" s="6" t="s">
        <v>10860</v>
      </c>
      <c r="G93" s="6" t="s">
        <v>10840</v>
      </c>
      <c r="H93" s="9" t="n">
        <v>76535</v>
      </c>
      <c r="I93" s="6" t="s">
        <v>384</v>
      </c>
      <c r="J93" s="6" t="s">
        <v>13</v>
      </c>
      <c r="K93" s="6" t="s">
        <v>114</v>
      </c>
      <c r="L93" s="6" t="s">
        <v>11029</v>
      </c>
      <c r="M93" s="6" t="s">
        <v>11030</v>
      </c>
      <c r="N93" s="6"/>
    </row>
    <row r="94" customFormat="false" ht="15" hidden="false" customHeight="false" outlineLevel="0" collapsed="false">
      <c r="A94" s="6" t="s">
        <v>11031</v>
      </c>
      <c r="B94" s="6" t="s">
        <v>116</v>
      </c>
      <c r="C94" s="7" t="n">
        <v>44561</v>
      </c>
      <c r="D94" s="6" t="s">
        <v>380</v>
      </c>
      <c r="E94" s="6" t="s">
        <v>10851</v>
      </c>
      <c r="F94" s="6" t="s">
        <v>2706</v>
      </c>
      <c r="G94" s="6" t="s">
        <v>10845</v>
      </c>
      <c r="H94" s="9" t="n">
        <v>-7117</v>
      </c>
      <c r="I94" s="6" t="s">
        <v>384</v>
      </c>
      <c r="J94" s="6" t="s">
        <v>13</v>
      </c>
      <c r="K94" s="6" t="s">
        <v>114</v>
      </c>
      <c r="L94" s="6" t="s">
        <v>11026</v>
      </c>
      <c r="M94" s="6" t="s">
        <v>11030</v>
      </c>
      <c r="N94" s="6"/>
    </row>
    <row r="95" customFormat="false" ht="15" hidden="false" customHeight="false" outlineLevel="0" collapsed="false">
      <c r="A95" s="6" t="s">
        <v>11032</v>
      </c>
      <c r="B95" s="6" t="s">
        <v>116</v>
      </c>
      <c r="C95" s="7" t="n">
        <v>44561</v>
      </c>
      <c r="D95" s="6" t="s">
        <v>380</v>
      </c>
      <c r="E95" s="6" t="s">
        <v>10851</v>
      </c>
      <c r="F95" s="6" t="s">
        <v>10865</v>
      </c>
      <c r="G95" s="6" t="s">
        <v>10849</v>
      </c>
      <c r="H95" s="9" t="n">
        <v>69418</v>
      </c>
      <c r="I95" s="6" t="s">
        <v>384</v>
      </c>
      <c r="J95" s="6" t="s">
        <v>13</v>
      </c>
      <c r="K95" s="6" t="s">
        <v>114</v>
      </c>
      <c r="L95" s="6" t="s">
        <v>2060</v>
      </c>
      <c r="M95" s="6" t="s">
        <v>11030</v>
      </c>
      <c r="N95" s="6"/>
    </row>
    <row r="96" customFormat="false" ht="15" hidden="false" customHeight="false" outlineLevel="0" collapsed="false">
      <c r="A96" s="6" t="s">
        <v>11033</v>
      </c>
      <c r="B96" s="6" t="s">
        <v>116</v>
      </c>
      <c r="C96" s="7" t="n">
        <v>44561</v>
      </c>
      <c r="D96" s="6" t="s">
        <v>380</v>
      </c>
      <c r="E96" s="6" t="s">
        <v>10851</v>
      </c>
      <c r="F96" s="6" t="s">
        <v>10867</v>
      </c>
      <c r="G96" s="6" t="s">
        <v>10840</v>
      </c>
      <c r="H96" s="9" t="n">
        <v>16881</v>
      </c>
      <c r="I96" s="6" t="s">
        <v>384</v>
      </c>
      <c r="J96" s="6" t="s">
        <v>13</v>
      </c>
      <c r="K96" s="6" t="s">
        <v>114</v>
      </c>
      <c r="L96" s="6" t="s">
        <v>11034</v>
      </c>
      <c r="M96" s="6" t="s">
        <v>11035</v>
      </c>
      <c r="N96" s="6"/>
    </row>
    <row r="97" customFormat="false" ht="15" hidden="false" customHeight="false" outlineLevel="0" collapsed="false">
      <c r="A97" s="6" t="s">
        <v>11036</v>
      </c>
      <c r="B97" s="6" t="s">
        <v>116</v>
      </c>
      <c r="C97" s="7" t="n">
        <v>44561</v>
      </c>
      <c r="D97" s="6" t="s">
        <v>380</v>
      </c>
      <c r="E97" s="6" t="s">
        <v>10851</v>
      </c>
      <c r="F97" s="6" t="s">
        <v>2706</v>
      </c>
      <c r="G97" s="6" t="s">
        <v>10845</v>
      </c>
      <c r="H97" s="9" t="n">
        <v>-5788</v>
      </c>
      <c r="I97" s="6" t="s">
        <v>384</v>
      </c>
      <c r="J97" s="6" t="s">
        <v>13</v>
      </c>
      <c r="K97" s="6" t="s">
        <v>114</v>
      </c>
      <c r="L97" s="6" t="s">
        <v>11026</v>
      </c>
      <c r="M97" s="6" t="s">
        <v>11035</v>
      </c>
      <c r="N97" s="6"/>
    </row>
    <row r="98" customFormat="false" ht="15" hidden="false" customHeight="false" outlineLevel="0" collapsed="false">
      <c r="A98" s="6" t="s">
        <v>11037</v>
      </c>
      <c r="B98" s="6" t="s">
        <v>116</v>
      </c>
      <c r="C98" s="7" t="n">
        <v>44561</v>
      </c>
      <c r="D98" s="6" t="s">
        <v>380</v>
      </c>
      <c r="E98" s="6" t="s">
        <v>10851</v>
      </c>
      <c r="F98" s="6" t="s">
        <v>10872</v>
      </c>
      <c r="G98" s="6" t="s">
        <v>10849</v>
      </c>
      <c r="H98" s="9" t="n">
        <v>11093</v>
      </c>
      <c r="I98" s="6" t="s">
        <v>384</v>
      </c>
      <c r="J98" s="6" t="s">
        <v>13</v>
      </c>
      <c r="K98" s="6" t="s">
        <v>114</v>
      </c>
      <c r="L98" s="6" t="s">
        <v>2175</v>
      </c>
      <c r="M98" s="6" t="s">
        <v>11035</v>
      </c>
      <c r="N98" s="6"/>
    </row>
    <row r="99" customFormat="false" ht="15" hidden="false" customHeight="false" outlineLevel="0" collapsed="false">
      <c r="A99" s="6" t="s">
        <v>11038</v>
      </c>
      <c r="B99" s="6" t="s">
        <v>116</v>
      </c>
      <c r="C99" s="7" t="n">
        <v>44561</v>
      </c>
      <c r="D99" s="6" t="s">
        <v>380</v>
      </c>
      <c r="E99" s="6" t="s">
        <v>10874</v>
      </c>
      <c r="F99" s="6" t="s">
        <v>10165</v>
      </c>
      <c r="G99" s="6" t="s">
        <v>10840</v>
      </c>
      <c r="H99" s="9" t="n">
        <v>-31598</v>
      </c>
      <c r="I99" s="6" t="s">
        <v>384</v>
      </c>
      <c r="J99" s="6" t="s">
        <v>13</v>
      </c>
      <c r="K99" s="6" t="s">
        <v>114</v>
      </c>
      <c r="L99" s="6" t="s">
        <v>11039</v>
      </c>
      <c r="M99" s="6" t="s">
        <v>11040</v>
      </c>
      <c r="N99" s="6"/>
    </row>
    <row r="100" customFormat="false" ht="15" hidden="false" customHeight="false" outlineLevel="0" collapsed="false">
      <c r="A100" s="6" t="s">
        <v>11041</v>
      </c>
      <c r="B100" s="6" t="s">
        <v>116</v>
      </c>
      <c r="C100" s="7" t="n">
        <v>44561</v>
      </c>
      <c r="D100" s="6" t="s">
        <v>380</v>
      </c>
      <c r="E100" s="6" t="s">
        <v>10874</v>
      </c>
      <c r="F100" s="6" t="s">
        <v>2706</v>
      </c>
      <c r="G100" s="6" t="s">
        <v>10845</v>
      </c>
      <c r="H100" s="9" t="n">
        <v>21669</v>
      </c>
      <c r="I100" s="6" t="s">
        <v>384</v>
      </c>
      <c r="J100" s="6" t="s">
        <v>13</v>
      </c>
      <c r="K100" s="6" t="s">
        <v>114</v>
      </c>
      <c r="L100" s="6" t="s">
        <v>2724</v>
      </c>
      <c r="M100" s="6" t="s">
        <v>11040</v>
      </c>
      <c r="N100" s="6"/>
    </row>
    <row r="101" customFormat="false" ht="15" hidden="false" customHeight="false" outlineLevel="0" collapsed="false">
      <c r="A101" s="6" t="s">
        <v>11042</v>
      </c>
      <c r="B101" s="6" t="s">
        <v>116</v>
      </c>
      <c r="C101" s="7" t="n">
        <v>44561</v>
      </c>
      <c r="D101" s="6" t="s">
        <v>380</v>
      </c>
      <c r="E101" s="6" t="s">
        <v>10874</v>
      </c>
      <c r="F101" s="6" t="s">
        <v>10421</v>
      </c>
      <c r="G101" s="6" t="s">
        <v>10849</v>
      </c>
      <c r="H101" s="9" t="n">
        <v>-9929</v>
      </c>
      <c r="I101" s="6" t="s">
        <v>384</v>
      </c>
      <c r="J101" s="6" t="s">
        <v>13</v>
      </c>
      <c r="K101" s="6" t="s">
        <v>114</v>
      </c>
      <c r="L101" s="6" t="s">
        <v>2290</v>
      </c>
      <c r="M101" s="6" t="s">
        <v>11040</v>
      </c>
      <c r="N101" s="6"/>
    </row>
    <row r="102" customFormat="false" ht="15" hidden="false" customHeight="false" outlineLevel="0" collapsed="false">
      <c r="A102" s="6" t="s">
        <v>11043</v>
      </c>
      <c r="B102" s="6" t="s">
        <v>116</v>
      </c>
      <c r="C102" s="7" t="n">
        <v>44561</v>
      </c>
      <c r="D102" s="6" t="s">
        <v>380</v>
      </c>
      <c r="E102" s="6" t="s">
        <v>10941</v>
      </c>
      <c r="F102" s="6" t="s">
        <v>10880</v>
      </c>
      <c r="G102" s="6" t="s">
        <v>10840</v>
      </c>
      <c r="H102" s="9" t="n">
        <v>-32605</v>
      </c>
      <c r="I102" s="6" t="s">
        <v>384</v>
      </c>
      <c r="J102" s="6" t="s">
        <v>13</v>
      </c>
      <c r="K102" s="6" t="s">
        <v>114</v>
      </c>
      <c r="L102" s="6" t="s">
        <v>11044</v>
      </c>
      <c r="M102" s="6" t="s">
        <v>11045</v>
      </c>
      <c r="N102" s="6"/>
    </row>
    <row r="103" customFormat="false" ht="15" hidden="false" customHeight="false" outlineLevel="0" collapsed="false">
      <c r="A103" s="6" t="s">
        <v>11046</v>
      </c>
      <c r="B103" s="6" t="s">
        <v>116</v>
      </c>
      <c r="C103" s="7" t="n">
        <v>44561</v>
      </c>
      <c r="D103" s="6" t="s">
        <v>380</v>
      </c>
      <c r="E103" s="6" t="s">
        <v>10941</v>
      </c>
      <c r="F103" s="6" t="s">
        <v>2706</v>
      </c>
      <c r="G103" s="6" t="s">
        <v>10845</v>
      </c>
      <c r="H103" s="9" t="n">
        <v>21669</v>
      </c>
      <c r="I103" s="6" t="s">
        <v>384</v>
      </c>
      <c r="J103" s="6" t="s">
        <v>13</v>
      </c>
      <c r="K103" s="6" t="s">
        <v>114</v>
      </c>
      <c r="L103" s="6" t="s">
        <v>11047</v>
      </c>
      <c r="M103" s="6" t="s">
        <v>11045</v>
      </c>
      <c r="N103" s="6"/>
    </row>
    <row r="104" customFormat="false" ht="15" hidden="false" customHeight="false" outlineLevel="0" collapsed="false">
      <c r="A104" s="6" t="s">
        <v>11048</v>
      </c>
      <c r="B104" s="6" t="s">
        <v>116</v>
      </c>
      <c r="C104" s="7" t="n">
        <v>44561</v>
      </c>
      <c r="D104" s="6" t="s">
        <v>380</v>
      </c>
      <c r="E104" s="6" t="s">
        <v>10941</v>
      </c>
      <c r="F104" s="6" t="s">
        <v>10885</v>
      </c>
      <c r="G104" s="6" t="s">
        <v>10845</v>
      </c>
      <c r="H104" s="9" t="n">
        <v>-780</v>
      </c>
      <c r="I104" s="6" t="s">
        <v>384</v>
      </c>
      <c r="J104" s="6" t="s">
        <v>13</v>
      </c>
      <c r="K104" s="6" t="s">
        <v>114</v>
      </c>
      <c r="L104" s="6" t="s">
        <v>11049</v>
      </c>
      <c r="M104" s="6" t="s">
        <v>11045</v>
      </c>
      <c r="N104" s="6"/>
    </row>
    <row r="105" customFormat="false" ht="15" hidden="false" customHeight="false" outlineLevel="0" collapsed="false">
      <c r="A105" s="6" t="s">
        <v>11050</v>
      </c>
      <c r="B105" s="6" t="s">
        <v>116</v>
      </c>
      <c r="C105" s="7" t="n">
        <v>44561</v>
      </c>
      <c r="D105" s="6" t="s">
        <v>380</v>
      </c>
      <c r="E105" s="6" t="s">
        <v>10941</v>
      </c>
      <c r="F105" s="6" t="s">
        <v>10888</v>
      </c>
      <c r="G105" s="6" t="s">
        <v>10849</v>
      </c>
      <c r="H105" s="9" t="n">
        <v>-11716</v>
      </c>
      <c r="I105" s="6" t="s">
        <v>384</v>
      </c>
      <c r="J105" s="6" t="s">
        <v>13</v>
      </c>
      <c r="K105" s="6" t="s">
        <v>114</v>
      </c>
      <c r="L105" s="6" t="s">
        <v>2498</v>
      </c>
      <c r="M105" s="6" t="s">
        <v>11045</v>
      </c>
      <c r="N105" s="6"/>
    </row>
    <row r="106" customFormat="false" ht="15" hidden="false" customHeight="false" outlineLevel="0" collapsed="false">
      <c r="A106" s="6" t="s">
        <v>11051</v>
      </c>
      <c r="B106" s="6" t="s">
        <v>116</v>
      </c>
      <c r="C106" s="7" t="n">
        <v>44561</v>
      </c>
      <c r="D106" s="6" t="s">
        <v>380</v>
      </c>
      <c r="E106" s="6" t="s">
        <v>10890</v>
      </c>
      <c r="F106" s="6" t="s">
        <v>10891</v>
      </c>
      <c r="G106" s="6" t="s">
        <v>10840</v>
      </c>
      <c r="H106" s="9" t="n">
        <v>-32605</v>
      </c>
      <c r="I106" s="6" t="s">
        <v>384</v>
      </c>
      <c r="J106" s="6" t="s">
        <v>13</v>
      </c>
      <c r="K106" s="6" t="s">
        <v>114</v>
      </c>
      <c r="L106" s="6" t="s">
        <v>11052</v>
      </c>
      <c r="M106" s="6" t="s">
        <v>11053</v>
      </c>
      <c r="N106" s="6"/>
    </row>
    <row r="107" customFormat="false" ht="15" hidden="false" customHeight="false" outlineLevel="0" collapsed="false">
      <c r="A107" s="6" t="s">
        <v>11054</v>
      </c>
      <c r="B107" s="6" t="s">
        <v>116</v>
      </c>
      <c r="C107" s="7" t="n">
        <v>44561</v>
      </c>
      <c r="D107" s="6" t="s">
        <v>380</v>
      </c>
      <c r="E107" s="6" t="s">
        <v>10890</v>
      </c>
      <c r="F107" s="6" t="s">
        <v>10895</v>
      </c>
      <c r="G107" s="6" t="s">
        <v>10845</v>
      </c>
      <c r="H107" s="9" t="n">
        <v>0</v>
      </c>
      <c r="I107" s="6" t="s">
        <v>384</v>
      </c>
      <c r="J107" s="6" t="s">
        <v>13</v>
      </c>
      <c r="K107" s="6" t="s">
        <v>114</v>
      </c>
      <c r="L107" s="6" t="s">
        <v>11055</v>
      </c>
      <c r="M107" s="6" t="s">
        <v>11053</v>
      </c>
      <c r="N107" s="6"/>
    </row>
    <row r="108" customFormat="false" ht="15" hidden="false" customHeight="false" outlineLevel="0" collapsed="false">
      <c r="A108" s="6" t="s">
        <v>11056</v>
      </c>
      <c r="B108" s="6" t="s">
        <v>116</v>
      </c>
      <c r="C108" s="7" t="n">
        <v>44561</v>
      </c>
      <c r="D108" s="6" t="s">
        <v>380</v>
      </c>
      <c r="E108" s="6" t="s">
        <v>10890</v>
      </c>
      <c r="F108" s="6" t="s">
        <v>2706</v>
      </c>
      <c r="G108" s="6" t="s">
        <v>10845</v>
      </c>
      <c r="H108" s="9" t="n">
        <v>21669</v>
      </c>
      <c r="I108" s="6" t="s">
        <v>384</v>
      </c>
      <c r="J108" s="6" t="s">
        <v>13</v>
      </c>
      <c r="K108" s="6" t="s">
        <v>114</v>
      </c>
      <c r="L108" s="6" t="s">
        <v>11057</v>
      </c>
      <c r="M108" s="6" t="s">
        <v>11053</v>
      </c>
      <c r="N108" s="6"/>
    </row>
    <row r="109" customFormat="false" ht="15" hidden="false" customHeight="false" outlineLevel="0" collapsed="false">
      <c r="A109" s="6" t="s">
        <v>11058</v>
      </c>
      <c r="B109" s="6" t="s">
        <v>116</v>
      </c>
      <c r="C109" s="7" t="n">
        <v>44561</v>
      </c>
      <c r="D109" s="6" t="s">
        <v>380</v>
      </c>
      <c r="E109" s="6" t="s">
        <v>10890</v>
      </c>
      <c r="F109" s="6" t="s">
        <v>10885</v>
      </c>
      <c r="G109" s="6" t="s">
        <v>10845</v>
      </c>
      <c r="H109" s="9" t="n">
        <v>-780</v>
      </c>
      <c r="I109" s="6" t="s">
        <v>384</v>
      </c>
      <c r="J109" s="6" t="s">
        <v>13</v>
      </c>
      <c r="K109" s="6" t="s">
        <v>114</v>
      </c>
      <c r="L109" s="6" t="s">
        <v>11059</v>
      </c>
      <c r="M109" s="6" t="s">
        <v>11053</v>
      </c>
      <c r="N109" s="6"/>
    </row>
    <row r="110" customFormat="false" ht="15" hidden="false" customHeight="false" outlineLevel="0" collapsed="false">
      <c r="A110" s="6" t="s">
        <v>11060</v>
      </c>
      <c r="B110" s="6" t="s">
        <v>116</v>
      </c>
      <c r="C110" s="7" t="n">
        <v>44561</v>
      </c>
      <c r="D110" s="6" t="s">
        <v>380</v>
      </c>
      <c r="E110" s="6" t="s">
        <v>10890</v>
      </c>
      <c r="F110" s="6" t="s">
        <v>10888</v>
      </c>
      <c r="G110" s="6" t="s">
        <v>10849</v>
      </c>
      <c r="H110" s="9" t="n">
        <v>-11716</v>
      </c>
      <c r="I110" s="6" t="s">
        <v>384</v>
      </c>
      <c r="J110" s="6" t="s">
        <v>13</v>
      </c>
      <c r="K110" s="6" t="s">
        <v>114</v>
      </c>
      <c r="L110" s="6" t="s">
        <v>11061</v>
      </c>
      <c r="M110" s="6" t="s">
        <v>11053</v>
      </c>
      <c r="N110" s="6"/>
    </row>
    <row r="111" customFormat="false" ht="15" hidden="false" customHeight="false" outlineLevel="0" collapsed="false">
      <c r="A111" s="6" t="s">
        <v>11062</v>
      </c>
      <c r="B111" s="6" t="s">
        <v>116</v>
      </c>
      <c r="C111" s="7" t="n">
        <v>44561</v>
      </c>
      <c r="D111" s="6" t="s">
        <v>380</v>
      </c>
      <c r="E111" s="6" t="s">
        <v>10904</v>
      </c>
      <c r="F111" s="6" t="s">
        <v>2949</v>
      </c>
      <c r="G111" s="6" t="s">
        <v>10840</v>
      </c>
      <c r="H111" s="9" t="n">
        <v>13516</v>
      </c>
      <c r="I111" s="6" t="s">
        <v>384</v>
      </c>
      <c r="J111" s="6" t="s">
        <v>13</v>
      </c>
      <c r="K111" s="6" t="s">
        <v>114</v>
      </c>
      <c r="L111" s="6" t="s">
        <v>11063</v>
      </c>
      <c r="M111" s="6" t="s">
        <v>11064</v>
      </c>
      <c r="N111" s="6"/>
    </row>
    <row r="112" customFormat="false" ht="15" hidden="false" customHeight="false" outlineLevel="0" collapsed="false">
      <c r="A112" s="6" t="s">
        <v>11065</v>
      </c>
      <c r="B112" s="6" t="s">
        <v>116</v>
      </c>
      <c r="C112" s="7" t="n">
        <v>44561</v>
      </c>
      <c r="D112" s="6" t="s">
        <v>380</v>
      </c>
      <c r="E112" s="6" t="s">
        <v>10904</v>
      </c>
      <c r="F112" s="6" t="s">
        <v>8520</v>
      </c>
      <c r="G112" s="6" t="s">
        <v>10845</v>
      </c>
      <c r="H112" s="9" t="n">
        <v>-2974</v>
      </c>
      <c r="I112" s="6" t="s">
        <v>384</v>
      </c>
      <c r="J112" s="6" t="s">
        <v>13</v>
      </c>
      <c r="K112" s="6" t="s">
        <v>114</v>
      </c>
      <c r="L112" s="6" t="s">
        <v>3081</v>
      </c>
      <c r="M112" s="6" t="s">
        <v>11064</v>
      </c>
      <c r="N112" s="6"/>
    </row>
    <row r="113" customFormat="false" ht="15" hidden="false" customHeight="false" outlineLevel="0" collapsed="false">
      <c r="A113" s="6" t="s">
        <v>11066</v>
      </c>
      <c r="B113" s="6" t="s">
        <v>116</v>
      </c>
      <c r="C113" s="7" t="n">
        <v>44561</v>
      </c>
      <c r="D113" s="6" t="s">
        <v>380</v>
      </c>
      <c r="E113" s="6" t="s">
        <v>10904</v>
      </c>
      <c r="F113" s="6" t="s">
        <v>8081</v>
      </c>
      <c r="G113" s="6" t="s">
        <v>10845</v>
      </c>
      <c r="H113" s="9" t="n">
        <v>-432</v>
      </c>
      <c r="I113" s="6" t="s">
        <v>384</v>
      </c>
      <c r="J113" s="6" t="s">
        <v>13</v>
      </c>
      <c r="K113" s="6" t="s">
        <v>114</v>
      </c>
      <c r="L113" s="6" t="s">
        <v>3195</v>
      </c>
      <c r="M113" s="6" t="s">
        <v>11064</v>
      </c>
      <c r="N113" s="6"/>
    </row>
    <row r="114" customFormat="false" ht="15" hidden="false" customHeight="false" outlineLevel="0" collapsed="false">
      <c r="A114" s="6" t="s">
        <v>11067</v>
      </c>
      <c r="B114" s="6" t="s">
        <v>116</v>
      </c>
      <c r="C114" s="7" t="n">
        <v>44561</v>
      </c>
      <c r="D114" s="6" t="s">
        <v>380</v>
      </c>
      <c r="E114" s="6" t="s">
        <v>10904</v>
      </c>
      <c r="F114" s="6" t="s">
        <v>10911</v>
      </c>
      <c r="G114" s="6" t="s">
        <v>10845</v>
      </c>
      <c r="H114" s="9" t="n">
        <v>0</v>
      </c>
      <c r="I114" s="6" t="s">
        <v>384</v>
      </c>
      <c r="J114" s="6" t="s">
        <v>13</v>
      </c>
      <c r="K114" s="6" t="s">
        <v>114</v>
      </c>
      <c r="L114" s="6" t="s">
        <v>3308</v>
      </c>
      <c r="M114" s="6" t="s">
        <v>11064</v>
      </c>
      <c r="N114" s="6"/>
    </row>
    <row r="115" customFormat="false" ht="15" hidden="false" customHeight="false" outlineLevel="0" collapsed="false">
      <c r="A115" s="6" t="s">
        <v>11068</v>
      </c>
      <c r="B115" s="6" t="s">
        <v>116</v>
      </c>
      <c r="C115" s="7" t="n">
        <v>44561</v>
      </c>
      <c r="D115" s="6" t="s">
        <v>380</v>
      </c>
      <c r="E115" s="6" t="s">
        <v>10904</v>
      </c>
      <c r="F115" s="6" t="s">
        <v>4887</v>
      </c>
      <c r="G115" s="6" t="s">
        <v>10849</v>
      </c>
      <c r="H115" s="9" t="n">
        <v>10110</v>
      </c>
      <c r="I115" s="6" t="s">
        <v>384</v>
      </c>
      <c r="J115" s="6" t="s">
        <v>13</v>
      </c>
      <c r="K115" s="6" t="s">
        <v>114</v>
      </c>
      <c r="L115" s="6" t="s">
        <v>3376</v>
      </c>
      <c r="M115" s="6" t="s">
        <v>11064</v>
      </c>
      <c r="N115" s="6"/>
    </row>
    <row r="116" customFormat="false" ht="15" hidden="false" customHeight="false" outlineLevel="0" collapsed="false">
      <c r="A116" s="6" t="s">
        <v>11069</v>
      </c>
      <c r="B116" s="6" t="s">
        <v>212</v>
      </c>
      <c r="C116" s="7" t="n">
        <v>44561</v>
      </c>
      <c r="D116" s="6" t="s">
        <v>407</v>
      </c>
      <c r="E116" s="6" t="s">
        <v>10838</v>
      </c>
      <c r="F116" s="6" t="s">
        <v>10839</v>
      </c>
      <c r="G116" s="6" t="s">
        <v>10840</v>
      </c>
      <c r="H116" s="9" t="n">
        <v>269137</v>
      </c>
      <c r="I116" s="6" t="s">
        <v>384</v>
      </c>
      <c r="J116" s="6" t="s">
        <v>13</v>
      </c>
      <c r="K116" s="6" t="s">
        <v>114</v>
      </c>
      <c r="L116" s="6" t="s">
        <v>11070</v>
      </c>
      <c r="M116" s="6" t="s">
        <v>11071</v>
      </c>
      <c r="N116" s="6"/>
    </row>
    <row r="117" customFormat="false" ht="15" hidden="false" customHeight="false" outlineLevel="0" collapsed="false">
      <c r="A117" s="6" t="s">
        <v>11072</v>
      </c>
      <c r="B117" s="6" t="s">
        <v>212</v>
      </c>
      <c r="C117" s="7" t="n">
        <v>44561</v>
      </c>
      <c r="D117" s="6" t="s">
        <v>407</v>
      </c>
      <c r="E117" s="6" t="s">
        <v>10838</v>
      </c>
      <c r="F117" s="6" t="s">
        <v>2706</v>
      </c>
      <c r="G117" s="6" t="s">
        <v>10845</v>
      </c>
      <c r="H117" s="9" t="n">
        <v>7681</v>
      </c>
      <c r="I117" s="6" t="s">
        <v>384</v>
      </c>
      <c r="J117" s="6" t="s">
        <v>13</v>
      </c>
      <c r="K117" s="6" t="s">
        <v>114</v>
      </c>
      <c r="L117" s="6" t="s">
        <v>11073</v>
      </c>
      <c r="M117" s="6" t="s">
        <v>11071</v>
      </c>
      <c r="N117" s="6"/>
    </row>
    <row r="118" customFormat="false" ht="15" hidden="false" customHeight="false" outlineLevel="0" collapsed="false">
      <c r="A118" s="6" t="s">
        <v>11074</v>
      </c>
      <c r="B118" s="6" t="s">
        <v>212</v>
      </c>
      <c r="C118" s="7" t="n">
        <v>44561</v>
      </c>
      <c r="D118" s="6" t="s">
        <v>407</v>
      </c>
      <c r="E118" s="6" t="s">
        <v>10838</v>
      </c>
      <c r="F118" s="6" t="s">
        <v>10848</v>
      </c>
      <c r="G118" s="6" t="s">
        <v>10849</v>
      </c>
      <c r="H118" s="9" t="n">
        <v>276818</v>
      </c>
      <c r="I118" s="6" t="s">
        <v>384</v>
      </c>
      <c r="J118" s="6" t="s">
        <v>13</v>
      </c>
      <c r="K118" s="6" t="s">
        <v>114</v>
      </c>
      <c r="L118" s="6" t="s">
        <v>1755</v>
      </c>
      <c r="M118" s="6" t="s">
        <v>11071</v>
      </c>
      <c r="N118" s="6"/>
    </row>
    <row r="119" customFormat="false" ht="15" hidden="false" customHeight="false" outlineLevel="0" collapsed="false">
      <c r="A119" s="6" t="s">
        <v>11075</v>
      </c>
      <c r="B119" s="6" t="s">
        <v>212</v>
      </c>
      <c r="C119" s="7" t="n">
        <v>44561</v>
      </c>
      <c r="D119" s="6" t="s">
        <v>407</v>
      </c>
      <c r="E119" s="6" t="s">
        <v>10851</v>
      </c>
      <c r="F119" s="6" t="s">
        <v>10852</v>
      </c>
      <c r="G119" s="6" t="s">
        <v>10840</v>
      </c>
      <c r="H119" s="9" t="n">
        <v>73686</v>
      </c>
      <c r="I119" s="6" t="s">
        <v>384</v>
      </c>
      <c r="J119" s="6" t="s">
        <v>13</v>
      </c>
      <c r="K119" s="6" t="s">
        <v>114</v>
      </c>
      <c r="L119" s="6" t="s">
        <v>11076</v>
      </c>
      <c r="M119" s="6" t="s">
        <v>11077</v>
      </c>
      <c r="N119" s="6"/>
    </row>
    <row r="120" customFormat="false" ht="15" hidden="false" customHeight="false" outlineLevel="0" collapsed="false">
      <c r="A120" s="6" t="s">
        <v>11078</v>
      </c>
      <c r="B120" s="6" t="s">
        <v>212</v>
      </c>
      <c r="C120" s="7" t="n">
        <v>44561</v>
      </c>
      <c r="D120" s="6" t="s">
        <v>407</v>
      </c>
      <c r="E120" s="6" t="s">
        <v>10851</v>
      </c>
      <c r="F120" s="6" t="s">
        <v>2706</v>
      </c>
      <c r="G120" s="6" t="s">
        <v>10845</v>
      </c>
      <c r="H120" s="9" t="n">
        <v>-21779</v>
      </c>
      <c r="I120" s="6" t="s">
        <v>384</v>
      </c>
      <c r="J120" s="6" t="s">
        <v>13</v>
      </c>
      <c r="K120" s="6" t="s">
        <v>114</v>
      </c>
      <c r="L120" s="6" t="s">
        <v>11079</v>
      </c>
      <c r="M120" s="6" t="s">
        <v>11077</v>
      </c>
      <c r="N120" s="6"/>
    </row>
    <row r="121" customFormat="false" ht="15" hidden="false" customHeight="false" outlineLevel="0" collapsed="false">
      <c r="A121" s="6" t="s">
        <v>11080</v>
      </c>
      <c r="B121" s="6" t="s">
        <v>212</v>
      </c>
      <c r="C121" s="7" t="n">
        <v>44561</v>
      </c>
      <c r="D121" s="6" t="s">
        <v>407</v>
      </c>
      <c r="E121" s="6" t="s">
        <v>10851</v>
      </c>
      <c r="F121" s="6" t="s">
        <v>10858</v>
      </c>
      <c r="G121" s="6" t="s">
        <v>10849</v>
      </c>
      <c r="H121" s="9" t="n">
        <v>51907</v>
      </c>
      <c r="I121" s="6" t="s">
        <v>384</v>
      </c>
      <c r="J121" s="6" t="s">
        <v>13</v>
      </c>
      <c r="K121" s="6" t="s">
        <v>114</v>
      </c>
      <c r="L121" s="6" t="s">
        <v>1948</v>
      </c>
      <c r="M121" s="6" t="s">
        <v>11077</v>
      </c>
      <c r="N121" s="6"/>
    </row>
    <row r="122" customFormat="false" ht="15" hidden="false" customHeight="false" outlineLevel="0" collapsed="false">
      <c r="A122" s="6" t="s">
        <v>11081</v>
      </c>
      <c r="B122" s="6" t="s">
        <v>212</v>
      </c>
      <c r="C122" s="7" t="n">
        <v>44561</v>
      </c>
      <c r="D122" s="6" t="s">
        <v>407</v>
      </c>
      <c r="E122" s="6" t="s">
        <v>10851</v>
      </c>
      <c r="F122" s="6" t="s">
        <v>10860</v>
      </c>
      <c r="G122" s="6" t="s">
        <v>10840</v>
      </c>
      <c r="H122" s="9" t="n">
        <v>268083</v>
      </c>
      <c r="I122" s="6" t="s">
        <v>384</v>
      </c>
      <c r="J122" s="6" t="s">
        <v>13</v>
      </c>
      <c r="K122" s="6" t="s">
        <v>114</v>
      </c>
      <c r="L122" s="6" t="s">
        <v>11082</v>
      </c>
      <c r="M122" s="6" t="s">
        <v>11083</v>
      </c>
      <c r="N122" s="6"/>
    </row>
    <row r="123" customFormat="false" ht="15" hidden="false" customHeight="false" outlineLevel="0" collapsed="false">
      <c r="A123" s="6" t="s">
        <v>11084</v>
      </c>
      <c r="B123" s="6" t="s">
        <v>212</v>
      </c>
      <c r="C123" s="7" t="n">
        <v>44561</v>
      </c>
      <c r="D123" s="6" t="s">
        <v>407</v>
      </c>
      <c r="E123" s="6" t="s">
        <v>10851</v>
      </c>
      <c r="F123" s="6" t="s">
        <v>2706</v>
      </c>
      <c r="G123" s="6" t="s">
        <v>10845</v>
      </c>
      <c r="H123" s="9" t="n">
        <v>-23135</v>
      </c>
      <c r="I123" s="6" t="s">
        <v>384</v>
      </c>
      <c r="J123" s="6" t="s">
        <v>13</v>
      </c>
      <c r="K123" s="6" t="s">
        <v>114</v>
      </c>
      <c r="L123" s="6" t="s">
        <v>11079</v>
      </c>
      <c r="M123" s="6" t="s">
        <v>11083</v>
      </c>
      <c r="N123" s="6"/>
    </row>
    <row r="124" customFormat="false" ht="15" hidden="false" customHeight="false" outlineLevel="0" collapsed="false">
      <c r="A124" s="6" t="s">
        <v>11085</v>
      </c>
      <c r="B124" s="6" t="s">
        <v>212</v>
      </c>
      <c r="C124" s="7" t="n">
        <v>44561</v>
      </c>
      <c r="D124" s="6" t="s">
        <v>407</v>
      </c>
      <c r="E124" s="6" t="s">
        <v>10851</v>
      </c>
      <c r="F124" s="6" t="s">
        <v>10865</v>
      </c>
      <c r="G124" s="6" t="s">
        <v>10849</v>
      </c>
      <c r="H124" s="9" t="n">
        <v>244948</v>
      </c>
      <c r="I124" s="6" t="s">
        <v>384</v>
      </c>
      <c r="J124" s="6" t="s">
        <v>13</v>
      </c>
      <c r="K124" s="6" t="s">
        <v>114</v>
      </c>
      <c r="L124" s="6" t="s">
        <v>2063</v>
      </c>
      <c r="M124" s="6" t="s">
        <v>11083</v>
      </c>
      <c r="N124" s="6"/>
    </row>
    <row r="125" customFormat="false" ht="15" hidden="false" customHeight="false" outlineLevel="0" collapsed="false">
      <c r="A125" s="6" t="s">
        <v>11086</v>
      </c>
      <c r="B125" s="6" t="s">
        <v>212</v>
      </c>
      <c r="C125" s="7" t="n">
        <v>44561</v>
      </c>
      <c r="D125" s="6" t="s">
        <v>407</v>
      </c>
      <c r="E125" s="6" t="s">
        <v>10851</v>
      </c>
      <c r="F125" s="6" t="s">
        <v>10867</v>
      </c>
      <c r="G125" s="6" t="s">
        <v>10840</v>
      </c>
      <c r="H125" s="9" t="n">
        <v>53493</v>
      </c>
      <c r="I125" s="6" t="s">
        <v>384</v>
      </c>
      <c r="J125" s="6" t="s">
        <v>13</v>
      </c>
      <c r="K125" s="6" t="s">
        <v>114</v>
      </c>
      <c r="L125" s="6" t="s">
        <v>11087</v>
      </c>
      <c r="M125" s="6" t="s">
        <v>11088</v>
      </c>
      <c r="N125" s="6"/>
    </row>
    <row r="126" customFormat="false" ht="15" hidden="false" customHeight="false" outlineLevel="0" collapsed="false">
      <c r="A126" s="6" t="s">
        <v>11089</v>
      </c>
      <c r="B126" s="6" t="s">
        <v>212</v>
      </c>
      <c r="C126" s="7" t="n">
        <v>44561</v>
      </c>
      <c r="D126" s="6" t="s">
        <v>407</v>
      </c>
      <c r="E126" s="6" t="s">
        <v>10851</v>
      </c>
      <c r="F126" s="6" t="s">
        <v>2706</v>
      </c>
      <c r="G126" s="6" t="s">
        <v>10845</v>
      </c>
      <c r="H126" s="9" t="n">
        <v>-20934</v>
      </c>
      <c r="I126" s="6" t="s">
        <v>384</v>
      </c>
      <c r="J126" s="6" t="s">
        <v>13</v>
      </c>
      <c r="K126" s="6" t="s">
        <v>114</v>
      </c>
      <c r="L126" s="6" t="s">
        <v>11079</v>
      </c>
      <c r="M126" s="6" t="s">
        <v>11088</v>
      </c>
      <c r="N126" s="6"/>
    </row>
    <row r="127" customFormat="false" ht="15" hidden="false" customHeight="false" outlineLevel="0" collapsed="false">
      <c r="A127" s="6" t="s">
        <v>11090</v>
      </c>
      <c r="B127" s="6" t="s">
        <v>212</v>
      </c>
      <c r="C127" s="7" t="n">
        <v>44561</v>
      </c>
      <c r="D127" s="6" t="s">
        <v>407</v>
      </c>
      <c r="E127" s="6" t="s">
        <v>10851</v>
      </c>
      <c r="F127" s="6" t="s">
        <v>10872</v>
      </c>
      <c r="G127" s="6" t="s">
        <v>10849</v>
      </c>
      <c r="H127" s="9" t="n">
        <v>32559</v>
      </c>
      <c r="I127" s="6" t="s">
        <v>384</v>
      </c>
      <c r="J127" s="6" t="s">
        <v>13</v>
      </c>
      <c r="K127" s="6" t="s">
        <v>114</v>
      </c>
      <c r="L127" s="6" t="s">
        <v>2178</v>
      </c>
      <c r="M127" s="6" t="s">
        <v>11088</v>
      </c>
      <c r="N127" s="6"/>
    </row>
    <row r="128" customFormat="false" ht="15" hidden="false" customHeight="false" outlineLevel="0" collapsed="false">
      <c r="A128" s="6" t="s">
        <v>11091</v>
      </c>
      <c r="B128" s="6" t="s">
        <v>212</v>
      </c>
      <c r="C128" s="7" t="n">
        <v>44561</v>
      </c>
      <c r="D128" s="6" t="s">
        <v>407</v>
      </c>
      <c r="E128" s="6" t="s">
        <v>10874</v>
      </c>
      <c r="F128" s="6" t="s">
        <v>10165</v>
      </c>
      <c r="G128" s="6" t="s">
        <v>10840</v>
      </c>
      <c r="H128" s="9" t="n">
        <v>-126125</v>
      </c>
      <c r="I128" s="6" t="s">
        <v>384</v>
      </c>
      <c r="J128" s="6" t="s">
        <v>13</v>
      </c>
      <c r="K128" s="6" t="s">
        <v>114</v>
      </c>
      <c r="L128" s="6" t="s">
        <v>11092</v>
      </c>
      <c r="M128" s="6" t="s">
        <v>11093</v>
      </c>
      <c r="N128" s="6"/>
    </row>
    <row r="129" customFormat="false" ht="15" hidden="false" customHeight="false" outlineLevel="0" collapsed="false">
      <c r="A129" s="6" t="s">
        <v>11094</v>
      </c>
      <c r="B129" s="6" t="s">
        <v>212</v>
      </c>
      <c r="C129" s="7" t="n">
        <v>44561</v>
      </c>
      <c r="D129" s="6" t="s">
        <v>407</v>
      </c>
      <c r="E129" s="6" t="s">
        <v>10874</v>
      </c>
      <c r="F129" s="6" t="s">
        <v>2706</v>
      </c>
      <c r="G129" s="6" t="s">
        <v>10845</v>
      </c>
      <c r="H129" s="9" t="n">
        <v>73529</v>
      </c>
      <c r="I129" s="6" t="s">
        <v>384</v>
      </c>
      <c r="J129" s="6" t="s">
        <v>13</v>
      </c>
      <c r="K129" s="6" t="s">
        <v>114</v>
      </c>
      <c r="L129" s="6" t="s">
        <v>2727</v>
      </c>
      <c r="M129" s="6" t="s">
        <v>11093</v>
      </c>
      <c r="N129" s="6"/>
    </row>
    <row r="130" customFormat="false" ht="15" hidden="false" customHeight="false" outlineLevel="0" collapsed="false">
      <c r="A130" s="6" t="s">
        <v>11095</v>
      </c>
      <c r="B130" s="6" t="s">
        <v>212</v>
      </c>
      <c r="C130" s="7" t="n">
        <v>44561</v>
      </c>
      <c r="D130" s="6" t="s">
        <v>407</v>
      </c>
      <c r="E130" s="6" t="s">
        <v>10874</v>
      </c>
      <c r="F130" s="6" t="s">
        <v>10421</v>
      </c>
      <c r="G130" s="6" t="s">
        <v>10849</v>
      </c>
      <c r="H130" s="9" t="n">
        <v>-52596</v>
      </c>
      <c r="I130" s="6" t="s">
        <v>384</v>
      </c>
      <c r="J130" s="6" t="s">
        <v>13</v>
      </c>
      <c r="K130" s="6" t="s">
        <v>114</v>
      </c>
      <c r="L130" s="6" t="s">
        <v>2293</v>
      </c>
      <c r="M130" s="6" t="s">
        <v>11093</v>
      </c>
      <c r="N130" s="6"/>
    </row>
    <row r="131" customFormat="false" ht="15" hidden="false" customHeight="false" outlineLevel="0" collapsed="false">
      <c r="A131" s="6" t="s">
        <v>11096</v>
      </c>
      <c r="B131" s="6" t="s">
        <v>212</v>
      </c>
      <c r="C131" s="7" t="n">
        <v>44561</v>
      </c>
      <c r="D131" s="6" t="s">
        <v>407</v>
      </c>
      <c r="E131" s="6" t="s">
        <v>10941</v>
      </c>
      <c r="F131" s="6" t="s">
        <v>10880</v>
      </c>
      <c r="G131" s="6" t="s">
        <v>10840</v>
      </c>
      <c r="H131" s="9" t="n">
        <v>-129294</v>
      </c>
      <c r="I131" s="6" t="s">
        <v>384</v>
      </c>
      <c r="J131" s="6" t="s">
        <v>13</v>
      </c>
      <c r="K131" s="6" t="s">
        <v>114</v>
      </c>
      <c r="L131" s="6" t="s">
        <v>11097</v>
      </c>
      <c r="M131" s="6" t="s">
        <v>11098</v>
      </c>
      <c r="N131" s="6"/>
    </row>
    <row r="132" customFormat="false" ht="15" hidden="false" customHeight="false" outlineLevel="0" collapsed="false">
      <c r="A132" s="6" t="s">
        <v>11099</v>
      </c>
      <c r="B132" s="6" t="s">
        <v>212</v>
      </c>
      <c r="C132" s="7" t="n">
        <v>44561</v>
      </c>
      <c r="D132" s="6" t="s">
        <v>407</v>
      </c>
      <c r="E132" s="6" t="s">
        <v>10941</v>
      </c>
      <c r="F132" s="6" t="s">
        <v>2706</v>
      </c>
      <c r="G132" s="6" t="s">
        <v>10845</v>
      </c>
      <c r="H132" s="9" t="n">
        <v>73529</v>
      </c>
      <c r="I132" s="6" t="s">
        <v>384</v>
      </c>
      <c r="J132" s="6" t="s">
        <v>13</v>
      </c>
      <c r="K132" s="6" t="s">
        <v>114</v>
      </c>
      <c r="L132" s="6" t="s">
        <v>11100</v>
      </c>
      <c r="M132" s="6" t="s">
        <v>11098</v>
      </c>
      <c r="N132" s="6"/>
    </row>
    <row r="133" customFormat="false" ht="15" hidden="false" customHeight="false" outlineLevel="0" collapsed="false">
      <c r="A133" s="6" t="s">
        <v>11101</v>
      </c>
      <c r="B133" s="6" t="s">
        <v>212</v>
      </c>
      <c r="C133" s="7" t="n">
        <v>44561</v>
      </c>
      <c r="D133" s="6" t="s">
        <v>407</v>
      </c>
      <c r="E133" s="6" t="s">
        <v>10941</v>
      </c>
      <c r="F133" s="6" t="s">
        <v>10885</v>
      </c>
      <c r="G133" s="6" t="s">
        <v>10845</v>
      </c>
      <c r="H133" s="9" t="n">
        <v>-3069</v>
      </c>
      <c r="I133" s="6" t="s">
        <v>384</v>
      </c>
      <c r="J133" s="6" t="s">
        <v>13</v>
      </c>
      <c r="K133" s="6" t="s">
        <v>114</v>
      </c>
      <c r="L133" s="6" t="s">
        <v>11102</v>
      </c>
      <c r="M133" s="6" t="s">
        <v>11098</v>
      </c>
      <c r="N133" s="6"/>
    </row>
    <row r="134" customFormat="false" ht="15" hidden="false" customHeight="false" outlineLevel="0" collapsed="false">
      <c r="A134" s="6" t="s">
        <v>11103</v>
      </c>
      <c r="B134" s="6" t="s">
        <v>212</v>
      </c>
      <c r="C134" s="7" t="n">
        <v>44561</v>
      </c>
      <c r="D134" s="6" t="s">
        <v>407</v>
      </c>
      <c r="E134" s="6" t="s">
        <v>10941</v>
      </c>
      <c r="F134" s="6" t="s">
        <v>10888</v>
      </c>
      <c r="G134" s="6" t="s">
        <v>10849</v>
      </c>
      <c r="H134" s="9" t="n">
        <v>-58834</v>
      </c>
      <c r="I134" s="6" t="s">
        <v>384</v>
      </c>
      <c r="J134" s="6" t="s">
        <v>13</v>
      </c>
      <c r="K134" s="6" t="s">
        <v>114</v>
      </c>
      <c r="L134" s="6" t="s">
        <v>2501</v>
      </c>
      <c r="M134" s="6" t="s">
        <v>11098</v>
      </c>
      <c r="N134" s="6"/>
    </row>
    <row r="135" customFormat="false" ht="15" hidden="false" customHeight="false" outlineLevel="0" collapsed="false">
      <c r="A135" s="6" t="s">
        <v>11104</v>
      </c>
      <c r="B135" s="6" t="s">
        <v>212</v>
      </c>
      <c r="C135" s="7" t="n">
        <v>44561</v>
      </c>
      <c r="D135" s="6" t="s">
        <v>407</v>
      </c>
      <c r="E135" s="6" t="s">
        <v>10890</v>
      </c>
      <c r="F135" s="6" t="s">
        <v>10891</v>
      </c>
      <c r="G135" s="6" t="s">
        <v>10840</v>
      </c>
      <c r="H135" s="9" t="n">
        <v>-137497</v>
      </c>
      <c r="I135" s="6" t="s">
        <v>384</v>
      </c>
      <c r="J135" s="6" t="s">
        <v>13</v>
      </c>
      <c r="K135" s="6" t="s">
        <v>114</v>
      </c>
      <c r="L135" s="6" t="s">
        <v>11105</v>
      </c>
      <c r="M135" s="6" t="s">
        <v>11106</v>
      </c>
      <c r="N135" s="6"/>
    </row>
    <row r="136" customFormat="false" ht="15" hidden="false" customHeight="false" outlineLevel="0" collapsed="false">
      <c r="A136" s="6" t="s">
        <v>11107</v>
      </c>
      <c r="B136" s="6" t="s">
        <v>212</v>
      </c>
      <c r="C136" s="7" t="n">
        <v>44561</v>
      </c>
      <c r="D136" s="6" t="s">
        <v>407</v>
      </c>
      <c r="E136" s="6" t="s">
        <v>10890</v>
      </c>
      <c r="F136" s="6" t="s">
        <v>10895</v>
      </c>
      <c r="G136" s="6" t="s">
        <v>10845</v>
      </c>
      <c r="H136" s="9" t="n">
        <v>8203</v>
      </c>
      <c r="I136" s="6" t="s">
        <v>384</v>
      </c>
      <c r="J136" s="6" t="s">
        <v>13</v>
      </c>
      <c r="K136" s="6" t="s">
        <v>114</v>
      </c>
      <c r="L136" s="6" t="s">
        <v>11108</v>
      </c>
      <c r="M136" s="6" t="s">
        <v>11106</v>
      </c>
      <c r="N136" s="6"/>
    </row>
    <row r="137" customFormat="false" ht="15" hidden="false" customHeight="false" outlineLevel="0" collapsed="false">
      <c r="A137" s="6" t="s">
        <v>11109</v>
      </c>
      <c r="B137" s="6" t="s">
        <v>212</v>
      </c>
      <c r="C137" s="7" t="n">
        <v>44561</v>
      </c>
      <c r="D137" s="6" t="s">
        <v>407</v>
      </c>
      <c r="E137" s="6" t="s">
        <v>10890</v>
      </c>
      <c r="F137" s="6" t="s">
        <v>2706</v>
      </c>
      <c r="G137" s="6" t="s">
        <v>10845</v>
      </c>
      <c r="H137" s="9" t="n">
        <v>73529</v>
      </c>
      <c r="I137" s="6" t="s">
        <v>384</v>
      </c>
      <c r="J137" s="6" t="s">
        <v>13</v>
      </c>
      <c r="K137" s="6" t="s">
        <v>114</v>
      </c>
      <c r="L137" s="6" t="s">
        <v>11110</v>
      </c>
      <c r="M137" s="6" t="s">
        <v>11106</v>
      </c>
      <c r="N137" s="6"/>
    </row>
    <row r="138" customFormat="false" ht="15" hidden="false" customHeight="false" outlineLevel="0" collapsed="false">
      <c r="A138" s="6" t="s">
        <v>11111</v>
      </c>
      <c r="B138" s="6" t="s">
        <v>212</v>
      </c>
      <c r="C138" s="7" t="n">
        <v>44561</v>
      </c>
      <c r="D138" s="6" t="s">
        <v>407</v>
      </c>
      <c r="E138" s="6" t="s">
        <v>10890</v>
      </c>
      <c r="F138" s="6" t="s">
        <v>10885</v>
      </c>
      <c r="G138" s="6" t="s">
        <v>10845</v>
      </c>
      <c r="H138" s="9" t="n">
        <v>-3069</v>
      </c>
      <c r="I138" s="6" t="s">
        <v>384</v>
      </c>
      <c r="J138" s="6" t="s">
        <v>13</v>
      </c>
      <c r="K138" s="6" t="s">
        <v>114</v>
      </c>
      <c r="L138" s="6" t="s">
        <v>11112</v>
      </c>
      <c r="M138" s="6" t="s">
        <v>11106</v>
      </c>
      <c r="N138" s="6"/>
    </row>
    <row r="139" customFormat="false" ht="15" hidden="false" customHeight="false" outlineLevel="0" collapsed="false">
      <c r="A139" s="6" t="s">
        <v>11113</v>
      </c>
      <c r="B139" s="6" t="s">
        <v>212</v>
      </c>
      <c r="C139" s="7" t="n">
        <v>44561</v>
      </c>
      <c r="D139" s="6" t="s">
        <v>407</v>
      </c>
      <c r="E139" s="6" t="s">
        <v>10890</v>
      </c>
      <c r="F139" s="6" t="s">
        <v>10888</v>
      </c>
      <c r="G139" s="6" t="s">
        <v>10849</v>
      </c>
      <c r="H139" s="9" t="n">
        <v>-58834</v>
      </c>
      <c r="I139" s="6" t="s">
        <v>384</v>
      </c>
      <c r="J139" s="6" t="s">
        <v>13</v>
      </c>
      <c r="K139" s="6" t="s">
        <v>114</v>
      </c>
      <c r="L139" s="6" t="s">
        <v>11114</v>
      </c>
      <c r="M139" s="6" t="s">
        <v>11106</v>
      </c>
      <c r="N139" s="6"/>
    </row>
    <row r="140" customFormat="false" ht="15" hidden="false" customHeight="false" outlineLevel="0" collapsed="false">
      <c r="A140" s="6" t="s">
        <v>11115</v>
      </c>
      <c r="B140" s="6" t="s">
        <v>212</v>
      </c>
      <c r="C140" s="7" t="n">
        <v>44561</v>
      </c>
      <c r="D140" s="6" t="s">
        <v>407</v>
      </c>
      <c r="E140" s="6" t="s">
        <v>10904</v>
      </c>
      <c r="F140" s="6" t="s">
        <v>2949</v>
      </c>
      <c r="G140" s="6" t="s">
        <v>10840</v>
      </c>
      <c r="H140" s="9" t="n">
        <v>16355</v>
      </c>
      <c r="I140" s="6" t="s">
        <v>384</v>
      </c>
      <c r="J140" s="6" t="s">
        <v>13</v>
      </c>
      <c r="K140" s="6" t="s">
        <v>114</v>
      </c>
      <c r="L140" s="6" t="s">
        <v>11116</v>
      </c>
      <c r="M140" s="6" t="s">
        <v>11117</v>
      </c>
      <c r="N140" s="6"/>
    </row>
    <row r="141" customFormat="false" ht="15" hidden="false" customHeight="false" outlineLevel="0" collapsed="false">
      <c r="A141" s="6" t="s">
        <v>11118</v>
      </c>
      <c r="B141" s="6" t="s">
        <v>212</v>
      </c>
      <c r="C141" s="7" t="n">
        <v>44561</v>
      </c>
      <c r="D141" s="6" t="s">
        <v>407</v>
      </c>
      <c r="E141" s="6" t="s">
        <v>10904</v>
      </c>
      <c r="F141" s="6" t="s">
        <v>8520</v>
      </c>
      <c r="G141" s="6" t="s">
        <v>10845</v>
      </c>
      <c r="H141" s="9" t="n">
        <v>-11578</v>
      </c>
      <c r="I141" s="6" t="s">
        <v>384</v>
      </c>
      <c r="J141" s="6" t="s">
        <v>13</v>
      </c>
      <c r="K141" s="6" t="s">
        <v>114</v>
      </c>
      <c r="L141" s="6" t="s">
        <v>3084</v>
      </c>
      <c r="M141" s="6" t="s">
        <v>11117</v>
      </c>
      <c r="N141" s="6"/>
    </row>
    <row r="142" customFormat="false" ht="15" hidden="false" customHeight="false" outlineLevel="0" collapsed="false">
      <c r="A142" s="6" t="s">
        <v>11119</v>
      </c>
      <c r="B142" s="6" t="s">
        <v>212</v>
      </c>
      <c r="C142" s="7" t="n">
        <v>44561</v>
      </c>
      <c r="D142" s="6" t="s">
        <v>407</v>
      </c>
      <c r="E142" s="6" t="s">
        <v>10904</v>
      </c>
      <c r="F142" s="6" t="s">
        <v>8081</v>
      </c>
      <c r="G142" s="6" t="s">
        <v>10845</v>
      </c>
      <c r="H142" s="9" t="n">
        <v>-2180</v>
      </c>
      <c r="I142" s="6" t="s">
        <v>384</v>
      </c>
      <c r="J142" s="6" t="s">
        <v>13</v>
      </c>
      <c r="K142" s="6" t="s">
        <v>114</v>
      </c>
      <c r="L142" s="6" t="s">
        <v>3198</v>
      </c>
      <c r="M142" s="6" t="s">
        <v>11117</v>
      </c>
      <c r="N142" s="6"/>
    </row>
    <row r="143" customFormat="false" ht="15" hidden="false" customHeight="false" outlineLevel="0" collapsed="false">
      <c r="A143" s="6" t="s">
        <v>11120</v>
      </c>
      <c r="B143" s="6" t="s">
        <v>212</v>
      </c>
      <c r="C143" s="7" t="n">
        <v>44561</v>
      </c>
      <c r="D143" s="6" t="s">
        <v>407</v>
      </c>
      <c r="E143" s="6" t="s">
        <v>10904</v>
      </c>
      <c r="F143" s="6" t="s">
        <v>10911</v>
      </c>
      <c r="G143" s="6" t="s">
        <v>10845</v>
      </c>
      <c r="H143" s="9" t="n">
        <v>7303</v>
      </c>
      <c r="I143" s="6" t="s">
        <v>384</v>
      </c>
      <c r="J143" s="6" t="s">
        <v>13</v>
      </c>
      <c r="K143" s="6" t="s">
        <v>114</v>
      </c>
      <c r="L143" s="6" t="s">
        <v>3310</v>
      </c>
      <c r="M143" s="6" t="s">
        <v>11117</v>
      </c>
      <c r="N143" s="6"/>
    </row>
    <row r="144" customFormat="false" ht="15" hidden="false" customHeight="false" outlineLevel="0" collapsed="false">
      <c r="A144" s="6" t="s">
        <v>11121</v>
      </c>
      <c r="B144" s="6" t="s">
        <v>212</v>
      </c>
      <c r="C144" s="7" t="n">
        <v>44561</v>
      </c>
      <c r="D144" s="6" t="s">
        <v>407</v>
      </c>
      <c r="E144" s="6" t="s">
        <v>10904</v>
      </c>
      <c r="F144" s="6" t="s">
        <v>4887</v>
      </c>
      <c r="G144" s="6" t="s">
        <v>10849</v>
      </c>
      <c r="H144" s="9" t="n">
        <v>9900</v>
      </c>
      <c r="I144" s="6" t="s">
        <v>384</v>
      </c>
      <c r="J144" s="6" t="s">
        <v>13</v>
      </c>
      <c r="K144" s="6" t="s">
        <v>114</v>
      </c>
      <c r="L144" s="6" t="s">
        <v>3379</v>
      </c>
      <c r="M144" s="6" t="s">
        <v>11117</v>
      </c>
      <c r="N144" s="6"/>
    </row>
    <row r="145" customFormat="false" ht="15" hidden="false" customHeight="false" outlineLevel="0" collapsed="false">
      <c r="A145" s="6" t="s">
        <v>11122</v>
      </c>
      <c r="B145" s="6" t="s">
        <v>121</v>
      </c>
      <c r="C145" s="7" t="n">
        <v>44651</v>
      </c>
      <c r="D145" s="6" t="s">
        <v>380</v>
      </c>
      <c r="E145" s="6" t="s">
        <v>10838</v>
      </c>
      <c r="F145" s="6" t="s">
        <v>10839</v>
      </c>
      <c r="G145" s="6" t="s">
        <v>10840</v>
      </c>
      <c r="H145" s="9" t="n">
        <v>93888</v>
      </c>
      <c r="I145" s="6" t="s">
        <v>384</v>
      </c>
      <c r="J145" s="6" t="s">
        <v>13</v>
      </c>
      <c r="K145" s="6" t="s">
        <v>119</v>
      </c>
      <c r="L145" s="6" t="s">
        <v>11123</v>
      </c>
      <c r="M145" s="6" t="s">
        <v>11124</v>
      </c>
      <c r="N145" s="6"/>
    </row>
    <row r="146" customFormat="false" ht="15" hidden="false" customHeight="false" outlineLevel="0" collapsed="false">
      <c r="A146" s="6" t="s">
        <v>11125</v>
      </c>
      <c r="B146" s="6" t="s">
        <v>121</v>
      </c>
      <c r="C146" s="7" t="n">
        <v>44651</v>
      </c>
      <c r="D146" s="6" t="s">
        <v>380</v>
      </c>
      <c r="E146" s="6" t="s">
        <v>10838</v>
      </c>
      <c r="F146" s="6" t="s">
        <v>2706</v>
      </c>
      <c r="G146" s="6" t="s">
        <v>10845</v>
      </c>
      <c r="H146" s="9" t="n">
        <v>2441</v>
      </c>
      <c r="I146" s="6" t="s">
        <v>384</v>
      </c>
      <c r="J146" s="6" t="s">
        <v>13</v>
      </c>
      <c r="K146" s="6" t="s">
        <v>119</v>
      </c>
      <c r="L146" s="6" t="s">
        <v>11126</v>
      </c>
      <c r="M146" s="6" t="s">
        <v>11124</v>
      </c>
      <c r="N146" s="6"/>
    </row>
    <row r="147" customFormat="false" ht="15" hidden="false" customHeight="false" outlineLevel="0" collapsed="false">
      <c r="A147" s="6" t="s">
        <v>11127</v>
      </c>
      <c r="B147" s="6" t="s">
        <v>121</v>
      </c>
      <c r="C147" s="7" t="n">
        <v>44651</v>
      </c>
      <c r="D147" s="6" t="s">
        <v>380</v>
      </c>
      <c r="E147" s="6" t="s">
        <v>10838</v>
      </c>
      <c r="F147" s="6" t="s">
        <v>10848</v>
      </c>
      <c r="G147" s="6" t="s">
        <v>10849</v>
      </c>
      <c r="H147" s="9" t="n">
        <v>96329</v>
      </c>
      <c r="I147" s="6" t="s">
        <v>384</v>
      </c>
      <c r="J147" s="6" t="s">
        <v>13</v>
      </c>
      <c r="K147" s="6" t="s">
        <v>119</v>
      </c>
      <c r="L147" s="6" t="s">
        <v>1758</v>
      </c>
      <c r="M147" s="6" t="s">
        <v>11124</v>
      </c>
      <c r="N147" s="6"/>
    </row>
    <row r="148" customFormat="false" ht="15" hidden="false" customHeight="false" outlineLevel="0" collapsed="false">
      <c r="A148" s="6" t="s">
        <v>11128</v>
      </c>
      <c r="B148" s="6" t="s">
        <v>121</v>
      </c>
      <c r="C148" s="7" t="n">
        <v>44651</v>
      </c>
      <c r="D148" s="6" t="s">
        <v>380</v>
      </c>
      <c r="E148" s="6" t="s">
        <v>10851</v>
      </c>
      <c r="F148" s="6" t="s">
        <v>10852</v>
      </c>
      <c r="G148" s="6" t="s">
        <v>10840</v>
      </c>
      <c r="H148" s="9" t="n">
        <v>26541</v>
      </c>
      <c r="I148" s="6" t="s">
        <v>384</v>
      </c>
      <c r="J148" s="6" t="s">
        <v>13</v>
      </c>
      <c r="K148" s="6" t="s">
        <v>119</v>
      </c>
      <c r="L148" s="6" t="s">
        <v>11129</v>
      </c>
      <c r="M148" s="6" t="s">
        <v>11130</v>
      </c>
      <c r="N148" s="6"/>
    </row>
    <row r="149" customFormat="false" ht="15" hidden="false" customHeight="false" outlineLevel="0" collapsed="false">
      <c r="A149" s="6" t="s">
        <v>11131</v>
      </c>
      <c r="B149" s="6" t="s">
        <v>121</v>
      </c>
      <c r="C149" s="7" t="n">
        <v>44651</v>
      </c>
      <c r="D149" s="6" t="s">
        <v>380</v>
      </c>
      <c r="E149" s="6" t="s">
        <v>10851</v>
      </c>
      <c r="F149" s="6" t="s">
        <v>2706</v>
      </c>
      <c r="G149" s="6" t="s">
        <v>10845</v>
      </c>
      <c r="H149" s="9" t="n">
        <v>-7388</v>
      </c>
      <c r="I149" s="6" t="s">
        <v>384</v>
      </c>
      <c r="J149" s="6" t="s">
        <v>13</v>
      </c>
      <c r="K149" s="6" t="s">
        <v>119</v>
      </c>
      <c r="L149" s="6" t="s">
        <v>11132</v>
      </c>
      <c r="M149" s="6" t="s">
        <v>11130</v>
      </c>
      <c r="N149" s="6"/>
    </row>
    <row r="150" customFormat="false" ht="15" hidden="false" customHeight="false" outlineLevel="0" collapsed="false">
      <c r="A150" s="6" t="s">
        <v>11133</v>
      </c>
      <c r="B150" s="6" t="s">
        <v>121</v>
      </c>
      <c r="C150" s="7" t="n">
        <v>44651</v>
      </c>
      <c r="D150" s="6" t="s">
        <v>380</v>
      </c>
      <c r="E150" s="6" t="s">
        <v>10851</v>
      </c>
      <c r="F150" s="6" t="s">
        <v>10858</v>
      </c>
      <c r="G150" s="6" t="s">
        <v>10849</v>
      </c>
      <c r="H150" s="9" t="n">
        <v>19153</v>
      </c>
      <c r="I150" s="6" t="s">
        <v>384</v>
      </c>
      <c r="J150" s="6" t="s">
        <v>13</v>
      </c>
      <c r="K150" s="6" t="s">
        <v>119</v>
      </c>
      <c r="L150" s="6" t="s">
        <v>1951</v>
      </c>
      <c r="M150" s="6" t="s">
        <v>11130</v>
      </c>
      <c r="N150" s="6"/>
    </row>
    <row r="151" customFormat="false" ht="15" hidden="false" customHeight="false" outlineLevel="0" collapsed="false">
      <c r="A151" s="6" t="s">
        <v>11134</v>
      </c>
      <c r="B151" s="6" t="s">
        <v>121</v>
      </c>
      <c r="C151" s="7" t="n">
        <v>44651</v>
      </c>
      <c r="D151" s="6" t="s">
        <v>380</v>
      </c>
      <c r="E151" s="6" t="s">
        <v>10851</v>
      </c>
      <c r="F151" s="6" t="s">
        <v>10860</v>
      </c>
      <c r="G151" s="6" t="s">
        <v>10840</v>
      </c>
      <c r="H151" s="9" t="n">
        <v>115973</v>
      </c>
      <c r="I151" s="6" t="s">
        <v>384</v>
      </c>
      <c r="J151" s="6" t="s">
        <v>13</v>
      </c>
      <c r="K151" s="6" t="s">
        <v>119</v>
      </c>
      <c r="L151" s="6" t="s">
        <v>11135</v>
      </c>
      <c r="M151" s="6" t="s">
        <v>11136</v>
      </c>
      <c r="N151" s="6"/>
    </row>
    <row r="152" customFormat="false" ht="15" hidden="false" customHeight="false" outlineLevel="0" collapsed="false">
      <c r="A152" s="6" t="s">
        <v>11137</v>
      </c>
      <c r="B152" s="6" t="s">
        <v>121</v>
      </c>
      <c r="C152" s="7" t="n">
        <v>44651</v>
      </c>
      <c r="D152" s="6" t="s">
        <v>380</v>
      </c>
      <c r="E152" s="6" t="s">
        <v>10851</v>
      </c>
      <c r="F152" s="6" t="s">
        <v>2706</v>
      </c>
      <c r="G152" s="6" t="s">
        <v>10845</v>
      </c>
      <c r="H152" s="9" t="n">
        <v>-7378</v>
      </c>
      <c r="I152" s="6" t="s">
        <v>384</v>
      </c>
      <c r="J152" s="6" t="s">
        <v>13</v>
      </c>
      <c r="K152" s="6" t="s">
        <v>119</v>
      </c>
      <c r="L152" s="6" t="s">
        <v>11132</v>
      </c>
      <c r="M152" s="6" t="s">
        <v>11136</v>
      </c>
      <c r="N152" s="6"/>
    </row>
    <row r="153" customFormat="false" ht="15" hidden="false" customHeight="false" outlineLevel="0" collapsed="false">
      <c r="A153" s="6" t="s">
        <v>11138</v>
      </c>
      <c r="B153" s="6" t="s">
        <v>121</v>
      </c>
      <c r="C153" s="7" t="n">
        <v>44651</v>
      </c>
      <c r="D153" s="6" t="s">
        <v>380</v>
      </c>
      <c r="E153" s="6" t="s">
        <v>10851</v>
      </c>
      <c r="F153" s="6" t="s">
        <v>10865</v>
      </c>
      <c r="G153" s="6" t="s">
        <v>10849</v>
      </c>
      <c r="H153" s="9" t="n">
        <v>108595</v>
      </c>
      <c r="I153" s="6" t="s">
        <v>384</v>
      </c>
      <c r="J153" s="6" t="s">
        <v>13</v>
      </c>
      <c r="K153" s="6" t="s">
        <v>119</v>
      </c>
      <c r="L153" s="6" t="s">
        <v>2066</v>
      </c>
      <c r="M153" s="6" t="s">
        <v>11136</v>
      </c>
      <c r="N153" s="6"/>
    </row>
    <row r="154" customFormat="false" ht="15" hidden="false" customHeight="false" outlineLevel="0" collapsed="false">
      <c r="A154" s="6" t="s">
        <v>11139</v>
      </c>
      <c r="B154" s="6" t="s">
        <v>121</v>
      </c>
      <c r="C154" s="7" t="n">
        <v>44651</v>
      </c>
      <c r="D154" s="6" t="s">
        <v>380</v>
      </c>
      <c r="E154" s="6" t="s">
        <v>10851</v>
      </c>
      <c r="F154" s="6" t="s">
        <v>10867</v>
      </c>
      <c r="G154" s="6" t="s">
        <v>10840</v>
      </c>
      <c r="H154" s="9" t="n">
        <v>18870</v>
      </c>
      <c r="I154" s="6" t="s">
        <v>384</v>
      </c>
      <c r="J154" s="6" t="s">
        <v>13</v>
      </c>
      <c r="K154" s="6" t="s">
        <v>119</v>
      </c>
      <c r="L154" s="6" t="s">
        <v>11140</v>
      </c>
      <c r="M154" s="6" t="s">
        <v>11141</v>
      </c>
      <c r="N154" s="6"/>
    </row>
    <row r="155" customFormat="false" ht="15" hidden="false" customHeight="false" outlineLevel="0" collapsed="false">
      <c r="A155" s="6" t="s">
        <v>11142</v>
      </c>
      <c r="B155" s="6" t="s">
        <v>121</v>
      </c>
      <c r="C155" s="7" t="n">
        <v>44651</v>
      </c>
      <c r="D155" s="6" t="s">
        <v>380</v>
      </c>
      <c r="E155" s="6" t="s">
        <v>10851</v>
      </c>
      <c r="F155" s="6" t="s">
        <v>2706</v>
      </c>
      <c r="G155" s="6" t="s">
        <v>10845</v>
      </c>
      <c r="H155" s="9" t="n">
        <v>-6459</v>
      </c>
      <c r="I155" s="6" t="s">
        <v>384</v>
      </c>
      <c r="J155" s="6" t="s">
        <v>13</v>
      </c>
      <c r="K155" s="6" t="s">
        <v>119</v>
      </c>
      <c r="L155" s="6" t="s">
        <v>11132</v>
      </c>
      <c r="M155" s="6" t="s">
        <v>11141</v>
      </c>
      <c r="N155" s="6"/>
    </row>
    <row r="156" customFormat="false" ht="15" hidden="false" customHeight="false" outlineLevel="0" collapsed="false">
      <c r="A156" s="6" t="s">
        <v>11143</v>
      </c>
      <c r="B156" s="6" t="s">
        <v>121</v>
      </c>
      <c r="C156" s="7" t="n">
        <v>44651</v>
      </c>
      <c r="D156" s="6" t="s">
        <v>380</v>
      </c>
      <c r="E156" s="6" t="s">
        <v>10851</v>
      </c>
      <c r="F156" s="6" t="s">
        <v>10872</v>
      </c>
      <c r="G156" s="6" t="s">
        <v>10849</v>
      </c>
      <c r="H156" s="9" t="n">
        <v>12411</v>
      </c>
      <c r="I156" s="6" t="s">
        <v>384</v>
      </c>
      <c r="J156" s="6" t="s">
        <v>13</v>
      </c>
      <c r="K156" s="6" t="s">
        <v>119</v>
      </c>
      <c r="L156" s="6" t="s">
        <v>2181</v>
      </c>
      <c r="M156" s="6" t="s">
        <v>11141</v>
      </c>
      <c r="N156" s="6"/>
    </row>
    <row r="157" customFormat="false" ht="15" hidden="false" customHeight="false" outlineLevel="0" collapsed="false">
      <c r="A157" s="6" t="s">
        <v>11144</v>
      </c>
      <c r="B157" s="6" t="s">
        <v>121</v>
      </c>
      <c r="C157" s="7" t="n">
        <v>44651</v>
      </c>
      <c r="D157" s="6" t="s">
        <v>380</v>
      </c>
      <c r="E157" s="6" t="s">
        <v>10874</v>
      </c>
      <c r="F157" s="6" t="s">
        <v>10165</v>
      </c>
      <c r="G157" s="6" t="s">
        <v>10840</v>
      </c>
      <c r="H157" s="9" t="n">
        <v>-67496</v>
      </c>
      <c r="I157" s="6" t="s">
        <v>384</v>
      </c>
      <c r="J157" s="6" t="s">
        <v>13</v>
      </c>
      <c r="K157" s="6" t="s">
        <v>119</v>
      </c>
      <c r="L157" s="6" t="s">
        <v>11145</v>
      </c>
      <c r="M157" s="6" t="s">
        <v>11146</v>
      </c>
      <c r="N157" s="6"/>
    </row>
    <row r="158" customFormat="false" ht="15" hidden="false" customHeight="false" outlineLevel="0" collapsed="false">
      <c r="A158" s="6" t="s">
        <v>11147</v>
      </c>
      <c r="B158" s="6" t="s">
        <v>121</v>
      </c>
      <c r="C158" s="7" t="n">
        <v>44651</v>
      </c>
      <c r="D158" s="6" t="s">
        <v>380</v>
      </c>
      <c r="E158" s="6" t="s">
        <v>10874</v>
      </c>
      <c r="F158" s="6" t="s">
        <v>2706</v>
      </c>
      <c r="G158" s="6" t="s">
        <v>10845</v>
      </c>
      <c r="H158" s="9" t="n">
        <v>23666</v>
      </c>
      <c r="I158" s="6" t="s">
        <v>384</v>
      </c>
      <c r="J158" s="6" t="s">
        <v>13</v>
      </c>
      <c r="K158" s="6" t="s">
        <v>119</v>
      </c>
      <c r="L158" s="6" t="s">
        <v>2730</v>
      </c>
      <c r="M158" s="6" t="s">
        <v>11146</v>
      </c>
      <c r="N158" s="6"/>
    </row>
    <row r="159" customFormat="false" ht="15" hidden="false" customHeight="false" outlineLevel="0" collapsed="false">
      <c r="A159" s="6" t="s">
        <v>11148</v>
      </c>
      <c r="B159" s="6" t="s">
        <v>121</v>
      </c>
      <c r="C159" s="7" t="n">
        <v>44651</v>
      </c>
      <c r="D159" s="6" t="s">
        <v>380</v>
      </c>
      <c r="E159" s="6" t="s">
        <v>10874</v>
      </c>
      <c r="F159" s="6" t="s">
        <v>10421</v>
      </c>
      <c r="G159" s="6" t="s">
        <v>10849</v>
      </c>
      <c r="H159" s="9" t="n">
        <v>-43830</v>
      </c>
      <c r="I159" s="6" t="s">
        <v>384</v>
      </c>
      <c r="J159" s="6" t="s">
        <v>13</v>
      </c>
      <c r="K159" s="6" t="s">
        <v>119</v>
      </c>
      <c r="L159" s="6" t="s">
        <v>2296</v>
      </c>
      <c r="M159" s="6" t="s">
        <v>11146</v>
      </c>
      <c r="N159" s="6"/>
    </row>
    <row r="160" customFormat="false" ht="15" hidden="false" customHeight="false" outlineLevel="0" collapsed="false">
      <c r="A160" s="6" t="s">
        <v>11149</v>
      </c>
      <c r="B160" s="6" t="s">
        <v>121</v>
      </c>
      <c r="C160" s="7" t="n">
        <v>44651</v>
      </c>
      <c r="D160" s="6" t="s">
        <v>380</v>
      </c>
      <c r="E160" s="6" t="s">
        <v>10874</v>
      </c>
      <c r="F160" s="6" t="s">
        <v>10880</v>
      </c>
      <c r="G160" s="6" t="s">
        <v>10840</v>
      </c>
      <c r="H160" s="9" t="n">
        <v>-66678</v>
      </c>
      <c r="I160" s="6" t="s">
        <v>384</v>
      </c>
      <c r="J160" s="6" t="s">
        <v>13</v>
      </c>
      <c r="K160" s="6" t="s">
        <v>119</v>
      </c>
      <c r="L160" s="6" t="s">
        <v>11150</v>
      </c>
      <c r="M160" s="6" t="s">
        <v>11151</v>
      </c>
      <c r="N160" s="6"/>
    </row>
    <row r="161" customFormat="false" ht="15" hidden="false" customHeight="false" outlineLevel="0" collapsed="false">
      <c r="A161" s="6" t="s">
        <v>11152</v>
      </c>
      <c r="B161" s="6" t="s">
        <v>121</v>
      </c>
      <c r="C161" s="7" t="n">
        <v>44651</v>
      </c>
      <c r="D161" s="6" t="s">
        <v>380</v>
      </c>
      <c r="E161" s="6" t="s">
        <v>10874</v>
      </c>
      <c r="F161" s="6" t="s">
        <v>2706</v>
      </c>
      <c r="G161" s="6" t="s">
        <v>10845</v>
      </c>
      <c r="H161" s="9" t="n">
        <v>23666</v>
      </c>
      <c r="I161" s="6" t="s">
        <v>384</v>
      </c>
      <c r="J161" s="6" t="s">
        <v>13</v>
      </c>
      <c r="K161" s="6" t="s">
        <v>119</v>
      </c>
      <c r="L161" s="6" t="s">
        <v>2730</v>
      </c>
      <c r="M161" s="6" t="s">
        <v>11151</v>
      </c>
      <c r="N161" s="6"/>
    </row>
    <row r="162" customFormat="false" ht="15" hidden="false" customHeight="false" outlineLevel="0" collapsed="false">
      <c r="A162" s="6" t="s">
        <v>11153</v>
      </c>
      <c r="B162" s="6" t="s">
        <v>121</v>
      </c>
      <c r="C162" s="7" t="n">
        <v>44651</v>
      </c>
      <c r="D162" s="6" t="s">
        <v>380</v>
      </c>
      <c r="E162" s="6" t="s">
        <v>10874</v>
      </c>
      <c r="F162" s="6" t="s">
        <v>10885</v>
      </c>
      <c r="G162" s="6" t="s">
        <v>10845</v>
      </c>
      <c r="H162" s="9" t="n">
        <v>-227</v>
      </c>
      <c r="I162" s="6" t="s">
        <v>384</v>
      </c>
      <c r="J162" s="6" t="s">
        <v>13</v>
      </c>
      <c r="K162" s="6" t="s">
        <v>119</v>
      </c>
      <c r="L162" s="6" t="s">
        <v>11154</v>
      </c>
      <c r="M162" s="6" t="s">
        <v>11151</v>
      </c>
      <c r="N162" s="6"/>
    </row>
    <row r="163" customFormat="false" ht="15" hidden="false" customHeight="false" outlineLevel="0" collapsed="false">
      <c r="A163" s="6" t="s">
        <v>11155</v>
      </c>
      <c r="B163" s="6" t="s">
        <v>121</v>
      </c>
      <c r="C163" s="7" t="n">
        <v>44651</v>
      </c>
      <c r="D163" s="6" t="s">
        <v>380</v>
      </c>
      <c r="E163" s="6" t="s">
        <v>10874</v>
      </c>
      <c r="F163" s="6" t="s">
        <v>10888</v>
      </c>
      <c r="G163" s="6" t="s">
        <v>10849</v>
      </c>
      <c r="H163" s="9" t="n">
        <v>-43239</v>
      </c>
      <c r="I163" s="6" t="s">
        <v>384</v>
      </c>
      <c r="J163" s="6" t="s">
        <v>13</v>
      </c>
      <c r="K163" s="6" t="s">
        <v>119</v>
      </c>
      <c r="L163" s="6" t="s">
        <v>2504</v>
      </c>
      <c r="M163" s="6" t="s">
        <v>11151</v>
      </c>
      <c r="N163" s="6"/>
    </row>
    <row r="164" customFormat="false" ht="15" hidden="false" customHeight="false" outlineLevel="0" collapsed="false">
      <c r="A164" s="6" t="s">
        <v>11156</v>
      </c>
      <c r="B164" s="6" t="s">
        <v>121</v>
      </c>
      <c r="C164" s="7" t="n">
        <v>44651</v>
      </c>
      <c r="D164" s="6" t="s">
        <v>380</v>
      </c>
      <c r="E164" s="6" t="s">
        <v>10890</v>
      </c>
      <c r="F164" s="6" t="s">
        <v>10891</v>
      </c>
      <c r="G164" s="6" t="s">
        <v>10840</v>
      </c>
      <c r="H164" s="9" t="n">
        <v>-66678</v>
      </c>
      <c r="I164" s="6" t="s">
        <v>384</v>
      </c>
      <c r="J164" s="6" t="s">
        <v>13</v>
      </c>
      <c r="K164" s="6" t="s">
        <v>119</v>
      </c>
      <c r="L164" s="6" t="s">
        <v>11157</v>
      </c>
      <c r="M164" s="6" t="s">
        <v>11158</v>
      </c>
      <c r="N164" s="6"/>
    </row>
    <row r="165" customFormat="false" ht="15" hidden="false" customHeight="false" outlineLevel="0" collapsed="false">
      <c r="A165" s="6" t="s">
        <v>11159</v>
      </c>
      <c r="B165" s="6" t="s">
        <v>121</v>
      </c>
      <c r="C165" s="7" t="n">
        <v>44651</v>
      </c>
      <c r="D165" s="6" t="s">
        <v>380</v>
      </c>
      <c r="E165" s="6" t="s">
        <v>10890</v>
      </c>
      <c r="F165" s="6" t="s">
        <v>10895</v>
      </c>
      <c r="G165" s="6" t="s">
        <v>10845</v>
      </c>
      <c r="H165" s="9" t="n">
        <v>0</v>
      </c>
      <c r="I165" s="6" t="s">
        <v>384</v>
      </c>
      <c r="J165" s="6" t="s">
        <v>13</v>
      </c>
      <c r="K165" s="6" t="s">
        <v>119</v>
      </c>
      <c r="L165" s="6" t="s">
        <v>11160</v>
      </c>
      <c r="M165" s="6" t="s">
        <v>11158</v>
      </c>
      <c r="N165" s="6"/>
    </row>
    <row r="166" customFormat="false" ht="15" hidden="false" customHeight="false" outlineLevel="0" collapsed="false">
      <c r="A166" s="6" t="s">
        <v>11161</v>
      </c>
      <c r="B166" s="6" t="s">
        <v>121</v>
      </c>
      <c r="C166" s="7" t="n">
        <v>44651</v>
      </c>
      <c r="D166" s="6" t="s">
        <v>380</v>
      </c>
      <c r="E166" s="6" t="s">
        <v>10890</v>
      </c>
      <c r="F166" s="6" t="s">
        <v>2706</v>
      </c>
      <c r="G166" s="6" t="s">
        <v>10845</v>
      </c>
      <c r="H166" s="9" t="n">
        <v>23666</v>
      </c>
      <c r="I166" s="6" t="s">
        <v>384</v>
      </c>
      <c r="J166" s="6" t="s">
        <v>13</v>
      </c>
      <c r="K166" s="6" t="s">
        <v>119</v>
      </c>
      <c r="L166" s="6" t="s">
        <v>11162</v>
      </c>
      <c r="M166" s="6" t="s">
        <v>11158</v>
      </c>
      <c r="N166" s="6"/>
    </row>
    <row r="167" customFormat="false" ht="15" hidden="false" customHeight="false" outlineLevel="0" collapsed="false">
      <c r="A167" s="6" t="s">
        <v>11163</v>
      </c>
      <c r="B167" s="6" t="s">
        <v>121</v>
      </c>
      <c r="C167" s="7" t="n">
        <v>44651</v>
      </c>
      <c r="D167" s="6" t="s">
        <v>380</v>
      </c>
      <c r="E167" s="6" t="s">
        <v>10890</v>
      </c>
      <c r="F167" s="6" t="s">
        <v>10885</v>
      </c>
      <c r="G167" s="6" t="s">
        <v>10845</v>
      </c>
      <c r="H167" s="9" t="n">
        <v>-227</v>
      </c>
      <c r="I167" s="6" t="s">
        <v>384</v>
      </c>
      <c r="J167" s="6" t="s">
        <v>13</v>
      </c>
      <c r="K167" s="6" t="s">
        <v>119</v>
      </c>
      <c r="L167" s="6" t="s">
        <v>11164</v>
      </c>
      <c r="M167" s="6" t="s">
        <v>11158</v>
      </c>
      <c r="N167" s="6"/>
    </row>
    <row r="168" customFormat="false" ht="15" hidden="false" customHeight="false" outlineLevel="0" collapsed="false">
      <c r="A168" s="6" t="s">
        <v>11165</v>
      </c>
      <c r="B168" s="6" t="s">
        <v>121</v>
      </c>
      <c r="C168" s="7" t="n">
        <v>44651</v>
      </c>
      <c r="D168" s="6" t="s">
        <v>380</v>
      </c>
      <c r="E168" s="6" t="s">
        <v>10890</v>
      </c>
      <c r="F168" s="6" t="s">
        <v>10888</v>
      </c>
      <c r="G168" s="6" t="s">
        <v>10849</v>
      </c>
      <c r="H168" s="9" t="n">
        <v>-43239</v>
      </c>
      <c r="I168" s="6" t="s">
        <v>384</v>
      </c>
      <c r="J168" s="6" t="s">
        <v>13</v>
      </c>
      <c r="K168" s="6" t="s">
        <v>119</v>
      </c>
      <c r="L168" s="6" t="s">
        <v>11166</v>
      </c>
      <c r="M168" s="6" t="s">
        <v>11158</v>
      </c>
      <c r="N168" s="6"/>
    </row>
    <row r="169" customFormat="false" ht="15" hidden="false" customHeight="false" outlineLevel="0" collapsed="false">
      <c r="A169" s="6" t="s">
        <v>11167</v>
      </c>
      <c r="B169" s="6" t="s">
        <v>121</v>
      </c>
      <c r="C169" s="7" t="n">
        <v>44651</v>
      </c>
      <c r="D169" s="6" t="s">
        <v>380</v>
      </c>
      <c r="E169" s="6" t="s">
        <v>10904</v>
      </c>
      <c r="F169" s="6" t="s">
        <v>10905</v>
      </c>
      <c r="G169" s="6" t="s">
        <v>10840</v>
      </c>
      <c r="H169" s="9" t="n">
        <v>-12912</v>
      </c>
      <c r="I169" s="6" t="s">
        <v>384</v>
      </c>
      <c r="J169" s="6" t="s">
        <v>13</v>
      </c>
      <c r="K169" s="6" t="s">
        <v>119</v>
      </c>
      <c r="L169" s="6" t="s">
        <v>11168</v>
      </c>
      <c r="M169" s="6" t="s">
        <v>11169</v>
      </c>
      <c r="N169" s="6"/>
    </row>
    <row r="170" customFormat="false" ht="15" hidden="false" customHeight="false" outlineLevel="0" collapsed="false">
      <c r="A170" s="6" t="s">
        <v>11170</v>
      </c>
      <c r="B170" s="6" t="s">
        <v>121</v>
      </c>
      <c r="C170" s="7" t="n">
        <v>44651</v>
      </c>
      <c r="D170" s="6" t="s">
        <v>380</v>
      </c>
      <c r="E170" s="6" t="s">
        <v>10904</v>
      </c>
      <c r="F170" s="6" t="s">
        <v>8520</v>
      </c>
      <c r="G170" s="6" t="s">
        <v>10845</v>
      </c>
      <c r="H170" s="9" t="n">
        <v>-2354</v>
      </c>
      <c r="I170" s="6" t="s">
        <v>384</v>
      </c>
      <c r="J170" s="6" t="s">
        <v>13</v>
      </c>
      <c r="K170" s="6" t="s">
        <v>119</v>
      </c>
      <c r="L170" s="6" t="s">
        <v>3087</v>
      </c>
      <c r="M170" s="6" t="s">
        <v>11169</v>
      </c>
      <c r="N170" s="6"/>
    </row>
    <row r="171" customFormat="false" ht="15" hidden="false" customHeight="false" outlineLevel="0" collapsed="false">
      <c r="A171" s="6" t="s">
        <v>11171</v>
      </c>
      <c r="B171" s="6" t="s">
        <v>121</v>
      </c>
      <c r="C171" s="7" t="n">
        <v>44651</v>
      </c>
      <c r="D171" s="6" t="s">
        <v>380</v>
      </c>
      <c r="E171" s="6" t="s">
        <v>10904</v>
      </c>
      <c r="F171" s="6" t="s">
        <v>8081</v>
      </c>
      <c r="G171" s="6" t="s">
        <v>10845</v>
      </c>
      <c r="H171" s="9" t="n">
        <v>-926</v>
      </c>
      <c r="I171" s="6" t="s">
        <v>384</v>
      </c>
      <c r="J171" s="6" t="s">
        <v>13</v>
      </c>
      <c r="K171" s="6" t="s">
        <v>119</v>
      </c>
      <c r="L171" s="6" t="s">
        <v>3201</v>
      </c>
      <c r="M171" s="6" t="s">
        <v>11169</v>
      </c>
      <c r="N171" s="6"/>
    </row>
    <row r="172" customFormat="false" ht="15" hidden="false" customHeight="false" outlineLevel="0" collapsed="false">
      <c r="A172" s="6" t="s">
        <v>11172</v>
      </c>
      <c r="B172" s="6" t="s">
        <v>121</v>
      </c>
      <c r="C172" s="7" t="n">
        <v>44651</v>
      </c>
      <c r="D172" s="6" t="s">
        <v>380</v>
      </c>
      <c r="E172" s="6" t="s">
        <v>10904</v>
      </c>
      <c r="F172" s="6" t="s">
        <v>10911</v>
      </c>
      <c r="G172" s="6" t="s">
        <v>10845</v>
      </c>
      <c r="H172" s="9" t="n">
        <v>0</v>
      </c>
      <c r="I172" s="6" t="s">
        <v>384</v>
      </c>
      <c r="J172" s="6" t="s">
        <v>13</v>
      </c>
      <c r="K172" s="6" t="s">
        <v>119</v>
      </c>
      <c r="L172" s="6" t="s">
        <v>3312</v>
      </c>
      <c r="M172" s="6" t="s">
        <v>11169</v>
      </c>
      <c r="N172" s="6"/>
    </row>
    <row r="173" customFormat="false" ht="15" hidden="false" customHeight="false" outlineLevel="0" collapsed="false">
      <c r="A173" s="6" t="s">
        <v>11173</v>
      </c>
      <c r="B173" s="6" t="s">
        <v>121</v>
      </c>
      <c r="C173" s="7" t="n">
        <v>44651</v>
      </c>
      <c r="D173" s="6" t="s">
        <v>380</v>
      </c>
      <c r="E173" s="6" t="s">
        <v>10904</v>
      </c>
      <c r="F173" s="6" t="s">
        <v>4887</v>
      </c>
      <c r="G173" s="6" t="s">
        <v>10849</v>
      </c>
      <c r="H173" s="9" t="n">
        <v>-16192</v>
      </c>
      <c r="I173" s="6" t="s">
        <v>384</v>
      </c>
      <c r="J173" s="6" t="s">
        <v>13</v>
      </c>
      <c r="K173" s="6" t="s">
        <v>119</v>
      </c>
      <c r="L173" s="6" t="s">
        <v>3383</v>
      </c>
      <c r="M173" s="6" t="s">
        <v>11169</v>
      </c>
      <c r="N173" s="6"/>
    </row>
    <row r="174" customFormat="false" ht="15" hidden="false" customHeight="false" outlineLevel="0" collapsed="false">
      <c r="A174" s="6" t="s">
        <v>11174</v>
      </c>
      <c r="B174" s="6" t="s">
        <v>126</v>
      </c>
      <c r="C174" s="7" t="n">
        <v>44742</v>
      </c>
      <c r="D174" s="6" t="s">
        <v>380</v>
      </c>
      <c r="E174" s="6" t="s">
        <v>10838</v>
      </c>
      <c r="F174" s="6" t="s">
        <v>10839</v>
      </c>
      <c r="G174" s="6" t="s">
        <v>10840</v>
      </c>
      <c r="H174" s="9" t="n">
        <v>106988</v>
      </c>
      <c r="I174" s="6" t="s">
        <v>384</v>
      </c>
      <c r="J174" s="6" t="s">
        <v>13</v>
      </c>
      <c r="K174" s="6" t="s">
        <v>124</v>
      </c>
      <c r="L174" s="6" t="s">
        <v>11175</v>
      </c>
      <c r="M174" s="6" t="s">
        <v>11176</v>
      </c>
      <c r="N174" s="6"/>
    </row>
    <row r="175" customFormat="false" ht="15" hidden="false" customHeight="false" outlineLevel="0" collapsed="false">
      <c r="A175" s="6" t="s">
        <v>11177</v>
      </c>
      <c r="B175" s="6" t="s">
        <v>126</v>
      </c>
      <c r="C175" s="7" t="n">
        <v>44742</v>
      </c>
      <c r="D175" s="6" t="s">
        <v>380</v>
      </c>
      <c r="E175" s="6" t="s">
        <v>10838</v>
      </c>
      <c r="F175" s="6" t="s">
        <v>2706</v>
      </c>
      <c r="G175" s="6" t="s">
        <v>10845</v>
      </c>
      <c r="H175" s="9" t="n">
        <v>2915</v>
      </c>
      <c r="I175" s="6" t="s">
        <v>384</v>
      </c>
      <c r="J175" s="6" t="s">
        <v>13</v>
      </c>
      <c r="K175" s="6" t="s">
        <v>124</v>
      </c>
      <c r="L175" s="6" t="s">
        <v>11178</v>
      </c>
      <c r="M175" s="6" t="s">
        <v>11176</v>
      </c>
      <c r="N175" s="6"/>
    </row>
    <row r="176" customFormat="false" ht="15" hidden="false" customHeight="false" outlineLevel="0" collapsed="false">
      <c r="A176" s="6" t="s">
        <v>11179</v>
      </c>
      <c r="B176" s="6" t="s">
        <v>126</v>
      </c>
      <c r="C176" s="7" t="n">
        <v>44742</v>
      </c>
      <c r="D176" s="6" t="s">
        <v>380</v>
      </c>
      <c r="E176" s="6" t="s">
        <v>10838</v>
      </c>
      <c r="F176" s="6" t="s">
        <v>10848</v>
      </c>
      <c r="G176" s="6" t="s">
        <v>10849</v>
      </c>
      <c r="H176" s="9" t="n">
        <v>109903</v>
      </c>
      <c r="I176" s="6" t="s">
        <v>384</v>
      </c>
      <c r="J176" s="6" t="s">
        <v>13</v>
      </c>
      <c r="K176" s="6" t="s">
        <v>124</v>
      </c>
      <c r="L176" s="6" t="s">
        <v>1761</v>
      </c>
      <c r="M176" s="6" t="s">
        <v>11176</v>
      </c>
      <c r="N176" s="6"/>
    </row>
    <row r="177" customFormat="false" ht="15" hidden="false" customHeight="false" outlineLevel="0" collapsed="false">
      <c r="A177" s="6" t="s">
        <v>11180</v>
      </c>
      <c r="B177" s="6" t="s">
        <v>126</v>
      </c>
      <c r="C177" s="7" t="n">
        <v>44742</v>
      </c>
      <c r="D177" s="6" t="s">
        <v>380</v>
      </c>
      <c r="E177" s="6" t="s">
        <v>10851</v>
      </c>
      <c r="F177" s="6" t="s">
        <v>10852</v>
      </c>
      <c r="G177" s="6" t="s">
        <v>10840</v>
      </c>
      <c r="H177" s="9" t="n">
        <v>33962</v>
      </c>
      <c r="I177" s="6" t="s">
        <v>384</v>
      </c>
      <c r="J177" s="6" t="s">
        <v>13</v>
      </c>
      <c r="K177" s="6" t="s">
        <v>124</v>
      </c>
      <c r="L177" s="6" t="s">
        <v>11181</v>
      </c>
      <c r="M177" s="6" t="s">
        <v>11182</v>
      </c>
      <c r="N177" s="6"/>
    </row>
    <row r="178" customFormat="false" ht="15" hidden="false" customHeight="false" outlineLevel="0" collapsed="false">
      <c r="A178" s="6" t="s">
        <v>11183</v>
      </c>
      <c r="B178" s="6" t="s">
        <v>126</v>
      </c>
      <c r="C178" s="7" t="n">
        <v>44742</v>
      </c>
      <c r="D178" s="6" t="s">
        <v>380</v>
      </c>
      <c r="E178" s="6" t="s">
        <v>10851</v>
      </c>
      <c r="F178" s="6" t="s">
        <v>2706</v>
      </c>
      <c r="G178" s="6" t="s">
        <v>10845</v>
      </c>
      <c r="H178" s="9" t="n">
        <v>-9999</v>
      </c>
      <c r="I178" s="6" t="s">
        <v>384</v>
      </c>
      <c r="J178" s="6" t="s">
        <v>13</v>
      </c>
      <c r="K178" s="6" t="s">
        <v>124</v>
      </c>
      <c r="L178" s="6" t="s">
        <v>11184</v>
      </c>
      <c r="M178" s="6" t="s">
        <v>11182</v>
      </c>
      <c r="N178" s="6"/>
    </row>
    <row r="179" customFormat="false" ht="15" hidden="false" customHeight="false" outlineLevel="0" collapsed="false">
      <c r="A179" s="6" t="s">
        <v>11185</v>
      </c>
      <c r="B179" s="6" t="s">
        <v>126</v>
      </c>
      <c r="C179" s="7" t="n">
        <v>44742</v>
      </c>
      <c r="D179" s="6" t="s">
        <v>380</v>
      </c>
      <c r="E179" s="6" t="s">
        <v>10851</v>
      </c>
      <c r="F179" s="6" t="s">
        <v>10858</v>
      </c>
      <c r="G179" s="6" t="s">
        <v>10849</v>
      </c>
      <c r="H179" s="9" t="n">
        <v>23963</v>
      </c>
      <c r="I179" s="6" t="s">
        <v>384</v>
      </c>
      <c r="J179" s="6" t="s">
        <v>13</v>
      </c>
      <c r="K179" s="6" t="s">
        <v>124</v>
      </c>
      <c r="L179" s="6" t="s">
        <v>1954</v>
      </c>
      <c r="M179" s="6" t="s">
        <v>11182</v>
      </c>
      <c r="N179" s="6"/>
    </row>
    <row r="180" customFormat="false" ht="15" hidden="false" customHeight="false" outlineLevel="0" collapsed="false">
      <c r="A180" s="6" t="s">
        <v>11186</v>
      </c>
      <c r="B180" s="6" t="s">
        <v>126</v>
      </c>
      <c r="C180" s="7" t="n">
        <v>44742</v>
      </c>
      <c r="D180" s="6" t="s">
        <v>380</v>
      </c>
      <c r="E180" s="6" t="s">
        <v>10851</v>
      </c>
      <c r="F180" s="6" t="s">
        <v>10860</v>
      </c>
      <c r="G180" s="6" t="s">
        <v>10840</v>
      </c>
      <c r="H180" s="9" t="n">
        <v>96740</v>
      </c>
      <c r="I180" s="6" t="s">
        <v>384</v>
      </c>
      <c r="J180" s="6" t="s">
        <v>13</v>
      </c>
      <c r="K180" s="6" t="s">
        <v>124</v>
      </c>
      <c r="L180" s="6" t="s">
        <v>11187</v>
      </c>
      <c r="M180" s="6" t="s">
        <v>11188</v>
      </c>
      <c r="N180" s="6"/>
    </row>
    <row r="181" customFormat="false" ht="15" hidden="false" customHeight="false" outlineLevel="0" collapsed="false">
      <c r="A181" s="6" t="s">
        <v>11189</v>
      </c>
      <c r="B181" s="6" t="s">
        <v>126</v>
      </c>
      <c r="C181" s="7" t="n">
        <v>44742</v>
      </c>
      <c r="D181" s="6" t="s">
        <v>380</v>
      </c>
      <c r="E181" s="6" t="s">
        <v>10851</v>
      </c>
      <c r="F181" s="6" t="s">
        <v>2706</v>
      </c>
      <c r="G181" s="6" t="s">
        <v>10845</v>
      </c>
      <c r="H181" s="9" t="n">
        <v>-10075</v>
      </c>
      <c r="I181" s="6" t="s">
        <v>384</v>
      </c>
      <c r="J181" s="6" t="s">
        <v>13</v>
      </c>
      <c r="K181" s="6" t="s">
        <v>124</v>
      </c>
      <c r="L181" s="6" t="s">
        <v>11184</v>
      </c>
      <c r="M181" s="6" t="s">
        <v>11188</v>
      </c>
      <c r="N181" s="6"/>
    </row>
    <row r="182" customFormat="false" ht="15" hidden="false" customHeight="false" outlineLevel="0" collapsed="false">
      <c r="A182" s="6" t="s">
        <v>11190</v>
      </c>
      <c r="B182" s="6" t="s">
        <v>126</v>
      </c>
      <c r="C182" s="7" t="n">
        <v>44742</v>
      </c>
      <c r="D182" s="6" t="s">
        <v>380</v>
      </c>
      <c r="E182" s="6" t="s">
        <v>10851</v>
      </c>
      <c r="F182" s="6" t="s">
        <v>10865</v>
      </c>
      <c r="G182" s="6" t="s">
        <v>10849</v>
      </c>
      <c r="H182" s="9" t="n">
        <v>86665</v>
      </c>
      <c r="I182" s="6" t="s">
        <v>384</v>
      </c>
      <c r="J182" s="6" t="s">
        <v>13</v>
      </c>
      <c r="K182" s="6" t="s">
        <v>124</v>
      </c>
      <c r="L182" s="6" t="s">
        <v>2069</v>
      </c>
      <c r="M182" s="6" t="s">
        <v>11188</v>
      </c>
      <c r="N182" s="6"/>
    </row>
    <row r="183" customFormat="false" ht="15" hidden="false" customHeight="false" outlineLevel="0" collapsed="false">
      <c r="A183" s="6" t="s">
        <v>11191</v>
      </c>
      <c r="B183" s="6" t="s">
        <v>126</v>
      </c>
      <c r="C183" s="7" t="n">
        <v>44742</v>
      </c>
      <c r="D183" s="6" t="s">
        <v>380</v>
      </c>
      <c r="E183" s="6" t="s">
        <v>10851</v>
      </c>
      <c r="F183" s="6" t="s">
        <v>10867</v>
      </c>
      <c r="G183" s="6" t="s">
        <v>10840</v>
      </c>
      <c r="H183" s="9" t="n">
        <v>22466</v>
      </c>
      <c r="I183" s="6" t="s">
        <v>384</v>
      </c>
      <c r="J183" s="6" t="s">
        <v>13</v>
      </c>
      <c r="K183" s="6" t="s">
        <v>124</v>
      </c>
      <c r="L183" s="6" t="s">
        <v>11192</v>
      </c>
      <c r="M183" s="6" t="s">
        <v>11193</v>
      </c>
      <c r="N183" s="6"/>
    </row>
    <row r="184" customFormat="false" ht="15" hidden="false" customHeight="false" outlineLevel="0" collapsed="false">
      <c r="A184" s="6" t="s">
        <v>11194</v>
      </c>
      <c r="B184" s="6" t="s">
        <v>126</v>
      </c>
      <c r="C184" s="7" t="n">
        <v>44742</v>
      </c>
      <c r="D184" s="6" t="s">
        <v>380</v>
      </c>
      <c r="E184" s="6" t="s">
        <v>10851</v>
      </c>
      <c r="F184" s="6" t="s">
        <v>2706</v>
      </c>
      <c r="G184" s="6" t="s">
        <v>10845</v>
      </c>
      <c r="H184" s="9" t="n">
        <v>-7833</v>
      </c>
      <c r="I184" s="6" t="s">
        <v>384</v>
      </c>
      <c r="J184" s="6" t="s">
        <v>13</v>
      </c>
      <c r="K184" s="6" t="s">
        <v>124</v>
      </c>
      <c r="L184" s="6" t="s">
        <v>11184</v>
      </c>
      <c r="M184" s="6" t="s">
        <v>11193</v>
      </c>
      <c r="N184" s="6"/>
    </row>
    <row r="185" customFormat="false" ht="15" hidden="false" customHeight="false" outlineLevel="0" collapsed="false">
      <c r="A185" s="6" t="s">
        <v>11195</v>
      </c>
      <c r="B185" s="6" t="s">
        <v>126</v>
      </c>
      <c r="C185" s="7" t="n">
        <v>44742</v>
      </c>
      <c r="D185" s="6" t="s">
        <v>380</v>
      </c>
      <c r="E185" s="6" t="s">
        <v>10851</v>
      </c>
      <c r="F185" s="6" t="s">
        <v>10872</v>
      </c>
      <c r="G185" s="6" t="s">
        <v>10849</v>
      </c>
      <c r="H185" s="9" t="n">
        <v>14633</v>
      </c>
      <c r="I185" s="6" t="s">
        <v>384</v>
      </c>
      <c r="J185" s="6" t="s">
        <v>13</v>
      </c>
      <c r="K185" s="6" t="s">
        <v>124</v>
      </c>
      <c r="L185" s="6" t="s">
        <v>2184</v>
      </c>
      <c r="M185" s="6" t="s">
        <v>11193</v>
      </c>
      <c r="N185" s="6"/>
    </row>
    <row r="186" customFormat="false" ht="15" hidden="false" customHeight="false" outlineLevel="0" collapsed="false">
      <c r="A186" s="6" t="s">
        <v>11196</v>
      </c>
      <c r="B186" s="6" t="s">
        <v>126</v>
      </c>
      <c r="C186" s="7" t="n">
        <v>44742</v>
      </c>
      <c r="D186" s="6" t="s">
        <v>380</v>
      </c>
      <c r="E186" s="6" t="s">
        <v>10874</v>
      </c>
      <c r="F186" s="6" t="s">
        <v>10165</v>
      </c>
      <c r="G186" s="6" t="s">
        <v>10840</v>
      </c>
      <c r="H186" s="9" t="n">
        <v>-46180</v>
      </c>
      <c r="I186" s="6" t="s">
        <v>384</v>
      </c>
      <c r="J186" s="6" t="s">
        <v>13</v>
      </c>
      <c r="K186" s="6" t="s">
        <v>124</v>
      </c>
      <c r="L186" s="6" t="s">
        <v>11197</v>
      </c>
      <c r="M186" s="6" t="s">
        <v>11198</v>
      </c>
      <c r="N186" s="6"/>
    </row>
    <row r="187" customFormat="false" ht="15" hidden="false" customHeight="false" outlineLevel="0" collapsed="false">
      <c r="A187" s="6" t="s">
        <v>11199</v>
      </c>
      <c r="B187" s="6" t="s">
        <v>126</v>
      </c>
      <c r="C187" s="7" t="n">
        <v>44742</v>
      </c>
      <c r="D187" s="6" t="s">
        <v>380</v>
      </c>
      <c r="E187" s="6" t="s">
        <v>10874</v>
      </c>
      <c r="F187" s="6" t="s">
        <v>2706</v>
      </c>
      <c r="G187" s="6" t="s">
        <v>10845</v>
      </c>
      <c r="H187" s="9" t="n">
        <v>30822</v>
      </c>
      <c r="I187" s="6" t="s">
        <v>384</v>
      </c>
      <c r="J187" s="6" t="s">
        <v>13</v>
      </c>
      <c r="K187" s="6" t="s">
        <v>124</v>
      </c>
      <c r="L187" s="6" t="s">
        <v>2733</v>
      </c>
      <c r="M187" s="6" t="s">
        <v>11198</v>
      </c>
      <c r="N187" s="6"/>
    </row>
    <row r="188" customFormat="false" ht="15" hidden="false" customHeight="false" outlineLevel="0" collapsed="false">
      <c r="A188" s="6" t="s">
        <v>11200</v>
      </c>
      <c r="B188" s="6" t="s">
        <v>126</v>
      </c>
      <c r="C188" s="7" t="n">
        <v>44742</v>
      </c>
      <c r="D188" s="6" t="s">
        <v>380</v>
      </c>
      <c r="E188" s="6" t="s">
        <v>10874</v>
      </c>
      <c r="F188" s="6" t="s">
        <v>10421</v>
      </c>
      <c r="G188" s="6" t="s">
        <v>10849</v>
      </c>
      <c r="H188" s="9" t="n">
        <v>-15358</v>
      </c>
      <c r="I188" s="6" t="s">
        <v>384</v>
      </c>
      <c r="J188" s="6" t="s">
        <v>13</v>
      </c>
      <c r="K188" s="6" t="s">
        <v>124</v>
      </c>
      <c r="L188" s="6" t="s">
        <v>2299</v>
      </c>
      <c r="M188" s="6" t="s">
        <v>11198</v>
      </c>
      <c r="N188" s="6"/>
    </row>
    <row r="189" customFormat="false" ht="15" hidden="false" customHeight="false" outlineLevel="0" collapsed="false">
      <c r="A189" s="6" t="s">
        <v>11201</v>
      </c>
      <c r="B189" s="6" t="s">
        <v>126</v>
      </c>
      <c r="C189" s="7" t="n">
        <v>44742</v>
      </c>
      <c r="D189" s="6" t="s">
        <v>380</v>
      </c>
      <c r="E189" s="6" t="s">
        <v>10941</v>
      </c>
      <c r="F189" s="6" t="s">
        <v>10880</v>
      </c>
      <c r="G189" s="6" t="s">
        <v>10840</v>
      </c>
      <c r="H189" s="9" t="n">
        <v>-45671</v>
      </c>
      <c r="I189" s="6" t="s">
        <v>384</v>
      </c>
      <c r="J189" s="6" t="s">
        <v>13</v>
      </c>
      <c r="K189" s="6" t="s">
        <v>124</v>
      </c>
      <c r="L189" s="6" t="s">
        <v>11202</v>
      </c>
      <c r="M189" s="6" t="s">
        <v>11203</v>
      </c>
      <c r="N189" s="6"/>
    </row>
    <row r="190" customFormat="false" ht="15" hidden="false" customHeight="false" outlineLevel="0" collapsed="false">
      <c r="A190" s="6" t="s">
        <v>11204</v>
      </c>
      <c r="B190" s="6" t="s">
        <v>126</v>
      </c>
      <c r="C190" s="7" t="n">
        <v>44742</v>
      </c>
      <c r="D190" s="6" t="s">
        <v>380</v>
      </c>
      <c r="E190" s="6" t="s">
        <v>10941</v>
      </c>
      <c r="F190" s="6" t="s">
        <v>2706</v>
      </c>
      <c r="G190" s="6" t="s">
        <v>10845</v>
      </c>
      <c r="H190" s="9" t="n">
        <v>30822</v>
      </c>
      <c r="I190" s="6" t="s">
        <v>384</v>
      </c>
      <c r="J190" s="6" t="s">
        <v>13</v>
      </c>
      <c r="K190" s="6" t="s">
        <v>124</v>
      </c>
      <c r="L190" s="6" t="s">
        <v>11205</v>
      </c>
      <c r="M190" s="6" t="s">
        <v>11203</v>
      </c>
      <c r="N190" s="6"/>
    </row>
    <row r="191" customFormat="false" ht="15" hidden="false" customHeight="false" outlineLevel="0" collapsed="false">
      <c r="A191" s="6" t="s">
        <v>11206</v>
      </c>
      <c r="B191" s="6" t="s">
        <v>126</v>
      </c>
      <c r="C191" s="7" t="n">
        <v>44742</v>
      </c>
      <c r="D191" s="6" t="s">
        <v>380</v>
      </c>
      <c r="E191" s="6" t="s">
        <v>10941</v>
      </c>
      <c r="F191" s="6" t="s">
        <v>11207</v>
      </c>
      <c r="G191" s="6" t="s">
        <v>10845</v>
      </c>
      <c r="H191" s="9" t="n">
        <v>-68</v>
      </c>
      <c r="I191" s="6" t="s">
        <v>384</v>
      </c>
      <c r="J191" s="6" t="s">
        <v>13</v>
      </c>
      <c r="K191" s="6" t="s">
        <v>124</v>
      </c>
      <c r="L191" s="6" t="s">
        <v>11208</v>
      </c>
      <c r="M191" s="6" t="s">
        <v>11203</v>
      </c>
      <c r="N191" s="6"/>
    </row>
    <row r="192" customFormat="false" ht="15" hidden="false" customHeight="false" outlineLevel="0" collapsed="false">
      <c r="A192" s="6" t="s">
        <v>11209</v>
      </c>
      <c r="B192" s="6" t="s">
        <v>126</v>
      </c>
      <c r="C192" s="7" t="n">
        <v>44742</v>
      </c>
      <c r="D192" s="6" t="s">
        <v>380</v>
      </c>
      <c r="E192" s="6" t="s">
        <v>10941</v>
      </c>
      <c r="F192" s="6" t="s">
        <v>10888</v>
      </c>
      <c r="G192" s="6" t="s">
        <v>10849</v>
      </c>
      <c r="H192" s="9" t="n">
        <v>-14917</v>
      </c>
      <c r="I192" s="6" t="s">
        <v>384</v>
      </c>
      <c r="J192" s="6" t="s">
        <v>13</v>
      </c>
      <c r="K192" s="6" t="s">
        <v>124</v>
      </c>
      <c r="L192" s="6" t="s">
        <v>2507</v>
      </c>
      <c r="M192" s="6" t="s">
        <v>11203</v>
      </c>
      <c r="N192" s="6"/>
    </row>
    <row r="193" customFormat="false" ht="15" hidden="false" customHeight="false" outlineLevel="0" collapsed="false">
      <c r="A193" s="6" t="s">
        <v>11210</v>
      </c>
      <c r="B193" s="6" t="s">
        <v>126</v>
      </c>
      <c r="C193" s="7" t="n">
        <v>44742</v>
      </c>
      <c r="D193" s="6" t="s">
        <v>380</v>
      </c>
      <c r="E193" s="6" t="s">
        <v>10890</v>
      </c>
      <c r="F193" s="6" t="s">
        <v>10891</v>
      </c>
      <c r="G193" s="6" t="s">
        <v>10840</v>
      </c>
      <c r="H193" s="9" t="n">
        <v>-45671</v>
      </c>
      <c r="I193" s="6" t="s">
        <v>384</v>
      </c>
      <c r="J193" s="6" t="s">
        <v>13</v>
      </c>
      <c r="K193" s="6" t="s">
        <v>124</v>
      </c>
      <c r="L193" s="6" t="s">
        <v>11211</v>
      </c>
      <c r="M193" s="6" t="s">
        <v>11212</v>
      </c>
      <c r="N193" s="6"/>
    </row>
    <row r="194" customFormat="false" ht="15" hidden="false" customHeight="false" outlineLevel="0" collapsed="false">
      <c r="A194" s="6" t="s">
        <v>11213</v>
      </c>
      <c r="B194" s="6" t="s">
        <v>126</v>
      </c>
      <c r="C194" s="7" t="n">
        <v>44742</v>
      </c>
      <c r="D194" s="6" t="s">
        <v>380</v>
      </c>
      <c r="E194" s="6" t="s">
        <v>10890</v>
      </c>
      <c r="F194" s="6" t="s">
        <v>10895</v>
      </c>
      <c r="G194" s="6" t="s">
        <v>10845</v>
      </c>
      <c r="H194" s="9" t="n">
        <v>0</v>
      </c>
      <c r="I194" s="6" t="s">
        <v>384</v>
      </c>
      <c r="J194" s="6" t="s">
        <v>13</v>
      </c>
      <c r="K194" s="6" t="s">
        <v>124</v>
      </c>
      <c r="L194" s="6" t="s">
        <v>11214</v>
      </c>
      <c r="M194" s="6" t="s">
        <v>11212</v>
      </c>
      <c r="N194" s="6"/>
    </row>
    <row r="195" customFormat="false" ht="15" hidden="false" customHeight="false" outlineLevel="0" collapsed="false">
      <c r="A195" s="6" t="s">
        <v>11215</v>
      </c>
      <c r="B195" s="6" t="s">
        <v>126</v>
      </c>
      <c r="C195" s="7" t="n">
        <v>44742</v>
      </c>
      <c r="D195" s="6" t="s">
        <v>380</v>
      </c>
      <c r="E195" s="6" t="s">
        <v>10890</v>
      </c>
      <c r="F195" s="6" t="s">
        <v>2706</v>
      </c>
      <c r="G195" s="6" t="s">
        <v>10845</v>
      </c>
      <c r="H195" s="9" t="n">
        <v>30822</v>
      </c>
      <c r="I195" s="6" t="s">
        <v>384</v>
      </c>
      <c r="J195" s="6" t="s">
        <v>13</v>
      </c>
      <c r="K195" s="6" t="s">
        <v>124</v>
      </c>
      <c r="L195" s="6" t="s">
        <v>11216</v>
      </c>
      <c r="M195" s="6" t="s">
        <v>11212</v>
      </c>
      <c r="N195" s="6"/>
    </row>
    <row r="196" customFormat="false" ht="15" hidden="false" customHeight="false" outlineLevel="0" collapsed="false">
      <c r="A196" s="6" t="s">
        <v>11217</v>
      </c>
      <c r="B196" s="6" t="s">
        <v>126</v>
      </c>
      <c r="C196" s="7" t="n">
        <v>44742</v>
      </c>
      <c r="D196" s="6" t="s">
        <v>380</v>
      </c>
      <c r="E196" s="6" t="s">
        <v>10890</v>
      </c>
      <c r="F196" s="6" t="s">
        <v>11207</v>
      </c>
      <c r="G196" s="6" t="s">
        <v>10845</v>
      </c>
      <c r="H196" s="9" t="n">
        <v>-68</v>
      </c>
      <c r="I196" s="6" t="s">
        <v>384</v>
      </c>
      <c r="J196" s="6" t="s">
        <v>13</v>
      </c>
      <c r="K196" s="6" t="s">
        <v>124</v>
      </c>
      <c r="L196" s="6" t="s">
        <v>11218</v>
      </c>
      <c r="M196" s="6" t="s">
        <v>11212</v>
      </c>
      <c r="N196" s="6"/>
    </row>
    <row r="197" customFormat="false" ht="15" hidden="false" customHeight="false" outlineLevel="0" collapsed="false">
      <c r="A197" s="6" t="s">
        <v>11219</v>
      </c>
      <c r="B197" s="6" t="s">
        <v>126</v>
      </c>
      <c r="C197" s="7" t="n">
        <v>44742</v>
      </c>
      <c r="D197" s="6" t="s">
        <v>380</v>
      </c>
      <c r="E197" s="6" t="s">
        <v>10890</v>
      </c>
      <c r="F197" s="6" t="s">
        <v>10888</v>
      </c>
      <c r="G197" s="6" t="s">
        <v>10849</v>
      </c>
      <c r="H197" s="9" t="n">
        <v>-14917</v>
      </c>
      <c r="I197" s="6" t="s">
        <v>384</v>
      </c>
      <c r="J197" s="6" t="s">
        <v>13</v>
      </c>
      <c r="K197" s="6" t="s">
        <v>124</v>
      </c>
      <c r="L197" s="6" t="s">
        <v>11220</v>
      </c>
      <c r="M197" s="6" t="s">
        <v>11212</v>
      </c>
      <c r="N197" s="6"/>
    </row>
    <row r="198" customFormat="false" ht="15" hidden="false" customHeight="false" outlineLevel="0" collapsed="false">
      <c r="A198" s="6" t="s">
        <v>11221</v>
      </c>
      <c r="B198" s="6" t="s">
        <v>126</v>
      </c>
      <c r="C198" s="7" t="n">
        <v>44742</v>
      </c>
      <c r="D198" s="6" t="s">
        <v>380</v>
      </c>
      <c r="E198" s="6" t="s">
        <v>10904</v>
      </c>
      <c r="F198" s="6" t="s">
        <v>10905</v>
      </c>
      <c r="G198" s="6" t="s">
        <v>10840</v>
      </c>
      <c r="H198" s="9" t="n">
        <v>-14061</v>
      </c>
      <c r="I198" s="6" t="s">
        <v>384</v>
      </c>
      <c r="J198" s="6" t="s">
        <v>13</v>
      </c>
      <c r="K198" s="6" t="s">
        <v>124</v>
      </c>
      <c r="L198" s="6" t="s">
        <v>11222</v>
      </c>
      <c r="M198" s="6" t="s">
        <v>11223</v>
      </c>
      <c r="N198" s="6"/>
    </row>
    <row r="199" customFormat="false" ht="15" hidden="false" customHeight="false" outlineLevel="0" collapsed="false">
      <c r="A199" s="6" t="s">
        <v>11224</v>
      </c>
      <c r="B199" s="6" t="s">
        <v>126</v>
      </c>
      <c r="C199" s="7" t="n">
        <v>44742</v>
      </c>
      <c r="D199" s="6" t="s">
        <v>380</v>
      </c>
      <c r="E199" s="6" t="s">
        <v>10904</v>
      </c>
      <c r="F199" s="6" t="s">
        <v>8520</v>
      </c>
      <c r="G199" s="6" t="s">
        <v>10845</v>
      </c>
      <c r="H199" s="9" t="n">
        <v>-4550</v>
      </c>
      <c r="I199" s="6" t="s">
        <v>384</v>
      </c>
      <c r="J199" s="6" t="s">
        <v>13</v>
      </c>
      <c r="K199" s="6" t="s">
        <v>124</v>
      </c>
      <c r="L199" s="6" t="s">
        <v>3090</v>
      </c>
      <c r="M199" s="6" t="s">
        <v>11223</v>
      </c>
      <c r="N199" s="6"/>
    </row>
    <row r="200" customFormat="false" ht="15" hidden="false" customHeight="false" outlineLevel="0" collapsed="false">
      <c r="A200" s="6" t="s">
        <v>11225</v>
      </c>
      <c r="B200" s="6" t="s">
        <v>126</v>
      </c>
      <c r="C200" s="7" t="n">
        <v>44742</v>
      </c>
      <c r="D200" s="6" t="s">
        <v>380</v>
      </c>
      <c r="E200" s="6" t="s">
        <v>10904</v>
      </c>
      <c r="F200" s="6" t="s">
        <v>8081</v>
      </c>
      <c r="G200" s="6" t="s">
        <v>10845</v>
      </c>
      <c r="H200" s="9" t="n">
        <v>-684</v>
      </c>
      <c r="I200" s="6" t="s">
        <v>384</v>
      </c>
      <c r="J200" s="6" t="s">
        <v>13</v>
      </c>
      <c r="K200" s="6" t="s">
        <v>124</v>
      </c>
      <c r="L200" s="6" t="s">
        <v>3204</v>
      </c>
      <c r="M200" s="6" t="s">
        <v>11223</v>
      </c>
      <c r="N200" s="6"/>
    </row>
    <row r="201" customFormat="false" ht="15" hidden="false" customHeight="false" outlineLevel="0" collapsed="false">
      <c r="A201" s="6" t="s">
        <v>11226</v>
      </c>
      <c r="B201" s="6" t="s">
        <v>126</v>
      </c>
      <c r="C201" s="7" t="n">
        <v>44742</v>
      </c>
      <c r="D201" s="6" t="s">
        <v>380</v>
      </c>
      <c r="E201" s="6" t="s">
        <v>10904</v>
      </c>
      <c r="F201" s="6" t="s">
        <v>10911</v>
      </c>
      <c r="G201" s="6" t="s">
        <v>10845</v>
      </c>
      <c r="H201" s="9" t="n">
        <v>0</v>
      </c>
      <c r="I201" s="6" t="s">
        <v>384</v>
      </c>
      <c r="J201" s="6" t="s">
        <v>13</v>
      </c>
      <c r="K201" s="6" t="s">
        <v>124</v>
      </c>
      <c r="L201" s="6" t="s">
        <v>3314</v>
      </c>
      <c r="M201" s="6" t="s">
        <v>11223</v>
      </c>
      <c r="N201" s="6"/>
    </row>
    <row r="202" customFormat="false" ht="15" hidden="false" customHeight="false" outlineLevel="0" collapsed="false">
      <c r="A202" s="6" t="s">
        <v>11227</v>
      </c>
      <c r="B202" s="6" t="s">
        <v>126</v>
      </c>
      <c r="C202" s="7" t="n">
        <v>44742</v>
      </c>
      <c r="D202" s="6" t="s">
        <v>380</v>
      </c>
      <c r="E202" s="6" t="s">
        <v>10904</v>
      </c>
      <c r="F202" s="6" t="s">
        <v>4887</v>
      </c>
      <c r="G202" s="6" t="s">
        <v>10849</v>
      </c>
      <c r="H202" s="9" t="n">
        <v>-19295</v>
      </c>
      <c r="I202" s="6" t="s">
        <v>384</v>
      </c>
      <c r="J202" s="6" t="s">
        <v>13</v>
      </c>
      <c r="K202" s="6" t="s">
        <v>124</v>
      </c>
      <c r="L202" s="6" t="s">
        <v>3386</v>
      </c>
      <c r="M202" s="6" t="s">
        <v>11223</v>
      </c>
      <c r="N202" s="6"/>
    </row>
    <row r="203" customFormat="false" ht="15" hidden="false" customHeight="false" outlineLevel="0" collapsed="false">
      <c r="A203" s="6" t="s">
        <v>11228</v>
      </c>
      <c r="B203" s="6" t="s">
        <v>131</v>
      </c>
      <c r="C203" s="7" t="n">
        <v>44834</v>
      </c>
      <c r="D203" s="6" t="s">
        <v>380</v>
      </c>
      <c r="E203" s="6" t="s">
        <v>10838</v>
      </c>
      <c r="F203" s="6" t="s">
        <v>10839</v>
      </c>
      <c r="G203" s="6" t="s">
        <v>10840</v>
      </c>
      <c r="H203" s="9" t="n">
        <v>119063</v>
      </c>
      <c r="I203" s="6" t="s">
        <v>384</v>
      </c>
      <c r="J203" s="6" t="s">
        <v>13</v>
      </c>
      <c r="K203" s="6" t="s">
        <v>129</v>
      </c>
      <c r="L203" s="6" t="s">
        <v>11229</v>
      </c>
      <c r="M203" s="6" t="s">
        <v>11230</v>
      </c>
      <c r="N203" s="6"/>
    </row>
    <row r="204" customFormat="false" ht="15" hidden="false" customHeight="false" outlineLevel="0" collapsed="false">
      <c r="A204" s="6" t="s">
        <v>11231</v>
      </c>
      <c r="B204" s="6" t="s">
        <v>131</v>
      </c>
      <c r="C204" s="7" t="n">
        <v>44834</v>
      </c>
      <c r="D204" s="6" t="s">
        <v>380</v>
      </c>
      <c r="E204" s="6" t="s">
        <v>10838</v>
      </c>
      <c r="F204" s="6" t="s">
        <v>2706</v>
      </c>
      <c r="G204" s="6" t="s">
        <v>10845</v>
      </c>
      <c r="H204" s="9" t="n">
        <v>2683</v>
      </c>
      <c r="I204" s="6" t="s">
        <v>384</v>
      </c>
      <c r="J204" s="6" t="s">
        <v>13</v>
      </c>
      <c r="K204" s="6" t="s">
        <v>129</v>
      </c>
      <c r="L204" s="6" t="s">
        <v>11232</v>
      </c>
      <c r="M204" s="6" t="s">
        <v>11230</v>
      </c>
      <c r="N204" s="6"/>
    </row>
    <row r="205" customFormat="false" ht="15" hidden="false" customHeight="false" outlineLevel="0" collapsed="false">
      <c r="A205" s="6" t="s">
        <v>11233</v>
      </c>
      <c r="B205" s="6" t="s">
        <v>131</v>
      </c>
      <c r="C205" s="7" t="n">
        <v>44834</v>
      </c>
      <c r="D205" s="6" t="s">
        <v>380</v>
      </c>
      <c r="E205" s="6" t="s">
        <v>10838</v>
      </c>
      <c r="F205" s="6" t="s">
        <v>10848</v>
      </c>
      <c r="G205" s="6" t="s">
        <v>10849</v>
      </c>
      <c r="H205" s="9" t="n">
        <v>121746</v>
      </c>
      <c r="I205" s="6" t="s">
        <v>384</v>
      </c>
      <c r="J205" s="6" t="s">
        <v>13</v>
      </c>
      <c r="K205" s="6" t="s">
        <v>129</v>
      </c>
      <c r="L205" s="6" t="s">
        <v>1767</v>
      </c>
      <c r="M205" s="6" t="s">
        <v>11230</v>
      </c>
      <c r="N205" s="6"/>
    </row>
    <row r="206" customFormat="false" ht="15" hidden="false" customHeight="false" outlineLevel="0" collapsed="false">
      <c r="A206" s="6" t="s">
        <v>11234</v>
      </c>
      <c r="B206" s="6" t="s">
        <v>131</v>
      </c>
      <c r="C206" s="7" t="n">
        <v>44834</v>
      </c>
      <c r="D206" s="6" t="s">
        <v>380</v>
      </c>
      <c r="E206" s="6" t="s">
        <v>10851</v>
      </c>
      <c r="F206" s="6" t="s">
        <v>10852</v>
      </c>
      <c r="G206" s="6" t="s">
        <v>10840</v>
      </c>
      <c r="H206" s="9" t="n">
        <v>33984</v>
      </c>
      <c r="I206" s="6" t="s">
        <v>384</v>
      </c>
      <c r="J206" s="6" t="s">
        <v>13</v>
      </c>
      <c r="K206" s="6" t="s">
        <v>129</v>
      </c>
      <c r="L206" s="6" t="s">
        <v>11235</v>
      </c>
      <c r="M206" s="6" t="s">
        <v>11236</v>
      </c>
      <c r="N206" s="6"/>
    </row>
    <row r="207" customFormat="false" ht="15" hidden="false" customHeight="false" outlineLevel="0" collapsed="false">
      <c r="A207" s="6" t="s">
        <v>11237</v>
      </c>
      <c r="B207" s="6" t="s">
        <v>131</v>
      </c>
      <c r="C207" s="7" t="n">
        <v>44834</v>
      </c>
      <c r="D207" s="6" t="s">
        <v>380</v>
      </c>
      <c r="E207" s="6" t="s">
        <v>10851</v>
      </c>
      <c r="F207" s="6" t="s">
        <v>2706</v>
      </c>
      <c r="G207" s="6" t="s">
        <v>10845</v>
      </c>
      <c r="H207" s="9" t="n">
        <v>-7725</v>
      </c>
      <c r="I207" s="6" t="s">
        <v>384</v>
      </c>
      <c r="J207" s="6" t="s">
        <v>13</v>
      </c>
      <c r="K207" s="6" t="s">
        <v>129</v>
      </c>
      <c r="L207" s="6" t="s">
        <v>11238</v>
      </c>
      <c r="M207" s="6" t="s">
        <v>11236</v>
      </c>
      <c r="N207" s="6"/>
    </row>
    <row r="208" customFormat="false" ht="15" hidden="false" customHeight="false" outlineLevel="0" collapsed="false">
      <c r="A208" s="6" t="s">
        <v>11239</v>
      </c>
      <c r="B208" s="6" t="s">
        <v>131</v>
      </c>
      <c r="C208" s="7" t="n">
        <v>44834</v>
      </c>
      <c r="D208" s="6" t="s">
        <v>380</v>
      </c>
      <c r="E208" s="6" t="s">
        <v>10851</v>
      </c>
      <c r="F208" s="6" t="s">
        <v>10858</v>
      </c>
      <c r="G208" s="6" t="s">
        <v>10849</v>
      </c>
      <c r="H208" s="9" t="n">
        <v>26259</v>
      </c>
      <c r="I208" s="6" t="s">
        <v>384</v>
      </c>
      <c r="J208" s="6" t="s">
        <v>13</v>
      </c>
      <c r="K208" s="6" t="s">
        <v>129</v>
      </c>
      <c r="L208" s="6" t="s">
        <v>1960</v>
      </c>
      <c r="M208" s="6" t="s">
        <v>11236</v>
      </c>
      <c r="N208" s="6"/>
    </row>
    <row r="209" customFormat="false" ht="15" hidden="false" customHeight="false" outlineLevel="0" collapsed="false">
      <c r="A209" s="6" t="s">
        <v>11240</v>
      </c>
      <c r="B209" s="6" t="s">
        <v>131</v>
      </c>
      <c r="C209" s="7" t="n">
        <v>44834</v>
      </c>
      <c r="D209" s="6" t="s">
        <v>380</v>
      </c>
      <c r="E209" s="6" t="s">
        <v>10851</v>
      </c>
      <c r="F209" s="6" t="s">
        <v>10860</v>
      </c>
      <c r="G209" s="6" t="s">
        <v>10840</v>
      </c>
      <c r="H209" s="9" t="n">
        <v>90970</v>
      </c>
      <c r="I209" s="6" t="s">
        <v>384</v>
      </c>
      <c r="J209" s="6" t="s">
        <v>13</v>
      </c>
      <c r="K209" s="6" t="s">
        <v>129</v>
      </c>
      <c r="L209" s="6" t="s">
        <v>11241</v>
      </c>
      <c r="M209" s="6" t="s">
        <v>11242</v>
      </c>
      <c r="N209" s="6"/>
    </row>
    <row r="210" customFormat="false" ht="15" hidden="false" customHeight="false" outlineLevel="0" collapsed="false">
      <c r="A210" s="6" t="s">
        <v>11243</v>
      </c>
      <c r="B210" s="6" t="s">
        <v>131</v>
      </c>
      <c r="C210" s="7" t="n">
        <v>44834</v>
      </c>
      <c r="D210" s="6" t="s">
        <v>380</v>
      </c>
      <c r="E210" s="6" t="s">
        <v>10851</v>
      </c>
      <c r="F210" s="6" t="s">
        <v>2706</v>
      </c>
      <c r="G210" s="6" t="s">
        <v>10845</v>
      </c>
      <c r="H210" s="9" t="n">
        <v>-8538</v>
      </c>
      <c r="I210" s="6" t="s">
        <v>384</v>
      </c>
      <c r="J210" s="6" t="s">
        <v>13</v>
      </c>
      <c r="K210" s="6" t="s">
        <v>129</v>
      </c>
      <c r="L210" s="6" t="s">
        <v>11238</v>
      </c>
      <c r="M210" s="6" t="s">
        <v>11242</v>
      </c>
      <c r="N210" s="6"/>
    </row>
    <row r="211" customFormat="false" ht="15" hidden="false" customHeight="false" outlineLevel="0" collapsed="false">
      <c r="A211" s="6" t="s">
        <v>11244</v>
      </c>
      <c r="B211" s="6" t="s">
        <v>131</v>
      </c>
      <c r="C211" s="7" t="n">
        <v>44834</v>
      </c>
      <c r="D211" s="6" t="s">
        <v>380</v>
      </c>
      <c r="E211" s="6" t="s">
        <v>10851</v>
      </c>
      <c r="F211" s="6" t="s">
        <v>10865</v>
      </c>
      <c r="G211" s="6" t="s">
        <v>10849</v>
      </c>
      <c r="H211" s="9" t="n">
        <v>82432</v>
      </c>
      <c r="I211" s="6" t="s">
        <v>384</v>
      </c>
      <c r="J211" s="6" t="s">
        <v>13</v>
      </c>
      <c r="K211" s="6" t="s">
        <v>129</v>
      </c>
      <c r="L211" s="6" t="s">
        <v>2075</v>
      </c>
      <c r="M211" s="6" t="s">
        <v>11242</v>
      </c>
      <c r="N211" s="6"/>
    </row>
    <row r="212" customFormat="false" ht="15" hidden="false" customHeight="false" outlineLevel="0" collapsed="false">
      <c r="A212" s="6" t="s">
        <v>11245</v>
      </c>
      <c r="B212" s="6" t="s">
        <v>131</v>
      </c>
      <c r="C212" s="7" t="n">
        <v>44834</v>
      </c>
      <c r="D212" s="6" t="s">
        <v>380</v>
      </c>
      <c r="E212" s="6" t="s">
        <v>10851</v>
      </c>
      <c r="F212" s="6" t="s">
        <v>10867</v>
      </c>
      <c r="G212" s="6" t="s">
        <v>10840</v>
      </c>
      <c r="H212" s="9" t="n">
        <v>22348</v>
      </c>
      <c r="I212" s="6" t="s">
        <v>384</v>
      </c>
      <c r="J212" s="6" t="s">
        <v>13</v>
      </c>
      <c r="K212" s="6" t="s">
        <v>129</v>
      </c>
      <c r="L212" s="6" t="s">
        <v>11246</v>
      </c>
      <c r="M212" s="6" t="s">
        <v>11247</v>
      </c>
      <c r="N212" s="6"/>
    </row>
    <row r="213" customFormat="false" ht="15" hidden="false" customHeight="false" outlineLevel="0" collapsed="false">
      <c r="A213" s="6" t="s">
        <v>11248</v>
      </c>
      <c r="B213" s="6" t="s">
        <v>131</v>
      </c>
      <c r="C213" s="7" t="n">
        <v>44834</v>
      </c>
      <c r="D213" s="6" t="s">
        <v>380</v>
      </c>
      <c r="E213" s="6" t="s">
        <v>10851</v>
      </c>
      <c r="F213" s="6" t="s">
        <v>2706</v>
      </c>
      <c r="G213" s="6" t="s">
        <v>10845</v>
      </c>
      <c r="H213" s="9" t="n">
        <v>-7108</v>
      </c>
      <c r="I213" s="6" t="s">
        <v>384</v>
      </c>
      <c r="J213" s="6" t="s">
        <v>13</v>
      </c>
      <c r="K213" s="6" t="s">
        <v>129</v>
      </c>
      <c r="L213" s="6" t="s">
        <v>11238</v>
      </c>
      <c r="M213" s="6" t="s">
        <v>11247</v>
      </c>
      <c r="N213" s="6"/>
    </row>
    <row r="214" customFormat="false" ht="15" hidden="false" customHeight="false" outlineLevel="0" collapsed="false">
      <c r="A214" s="6" t="s">
        <v>11249</v>
      </c>
      <c r="B214" s="6" t="s">
        <v>131</v>
      </c>
      <c r="C214" s="7" t="n">
        <v>44834</v>
      </c>
      <c r="D214" s="6" t="s">
        <v>380</v>
      </c>
      <c r="E214" s="6" t="s">
        <v>10851</v>
      </c>
      <c r="F214" s="6" t="s">
        <v>10872</v>
      </c>
      <c r="G214" s="6" t="s">
        <v>10849</v>
      </c>
      <c r="H214" s="9" t="n">
        <v>15240</v>
      </c>
      <c r="I214" s="6" t="s">
        <v>384</v>
      </c>
      <c r="J214" s="6" t="s">
        <v>13</v>
      </c>
      <c r="K214" s="6" t="s">
        <v>129</v>
      </c>
      <c r="L214" s="6" t="s">
        <v>2190</v>
      </c>
      <c r="M214" s="6" t="s">
        <v>11247</v>
      </c>
      <c r="N214" s="6"/>
    </row>
    <row r="215" customFormat="false" ht="15" hidden="false" customHeight="false" outlineLevel="0" collapsed="false">
      <c r="A215" s="6" t="s">
        <v>11250</v>
      </c>
      <c r="B215" s="6" t="s">
        <v>131</v>
      </c>
      <c r="C215" s="7" t="n">
        <v>44834</v>
      </c>
      <c r="D215" s="6" t="s">
        <v>380</v>
      </c>
      <c r="E215" s="6" t="s">
        <v>10874</v>
      </c>
      <c r="F215" s="6" t="s">
        <v>10165</v>
      </c>
      <c r="G215" s="6" t="s">
        <v>10840</v>
      </c>
      <c r="H215" s="9" t="n">
        <v>-28239</v>
      </c>
      <c r="I215" s="6" t="s">
        <v>384</v>
      </c>
      <c r="J215" s="6" t="s">
        <v>13</v>
      </c>
      <c r="K215" s="6" t="s">
        <v>129</v>
      </c>
      <c r="L215" s="6" t="s">
        <v>11251</v>
      </c>
      <c r="M215" s="6" t="s">
        <v>11252</v>
      </c>
      <c r="N215" s="6"/>
    </row>
    <row r="216" customFormat="false" ht="15" hidden="false" customHeight="false" outlineLevel="0" collapsed="false">
      <c r="A216" s="6" t="s">
        <v>11253</v>
      </c>
      <c r="B216" s="6" t="s">
        <v>131</v>
      </c>
      <c r="C216" s="7" t="n">
        <v>44834</v>
      </c>
      <c r="D216" s="6" t="s">
        <v>380</v>
      </c>
      <c r="E216" s="6" t="s">
        <v>10874</v>
      </c>
      <c r="F216" s="6" t="s">
        <v>2706</v>
      </c>
      <c r="G216" s="6" t="s">
        <v>10845</v>
      </c>
      <c r="H216" s="9" t="n">
        <v>26054</v>
      </c>
      <c r="I216" s="6" t="s">
        <v>384</v>
      </c>
      <c r="J216" s="6" t="s">
        <v>13</v>
      </c>
      <c r="K216" s="6" t="s">
        <v>129</v>
      </c>
      <c r="L216" s="6" t="s">
        <v>2739</v>
      </c>
      <c r="M216" s="6" t="s">
        <v>11252</v>
      </c>
      <c r="N216" s="6"/>
    </row>
    <row r="217" customFormat="false" ht="15" hidden="false" customHeight="false" outlineLevel="0" collapsed="false">
      <c r="A217" s="6" t="s">
        <v>11254</v>
      </c>
      <c r="B217" s="6" t="s">
        <v>131</v>
      </c>
      <c r="C217" s="7" t="n">
        <v>44834</v>
      </c>
      <c r="D217" s="6" t="s">
        <v>380</v>
      </c>
      <c r="E217" s="6" t="s">
        <v>10874</v>
      </c>
      <c r="F217" s="6" t="s">
        <v>10421</v>
      </c>
      <c r="G217" s="6" t="s">
        <v>10849</v>
      </c>
      <c r="H217" s="9" t="n">
        <v>-2185</v>
      </c>
      <c r="I217" s="6" t="s">
        <v>384</v>
      </c>
      <c r="J217" s="6" t="s">
        <v>13</v>
      </c>
      <c r="K217" s="6" t="s">
        <v>129</v>
      </c>
      <c r="L217" s="6" t="s">
        <v>2305</v>
      </c>
      <c r="M217" s="6" t="s">
        <v>11252</v>
      </c>
      <c r="N217" s="6"/>
    </row>
    <row r="218" customFormat="false" ht="15" hidden="false" customHeight="false" outlineLevel="0" collapsed="false">
      <c r="A218" s="6" t="s">
        <v>11255</v>
      </c>
      <c r="B218" s="6" t="s">
        <v>131</v>
      </c>
      <c r="C218" s="7" t="n">
        <v>44834</v>
      </c>
      <c r="D218" s="6" t="s">
        <v>380</v>
      </c>
      <c r="E218" s="6" t="s">
        <v>11256</v>
      </c>
      <c r="F218" s="6" t="s">
        <v>10880</v>
      </c>
      <c r="G218" s="6" t="s">
        <v>10840</v>
      </c>
      <c r="H218" s="9" t="n">
        <v>-23030</v>
      </c>
      <c r="I218" s="6" t="s">
        <v>384</v>
      </c>
      <c r="J218" s="6" t="s">
        <v>13</v>
      </c>
      <c r="K218" s="6" t="s">
        <v>129</v>
      </c>
      <c r="L218" s="6" t="s">
        <v>11257</v>
      </c>
      <c r="M218" s="6" t="s">
        <v>11258</v>
      </c>
      <c r="N218" s="6"/>
    </row>
    <row r="219" customFormat="false" ht="15" hidden="false" customHeight="false" outlineLevel="0" collapsed="false">
      <c r="A219" s="6" t="s">
        <v>11259</v>
      </c>
      <c r="B219" s="6" t="s">
        <v>131</v>
      </c>
      <c r="C219" s="7" t="n">
        <v>44834</v>
      </c>
      <c r="D219" s="6" t="s">
        <v>380</v>
      </c>
      <c r="E219" s="6" t="s">
        <v>11256</v>
      </c>
      <c r="F219" s="6" t="s">
        <v>2706</v>
      </c>
      <c r="G219" s="6" t="s">
        <v>10845</v>
      </c>
      <c r="H219" s="9" t="n">
        <v>26054</v>
      </c>
      <c r="I219" s="6" t="s">
        <v>384</v>
      </c>
      <c r="J219" s="6" t="s">
        <v>13</v>
      </c>
      <c r="K219" s="6" t="s">
        <v>129</v>
      </c>
      <c r="L219" s="6" t="s">
        <v>11260</v>
      </c>
      <c r="M219" s="6" t="s">
        <v>11258</v>
      </c>
      <c r="N219" s="6"/>
    </row>
    <row r="220" customFormat="false" ht="15" hidden="false" customHeight="false" outlineLevel="0" collapsed="false">
      <c r="A220" s="6" t="s">
        <v>11261</v>
      </c>
      <c r="B220" s="6" t="s">
        <v>131</v>
      </c>
      <c r="C220" s="7" t="n">
        <v>44834</v>
      </c>
      <c r="D220" s="6" t="s">
        <v>380</v>
      </c>
      <c r="E220" s="6" t="s">
        <v>11256</v>
      </c>
      <c r="F220" s="6" t="s">
        <v>10885</v>
      </c>
      <c r="G220" s="6" t="s">
        <v>10845</v>
      </c>
      <c r="H220" s="9" t="n">
        <v>-448</v>
      </c>
      <c r="I220" s="6" t="s">
        <v>384</v>
      </c>
      <c r="J220" s="6" t="s">
        <v>13</v>
      </c>
      <c r="K220" s="6" t="s">
        <v>129</v>
      </c>
      <c r="L220" s="6" t="s">
        <v>11262</v>
      </c>
      <c r="M220" s="6" t="s">
        <v>11258</v>
      </c>
      <c r="N220" s="6"/>
    </row>
    <row r="221" customFormat="false" ht="15" hidden="false" customHeight="false" outlineLevel="0" collapsed="false">
      <c r="A221" s="6" t="s">
        <v>11263</v>
      </c>
      <c r="B221" s="6" t="s">
        <v>131</v>
      </c>
      <c r="C221" s="7" t="n">
        <v>44834</v>
      </c>
      <c r="D221" s="6" t="s">
        <v>380</v>
      </c>
      <c r="E221" s="6" t="s">
        <v>11256</v>
      </c>
      <c r="F221" s="6" t="s">
        <v>11264</v>
      </c>
      <c r="G221" s="6" t="s">
        <v>10849</v>
      </c>
      <c r="H221" s="9" t="n">
        <v>2576</v>
      </c>
      <c r="I221" s="6" t="s">
        <v>384</v>
      </c>
      <c r="J221" s="6" t="s">
        <v>13</v>
      </c>
      <c r="K221" s="6" t="s">
        <v>129</v>
      </c>
      <c r="L221" s="6" t="s">
        <v>2513</v>
      </c>
      <c r="M221" s="6" t="s">
        <v>11258</v>
      </c>
      <c r="N221" s="6"/>
    </row>
    <row r="222" customFormat="false" ht="15" hidden="false" customHeight="false" outlineLevel="0" collapsed="false">
      <c r="A222" s="6" t="s">
        <v>11265</v>
      </c>
      <c r="B222" s="6" t="s">
        <v>131</v>
      </c>
      <c r="C222" s="7" t="n">
        <v>44834</v>
      </c>
      <c r="D222" s="6" t="s">
        <v>380</v>
      </c>
      <c r="E222" s="6" t="s">
        <v>10890</v>
      </c>
      <c r="F222" s="6" t="s">
        <v>10891</v>
      </c>
      <c r="G222" s="6" t="s">
        <v>10840</v>
      </c>
      <c r="H222" s="9" t="n">
        <v>-23030</v>
      </c>
      <c r="I222" s="6" t="s">
        <v>384</v>
      </c>
      <c r="J222" s="6" t="s">
        <v>13</v>
      </c>
      <c r="K222" s="6" t="s">
        <v>129</v>
      </c>
      <c r="L222" s="6" t="s">
        <v>11266</v>
      </c>
      <c r="M222" s="6" t="s">
        <v>11267</v>
      </c>
      <c r="N222" s="6"/>
    </row>
    <row r="223" customFormat="false" ht="15" hidden="false" customHeight="false" outlineLevel="0" collapsed="false">
      <c r="A223" s="6" t="s">
        <v>11268</v>
      </c>
      <c r="B223" s="6" t="s">
        <v>131</v>
      </c>
      <c r="C223" s="7" t="n">
        <v>44834</v>
      </c>
      <c r="D223" s="6" t="s">
        <v>380</v>
      </c>
      <c r="E223" s="6" t="s">
        <v>10890</v>
      </c>
      <c r="F223" s="6" t="s">
        <v>10895</v>
      </c>
      <c r="G223" s="6" t="s">
        <v>10845</v>
      </c>
      <c r="H223" s="9" t="n">
        <v>0</v>
      </c>
      <c r="I223" s="6" t="s">
        <v>384</v>
      </c>
      <c r="J223" s="6" t="s">
        <v>13</v>
      </c>
      <c r="K223" s="6" t="s">
        <v>129</v>
      </c>
      <c r="L223" s="6" t="s">
        <v>11269</v>
      </c>
      <c r="M223" s="6" t="s">
        <v>11267</v>
      </c>
      <c r="N223" s="6"/>
    </row>
    <row r="224" customFormat="false" ht="15" hidden="false" customHeight="false" outlineLevel="0" collapsed="false">
      <c r="A224" s="6" t="s">
        <v>11270</v>
      </c>
      <c r="B224" s="6" t="s">
        <v>131</v>
      </c>
      <c r="C224" s="7" t="n">
        <v>44834</v>
      </c>
      <c r="D224" s="6" t="s">
        <v>380</v>
      </c>
      <c r="E224" s="6" t="s">
        <v>10890</v>
      </c>
      <c r="F224" s="6" t="s">
        <v>2706</v>
      </c>
      <c r="G224" s="6" t="s">
        <v>10845</v>
      </c>
      <c r="H224" s="9" t="n">
        <v>26054</v>
      </c>
      <c r="I224" s="6" t="s">
        <v>384</v>
      </c>
      <c r="J224" s="6" t="s">
        <v>13</v>
      </c>
      <c r="K224" s="6" t="s">
        <v>129</v>
      </c>
      <c r="L224" s="6" t="s">
        <v>11271</v>
      </c>
      <c r="M224" s="6" t="s">
        <v>11267</v>
      </c>
      <c r="N224" s="6"/>
    </row>
    <row r="225" customFormat="false" ht="15" hidden="false" customHeight="false" outlineLevel="0" collapsed="false">
      <c r="A225" s="6" t="s">
        <v>11272</v>
      </c>
      <c r="B225" s="6" t="s">
        <v>131</v>
      </c>
      <c r="C225" s="7" t="n">
        <v>44834</v>
      </c>
      <c r="D225" s="6" t="s">
        <v>380</v>
      </c>
      <c r="E225" s="6" t="s">
        <v>10890</v>
      </c>
      <c r="F225" s="6" t="s">
        <v>10885</v>
      </c>
      <c r="G225" s="6" t="s">
        <v>10845</v>
      </c>
      <c r="H225" s="9" t="n">
        <v>-448</v>
      </c>
      <c r="I225" s="6" t="s">
        <v>384</v>
      </c>
      <c r="J225" s="6" t="s">
        <v>13</v>
      </c>
      <c r="K225" s="6" t="s">
        <v>129</v>
      </c>
      <c r="L225" s="6" t="s">
        <v>11273</v>
      </c>
      <c r="M225" s="6" t="s">
        <v>11267</v>
      </c>
      <c r="N225" s="6"/>
    </row>
    <row r="226" customFormat="false" ht="15" hidden="false" customHeight="false" outlineLevel="0" collapsed="false">
      <c r="A226" s="6" t="s">
        <v>11274</v>
      </c>
      <c r="B226" s="6" t="s">
        <v>131</v>
      </c>
      <c r="C226" s="7" t="n">
        <v>44834</v>
      </c>
      <c r="D226" s="6" t="s">
        <v>380</v>
      </c>
      <c r="E226" s="6" t="s">
        <v>10890</v>
      </c>
      <c r="F226" s="6" t="s">
        <v>11264</v>
      </c>
      <c r="G226" s="6" t="s">
        <v>10849</v>
      </c>
      <c r="H226" s="9" t="n">
        <v>2576</v>
      </c>
      <c r="I226" s="6" t="s">
        <v>384</v>
      </c>
      <c r="J226" s="6" t="s">
        <v>13</v>
      </c>
      <c r="K226" s="6" t="s">
        <v>129</v>
      </c>
      <c r="L226" s="6" t="s">
        <v>11275</v>
      </c>
      <c r="M226" s="6" t="s">
        <v>11267</v>
      </c>
      <c r="N226" s="6"/>
    </row>
    <row r="227" customFormat="false" ht="15" hidden="false" customHeight="false" outlineLevel="0" collapsed="false">
      <c r="A227" s="6" t="s">
        <v>11276</v>
      </c>
      <c r="B227" s="6" t="s">
        <v>131</v>
      </c>
      <c r="C227" s="7" t="n">
        <v>44834</v>
      </c>
      <c r="D227" s="6" t="s">
        <v>380</v>
      </c>
      <c r="E227" s="6" t="s">
        <v>10904</v>
      </c>
      <c r="F227" s="6" t="s">
        <v>2949</v>
      </c>
      <c r="G227" s="6" t="s">
        <v>10840</v>
      </c>
      <c r="H227" s="9" t="n">
        <v>20030</v>
      </c>
      <c r="I227" s="6" t="s">
        <v>384</v>
      </c>
      <c r="J227" s="6" t="s">
        <v>13</v>
      </c>
      <c r="K227" s="6" t="s">
        <v>129</v>
      </c>
      <c r="L227" s="6" t="s">
        <v>11277</v>
      </c>
      <c r="M227" s="6" t="s">
        <v>11278</v>
      </c>
      <c r="N227" s="6"/>
    </row>
    <row r="228" customFormat="false" ht="15" hidden="false" customHeight="false" outlineLevel="0" collapsed="false">
      <c r="A228" s="6" t="s">
        <v>11279</v>
      </c>
      <c r="B228" s="6" t="s">
        <v>131</v>
      </c>
      <c r="C228" s="7" t="n">
        <v>44834</v>
      </c>
      <c r="D228" s="6" t="s">
        <v>380</v>
      </c>
      <c r="E228" s="6" t="s">
        <v>10904</v>
      </c>
      <c r="F228" s="6" t="s">
        <v>8520</v>
      </c>
      <c r="G228" s="6" t="s">
        <v>10845</v>
      </c>
      <c r="H228" s="9" t="n">
        <v>-5339</v>
      </c>
      <c r="I228" s="6" t="s">
        <v>384</v>
      </c>
      <c r="J228" s="6" t="s">
        <v>13</v>
      </c>
      <c r="K228" s="6" t="s">
        <v>129</v>
      </c>
      <c r="L228" s="6" t="s">
        <v>3096</v>
      </c>
      <c r="M228" s="6" t="s">
        <v>11278</v>
      </c>
      <c r="N228" s="6"/>
    </row>
    <row r="229" customFormat="false" ht="15" hidden="false" customHeight="false" outlineLevel="0" collapsed="false">
      <c r="A229" s="6" t="s">
        <v>11280</v>
      </c>
      <c r="B229" s="6" t="s">
        <v>131</v>
      </c>
      <c r="C229" s="7" t="n">
        <v>44834</v>
      </c>
      <c r="D229" s="6" t="s">
        <v>380</v>
      </c>
      <c r="E229" s="6" t="s">
        <v>10904</v>
      </c>
      <c r="F229" s="6" t="s">
        <v>8081</v>
      </c>
      <c r="G229" s="6" t="s">
        <v>10845</v>
      </c>
      <c r="H229" s="9" t="n">
        <v>-732</v>
      </c>
      <c r="I229" s="6" t="s">
        <v>384</v>
      </c>
      <c r="J229" s="6" t="s">
        <v>13</v>
      </c>
      <c r="K229" s="6" t="s">
        <v>129</v>
      </c>
      <c r="L229" s="6" t="s">
        <v>3210</v>
      </c>
      <c r="M229" s="6" t="s">
        <v>11278</v>
      </c>
      <c r="N229" s="6"/>
    </row>
    <row r="230" customFormat="false" ht="15" hidden="false" customHeight="false" outlineLevel="0" collapsed="false">
      <c r="A230" s="6" t="s">
        <v>11281</v>
      </c>
      <c r="B230" s="6" t="s">
        <v>131</v>
      </c>
      <c r="C230" s="7" t="n">
        <v>44834</v>
      </c>
      <c r="D230" s="6" t="s">
        <v>380</v>
      </c>
      <c r="E230" s="6" t="s">
        <v>10904</v>
      </c>
      <c r="F230" s="6" t="s">
        <v>10911</v>
      </c>
      <c r="G230" s="6" t="s">
        <v>10845</v>
      </c>
      <c r="H230" s="9" t="n">
        <v>0</v>
      </c>
      <c r="I230" s="6" t="s">
        <v>384</v>
      </c>
      <c r="J230" s="6" t="s">
        <v>13</v>
      </c>
      <c r="K230" s="6" t="s">
        <v>129</v>
      </c>
      <c r="L230" s="6" t="s">
        <v>3318</v>
      </c>
      <c r="M230" s="6" t="s">
        <v>11278</v>
      </c>
      <c r="N230" s="6"/>
    </row>
    <row r="231" customFormat="false" ht="15" hidden="false" customHeight="false" outlineLevel="0" collapsed="false">
      <c r="A231" s="6" t="s">
        <v>11282</v>
      </c>
      <c r="B231" s="6" t="s">
        <v>131</v>
      </c>
      <c r="C231" s="7" t="n">
        <v>44834</v>
      </c>
      <c r="D231" s="6" t="s">
        <v>380</v>
      </c>
      <c r="E231" s="6" t="s">
        <v>10904</v>
      </c>
      <c r="F231" s="6" t="s">
        <v>4887</v>
      </c>
      <c r="G231" s="6" t="s">
        <v>10849</v>
      </c>
      <c r="H231" s="9" t="n">
        <v>13959</v>
      </c>
      <c r="I231" s="6" t="s">
        <v>384</v>
      </c>
      <c r="J231" s="6" t="s">
        <v>13</v>
      </c>
      <c r="K231" s="6" t="s">
        <v>129</v>
      </c>
      <c r="L231" s="6" t="s">
        <v>3392</v>
      </c>
      <c r="M231" s="6" t="s">
        <v>11278</v>
      </c>
      <c r="N231" s="6"/>
    </row>
    <row r="232" customFormat="false" ht="15" hidden="false" customHeight="false" outlineLevel="0" collapsed="false">
      <c r="A232" s="6" t="s">
        <v>11283</v>
      </c>
      <c r="B232" s="6" t="s">
        <v>136</v>
      </c>
      <c r="C232" s="7" t="n">
        <v>44926</v>
      </c>
      <c r="D232" s="6" t="s">
        <v>380</v>
      </c>
      <c r="E232" s="6" t="s">
        <v>10838</v>
      </c>
      <c r="F232" s="6" t="s">
        <v>10839</v>
      </c>
      <c r="G232" s="6" t="s">
        <v>10840</v>
      </c>
      <c r="H232" s="9" t="n">
        <v>132562</v>
      </c>
      <c r="I232" s="6" t="s">
        <v>384</v>
      </c>
      <c r="J232" s="6" t="s">
        <v>13</v>
      </c>
      <c r="K232" s="6" t="s">
        <v>134</v>
      </c>
      <c r="L232" s="6" t="s">
        <v>11284</v>
      </c>
      <c r="M232" s="6" t="s">
        <v>11285</v>
      </c>
      <c r="N232" s="6"/>
    </row>
    <row r="233" customFormat="false" ht="15" hidden="false" customHeight="false" outlineLevel="0" collapsed="false">
      <c r="A233" s="6" t="s">
        <v>11286</v>
      </c>
      <c r="B233" s="6" t="s">
        <v>136</v>
      </c>
      <c r="C233" s="7" t="n">
        <v>44926</v>
      </c>
      <c r="D233" s="6" t="s">
        <v>380</v>
      </c>
      <c r="E233" s="6" t="s">
        <v>10838</v>
      </c>
      <c r="F233" s="6" t="s">
        <v>2706</v>
      </c>
      <c r="G233" s="6" t="s">
        <v>10845</v>
      </c>
      <c r="H233" s="9" t="n">
        <v>2367</v>
      </c>
      <c r="I233" s="6" t="s">
        <v>384</v>
      </c>
      <c r="J233" s="6" t="s">
        <v>13</v>
      </c>
      <c r="K233" s="6" t="s">
        <v>134</v>
      </c>
      <c r="L233" s="6" t="s">
        <v>11287</v>
      </c>
      <c r="M233" s="6" t="s">
        <v>11285</v>
      </c>
      <c r="N233" s="6"/>
    </row>
    <row r="234" customFormat="false" ht="15" hidden="false" customHeight="false" outlineLevel="0" collapsed="false">
      <c r="A234" s="6" t="s">
        <v>11288</v>
      </c>
      <c r="B234" s="6" t="s">
        <v>136</v>
      </c>
      <c r="C234" s="7" t="n">
        <v>44926</v>
      </c>
      <c r="D234" s="6" t="s">
        <v>380</v>
      </c>
      <c r="E234" s="6" t="s">
        <v>10838</v>
      </c>
      <c r="F234" s="6" t="s">
        <v>10848</v>
      </c>
      <c r="G234" s="6" t="s">
        <v>10849</v>
      </c>
      <c r="H234" s="9" t="n">
        <v>134929</v>
      </c>
      <c r="I234" s="6" t="s">
        <v>384</v>
      </c>
      <c r="J234" s="6" t="s">
        <v>13</v>
      </c>
      <c r="K234" s="6" t="s">
        <v>134</v>
      </c>
      <c r="L234" s="6" t="s">
        <v>1773</v>
      </c>
      <c r="M234" s="6" t="s">
        <v>11285</v>
      </c>
      <c r="N234" s="6"/>
    </row>
    <row r="235" customFormat="false" ht="15" hidden="false" customHeight="false" outlineLevel="0" collapsed="false">
      <c r="A235" s="6" t="s">
        <v>11289</v>
      </c>
      <c r="B235" s="6" t="s">
        <v>136</v>
      </c>
      <c r="C235" s="7" t="n">
        <v>44926</v>
      </c>
      <c r="D235" s="6" t="s">
        <v>380</v>
      </c>
      <c r="E235" s="6" t="s">
        <v>10851</v>
      </c>
      <c r="F235" s="6" t="s">
        <v>10852</v>
      </c>
      <c r="G235" s="6" t="s">
        <v>10840</v>
      </c>
      <c r="H235" s="9" t="n">
        <v>32560</v>
      </c>
      <c r="I235" s="6" t="s">
        <v>384</v>
      </c>
      <c r="J235" s="6" t="s">
        <v>13</v>
      </c>
      <c r="K235" s="6" t="s">
        <v>134</v>
      </c>
      <c r="L235" s="6" t="s">
        <v>11290</v>
      </c>
      <c r="M235" s="6" t="s">
        <v>11291</v>
      </c>
      <c r="N235" s="6"/>
    </row>
    <row r="236" customFormat="false" ht="15" hidden="false" customHeight="false" outlineLevel="0" collapsed="false">
      <c r="A236" s="6" t="s">
        <v>11292</v>
      </c>
      <c r="B236" s="6" t="s">
        <v>136</v>
      </c>
      <c r="C236" s="7" t="n">
        <v>44926</v>
      </c>
      <c r="D236" s="6" t="s">
        <v>380</v>
      </c>
      <c r="E236" s="6" t="s">
        <v>10851</v>
      </c>
      <c r="F236" s="6" t="s">
        <v>2706</v>
      </c>
      <c r="G236" s="6" t="s">
        <v>10845</v>
      </c>
      <c r="H236" s="9" t="n">
        <v>-7845</v>
      </c>
      <c r="I236" s="6" t="s">
        <v>384</v>
      </c>
      <c r="J236" s="6" t="s">
        <v>13</v>
      </c>
      <c r="K236" s="6" t="s">
        <v>134</v>
      </c>
      <c r="L236" s="6" t="s">
        <v>11293</v>
      </c>
      <c r="M236" s="6" t="s">
        <v>11291</v>
      </c>
      <c r="N236" s="6"/>
    </row>
    <row r="237" customFormat="false" ht="15" hidden="false" customHeight="false" outlineLevel="0" collapsed="false">
      <c r="A237" s="6" t="s">
        <v>11294</v>
      </c>
      <c r="B237" s="6" t="s">
        <v>136</v>
      </c>
      <c r="C237" s="7" t="n">
        <v>44926</v>
      </c>
      <c r="D237" s="6" t="s">
        <v>380</v>
      </c>
      <c r="E237" s="6" t="s">
        <v>10851</v>
      </c>
      <c r="F237" s="6" t="s">
        <v>10858</v>
      </c>
      <c r="G237" s="6" t="s">
        <v>10849</v>
      </c>
      <c r="H237" s="9" t="n">
        <v>24715</v>
      </c>
      <c r="I237" s="6" t="s">
        <v>384</v>
      </c>
      <c r="J237" s="6" t="s">
        <v>13</v>
      </c>
      <c r="K237" s="6" t="s">
        <v>134</v>
      </c>
      <c r="L237" s="6" t="s">
        <v>1966</v>
      </c>
      <c r="M237" s="6" t="s">
        <v>11291</v>
      </c>
      <c r="N237" s="6"/>
    </row>
    <row r="238" customFormat="false" ht="15" hidden="false" customHeight="false" outlineLevel="0" collapsed="false">
      <c r="A238" s="6" t="s">
        <v>11295</v>
      </c>
      <c r="B238" s="6" t="s">
        <v>136</v>
      </c>
      <c r="C238" s="7" t="n">
        <v>44926</v>
      </c>
      <c r="D238" s="6" t="s">
        <v>380</v>
      </c>
      <c r="E238" s="6" t="s">
        <v>10851</v>
      </c>
      <c r="F238" s="6" t="s">
        <v>10860</v>
      </c>
      <c r="G238" s="6" t="s">
        <v>10840</v>
      </c>
      <c r="H238" s="9" t="n">
        <v>88385</v>
      </c>
      <c r="I238" s="6" t="s">
        <v>384</v>
      </c>
      <c r="J238" s="6" t="s">
        <v>13</v>
      </c>
      <c r="K238" s="6" t="s">
        <v>134</v>
      </c>
      <c r="L238" s="6" t="s">
        <v>11296</v>
      </c>
      <c r="M238" s="6" t="s">
        <v>11297</v>
      </c>
      <c r="N238" s="6"/>
    </row>
    <row r="239" customFormat="false" ht="15" hidden="false" customHeight="false" outlineLevel="0" collapsed="false">
      <c r="A239" s="6" t="s">
        <v>11298</v>
      </c>
      <c r="B239" s="6" t="s">
        <v>136</v>
      </c>
      <c r="C239" s="7" t="n">
        <v>44926</v>
      </c>
      <c r="D239" s="6" t="s">
        <v>380</v>
      </c>
      <c r="E239" s="6" t="s">
        <v>10851</v>
      </c>
      <c r="F239" s="6" t="s">
        <v>2706</v>
      </c>
      <c r="G239" s="6" t="s">
        <v>10845</v>
      </c>
      <c r="H239" s="9" t="n">
        <v>-7466</v>
      </c>
      <c r="I239" s="6" t="s">
        <v>384</v>
      </c>
      <c r="J239" s="6" t="s">
        <v>13</v>
      </c>
      <c r="K239" s="6" t="s">
        <v>134</v>
      </c>
      <c r="L239" s="6" t="s">
        <v>11293</v>
      </c>
      <c r="M239" s="6" t="s">
        <v>11297</v>
      </c>
      <c r="N239" s="6"/>
    </row>
    <row r="240" customFormat="false" ht="15" hidden="false" customHeight="false" outlineLevel="0" collapsed="false">
      <c r="A240" s="6" t="s">
        <v>11299</v>
      </c>
      <c r="B240" s="6" t="s">
        <v>136</v>
      </c>
      <c r="C240" s="7" t="n">
        <v>44926</v>
      </c>
      <c r="D240" s="6" t="s">
        <v>380</v>
      </c>
      <c r="E240" s="6" t="s">
        <v>10851</v>
      </c>
      <c r="F240" s="6" t="s">
        <v>10865</v>
      </c>
      <c r="G240" s="6" t="s">
        <v>10849</v>
      </c>
      <c r="H240" s="9" t="n">
        <v>80919</v>
      </c>
      <c r="I240" s="6" t="s">
        <v>384</v>
      </c>
      <c r="J240" s="6" t="s">
        <v>13</v>
      </c>
      <c r="K240" s="6" t="s">
        <v>134</v>
      </c>
      <c r="L240" s="6" t="s">
        <v>2081</v>
      </c>
      <c r="M240" s="6" t="s">
        <v>11297</v>
      </c>
      <c r="N240" s="6"/>
    </row>
    <row r="241" customFormat="false" ht="15" hidden="false" customHeight="false" outlineLevel="0" collapsed="false">
      <c r="A241" s="6" t="s">
        <v>11300</v>
      </c>
      <c r="B241" s="6" t="s">
        <v>136</v>
      </c>
      <c r="C241" s="7" t="n">
        <v>44926</v>
      </c>
      <c r="D241" s="6" t="s">
        <v>380</v>
      </c>
      <c r="E241" s="6" t="s">
        <v>10851</v>
      </c>
      <c r="F241" s="6" t="s">
        <v>10867</v>
      </c>
      <c r="G241" s="6" t="s">
        <v>10840</v>
      </c>
      <c r="H241" s="9" t="n">
        <v>21717</v>
      </c>
      <c r="I241" s="6" t="s">
        <v>384</v>
      </c>
      <c r="J241" s="6" t="s">
        <v>13</v>
      </c>
      <c r="K241" s="6" t="s">
        <v>134</v>
      </c>
      <c r="L241" s="6" t="s">
        <v>11301</v>
      </c>
      <c r="M241" s="6" t="s">
        <v>11302</v>
      </c>
      <c r="N241" s="6"/>
    </row>
    <row r="242" customFormat="false" ht="15" hidden="false" customHeight="false" outlineLevel="0" collapsed="false">
      <c r="A242" s="6" t="s">
        <v>11303</v>
      </c>
      <c r="B242" s="6" t="s">
        <v>136</v>
      </c>
      <c r="C242" s="7" t="n">
        <v>44926</v>
      </c>
      <c r="D242" s="6" t="s">
        <v>380</v>
      </c>
      <c r="E242" s="6" t="s">
        <v>10851</v>
      </c>
      <c r="F242" s="6" t="s">
        <v>2706</v>
      </c>
      <c r="G242" s="6" t="s">
        <v>10845</v>
      </c>
      <c r="H242" s="9" t="n">
        <v>-6700</v>
      </c>
      <c r="I242" s="6" t="s">
        <v>384</v>
      </c>
      <c r="J242" s="6" t="s">
        <v>13</v>
      </c>
      <c r="K242" s="6" t="s">
        <v>134</v>
      </c>
      <c r="L242" s="6" t="s">
        <v>11293</v>
      </c>
      <c r="M242" s="6" t="s">
        <v>11302</v>
      </c>
      <c r="N242" s="6"/>
    </row>
    <row r="243" customFormat="false" ht="15" hidden="false" customHeight="false" outlineLevel="0" collapsed="false">
      <c r="A243" s="6" t="s">
        <v>11304</v>
      </c>
      <c r="B243" s="6" t="s">
        <v>136</v>
      </c>
      <c r="C243" s="7" t="n">
        <v>44926</v>
      </c>
      <c r="D243" s="6" t="s">
        <v>380</v>
      </c>
      <c r="E243" s="6" t="s">
        <v>10851</v>
      </c>
      <c r="F243" s="6" t="s">
        <v>10872</v>
      </c>
      <c r="G243" s="6" t="s">
        <v>10849</v>
      </c>
      <c r="H243" s="9" t="n">
        <v>15017</v>
      </c>
      <c r="I243" s="6" t="s">
        <v>384</v>
      </c>
      <c r="J243" s="6" t="s">
        <v>13</v>
      </c>
      <c r="K243" s="6" t="s">
        <v>134</v>
      </c>
      <c r="L243" s="6" t="s">
        <v>2196</v>
      </c>
      <c r="M243" s="6" t="s">
        <v>11302</v>
      </c>
      <c r="N243" s="6"/>
    </row>
    <row r="244" customFormat="false" ht="15" hidden="false" customHeight="false" outlineLevel="0" collapsed="false">
      <c r="A244" s="6" t="s">
        <v>11305</v>
      </c>
      <c r="B244" s="6" t="s">
        <v>136</v>
      </c>
      <c r="C244" s="7" t="n">
        <v>44926</v>
      </c>
      <c r="D244" s="6" t="s">
        <v>380</v>
      </c>
      <c r="E244" s="6" t="s">
        <v>11306</v>
      </c>
      <c r="F244" s="6" t="s">
        <v>10165</v>
      </c>
      <c r="G244" s="6" t="s">
        <v>10840</v>
      </c>
      <c r="H244" s="9" t="n">
        <v>-10100</v>
      </c>
      <c r="I244" s="6" t="s">
        <v>384</v>
      </c>
      <c r="J244" s="6" t="s">
        <v>13</v>
      </c>
      <c r="K244" s="6" t="s">
        <v>134</v>
      </c>
      <c r="L244" s="6" t="s">
        <v>11307</v>
      </c>
      <c r="M244" s="6" t="s">
        <v>11308</v>
      </c>
      <c r="N244" s="6"/>
    </row>
    <row r="245" customFormat="false" ht="15" hidden="false" customHeight="false" outlineLevel="0" collapsed="false">
      <c r="A245" s="6" t="s">
        <v>11309</v>
      </c>
      <c r="B245" s="6" t="s">
        <v>136</v>
      </c>
      <c r="C245" s="7" t="n">
        <v>44926</v>
      </c>
      <c r="D245" s="6" t="s">
        <v>380</v>
      </c>
      <c r="E245" s="6" t="s">
        <v>11306</v>
      </c>
      <c r="F245" s="6" t="s">
        <v>2706</v>
      </c>
      <c r="G245" s="6" t="s">
        <v>10845</v>
      </c>
      <c r="H245" s="9" t="n">
        <v>24378</v>
      </c>
      <c r="I245" s="6" t="s">
        <v>384</v>
      </c>
      <c r="J245" s="6" t="s">
        <v>13</v>
      </c>
      <c r="K245" s="6" t="s">
        <v>134</v>
      </c>
      <c r="L245" s="6" t="s">
        <v>2745</v>
      </c>
      <c r="M245" s="6" t="s">
        <v>11308</v>
      </c>
      <c r="N245" s="6"/>
    </row>
    <row r="246" customFormat="false" ht="15" hidden="false" customHeight="false" outlineLevel="0" collapsed="false">
      <c r="A246" s="6" t="s">
        <v>11310</v>
      </c>
      <c r="B246" s="6" t="s">
        <v>136</v>
      </c>
      <c r="C246" s="7" t="n">
        <v>44926</v>
      </c>
      <c r="D246" s="6" t="s">
        <v>380</v>
      </c>
      <c r="E246" s="6" t="s">
        <v>11306</v>
      </c>
      <c r="F246" s="6" t="s">
        <v>4717</v>
      </c>
      <c r="G246" s="6" t="s">
        <v>10849</v>
      </c>
      <c r="H246" s="9" t="n">
        <v>14278</v>
      </c>
      <c r="I246" s="6" t="s">
        <v>384</v>
      </c>
      <c r="J246" s="6" t="s">
        <v>13</v>
      </c>
      <c r="K246" s="6" t="s">
        <v>134</v>
      </c>
      <c r="L246" s="6" t="s">
        <v>2311</v>
      </c>
      <c r="M246" s="6" t="s">
        <v>11308</v>
      </c>
      <c r="N246" s="6"/>
    </row>
    <row r="247" customFormat="false" ht="15" hidden="false" customHeight="false" outlineLevel="0" collapsed="false">
      <c r="A247" s="6" t="s">
        <v>11311</v>
      </c>
      <c r="B247" s="6" t="s">
        <v>136</v>
      </c>
      <c r="C247" s="7" t="n">
        <v>44926</v>
      </c>
      <c r="D247" s="6" t="s">
        <v>380</v>
      </c>
      <c r="E247" s="6" t="s">
        <v>11256</v>
      </c>
      <c r="F247" s="6" t="s">
        <v>10880</v>
      </c>
      <c r="G247" s="6" t="s">
        <v>10840</v>
      </c>
      <c r="H247" s="9" t="n">
        <v>-1488</v>
      </c>
      <c r="I247" s="6" t="s">
        <v>384</v>
      </c>
      <c r="J247" s="6" t="s">
        <v>13</v>
      </c>
      <c r="K247" s="6" t="s">
        <v>134</v>
      </c>
      <c r="L247" s="6" t="s">
        <v>11312</v>
      </c>
      <c r="M247" s="6" t="s">
        <v>11313</v>
      </c>
      <c r="N247" s="6"/>
    </row>
    <row r="248" customFormat="false" ht="15" hidden="false" customHeight="false" outlineLevel="0" collapsed="false">
      <c r="A248" s="6" t="s">
        <v>11314</v>
      </c>
      <c r="B248" s="6" t="s">
        <v>136</v>
      </c>
      <c r="C248" s="7" t="n">
        <v>44926</v>
      </c>
      <c r="D248" s="6" t="s">
        <v>380</v>
      </c>
      <c r="E248" s="6" t="s">
        <v>11256</v>
      </c>
      <c r="F248" s="6" t="s">
        <v>2706</v>
      </c>
      <c r="G248" s="6" t="s">
        <v>10845</v>
      </c>
      <c r="H248" s="9" t="n">
        <v>24378</v>
      </c>
      <c r="I248" s="6" t="s">
        <v>384</v>
      </c>
      <c r="J248" s="6" t="s">
        <v>13</v>
      </c>
      <c r="K248" s="6" t="s">
        <v>134</v>
      </c>
      <c r="L248" s="6" t="s">
        <v>11315</v>
      </c>
      <c r="M248" s="6" t="s">
        <v>11313</v>
      </c>
      <c r="N248" s="6"/>
    </row>
    <row r="249" customFormat="false" ht="15" hidden="false" customHeight="false" outlineLevel="0" collapsed="false">
      <c r="A249" s="6" t="s">
        <v>11316</v>
      </c>
      <c r="B249" s="6" t="s">
        <v>136</v>
      </c>
      <c r="C249" s="7" t="n">
        <v>44926</v>
      </c>
      <c r="D249" s="6" t="s">
        <v>380</v>
      </c>
      <c r="E249" s="6" t="s">
        <v>11256</v>
      </c>
      <c r="F249" s="6" t="s">
        <v>10885</v>
      </c>
      <c r="G249" s="6" t="s">
        <v>10845</v>
      </c>
      <c r="H249" s="9" t="n">
        <v>-688</v>
      </c>
      <c r="I249" s="6" t="s">
        <v>384</v>
      </c>
      <c r="J249" s="6" t="s">
        <v>13</v>
      </c>
      <c r="K249" s="6" t="s">
        <v>134</v>
      </c>
      <c r="L249" s="6" t="s">
        <v>11317</v>
      </c>
      <c r="M249" s="6" t="s">
        <v>11313</v>
      </c>
      <c r="N249" s="6"/>
    </row>
    <row r="250" customFormat="false" ht="15" hidden="false" customHeight="false" outlineLevel="0" collapsed="false">
      <c r="A250" s="6" t="s">
        <v>11318</v>
      </c>
      <c r="B250" s="6" t="s">
        <v>136</v>
      </c>
      <c r="C250" s="7" t="n">
        <v>44926</v>
      </c>
      <c r="D250" s="6" t="s">
        <v>380</v>
      </c>
      <c r="E250" s="6" t="s">
        <v>11256</v>
      </c>
      <c r="F250" s="6" t="s">
        <v>11264</v>
      </c>
      <c r="G250" s="6" t="s">
        <v>10849</v>
      </c>
      <c r="H250" s="9" t="n">
        <v>22202</v>
      </c>
      <c r="I250" s="6" t="s">
        <v>384</v>
      </c>
      <c r="J250" s="6" t="s">
        <v>13</v>
      </c>
      <c r="K250" s="6" t="s">
        <v>134</v>
      </c>
      <c r="L250" s="6" t="s">
        <v>2519</v>
      </c>
      <c r="M250" s="6" t="s">
        <v>11313</v>
      </c>
      <c r="N250" s="6"/>
    </row>
    <row r="251" customFormat="false" ht="15" hidden="false" customHeight="false" outlineLevel="0" collapsed="false">
      <c r="A251" s="6" t="s">
        <v>11319</v>
      </c>
      <c r="B251" s="6" t="s">
        <v>136</v>
      </c>
      <c r="C251" s="7" t="n">
        <v>44926</v>
      </c>
      <c r="D251" s="6" t="s">
        <v>380</v>
      </c>
      <c r="E251" s="6" t="s">
        <v>11320</v>
      </c>
      <c r="F251" s="6" t="s">
        <v>10891</v>
      </c>
      <c r="G251" s="6" t="s">
        <v>10840</v>
      </c>
      <c r="H251" s="9" t="n">
        <v>-1488</v>
      </c>
      <c r="I251" s="6" t="s">
        <v>384</v>
      </c>
      <c r="J251" s="6" t="s">
        <v>13</v>
      </c>
      <c r="K251" s="6" t="s">
        <v>134</v>
      </c>
      <c r="L251" s="6" t="s">
        <v>11321</v>
      </c>
      <c r="M251" s="6" t="s">
        <v>11322</v>
      </c>
      <c r="N251" s="6"/>
    </row>
    <row r="252" customFormat="false" ht="15" hidden="false" customHeight="false" outlineLevel="0" collapsed="false">
      <c r="A252" s="6" t="s">
        <v>11323</v>
      </c>
      <c r="B252" s="6" t="s">
        <v>136</v>
      </c>
      <c r="C252" s="7" t="n">
        <v>44926</v>
      </c>
      <c r="D252" s="6" t="s">
        <v>380</v>
      </c>
      <c r="E252" s="6" t="s">
        <v>11320</v>
      </c>
      <c r="F252" s="6" t="s">
        <v>10895</v>
      </c>
      <c r="G252" s="6" t="s">
        <v>10845</v>
      </c>
      <c r="H252" s="9" t="n">
        <v>0</v>
      </c>
      <c r="I252" s="6" t="s">
        <v>384</v>
      </c>
      <c r="J252" s="6" t="s">
        <v>13</v>
      </c>
      <c r="K252" s="6" t="s">
        <v>134</v>
      </c>
      <c r="L252" s="6" t="s">
        <v>11324</v>
      </c>
      <c r="M252" s="6" t="s">
        <v>11322</v>
      </c>
      <c r="N252" s="6"/>
    </row>
    <row r="253" customFormat="false" ht="15" hidden="false" customHeight="false" outlineLevel="0" collapsed="false">
      <c r="A253" s="6" t="s">
        <v>11325</v>
      </c>
      <c r="B253" s="6" t="s">
        <v>136</v>
      </c>
      <c r="C253" s="7" t="n">
        <v>44926</v>
      </c>
      <c r="D253" s="6" t="s">
        <v>380</v>
      </c>
      <c r="E253" s="6" t="s">
        <v>11320</v>
      </c>
      <c r="F253" s="6" t="s">
        <v>2706</v>
      </c>
      <c r="G253" s="6" t="s">
        <v>10845</v>
      </c>
      <c r="H253" s="9" t="n">
        <v>24378</v>
      </c>
      <c r="I253" s="6" t="s">
        <v>384</v>
      </c>
      <c r="J253" s="6" t="s">
        <v>13</v>
      </c>
      <c r="K253" s="6" t="s">
        <v>134</v>
      </c>
      <c r="L253" s="6" t="s">
        <v>11326</v>
      </c>
      <c r="M253" s="6" t="s">
        <v>11322</v>
      </c>
      <c r="N253" s="6"/>
    </row>
    <row r="254" customFormat="false" ht="15" hidden="false" customHeight="false" outlineLevel="0" collapsed="false">
      <c r="A254" s="6" t="s">
        <v>11327</v>
      </c>
      <c r="B254" s="6" t="s">
        <v>136</v>
      </c>
      <c r="C254" s="7" t="n">
        <v>44926</v>
      </c>
      <c r="D254" s="6" t="s">
        <v>380</v>
      </c>
      <c r="E254" s="6" t="s">
        <v>11320</v>
      </c>
      <c r="F254" s="6" t="s">
        <v>10885</v>
      </c>
      <c r="G254" s="6" t="s">
        <v>10845</v>
      </c>
      <c r="H254" s="9" t="n">
        <v>-688</v>
      </c>
      <c r="I254" s="6" t="s">
        <v>384</v>
      </c>
      <c r="J254" s="6" t="s">
        <v>13</v>
      </c>
      <c r="K254" s="6" t="s">
        <v>134</v>
      </c>
      <c r="L254" s="6" t="s">
        <v>11328</v>
      </c>
      <c r="M254" s="6" t="s">
        <v>11322</v>
      </c>
      <c r="N254" s="6"/>
    </row>
    <row r="255" customFormat="false" ht="15" hidden="false" customHeight="false" outlineLevel="0" collapsed="false">
      <c r="A255" s="6" t="s">
        <v>11329</v>
      </c>
      <c r="B255" s="6" t="s">
        <v>136</v>
      </c>
      <c r="C255" s="7" t="n">
        <v>44926</v>
      </c>
      <c r="D255" s="6" t="s">
        <v>380</v>
      </c>
      <c r="E255" s="6" t="s">
        <v>11320</v>
      </c>
      <c r="F255" s="6" t="s">
        <v>11264</v>
      </c>
      <c r="G255" s="6" t="s">
        <v>10849</v>
      </c>
      <c r="H255" s="9" t="n">
        <v>22202</v>
      </c>
      <c r="I255" s="6" t="s">
        <v>384</v>
      </c>
      <c r="J255" s="6" t="s">
        <v>13</v>
      </c>
      <c r="K255" s="6" t="s">
        <v>134</v>
      </c>
      <c r="L255" s="6" t="s">
        <v>11330</v>
      </c>
      <c r="M255" s="6" t="s">
        <v>11322</v>
      </c>
      <c r="N255" s="6"/>
    </row>
    <row r="256" customFormat="false" ht="15" hidden="false" customHeight="false" outlineLevel="0" collapsed="false">
      <c r="A256" s="6" t="s">
        <v>11331</v>
      </c>
      <c r="B256" s="6" t="s">
        <v>136</v>
      </c>
      <c r="C256" s="7" t="n">
        <v>44926</v>
      </c>
      <c r="D256" s="6" t="s">
        <v>380</v>
      </c>
      <c r="E256" s="6" t="s">
        <v>10904</v>
      </c>
      <c r="F256" s="6" t="s">
        <v>8429</v>
      </c>
      <c r="G256" s="6" t="s">
        <v>10840</v>
      </c>
      <c r="H256" s="9" t="n">
        <v>34081</v>
      </c>
      <c r="I256" s="6" t="s">
        <v>384</v>
      </c>
      <c r="J256" s="6" t="s">
        <v>13</v>
      </c>
      <c r="K256" s="6" t="s">
        <v>134</v>
      </c>
      <c r="L256" s="6" t="s">
        <v>11332</v>
      </c>
      <c r="M256" s="6" t="s">
        <v>11333</v>
      </c>
      <c r="N256" s="6"/>
    </row>
    <row r="257" customFormat="false" ht="15" hidden="false" customHeight="false" outlineLevel="0" collapsed="false">
      <c r="A257" s="6" t="s">
        <v>11334</v>
      </c>
      <c r="B257" s="6" t="s">
        <v>136</v>
      </c>
      <c r="C257" s="7" t="n">
        <v>44926</v>
      </c>
      <c r="D257" s="6" t="s">
        <v>380</v>
      </c>
      <c r="E257" s="6" t="s">
        <v>10904</v>
      </c>
      <c r="F257" s="6" t="s">
        <v>8520</v>
      </c>
      <c r="G257" s="6" t="s">
        <v>10845</v>
      </c>
      <c r="H257" s="9" t="n">
        <v>-3760</v>
      </c>
      <c r="I257" s="6" t="s">
        <v>384</v>
      </c>
      <c r="J257" s="6" t="s">
        <v>13</v>
      </c>
      <c r="K257" s="6" t="s">
        <v>134</v>
      </c>
      <c r="L257" s="6" t="s">
        <v>3102</v>
      </c>
      <c r="M257" s="6" t="s">
        <v>11333</v>
      </c>
      <c r="N257" s="6"/>
    </row>
    <row r="258" customFormat="false" ht="15" hidden="false" customHeight="false" outlineLevel="0" collapsed="false">
      <c r="A258" s="6" t="s">
        <v>11335</v>
      </c>
      <c r="B258" s="6" t="s">
        <v>136</v>
      </c>
      <c r="C258" s="7" t="n">
        <v>44926</v>
      </c>
      <c r="D258" s="6" t="s">
        <v>380</v>
      </c>
      <c r="E258" s="6" t="s">
        <v>10904</v>
      </c>
      <c r="F258" s="6" t="s">
        <v>8081</v>
      </c>
      <c r="G258" s="6" t="s">
        <v>10845</v>
      </c>
      <c r="H258" s="9" t="n">
        <v>-656</v>
      </c>
      <c r="I258" s="6" t="s">
        <v>384</v>
      </c>
      <c r="J258" s="6" t="s">
        <v>13</v>
      </c>
      <c r="K258" s="6" t="s">
        <v>134</v>
      </c>
      <c r="L258" s="6" t="s">
        <v>3216</v>
      </c>
      <c r="M258" s="6" t="s">
        <v>11333</v>
      </c>
      <c r="N258" s="6"/>
    </row>
    <row r="259" customFormat="false" ht="15" hidden="false" customHeight="false" outlineLevel="0" collapsed="false">
      <c r="A259" s="6" t="s">
        <v>11336</v>
      </c>
      <c r="B259" s="6" t="s">
        <v>136</v>
      </c>
      <c r="C259" s="7" t="n">
        <v>44926</v>
      </c>
      <c r="D259" s="6" t="s">
        <v>380</v>
      </c>
      <c r="E259" s="6" t="s">
        <v>10904</v>
      </c>
      <c r="F259" s="6" t="s">
        <v>10911</v>
      </c>
      <c r="G259" s="6" t="s">
        <v>10845</v>
      </c>
      <c r="H259" s="9" t="n">
        <v>0</v>
      </c>
      <c r="I259" s="6" t="s">
        <v>384</v>
      </c>
      <c r="J259" s="6" t="s">
        <v>13</v>
      </c>
      <c r="K259" s="6" t="s">
        <v>134</v>
      </c>
      <c r="L259" s="6" t="s">
        <v>3322</v>
      </c>
      <c r="M259" s="6" t="s">
        <v>11333</v>
      </c>
      <c r="N259" s="6"/>
    </row>
    <row r="260" customFormat="false" ht="15" hidden="false" customHeight="false" outlineLevel="0" collapsed="false">
      <c r="A260" s="6" t="s">
        <v>11337</v>
      </c>
      <c r="B260" s="6" t="s">
        <v>136</v>
      </c>
      <c r="C260" s="7" t="n">
        <v>44926</v>
      </c>
      <c r="D260" s="6" t="s">
        <v>380</v>
      </c>
      <c r="E260" s="6" t="s">
        <v>10904</v>
      </c>
      <c r="F260" s="6" t="s">
        <v>4887</v>
      </c>
      <c r="G260" s="6" t="s">
        <v>10849</v>
      </c>
      <c r="H260" s="9" t="n">
        <v>29665</v>
      </c>
      <c r="I260" s="6" t="s">
        <v>384</v>
      </c>
      <c r="J260" s="6" t="s">
        <v>13</v>
      </c>
      <c r="K260" s="6" t="s">
        <v>134</v>
      </c>
      <c r="L260" s="6" t="s">
        <v>3398</v>
      </c>
      <c r="M260" s="6" t="s">
        <v>11333</v>
      </c>
      <c r="N260" s="6"/>
    </row>
    <row r="261" customFormat="false" ht="15" hidden="false" customHeight="false" outlineLevel="0" collapsed="false">
      <c r="A261" s="6" t="s">
        <v>11338</v>
      </c>
      <c r="B261" s="6" t="s">
        <v>220</v>
      </c>
      <c r="C261" s="7" t="n">
        <v>44926</v>
      </c>
      <c r="D261" s="6" t="s">
        <v>407</v>
      </c>
      <c r="E261" s="6" t="s">
        <v>10838</v>
      </c>
      <c r="F261" s="6" t="s">
        <v>10839</v>
      </c>
      <c r="G261" s="6" t="s">
        <v>10840</v>
      </c>
      <c r="H261" s="9" t="n">
        <v>452501</v>
      </c>
      <c r="I261" s="6" t="s">
        <v>384</v>
      </c>
      <c r="J261" s="6" t="s">
        <v>13</v>
      </c>
      <c r="K261" s="6" t="s">
        <v>134</v>
      </c>
      <c r="L261" s="6" t="s">
        <v>11339</v>
      </c>
      <c r="M261" s="6" t="s">
        <v>11340</v>
      </c>
      <c r="N261" s="6"/>
    </row>
    <row r="262" customFormat="false" ht="15" hidden="false" customHeight="false" outlineLevel="0" collapsed="false">
      <c r="A262" s="6" t="s">
        <v>11341</v>
      </c>
      <c r="B262" s="6" t="s">
        <v>220</v>
      </c>
      <c r="C262" s="7" t="n">
        <v>44926</v>
      </c>
      <c r="D262" s="6" t="s">
        <v>407</v>
      </c>
      <c r="E262" s="6" t="s">
        <v>10838</v>
      </c>
      <c r="F262" s="6" t="s">
        <v>2706</v>
      </c>
      <c r="G262" s="6" t="s">
        <v>10845</v>
      </c>
      <c r="H262" s="9" t="n">
        <v>10406</v>
      </c>
      <c r="I262" s="6" t="s">
        <v>384</v>
      </c>
      <c r="J262" s="6" t="s">
        <v>13</v>
      </c>
      <c r="K262" s="6" t="s">
        <v>134</v>
      </c>
      <c r="L262" s="6" t="s">
        <v>11342</v>
      </c>
      <c r="M262" s="6" t="s">
        <v>11340</v>
      </c>
      <c r="N262" s="6"/>
    </row>
    <row r="263" customFormat="false" ht="15" hidden="false" customHeight="false" outlineLevel="0" collapsed="false">
      <c r="A263" s="6" t="s">
        <v>11343</v>
      </c>
      <c r="B263" s="6" t="s">
        <v>220</v>
      </c>
      <c r="C263" s="7" t="n">
        <v>44926</v>
      </c>
      <c r="D263" s="6" t="s">
        <v>407</v>
      </c>
      <c r="E263" s="6" t="s">
        <v>10838</v>
      </c>
      <c r="F263" s="6" t="s">
        <v>10848</v>
      </c>
      <c r="G263" s="6" t="s">
        <v>10849</v>
      </c>
      <c r="H263" s="9" t="n">
        <v>462907</v>
      </c>
      <c r="I263" s="6" t="s">
        <v>384</v>
      </c>
      <c r="J263" s="6" t="s">
        <v>13</v>
      </c>
      <c r="K263" s="6" t="s">
        <v>134</v>
      </c>
      <c r="L263" s="6" t="s">
        <v>1776</v>
      </c>
      <c r="M263" s="6" t="s">
        <v>11340</v>
      </c>
      <c r="N263" s="6"/>
    </row>
    <row r="264" customFormat="false" ht="15" hidden="false" customHeight="false" outlineLevel="0" collapsed="false">
      <c r="A264" s="6" t="s">
        <v>11344</v>
      </c>
      <c r="B264" s="6" t="s">
        <v>220</v>
      </c>
      <c r="C264" s="7" t="n">
        <v>44926</v>
      </c>
      <c r="D264" s="6" t="s">
        <v>407</v>
      </c>
      <c r="E264" s="6" t="s">
        <v>10851</v>
      </c>
      <c r="F264" s="6" t="s">
        <v>10852</v>
      </c>
      <c r="G264" s="6" t="s">
        <v>10840</v>
      </c>
      <c r="H264" s="9" t="n">
        <v>127047</v>
      </c>
      <c r="I264" s="6" t="s">
        <v>384</v>
      </c>
      <c r="J264" s="6" t="s">
        <v>13</v>
      </c>
      <c r="K264" s="6" t="s">
        <v>134</v>
      </c>
      <c r="L264" s="6" t="s">
        <v>11345</v>
      </c>
      <c r="M264" s="6" t="s">
        <v>11346</v>
      </c>
      <c r="N264" s="6"/>
    </row>
    <row r="265" customFormat="false" ht="15" hidden="false" customHeight="false" outlineLevel="0" collapsed="false">
      <c r="A265" s="6" t="s">
        <v>11347</v>
      </c>
      <c r="B265" s="6" t="s">
        <v>220</v>
      </c>
      <c r="C265" s="7" t="n">
        <v>44926</v>
      </c>
      <c r="D265" s="6" t="s">
        <v>407</v>
      </c>
      <c r="E265" s="6" t="s">
        <v>10851</v>
      </c>
      <c r="F265" s="6" t="s">
        <v>2706</v>
      </c>
      <c r="G265" s="6" t="s">
        <v>10845</v>
      </c>
      <c r="H265" s="9" t="n">
        <v>-32957</v>
      </c>
      <c r="I265" s="6" t="s">
        <v>384</v>
      </c>
      <c r="J265" s="6" t="s">
        <v>13</v>
      </c>
      <c r="K265" s="6" t="s">
        <v>134</v>
      </c>
      <c r="L265" s="6" t="s">
        <v>11348</v>
      </c>
      <c r="M265" s="6" t="s">
        <v>11346</v>
      </c>
      <c r="N265" s="6"/>
    </row>
    <row r="266" customFormat="false" ht="15" hidden="false" customHeight="false" outlineLevel="0" collapsed="false">
      <c r="A266" s="6" t="s">
        <v>11349</v>
      </c>
      <c r="B266" s="6" t="s">
        <v>220</v>
      </c>
      <c r="C266" s="7" t="n">
        <v>44926</v>
      </c>
      <c r="D266" s="6" t="s">
        <v>407</v>
      </c>
      <c r="E266" s="6" t="s">
        <v>10851</v>
      </c>
      <c r="F266" s="6" t="s">
        <v>10858</v>
      </c>
      <c r="G266" s="6" t="s">
        <v>10849</v>
      </c>
      <c r="H266" s="9" t="n">
        <v>94090</v>
      </c>
      <c r="I266" s="6" t="s">
        <v>384</v>
      </c>
      <c r="J266" s="6" t="s">
        <v>13</v>
      </c>
      <c r="K266" s="6" t="s">
        <v>134</v>
      </c>
      <c r="L266" s="6" t="s">
        <v>1969</v>
      </c>
      <c r="M266" s="6" t="s">
        <v>11346</v>
      </c>
      <c r="N266" s="6"/>
    </row>
    <row r="267" customFormat="false" ht="15" hidden="false" customHeight="false" outlineLevel="0" collapsed="false">
      <c r="A267" s="6" t="s">
        <v>11350</v>
      </c>
      <c r="B267" s="6" t="s">
        <v>220</v>
      </c>
      <c r="C267" s="7" t="n">
        <v>44926</v>
      </c>
      <c r="D267" s="6" t="s">
        <v>407</v>
      </c>
      <c r="E267" s="6" t="s">
        <v>10851</v>
      </c>
      <c r="F267" s="6" t="s">
        <v>10860</v>
      </c>
      <c r="G267" s="6" t="s">
        <v>10840</v>
      </c>
      <c r="H267" s="9" t="n">
        <v>392068</v>
      </c>
      <c r="I267" s="6" t="s">
        <v>384</v>
      </c>
      <c r="J267" s="6" t="s">
        <v>13</v>
      </c>
      <c r="K267" s="6" t="s">
        <v>134</v>
      </c>
      <c r="L267" s="6" t="s">
        <v>11351</v>
      </c>
      <c r="M267" s="6" t="s">
        <v>11352</v>
      </c>
      <c r="N267" s="6"/>
    </row>
    <row r="268" customFormat="false" ht="15" hidden="false" customHeight="false" outlineLevel="0" collapsed="false">
      <c r="A268" s="6" t="s">
        <v>11353</v>
      </c>
      <c r="B268" s="6" t="s">
        <v>220</v>
      </c>
      <c r="C268" s="7" t="n">
        <v>44926</v>
      </c>
      <c r="D268" s="6" t="s">
        <v>407</v>
      </c>
      <c r="E268" s="6" t="s">
        <v>10851</v>
      </c>
      <c r="F268" s="6" t="s">
        <v>2706</v>
      </c>
      <c r="G268" s="6" t="s">
        <v>10845</v>
      </c>
      <c r="H268" s="9" t="n">
        <v>-33457</v>
      </c>
      <c r="I268" s="6" t="s">
        <v>384</v>
      </c>
      <c r="J268" s="6" t="s">
        <v>13</v>
      </c>
      <c r="K268" s="6" t="s">
        <v>134</v>
      </c>
      <c r="L268" s="6" t="s">
        <v>11348</v>
      </c>
      <c r="M268" s="6" t="s">
        <v>11352</v>
      </c>
      <c r="N268" s="6"/>
    </row>
    <row r="269" customFormat="false" ht="15" hidden="false" customHeight="false" outlineLevel="0" collapsed="false">
      <c r="A269" s="6" t="s">
        <v>11354</v>
      </c>
      <c r="B269" s="6" t="s">
        <v>220</v>
      </c>
      <c r="C269" s="7" t="n">
        <v>44926</v>
      </c>
      <c r="D269" s="6" t="s">
        <v>407</v>
      </c>
      <c r="E269" s="6" t="s">
        <v>10851</v>
      </c>
      <c r="F269" s="6" t="s">
        <v>10865</v>
      </c>
      <c r="G269" s="6" t="s">
        <v>10849</v>
      </c>
      <c r="H269" s="9" t="n">
        <v>358611</v>
      </c>
      <c r="I269" s="6" t="s">
        <v>384</v>
      </c>
      <c r="J269" s="6" t="s">
        <v>13</v>
      </c>
      <c r="K269" s="6" t="s">
        <v>134</v>
      </c>
      <c r="L269" s="6" t="s">
        <v>2084</v>
      </c>
      <c r="M269" s="6" t="s">
        <v>11352</v>
      </c>
      <c r="N269" s="6"/>
    </row>
    <row r="270" customFormat="false" ht="15" hidden="false" customHeight="false" outlineLevel="0" collapsed="false">
      <c r="A270" s="6" t="s">
        <v>11355</v>
      </c>
      <c r="B270" s="6" t="s">
        <v>220</v>
      </c>
      <c r="C270" s="7" t="n">
        <v>44926</v>
      </c>
      <c r="D270" s="6" t="s">
        <v>407</v>
      </c>
      <c r="E270" s="6" t="s">
        <v>10851</v>
      </c>
      <c r="F270" s="6" t="s">
        <v>10867</v>
      </c>
      <c r="G270" s="6" t="s">
        <v>10840</v>
      </c>
      <c r="H270" s="9" t="n">
        <v>85401</v>
      </c>
      <c r="I270" s="6" t="s">
        <v>384</v>
      </c>
      <c r="J270" s="6" t="s">
        <v>13</v>
      </c>
      <c r="K270" s="6" t="s">
        <v>134</v>
      </c>
      <c r="L270" s="6" t="s">
        <v>11356</v>
      </c>
      <c r="M270" s="6" t="s">
        <v>11357</v>
      </c>
      <c r="N270" s="6"/>
    </row>
    <row r="271" customFormat="false" ht="15" hidden="false" customHeight="false" outlineLevel="0" collapsed="false">
      <c r="A271" s="6" t="s">
        <v>11358</v>
      </c>
      <c r="B271" s="6" t="s">
        <v>220</v>
      </c>
      <c r="C271" s="7" t="n">
        <v>44926</v>
      </c>
      <c r="D271" s="6" t="s">
        <v>407</v>
      </c>
      <c r="E271" s="6" t="s">
        <v>10851</v>
      </c>
      <c r="F271" s="6" t="s">
        <v>2706</v>
      </c>
      <c r="G271" s="6" t="s">
        <v>10845</v>
      </c>
      <c r="H271" s="9" t="n">
        <v>-28100</v>
      </c>
      <c r="I271" s="6" t="s">
        <v>384</v>
      </c>
      <c r="J271" s="6" t="s">
        <v>13</v>
      </c>
      <c r="K271" s="6" t="s">
        <v>134</v>
      </c>
      <c r="L271" s="6" t="s">
        <v>11348</v>
      </c>
      <c r="M271" s="6" t="s">
        <v>11357</v>
      </c>
      <c r="N271" s="6"/>
    </row>
    <row r="272" customFormat="false" ht="15" hidden="false" customHeight="false" outlineLevel="0" collapsed="false">
      <c r="A272" s="6" t="s">
        <v>11359</v>
      </c>
      <c r="B272" s="6" t="s">
        <v>220</v>
      </c>
      <c r="C272" s="7" t="n">
        <v>44926</v>
      </c>
      <c r="D272" s="6" t="s">
        <v>407</v>
      </c>
      <c r="E272" s="6" t="s">
        <v>10851</v>
      </c>
      <c r="F272" s="6" t="s">
        <v>10872</v>
      </c>
      <c r="G272" s="6" t="s">
        <v>10849</v>
      </c>
      <c r="H272" s="9" t="n">
        <v>57301</v>
      </c>
      <c r="I272" s="6" t="s">
        <v>384</v>
      </c>
      <c r="J272" s="6" t="s">
        <v>13</v>
      </c>
      <c r="K272" s="6" t="s">
        <v>134</v>
      </c>
      <c r="L272" s="6" t="s">
        <v>2199</v>
      </c>
      <c r="M272" s="6" t="s">
        <v>11357</v>
      </c>
      <c r="N272" s="6"/>
    </row>
    <row r="273" customFormat="false" ht="15" hidden="false" customHeight="false" outlineLevel="0" collapsed="false">
      <c r="A273" s="6" t="s">
        <v>11360</v>
      </c>
      <c r="B273" s="6" t="s">
        <v>220</v>
      </c>
      <c r="C273" s="7" t="n">
        <v>44926</v>
      </c>
      <c r="D273" s="6" t="s">
        <v>407</v>
      </c>
      <c r="E273" s="6" t="s">
        <v>11306</v>
      </c>
      <c r="F273" s="6" t="s">
        <v>10165</v>
      </c>
      <c r="G273" s="6" t="s">
        <v>10840</v>
      </c>
      <c r="H273" s="9" t="n">
        <v>-152015</v>
      </c>
      <c r="I273" s="6" t="s">
        <v>384</v>
      </c>
      <c r="J273" s="6" t="s">
        <v>13</v>
      </c>
      <c r="K273" s="6" t="s">
        <v>134</v>
      </c>
      <c r="L273" s="6" t="s">
        <v>11361</v>
      </c>
      <c r="M273" s="6" t="s">
        <v>11362</v>
      </c>
      <c r="N273" s="6"/>
    </row>
    <row r="274" customFormat="false" ht="15" hidden="false" customHeight="false" outlineLevel="0" collapsed="false">
      <c r="A274" s="6" t="s">
        <v>11363</v>
      </c>
      <c r="B274" s="6" t="s">
        <v>220</v>
      </c>
      <c r="C274" s="7" t="n">
        <v>44926</v>
      </c>
      <c r="D274" s="6" t="s">
        <v>407</v>
      </c>
      <c r="E274" s="6" t="s">
        <v>11306</v>
      </c>
      <c r="F274" s="6" t="s">
        <v>2706</v>
      </c>
      <c r="G274" s="6" t="s">
        <v>10845</v>
      </c>
      <c r="H274" s="9" t="n">
        <v>104920</v>
      </c>
      <c r="I274" s="6" t="s">
        <v>384</v>
      </c>
      <c r="J274" s="6" t="s">
        <v>13</v>
      </c>
      <c r="K274" s="6" t="s">
        <v>134</v>
      </c>
      <c r="L274" s="6" t="s">
        <v>2748</v>
      </c>
      <c r="M274" s="6" t="s">
        <v>11362</v>
      </c>
      <c r="N274" s="6"/>
    </row>
    <row r="275" customFormat="false" ht="15" hidden="false" customHeight="false" outlineLevel="0" collapsed="false">
      <c r="A275" s="6" t="s">
        <v>11364</v>
      </c>
      <c r="B275" s="6" t="s">
        <v>220</v>
      </c>
      <c r="C275" s="7" t="n">
        <v>44926</v>
      </c>
      <c r="D275" s="6" t="s">
        <v>407</v>
      </c>
      <c r="E275" s="6" t="s">
        <v>11306</v>
      </c>
      <c r="F275" s="6" t="s">
        <v>4717</v>
      </c>
      <c r="G275" s="6" t="s">
        <v>10849</v>
      </c>
      <c r="H275" s="9" t="n">
        <v>-47095</v>
      </c>
      <c r="I275" s="6" t="s">
        <v>384</v>
      </c>
      <c r="J275" s="6" t="s">
        <v>13</v>
      </c>
      <c r="K275" s="6" t="s">
        <v>134</v>
      </c>
      <c r="L275" s="6" t="s">
        <v>2314</v>
      </c>
      <c r="M275" s="6" t="s">
        <v>11362</v>
      </c>
      <c r="N275" s="6"/>
    </row>
    <row r="276" customFormat="false" ht="15" hidden="false" customHeight="false" outlineLevel="0" collapsed="false">
      <c r="A276" s="6" t="s">
        <v>11365</v>
      </c>
      <c r="B276" s="6" t="s">
        <v>220</v>
      </c>
      <c r="C276" s="7" t="n">
        <v>44926</v>
      </c>
      <c r="D276" s="6" t="s">
        <v>407</v>
      </c>
      <c r="E276" s="6" t="s">
        <v>11256</v>
      </c>
      <c r="F276" s="6" t="s">
        <v>10880</v>
      </c>
      <c r="G276" s="6" t="s">
        <v>10840</v>
      </c>
      <c r="H276" s="9" t="n">
        <v>-136867</v>
      </c>
      <c r="I276" s="6" t="s">
        <v>384</v>
      </c>
      <c r="J276" s="6" t="s">
        <v>13</v>
      </c>
      <c r="K276" s="6" t="s">
        <v>134</v>
      </c>
      <c r="L276" s="6" t="s">
        <v>11366</v>
      </c>
      <c r="M276" s="6" t="s">
        <v>11367</v>
      </c>
      <c r="N276" s="6"/>
    </row>
    <row r="277" customFormat="false" ht="15" hidden="false" customHeight="false" outlineLevel="0" collapsed="false">
      <c r="A277" s="6" t="s">
        <v>11368</v>
      </c>
      <c r="B277" s="6" t="s">
        <v>220</v>
      </c>
      <c r="C277" s="7" t="n">
        <v>44926</v>
      </c>
      <c r="D277" s="6" t="s">
        <v>407</v>
      </c>
      <c r="E277" s="6" t="s">
        <v>11256</v>
      </c>
      <c r="F277" s="6" t="s">
        <v>2706</v>
      </c>
      <c r="G277" s="6" t="s">
        <v>10845</v>
      </c>
      <c r="H277" s="9" t="n">
        <v>104920</v>
      </c>
      <c r="I277" s="6" t="s">
        <v>384</v>
      </c>
      <c r="J277" s="6" t="s">
        <v>13</v>
      </c>
      <c r="K277" s="6" t="s">
        <v>134</v>
      </c>
      <c r="L277" s="6" t="s">
        <v>11369</v>
      </c>
      <c r="M277" s="6" t="s">
        <v>11367</v>
      </c>
      <c r="N277" s="6"/>
    </row>
    <row r="278" customFormat="false" ht="15" hidden="false" customHeight="false" outlineLevel="0" collapsed="false">
      <c r="A278" s="6" t="s">
        <v>11370</v>
      </c>
      <c r="B278" s="6" t="s">
        <v>220</v>
      </c>
      <c r="C278" s="7" t="n">
        <v>44926</v>
      </c>
      <c r="D278" s="6" t="s">
        <v>407</v>
      </c>
      <c r="E278" s="6" t="s">
        <v>11256</v>
      </c>
      <c r="F278" s="6" t="s">
        <v>10885</v>
      </c>
      <c r="G278" s="6" t="s">
        <v>10845</v>
      </c>
      <c r="H278" s="9" t="n">
        <v>-1431</v>
      </c>
      <c r="I278" s="6" t="s">
        <v>384</v>
      </c>
      <c r="J278" s="6" t="s">
        <v>13</v>
      </c>
      <c r="K278" s="6" t="s">
        <v>134</v>
      </c>
      <c r="L278" s="6" t="s">
        <v>11371</v>
      </c>
      <c r="M278" s="6" t="s">
        <v>11367</v>
      </c>
      <c r="N278" s="6"/>
    </row>
    <row r="279" customFormat="false" ht="15" hidden="false" customHeight="false" outlineLevel="0" collapsed="false">
      <c r="A279" s="6" t="s">
        <v>11372</v>
      </c>
      <c r="B279" s="6" t="s">
        <v>220</v>
      </c>
      <c r="C279" s="7" t="n">
        <v>44926</v>
      </c>
      <c r="D279" s="6" t="s">
        <v>407</v>
      </c>
      <c r="E279" s="6" t="s">
        <v>11256</v>
      </c>
      <c r="F279" s="6" t="s">
        <v>11264</v>
      </c>
      <c r="G279" s="6" t="s">
        <v>10849</v>
      </c>
      <c r="H279" s="9" t="n">
        <v>-33378</v>
      </c>
      <c r="I279" s="6" t="s">
        <v>384</v>
      </c>
      <c r="J279" s="6" t="s">
        <v>13</v>
      </c>
      <c r="K279" s="6" t="s">
        <v>134</v>
      </c>
      <c r="L279" s="6" t="s">
        <v>2522</v>
      </c>
      <c r="M279" s="6" t="s">
        <v>11367</v>
      </c>
      <c r="N279" s="6"/>
    </row>
    <row r="280" customFormat="false" ht="15" hidden="false" customHeight="false" outlineLevel="0" collapsed="false">
      <c r="A280" s="6" t="s">
        <v>11373</v>
      </c>
      <c r="B280" s="6" t="s">
        <v>220</v>
      </c>
      <c r="C280" s="7" t="n">
        <v>44926</v>
      </c>
      <c r="D280" s="6" t="s">
        <v>407</v>
      </c>
      <c r="E280" s="6" t="s">
        <v>11320</v>
      </c>
      <c r="F280" s="6" t="s">
        <v>10891</v>
      </c>
      <c r="G280" s="6" t="s">
        <v>10840</v>
      </c>
      <c r="H280" s="9" t="n">
        <v>-136867</v>
      </c>
      <c r="I280" s="6" t="s">
        <v>384</v>
      </c>
      <c r="J280" s="6" t="s">
        <v>13</v>
      </c>
      <c r="K280" s="6" t="s">
        <v>134</v>
      </c>
      <c r="L280" s="6" t="s">
        <v>11374</v>
      </c>
      <c r="M280" s="6" t="s">
        <v>11375</v>
      </c>
      <c r="N280" s="6"/>
    </row>
    <row r="281" customFormat="false" ht="15" hidden="false" customHeight="false" outlineLevel="0" collapsed="false">
      <c r="A281" s="6" t="s">
        <v>11376</v>
      </c>
      <c r="B281" s="6" t="s">
        <v>220</v>
      </c>
      <c r="C281" s="7" t="n">
        <v>44926</v>
      </c>
      <c r="D281" s="6" t="s">
        <v>407</v>
      </c>
      <c r="E281" s="6" t="s">
        <v>11320</v>
      </c>
      <c r="F281" s="6" t="s">
        <v>10895</v>
      </c>
      <c r="G281" s="6" t="s">
        <v>10845</v>
      </c>
      <c r="H281" s="9" t="n">
        <v>0</v>
      </c>
      <c r="I281" s="6" t="s">
        <v>384</v>
      </c>
      <c r="J281" s="6" t="s">
        <v>13</v>
      </c>
      <c r="K281" s="6" t="s">
        <v>134</v>
      </c>
      <c r="L281" s="6" t="s">
        <v>11377</v>
      </c>
      <c r="M281" s="6" t="s">
        <v>11375</v>
      </c>
      <c r="N281" s="6"/>
    </row>
    <row r="282" customFormat="false" ht="15" hidden="false" customHeight="false" outlineLevel="0" collapsed="false">
      <c r="A282" s="6" t="s">
        <v>11378</v>
      </c>
      <c r="B282" s="6" t="s">
        <v>220</v>
      </c>
      <c r="C282" s="7" t="n">
        <v>44926</v>
      </c>
      <c r="D282" s="6" t="s">
        <v>407</v>
      </c>
      <c r="E282" s="6" t="s">
        <v>11320</v>
      </c>
      <c r="F282" s="6" t="s">
        <v>2706</v>
      </c>
      <c r="G282" s="6" t="s">
        <v>10845</v>
      </c>
      <c r="H282" s="9" t="n">
        <v>104920</v>
      </c>
      <c r="I282" s="6" t="s">
        <v>384</v>
      </c>
      <c r="J282" s="6" t="s">
        <v>13</v>
      </c>
      <c r="K282" s="6" t="s">
        <v>134</v>
      </c>
      <c r="L282" s="6" t="s">
        <v>11379</v>
      </c>
      <c r="M282" s="6" t="s">
        <v>11375</v>
      </c>
      <c r="N282" s="6"/>
    </row>
    <row r="283" customFormat="false" ht="15" hidden="false" customHeight="false" outlineLevel="0" collapsed="false">
      <c r="A283" s="6" t="s">
        <v>11380</v>
      </c>
      <c r="B283" s="6" t="s">
        <v>220</v>
      </c>
      <c r="C283" s="7" t="n">
        <v>44926</v>
      </c>
      <c r="D283" s="6" t="s">
        <v>407</v>
      </c>
      <c r="E283" s="6" t="s">
        <v>11320</v>
      </c>
      <c r="F283" s="6" t="s">
        <v>10885</v>
      </c>
      <c r="G283" s="6" t="s">
        <v>10845</v>
      </c>
      <c r="H283" s="9" t="n">
        <v>-1431</v>
      </c>
      <c r="I283" s="6" t="s">
        <v>384</v>
      </c>
      <c r="J283" s="6" t="s">
        <v>13</v>
      </c>
      <c r="K283" s="6" t="s">
        <v>134</v>
      </c>
      <c r="L283" s="6" t="s">
        <v>11381</v>
      </c>
      <c r="M283" s="6" t="s">
        <v>11375</v>
      </c>
      <c r="N283" s="6"/>
    </row>
    <row r="284" customFormat="false" ht="15" hidden="false" customHeight="false" outlineLevel="0" collapsed="false">
      <c r="A284" s="6" t="s">
        <v>11382</v>
      </c>
      <c r="B284" s="6" t="s">
        <v>220</v>
      </c>
      <c r="C284" s="7" t="n">
        <v>44926</v>
      </c>
      <c r="D284" s="6" t="s">
        <v>407</v>
      </c>
      <c r="E284" s="6" t="s">
        <v>11320</v>
      </c>
      <c r="F284" s="6" t="s">
        <v>11264</v>
      </c>
      <c r="G284" s="6" t="s">
        <v>10849</v>
      </c>
      <c r="H284" s="9" t="n">
        <v>-33378</v>
      </c>
      <c r="I284" s="6" t="s">
        <v>384</v>
      </c>
      <c r="J284" s="6" t="s">
        <v>13</v>
      </c>
      <c r="K284" s="6" t="s">
        <v>134</v>
      </c>
      <c r="L284" s="6" t="s">
        <v>11383</v>
      </c>
      <c r="M284" s="6" t="s">
        <v>11375</v>
      </c>
      <c r="N284" s="6"/>
    </row>
    <row r="285" customFormat="false" ht="15" hidden="false" customHeight="false" outlineLevel="0" collapsed="false">
      <c r="A285" s="6" t="s">
        <v>11384</v>
      </c>
      <c r="B285" s="6" t="s">
        <v>220</v>
      </c>
      <c r="C285" s="7" t="n">
        <v>44926</v>
      </c>
      <c r="D285" s="6" t="s">
        <v>407</v>
      </c>
      <c r="E285" s="6" t="s">
        <v>10904</v>
      </c>
      <c r="F285" s="6" t="s">
        <v>8429</v>
      </c>
      <c r="G285" s="6" t="s">
        <v>10840</v>
      </c>
      <c r="H285" s="9" t="n">
        <v>27138</v>
      </c>
      <c r="I285" s="6" t="s">
        <v>384</v>
      </c>
      <c r="J285" s="6" t="s">
        <v>13</v>
      </c>
      <c r="K285" s="6" t="s">
        <v>134</v>
      </c>
      <c r="L285" s="6" t="s">
        <v>11385</v>
      </c>
      <c r="M285" s="6" t="s">
        <v>11386</v>
      </c>
      <c r="N285" s="6"/>
    </row>
    <row r="286" customFormat="false" ht="15" hidden="false" customHeight="false" outlineLevel="0" collapsed="false">
      <c r="A286" s="6" t="s">
        <v>11387</v>
      </c>
      <c r="B286" s="6" t="s">
        <v>220</v>
      </c>
      <c r="C286" s="7" t="n">
        <v>44926</v>
      </c>
      <c r="D286" s="6" t="s">
        <v>407</v>
      </c>
      <c r="E286" s="6" t="s">
        <v>10904</v>
      </c>
      <c r="F286" s="6" t="s">
        <v>8520</v>
      </c>
      <c r="G286" s="6" t="s">
        <v>10845</v>
      </c>
      <c r="H286" s="9" t="n">
        <v>-16003</v>
      </c>
      <c r="I286" s="6" t="s">
        <v>384</v>
      </c>
      <c r="J286" s="6" t="s">
        <v>13</v>
      </c>
      <c r="K286" s="6" t="s">
        <v>134</v>
      </c>
      <c r="L286" s="6" t="s">
        <v>3105</v>
      </c>
      <c r="M286" s="6" t="s">
        <v>11386</v>
      </c>
      <c r="N286" s="6"/>
    </row>
    <row r="287" customFormat="false" ht="15" hidden="false" customHeight="false" outlineLevel="0" collapsed="false">
      <c r="A287" s="6" t="s">
        <v>11388</v>
      </c>
      <c r="B287" s="6" t="s">
        <v>220</v>
      </c>
      <c r="C287" s="7" t="n">
        <v>44926</v>
      </c>
      <c r="D287" s="6" t="s">
        <v>407</v>
      </c>
      <c r="E287" s="6" t="s">
        <v>10904</v>
      </c>
      <c r="F287" s="6" t="s">
        <v>8081</v>
      </c>
      <c r="G287" s="6" t="s">
        <v>10845</v>
      </c>
      <c r="H287" s="9" t="n">
        <v>-2998</v>
      </c>
      <c r="I287" s="6" t="s">
        <v>384</v>
      </c>
      <c r="J287" s="6" t="s">
        <v>13</v>
      </c>
      <c r="K287" s="6" t="s">
        <v>134</v>
      </c>
      <c r="L287" s="6" t="s">
        <v>3219</v>
      </c>
      <c r="M287" s="6" t="s">
        <v>11386</v>
      </c>
      <c r="N287" s="6"/>
    </row>
    <row r="288" customFormat="false" ht="15" hidden="false" customHeight="false" outlineLevel="0" collapsed="false">
      <c r="A288" s="6" t="s">
        <v>11389</v>
      </c>
      <c r="B288" s="6" t="s">
        <v>220</v>
      </c>
      <c r="C288" s="7" t="n">
        <v>44926</v>
      </c>
      <c r="D288" s="6" t="s">
        <v>407</v>
      </c>
      <c r="E288" s="6" t="s">
        <v>10904</v>
      </c>
      <c r="F288" s="6" t="s">
        <v>10911</v>
      </c>
      <c r="G288" s="6" t="s">
        <v>10845</v>
      </c>
      <c r="H288" s="9" t="n">
        <v>0</v>
      </c>
      <c r="I288" s="6" t="s">
        <v>384</v>
      </c>
      <c r="J288" s="6" t="s">
        <v>13</v>
      </c>
      <c r="K288" s="6" t="s">
        <v>134</v>
      </c>
      <c r="L288" s="6" t="s">
        <v>3324</v>
      </c>
      <c r="M288" s="6" t="s">
        <v>11386</v>
      </c>
      <c r="N288" s="6"/>
    </row>
    <row r="289" customFormat="false" ht="15" hidden="false" customHeight="false" outlineLevel="0" collapsed="false">
      <c r="A289" s="6" t="s">
        <v>11390</v>
      </c>
      <c r="B289" s="6" t="s">
        <v>220</v>
      </c>
      <c r="C289" s="7" t="n">
        <v>44926</v>
      </c>
      <c r="D289" s="6" t="s">
        <v>407</v>
      </c>
      <c r="E289" s="6" t="s">
        <v>10904</v>
      </c>
      <c r="F289" s="6" t="s">
        <v>4887</v>
      </c>
      <c r="G289" s="6" t="s">
        <v>10849</v>
      </c>
      <c r="H289" s="9" t="n">
        <v>8137</v>
      </c>
      <c r="I289" s="6" t="s">
        <v>384</v>
      </c>
      <c r="J289" s="6" t="s">
        <v>13</v>
      </c>
      <c r="K289" s="6" t="s">
        <v>134</v>
      </c>
      <c r="L289" s="6" t="s">
        <v>3401</v>
      </c>
      <c r="M289" s="6" t="s">
        <v>11386</v>
      </c>
      <c r="N289" s="6"/>
    </row>
    <row r="290" customFormat="false" ht="15" hidden="false" customHeight="false" outlineLevel="0" collapsed="false">
      <c r="A290" s="6" t="s">
        <v>11391</v>
      </c>
      <c r="B290" s="6" t="s">
        <v>141</v>
      </c>
      <c r="C290" s="7" t="n">
        <v>45016</v>
      </c>
      <c r="D290" s="6" t="s">
        <v>380</v>
      </c>
      <c r="E290" s="6" t="s">
        <v>10838</v>
      </c>
      <c r="F290" s="6" t="s">
        <v>10839</v>
      </c>
      <c r="G290" s="6" t="s">
        <v>10840</v>
      </c>
      <c r="H290" s="9" t="n">
        <v>145242</v>
      </c>
      <c r="I290" s="6" t="s">
        <v>384</v>
      </c>
      <c r="J290" s="6" t="s">
        <v>13</v>
      </c>
      <c r="K290" s="6" t="s">
        <v>139</v>
      </c>
      <c r="L290" s="6" t="s">
        <v>11392</v>
      </c>
      <c r="M290" s="6" t="s">
        <v>11393</v>
      </c>
      <c r="N290" s="6"/>
    </row>
    <row r="291" customFormat="false" ht="15" hidden="false" customHeight="false" outlineLevel="0" collapsed="false">
      <c r="A291" s="6" t="s">
        <v>11394</v>
      </c>
      <c r="B291" s="6" t="s">
        <v>141</v>
      </c>
      <c r="C291" s="7" t="n">
        <v>45016</v>
      </c>
      <c r="D291" s="6" t="s">
        <v>380</v>
      </c>
      <c r="E291" s="6" t="s">
        <v>10838</v>
      </c>
      <c r="F291" s="6" t="s">
        <v>2706</v>
      </c>
      <c r="G291" s="6" t="s">
        <v>10845</v>
      </c>
      <c r="H291" s="9" t="n">
        <v>1477</v>
      </c>
      <c r="I291" s="6" t="s">
        <v>384</v>
      </c>
      <c r="J291" s="6" t="s">
        <v>13</v>
      </c>
      <c r="K291" s="6" t="s">
        <v>139</v>
      </c>
      <c r="L291" s="6" t="s">
        <v>11395</v>
      </c>
      <c r="M291" s="6" t="s">
        <v>11393</v>
      </c>
      <c r="N291" s="6"/>
    </row>
    <row r="292" customFormat="false" ht="15" hidden="false" customHeight="false" outlineLevel="0" collapsed="false">
      <c r="A292" s="6" t="s">
        <v>11396</v>
      </c>
      <c r="B292" s="6" t="s">
        <v>141</v>
      </c>
      <c r="C292" s="7" t="n">
        <v>45016</v>
      </c>
      <c r="D292" s="6" t="s">
        <v>380</v>
      </c>
      <c r="E292" s="6" t="s">
        <v>10838</v>
      </c>
      <c r="F292" s="6" t="s">
        <v>10848</v>
      </c>
      <c r="G292" s="6" t="s">
        <v>10849</v>
      </c>
      <c r="H292" s="9" t="n">
        <v>146719</v>
      </c>
      <c r="I292" s="6" t="s">
        <v>384</v>
      </c>
      <c r="J292" s="6" t="s">
        <v>13</v>
      </c>
      <c r="K292" s="6" t="s">
        <v>139</v>
      </c>
      <c r="L292" s="6" t="s">
        <v>1779</v>
      </c>
      <c r="M292" s="6" t="s">
        <v>11393</v>
      </c>
      <c r="N292" s="6"/>
    </row>
    <row r="293" customFormat="false" ht="15" hidden="false" customHeight="false" outlineLevel="0" collapsed="false">
      <c r="A293" s="6" t="s">
        <v>11397</v>
      </c>
      <c r="B293" s="6" t="s">
        <v>141</v>
      </c>
      <c r="C293" s="7" t="n">
        <v>45016</v>
      </c>
      <c r="D293" s="6" t="s">
        <v>380</v>
      </c>
      <c r="E293" s="6" t="s">
        <v>10851</v>
      </c>
      <c r="F293" s="6" t="s">
        <v>10852</v>
      </c>
      <c r="G293" s="6" t="s">
        <v>10840</v>
      </c>
      <c r="H293" s="9" t="n">
        <v>37063</v>
      </c>
      <c r="I293" s="6" t="s">
        <v>384</v>
      </c>
      <c r="J293" s="6" t="s">
        <v>13</v>
      </c>
      <c r="K293" s="6" t="s">
        <v>139</v>
      </c>
      <c r="L293" s="6" t="s">
        <v>11398</v>
      </c>
      <c r="M293" s="6" t="s">
        <v>11399</v>
      </c>
      <c r="N293" s="6"/>
    </row>
    <row r="294" customFormat="false" ht="15" hidden="false" customHeight="false" outlineLevel="0" collapsed="false">
      <c r="A294" s="6" t="s">
        <v>11400</v>
      </c>
      <c r="B294" s="6" t="s">
        <v>141</v>
      </c>
      <c r="C294" s="7" t="n">
        <v>45016</v>
      </c>
      <c r="D294" s="6" t="s">
        <v>380</v>
      </c>
      <c r="E294" s="6" t="s">
        <v>10851</v>
      </c>
      <c r="F294" s="6" t="s">
        <v>2706</v>
      </c>
      <c r="G294" s="6" t="s">
        <v>10845</v>
      </c>
      <c r="H294" s="9" t="n">
        <v>-8544</v>
      </c>
      <c r="I294" s="6" t="s">
        <v>384</v>
      </c>
      <c r="J294" s="6" t="s">
        <v>13</v>
      </c>
      <c r="K294" s="6" t="s">
        <v>139</v>
      </c>
      <c r="L294" s="6" t="s">
        <v>11401</v>
      </c>
      <c r="M294" s="6" t="s">
        <v>11399</v>
      </c>
      <c r="N294" s="6"/>
    </row>
    <row r="295" customFormat="false" ht="15" hidden="false" customHeight="false" outlineLevel="0" collapsed="false">
      <c r="A295" s="6" t="s">
        <v>11402</v>
      </c>
      <c r="B295" s="6" t="s">
        <v>141</v>
      </c>
      <c r="C295" s="7" t="n">
        <v>45016</v>
      </c>
      <c r="D295" s="6" t="s">
        <v>380</v>
      </c>
      <c r="E295" s="6" t="s">
        <v>10851</v>
      </c>
      <c r="F295" s="6" t="s">
        <v>10858</v>
      </c>
      <c r="G295" s="6" t="s">
        <v>10849</v>
      </c>
      <c r="H295" s="9" t="n">
        <v>28519</v>
      </c>
      <c r="I295" s="6" t="s">
        <v>384</v>
      </c>
      <c r="J295" s="6" t="s">
        <v>13</v>
      </c>
      <c r="K295" s="6" t="s">
        <v>139</v>
      </c>
      <c r="L295" s="6" t="s">
        <v>1972</v>
      </c>
      <c r="M295" s="6" t="s">
        <v>11399</v>
      </c>
      <c r="N295" s="6"/>
    </row>
    <row r="296" customFormat="false" ht="15" hidden="false" customHeight="false" outlineLevel="0" collapsed="false">
      <c r="A296" s="6" t="s">
        <v>11403</v>
      </c>
      <c r="B296" s="6" t="s">
        <v>141</v>
      </c>
      <c r="C296" s="7" t="n">
        <v>45016</v>
      </c>
      <c r="D296" s="6" t="s">
        <v>380</v>
      </c>
      <c r="E296" s="6" t="s">
        <v>10851</v>
      </c>
      <c r="F296" s="6" t="s">
        <v>10860</v>
      </c>
      <c r="G296" s="6" t="s">
        <v>10840</v>
      </c>
      <c r="H296" s="9" t="n">
        <v>107680</v>
      </c>
      <c r="I296" s="6" t="s">
        <v>384</v>
      </c>
      <c r="J296" s="6" t="s">
        <v>13</v>
      </c>
      <c r="K296" s="6" t="s">
        <v>139</v>
      </c>
      <c r="L296" s="6" t="s">
        <v>11404</v>
      </c>
      <c r="M296" s="6" t="s">
        <v>11405</v>
      </c>
      <c r="N296" s="6"/>
    </row>
    <row r="297" customFormat="false" ht="15" hidden="false" customHeight="false" outlineLevel="0" collapsed="false">
      <c r="A297" s="6" t="s">
        <v>11406</v>
      </c>
      <c r="B297" s="6" t="s">
        <v>141</v>
      </c>
      <c r="C297" s="7" t="n">
        <v>45016</v>
      </c>
      <c r="D297" s="6" t="s">
        <v>380</v>
      </c>
      <c r="E297" s="6" t="s">
        <v>10851</v>
      </c>
      <c r="F297" s="6" t="s">
        <v>2706</v>
      </c>
      <c r="G297" s="6" t="s">
        <v>10845</v>
      </c>
      <c r="H297" s="9" t="n">
        <v>-5028</v>
      </c>
      <c r="I297" s="6" t="s">
        <v>384</v>
      </c>
      <c r="J297" s="6" t="s">
        <v>13</v>
      </c>
      <c r="K297" s="6" t="s">
        <v>139</v>
      </c>
      <c r="L297" s="6" t="s">
        <v>11401</v>
      </c>
      <c r="M297" s="6" t="s">
        <v>11405</v>
      </c>
      <c r="N297" s="6"/>
    </row>
    <row r="298" customFormat="false" ht="15" hidden="false" customHeight="false" outlineLevel="0" collapsed="false">
      <c r="A298" s="6" t="s">
        <v>11407</v>
      </c>
      <c r="B298" s="6" t="s">
        <v>141</v>
      </c>
      <c r="C298" s="7" t="n">
        <v>45016</v>
      </c>
      <c r="D298" s="6" t="s">
        <v>380</v>
      </c>
      <c r="E298" s="6" t="s">
        <v>10851</v>
      </c>
      <c r="F298" s="6" t="s">
        <v>10865</v>
      </c>
      <c r="G298" s="6" t="s">
        <v>10849</v>
      </c>
      <c r="H298" s="9" t="n">
        <v>102652</v>
      </c>
      <c r="I298" s="6" t="s">
        <v>384</v>
      </c>
      <c r="J298" s="6" t="s">
        <v>13</v>
      </c>
      <c r="K298" s="6" t="s">
        <v>139</v>
      </c>
      <c r="L298" s="6" t="s">
        <v>2087</v>
      </c>
      <c r="M298" s="6" t="s">
        <v>11405</v>
      </c>
      <c r="N298" s="6"/>
    </row>
    <row r="299" customFormat="false" ht="15" hidden="false" customHeight="false" outlineLevel="0" collapsed="false">
      <c r="A299" s="6" t="s">
        <v>11408</v>
      </c>
      <c r="B299" s="6" t="s">
        <v>141</v>
      </c>
      <c r="C299" s="7" t="n">
        <v>45016</v>
      </c>
      <c r="D299" s="6" t="s">
        <v>380</v>
      </c>
      <c r="E299" s="6" t="s">
        <v>10851</v>
      </c>
      <c r="F299" s="6" t="s">
        <v>10867</v>
      </c>
      <c r="G299" s="6" t="s">
        <v>10840</v>
      </c>
      <c r="H299" s="9" t="n">
        <v>23251</v>
      </c>
      <c r="I299" s="6" t="s">
        <v>384</v>
      </c>
      <c r="J299" s="6" t="s">
        <v>13</v>
      </c>
      <c r="K299" s="6" t="s">
        <v>139</v>
      </c>
      <c r="L299" s="6" t="s">
        <v>11409</v>
      </c>
      <c r="M299" s="6" t="s">
        <v>11410</v>
      </c>
      <c r="N299" s="6"/>
    </row>
    <row r="300" customFormat="false" ht="15" hidden="false" customHeight="false" outlineLevel="0" collapsed="false">
      <c r="A300" s="6" t="s">
        <v>11411</v>
      </c>
      <c r="B300" s="6" t="s">
        <v>141</v>
      </c>
      <c r="C300" s="7" t="n">
        <v>45016</v>
      </c>
      <c r="D300" s="6" t="s">
        <v>380</v>
      </c>
      <c r="E300" s="6" t="s">
        <v>10851</v>
      </c>
      <c r="F300" s="6" t="s">
        <v>2706</v>
      </c>
      <c r="G300" s="6" t="s">
        <v>10845</v>
      </c>
      <c r="H300" s="9" t="n">
        <v>-7410</v>
      </c>
      <c r="I300" s="6" t="s">
        <v>384</v>
      </c>
      <c r="J300" s="6" t="s">
        <v>13</v>
      </c>
      <c r="K300" s="6" t="s">
        <v>139</v>
      </c>
      <c r="L300" s="6" t="s">
        <v>11401</v>
      </c>
      <c r="M300" s="6" t="s">
        <v>11410</v>
      </c>
      <c r="N300" s="6"/>
    </row>
    <row r="301" customFormat="false" ht="15" hidden="false" customHeight="false" outlineLevel="0" collapsed="false">
      <c r="A301" s="6" t="s">
        <v>11412</v>
      </c>
      <c r="B301" s="6" t="s">
        <v>141</v>
      </c>
      <c r="C301" s="7" t="n">
        <v>45016</v>
      </c>
      <c r="D301" s="6" t="s">
        <v>380</v>
      </c>
      <c r="E301" s="6" t="s">
        <v>10851</v>
      </c>
      <c r="F301" s="6" t="s">
        <v>10872</v>
      </c>
      <c r="G301" s="6" t="s">
        <v>10849</v>
      </c>
      <c r="H301" s="9" t="n">
        <v>15841</v>
      </c>
      <c r="I301" s="6" t="s">
        <v>384</v>
      </c>
      <c r="J301" s="6" t="s">
        <v>13</v>
      </c>
      <c r="K301" s="6" t="s">
        <v>139</v>
      </c>
      <c r="L301" s="6" t="s">
        <v>2202</v>
      </c>
      <c r="M301" s="6" t="s">
        <v>11410</v>
      </c>
      <c r="N301" s="6"/>
    </row>
    <row r="302" customFormat="false" ht="15" hidden="false" customHeight="false" outlineLevel="0" collapsed="false">
      <c r="A302" s="6" t="s">
        <v>11413</v>
      </c>
      <c r="B302" s="6" t="s">
        <v>141</v>
      </c>
      <c r="C302" s="7" t="n">
        <v>45016</v>
      </c>
      <c r="D302" s="6" t="s">
        <v>380</v>
      </c>
      <c r="E302" s="6" t="s">
        <v>10874</v>
      </c>
      <c r="F302" s="6" t="s">
        <v>10165</v>
      </c>
      <c r="G302" s="6" t="s">
        <v>10840</v>
      </c>
      <c r="H302" s="9" t="n">
        <v>-22752</v>
      </c>
      <c r="I302" s="6" t="s">
        <v>384</v>
      </c>
      <c r="J302" s="6" t="s">
        <v>13</v>
      </c>
      <c r="K302" s="6" t="s">
        <v>139</v>
      </c>
      <c r="L302" s="6" t="s">
        <v>11414</v>
      </c>
      <c r="M302" s="6" t="s">
        <v>11415</v>
      </c>
      <c r="N302" s="6"/>
    </row>
    <row r="303" customFormat="false" ht="15" hidden="false" customHeight="false" outlineLevel="0" collapsed="false">
      <c r="A303" s="6" t="s">
        <v>11416</v>
      </c>
      <c r="B303" s="6" t="s">
        <v>141</v>
      </c>
      <c r="C303" s="7" t="n">
        <v>45016</v>
      </c>
      <c r="D303" s="6" t="s">
        <v>380</v>
      </c>
      <c r="E303" s="6" t="s">
        <v>10874</v>
      </c>
      <c r="F303" s="6" t="s">
        <v>2706</v>
      </c>
      <c r="G303" s="6" t="s">
        <v>10845</v>
      </c>
      <c r="H303" s="9" t="n">
        <v>22459</v>
      </c>
      <c r="I303" s="6" t="s">
        <v>384</v>
      </c>
      <c r="J303" s="6" t="s">
        <v>13</v>
      </c>
      <c r="K303" s="6" t="s">
        <v>139</v>
      </c>
      <c r="L303" s="6" t="s">
        <v>2751</v>
      </c>
      <c r="M303" s="6" t="s">
        <v>11415</v>
      </c>
      <c r="N303" s="6"/>
    </row>
    <row r="304" customFormat="false" ht="15" hidden="false" customHeight="false" outlineLevel="0" collapsed="false">
      <c r="A304" s="6" t="s">
        <v>11417</v>
      </c>
      <c r="B304" s="6" t="s">
        <v>141</v>
      </c>
      <c r="C304" s="7" t="n">
        <v>45016</v>
      </c>
      <c r="D304" s="6" t="s">
        <v>380</v>
      </c>
      <c r="E304" s="6" t="s">
        <v>10874</v>
      </c>
      <c r="F304" s="6" t="s">
        <v>10421</v>
      </c>
      <c r="G304" s="6" t="s">
        <v>10849</v>
      </c>
      <c r="H304" s="9" t="n">
        <v>-293</v>
      </c>
      <c r="I304" s="6" t="s">
        <v>384</v>
      </c>
      <c r="J304" s="6" t="s">
        <v>13</v>
      </c>
      <c r="K304" s="6" t="s">
        <v>139</v>
      </c>
      <c r="L304" s="6" t="s">
        <v>2317</v>
      </c>
      <c r="M304" s="6" t="s">
        <v>11415</v>
      </c>
      <c r="N304" s="6"/>
    </row>
    <row r="305" customFormat="false" ht="15" hidden="false" customHeight="false" outlineLevel="0" collapsed="false">
      <c r="A305" s="6" t="s">
        <v>11418</v>
      </c>
      <c r="B305" s="6" t="s">
        <v>141</v>
      </c>
      <c r="C305" s="7" t="n">
        <v>45016</v>
      </c>
      <c r="D305" s="6" t="s">
        <v>380</v>
      </c>
      <c r="E305" s="6" t="s">
        <v>11256</v>
      </c>
      <c r="F305" s="6" t="s">
        <v>10880</v>
      </c>
      <c r="G305" s="6" t="s">
        <v>10840</v>
      </c>
      <c r="H305" s="9" t="n">
        <v>-14667</v>
      </c>
      <c r="I305" s="6" t="s">
        <v>384</v>
      </c>
      <c r="J305" s="6" t="s">
        <v>13</v>
      </c>
      <c r="K305" s="6" t="s">
        <v>139</v>
      </c>
      <c r="L305" s="6" t="s">
        <v>11419</v>
      </c>
      <c r="M305" s="6" t="s">
        <v>11420</v>
      </c>
      <c r="N305" s="6"/>
    </row>
    <row r="306" customFormat="false" ht="15" hidden="false" customHeight="false" outlineLevel="0" collapsed="false">
      <c r="A306" s="6" t="s">
        <v>11421</v>
      </c>
      <c r="B306" s="6" t="s">
        <v>141</v>
      </c>
      <c r="C306" s="7" t="n">
        <v>45016</v>
      </c>
      <c r="D306" s="6" t="s">
        <v>380</v>
      </c>
      <c r="E306" s="6" t="s">
        <v>11256</v>
      </c>
      <c r="F306" s="6" t="s">
        <v>2706</v>
      </c>
      <c r="G306" s="6" t="s">
        <v>10845</v>
      </c>
      <c r="H306" s="9" t="n">
        <v>22459</v>
      </c>
      <c r="I306" s="6" t="s">
        <v>384</v>
      </c>
      <c r="J306" s="6" t="s">
        <v>13</v>
      </c>
      <c r="K306" s="6" t="s">
        <v>139</v>
      </c>
      <c r="L306" s="6" t="s">
        <v>11422</v>
      </c>
      <c r="M306" s="6" t="s">
        <v>11420</v>
      </c>
      <c r="N306" s="6"/>
    </row>
    <row r="307" customFormat="false" ht="15" hidden="false" customHeight="false" outlineLevel="0" collapsed="false">
      <c r="A307" s="6" t="s">
        <v>11423</v>
      </c>
      <c r="B307" s="6" t="s">
        <v>141</v>
      </c>
      <c r="C307" s="7" t="n">
        <v>45016</v>
      </c>
      <c r="D307" s="6" t="s">
        <v>380</v>
      </c>
      <c r="E307" s="6" t="s">
        <v>11256</v>
      </c>
      <c r="F307" s="6" t="s">
        <v>10885</v>
      </c>
      <c r="G307" s="6" t="s">
        <v>10845</v>
      </c>
      <c r="H307" s="9" t="n">
        <v>-559</v>
      </c>
      <c r="I307" s="6" t="s">
        <v>384</v>
      </c>
      <c r="J307" s="6" t="s">
        <v>13</v>
      </c>
      <c r="K307" s="6" t="s">
        <v>139</v>
      </c>
      <c r="L307" s="6" t="s">
        <v>11424</v>
      </c>
      <c r="M307" s="6" t="s">
        <v>11420</v>
      </c>
      <c r="N307" s="6"/>
    </row>
    <row r="308" customFormat="false" ht="15" hidden="false" customHeight="false" outlineLevel="0" collapsed="false">
      <c r="A308" s="6" t="s">
        <v>11425</v>
      </c>
      <c r="B308" s="6" t="s">
        <v>141</v>
      </c>
      <c r="C308" s="7" t="n">
        <v>45016</v>
      </c>
      <c r="D308" s="6" t="s">
        <v>380</v>
      </c>
      <c r="E308" s="6" t="s">
        <v>11256</v>
      </c>
      <c r="F308" s="6" t="s">
        <v>11264</v>
      </c>
      <c r="G308" s="6" t="s">
        <v>10849</v>
      </c>
      <c r="H308" s="9" t="n">
        <v>7233</v>
      </c>
      <c r="I308" s="6" t="s">
        <v>384</v>
      </c>
      <c r="J308" s="6" t="s">
        <v>13</v>
      </c>
      <c r="K308" s="6" t="s">
        <v>139</v>
      </c>
      <c r="L308" s="6" t="s">
        <v>2525</v>
      </c>
      <c r="M308" s="6" t="s">
        <v>11420</v>
      </c>
      <c r="N308" s="6"/>
    </row>
    <row r="309" customFormat="false" ht="15" hidden="false" customHeight="false" outlineLevel="0" collapsed="false">
      <c r="A309" s="6" t="s">
        <v>11426</v>
      </c>
      <c r="B309" s="6" t="s">
        <v>141</v>
      </c>
      <c r="C309" s="7" t="n">
        <v>45016</v>
      </c>
      <c r="D309" s="6" t="s">
        <v>380</v>
      </c>
      <c r="E309" s="6" t="s">
        <v>10904</v>
      </c>
      <c r="F309" s="6" t="s">
        <v>2949</v>
      </c>
      <c r="G309" s="6" t="s">
        <v>10840</v>
      </c>
      <c r="H309" s="9" t="n">
        <v>42728</v>
      </c>
      <c r="I309" s="6" t="s">
        <v>384</v>
      </c>
      <c r="J309" s="6" t="s">
        <v>13</v>
      </c>
      <c r="K309" s="6" t="s">
        <v>139</v>
      </c>
      <c r="L309" s="6" t="s">
        <v>11427</v>
      </c>
      <c r="M309" s="6" t="s">
        <v>11428</v>
      </c>
      <c r="N309" s="6"/>
    </row>
    <row r="310" customFormat="false" ht="15" hidden="false" customHeight="false" outlineLevel="0" collapsed="false">
      <c r="A310" s="6" t="s">
        <v>11429</v>
      </c>
      <c r="B310" s="6" t="s">
        <v>141</v>
      </c>
      <c r="C310" s="7" t="n">
        <v>45016</v>
      </c>
      <c r="D310" s="6" t="s">
        <v>380</v>
      </c>
      <c r="E310" s="6" t="s">
        <v>10904</v>
      </c>
      <c r="F310" s="6" t="s">
        <v>8520</v>
      </c>
      <c r="G310" s="6" t="s">
        <v>10845</v>
      </c>
      <c r="H310" s="9" t="n">
        <v>-3561</v>
      </c>
      <c r="I310" s="6" t="s">
        <v>384</v>
      </c>
      <c r="J310" s="6" t="s">
        <v>13</v>
      </c>
      <c r="K310" s="6" t="s">
        <v>139</v>
      </c>
      <c r="L310" s="6" t="s">
        <v>3108</v>
      </c>
      <c r="M310" s="6" t="s">
        <v>11428</v>
      </c>
      <c r="N310" s="6"/>
    </row>
    <row r="311" customFormat="false" ht="15" hidden="false" customHeight="false" outlineLevel="0" collapsed="false">
      <c r="A311" s="6" t="s">
        <v>11430</v>
      </c>
      <c r="B311" s="6" t="s">
        <v>141</v>
      </c>
      <c r="C311" s="7" t="n">
        <v>45016</v>
      </c>
      <c r="D311" s="6" t="s">
        <v>380</v>
      </c>
      <c r="E311" s="6" t="s">
        <v>10904</v>
      </c>
      <c r="F311" s="6" t="s">
        <v>8081</v>
      </c>
      <c r="G311" s="6" t="s">
        <v>10845</v>
      </c>
      <c r="H311" s="9" t="n">
        <v>-485</v>
      </c>
      <c r="I311" s="6" t="s">
        <v>384</v>
      </c>
      <c r="J311" s="6" t="s">
        <v>13</v>
      </c>
      <c r="K311" s="6" t="s">
        <v>139</v>
      </c>
      <c r="L311" s="6" t="s">
        <v>3222</v>
      </c>
      <c r="M311" s="6" t="s">
        <v>11428</v>
      </c>
      <c r="N311" s="6"/>
    </row>
    <row r="312" customFormat="false" ht="15" hidden="false" customHeight="false" outlineLevel="0" collapsed="false">
      <c r="A312" s="6" t="s">
        <v>11431</v>
      </c>
      <c r="B312" s="6" t="s">
        <v>141</v>
      </c>
      <c r="C312" s="7" t="n">
        <v>45016</v>
      </c>
      <c r="D312" s="6" t="s">
        <v>380</v>
      </c>
      <c r="E312" s="6" t="s">
        <v>10904</v>
      </c>
      <c r="F312" s="6" t="s">
        <v>4820</v>
      </c>
      <c r="G312" s="6" t="s">
        <v>10849</v>
      </c>
      <c r="H312" s="9" t="n">
        <v>38682</v>
      </c>
      <c r="I312" s="6" t="s">
        <v>384</v>
      </c>
      <c r="J312" s="6" t="s">
        <v>13</v>
      </c>
      <c r="K312" s="6" t="s">
        <v>139</v>
      </c>
      <c r="L312" s="6" t="s">
        <v>3404</v>
      </c>
      <c r="M312" s="6" t="s">
        <v>11428</v>
      </c>
      <c r="N312" s="6"/>
    </row>
    <row r="313" customFormat="false" ht="15" hidden="false" customHeight="false" outlineLevel="0" collapsed="false">
      <c r="A313" s="6" t="s">
        <v>11432</v>
      </c>
      <c r="B313" s="6" t="s">
        <v>146</v>
      </c>
      <c r="C313" s="7" t="n">
        <v>45107</v>
      </c>
      <c r="D313" s="6" t="s">
        <v>380</v>
      </c>
      <c r="E313" s="6" t="s">
        <v>10838</v>
      </c>
      <c r="F313" s="6" t="s">
        <v>10839</v>
      </c>
      <c r="G313" s="6" t="s">
        <v>10840</v>
      </c>
      <c r="H313" s="9" t="n">
        <v>156163</v>
      </c>
      <c r="I313" s="6" t="s">
        <v>384</v>
      </c>
      <c r="J313" s="6" t="s">
        <v>13</v>
      </c>
      <c r="K313" s="6" t="s">
        <v>144</v>
      </c>
      <c r="L313" s="6" t="s">
        <v>11433</v>
      </c>
      <c r="M313" s="6" t="s">
        <v>11434</v>
      </c>
      <c r="N313" s="6"/>
    </row>
    <row r="314" customFormat="false" ht="15" hidden="false" customHeight="false" outlineLevel="0" collapsed="false">
      <c r="A314" s="6" t="s">
        <v>11435</v>
      </c>
      <c r="B314" s="6" t="s">
        <v>146</v>
      </c>
      <c r="C314" s="7" t="n">
        <v>45107</v>
      </c>
      <c r="D314" s="6" t="s">
        <v>380</v>
      </c>
      <c r="E314" s="6" t="s">
        <v>10838</v>
      </c>
      <c r="F314" s="6" t="s">
        <v>2706</v>
      </c>
      <c r="G314" s="6" t="s">
        <v>10845</v>
      </c>
      <c r="H314" s="9" t="n">
        <v>1845</v>
      </c>
      <c r="I314" s="6" t="s">
        <v>384</v>
      </c>
      <c r="J314" s="6" t="s">
        <v>13</v>
      </c>
      <c r="K314" s="6" t="s">
        <v>144</v>
      </c>
      <c r="L314" s="6" t="s">
        <v>11436</v>
      </c>
      <c r="M314" s="6" t="s">
        <v>11434</v>
      </c>
      <c r="N314" s="6"/>
    </row>
    <row r="315" customFormat="false" ht="15" hidden="false" customHeight="false" outlineLevel="0" collapsed="false">
      <c r="A315" s="6" t="s">
        <v>11437</v>
      </c>
      <c r="B315" s="6" t="s">
        <v>146</v>
      </c>
      <c r="C315" s="7" t="n">
        <v>45107</v>
      </c>
      <c r="D315" s="6" t="s">
        <v>380</v>
      </c>
      <c r="E315" s="6" t="s">
        <v>10838</v>
      </c>
      <c r="F315" s="6" t="s">
        <v>10848</v>
      </c>
      <c r="G315" s="6" t="s">
        <v>10849</v>
      </c>
      <c r="H315" s="9" t="n">
        <v>158008</v>
      </c>
      <c r="I315" s="6" t="s">
        <v>384</v>
      </c>
      <c r="J315" s="6" t="s">
        <v>13</v>
      </c>
      <c r="K315" s="6" t="s">
        <v>144</v>
      </c>
      <c r="L315" s="6" t="s">
        <v>1782</v>
      </c>
      <c r="M315" s="6" t="s">
        <v>11434</v>
      </c>
      <c r="N315" s="6"/>
    </row>
    <row r="316" customFormat="false" ht="15" hidden="false" customHeight="false" outlineLevel="0" collapsed="false">
      <c r="A316" s="6" t="s">
        <v>11438</v>
      </c>
      <c r="B316" s="6" t="s">
        <v>146</v>
      </c>
      <c r="C316" s="7" t="n">
        <v>45107</v>
      </c>
      <c r="D316" s="6" t="s">
        <v>380</v>
      </c>
      <c r="E316" s="6" t="s">
        <v>10851</v>
      </c>
      <c r="F316" s="6" t="s">
        <v>10852</v>
      </c>
      <c r="G316" s="6" t="s">
        <v>10840</v>
      </c>
      <c r="H316" s="9" t="n">
        <v>39106</v>
      </c>
      <c r="I316" s="6" t="s">
        <v>384</v>
      </c>
      <c r="J316" s="6" t="s">
        <v>13</v>
      </c>
      <c r="K316" s="6" t="s">
        <v>144</v>
      </c>
      <c r="L316" s="6" t="s">
        <v>11439</v>
      </c>
      <c r="M316" s="6" t="s">
        <v>11440</v>
      </c>
      <c r="N316" s="6"/>
    </row>
    <row r="317" customFormat="false" ht="15" hidden="false" customHeight="false" outlineLevel="0" collapsed="false">
      <c r="A317" s="6" t="s">
        <v>11441</v>
      </c>
      <c r="B317" s="6" t="s">
        <v>146</v>
      </c>
      <c r="C317" s="7" t="n">
        <v>45107</v>
      </c>
      <c r="D317" s="6" t="s">
        <v>380</v>
      </c>
      <c r="E317" s="6" t="s">
        <v>10851</v>
      </c>
      <c r="F317" s="6" t="s">
        <v>2706</v>
      </c>
      <c r="G317" s="6" t="s">
        <v>10845</v>
      </c>
      <c r="H317" s="9" t="n">
        <v>-11198</v>
      </c>
      <c r="I317" s="6" t="s">
        <v>384</v>
      </c>
      <c r="J317" s="6" t="s">
        <v>13</v>
      </c>
      <c r="K317" s="6" t="s">
        <v>144</v>
      </c>
      <c r="L317" s="6" t="s">
        <v>11442</v>
      </c>
      <c r="M317" s="6" t="s">
        <v>11440</v>
      </c>
      <c r="N317" s="6"/>
    </row>
    <row r="318" customFormat="false" ht="15" hidden="false" customHeight="false" outlineLevel="0" collapsed="false">
      <c r="A318" s="6" t="s">
        <v>11443</v>
      </c>
      <c r="B318" s="6" t="s">
        <v>146</v>
      </c>
      <c r="C318" s="7" t="n">
        <v>45107</v>
      </c>
      <c r="D318" s="6" t="s">
        <v>380</v>
      </c>
      <c r="E318" s="6" t="s">
        <v>10851</v>
      </c>
      <c r="F318" s="6" t="s">
        <v>10858</v>
      </c>
      <c r="G318" s="6" t="s">
        <v>10849</v>
      </c>
      <c r="H318" s="9" t="n">
        <v>27908</v>
      </c>
      <c r="I318" s="6" t="s">
        <v>384</v>
      </c>
      <c r="J318" s="6" t="s">
        <v>13</v>
      </c>
      <c r="K318" s="6" t="s">
        <v>144</v>
      </c>
      <c r="L318" s="6" t="s">
        <v>1975</v>
      </c>
      <c r="M318" s="6" t="s">
        <v>11440</v>
      </c>
      <c r="N318" s="6"/>
    </row>
    <row r="319" customFormat="false" ht="15" hidden="false" customHeight="false" outlineLevel="0" collapsed="false">
      <c r="A319" s="6" t="s">
        <v>11444</v>
      </c>
      <c r="B319" s="6" t="s">
        <v>146</v>
      </c>
      <c r="C319" s="7" t="n">
        <v>45107</v>
      </c>
      <c r="D319" s="6" t="s">
        <v>380</v>
      </c>
      <c r="E319" s="6" t="s">
        <v>10851</v>
      </c>
      <c r="F319" s="6" t="s">
        <v>10860</v>
      </c>
      <c r="G319" s="6" t="s">
        <v>10840</v>
      </c>
      <c r="H319" s="9" t="n">
        <v>107443</v>
      </c>
      <c r="I319" s="6" t="s">
        <v>384</v>
      </c>
      <c r="J319" s="6" t="s">
        <v>13</v>
      </c>
      <c r="K319" s="6" t="s">
        <v>144</v>
      </c>
      <c r="L319" s="6" t="s">
        <v>11445</v>
      </c>
      <c r="M319" s="6" t="s">
        <v>11446</v>
      </c>
      <c r="N319" s="6"/>
    </row>
    <row r="320" customFormat="false" ht="15" hidden="false" customHeight="false" outlineLevel="0" collapsed="false">
      <c r="A320" s="6" t="s">
        <v>11447</v>
      </c>
      <c r="B320" s="6" t="s">
        <v>146</v>
      </c>
      <c r="C320" s="7" t="n">
        <v>45107</v>
      </c>
      <c r="D320" s="6" t="s">
        <v>380</v>
      </c>
      <c r="E320" s="6" t="s">
        <v>10851</v>
      </c>
      <c r="F320" s="6" t="s">
        <v>2706</v>
      </c>
      <c r="G320" s="6" t="s">
        <v>10845</v>
      </c>
      <c r="H320" s="9" t="n">
        <v>-8612</v>
      </c>
      <c r="I320" s="6" t="s">
        <v>384</v>
      </c>
      <c r="J320" s="6" t="s">
        <v>13</v>
      </c>
      <c r="K320" s="6" t="s">
        <v>144</v>
      </c>
      <c r="L320" s="6" t="s">
        <v>11442</v>
      </c>
      <c r="M320" s="6" t="s">
        <v>11446</v>
      </c>
      <c r="N320" s="6"/>
    </row>
    <row r="321" customFormat="false" ht="15" hidden="false" customHeight="false" outlineLevel="0" collapsed="false">
      <c r="A321" s="6" t="s">
        <v>11448</v>
      </c>
      <c r="B321" s="6" t="s">
        <v>146</v>
      </c>
      <c r="C321" s="7" t="n">
        <v>45107</v>
      </c>
      <c r="D321" s="6" t="s">
        <v>380</v>
      </c>
      <c r="E321" s="6" t="s">
        <v>10851</v>
      </c>
      <c r="F321" s="6" t="s">
        <v>10865</v>
      </c>
      <c r="G321" s="6" t="s">
        <v>10849</v>
      </c>
      <c r="H321" s="9" t="n">
        <v>98831</v>
      </c>
      <c r="I321" s="6" t="s">
        <v>384</v>
      </c>
      <c r="J321" s="6" t="s">
        <v>13</v>
      </c>
      <c r="K321" s="6" t="s">
        <v>144</v>
      </c>
      <c r="L321" s="6" t="s">
        <v>2090</v>
      </c>
      <c r="M321" s="6" t="s">
        <v>11446</v>
      </c>
      <c r="N321" s="6"/>
    </row>
    <row r="322" customFormat="false" ht="15" hidden="false" customHeight="false" outlineLevel="0" collapsed="false">
      <c r="A322" s="6" t="s">
        <v>11449</v>
      </c>
      <c r="B322" s="6" t="s">
        <v>146</v>
      </c>
      <c r="C322" s="7" t="n">
        <v>45107</v>
      </c>
      <c r="D322" s="6" t="s">
        <v>380</v>
      </c>
      <c r="E322" s="6" t="s">
        <v>10851</v>
      </c>
      <c r="F322" s="6" t="s">
        <v>10867</v>
      </c>
      <c r="G322" s="6" t="s">
        <v>10840</v>
      </c>
      <c r="H322" s="9" t="n">
        <v>21781</v>
      </c>
      <c r="I322" s="6" t="s">
        <v>384</v>
      </c>
      <c r="J322" s="6" t="s">
        <v>13</v>
      </c>
      <c r="K322" s="6" t="s">
        <v>144</v>
      </c>
      <c r="L322" s="6" t="s">
        <v>11450</v>
      </c>
      <c r="M322" s="6" t="s">
        <v>11451</v>
      </c>
      <c r="N322" s="6"/>
    </row>
    <row r="323" customFormat="false" ht="15" hidden="false" customHeight="false" outlineLevel="0" collapsed="false">
      <c r="A323" s="6" t="s">
        <v>11452</v>
      </c>
      <c r="B323" s="6" t="s">
        <v>146</v>
      </c>
      <c r="C323" s="7" t="n">
        <v>45107</v>
      </c>
      <c r="D323" s="6" t="s">
        <v>380</v>
      </c>
      <c r="E323" s="6" t="s">
        <v>10851</v>
      </c>
      <c r="F323" s="6" t="s">
        <v>2706</v>
      </c>
      <c r="G323" s="6" t="s">
        <v>10845</v>
      </c>
      <c r="H323" s="9" t="n">
        <v>-7129</v>
      </c>
      <c r="I323" s="6" t="s">
        <v>384</v>
      </c>
      <c r="J323" s="6" t="s">
        <v>13</v>
      </c>
      <c r="K323" s="6" t="s">
        <v>144</v>
      </c>
      <c r="L323" s="6" t="s">
        <v>11442</v>
      </c>
      <c r="M323" s="6" t="s">
        <v>11451</v>
      </c>
      <c r="N323" s="6"/>
    </row>
    <row r="324" customFormat="false" ht="15" hidden="false" customHeight="false" outlineLevel="0" collapsed="false">
      <c r="A324" s="6" t="s">
        <v>11453</v>
      </c>
      <c r="B324" s="6" t="s">
        <v>146</v>
      </c>
      <c r="C324" s="7" t="n">
        <v>45107</v>
      </c>
      <c r="D324" s="6" t="s">
        <v>380</v>
      </c>
      <c r="E324" s="6" t="s">
        <v>10851</v>
      </c>
      <c r="F324" s="6" t="s">
        <v>10872</v>
      </c>
      <c r="G324" s="6" t="s">
        <v>10849</v>
      </c>
      <c r="H324" s="9" t="n">
        <v>14652</v>
      </c>
      <c r="I324" s="6" t="s">
        <v>384</v>
      </c>
      <c r="J324" s="6" t="s">
        <v>13</v>
      </c>
      <c r="K324" s="6" t="s">
        <v>144</v>
      </c>
      <c r="L324" s="6" t="s">
        <v>2205</v>
      </c>
      <c r="M324" s="6" t="s">
        <v>11451</v>
      </c>
      <c r="N324" s="6"/>
    </row>
    <row r="325" customFormat="false" ht="15" hidden="false" customHeight="false" outlineLevel="0" collapsed="false">
      <c r="A325" s="6" t="s">
        <v>11454</v>
      </c>
      <c r="B325" s="6" t="s">
        <v>146</v>
      </c>
      <c r="C325" s="7" t="n">
        <v>45107</v>
      </c>
      <c r="D325" s="6" t="s">
        <v>380</v>
      </c>
      <c r="E325" s="6" t="s">
        <v>11306</v>
      </c>
      <c r="F325" s="6" t="s">
        <v>10165</v>
      </c>
      <c r="G325" s="6" t="s">
        <v>10840</v>
      </c>
      <c r="H325" s="9" t="n">
        <v>-12167</v>
      </c>
      <c r="I325" s="6" t="s">
        <v>384</v>
      </c>
      <c r="J325" s="6" t="s">
        <v>13</v>
      </c>
      <c r="K325" s="6" t="s">
        <v>144</v>
      </c>
      <c r="L325" s="6" t="s">
        <v>11455</v>
      </c>
      <c r="M325" s="6" t="s">
        <v>11456</v>
      </c>
      <c r="N325" s="6"/>
    </row>
    <row r="326" customFormat="false" ht="15" hidden="false" customHeight="false" outlineLevel="0" collapsed="false">
      <c r="A326" s="6" t="s">
        <v>11457</v>
      </c>
      <c r="B326" s="6" t="s">
        <v>146</v>
      </c>
      <c r="C326" s="7" t="n">
        <v>45107</v>
      </c>
      <c r="D326" s="6" t="s">
        <v>380</v>
      </c>
      <c r="E326" s="6" t="s">
        <v>11306</v>
      </c>
      <c r="F326" s="6" t="s">
        <v>2706</v>
      </c>
      <c r="G326" s="6" t="s">
        <v>10845</v>
      </c>
      <c r="H326" s="9" t="n">
        <v>28784</v>
      </c>
      <c r="I326" s="6" t="s">
        <v>384</v>
      </c>
      <c r="J326" s="6" t="s">
        <v>13</v>
      </c>
      <c r="K326" s="6" t="s">
        <v>144</v>
      </c>
      <c r="L326" s="6" t="s">
        <v>2754</v>
      </c>
      <c r="M326" s="6" t="s">
        <v>11456</v>
      </c>
      <c r="N326" s="6"/>
    </row>
    <row r="327" customFormat="false" ht="15" hidden="false" customHeight="false" outlineLevel="0" collapsed="false">
      <c r="A327" s="6" t="s">
        <v>11458</v>
      </c>
      <c r="B327" s="6" t="s">
        <v>146</v>
      </c>
      <c r="C327" s="7" t="n">
        <v>45107</v>
      </c>
      <c r="D327" s="6" t="s">
        <v>380</v>
      </c>
      <c r="E327" s="6" t="s">
        <v>11306</v>
      </c>
      <c r="F327" s="6" t="s">
        <v>4717</v>
      </c>
      <c r="G327" s="6" t="s">
        <v>10849</v>
      </c>
      <c r="H327" s="9" t="n">
        <v>16617</v>
      </c>
      <c r="I327" s="6" t="s">
        <v>384</v>
      </c>
      <c r="J327" s="6" t="s">
        <v>13</v>
      </c>
      <c r="K327" s="6" t="s">
        <v>144</v>
      </c>
      <c r="L327" s="6" t="s">
        <v>2320</v>
      </c>
      <c r="M327" s="6" t="s">
        <v>11456</v>
      </c>
      <c r="N327" s="6"/>
    </row>
    <row r="328" customFormat="false" ht="15" hidden="false" customHeight="false" outlineLevel="0" collapsed="false">
      <c r="A328" s="6" t="s">
        <v>11459</v>
      </c>
      <c r="B328" s="6" t="s">
        <v>146</v>
      </c>
      <c r="C328" s="7" t="n">
        <v>45107</v>
      </c>
      <c r="D328" s="6" t="s">
        <v>380</v>
      </c>
      <c r="E328" s="6" t="s">
        <v>11256</v>
      </c>
      <c r="F328" s="6" t="s">
        <v>10880</v>
      </c>
      <c r="G328" s="6" t="s">
        <v>10840</v>
      </c>
      <c r="H328" s="9" t="n">
        <v>-7035</v>
      </c>
      <c r="I328" s="6" t="s">
        <v>384</v>
      </c>
      <c r="J328" s="6" t="s">
        <v>13</v>
      </c>
      <c r="K328" s="6" t="s">
        <v>144</v>
      </c>
      <c r="L328" s="6" t="s">
        <v>11460</v>
      </c>
      <c r="M328" s="6" t="s">
        <v>11461</v>
      </c>
      <c r="N328" s="6"/>
    </row>
    <row r="329" customFormat="false" ht="15" hidden="false" customHeight="false" outlineLevel="0" collapsed="false">
      <c r="A329" s="6" t="s">
        <v>11462</v>
      </c>
      <c r="B329" s="6" t="s">
        <v>146</v>
      </c>
      <c r="C329" s="7" t="n">
        <v>45107</v>
      </c>
      <c r="D329" s="6" t="s">
        <v>380</v>
      </c>
      <c r="E329" s="6" t="s">
        <v>11256</v>
      </c>
      <c r="F329" s="6" t="s">
        <v>2706</v>
      </c>
      <c r="G329" s="6" t="s">
        <v>10845</v>
      </c>
      <c r="H329" s="9" t="n">
        <v>28784</v>
      </c>
      <c r="I329" s="6" t="s">
        <v>384</v>
      </c>
      <c r="J329" s="6" t="s">
        <v>13</v>
      </c>
      <c r="K329" s="6" t="s">
        <v>144</v>
      </c>
      <c r="L329" s="6" t="s">
        <v>11463</v>
      </c>
      <c r="M329" s="6" t="s">
        <v>11461</v>
      </c>
      <c r="N329" s="6"/>
    </row>
    <row r="330" customFormat="false" ht="15" hidden="false" customHeight="false" outlineLevel="0" collapsed="false">
      <c r="A330" s="6" t="s">
        <v>11464</v>
      </c>
      <c r="B330" s="6" t="s">
        <v>146</v>
      </c>
      <c r="C330" s="7" t="n">
        <v>45107</v>
      </c>
      <c r="D330" s="6" t="s">
        <v>380</v>
      </c>
      <c r="E330" s="6" t="s">
        <v>11256</v>
      </c>
      <c r="F330" s="6" t="s">
        <v>10885</v>
      </c>
      <c r="G330" s="6" t="s">
        <v>10845</v>
      </c>
      <c r="H330" s="9" t="n">
        <v>-786</v>
      </c>
      <c r="I330" s="6" t="s">
        <v>384</v>
      </c>
      <c r="J330" s="6" t="s">
        <v>13</v>
      </c>
      <c r="K330" s="6" t="s">
        <v>144</v>
      </c>
      <c r="L330" s="6" t="s">
        <v>11465</v>
      </c>
      <c r="M330" s="6" t="s">
        <v>11461</v>
      </c>
      <c r="N330" s="6"/>
    </row>
    <row r="331" customFormat="false" ht="15" hidden="false" customHeight="false" outlineLevel="0" collapsed="false">
      <c r="A331" s="6" t="s">
        <v>11466</v>
      </c>
      <c r="B331" s="6" t="s">
        <v>146</v>
      </c>
      <c r="C331" s="7" t="n">
        <v>45107</v>
      </c>
      <c r="D331" s="6" t="s">
        <v>380</v>
      </c>
      <c r="E331" s="6" t="s">
        <v>11256</v>
      </c>
      <c r="F331" s="6" t="s">
        <v>11264</v>
      </c>
      <c r="G331" s="6" t="s">
        <v>10849</v>
      </c>
      <c r="H331" s="9" t="n">
        <v>20963</v>
      </c>
      <c r="I331" s="6" t="s">
        <v>384</v>
      </c>
      <c r="J331" s="6" t="s">
        <v>13</v>
      </c>
      <c r="K331" s="6" t="s">
        <v>144</v>
      </c>
      <c r="L331" s="6" t="s">
        <v>2528</v>
      </c>
      <c r="M331" s="6" t="s">
        <v>11461</v>
      </c>
      <c r="N331" s="6"/>
    </row>
    <row r="332" customFormat="false" ht="15" hidden="false" customHeight="false" outlineLevel="0" collapsed="false">
      <c r="A332" s="6" t="s">
        <v>11467</v>
      </c>
      <c r="B332" s="6" t="s">
        <v>146</v>
      </c>
      <c r="C332" s="7" t="n">
        <v>45107</v>
      </c>
      <c r="D332" s="6" t="s">
        <v>380</v>
      </c>
      <c r="E332" s="6" t="s">
        <v>10904</v>
      </c>
      <c r="F332" s="6" t="s">
        <v>2949</v>
      </c>
      <c r="G332" s="6" t="s">
        <v>10840</v>
      </c>
      <c r="H332" s="9" t="n">
        <v>47589</v>
      </c>
      <c r="I332" s="6" t="s">
        <v>384</v>
      </c>
      <c r="J332" s="6" t="s">
        <v>13</v>
      </c>
      <c r="K332" s="6" t="s">
        <v>144</v>
      </c>
      <c r="L332" s="6" t="s">
        <v>11468</v>
      </c>
      <c r="M332" s="6" t="s">
        <v>11469</v>
      </c>
      <c r="N332" s="6"/>
    </row>
    <row r="333" customFormat="false" ht="15" hidden="false" customHeight="false" outlineLevel="0" collapsed="false">
      <c r="A333" s="6" t="s">
        <v>11470</v>
      </c>
      <c r="B333" s="6" t="s">
        <v>146</v>
      </c>
      <c r="C333" s="7" t="n">
        <v>45107</v>
      </c>
      <c r="D333" s="6" t="s">
        <v>380</v>
      </c>
      <c r="E333" s="6" t="s">
        <v>10904</v>
      </c>
      <c r="F333" s="6" t="s">
        <v>8520</v>
      </c>
      <c r="G333" s="6" t="s">
        <v>10845</v>
      </c>
      <c r="H333" s="9" t="n">
        <v>-1123</v>
      </c>
      <c r="I333" s="6" t="s">
        <v>384</v>
      </c>
      <c r="J333" s="6" t="s">
        <v>13</v>
      </c>
      <c r="K333" s="6" t="s">
        <v>144</v>
      </c>
      <c r="L333" s="6" t="s">
        <v>3111</v>
      </c>
      <c r="M333" s="6" t="s">
        <v>11469</v>
      </c>
      <c r="N333" s="6"/>
    </row>
    <row r="334" customFormat="false" ht="15" hidden="false" customHeight="false" outlineLevel="0" collapsed="false">
      <c r="A334" s="6" t="s">
        <v>11471</v>
      </c>
      <c r="B334" s="6" t="s">
        <v>146</v>
      </c>
      <c r="C334" s="7" t="n">
        <v>45107</v>
      </c>
      <c r="D334" s="6" t="s">
        <v>380</v>
      </c>
      <c r="E334" s="6" t="s">
        <v>10904</v>
      </c>
      <c r="F334" s="6" t="s">
        <v>8081</v>
      </c>
      <c r="G334" s="6" t="s">
        <v>10845</v>
      </c>
      <c r="H334" s="9" t="n">
        <v>-534</v>
      </c>
      <c r="I334" s="6" t="s">
        <v>384</v>
      </c>
      <c r="J334" s="6" t="s">
        <v>13</v>
      </c>
      <c r="K334" s="6" t="s">
        <v>144</v>
      </c>
      <c r="L334" s="6" t="s">
        <v>3225</v>
      </c>
      <c r="M334" s="6" t="s">
        <v>11469</v>
      </c>
      <c r="N334" s="6"/>
    </row>
    <row r="335" customFormat="false" ht="15" hidden="false" customHeight="false" outlineLevel="0" collapsed="false">
      <c r="A335" s="6" t="s">
        <v>11472</v>
      </c>
      <c r="B335" s="6" t="s">
        <v>146</v>
      </c>
      <c r="C335" s="7" t="n">
        <v>45107</v>
      </c>
      <c r="D335" s="6" t="s">
        <v>380</v>
      </c>
      <c r="E335" s="6" t="s">
        <v>10904</v>
      </c>
      <c r="F335" s="6" t="s">
        <v>4820</v>
      </c>
      <c r="G335" s="6" t="s">
        <v>10849</v>
      </c>
      <c r="H335" s="9" t="n">
        <v>45932</v>
      </c>
      <c r="I335" s="6" t="s">
        <v>384</v>
      </c>
      <c r="J335" s="6" t="s">
        <v>13</v>
      </c>
      <c r="K335" s="6" t="s">
        <v>144</v>
      </c>
      <c r="L335" s="6" t="s">
        <v>3408</v>
      </c>
      <c r="M335" s="6" t="s">
        <v>11469</v>
      </c>
      <c r="N335" s="6"/>
    </row>
    <row r="336" customFormat="false" ht="15" hidden="false" customHeight="false" outlineLevel="0" collapsed="false">
      <c r="A336" s="6" t="s">
        <v>11473</v>
      </c>
      <c r="B336" s="6" t="s">
        <v>151</v>
      </c>
      <c r="C336" s="7" t="n">
        <v>45199</v>
      </c>
      <c r="D336" s="6" t="s">
        <v>380</v>
      </c>
      <c r="E336" s="6" t="s">
        <v>10838</v>
      </c>
      <c r="F336" s="6" t="s">
        <v>10839</v>
      </c>
      <c r="G336" s="6" t="s">
        <v>10840</v>
      </c>
      <c r="H336" s="9" t="n">
        <v>167483</v>
      </c>
      <c r="I336" s="6" t="s">
        <v>384</v>
      </c>
      <c r="J336" s="6" t="s">
        <v>13</v>
      </c>
      <c r="K336" s="6" t="s">
        <v>149</v>
      </c>
      <c r="L336" s="6" t="s">
        <v>11474</v>
      </c>
      <c r="M336" s="6" t="s">
        <v>11475</v>
      </c>
      <c r="N336" s="6"/>
    </row>
    <row r="337" customFormat="false" ht="15" hidden="false" customHeight="false" outlineLevel="0" collapsed="false">
      <c r="A337" s="6" t="s">
        <v>11476</v>
      </c>
      <c r="B337" s="6" t="s">
        <v>151</v>
      </c>
      <c r="C337" s="7" t="n">
        <v>45199</v>
      </c>
      <c r="D337" s="6" t="s">
        <v>380</v>
      </c>
      <c r="E337" s="6" t="s">
        <v>10838</v>
      </c>
      <c r="F337" s="6" t="s">
        <v>2706</v>
      </c>
      <c r="G337" s="6" t="s">
        <v>10845</v>
      </c>
      <c r="H337" s="9" t="n">
        <v>1383</v>
      </c>
      <c r="I337" s="6" t="s">
        <v>384</v>
      </c>
      <c r="J337" s="6" t="s">
        <v>13</v>
      </c>
      <c r="K337" s="6" t="s">
        <v>149</v>
      </c>
      <c r="L337" s="6" t="s">
        <v>11477</v>
      </c>
      <c r="M337" s="6" t="s">
        <v>11475</v>
      </c>
      <c r="N337" s="6"/>
    </row>
    <row r="338" customFormat="false" ht="15" hidden="false" customHeight="false" outlineLevel="0" collapsed="false">
      <c r="A338" s="6" t="s">
        <v>11478</v>
      </c>
      <c r="B338" s="6" t="s">
        <v>151</v>
      </c>
      <c r="C338" s="7" t="n">
        <v>45199</v>
      </c>
      <c r="D338" s="6" t="s">
        <v>380</v>
      </c>
      <c r="E338" s="6" t="s">
        <v>10838</v>
      </c>
      <c r="F338" s="6" t="s">
        <v>10848</v>
      </c>
      <c r="G338" s="6" t="s">
        <v>10849</v>
      </c>
      <c r="H338" s="9" t="n">
        <v>168866</v>
      </c>
      <c r="I338" s="6" t="s">
        <v>384</v>
      </c>
      <c r="J338" s="6" t="s">
        <v>13</v>
      </c>
      <c r="K338" s="6" t="s">
        <v>149</v>
      </c>
      <c r="L338" s="6" t="s">
        <v>1788</v>
      </c>
      <c r="M338" s="6" t="s">
        <v>11475</v>
      </c>
      <c r="N338" s="6"/>
    </row>
    <row r="339" customFormat="false" ht="15" hidden="false" customHeight="false" outlineLevel="0" collapsed="false">
      <c r="A339" s="6" t="s">
        <v>11479</v>
      </c>
      <c r="B339" s="6" t="s">
        <v>151</v>
      </c>
      <c r="C339" s="7" t="n">
        <v>45199</v>
      </c>
      <c r="D339" s="6" t="s">
        <v>380</v>
      </c>
      <c r="E339" s="6" t="s">
        <v>10851</v>
      </c>
      <c r="F339" s="6" t="s">
        <v>10852</v>
      </c>
      <c r="G339" s="6" t="s">
        <v>10840</v>
      </c>
      <c r="H339" s="9" t="n">
        <v>38433</v>
      </c>
      <c r="I339" s="6" t="s">
        <v>384</v>
      </c>
      <c r="J339" s="6" t="s">
        <v>13</v>
      </c>
      <c r="K339" s="6" t="s">
        <v>149</v>
      </c>
      <c r="L339" s="6" t="s">
        <v>11480</v>
      </c>
      <c r="M339" s="6" t="s">
        <v>11481</v>
      </c>
      <c r="N339" s="6"/>
    </row>
    <row r="340" customFormat="false" ht="15" hidden="false" customHeight="false" outlineLevel="0" collapsed="false">
      <c r="A340" s="6" t="s">
        <v>11482</v>
      </c>
      <c r="B340" s="6" t="s">
        <v>151</v>
      </c>
      <c r="C340" s="7" t="n">
        <v>45199</v>
      </c>
      <c r="D340" s="6" t="s">
        <v>380</v>
      </c>
      <c r="E340" s="6" t="s">
        <v>10851</v>
      </c>
      <c r="F340" s="6" t="s">
        <v>2706</v>
      </c>
      <c r="G340" s="6" t="s">
        <v>10845</v>
      </c>
      <c r="H340" s="9" t="n">
        <v>-10382</v>
      </c>
      <c r="I340" s="6" t="s">
        <v>384</v>
      </c>
      <c r="J340" s="6" t="s">
        <v>13</v>
      </c>
      <c r="K340" s="6" t="s">
        <v>149</v>
      </c>
      <c r="L340" s="6" t="s">
        <v>11483</v>
      </c>
      <c r="M340" s="6" t="s">
        <v>11481</v>
      </c>
      <c r="N340" s="6"/>
    </row>
    <row r="341" customFormat="false" ht="15" hidden="false" customHeight="false" outlineLevel="0" collapsed="false">
      <c r="A341" s="6" t="s">
        <v>11484</v>
      </c>
      <c r="B341" s="6" t="s">
        <v>151</v>
      </c>
      <c r="C341" s="7" t="n">
        <v>45199</v>
      </c>
      <c r="D341" s="6" t="s">
        <v>380</v>
      </c>
      <c r="E341" s="6" t="s">
        <v>10851</v>
      </c>
      <c r="F341" s="6" t="s">
        <v>10858</v>
      </c>
      <c r="G341" s="6" t="s">
        <v>10849</v>
      </c>
      <c r="H341" s="9" t="n">
        <v>28051</v>
      </c>
      <c r="I341" s="6" t="s">
        <v>384</v>
      </c>
      <c r="J341" s="6" t="s">
        <v>13</v>
      </c>
      <c r="K341" s="6" t="s">
        <v>149</v>
      </c>
      <c r="L341" s="6" t="s">
        <v>1981</v>
      </c>
      <c r="M341" s="6" t="s">
        <v>11481</v>
      </c>
      <c r="N341" s="6"/>
    </row>
    <row r="342" customFormat="false" ht="15" hidden="false" customHeight="false" outlineLevel="0" collapsed="false">
      <c r="A342" s="6" t="s">
        <v>11485</v>
      </c>
      <c r="B342" s="6" t="s">
        <v>151</v>
      </c>
      <c r="C342" s="7" t="n">
        <v>45199</v>
      </c>
      <c r="D342" s="6" t="s">
        <v>380</v>
      </c>
      <c r="E342" s="6" t="s">
        <v>10851</v>
      </c>
      <c r="F342" s="6" t="s">
        <v>10860</v>
      </c>
      <c r="G342" s="6" t="s">
        <v>10840</v>
      </c>
      <c r="H342" s="9" t="n">
        <v>108360</v>
      </c>
      <c r="I342" s="6" t="s">
        <v>384</v>
      </c>
      <c r="J342" s="6" t="s">
        <v>13</v>
      </c>
      <c r="K342" s="6" t="s">
        <v>149</v>
      </c>
      <c r="L342" s="6" t="s">
        <v>11486</v>
      </c>
      <c r="M342" s="6" t="s">
        <v>11487</v>
      </c>
      <c r="N342" s="6"/>
    </row>
    <row r="343" customFormat="false" ht="15" hidden="false" customHeight="false" outlineLevel="0" collapsed="false">
      <c r="A343" s="6" t="s">
        <v>11488</v>
      </c>
      <c r="B343" s="6" t="s">
        <v>151</v>
      </c>
      <c r="C343" s="7" t="n">
        <v>45199</v>
      </c>
      <c r="D343" s="6" t="s">
        <v>380</v>
      </c>
      <c r="E343" s="6" t="s">
        <v>10851</v>
      </c>
      <c r="F343" s="6" t="s">
        <v>2706</v>
      </c>
      <c r="G343" s="6" t="s">
        <v>10845</v>
      </c>
      <c r="H343" s="9" t="n">
        <v>-6856</v>
      </c>
      <c r="I343" s="6" t="s">
        <v>384</v>
      </c>
      <c r="J343" s="6" t="s">
        <v>13</v>
      </c>
      <c r="K343" s="6" t="s">
        <v>149</v>
      </c>
      <c r="L343" s="6" t="s">
        <v>11483</v>
      </c>
      <c r="M343" s="6" t="s">
        <v>11487</v>
      </c>
      <c r="N343" s="6"/>
    </row>
    <row r="344" customFormat="false" ht="15" hidden="false" customHeight="false" outlineLevel="0" collapsed="false">
      <c r="A344" s="6" t="s">
        <v>11489</v>
      </c>
      <c r="B344" s="6" t="s">
        <v>151</v>
      </c>
      <c r="C344" s="7" t="n">
        <v>45199</v>
      </c>
      <c r="D344" s="6" t="s">
        <v>380</v>
      </c>
      <c r="E344" s="6" t="s">
        <v>10851</v>
      </c>
      <c r="F344" s="6" t="s">
        <v>10865</v>
      </c>
      <c r="G344" s="6" t="s">
        <v>10849</v>
      </c>
      <c r="H344" s="9" t="n">
        <v>101504</v>
      </c>
      <c r="I344" s="6" t="s">
        <v>384</v>
      </c>
      <c r="J344" s="6" t="s">
        <v>13</v>
      </c>
      <c r="K344" s="6" t="s">
        <v>149</v>
      </c>
      <c r="L344" s="6" t="s">
        <v>2096</v>
      </c>
      <c r="M344" s="6" t="s">
        <v>11487</v>
      </c>
      <c r="N344" s="6"/>
    </row>
    <row r="345" customFormat="false" ht="15" hidden="false" customHeight="false" outlineLevel="0" collapsed="false">
      <c r="A345" s="6" t="s">
        <v>11490</v>
      </c>
      <c r="B345" s="6" t="s">
        <v>151</v>
      </c>
      <c r="C345" s="7" t="n">
        <v>45199</v>
      </c>
      <c r="D345" s="6" t="s">
        <v>380</v>
      </c>
      <c r="E345" s="6" t="s">
        <v>10851</v>
      </c>
      <c r="F345" s="6" t="s">
        <v>10867</v>
      </c>
      <c r="G345" s="6" t="s">
        <v>10840</v>
      </c>
      <c r="H345" s="9" t="n">
        <v>23211</v>
      </c>
      <c r="I345" s="6" t="s">
        <v>384</v>
      </c>
      <c r="J345" s="6" t="s">
        <v>13</v>
      </c>
      <c r="K345" s="6" t="s">
        <v>149</v>
      </c>
      <c r="L345" s="6" t="s">
        <v>11491</v>
      </c>
      <c r="M345" s="6" t="s">
        <v>11492</v>
      </c>
      <c r="N345" s="6"/>
    </row>
    <row r="346" customFormat="false" ht="15" hidden="false" customHeight="false" outlineLevel="0" collapsed="false">
      <c r="A346" s="6" t="s">
        <v>11493</v>
      </c>
      <c r="B346" s="6" t="s">
        <v>151</v>
      </c>
      <c r="C346" s="7" t="n">
        <v>45199</v>
      </c>
      <c r="D346" s="6" t="s">
        <v>380</v>
      </c>
      <c r="E346" s="6" t="s">
        <v>10851</v>
      </c>
      <c r="F346" s="6" t="s">
        <v>2706</v>
      </c>
      <c r="G346" s="6" t="s">
        <v>10845</v>
      </c>
      <c r="H346" s="9" t="n">
        <v>-7977</v>
      </c>
      <c r="I346" s="6" t="s">
        <v>384</v>
      </c>
      <c r="J346" s="6" t="s">
        <v>13</v>
      </c>
      <c r="K346" s="6" t="s">
        <v>149</v>
      </c>
      <c r="L346" s="6" t="s">
        <v>11483</v>
      </c>
      <c r="M346" s="6" t="s">
        <v>11492</v>
      </c>
      <c r="N346" s="6"/>
    </row>
    <row r="347" customFormat="false" ht="15" hidden="false" customHeight="false" outlineLevel="0" collapsed="false">
      <c r="A347" s="6" t="s">
        <v>11494</v>
      </c>
      <c r="B347" s="6" t="s">
        <v>151</v>
      </c>
      <c r="C347" s="7" t="n">
        <v>45199</v>
      </c>
      <c r="D347" s="6" t="s">
        <v>380</v>
      </c>
      <c r="E347" s="6" t="s">
        <v>10851</v>
      </c>
      <c r="F347" s="6" t="s">
        <v>10872</v>
      </c>
      <c r="G347" s="6" t="s">
        <v>10849</v>
      </c>
      <c r="H347" s="9" t="n">
        <v>15234</v>
      </c>
      <c r="I347" s="6" t="s">
        <v>384</v>
      </c>
      <c r="J347" s="6" t="s">
        <v>13</v>
      </c>
      <c r="K347" s="6" t="s">
        <v>149</v>
      </c>
      <c r="L347" s="6" t="s">
        <v>2211</v>
      </c>
      <c r="M347" s="6" t="s">
        <v>11492</v>
      </c>
      <c r="N347" s="6"/>
    </row>
    <row r="348" customFormat="false" ht="15" hidden="false" customHeight="false" outlineLevel="0" collapsed="false">
      <c r="A348" s="6" t="s">
        <v>11495</v>
      </c>
      <c r="B348" s="6" t="s">
        <v>151</v>
      </c>
      <c r="C348" s="7" t="n">
        <v>45199</v>
      </c>
      <c r="D348" s="6" t="s">
        <v>380</v>
      </c>
      <c r="E348" s="6" t="s">
        <v>11306</v>
      </c>
      <c r="F348" s="6" t="s">
        <v>10165</v>
      </c>
      <c r="G348" s="6" t="s">
        <v>10840</v>
      </c>
      <c r="H348" s="9" t="n">
        <v>-2521</v>
      </c>
      <c r="I348" s="6" t="s">
        <v>384</v>
      </c>
      <c r="J348" s="6" t="s">
        <v>13</v>
      </c>
      <c r="K348" s="6" t="s">
        <v>149</v>
      </c>
      <c r="L348" s="6" t="s">
        <v>11496</v>
      </c>
      <c r="M348" s="6" t="s">
        <v>11497</v>
      </c>
      <c r="N348" s="6"/>
    </row>
    <row r="349" customFormat="false" ht="15" hidden="false" customHeight="false" outlineLevel="0" collapsed="false">
      <c r="A349" s="6" t="s">
        <v>11498</v>
      </c>
      <c r="B349" s="6" t="s">
        <v>151</v>
      </c>
      <c r="C349" s="7" t="n">
        <v>45199</v>
      </c>
      <c r="D349" s="6" t="s">
        <v>380</v>
      </c>
      <c r="E349" s="6" t="s">
        <v>11306</v>
      </c>
      <c r="F349" s="6" t="s">
        <v>2706</v>
      </c>
      <c r="G349" s="6" t="s">
        <v>10845</v>
      </c>
      <c r="H349" s="9" t="n">
        <v>26598</v>
      </c>
      <c r="I349" s="6" t="s">
        <v>384</v>
      </c>
      <c r="J349" s="6" t="s">
        <v>13</v>
      </c>
      <c r="K349" s="6" t="s">
        <v>149</v>
      </c>
      <c r="L349" s="6" t="s">
        <v>2760</v>
      </c>
      <c r="M349" s="6" t="s">
        <v>11497</v>
      </c>
      <c r="N349" s="6"/>
    </row>
    <row r="350" customFormat="false" ht="15" hidden="false" customHeight="false" outlineLevel="0" collapsed="false">
      <c r="A350" s="6" t="s">
        <v>11499</v>
      </c>
      <c r="B350" s="6" t="s">
        <v>151</v>
      </c>
      <c r="C350" s="7" t="n">
        <v>45199</v>
      </c>
      <c r="D350" s="6" t="s">
        <v>380</v>
      </c>
      <c r="E350" s="6" t="s">
        <v>11306</v>
      </c>
      <c r="F350" s="6" t="s">
        <v>4717</v>
      </c>
      <c r="G350" s="6" t="s">
        <v>10849</v>
      </c>
      <c r="H350" s="9" t="n">
        <v>24077</v>
      </c>
      <c r="I350" s="6" t="s">
        <v>384</v>
      </c>
      <c r="J350" s="6" t="s">
        <v>13</v>
      </c>
      <c r="K350" s="6" t="s">
        <v>149</v>
      </c>
      <c r="L350" s="6" t="s">
        <v>2326</v>
      </c>
      <c r="M350" s="6" t="s">
        <v>11497</v>
      </c>
      <c r="N350" s="6"/>
    </row>
    <row r="351" customFormat="false" ht="15" hidden="false" customHeight="false" outlineLevel="0" collapsed="false">
      <c r="A351" s="6" t="s">
        <v>11500</v>
      </c>
      <c r="B351" s="6" t="s">
        <v>151</v>
      </c>
      <c r="C351" s="7" t="n">
        <v>45199</v>
      </c>
      <c r="D351" s="6" t="s">
        <v>380</v>
      </c>
      <c r="E351" s="6" t="s">
        <v>11256</v>
      </c>
      <c r="F351" s="6" t="s">
        <v>11501</v>
      </c>
      <c r="G351" s="6" t="s">
        <v>10840</v>
      </c>
      <c r="H351" s="9" t="n">
        <v>7488</v>
      </c>
      <c r="I351" s="6" t="s">
        <v>384</v>
      </c>
      <c r="J351" s="6" t="s">
        <v>13</v>
      </c>
      <c r="K351" s="6" t="s">
        <v>149</v>
      </c>
      <c r="L351" s="6" t="s">
        <v>11502</v>
      </c>
      <c r="M351" s="6" t="s">
        <v>11503</v>
      </c>
      <c r="N351" s="6"/>
    </row>
    <row r="352" customFormat="false" ht="15" hidden="false" customHeight="false" outlineLevel="0" collapsed="false">
      <c r="A352" s="6" t="s">
        <v>11504</v>
      </c>
      <c r="B352" s="6" t="s">
        <v>151</v>
      </c>
      <c r="C352" s="7" t="n">
        <v>45199</v>
      </c>
      <c r="D352" s="6" t="s">
        <v>380</v>
      </c>
      <c r="E352" s="6" t="s">
        <v>11256</v>
      </c>
      <c r="F352" s="6" t="s">
        <v>2706</v>
      </c>
      <c r="G352" s="6" t="s">
        <v>10845</v>
      </c>
      <c r="H352" s="9" t="n">
        <v>26598</v>
      </c>
      <c r="I352" s="6" t="s">
        <v>384</v>
      </c>
      <c r="J352" s="6" t="s">
        <v>13</v>
      </c>
      <c r="K352" s="6" t="s">
        <v>149</v>
      </c>
      <c r="L352" s="6" t="s">
        <v>11505</v>
      </c>
      <c r="M352" s="6" t="s">
        <v>11503</v>
      </c>
      <c r="N352" s="6"/>
    </row>
    <row r="353" customFormat="false" ht="15" hidden="false" customHeight="false" outlineLevel="0" collapsed="false">
      <c r="A353" s="6" t="s">
        <v>11506</v>
      </c>
      <c r="B353" s="6" t="s">
        <v>151</v>
      </c>
      <c r="C353" s="7" t="n">
        <v>45199</v>
      </c>
      <c r="D353" s="6" t="s">
        <v>380</v>
      </c>
      <c r="E353" s="6" t="s">
        <v>11256</v>
      </c>
      <c r="F353" s="6" t="s">
        <v>10885</v>
      </c>
      <c r="G353" s="6" t="s">
        <v>10845</v>
      </c>
      <c r="H353" s="9" t="n">
        <v>-1075</v>
      </c>
      <c r="I353" s="6" t="s">
        <v>384</v>
      </c>
      <c r="J353" s="6" t="s">
        <v>13</v>
      </c>
      <c r="K353" s="6" t="s">
        <v>149</v>
      </c>
      <c r="L353" s="6" t="s">
        <v>11507</v>
      </c>
      <c r="M353" s="6" t="s">
        <v>11503</v>
      </c>
      <c r="N353" s="6"/>
    </row>
    <row r="354" customFormat="false" ht="15" hidden="false" customHeight="false" outlineLevel="0" collapsed="false">
      <c r="A354" s="6" t="s">
        <v>11508</v>
      </c>
      <c r="B354" s="6" t="s">
        <v>151</v>
      </c>
      <c r="C354" s="7" t="n">
        <v>45199</v>
      </c>
      <c r="D354" s="6" t="s">
        <v>380</v>
      </c>
      <c r="E354" s="6" t="s">
        <v>11256</v>
      </c>
      <c r="F354" s="6" t="s">
        <v>11264</v>
      </c>
      <c r="G354" s="6" t="s">
        <v>10849</v>
      </c>
      <c r="H354" s="9" t="n">
        <v>33011</v>
      </c>
      <c r="I354" s="6" t="s">
        <v>384</v>
      </c>
      <c r="J354" s="6" t="s">
        <v>13</v>
      </c>
      <c r="K354" s="6" t="s">
        <v>149</v>
      </c>
      <c r="L354" s="6" t="s">
        <v>2534</v>
      </c>
      <c r="M354" s="6" t="s">
        <v>11503</v>
      </c>
      <c r="N354" s="6"/>
    </row>
    <row r="355" customFormat="false" ht="15" hidden="false" customHeight="false" outlineLevel="0" collapsed="false">
      <c r="A355" s="6" t="s">
        <v>11509</v>
      </c>
      <c r="B355" s="6" t="s">
        <v>151</v>
      </c>
      <c r="C355" s="7" t="n">
        <v>45199</v>
      </c>
      <c r="D355" s="6" t="s">
        <v>380</v>
      </c>
      <c r="E355" s="6" t="s">
        <v>10904</v>
      </c>
      <c r="F355" s="6" t="s">
        <v>2949</v>
      </c>
      <c r="G355" s="6" t="s">
        <v>10840</v>
      </c>
      <c r="H355" s="9" t="n">
        <v>66579</v>
      </c>
      <c r="I355" s="6" t="s">
        <v>384</v>
      </c>
      <c r="J355" s="6" t="s">
        <v>13</v>
      </c>
      <c r="K355" s="6" t="s">
        <v>149</v>
      </c>
      <c r="L355" s="6" t="s">
        <v>11510</v>
      </c>
      <c r="M355" s="6" t="s">
        <v>11511</v>
      </c>
      <c r="N355" s="6"/>
    </row>
    <row r="356" customFormat="false" ht="15" hidden="false" customHeight="false" outlineLevel="0" collapsed="false">
      <c r="A356" s="6" t="s">
        <v>11512</v>
      </c>
      <c r="B356" s="6" t="s">
        <v>151</v>
      </c>
      <c r="C356" s="7" t="n">
        <v>45199</v>
      </c>
      <c r="D356" s="6" t="s">
        <v>380</v>
      </c>
      <c r="E356" s="6" t="s">
        <v>10904</v>
      </c>
      <c r="F356" s="6" t="s">
        <v>8520</v>
      </c>
      <c r="G356" s="6" t="s">
        <v>10845</v>
      </c>
      <c r="H356" s="9" t="n">
        <v>-779</v>
      </c>
      <c r="I356" s="6" t="s">
        <v>384</v>
      </c>
      <c r="J356" s="6" t="s">
        <v>13</v>
      </c>
      <c r="K356" s="6" t="s">
        <v>149</v>
      </c>
      <c r="L356" s="6" t="s">
        <v>3117</v>
      </c>
      <c r="M356" s="6" t="s">
        <v>11511</v>
      </c>
      <c r="N356" s="6"/>
    </row>
    <row r="357" customFormat="false" ht="15" hidden="false" customHeight="false" outlineLevel="0" collapsed="false">
      <c r="A357" s="6" t="s">
        <v>11513</v>
      </c>
      <c r="B357" s="6" t="s">
        <v>151</v>
      </c>
      <c r="C357" s="7" t="n">
        <v>45199</v>
      </c>
      <c r="D357" s="6" t="s">
        <v>380</v>
      </c>
      <c r="E357" s="6" t="s">
        <v>10904</v>
      </c>
      <c r="F357" s="6" t="s">
        <v>8081</v>
      </c>
      <c r="G357" s="6" t="s">
        <v>10845</v>
      </c>
      <c r="H357" s="9" t="n">
        <v>-910</v>
      </c>
      <c r="I357" s="6" t="s">
        <v>384</v>
      </c>
      <c r="J357" s="6" t="s">
        <v>13</v>
      </c>
      <c r="K357" s="6" t="s">
        <v>149</v>
      </c>
      <c r="L357" s="6" t="s">
        <v>3231</v>
      </c>
      <c r="M357" s="6" t="s">
        <v>11511</v>
      </c>
      <c r="N357" s="6"/>
    </row>
    <row r="358" customFormat="false" ht="15" hidden="false" customHeight="false" outlineLevel="0" collapsed="false">
      <c r="A358" s="6" t="s">
        <v>11514</v>
      </c>
      <c r="B358" s="6" t="s">
        <v>151</v>
      </c>
      <c r="C358" s="7" t="n">
        <v>45199</v>
      </c>
      <c r="D358" s="6" t="s">
        <v>380</v>
      </c>
      <c r="E358" s="6" t="s">
        <v>10904</v>
      </c>
      <c r="F358" s="6" t="s">
        <v>4820</v>
      </c>
      <c r="G358" s="6" t="s">
        <v>10849</v>
      </c>
      <c r="H358" s="9" t="n">
        <v>64890</v>
      </c>
      <c r="I358" s="6" t="s">
        <v>384</v>
      </c>
      <c r="J358" s="6" t="s">
        <v>13</v>
      </c>
      <c r="K358" s="6" t="s">
        <v>149</v>
      </c>
      <c r="L358" s="6" t="s">
        <v>3414</v>
      </c>
      <c r="M358" s="6" t="s">
        <v>11511</v>
      </c>
      <c r="N358" s="6"/>
    </row>
    <row r="359" customFormat="false" ht="15" hidden="false" customHeight="false" outlineLevel="0" collapsed="false">
      <c r="A359" s="6" t="s">
        <v>11515</v>
      </c>
      <c r="B359" s="6" t="s">
        <v>156</v>
      </c>
      <c r="C359" s="7" t="n">
        <v>45291</v>
      </c>
      <c r="D359" s="6" t="s">
        <v>380</v>
      </c>
      <c r="E359" s="6" t="s">
        <v>10838</v>
      </c>
      <c r="F359" s="6" t="s">
        <v>10839</v>
      </c>
      <c r="G359" s="6" t="s">
        <v>10840</v>
      </c>
      <c r="H359" s="9" t="n">
        <v>180162</v>
      </c>
      <c r="I359" s="6" t="s">
        <v>384</v>
      </c>
      <c r="J359" s="6" t="s">
        <v>13</v>
      </c>
      <c r="K359" s="6" t="s">
        <v>154</v>
      </c>
      <c r="L359" s="6" t="s">
        <v>11516</v>
      </c>
      <c r="M359" s="6" t="s">
        <v>11517</v>
      </c>
      <c r="N359" s="6"/>
    </row>
    <row r="360" customFormat="false" ht="15" hidden="false" customHeight="false" outlineLevel="0" collapsed="false">
      <c r="A360" s="6" t="s">
        <v>11518</v>
      </c>
      <c r="B360" s="6" t="s">
        <v>156</v>
      </c>
      <c r="C360" s="7" t="n">
        <v>45291</v>
      </c>
      <c r="D360" s="6" t="s">
        <v>380</v>
      </c>
      <c r="E360" s="6" t="s">
        <v>10838</v>
      </c>
      <c r="F360" s="6" t="s">
        <v>2706</v>
      </c>
      <c r="G360" s="6" t="s">
        <v>10845</v>
      </c>
      <c r="H360" s="9" t="n">
        <v>1602</v>
      </c>
      <c r="I360" s="6" t="s">
        <v>384</v>
      </c>
      <c r="J360" s="6" t="s">
        <v>13</v>
      </c>
      <c r="K360" s="6" t="s">
        <v>154</v>
      </c>
      <c r="L360" s="6" t="s">
        <v>11519</v>
      </c>
      <c r="M360" s="6" t="s">
        <v>11517</v>
      </c>
      <c r="N360" s="6"/>
    </row>
    <row r="361" customFormat="false" ht="15" hidden="false" customHeight="false" outlineLevel="0" collapsed="false">
      <c r="A361" s="6" t="s">
        <v>11520</v>
      </c>
      <c r="B361" s="6" t="s">
        <v>156</v>
      </c>
      <c r="C361" s="7" t="n">
        <v>45291</v>
      </c>
      <c r="D361" s="6" t="s">
        <v>380</v>
      </c>
      <c r="E361" s="6" t="s">
        <v>10838</v>
      </c>
      <c r="F361" s="6" t="s">
        <v>10848</v>
      </c>
      <c r="G361" s="6" t="s">
        <v>10849</v>
      </c>
      <c r="H361" s="9" t="n">
        <v>181764</v>
      </c>
      <c r="I361" s="6" t="s">
        <v>384</v>
      </c>
      <c r="J361" s="6" t="s">
        <v>13</v>
      </c>
      <c r="K361" s="6" t="s">
        <v>154</v>
      </c>
      <c r="L361" s="6" t="s">
        <v>1794</v>
      </c>
      <c r="M361" s="6" t="s">
        <v>11517</v>
      </c>
      <c r="N361" s="6"/>
    </row>
    <row r="362" customFormat="false" ht="15" hidden="false" customHeight="false" outlineLevel="0" collapsed="false">
      <c r="A362" s="6" t="s">
        <v>11521</v>
      </c>
      <c r="B362" s="6" t="s">
        <v>156</v>
      </c>
      <c r="C362" s="7" t="n">
        <v>45291</v>
      </c>
      <c r="D362" s="6" t="s">
        <v>380</v>
      </c>
      <c r="E362" s="6" t="s">
        <v>10851</v>
      </c>
      <c r="F362" s="6" t="s">
        <v>10852</v>
      </c>
      <c r="G362" s="6" t="s">
        <v>10840</v>
      </c>
      <c r="H362" s="9" t="n">
        <v>41898</v>
      </c>
      <c r="I362" s="6" t="s">
        <v>384</v>
      </c>
      <c r="J362" s="6" t="s">
        <v>13</v>
      </c>
      <c r="K362" s="6" t="s">
        <v>154</v>
      </c>
      <c r="L362" s="6" t="s">
        <v>11522</v>
      </c>
      <c r="M362" s="6" t="s">
        <v>11523</v>
      </c>
      <c r="N362" s="6"/>
    </row>
    <row r="363" customFormat="false" ht="15" hidden="false" customHeight="false" outlineLevel="0" collapsed="false">
      <c r="A363" s="6" t="s">
        <v>11524</v>
      </c>
      <c r="B363" s="6" t="s">
        <v>156</v>
      </c>
      <c r="C363" s="7" t="n">
        <v>45291</v>
      </c>
      <c r="D363" s="6" t="s">
        <v>380</v>
      </c>
      <c r="E363" s="6" t="s">
        <v>10851</v>
      </c>
      <c r="F363" s="6" t="s">
        <v>2706</v>
      </c>
      <c r="G363" s="6" t="s">
        <v>10845</v>
      </c>
      <c r="H363" s="9" t="n">
        <v>-8613</v>
      </c>
      <c r="I363" s="6" t="s">
        <v>384</v>
      </c>
      <c r="J363" s="6" t="s">
        <v>13</v>
      </c>
      <c r="K363" s="6" t="s">
        <v>154</v>
      </c>
      <c r="L363" s="6" t="s">
        <v>11525</v>
      </c>
      <c r="M363" s="6" t="s">
        <v>11523</v>
      </c>
      <c r="N363" s="6"/>
    </row>
    <row r="364" customFormat="false" ht="15" hidden="false" customHeight="false" outlineLevel="0" collapsed="false">
      <c r="A364" s="6" t="s">
        <v>11526</v>
      </c>
      <c r="B364" s="6" t="s">
        <v>156</v>
      </c>
      <c r="C364" s="7" t="n">
        <v>45291</v>
      </c>
      <c r="D364" s="6" t="s">
        <v>380</v>
      </c>
      <c r="E364" s="6" t="s">
        <v>10851</v>
      </c>
      <c r="F364" s="6" t="s">
        <v>10858</v>
      </c>
      <c r="G364" s="6" t="s">
        <v>10849</v>
      </c>
      <c r="H364" s="9" t="n">
        <v>33285</v>
      </c>
      <c r="I364" s="6" t="s">
        <v>384</v>
      </c>
      <c r="J364" s="6" t="s">
        <v>13</v>
      </c>
      <c r="K364" s="6" t="s">
        <v>154</v>
      </c>
      <c r="L364" s="6" t="s">
        <v>1987</v>
      </c>
      <c r="M364" s="6" t="s">
        <v>11523</v>
      </c>
      <c r="N364" s="6"/>
    </row>
    <row r="365" customFormat="false" ht="15" hidden="false" customHeight="false" outlineLevel="0" collapsed="false">
      <c r="A365" s="6" t="s">
        <v>11527</v>
      </c>
      <c r="B365" s="6" t="s">
        <v>156</v>
      </c>
      <c r="C365" s="7" t="n">
        <v>45291</v>
      </c>
      <c r="D365" s="6" t="s">
        <v>380</v>
      </c>
      <c r="E365" s="6" t="s">
        <v>10851</v>
      </c>
      <c r="F365" s="6" t="s">
        <v>10860</v>
      </c>
      <c r="G365" s="6" t="s">
        <v>10840</v>
      </c>
      <c r="H365" s="9" t="n">
        <v>114919</v>
      </c>
      <c r="I365" s="6" t="s">
        <v>384</v>
      </c>
      <c r="J365" s="6" t="s">
        <v>13</v>
      </c>
      <c r="K365" s="6" t="s">
        <v>154</v>
      </c>
      <c r="L365" s="6" t="s">
        <v>11528</v>
      </c>
      <c r="M365" s="6" t="s">
        <v>11529</v>
      </c>
      <c r="N365" s="6"/>
    </row>
    <row r="366" customFormat="false" ht="15" hidden="false" customHeight="false" outlineLevel="0" collapsed="false">
      <c r="A366" s="6" t="s">
        <v>11530</v>
      </c>
      <c r="B366" s="6" t="s">
        <v>156</v>
      </c>
      <c r="C366" s="7" t="n">
        <v>45291</v>
      </c>
      <c r="D366" s="6" t="s">
        <v>380</v>
      </c>
      <c r="E366" s="6" t="s">
        <v>10851</v>
      </c>
      <c r="F366" s="6" t="s">
        <v>2706</v>
      </c>
      <c r="G366" s="6" t="s">
        <v>10845</v>
      </c>
      <c r="H366" s="9" t="n">
        <v>-4899</v>
      </c>
      <c r="I366" s="6" t="s">
        <v>384</v>
      </c>
      <c r="J366" s="6" t="s">
        <v>13</v>
      </c>
      <c r="K366" s="6" t="s">
        <v>154</v>
      </c>
      <c r="L366" s="6" t="s">
        <v>11525</v>
      </c>
      <c r="M366" s="6" t="s">
        <v>11529</v>
      </c>
      <c r="N366" s="6"/>
    </row>
    <row r="367" customFormat="false" ht="15" hidden="false" customHeight="false" outlineLevel="0" collapsed="false">
      <c r="A367" s="6" t="s">
        <v>11531</v>
      </c>
      <c r="B367" s="6" t="s">
        <v>156</v>
      </c>
      <c r="C367" s="7" t="n">
        <v>45291</v>
      </c>
      <c r="D367" s="6" t="s">
        <v>380</v>
      </c>
      <c r="E367" s="6" t="s">
        <v>10851</v>
      </c>
      <c r="F367" s="6" t="s">
        <v>10865</v>
      </c>
      <c r="G367" s="6" t="s">
        <v>10849</v>
      </c>
      <c r="H367" s="9" t="n">
        <v>110020</v>
      </c>
      <c r="I367" s="6" t="s">
        <v>384</v>
      </c>
      <c r="J367" s="6" t="s">
        <v>13</v>
      </c>
      <c r="K367" s="6" t="s">
        <v>154</v>
      </c>
      <c r="L367" s="6" t="s">
        <v>2102</v>
      </c>
      <c r="M367" s="6" t="s">
        <v>11529</v>
      </c>
      <c r="N367" s="6"/>
    </row>
    <row r="368" customFormat="false" ht="15" hidden="false" customHeight="false" outlineLevel="0" collapsed="false">
      <c r="A368" s="6" t="s">
        <v>11532</v>
      </c>
      <c r="B368" s="6" t="s">
        <v>156</v>
      </c>
      <c r="C368" s="7" t="n">
        <v>45291</v>
      </c>
      <c r="D368" s="6" t="s">
        <v>380</v>
      </c>
      <c r="E368" s="6" t="s">
        <v>10851</v>
      </c>
      <c r="F368" s="6" t="s">
        <v>10867</v>
      </c>
      <c r="G368" s="6" t="s">
        <v>10840</v>
      </c>
      <c r="H368" s="9" t="n">
        <v>24490</v>
      </c>
      <c r="I368" s="6" t="s">
        <v>384</v>
      </c>
      <c r="J368" s="6" t="s">
        <v>13</v>
      </c>
      <c r="K368" s="6" t="s">
        <v>154</v>
      </c>
      <c r="L368" s="6" t="s">
        <v>11533</v>
      </c>
      <c r="M368" s="6" t="s">
        <v>11534</v>
      </c>
      <c r="N368" s="6"/>
    </row>
    <row r="369" customFormat="false" ht="15" hidden="false" customHeight="false" outlineLevel="0" collapsed="false">
      <c r="A369" s="6" t="s">
        <v>11535</v>
      </c>
      <c r="B369" s="6" t="s">
        <v>156</v>
      </c>
      <c r="C369" s="7" t="n">
        <v>45291</v>
      </c>
      <c r="D369" s="6" t="s">
        <v>380</v>
      </c>
      <c r="E369" s="6" t="s">
        <v>10851</v>
      </c>
      <c r="F369" s="6" t="s">
        <v>2706</v>
      </c>
      <c r="G369" s="6" t="s">
        <v>10845</v>
      </c>
      <c r="H369" s="9" t="n">
        <v>-7231</v>
      </c>
      <c r="I369" s="6" t="s">
        <v>384</v>
      </c>
      <c r="J369" s="6" t="s">
        <v>13</v>
      </c>
      <c r="K369" s="6" t="s">
        <v>154</v>
      </c>
      <c r="L369" s="6" t="s">
        <v>11525</v>
      </c>
      <c r="M369" s="6" t="s">
        <v>11534</v>
      </c>
      <c r="N369" s="6"/>
    </row>
    <row r="370" customFormat="false" ht="15" hidden="false" customHeight="false" outlineLevel="0" collapsed="false">
      <c r="A370" s="6" t="s">
        <v>11536</v>
      </c>
      <c r="B370" s="6" t="s">
        <v>156</v>
      </c>
      <c r="C370" s="7" t="n">
        <v>45291</v>
      </c>
      <c r="D370" s="6" t="s">
        <v>380</v>
      </c>
      <c r="E370" s="6" t="s">
        <v>10851</v>
      </c>
      <c r="F370" s="6" t="s">
        <v>10872</v>
      </c>
      <c r="G370" s="6" t="s">
        <v>10849</v>
      </c>
      <c r="H370" s="9" t="n">
        <v>17259</v>
      </c>
      <c r="I370" s="6" t="s">
        <v>384</v>
      </c>
      <c r="J370" s="6" t="s">
        <v>13</v>
      </c>
      <c r="K370" s="6" t="s">
        <v>154</v>
      </c>
      <c r="L370" s="6" t="s">
        <v>2217</v>
      </c>
      <c r="M370" s="6" t="s">
        <v>11534</v>
      </c>
      <c r="N370" s="6"/>
    </row>
    <row r="371" customFormat="false" ht="15" hidden="false" customHeight="false" outlineLevel="0" collapsed="false">
      <c r="A371" s="6" t="s">
        <v>11537</v>
      </c>
      <c r="B371" s="6" t="s">
        <v>156</v>
      </c>
      <c r="C371" s="7" t="n">
        <v>45291</v>
      </c>
      <c r="D371" s="6" t="s">
        <v>380</v>
      </c>
      <c r="E371" s="6" t="s">
        <v>11306</v>
      </c>
      <c r="F371" s="6" t="s">
        <v>10165</v>
      </c>
      <c r="G371" s="6" t="s">
        <v>10840</v>
      </c>
      <c r="H371" s="9" t="n">
        <v>-1145</v>
      </c>
      <c r="I371" s="6" t="s">
        <v>384</v>
      </c>
      <c r="J371" s="6" t="s">
        <v>13</v>
      </c>
      <c r="K371" s="6" t="s">
        <v>154</v>
      </c>
      <c r="L371" s="6" t="s">
        <v>11538</v>
      </c>
      <c r="M371" s="6" t="s">
        <v>11539</v>
      </c>
      <c r="N371" s="6"/>
    </row>
    <row r="372" customFormat="false" ht="15" hidden="false" customHeight="false" outlineLevel="0" collapsed="false">
      <c r="A372" s="6" t="s">
        <v>11540</v>
      </c>
      <c r="B372" s="6" t="s">
        <v>156</v>
      </c>
      <c r="C372" s="7" t="n">
        <v>45291</v>
      </c>
      <c r="D372" s="6" t="s">
        <v>380</v>
      </c>
      <c r="E372" s="6" t="s">
        <v>11306</v>
      </c>
      <c r="F372" s="6" t="s">
        <v>2706</v>
      </c>
      <c r="G372" s="6" t="s">
        <v>10845</v>
      </c>
      <c r="H372" s="9" t="n">
        <v>22345</v>
      </c>
      <c r="I372" s="6" t="s">
        <v>384</v>
      </c>
      <c r="J372" s="6" t="s">
        <v>13</v>
      </c>
      <c r="K372" s="6" t="s">
        <v>154</v>
      </c>
      <c r="L372" s="6" t="s">
        <v>2766</v>
      </c>
      <c r="M372" s="6" t="s">
        <v>11539</v>
      </c>
      <c r="N372" s="6"/>
    </row>
    <row r="373" customFormat="false" ht="15" hidden="false" customHeight="false" outlineLevel="0" collapsed="false">
      <c r="A373" s="6" t="s">
        <v>11541</v>
      </c>
      <c r="B373" s="6" t="s">
        <v>156</v>
      </c>
      <c r="C373" s="7" t="n">
        <v>45291</v>
      </c>
      <c r="D373" s="6" t="s">
        <v>380</v>
      </c>
      <c r="E373" s="6" t="s">
        <v>11306</v>
      </c>
      <c r="F373" s="6" t="s">
        <v>4717</v>
      </c>
      <c r="G373" s="6" t="s">
        <v>10849</v>
      </c>
      <c r="H373" s="9" t="n">
        <v>21200</v>
      </c>
      <c r="I373" s="6" t="s">
        <v>384</v>
      </c>
      <c r="J373" s="6" t="s">
        <v>13</v>
      </c>
      <c r="K373" s="6" t="s">
        <v>154</v>
      </c>
      <c r="L373" s="6" t="s">
        <v>2332</v>
      </c>
      <c r="M373" s="6" t="s">
        <v>11539</v>
      </c>
      <c r="N373" s="6"/>
    </row>
    <row r="374" customFormat="false" ht="15" hidden="false" customHeight="false" outlineLevel="0" collapsed="false">
      <c r="A374" s="6" t="s">
        <v>11542</v>
      </c>
      <c r="B374" s="6" t="s">
        <v>156</v>
      </c>
      <c r="C374" s="7" t="n">
        <v>45291</v>
      </c>
      <c r="D374" s="6" t="s">
        <v>380</v>
      </c>
      <c r="E374" s="6" t="s">
        <v>11256</v>
      </c>
      <c r="F374" s="6" t="s">
        <v>11501</v>
      </c>
      <c r="G374" s="6" t="s">
        <v>10840</v>
      </c>
      <c r="H374" s="9" t="n">
        <v>12337</v>
      </c>
      <c r="I374" s="6" t="s">
        <v>384</v>
      </c>
      <c r="J374" s="6" t="s">
        <v>13</v>
      </c>
      <c r="K374" s="6" t="s">
        <v>154</v>
      </c>
      <c r="L374" s="6" t="s">
        <v>11543</v>
      </c>
      <c r="M374" s="6" t="s">
        <v>11544</v>
      </c>
      <c r="N374" s="6"/>
    </row>
    <row r="375" customFormat="false" ht="15" hidden="false" customHeight="false" outlineLevel="0" collapsed="false">
      <c r="A375" s="6" t="s">
        <v>11545</v>
      </c>
      <c r="B375" s="6" t="s">
        <v>156</v>
      </c>
      <c r="C375" s="7" t="n">
        <v>45291</v>
      </c>
      <c r="D375" s="6" t="s">
        <v>380</v>
      </c>
      <c r="E375" s="6" t="s">
        <v>11256</v>
      </c>
      <c r="F375" s="6" t="s">
        <v>2706</v>
      </c>
      <c r="G375" s="6" t="s">
        <v>10845</v>
      </c>
      <c r="H375" s="9" t="n">
        <v>22345</v>
      </c>
      <c r="I375" s="6" t="s">
        <v>384</v>
      </c>
      <c r="J375" s="6" t="s">
        <v>13</v>
      </c>
      <c r="K375" s="6" t="s">
        <v>154</v>
      </c>
      <c r="L375" s="6" t="s">
        <v>11546</v>
      </c>
      <c r="M375" s="6" t="s">
        <v>11544</v>
      </c>
      <c r="N375" s="6"/>
    </row>
    <row r="376" customFormat="false" ht="15" hidden="false" customHeight="false" outlineLevel="0" collapsed="false">
      <c r="A376" s="6" t="s">
        <v>11547</v>
      </c>
      <c r="B376" s="6" t="s">
        <v>156</v>
      </c>
      <c r="C376" s="7" t="n">
        <v>45291</v>
      </c>
      <c r="D376" s="6" t="s">
        <v>380</v>
      </c>
      <c r="E376" s="6" t="s">
        <v>11256</v>
      </c>
      <c r="F376" s="6" t="s">
        <v>10885</v>
      </c>
      <c r="G376" s="6" t="s">
        <v>10845</v>
      </c>
      <c r="H376" s="9" t="n">
        <v>-972</v>
      </c>
      <c r="I376" s="6" t="s">
        <v>384</v>
      </c>
      <c r="J376" s="6" t="s">
        <v>13</v>
      </c>
      <c r="K376" s="6" t="s">
        <v>154</v>
      </c>
      <c r="L376" s="6" t="s">
        <v>11548</v>
      </c>
      <c r="M376" s="6" t="s">
        <v>11544</v>
      </c>
      <c r="N376" s="6"/>
    </row>
    <row r="377" customFormat="false" ht="15" hidden="false" customHeight="false" outlineLevel="0" collapsed="false">
      <c r="A377" s="6" t="s">
        <v>11549</v>
      </c>
      <c r="B377" s="6" t="s">
        <v>156</v>
      </c>
      <c r="C377" s="7" t="n">
        <v>45291</v>
      </c>
      <c r="D377" s="6" t="s">
        <v>380</v>
      </c>
      <c r="E377" s="6" t="s">
        <v>11256</v>
      </c>
      <c r="F377" s="6" t="s">
        <v>11264</v>
      </c>
      <c r="G377" s="6" t="s">
        <v>10849</v>
      </c>
      <c r="H377" s="9" t="n">
        <v>33710</v>
      </c>
      <c r="I377" s="6" t="s">
        <v>384</v>
      </c>
      <c r="J377" s="6" t="s">
        <v>13</v>
      </c>
      <c r="K377" s="6" t="s">
        <v>154</v>
      </c>
      <c r="L377" s="6" t="s">
        <v>2540</v>
      </c>
      <c r="M377" s="6" t="s">
        <v>11544</v>
      </c>
      <c r="N377" s="6"/>
    </row>
    <row r="378" customFormat="false" ht="15" hidden="false" customHeight="false" outlineLevel="0" collapsed="false">
      <c r="A378" s="6" t="s">
        <v>11550</v>
      </c>
      <c r="B378" s="6" t="s">
        <v>156</v>
      </c>
      <c r="C378" s="7" t="n">
        <v>45291</v>
      </c>
      <c r="D378" s="6" t="s">
        <v>380</v>
      </c>
      <c r="E378" s="6" t="s">
        <v>10904</v>
      </c>
      <c r="F378" s="6" t="s">
        <v>8429</v>
      </c>
      <c r="G378" s="6" t="s">
        <v>10840</v>
      </c>
      <c r="H378" s="9" t="n">
        <v>58508</v>
      </c>
      <c r="I378" s="6" t="s">
        <v>384</v>
      </c>
      <c r="J378" s="6" t="s">
        <v>13</v>
      </c>
      <c r="K378" s="6" t="s">
        <v>154</v>
      </c>
      <c r="L378" s="6" t="s">
        <v>11551</v>
      </c>
      <c r="M378" s="6" t="s">
        <v>11552</v>
      </c>
      <c r="N378" s="6"/>
    </row>
    <row r="379" customFormat="false" ht="15" hidden="false" customHeight="false" outlineLevel="0" collapsed="false">
      <c r="A379" s="6" t="s">
        <v>11553</v>
      </c>
      <c r="B379" s="6" t="s">
        <v>156</v>
      </c>
      <c r="C379" s="7" t="n">
        <v>45291</v>
      </c>
      <c r="D379" s="6" t="s">
        <v>380</v>
      </c>
      <c r="E379" s="6" t="s">
        <v>10904</v>
      </c>
      <c r="F379" s="6" t="s">
        <v>8520</v>
      </c>
      <c r="G379" s="6" t="s">
        <v>10845</v>
      </c>
      <c r="H379" s="9" t="n">
        <v>-2438</v>
      </c>
      <c r="I379" s="6" t="s">
        <v>384</v>
      </c>
      <c r="J379" s="6" t="s">
        <v>13</v>
      </c>
      <c r="K379" s="6" t="s">
        <v>154</v>
      </c>
      <c r="L379" s="6" t="s">
        <v>3123</v>
      </c>
      <c r="M379" s="6" t="s">
        <v>11552</v>
      </c>
      <c r="N379" s="6"/>
    </row>
    <row r="380" customFormat="false" ht="15" hidden="false" customHeight="false" outlineLevel="0" collapsed="false">
      <c r="A380" s="6" t="s">
        <v>11554</v>
      </c>
      <c r="B380" s="6" t="s">
        <v>156</v>
      </c>
      <c r="C380" s="7" t="n">
        <v>45291</v>
      </c>
      <c r="D380" s="6" t="s">
        <v>380</v>
      </c>
      <c r="E380" s="6" t="s">
        <v>10904</v>
      </c>
      <c r="F380" s="6" t="s">
        <v>8081</v>
      </c>
      <c r="G380" s="6" t="s">
        <v>10845</v>
      </c>
      <c r="H380" s="9" t="n">
        <v>-629</v>
      </c>
      <c r="I380" s="6" t="s">
        <v>384</v>
      </c>
      <c r="J380" s="6" t="s">
        <v>13</v>
      </c>
      <c r="K380" s="6" t="s">
        <v>154</v>
      </c>
      <c r="L380" s="6" t="s">
        <v>3237</v>
      </c>
      <c r="M380" s="6" t="s">
        <v>11552</v>
      </c>
      <c r="N380" s="6"/>
    </row>
    <row r="381" customFormat="false" ht="15" hidden="false" customHeight="false" outlineLevel="0" collapsed="false">
      <c r="A381" s="6" t="s">
        <v>11555</v>
      </c>
      <c r="B381" s="6" t="s">
        <v>156</v>
      </c>
      <c r="C381" s="7" t="n">
        <v>45291</v>
      </c>
      <c r="D381" s="6" t="s">
        <v>380</v>
      </c>
      <c r="E381" s="6" t="s">
        <v>10904</v>
      </c>
      <c r="F381" s="6" t="s">
        <v>4820</v>
      </c>
      <c r="G381" s="6" t="s">
        <v>10849</v>
      </c>
      <c r="H381" s="9" t="n">
        <v>55441</v>
      </c>
      <c r="I381" s="6" t="s">
        <v>384</v>
      </c>
      <c r="J381" s="6" t="s">
        <v>13</v>
      </c>
      <c r="K381" s="6" t="s">
        <v>154</v>
      </c>
      <c r="L381" s="6" t="s">
        <v>3420</v>
      </c>
      <c r="M381" s="6" t="s">
        <v>11552</v>
      </c>
      <c r="N381" s="6"/>
    </row>
    <row r="382" customFormat="false" ht="15" hidden="false" customHeight="false" outlineLevel="0" collapsed="false">
      <c r="A382" s="6" t="s">
        <v>11556</v>
      </c>
      <c r="B382" s="6" t="s">
        <v>225</v>
      </c>
      <c r="C382" s="7" t="n">
        <v>45291</v>
      </c>
      <c r="D382" s="6" t="s">
        <v>407</v>
      </c>
      <c r="E382" s="6" t="s">
        <v>10838</v>
      </c>
      <c r="F382" s="6" t="s">
        <v>10839</v>
      </c>
      <c r="G382" s="6" t="s">
        <v>10840</v>
      </c>
      <c r="H382" s="9" t="n">
        <v>649050</v>
      </c>
      <c r="I382" s="6" t="s">
        <v>384</v>
      </c>
      <c r="J382" s="6" t="s">
        <v>13</v>
      </c>
      <c r="K382" s="6" t="s">
        <v>154</v>
      </c>
      <c r="L382" s="6" t="s">
        <v>11557</v>
      </c>
      <c r="M382" s="6" t="s">
        <v>11558</v>
      </c>
      <c r="N382" s="6"/>
    </row>
    <row r="383" customFormat="false" ht="15" hidden="false" customHeight="false" outlineLevel="0" collapsed="false">
      <c r="A383" s="6" t="s">
        <v>11559</v>
      </c>
      <c r="B383" s="6" t="s">
        <v>225</v>
      </c>
      <c r="C383" s="7" t="n">
        <v>45291</v>
      </c>
      <c r="D383" s="6" t="s">
        <v>407</v>
      </c>
      <c r="E383" s="6" t="s">
        <v>10838</v>
      </c>
      <c r="F383" s="6" t="s">
        <v>2706</v>
      </c>
      <c r="G383" s="6" t="s">
        <v>10845</v>
      </c>
      <c r="H383" s="9" t="n">
        <v>6307</v>
      </c>
      <c r="I383" s="6" t="s">
        <v>384</v>
      </c>
      <c r="J383" s="6" t="s">
        <v>13</v>
      </c>
      <c r="K383" s="6" t="s">
        <v>154</v>
      </c>
      <c r="L383" s="6" t="s">
        <v>11560</v>
      </c>
      <c r="M383" s="6" t="s">
        <v>11558</v>
      </c>
      <c r="N383" s="6"/>
    </row>
    <row r="384" customFormat="false" ht="15" hidden="false" customHeight="false" outlineLevel="0" collapsed="false">
      <c r="A384" s="6" t="s">
        <v>11561</v>
      </c>
      <c r="B384" s="6" t="s">
        <v>225</v>
      </c>
      <c r="C384" s="7" t="n">
        <v>45291</v>
      </c>
      <c r="D384" s="6" t="s">
        <v>407</v>
      </c>
      <c r="E384" s="6" t="s">
        <v>10838</v>
      </c>
      <c r="F384" s="6" t="s">
        <v>10848</v>
      </c>
      <c r="G384" s="6" t="s">
        <v>10849</v>
      </c>
      <c r="H384" s="9" t="n">
        <v>655357</v>
      </c>
      <c r="I384" s="6" t="s">
        <v>384</v>
      </c>
      <c r="J384" s="6" t="s">
        <v>13</v>
      </c>
      <c r="K384" s="6" t="s">
        <v>154</v>
      </c>
      <c r="L384" s="6" t="s">
        <v>1797</v>
      </c>
      <c r="M384" s="6" t="s">
        <v>11558</v>
      </c>
      <c r="N384" s="6"/>
    </row>
    <row r="385" customFormat="false" ht="15" hidden="false" customHeight="false" outlineLevel="0" collapsed="false">
      <c r="A385" s="6" t="s">
        <v>11562</v>
      </c>
      <c r="B385" s="6" t="s">
        <v>225</v>
      </c>
      <c r="C385" s="7" t="n">
        <v>45291</v>
      </c>
      <c r="D385" s="6" t="s">
        <v>407</v>
      </c>
      <c r="E385" s="6" t="s">
        <v>10851</v>
      </c>
      <c r="F385" s="6" t="s">
        <v>10852</v>
      </c>
      <c r="G385" s="6" t="s">
        <v>10840</v>
      </c>
      <c r="H385" s="9" t="n">
        <v>156500</v>
      </c>
      <c r="I385" s="6" t="s">
        <v>384</v>
      </c>
      <c r="J385" s="6" t="s">
        <v>13</v>
      </c>
      <c r="K385" s="6" t="s">
        <v>154</v>
      </c>
      <c r="L385" s="6" t="s">
        <v>11563</v>
      </c>
      <c r="M385" s="6" t="s">
        <v>11564</v>
      </c>
      <c r="N385" s="6"/>
    </row>
    <row r="386" customFormat="false" ht="15" hidden="false" customHeight="false" outlineLevel="0" collapsed="false">
      <c r="A386" s="6" t="s">
        <v>11565</v>
      </c>
      <c r="B386" s="6" t="s">
        <v>225</v>
      </c>
      <c r="C386" s="7" t="n">
        <v>45291</v>
      </c>
      <c r="D386" s="6" t="s">
        <v>407</v>
      </c>
      <c r="E386" s="6" t="s">
        <v>10851</v>
      </c>
      <c r="F386" s="6" t="s">
        <v>2706</v>
      </c>
      <c r="G386" s="6" t="s">
        <v>10845</v>
      </c>
      <c r="H386" s="9" t="n">
        <v>-38737</v>
      </c>
      <c r="I386" s="6" t="s">
        <v>384</v>
      </c>
      <c r="J386" s="6" t="s">
        <v>13</v>
      </c>
      <c r="K386" s="6" t="s">
        <v>154</v>
      </c>
      <c r="L386" s="6" t="s">
        <v>11566</v>
      </c>
      <c r="M386" s="6" t="s">
        <v>11564</v>
      </c>
      <c r="N386" s="6"/>
    </row>
    <row r="387" customFormat="false" ht="15" hidden="false" customHeight="false" outlineLevel="0" collapsed="false">
      <c r="A387" s="6" t="s">
        <v>11567</v>
      </c>
      <c r="B387" s="6" t="s">
        <v>225</v>
      </c>
      <c r="C387" s="7" t="n">
        <v>45291</v>
      </c>
      <c r="D387" s="6" t="s">
        <v>407</v>
      </c>
      <c r="E387" s="6" t="s">
        <v>10851</v>
      </c>
      <c r="F387" s="6" t="s">
        <v>10858</v>
      </c>
      <c r="G387" s="6" t="s">
        <v>10849</v>
      </c>
      <c r="H387" s="9" t="n">
        <v>117763</v>
      </c>
      <c r="I387" s="6" t="s">
        <v>384</v>
      </c>
      <c r="J387" s="6" t="s">
        <v>13</v>
      </c>
      <c r="K387" s="6" t="s">
        <v>154</v>
      </c>
      <c r="L387" s="6" t="s">
        <v>1990</v>
      </c>
      <c r="M387" s="6" t="s">
        <v>11564</v>
      </c>
      <c r="N387" s="6"/>
    </row>
    <row r="388" customFormat="false" ht="15" hidden="false" customHeight="false" outlineLevel="0" collapsed="false">
      <c r="A388" s="6" t="s">
        <v>11568</v>
      </c>
      <c r="B388" s="6" t="s">
        <v>225</v>
      </c>
      <c r="C388" s="7" t="n">
        <v>45291</v>
      </c>
      <c r="D388" s="6" t="s">
        <v>407</v>
      </c>
      <c r="E388" s="6" t="s">
        <v>10851</v>
      </c>
      <c r="F388" s="6" t="s">
        <v>10860</v>
      </c>
      <c r="G388" s="6" t="s">
        <v>10840</v>
      </c>
      <c r="H388" s="9" t="n">
        <v>438402</v>
      </c>
      <c r="I388" s="6" t="s">
        <v>384</v>
      </c>
      <c r="J388" s="6" t="s">
        <v>13</v>
      </c>
      <c r="K388" s="6" t="s">
        <v>154</v>
      </c>
      <c r="L388" s="6" t="s">
        <v>11569</v>
      </c>
      <c r="M388" s="6" t="s">
        <v>11570</v>
      </c>
      <c r="N388" s="6"/>
    </row>
    <row r="389" customFormat="false" ht="15" hidden="false" customHeight="false" outlineLevel="0" collapsed="false">
      <c r="A389" s="6" t="s">
        <v>11571</v>
      </c>
      <c r="B389" s="6" t="s">
        <v>225</v>
      </c>
      <c r="C389" s="7" t="n">
        <v>45291</v>
      </c>
      <c r="D389" s="6" t="s">
        <v>407</v>
      </c>
      <c r="E389" s="6" t="s">
        <v>10851</v>
      </c>
      <c r="F389" s="6" t="s">
        <v>2706</v>
      </c>
      <c r="G389" s="6" t="s">
        <v>10845</v>
      </c>
      <c r="H389" s="9" t="n">
        <v>-25395</v>
      </c>
      <c r="I389" s="6" t="s">
        <v>384</v>
      </c>
      <c r="J389" s="6" t="s">
        <v>13</v>
      </c>
      <c r="K389" s="6" t="s">
        <v>154</v>
      </c>
      <c r="L389" s="6" t="s">
        <v>11566</v>
      </c>
      <c r="M389" s="6" t="s">
        <v>11570</v>
      </c>
      <c r="N389" s="6"/>
    </row>
    <row r="390" customFormat="false" ht="15" hidden="false" customHeight="false" outlineLevel="0" collapsed="false">
      <c r="A390" s="6" t="s">
        <v>11572</v>
      </c>
      <c r="B390" s="6" t="s">
        <v>225</v>
      </c>
      <c r="C390" s="7" t="n">
        <v>45291</v>
      </c>
      <c r="D390" s="6" t="s">
        <v>407</v>
      </c>
      <c r="E390" s="6" t="s">
        <v>10851</v>
      </c>
      <c r="F390" s="6" t="s">
        <v>10865</v>
      </c>
      <c r="G390" s="6" t="s">
        <v>10849</v>
      </c>
      <c r="H390" s="9" t="n">
        <v>413007</v>
      </c>
      <c r="I390" s="6" t="s">
        <v>384</v>
      </c>
      <c r="J390" s="6" t="s">
        <v>13</v>
      </c>
      <c r="K390" s="6" t="s">
        <v>154</v>
      </c>
      <c r="L390" s="6" t="s">
        <v>2105</v>
      </c>
      <c r="M390" s="6" t="s">
        <v>11570</v>
      </c>
      <c r="N390" s="6"/>
    </row>
    <row r="391" customFormat="false" ht="15" hidden="false" customHeight="false" outlineLevel="0" collapsed="false">
      <c r="A391" s="6" t="s">
        <v>11573</v>
      </c>
      <c r="B391" s="6" t="s">
        <v>225</v>
      </c>
      <c r="C391" s="7" t="n">
        <v>45291</v>
      </c>
      <c r="D391" s="6" t="s">
        <v>407</v>
      </c>
      <c r="E391" s="6" t="s">
        <v>10851</v>
      </c>
      <c r="F391" s="6" t="s">
        <v>10867</v>
      </c>
      <c r="G391" s="6" t="s">
        <v>10840</v>
      </c>
      <c r="H391" s="9" t="n">
        <v>92733</v>
      </c>
      <c r="I391" s="6" t="s">
        <v>384</v>
      </c>
      <c r="J391" s="6" t="s">
        <v>13</v>
      </c>
      <c r="K391" s="6" t="s">
        <v>154</v>
      </c>
      <c r="L391" s="6" t="s">
        <v>11574</v>
      </c>
      <c r="M391" s="6" t="s">
        <v>11575</v>
      </c>
      <c r="N391" s="6"/>
    </row>
    <row r="392" customFormat="false" ht="15" hidden="false" customHeight="false" outlineLevel="0" collapsed="false">
      <c r="A392" s="6" t="s">
        <v>11576</v>
      </c>
      <c r="B392" s="6" t="s">
        <v>225</v>
      </c>
      <c r="C392" s="7" t="n">
        <v>45291</v>
      </c>
      <c r="D392" s="6" t="s">
        <v>407</v>
      </c>
      <c r="E392" s="6" t="s">
        <v>10851</v>
      </c>
      <c r="F392" s="6" t="s">
        <v>2706</v>
      </c>
      <c r="G392" s="6" t="s">
        <v>10845</v>
      </c>
      <c r="H392" s="9" t="n">
        <v>-29747</v>
      </c>
      <c r="I392" s="6" t="s">
        <v>384</v>
      </c>
      <c r="J392" s="6" t="s">
        <v>13</v>
      </c>
      <c r="K392" s="6" t="s">
        <v>154</v>
      </c>
      <c r="L392" s="6" t="s">
        <v>11566</v>
      </c>
      <c r="M392" s="6" t="s">
        <v>11575</v>
      </c>
      <c r="N392" s="6"/>
    </row>
    <row r="393" customFormat="false" ht="15" hidden="false" customHeight="false" outlineLevel="0" collapsed="false">
      <c r="A393" s="6" t="s">
        <v>11577</v>
      </c>
      <c r="B393" s="6" t="s">
        <v>225</v>
      </c>
      <c r="C393" s="7" t="n">
        <v>45291</v>
      </c>
      <c r="D393" s="6" t="s">
        <v>407</v>
      </c>
      <c r="E393" s="6" t="s">
        <v>10851</v>
      </c>
      <c r="F393" s="6" t="s">
        <v>10872</v>
      </c>
      <c r="G393" s="6" t="s">
        <v>10849</v>
      </c>
      <c r="H393" s="9" t="n">
        <v>62986</v>
      </c>
      <c r="I393" s="6" t="s">
        <v>384</v>
      </c>
      <c r="J393" s="6" t="s">
        <v>13</v>
      </c>
      <c r="K393" s="6" t="s">
        <v>154</v>
      </c>
      <c r="L393" s="6" t="s">
        <v>2220</v>
      </c>
      <c r="M393" s="6" t="s">
        <v>11575</v>
      </c>
      <c r="N393" s="6"/>
    </row>
    <row r="394" customFormat="false" ht="15" hidden="false" customHeight="false" outlineLevel="0" collapsed="false">
      <c r="A394" s="6" t="s">
        <v>11578</v>
      </c>
      <c r="B394" s="6" t="s">
        <v>225</v>
      </c>
      <c r="C394" s="7" t="n">
        <v>45291</v>
      </c>
      <c r="D394" s="6" t="s">
        <v>407</v>
      </c>
      <c r="E394" s="6" t="s">
        <v>11306</v>
      </c>
      <c r="F394" s="6" t="s">
        <v>10165</v>
      </c>
      <c r="G394" s="6" t="s">
        <v>10840</v>
      </c>
      <c r="H394" s="9" t="n">
        <v>-38585</v>
      </c>
      <c r="I394" s="6" t="s">
        <v>384</v>
      </c>
      <c r="J394" s="6" t="s">
        <v>13</v>
      </c>
      <c r="K394" s="6" t="s">
        <v>154</v>
      </c>
      <c r="L394" s="6" t="s">
        <v>11579</v>
      </c>
      <c r="M394" s="6" t="s">
        <v>11580</v>
      </c>
      <c r="N394" s="6"/>
    </row>
    <row r="395" customFormat="false" ht="15" hidden="false" customHeight="false" outlineLevel="0" collapsed="false">
      <c r="A395" s="6" t="s">
        <v>11581</v>
      </c>
      <c r="B395" s="6" t="s">
        <v>225</v>
      </c>
      <c r="C395" s="7" t="n">
        <v>45291</v>
      </c>
      <c r="D395" s="6" t="s">
        <v>407</v>
      </c>
      <c r="E395" s="6" t="s">
        <v>11306</v>
      </c>
      <c r="F395" s="6" t="s">
        <v>2706</v>
      </c>
      <c r="G395" s="6" t="s">
        <v>10845</v>
      </c>
      <c r="H395" s="9" t="n">
        <v>100186</v>
      </c>
      <c r="I395" s="6" t="s">
        <v>384</v>
      </c>
      <c r="J395" s="6" t="s">
        <v>13</v>
      </c>
      <c r="K395" s="6" t="s">
        <v>154</v>
      </c>
      <c r="L395" s="6" t="s">
        <v>2769</v>
      </c>
      <c r="M395" s="6" t="s">
        <v>11580</v>
      </c>
      <c r="N395" s="6"/>
    </row>
    <row r="396" customFormat="false" ht="15" hidden="false" customHeight="false" outlineLevel="0" collapsed="false">
      <c r="A396" s="6" t="s">
        <v>11582</v>
      </c>
      <c r="B396" s="6" t="s">
        <v>225</v>
      </c>
      <c r="C396" s="7" t="n">
        <v>45291</v>
      </c>
      <c r="D396" s="6" t="s">
        <v>407</v>
      </c>
      <c r="E396" s="6" t="s">
        <v>11306</v>
      </c>
      <c r="F396" s="6" t="s">
        <v>4717</v>
      </c>
      <c r="G396" s="6" t="s">
        <v>10849</v>
      </c>
      <c r="H396" s="9" t="n">
        <v>61601</v>
      </c>
      <c r="I396" s="6" t="s">
        <v>384</v>
      </c>
      <c r="J396" s="6" t="s">
        <v>13</v>
      </c>
      <c r="K396" s="6" t="s">
        <v>154</v>
      </c>
      <c r="L396" s="6" t="s">
        <v>2335</v>
      </c>
      <c r="M396" s="6" t="s">
        <v>11580</v>
      </c>
      <c r="N396" s="6"/>
    </row>
    <row r="397" customFormat="false" ht="15" hidden="false" customHeight="false" outlineLevel="0" collapsed="false">
      <c r="A397" s="6" t="s">
        <v>11583</v>
      </c>
      <c r="B397" s="6" t="s">
        <v>225</v>
      </c>
      <c r="C397" s="7" t="n">
        <v>45291</v>
      </c>
      <c r="D397" s="6" t="s">
        <v>407</v>
      </c>
      <c r="E397" s="6" t="s">
        <v>11256</v>
      </c>
      <c r="F397" s="6" t="s">
        <v>11501</v>
      </c>
      <c r="G397" s="6" t="s">
        <v>10840</v>
      </c>
      <c r="H397" s="9" t="n">
        <v>-1877</v>
      </c>
      <c r="I397" s="6" t="s">
        <v>384</v>
      </c>
      <c r="J397" s="6" t="s">
        <v>13</v>
      </c>
      <c r="K397" s="6" t="s">
        <v>154</v>
      </c>
      <c r="L397" s="6" t="s">
        <v>11584</v>
      </c>
      <c r="M397" s="6" t="s">
        <v>11585</v>
      </c>
      <c r="N397" s="6"/>
    </row>
    <row r="398" customFormat="false" ht="15" hidden="false" customHeight="false" outlineLevel="0" collapsed="false">
      <c r="A398" s="6" t="s">
        <v>11586</v>
      </c>
      <c r="B398" s="6" t="s">
        <v>225</v>
      </c>
      <c r="C398" s="7" t="n">
        <v>45291</v>
      </c>
      <c r="D398" s="6" t="s">
        <v>407</v>
      </c>
      <c r="E398" s="6" t="s">
        <v>11256</v>
      </c>
      <c r="F398" s="6" t="s">
        <v>2706</v>
      </c>
      <c r="G398" s="6" t="s">
        <v>10845</v>
      </c>
      <c r="H398" s="9" t="n">
        <v>100186</v>
      </c>
      <c r="I398" s="6" t="s">
        <v>384</v>
      </c>
      <c r="J398" s="6" t="s">
        <v>13</v>
      </c>
      <c r="K398" s="6" t="s">
        <v>154</v>
      </c>
      <c r="L398" s="6" t="s">
        <v>11587</v>
      </c>
      <c r="M398" s="6" t="s">
        <v>11585</v>
      </c>
      <c r="N398" s="6"/>
    </row>
    <row r="399" customFormat="false" ht="15" hidden="false" customHeight="false" outlineLevel="0" collapsed="false">
      <c r="A399" s="6" t="s">
        <v>11588</v>
      </c>
      <c r="B399" s="6" t="s">
        <v>225</v>
      </c>
      <c r="C399" s="7" t="n">
        <v>45291</v>
      </c>
      <c r="D399" s="6" t="s">
        <v>407</v>
      </c>
      <c r="E399" s="6" t="s">
        <v>11256</v>
      </c>
      <c r="F399" s="6" t="s">
        <v>10885</v>
      </c>
      <c r="G399" s="6" t="s">
        <v>10845</v>
      </c>
      <c r="H399" s="9" t="n">
        <v>-3392</v>
      </c>
      <c r="I399" s="6" t="s">
        <v>384</v>
      </c>
      <c r="J399" s="6" t="s">
        <v>13</v>
      </c>
      <c r="K399" s="6" t="s">
        <v>154</v>
      </c>
      <c r="L399" s="6" t="s">
        <v>11589</v>
      </c>
      <c r="M399" s="6" t="s">
        <v>11585</v>
      </c>
      <c r="N399" s="6"/>
    </row>
    <row r="400" customFormat="false" ht="15" hidden="false" customHeight="false" outlineLevel="0" collapsed="false">
      <c r="A400" s="6" t="s">
        <v>11590</v>
      </c>
      <c r="B400" s="6" t="s">
        <v>225</v>
      </c>
      <c r="C400" s="7" t="n">
        <v>45291</v>
      </c>
      <c r="D400" s="6" t="s">
        <v>407</v>
      </c>
      <c r="E400" s="6" t="s">
        <v>11256</v>
      </c>
      <c r="F400" s="6" t="s">
        <v>11264</v>
      </c>
      <c r="G400" s="6" t="s">
        <v>10849</v>
      </c>
      <c r="H400" s="9" t="n">
        <v>94917</v>
      </c>
      <c r="I400" s="6" t="s">
        <v>384</v>
      </c>
      <c r="J400" s="6" t="s">
        <v>13</v>
      </c>
      <c r="K400" s="6" t="s">
        <v>154</v>
      </c>
      <c r="L400" s="6" t="s">
        <v>2543</v>
      </c>
      <c r="M400" s="6" t="s">
        <v>11585</v>
      </c>
      <c r="N400" s="6"/>
    </row>
    <row r="401" customFormat="false" ht="15" hidden="false" customHeight="false" outlineLevel="0" collapsed="false">
      <c r="A401" s="6" t="s">
        <v>11591</v>
      </c>
      <c r="B401" s="6" t="s">
        <v>225</v>
      </c>
      <c r="C401" s="7" t="n">
        <v>45291</v>
      </c>
      <c r="D401" s="6" t="s">
        <v>407</v>
      </c>
      <c r="E401" s="6" t="s">
        <v>10904</v>
      </c>
      <c r="F401" s="6" t="s">
        <v>8429</v>
      </c>
      <c r="G401" s="6" t="s">
        <v>10840</v>
      </c>
      <c r="H401" s="9" t="n">
        <v>215404</v>
      </c>
      <c r="I401" s="6" t="s">
        <v>384</v>
      </c>
      <c r="J401" s="6" t="s">
        <v>13</v>
      </c>
      <c r="K401" s="6" t="s">
        <v>154</v>
      </c>
      <c r="L401" s="6" t="s">
        <v>11592</v>
      </c>
      <c r="M401" s="6" t="s">
        <v>11593</v>
      </c>
      <c r="N401" s="6"/>
    </row>
    <row r="402" customFormat="false" ht="15" hidden="false" customHeight="false" outlineLevel="0" collapsed="false">
      <c r="A402" s="6" t="s">
        <v>11594</v>
      </c>
      <c r="B402" s="6" t="s">
        <v>225</v>
      </c>
      <c r="C402" s="7" t="n">
        <v>45291</v>
      </c>
      <c r="D402" s="6" t="s">
        <v>407</v>
      </c>
      <c r="E402" s="6" t="s">
        <v>10904</v>
      </c>
      <c r="F402" s="6" t="s">
        <v>8520</v>
      </c>
      <c r="G402" s="6" t="s">
        <v>10845</v>
      </c>
      <c r="H402" s="9" t="n">
        <v>-7901</v>
      </c>
      <c r="I402" s="6" t="s">
        <v>384</v>
      </c>
      <c r="J402" s="6" t="s">
        <v>13</v>
      </c>
      <c r="K402" s="6" t="s">
        <v>154</v>
      </c>
      <c r="L402" s="6" t="s">
        <v>3126</v>
      </c>
      <c r="M402" s="6" t="s">
        <v>11593</v>
      </c>
      <c r="N402" s="6"/>
    </row>
    <row r="403" customFormat="false" ht="15" hidden="false" customHeight="false" outlineLevel="0" collapsed="false">
      <c r="A403" s="6" t="s">
        <v>11595</v>
      </c>
      <c r="B403" s="6" t="s">
        <v>225</v>
      </c>
      <c r="C403" s="7" t="n">
        <v>45291</v>
      </c>
      <c r="D403" s="6" t="s">
        <v>407</v>
      </c>
      <c r="E403" s="6" t="s">
        <v>10904</v>
      </c>
      <c r="F403" s="6" t="s">
        <v>8081</v>
      </c>
      <c r="G403" s="6" t="s">
        <v>10845</v>
      </c>
      <c r="H403" s="9" t="n">
        <v>-2558</v>
      </c>
      <c r="I403" s="6" t="s">
        <v>384</v>
      </c>
      <c r="J403" s="6" t="s">
        <v>13</v>
      </c>
      <c r="K403" s="6" t="s">
        <v>154</v>
      </c>
      <c r="L403" s="6" t="s">
        <v>3240</v>
      </c>
      <c r="M403" s="6" t="s">
        <v>11593</v>
      </c>
      <c r="N403" s="6"/>
    </row>
    <row r="404" customFormat="false" ht="15" hidden="false" customHeight="false" outlineLevel="0" collapsed="false">
      <c r="A404" s="6" t="s">
        <v>11596</v>
      </c>
      <c r="B404" s="6" t="s">
        <v>225</v>
      </c>
      <c r="C404" s="7" t="n">
        <v>45291</v>
      </c>
      <c r="D404" s="6" t="s">
        <v>407</v>
      </c>
      <c r="E404" s="6" t="s">
        <v>10904</v>
      </c>
      <c r="F404" s="6" t="s">
        <v>4820</v>
      </c>
      <c r="G404" s="6" t="s">
        <v>10849</v>
      </c>
      <c r="H404" s="9" t="n">
        <v>204945</v>
      </c>
      <c r="I404" s="6" t="s">
        <v>384</v>
      </c>
      <c r="J404" s="6" t="s">
        <v>13</v>
      </c>
      <c r="K404" s="6" t="s">
        <v>154</v>
      </c>
      <c r="L404" s="6" t="s">
        <v>3423</v>
      </c>
      <c r="M404" s="6" t="s">
        <v>11593</v>
      </c>
      <c r="N404" s="6"/>
    </row>
    <row r="405" customFormat="false" ht="15" hidden="false" customHeight="false" outlineLevel="0" collapsed="false">
      <c r="A405" s="6" t="s">
        <v>11597</v>
      </c>
      <c r="B405" s="6" t="s">
        <v>161</v>
      </c>
      <c r="C405" s="7" t="n">
        <v>45382</v>
      </c>
      <c r="D405" s="6" t="s">
        <v>380</v>
      </c>
      <c r="E405" s="6" t="s">
        <v>10838</v>
      </c>
      <c r="F405" s="6" t="s">
        <v>10839</v>
      </c>
      <c r="G405" s="6" t="s">
        <v>10840</v>
      </c>
      <c r="H405" s="9" t="n">
        <v>193459</v>
      </c>
      <c r="I405" s="6" t="s">
        <v>384</v>
      </c>
      <c r="J405" s="6" t="s">
        <v>13</v>
      </c>
      <c r="K405" s="6" t="s">
        <v>159</v>
      </c>
      <c r="L405" s="6" t="s">
        <v>11598</v>
      </c>
      <c r="M405" s="6" t="s">
        <v>11599</v>
      </c>
      <c r="N405" s="6"/>
    </row>
    <row r="406" customFormat="false" ht="15" hidden="false" customHeight="false" outlineLevel="0" collapsed="false">
      <c r="A406" s="6" t="s">
        <v>11600</v>
      </c>
      <c r="B406" s="6" t="s">
        <v>161</v>
      </c>
      <c r="C406" s="7" t="n">
        <v>45382</v>
      </c>
      <c r="D406" s="6" t="s">
        <v>380</v>
      </c>
      <c r="E406" s="6" t="s">
        <v>10838</v>
      </c>
      <c r="F406" s="6" t="s">
        <v>2706</v>
      </c>
      <c r="G406" s="6" t="s">
        <v>10845</v>
      </c>
      <c r="H406" s="9" t="n">
        <v>1244</v>
      </c>
      <c r="I406" s="6" t="s">
        <v>384</v>
      </c>
      <c r="J406" s="6" t="s">
        <v>13</v>
      </c>
      <c r="K406" s="6" t="s">
        <v>159</v>
      </c>
      <c r="L406" s="6" t="s">
        <v>11601</v>
      </c>
      <c r="M406" s="6" t="s">
        <v>11599</v>
      </c>
      <c r="N406" s="6"/>
    </row>
    <row r="407" customFormat="false" ht="15" hidden="false" customHeight="false" outlineLevel="0" collapsed="false">
      <c r="A407" s="6" t="s">
        <v>11602</v>
      </c>
      <c r="B407" s="6" t="s">
        <v>161</v>
      </c>
      <c r="C407" s="7" t="n">
        <v>45382</v>
      </c>
      <c r="D407" s="6" t="s">
        <v>380</v>
      </c>
      <c r="E407" s="6" t="s">
        <v>10838</v>
      </c>
      <c r="F407" s="6" t="s">
        <v>10848</v>
      </c>
      <c r="G407" s="6" t="s">
        <v>10849</v>
      </c>
      <c r="H407" s="9" t="n">
        <v>194703</v>
      </c>
      <c r="I407" s="6" t="s">
        <v>384</v>
      </c>
      <c r="J407" s="6" t="s">
        <v>13</v>
      </c>
      <c r="K407" s="6" t="s">
        <v>159</v>
      </c>
      <c r="L407" s="6" t="s">
        <v>1800</v>
      </c>
      <c r="M407" s="6" t="s">
        <v>11599</v>
      </c>
      <c r="N407" s="6"/>
    </row>
    <row r="408" customFormat="false" ht="15" hidden="false" customHeight="false" outlineLevel="0" collapsed="false">
      <c r="A408" s="6" t="s">
        <v>11603</v>
      </c>
      <c r="B408" s="6" t="s">
        <v>161</v>
      </c>
      <c r="C408" s="7" t="n">
        <v>45382</v>
      </c>
      <c r="D408" s="6" t="s">
        <v>380</v>
      </c>
      <c r="E408" s="6" t="s">
        <v>10851</v>
      </c>
      <c r="F408" s="6" t="s">
        <v>10852</v>
      </c>
      <c r="G408" s="6" t="s">
        <v>10840</v>
      </c>
      <c r="H408" s="9" t="n">
        <v>44423</v>
      </c>
      <c r="I408" s="6" t="s">
        <v>384</v>
      </c>
      <c r="J408" s="6" t="s">
        <v>13</v>
      </c>
      <c r="K408" s="6" t="s">
        <v>159</v>
      </c>
      <c r="L408" s="6" t="s">
        <v>11604</v>
      </c>
      <c r="M408" s="6" t="s">
        <v>11605</v>
      </c>
      <c r="N408" s="6"/>
    </row>
    <row r="409" customFormat="false" ht="15" hidden="false" customHeight="false" outlineLevel="0" collapsed="false">
      <c r="A409" s="6" t="s">
        <v>11606</v>
      </c>
      <c r="B409" s="6" t="s">
        <v>161</v>
      </c>
      <c r="C409" s="7" t="n">
        <v>45382</v>
      </c>
      <c r="D409" s="6" t="s">
        <v>380</v>
      </c>
      <c r="E409" s="6" t="s">
        <v>10851</v>
      </c>
      <c r="F409" s="6" t="s">
        <v>2706</v>
      </c>
      <c r="G409" s="6" t="s">
        <v>10845</v>
      </c>
      <c r="H409" s="9" t="n">
        <v>-9626</v>
      </c>
      <c r="I409" s="6" t="s">
        <v>384</v>
      </c>
      <c r="J409" s="6" t="s">
        <v>13</v>
      </c>
      <c r="K409" s="6" t="s">
        <v>159</v>
      </c>
      <c r="L409" s="6" t="s">
        <v>11607</v>
      </c>
      <c r="M409" s="6" t="s">
        <v>11605</v>
      </c>
      <c r="N409" s="6"/>
    </row>
    <row r="410" customFormat="false" ht="15" hidden="false" customHeight="false" outlineLevel="0" collapsed="false">
      <c r="A410" s="6" t="s">
        <v>11608</v>
      </c>
      <c r="B410" s="6" t="s">
        <v>161</v>
      </c>
      <c r="C410" s="7" t="n">
        <v>45382</v>
      </c>
      <c r="D410" s="6" t="s">
        <v>380</v>
      </c>
      <c r="E410" s="6" t="s">
        <v>10851</v>
      </c>
      <c r="F410" s="6" t="s">
        <v>10858</v>
      </c>
      <c r="G410" s="6" t="s">
        <v>10849</v>
      </c>
      <c r="H410" s="9" t="n">
        <v>34797</v>
      </c>
      <c r="I410" s="6" t="s">
        <v>384</v>
      </c>
      <c r="J410" s="6" t="s">
        <v>13</v>
      </c>
      <c r="K410" s="6" t="s">
        <v>159</v>
      </c>
      <c r="L410" s="6" t="s">
        <v>1993</v>
      </c>
      <c r="M410" s="6" t="s">
        <v>11605</v>
      </c>
      <c r="N410" s="6"/>
    </row>
    <row r="411" customFormat="false" ht="15" hidden="false" customHeight="false" outlineLevel="0" collapsed="false">
      <c r="A411" s="6" t="s">
        <v>11609</v>
      </c>
      <c r="B411" s="6" t="s">
        <v>161</v>
      </c>
      <c r="C411" s="7" t="n">
        <v>45382</v>
      </c>
      <c r="D411" s="6" t="s">
        <v>380</v>
      </c>
      <c r="E411" s="6" t="s">
        <v>10851</v>
      </c>
      <c r="F411" s="6" t="s">
        <v>10860</v>
      </c>
      <c r="G411" s="6" t="s">
        <v>10840</v>
      </c>
      <c r="H411" s="9" t="n">
        <v>128141</v>
      </c>
      <c r="I411" s="6" t="s">
        <v>384</v>
      </c>
      <c r="J411" s="6" t="s">
        <v>13</v>
      </c>
      <c r="K411" s="6" t="s">
        <v>159</v>
      </c>
      <c r="L411" s="6" t="s">
        <v>11610</v>
      </c>
      <c r="M411" s="6" t="s">
        <v>11611</v>
      </c>
      <c r="N411" s="6"/>
    </row>
    <row r="412" customFormat="false" ht="15" hidden="false" customHeight="false" outlineLevel="0" collapsed="false">
      <c r="A412" s="6" t="s">
        <v>11612</v>
      </c>
      <c r="B412" s="6" t="s">
        <v>161</v>
      </c>
      <c r="C412" s="7" t="n">
        <v>45382</v>
      </c>
      <c r="D412" s="6" t="s">
        <v>380</v>
      </c>
      <c r="E412" s="6" t="s">
        <v>10851</v>
      </c>
      <c r="F412" s="6" t="s">
        <v>2706</v>
      </c>
      <c r="G412" s="6" t="s">
        <v>10845</v>
      </c>
      <c r="H412" s="9" t="n">
        <v>-7335</v>
      </c>
      <c r="I412" s="6" t="s">
        <v>384</v>
      </c>
      <c r="J412" s="6" t="s">
        <v>13</v>
      </c>
      <c r="K412" s="6" t="s">
        <v>159</v>
      </c>
      <c r="L412" s="6" t="s">
        <v>11607</v>
      </c>
      <c r="M412" s="6" t="s">
        <v>11611</v>
      </c>
      <c r="N412" s="6"/>
    </row>
    <row r="413" customFormat="false" ht="15" hidden="false" customHeight="false" outlineLevel="0" collapsed="false">
      <c r="A413" s="6" t="s">
        <v>11613</v>
      </c>
      <c r="B413" s="6" t="s">
        <v>161</v>
      </c>
      <c r="C413" s="7" t="n">
        <v>45382</v>
      </c>
      <c r="D413" s="6" t="s">
        <v>380</v>
      </c>
      <c r="E413" s="6" t="s">
        <v>10851</v>
      </c>
      <c r="F413" s="6" t="s">
        <v>10865</v>
      </c>
      <c r="G413" s="6" t="s">
        <v>10849</v>
      </c>
      <c r="H413" s="9" t="n">
        <v>120806</v>
      </c>
      <c r="I413" s="6" t="s">
        <v>384</v>
      </c>
      <c r="J413" s="6" t="s">
        <v>13</v>
      </c>
      <c r="K413" s="6" t="s">
        <v>159</v>
      </c>
      <c r="L413" s="6" t="s">
        <v>2108</v>
      </c>
      <c r="M413" s="6" t="s">
        <v>11611</v>
      </c>
      <c r="N413" s="6"/>
    </row>
    <row r="414" customFormat="false" ht="15" hidden="false" customHeight="false" outlineLevel="0" collapsed="false">
      <c r="A414" s="6" t="s">
        <v>11614</v>
      </c>
      <c r="B414" s="6" t="s">
        <v>161</v>
      </c>
      <c r="C414" s="7" t="n">
        <v>45382</v>
      </c>
      <c r="D414" s="6" t="s">
        <v>380</v>
      </c>
      <c r="E414" s="6" t="s">
        <v>10851</v>
      </c>
      <c r="F414" s="6" t="s">
        <v>10867</v>
      </c>
      <c r="G414" s="6" t="s">
        <v>10840</v>
      </c>
      <c r="H414" s="9" t="n">
        <v>25917</v>
      </c>
      <c r="I414" s="6" t="s">
        <v>384</v>
      </c>
      <c r="J414" s="6" t="s">
        <v>13</v>
      </c>
      <c r="K414" s="6" t="s">
        <v>159</v>
      </c>
      <c r="L414" s="6" t="s">
        <v>11615</v>
      </c>
      <c r="M414" s="6" t="s">
        <v>11616</v>
      </c>
      <c r="N414" s="6"/>
    </row>
    <row r="415" customFormat="false" ht="15" hidden="false" customHeight="false" outlineLevel="0" collapsed="false">
      <c r="A415" s="6" t="s">
        <v>11617</v>
      </c>
      <c r="B415" s="6" t="s">
        <v>161</v>
      </c>
      <c r="C415" s="7" t="n">
        <v>45382</v>
      </c>
      <c r="D415" s="6" t="s">
        <v>380</v>
      </c>
      <c r="E415" s="6" t="s">
        <v>10851</v>
      </c>
      <c r="F415" s="6" t="s">
        <v>2706</v>
      </c>
      <c r="G415" s="6" t="s">
        <v>10845</v>
      </c>
      <c r="H415" s="9" t="n">
        <v>-8338</v>
      </c>
      <c r="I415" s="6" t="s">
        <v>384</v>
      </c>
      <c r="J415" s="6" t="s">
        <v>13</v>
      </c>
      <c r="K415" s="6" t="s">
        <v>159</v>
      </c>
      <c r="L415" s="6" t="s">
        <v>11607</v>
      </c>
      <c r="M415" s="6" t="s">
        <v>11616</v>
      </c>
      <c r="N415" s="6"/>
    </row>
    <row r="416" customFormat="false" ht="15" hidden="false" customHeight="false" outlineLevel="0" collapsed="false">
      <c r="A416" s="6" t="s">
        <v>11618</v>
      </c>
      <c r="B416" s="6" t="s">
        <v>161</v>
      </c>
      <c r="C416" s="7" t="n">
        <v>45382</v>
      </c>
      <c r="D416" s="6" t="s">
        <v>380</v>
      </c>
      <c r="E416" s="6" t="s">
        <v>10851</v>
      </c>
      <c r="F416" s="6" t="s">
        <v>10872</v>
      </c>
      <c r="G416" s="6" t="s">
        <v>10849</v>
      </c>
      <c r="H416" s="9" t="n">
        <v>17579</v>
      </c>
      <c r="I416" s="6" t="s">
        <v>384</v>
      </c>
      <c r="J416" s="6" t="s">
        <v>13</v>
      </c>
      <c r="K416" s="6" t="s">
        <v>159</v>
      </c>
      <c r="L416" s="6" t="s">
        <v>2223</v>
      </c>
      <c r="M416" s="6" t="s">
        <v>11616</v>
      </c>
      <c r="N416" s="6"/>
    </row>
    <row r="417" customFormat="false" ht="15" hidden="false" customHeight="false" outlineLevel="0" collapsed="false">
      <c r="A417" s="6" t="s">
        <v>11619</v>
      </c>
      <c r="B417" s="6" t="s">
        <v>161</v>
      </c>
      <c r="C417" s="7" t="n">
        <v>45382</v>
      </c>
      <c r="D417" s="6" t="s">
        <v>380</v>
      </c>
      <c r="E417" s="6" t="s">
        <v>11306</v>
      </c>
      <c r="F417" s="6" t="s">
        <v>10165</v>
      </c>
      <c r="G417" s="6" t="s">
        <v>10840</v>
      </c>
      <c r="H417" s="9" t="n">
        <v>-5022</v>
      </c>
      <c r="I417" s="6" t="s">
        <v>384</v>
      </c>
      <c r="J417" s="6" t="s">
        <v>13</v>
      </c>
      <c r="K417" s="6" t="s">
        <v>159</v>
      </c>
      <c r="L417" s="6" t="s">
        <v>11620</v>
      </c>
      <c r="M417" s="6" t="s">
        <v>11621</v>
      </c>
      <c r="N417" s="6"/>
    </row>
    <row r="418" customFormat="false" ht="15" hidden="false" customHeight="false" outlineLevel="0" collapsed="false">
      <c r="A418" s="6" t="s">
        <v>11622</v>
      </c>
      <c r="B418" s="6" t="s">
        <v>161</v>
      </c>
      <c r="C418" s="7" t="n">
        <v>45382</v>
      </c>
      <c r="D418" s="6" t="s">
        <v>380</v>
      </c>
      <c r="E418" s="6" t="s">
        <v>11306</v>
      </c>
      <c r="F418" s="6" t="s">
        <v>2706</v>
      </c>
      <c r="G418" s="6" t="s">
        <v>10845</v>
      </c>
      <c r="H418" s="9" t="n">
        <v>26543</v>
      </c>
      <c r="I418" s="6" t="s">
        <v>384</v>
      </c>
      <c r="J418" s="6" t="s">
        <v>13</v>
      </c>
      <c r="K418" s="6" t="s">
        <v>159</v>
      </c>
      <c r="L418" s="6" t="s">
        <v>2772</v>
      </c>
      <c r="M418" s="6" t="s">
        <v>11621</v>
      </c>
      <c r="N418" s="6"/>
    </row>
    <row r="419" customFormat="false" ht="15" hidden="false" customHeight="false" outlineLevel="0" collapsed="false">
      <c r="A419" s="6" t="s">
        <v>11623</v>
      </c>
      <c r="B419" s="6" t="s">
        <v>161</v>
      </c>
      <c r="C419" s="7" t="n">
        <v>45382</v>
      </c>
      <c r="D419" s="6" t="s">
        <v>380</v>
      </c>
      <c r="E419" s="6" t="s">
        <v>11306</v>
      </c>
      <c r="F419" s="6" t="s">
        <v>4717</v>
      </c>
      <c r="G419" s="6" t="s">
        <v>10849</v>
      </c>
      <c r="H419" s="9" t="n">
        <v>21521</v>
      </c>
      <c r="I419" s="6" t="s">
        <v>384</v>
      </c>
      <c r="J419" s="6" t="s">
        <v>13</v>
      </c>
      <c r="K419" s="6" t="s">
        <v>159</v>
      </c>
      <c r="L419" s="6" t="s">
        <v>2338</v>
      </c>
      <c r="M419" s="6" t="s">
        <v>11621</v>
      </c>
      <c r="N419" s="6"/>
    </row>
    <row r="420" customFormat="false" ht="15" hidden="false" customHeight="false" outlineLevel="0" collapsed="false">
      <c r="A420" s="6" t="s">
        <v>11624</v>
      </c>
      <c r="B420" s="6" t="s">
        <v>161</v>
      </c>
      <c r="C420" s="7" t="n">
        <v>45382</v>
      </c>
      <c r="D420" s="6" t="s">
        <v>380</v>
      </c>
      <c r="E420" s="6" t="s">
        <v>11256</v>
      </c>
      <c r="F420" s="6" t="s">
        <v>11501</v>
      </c>
      <c r="G420" s="6" t="s">
        <v>10840</v>
      </c>
      <c r="H420" s="9" t="n">
        <v>7078</v>
      </c>
      <c r="I420" s="6" t="s">
        <v>384</v>
      </c>
      <c r="J420" s="6" t="s">
        <v>13</v>
      </c>
      <c r="K420" s="6" t="s">
        <v>159</v>
      </c>
      <c r="L420" s="6" t="s">
        <v>11625</v>
      </c>
      <c r="M420" s="6" t="s">
        <v>11626</v>
      </c>
      <c r="N420" s="6"/>
    </row>
    <row r="421" customFormat="false" ht="15" hidden="false" customHeight="false" outlineLevel="0" collapsed="false">
      <c r="A421" s="6" t="s">
        <v>11627</v>
      </c>
      <c r="B421" s="6" t="s">
        <v>161</v>
      </c>
      <c r="C421" s="7" t="n">
        <v>45382</v>
      </c>
      <c r="D421" s="6" t="s">
        <v>380</v>
      </c>
      <c r="E421" s="6" t="s">
        <v>11256</v>
      </c>
      <c r="F421" s="6" t="s">
        <v>2706</v>
      </c>
      <c r="G421" s="6" t="s">
        <v>10845</v>
      </c>
      <c r="H421" s="9" t="n">
        <v>26543</v>
      </c>
      <c r="I421" s="6" t="s">
        <v>384</v>
      </c>
      <c r="J421" s="6" t="s">
        <v>13</v>
      </c>
      <c r="K421" s="6" t="s">
        <v>159</v>
      </c>
      <c r="L421" s="6" t="s">
        <v>11628</v>
      </c>
      <c r="M421" s="6" t="s">
        <v>11626</v>
      </c>
      <c r="N421" s="6"/>
    </row>
    <row r="422" customFormat="false" ht="15" hidden="false" customHeight="false" outlineLevel="0" collapsed="false">
      <c r="A422" s="6" t="s">
        <v>11629</v>
      </c>
      <c r="B422" s="6" t="s">
        <v>161</v>
      </c>
      <c r="C422" s="7" t="n">
        <v>45382</v>
      </c>
      <c r="D422" s="6" t="s">
        <v>380</v>
      </c>
      <c r="E422" s="6" t="s">
        <v>11256</v>
      </c>
      <c r="F422" s="6" t="s">
        <v>10885</v>
      </c>
      <c r="G422" s="6" t="s">
        <v>10845</v>
      </c>
      <c r="H422" s="9" t="n">
        <v>-1905</v>
      </c>
      <c r="I422" s="6" t="s">
        <v>384</v>
      </c>
      <c r="J422" s="6" t="s">
        <v>13</v>
      </c>
      <c r="K422" s="6" t="s">
        <v>159</v>
      </c>
      <c r="L422" s="6" t="s">
        <v>11630</v>
      </c>
      <c r="M422" s="6" t="s">
        <v>11626</v>
      </c>
      <c r="N422" s="6"/>
    </row>
    <row r="423" customFormat="false" ht="15" hidden="false" customHeight="false" outlineLevel="0" collapsed="false">
      <c r="A423" s="6" t="s">
        <v>11631</v>
      </c>
      <c r="B423" s="6" t="s">
        <v>161</v>
      </c>
      <c r="C423" s="7" t="n">
        <v>45382</v>
      </c>
      <c r="D423" s="6" t="s">
        <v>380</v>
      </c>
      <c r="E423" s="6" t="s">
        <v>11256</v>
      </c>
      <c r="F423" s="6" t="s">
        <v>11632</v>
      </c>
      <c r="G423" s="6" t="s">
        <v>10849</v>
      </c>
      <c r="H423" s="9" t="n">
        <v>31716</v>
      </c>
      <c r="I423" s="6" t="s">
        <v>384</v>
      </c>
      <c r="J423" s="6" t="s">
        <v>13</v>
      </c>
      <c r="K423" s="6" t="s">
        <v>159</v>
      </c>
      <c r="L423" s="6" t="s">
        <v>2546</v>
      </c>
      <c r="M423" s="6" t="s">
        <v>11626</v>
      </c>
      <c r="N423" s="6"/>
    </row>
    <row r="424" customFormat="false" ht="15" hidden="false" customHeight="false" outlineLevel="0" collapsed="false">
      <c r="A424" s="6" t="s">
        <v>11633</v>
      </c>
      <c r="B424" s="6" t="s">
        <v>161</v>
      </c>
      <c r="C424" s="7" t="n">
        <v>45382</v>
      </c>
      <c r="D424" s="6" t="s">
        <v>380</v>
      </c>
      <c r="E424" s="6" t="s">
        <v>10904</v>
      </c>
      <c r="F424" s="6" t="s">
        <v>8429</v>
      </c>
      <c r="G424" s="6" t="s">
        <v>10840</v>
      </c>
      <c r="H424" s="9" t="n">
        <v>91955</v>
      </c>
      <c r="I424" s="6" t="s">
        <v>384</v>
      </c>
      <c r="J424" s="6" t="s">
        <v>13</v>
      </c>
      <c r="K424" s="6" t="s">
        <v>159</v>
      </c>
      <c r="L424" s="6" t="s">
        <v>11634</v>
      </c>
      <c r="M424" s="6" t="s">
        <v>11635</v>
      </c>
      <c r="N424" s="6"/>
    </row>
    <row r="425" customFormat="false" ht="15" hidden="false" customHeight="false" outlineLevel="0" collapsed="false">
      <c r="A425" s="6" t="s">
        <v>11636</v>
      </c>
      <c r="B425" s="6" t="s">
        <v>161</v>
      </c>
      <c r="C425" s="7" t="n">
        <v>45382</v>
      </c>
      <c r="D425" s="6" t="s">
        <v>380</v>
      </c>
      <c r="E425" s="6" t="s">
        <v>10904</v>
      </c>
      <c r="F425" s="6" t="s">
        <v>8520</v>
      </c>
      <c r="G425" s="6" t="s">
        <v>10845</v>
      </c>
      <c r="H425" s="9" t="n">
        <v>-1460</v>
      </c>
      <c r="I425" s="6" t="s">
        <v>384</v>
      </c>
      <c r="J425" s="6" t="s">
        <v>13</v>
      </c>
      <c r="K425" s="6" t="s">
        <v>159</v>
      </c>
      <c r="L425" s="6" t="s">
        <v>3129</v>
      </c>
      <c r="M425" s="6" t="s">
        <v>11635</v>
      </c>
      <c r="N425" s="6"/>
    </row>
    <row r="426" customFormat="false" ht="15" hidden="false" customHeight="false" outlineLevel="0" collapsed="false">
      <c r="A426" s="6" t="s">
        <v>11637</v>
      </c>
      <c r="B426" s="6" t="s">
        <v>161</v>
      </c>
      <c r="C426" s="7" t="n">
        <v>45382</v>
      </c>
      <c r="D426" s="6" t="s">
        <v>380</v>
      </c>
      <c r="E426" s="6" t="s">
        <v>10904</v>
      </c>
      <c r="F426" s="6" t="s">
        <v>8081</v>
      </c>
      <c r="G426" s="6" t="s">
        <v>10845</v>
      </c>
      <c r="H426" s="9" t="n">
        <v>-601</v>
      </c>
      <c r="I426" s="6" t="s">
        <v>384</v>
      </c>
      <c r="J426" s="6" t="s">
        <v>13</v>
      </c>
      <c r="K426" s="6" t="s">
        <v>159</v>
      </c>
      <c r="L426" s="6" t="s">
        <v>3243</v>
      </c>
      <c r="M426" s="6" t="s">
        <v>11635</v>
      </c>
      <c r="N426" s="6"/>
    </row>
    <row r="427" customFormat="false" ht="15" hidden="false" customHeight="false" outlineLevel="0" collapsed="false">
      <c r="A427" s="6" t="s">
        <v>11638</v>
      </c>
      <c r="B427" s="6" t="s">
        <v>161</v>
      </c>
      <c r="C427" s="7" t="n">
        <v>45382</v>
      </c>
      <c r="D427" s="6" t="s">
        <v>380</v>
      </c>
      <c r="E427" s="6" t="s">
        <v>10904</v>
      </c>
      <c r="F427" s="6" t="s">
        <v>4820</v>
      </c>
      <c r="G427" s="6" t="s">
        <v>10849</v>
      </c>
      <c r="H427" s="9" t="n">
        <v>89894</v>
      </c>
      <c r="I427" s="6" t="s">
        <v>384</v>
      </c>
      <c r="J427" s="6" t="s">
        <v>13</v>
      </c>
      <c r="K427" s="6" t="s">
        <v>159</v>
      </c>
      <c r="L427" s="6" t="s">
        <v>3426</v>
      </c>
      <c r="M427" s="6" t="s">
        <v>11635</v>
      </c>
      <c r="N427" s="6"/>
    </row>
    <row r="428" customFormat="false" ht="15" hidden="false" customHeight="false" outlineLevel="0" collapsed="false">
      <c r="A428" s="6" t="s">
        <v>11639</v>
      </c>
      <c r="B428" s="6" t="s">
        <v>166</v>
      </c>
      <c r="C428" s="7" t="n">
        <v>45473</v>
      </c>
      <c r="D428" s="6" t="s">
        <v>380</v>
      </c>
      <c r="E428" s="6" t="s">
        <v>10838</v>
      </c>
      <c r="F428" s="6" t="s">
        <v>10839</v>
      </c>
      <c r="G428" s="6" t="s">
        <v>10840</v>
      </c>
      <c r="H428" s="9" t="n">
        <v>212343</v>
      </c>
      <c r="I428" s="6" t="s">
        <v>384</v>
      </c>
      <c r="J428" s="6" t="s">
        <v>13</v>
      </c>
      <c r="K428" s="6" t="s">
        <v>164</v>
      </c>
      <c r="L428" s="6" t="s">
        <v>11640</v>
      </c>
      <c r="M428" s="6" t="s">
        <v>11641</v>
      </c>
      <c r="N428" s="6"/>
    </row>
    <row r="429" customFormat="false" ht="15" hidden="false" customHeight="false" outlineLevel="0" collapsed="false">
      <c r="A429" s="6" t="s">
        <v>11642</v>
      </c>
      <c r="B429" s="6" t="s">
        <v>166</v>
      </c>
      <c r="C429" s="7" t="n">
        <v>45473</v>
      </c>
      <c r="D429" s="6" t="s">
        <v>380</v>
      </c>
      <c r="E429" s="6" t="s">
        <v>10838</v>
      </c>
      <c r="F429" s="6" t="s">
        <v>2706</v>
      </c>
      <c r="G429" s="6" t="s">
        <v>10845</v>
      </c>
      <c r="H429" s="9" t="n">
        <v>1872</v>
      </c>
      <c r="I429" s="6" t="s">
        <v>384</v>
      </c>
      <c r="J429" s="6" t="s">
        <v>13</v>
      </c>
      <c r="K429" s="6" t="s">
        <v>164</v>
      </c>
      <c r="L429" s="6" t="s">
        <v>11643</v>
      </c>
      <c r="M429" s="6" t="s">
        <v>11641</v>
      </c>
      <c r="N429" s="6"/>
    </row>
    <row r="430" customFormat="false" ht="15" hidden="false" customHeight="false" outlineLevel="0" collapsed="false">
      <c r="A430" s="6" t="s">
        <v>11644</v>
      </c>
      <c r="B430" s="6" t="s">
        <v>166</v>
      </c>
      <c r="C430" s="7" t="n">
        <v>45473</v>
      </c>
      <c r="D430" s="6" t="s">
        <v>380</v>
      </c>
      <c r="E430" s="6" t="s">
        <v>10838</v>
      </c>
      <c r="F430" s="6" t="s">
        <v>10848</v>
      </c>
      <c r="G430" s="6" t="s">
        <v>10849</v>
      </c>
      <c r="H430" s="9" t="n">
        <v>214215</v>
      </c>
      <c r="I430" s="6" t="s">
        <v>384</v>
      </c>
      <c r="J430" s="6" t="s">
        <v>13</v>
      </c>
      <c r="K430" s="6" t="s">
        <v>164</v>
      </c>
      <c r="L430" s="6" t="s">
        <v>1803</v>
      </c>
      <c r="M430" s="6" t="s">
        <v>11641</v>
      </c>
      <c r="N430" s="6"/>
    </row>
    <row r="431" customFormat="false" ht="15" hidden="false" customHeight="false" outlineLevel="0" collapsed="false">
      <c r="A431" s="6" t="s">
        <v>11645</v>
      </c>
      <c r="B431" s="6" t="s">
        <v>166</v>
      </c>
      <c r="C431" s="7" t="n">
        <v>45473</v>
      </c>
      <c r="D431" s="6" t="s">
        <v>380</v>
      </c>
      <c r="E431" s="6" t="s">
        <v>10851</v>
      </c>
      <c r="F431" s="6" t="s">
        <v>10852</v>
      </c>
      <c r="G431" s="6" t="s">
        <v>10840</v>
      </c>
      <c r="H431" s="9" t="n">
        <v>50445</v>
      </c>
      <c r="I431" s="6" t="s">
        <v>384</v>
      </c>
      <c r="J431" s="6" t="s">
        <v>13</v>
      </c>
      <c r="K431" s="6" t="s">
        <v>164</v>
      </c>
      <c r="L431" s="6" t="s">
        <v>11646</v>
      </c>
      <c r="M431" s="6" t="s">
        <v>11647</v>
      </c>
      <c r="N431" s="6"/>
    </row>
    <row r="432" customFormat="false" ht="15" hidden="false" customHeight="false" outlineLevel="0" collapsed="false">
      <c r="A432" s="6" t="s">
        <v>11648</v>
      </c>
      <c r="B432" s="6" t="s">
        <v>166</v>
      </c>
      <c r="C432" s="7" t="n">
        <v>45473</v>
      </c>
      <c r="D432" s="6" t="s">
        <v>380</v>
      </c>
      <c r="E432" s="6" t="s">
        <v>10851</v>
      </c>
      <c r="F432" s="6" t="s">
        <v>2706</v>
      </c>
      <c r="G432" s="6" t="s">
        <v>10845</v>
      </c>
      <c r="H432" s="9" t="n">
        <v>-13567</v>
      </c>
      <c r="I432" s="6" t="s">
        <v>384</v>
      </c>
      <c r="J432" s="6" t="s">
        <v>13</v>
      </c>
      <c r="K432" s="6" t="s">
        <v>164</v>
      </c>
      <c r="L432" s="6" t="s">
        <v>11649</v>
      </c>
      <c r="M432" s="6" t="s">
        <v>11647</v>
      </c>
      <c r="N432" s="6"/>
    </row>
    <row r="433" customFormat="false" ht="15" hidden="false" customHeight="false" outlineLevel="0" collapsed="false">
      <c r="A433" s="6" t="s">
        <v>11650</v>
      </c>
      <c r="B433" s="6" t="s">
        <v>166</v>
      </c>
      <c r="C433" s="7" t="n">
        <v>45473</v>
      </c>
      <c r="D433" s="6" t="s">
        <v>380</v>
      </c>
      <c r="E433" s="6" t="s">
        <v>10851</v>
      </c>
      <c r="F433" s="6" t="s">
        <v>10858</v>
      </c>
      <c r="G433" s="6" t="s">
        <v>10849</v>
      </c>
      <c r="H433" s="9" t="n">
        <v>36878</v>
      </c>
      <c r="I433" s="6" t="s">
        <v>384</v>
      </c>
      <c r="J433" s="6" t="s">
        <v>13</v>
      </c>
      <c r="K433" s="6" t="s">
        <v>164</v>
      </c>
      <c r="L433" s="6" t="s">
        <v>1996</v>
      </c>
      <c r="M433" s="6" t="s">
        <v>11647</v>
      </c>
      <c r="N433" s="6"/>
    </row>
    <row r="434" customFormat="false" ht="15" hidden="false" customHeight="false" outlineLevel="0" collapsed="false">
      <c r="A434" s="6" t="s">
        <v>11651</v>
      </c>
      <c r="B434" s="6" t="s">
        <v>166</v>
      </c>
      <c r="C434" s="7" t="n">
        <v>45473</v>
      </c>
      <c r="D434" s="6" t="s">
        <v>380</v>
      </c>
      <c r="E434" s="6" t="s">
        <v>10851</v>
      </c>
      <c r="F434" s="6" t="s">
        <v>10860</v>
      </c>
      <c r="G434" s="6" t="s">
        <v>10840</v>
      </c>
      <c r="H434" s="9" t="n">
        <v>131471</v>
      </c>
      <c r="I434" s="6" t="s">
        <v>384</v>
      </c>
      <c r="J434" s="6" t="s">
        <v>13</v>
      </c>
      <c r="K434" s="6" t="s">
        <v>164</v>
      </c>
      <c r="L434" s="6" t="s">
        <v>11652</v>
      </c>
      <c r="M434" s="6" t="s">
        <v>11653</v>
      </c>
      <c r="N434" s="6"/>
    </row>
    <row r="435" customFormat="false" ht="15" hidden="false" customHeight="false" outlineLevel="0" collapsed="false">
      <c r="A435" s="6" t="s">
        <v>11654</v>
      </c>
      <c r="B435" s="6" t="s">
        <v>166</v>
      </c>
      <c r="C435" s="7" t="n">
        <v>45473</v>
      </c>
      <c r="D435" s="6" t="s">
        <v>380</v>
      </c>
      <c r="E435" s="6" t="s">
        <v>10851</v>
      </c>
      <c r="F435" s="6" t="s">
        <v>2706</v>
      </c>
      <c r="G435" s="6" t="s">
        <v>10845</v>
      </c>
      <c r="H435" s="9" t="n">
        <v>-10733</v>
      </c>
      <c r="I435" s="6" t="s">
        <v>384</v>
      </c>
      <c r="J435" s="6" t="s">
        <v>13</v>
      </c>
      <c r="K435" s="6" t="s">
        <v>164</v>
      </c>
      <c r="L435" s="6" t="s">
        <v>11649</v>
      </c>
      <c r="M435" s="6" t="s">
        <v>11653</v>
      </c>
      <c r="N435" s="6"/>
    </row>
    <row r="436" customFormat="false" ht="15" hidden="false" customHeight="false" outlineLevel="0" collapsed="false">
      <c r="A436" s="6" t="s">
        <v>11655</v>
      </c>
      <c r="B436" s="6" t="s">
        <v>166</v>
      </c>
      <c r="C436" s="7" t="n">
        <v>45473</v>
      </c>
      <c r="D436" s="6" t="s">
        <v>380</v>
      </c>
      <c r="E436" s="6" t="s">
        <v>10851</v>
      </c>
      <c r="F436" s="6" t="s">
        <v>10865</v>
      </c>
      <c r="G436" s="6" t="s">
        <v>10849</v>
      </c>
      <c r="H436" s="9" t="n">
        <v>120738</v>
      </c>
      <c r="I436" s="6" t="s">
        <v>384</v>
      </c>
      <c r="J436" s="6" t="s">
        <v>13</v>
      </c>
      <c r="K436" s="6" t="s">
        <v>164</v>
      </c>
      <c r="L436" s="6" t="s">
        <v>2111</v>
      </c>
      <c r="M436" s="6" t="s">
        <v>11653</v>
      </c>
      <c r="N436" s="6"/>
    </row>
    <row r="437" customFormat="false" ht="15" hidden="false" customHeight="false" outlineLevel="0" collapsed="false">
      <c r="A437" s="6" t="s">
        <v>11656</v>
      </c>
      <c r="B437" s="6" t="s">
        <v>166</v>
      </c>
      <c r="C437" s="7" t="n">
        <v>45473</v>
      </c>
      <c r="D437" s="6" t="s">
        <v>380</v>
      </c>
      <c r="E437" s="6" t="s">
        <v>10851</v>
      </c>
      <c r="F437" s="6" t="s">
        <v>10867</v>
      </c>
      <c r="G437" s="6" t="s">
        <v>10840</v>
      </c>
      <c r="H437" s="9" t="n">
        <v>28633</v>
      </c>
      <c r="I437" s="6" t="s">
        <v>384</v>
      </c>
      <c r="J437" s="6" t="s">
        <v>13</v>
      </c>
      <c r="K437" s="6" t="s">
        <v>164</v>
      </c>
      <c r="L437" s="6" t="s">
        <v>11657</v>
      </c>
      <c r="M437" s="6" t="s">
        <v>11658</v>
      </c>
      <c r="N437" s="6"/>
    </row>
    <row r="438" customFormat="false" ht="15" hidden="false" customHeight="false" outlineLevel="0" collapsed="false">
      <c r="A438" s="6" t="s">
        <v>11659</v>
      </c>
      <c r="B438" s="6" t="s">
        <v>166</v>
      </c>
      <c r="C438" s="7" t="n">
        <v>45473</v>
      </c>
      <c r="D438" s="6" t="s">
        <v>380</v>
      </c>
      <c r="E438" s="6" t="s">
        <v>10851</v>
      </c>
      <c r="F438" s="6" t="s">
        <v>2706</v>
      </c>
      <c r="G438" s="6" t="s">
        <v>10845</v>
      </c>
      <c r="H438" s="9" t="n">
        <v>-10451</v>
      </c>
      <c r="I438" s="6" t="s">
        <v>384</v>
      </c>
      <c r="J438" s="6" t="s">
        <v>13</v>
      </c>
      <c r="K438" s="6" t="s">
        <v>164</v>
      </c>
      <c r="L438" s="6" t="s">
        <v>11649</v>
      </c>
      <c r="M438" s="6" t="s">
        <v>11658</v>
      </c>
      <c r="N438" s="6"/>
    </row>
    <row r="439" customFormat="false" ht="15" hidden="false" customHeight="false" outlineLevel="0" collapsed="false">
      <c r="A439" s="6" t="s">
        <v>11660</v>
      </c>
      <c r="B439" s="6" t="s">
        <v>166</v>
      </c>
      <c r="C439" s="7" t="n">
        <v>45473</v>
      </c>
      <c r="D439" s="6" t="s">
        <v>380</v>
      </c>
      <c r="E439" s="6" t="s">
        <v>10851</v>
      </c>
      <c r="F439" s="6" t="s">
        <v>10872</v>
      </c>
      <c r="G439" s="6" t="s">
        <v>10849</v>
      </c>
      <c r="H439" s="9" t="n">
        <v>18182</v>
      </c>
      <c r="I439" s="6" t="s">
        <v>384</v>
      </c>
      <c r="J439" s="6" t="s">
        <v>13</v>
      </c>
      <c r="K439" s="6" t="s">
        <v>164</v>
      </c>
      <c r="L439" s="6" t="s">
        <v>2226</v>
      </c>
      <c r="M439" s="6" t="s">
        <v>11658</v>
      </c>
      <c r="N439" s="6"/>
    </row>
    <row r="440" customFormat="false" ht="15" hidden="false" customHeight="false" outlineLevel="0" collapsed="false">
      <c r="A440" s="6" t="s">
        <v>11661</v>
      </c>
      <c r="B440" s="6" t="s">
        <v>166</v>
      </c>
      <c r="C440" s="7" t="n">
        <v>45473</v>
      </c>
      <c r="D440" s="6" t="s">
        <v>380</v>
      </c>
      <c r="E440" s="6" t="s">
        <v>11306</v>
      </c>
      <c r="F440" s="6" t="s">
        <v>10162</v>
      </c>
      <c r="G440" s="6" t="s">
        <v>10840</v>
      </c>
      <c r="H440" s="9" t="n">
        <v>1794</v>
      </c>
      <c r="I440" s="6" t="s">
        <v>384</v>
      </c>
      <c r="J440" s="6" t="s">
        <v>13</v>
      </c>
      <c r="K440" s="6" t="s">
        <v>164</v>
      </c>
      <c r="L440" s="6" t="s">
        <v>11662</v>
      </c>
      <c r="M440" s="6" t="s">
        <v>11663</v>
      </c>
      <c r="N440" s="6"/>
    </row>
    <row r="441" customFormat="false" ht="15" hidden="false" customHeight="false" outlineLevel="0" collapsed="false">
      <c r="A441" s="6" t="s">
        <v>11664</v>
      </c>
      <c r="B441" s="6" t="s">
        <v>166</v>
      </c>
      <c r="C441" s="7" t="n">
        <v>45473</v>
      </c>
      <c r="D441" s="6" t="s">
        <v>380</v>
      </c>
      <c r="E441" s="6" t="s">
        <v>11306</v>
      </c>
      <c r="F441" s="6" t="s">
        <v>2706</v>
      </c>
      <c r="G441" s="6" t="s">
        <v>10845</v>
      </c>
      <c r="H441" s="9" t="n">
        <v>36623</v>
      </c>
      <c r="I441" s="6" t="s">
        <v>384</v>
      </c>
      <c r="J441" s="6" t="s">
        <v>13</v>
      </c>
      <c r="K441" s="6" t="s">
        <v>164</v>
      </c>
      <c r="L441" s="6" t="s">
        <v>2775</v>
      </c>
      <c r="M441" s="6" t="s">
        <v>11663</v>
      </c>
      <c r="N441" s="6"/>
    </row>
    <row r="442" customFormat="false" ht="15" hidden="false" customHeight="false" outlineLevel="0" collapsed="false">
      <c r="A442" s="6" t="s">
        <v>11665</v>
      </c>
      <c r="B442" s="6" t="s">
        <v>166</v>
      </c>
      <c r="C442" s="7" t="n">
        <v>45473</v>
      </c>
      <c r="D442" s="6" t="s">
        <v>380</v>
      </c>
      <c r="E442" s="6" t="s">
        <v>11306</v>
      </c>
      <c r="F442" s="6" t="s">
        <v>5717</v>
      </c>
      <c r="G442" s="6" t="s">
        <v>10849</v>
      </c>
      <c r="H442" s="9" t="n">
        <v>38417</v>
      </c>
      <c r="I442" s="6" t="s">
        <v>384</v>
      </c>
      <c r="J442" s="6" t="s">
        <v>13</v>
      </c>
      <c r="K442" s="6" t="s">
        <v>164</v>
      </c>
      <c r="L442" s="6" t="s">
        <v>2341</v>
      </c>
      <c r="M442" s="6" t="s">
        <v>11663</v>
      </c>
      <c r="N442" s="6"/>
    </row>
    <row r="443" customFormat="false" ht="15" hidden="false" customHeight="false" outlineLevel="0" collapsed="false">
      <c r="A443" s="6" t="s">
        <v>11666</v>
      </c>
      <c r="B443" s="6" t="s">
        <v>166</v>
      </c>
      <c r="C443" s="7" t="n">
        <v>45473</v>
      </c>
      <c r="D443" s="6" t="s">
        <v>380</v>
      </c>
      <c r="E443" s="6" t="s">
        <v>11256</v>
      </c>
      <c r="F443" s="6" t="s">
        <v>11501</v>
      </c>
      <c r="G443" s="6" t="s">
        <v>10840</v>
      </c>
      <c r="H443" s="9" t="n">
        <v>14315</v>
      </c>
      <c r="I443" s="6" t="s">
        <v>384</v>
      </c>
      <c r="J443" s="6" t="s">
        <v>13</v>
      </c>
      <c r="K443" s="6" t="s">
        <v>164</v>
      </c>
      <c r="L443" s="6" t="s">
        <v>11667</v>
      </c>
      <c r="M443" s="6" t="s">
        <v>11668</v>
      </c>
      <c r="N443" s="6"/>
    </row>
    <row r="444" customFormat="false" ht="15" hidden="false" customHeight="false" outlineLevel="0" collapsed="false">
      <c r="A444" s="6" t="s">
        <v>11669</v>
      </c>
      <c r="B444" s="6" t="s">
        <v>166</v>
      </c>
      <c r="C444" s="7" t="n">
        <v>45473</v>
      </c>
      <c r="D444" s="6" t="s">
        <v>380</v>
      </c>
      <c r="E444" s="6" t="s">
        <v>11256</v>
      </c>
      <c r="F444" s="6" t="s">
        <v>2706</v>
      </c>
      <c r="G444" s="6" t="s">
        <v>10845</v>
      </c>
      <c r="H444" s="9" t="n">
        <v>36623</v>
      </c>
      <c r="I444" s="6" t="s">
        <v>384</v>
      </c>
      <c r="J444" s="6" t="s">
        <v>13</v>
      </c>
      <c r="K444" s="6" t="s">
        <v>164</v>
      </c>
      <c r="L444" s="6" t="s">
        <v>11670</v>
      </c>
      <c r="M444" s="6" t="s">
        <v>11668</v>
      </c>
      <c r="N444" s="6"/>
    </row>
    <row r="445" customFormat="false" ht="15" hidden="false" customHeight="false" outlineLevel="0" collapsed="false">
      <c r="A445" s="6" t="s">
        <v>11671</v>
      </c>
      <c r="B445" s="6" t="s">
        <v>166</v>
      </c>
      <c r="C445" s="7" t="n">
        <v>45473</v>
      </c>
      <c r="D445" s="6" t="s">
        <v>380</v>
      </c>
      <c r="E445" s="6" t="s">
        <v>11256</v>
      </c>
      <c r="F445" s="6" t="s">
        <v>10885</v>
      </c>
      <c r="G445" s="6" t="s">
        <v>10845</v>
      </c>
      <c r="H445" s="9" t="n">
        <v>-1620</v>
      </c>
      <c r="I445" s="6" t="s">
        <v>384</v>
      </c>
      <c r="J445" s="6" t="s">
        <v>13</v>
      </c>
      <c r="K445" s="6" t="s">
        <v>164</v>
      </c>
      <c r="L445" s="6" t="s">
        <v>11672</v>
      </c>
      <c r="M445" s="6" t="s">
        <v>11668</v>
      </c>
      <c r="N445" s="6"/>
    </row>
    <row r="446" customFormat="false" ht="15" hidden="false" customHeight="false" outlineLevel="0" collapsed="false">
      <c r="A446" s="6" t="s">
        <v>11673</v>
      </c>
      <c r="B446" s="6" t="s">
        <v>166</v>
      </c>
      <c r="C446" s="7" t="n">
        <v>45473</v>
      </c>
      <c r="D446" s="6" t="s">
        <v>380</v>
      </c>
      <c r="E446" s="6" t="s">
        <v>11256</v>
      </c>
      <c r="F446" s="6" t="s">
        <v>11632</v>
      </c>
      <c r="G446" s="6" t="s">
        <v>10849</v>
      </c>
      <c r="H446" s="9" t="n">
        <v>49318</v>
      </c>
      <c r="I446" s="6" t="s">
        <v>384</v>
      </c>
      <c r="J446" s="6" t="s">
        <v>13</v>
      </c>
      <c r="K446" s="6" t="s">
        <v>164</v>
      </c>
      <c r="L446" s="6" t="s">
        <v>2549</v>
      </c>
      <c r="M446" s="6" t="s">
        <v>11668</v>
      </c>
      <c r="N446" s="6"/>
    </row>
    <row r="447" customFormat="false" ht="15" hidden="false" customHeight="false" outlineLevel="0" collapsed="false">
      <c r="A447" s="6" t="s">
        <v>11674</v>
      </c>
      <c r="B447" s="6" t="s">
        <v>166</v>
      </c>
      <c r="C447" s="7" t="n">
        <v>45473</v>
      </c>
      <c r="D447" s="6" t="s">
        <v>380</v>
      </c>
      <c r="E447" s="6" t="s">
        <v>10904</v>
      </c>
      <c r="F447" s="6" t="s">
        <v>8429</v>
      </c>
      <c r="G447" s="6" t="s">
        <v>10840</v>
      </c>
      <c r="H447" s="9" t="n">
        <v>55794</v>
      </c>
      <c r="I447" s="6" t="s">
        <v>384</v>
      </c>
      <c r="J447" s="6" t="s">
        <v>13</v>
      </c>
      <c r="K447" s="6" t="s">
        <v>164</v>
      </c>
      <c r="L447" s="6" t="s">
        <v>11675</v>
      </c>
      <c r="M447" s="6" t="s">
        <v>11676</v>
      </c>
      <c r="N447" s="6"/>
    </row>
    <row r="448" customFormat="false" ht="15" hidden="false" customHeight="false" outlineLevel="0" collapsed="false">
      <c r="A448" s="6" t="s">
        <v>11677</v>
      </c>
      <c r="B448" s="6" t="s">
        <v>166</v>
      </c>
      <c r="C448" s="7" t="n">
        <v>45473</v>
      </c>
      <c r="D448" s="6" t="s">
        <v>380</v>
      </c>
      <c r="E448" s="6" t="s">
        <v>10904</v>
      </c>
      <c r="F448" s="6" t="s">
        <v>8520</v>
      </c>
      <c r="G448" s="6" t="s">
        <v>10845</v>
      </c>
      <c r="H448" s="9" t="n">
        <v>-4504</v>
      </c>
      <c r="I448" s="6" t="s">
        <v>384</v>
      </c>
      <c r="J448" s="6" t="s">
        <v>13</v>
      </c>
      <c r="K448" s="6" t="s">
        <v>164</v>
      </c>
      <c r="L448" s="6" t="s">
        <v>3132</v>
      </c>
      <c r="M448" s="6" t="s">
        <v>11676</v>
      </c>
      <c r="N448" s="6"/>
    </row>
    <row r="449" customFormat="false" ht="15" hidden="false" customHeight="false" outlineLevel="0" collapsed="false">
      <c r="A449" s="6" t="s">
        <v>11678</v>
      </c>
      <c r="B449" s="6" t="s">
        <v>166</v>
      </c>
      <c r="C449" s="7" t="n">
        <v>45473</v>
      </c>
      <c r="D449" s="6" t="s">
        <v>380</v>
      </c>
      <c r="E449" s="6" t="s">
        <v>10904</v>
      </c>
      <c r="F449" s="6" t="s">
        <v>8081</v>
      </c>
      <c r="G449" s="6" t="s">
        <v>10845</v>
      </c>
      <c r="H449" s="9" t="n">
        <v>-469</v>
      </c>
      <c r="I449" s="6" t="s">
        <v>384</v>
      </c>
      <c r="J449" s="6" t="s">
        <v>13</v>
      </c>
      <c r="K449" s="6" t="s">
        <v>164</v>
      </c>
      <c r="L449" s="6" t="s">
        <v>3246</v>
      </c>
      <c r="M449" s="6" t="s">
        <v>11676</v>
      </c>
      <c r="N449" s="6"/>
    </row>
    <row r="450" customFormat="false" ht="15" hidden="false" customHeight="false" outlineLevel="0" collapsed="false">
      <c r="A450" s="6" t="s">
        <v>11679</v>
      </c>
      <c r="B450" s="6" t="s">
        <v>166</v>
      </c>
      <c r="C450" s="7" t="n">
        <v>45473</v>
      </c>
      <c r="D450" s="6" t="s">
        <v>380</v>
      </c>
      <c r="E450" s="6" t="s">
        <v>10904</v>
      </c>
      <c r="F450" s="6" t="s">
        <v>4820</v>
      </c>
      <c r="G450" s="6" t="s">
        <v>10849</v>
      </c>
      <c r="H450" s="9" t="n">
        <v>50821</v>
      </c>
      <c r="I450" s="6" t="s">
        <v>384</v>
      </c>
      <c r="J450" s="6" t="s">
        <v>13</v>
      </c>
      <c r="K450" s="6" t="s">
        <v>164</v>
      </c>
      <c r="L450" s="6" t="s">
        <v>3429</v>
      </c>
      <c r="M450" s="6" t="s">
        <v>11676</v>
      </c>
      <c r="N450" s="6"/>
    </row>
    <row r="451" customFormat="false" ht="15" hidden="false" customHeight="false" outlineLevel="0" collapsed="false">
      <c r="A451" s="6" t="s">
        <v>11680</v>
      </c>
      <c r="B451" s="6" t="s">
        <v>171</v>
      </c>
      <c r="C451" s="7" t="n">
        <v>45565</v>
      </c>
      <c r="D451" s="6" t="s">
        <v>380</v>
      </c>
      <c r="E451" s="6" t="s">
        <v>10838</v>
      </c>
      <c r="F451" s="6" t="s">
        <v>10839</v>
      </c>
      <c r="G451" s="6" t="s">
        <v>10840</v>
      </c>
      <c r="H451" s="9" t="n">
        <v>225028</v>
      </c>
      <c r="I451" s="6" t="s">
        <v>384</v>
      </c>
      <c r="J451" s="6" t="s">
        <v>13</v>
      </c>
      <c r="K451" s="6" t="s">
        <v>169</v>
      </c>
      <c r="L451" s="6" t="s">
        <v>11681</v>
      </c>
      <c r="M451" s="6" t="s">
        <v>11682</v>
      </c>
      <c r="N451" s="6"/>
    </row>
    <row r="452" customFormat="false" ht="15" hidden="false" customHeight="false" outlineLevel="0" collapsed="false">
      <c r="A452" s="6" t="s">
        <v>11683</v>
      </c>
      <c r="B452" s="6" t="s">
        <v>171</v>
      </c>
      <c r="C452" s="7" t="n">
        <v>45565</v>
      </c>
      <c r="D452" s="6" t="s">
        <v>380</v>
      </c>
      <c r="E452" s="6" t="s">
        <v>10838</v>
      </c>
      <c r="F452" s="6" t="s">
        <v>2706</v>
      </c>
      <c r="G452" s="6" t="s">
        <v>10845</v>
      </c>
      <c r="H452" s="9" t="n">
        <v>1881</v>
      </c>
      <c r="I452" s="6" t="s">
        <v>384</v>
      </c>
      <c r="J452" s="6" t="s">
        <v>13</v>
      </c>
      <c r="K452" s="6" t="s">
        <v>169</v>
      </c>
      <c r="L452" s="6" t="s">
        <v>11684</v>
      </c>
      <c r="M452" s="6" t="s">
        <v>11682</v>
      </c>
      <c r="N452" s="6"/>
    </row>
    <row r="453" customFormat="false" ht="15" hidden="false" customHeight="false" outlineLevel="0" collapsed="false">
      <c r="A453" s="6" t="s">
        <v>11685</v>
      </c>
      <c r="B453" s="6" t="s">
        <v>171</v>
      </c>
      <c r="C453" s="7" t="n">
        <v>45565</v>
      </c>
      <c r="D453" s="6" t="s">
        <v>380</v>
      </c>
      <c r="E453" s="6" t="s">
        <v>10838</v>
      </c>
      <c r="F453" s="6" t="s">
        <v>10848</v>
      </c>
      <c r="G453" s="6" t="s">
        <v>10849</v>
      </c>
      <c r="H453" s="9" t="n">
        <v>226909</v>
      </c>
      <c r="I453" s="6" t="s">
        <v>384</v>
      </c>
      <c r="J453" s="6" t="s">
        <v>13</v>
      </c>
      <c r="K453" s="6" t="s">
        <v>169</v>
      </c>
      <c r="L453" s="6" t="s">
        <v>1809</v>
      </c>
      <c r="M453" s="6" t="s">
        <v>11682</v>
      </c>
      <c r="N453" s="6"/>
    </row>
    <row r="454" customFormat="false" ht="15" hidden="false" customHeight="false" outlineLevel="0" collapsed="false">
      <c r="A454" s="6" t="s">
        <v>11686</v>
      </c>
      <c r="B454" s="6" t="s">
        <v>171</v>
      </c>
      <c r="C454" s="7" t="n">
        <v>45565</v>
      </c>
      <c r="D454" s="6" t="s">
        <v>380</v>
      </c>
      <c r="E454" s="6" t="s">
        <v>10851</v>
      </c>
      <c r="F454" s="6" t="s">
        <v>10852</v>
      </c>
      <c r="G454" s="6" t="s">
        <v>10840</v>
      </c>
      <c r="H454" s="9" t="n">
        <v>56509</v>
      </c>
      <c r="I454" s="6" t="s">
        <v>384</v>
      </c>
      <c r="J454" s="6" t="s">
        <v>13</v>
      </c>
      <c r="K454" s="6" t="s">
        <v>169</v>
      </c>
      <c r="L454" s="6" t="s">
        <v>11687</v>
      </c>
      <c r="M454" s="6" t="s">
        <v>11688</v>
      </c>
      <c r="N454" s="6"/>
    </row>
    <row r="455" customFormat="false" ht="15" hidden="false" customHeight="false" outlineLevel="0" collapsed="false">
      <c r="A455" s="6" t="s">
        <v>11689</v>
      </c>
      <c r="B455" s="6" t="s">
        <v>171</v>
      </c>
      <c r="C455" s="7" t="n">
        <v>45565</v>
      </c>
      <c r="D455" s="6" t="s">
        <v>380</v>
      </c>
      <c r="E455" s="6" t="s">
        <v>10851</v>
      </c>
      <c r="F455" s="6" t="s">
        <v>2706</v>
      </c>
      <c r="G455" s="6" t="s">
        <v>10845</v>
      </c>
      <c r="H455" s="9" t="n">
        <v>-13536</v>
      </c>
      <c r="I455" s="6" t="s">
        <v>384</v>
      </c>
      <c r="J455" s="6" t="s">
        <v>13</v>
      </c>
      <c r="K455" s="6" t="s">
        <v>169</v>
      </c>
      <c r="L455" s="6" t="s">
        <v>11690</v>
      </c>
      <c r="M455" s="6" t="s">
        <v>11688</v>
      </c>
      <c r="N455" s="6"/>
    </row>
    <row r="456" customFormat="false" ht="15" hidden="false" customHeight="false" outlineLevel="0" collapsed="false">
      <c r="A456" s="6" t="s">
        <v>11691</v>
      </c>
      <c r="B456" s="6" t="s">
        <v>171</v>
      </c>
      <c r="C456" s="7" t="n">
        <v>45565</v>
      </c>
      <c r="D456" s="6" t="s">
        <v>380</v>
      </c>
      <c r="E456" s="6" t="s">
        <v>10851</v>
      </c>
      <c r="F456" s="6" t="s">
        <v>10858</v>
      </c>
      <c r="G456" s="6" t="s">
        <v>10849</v>
      </c>
      <c r="H456" s="9" t="n">
        <v>42973</v>
      </c>
      <c r="I456" s="6" t="s">
        <v>384</v>
      </c>
      <c r="J456" s="6" t="s">
        <v>13</v>
      </c>
      <c r="K456" s="6" t="s">
        <v>169</v>
      </c>
      <c r="L456" s="6" t="s">
        <v>2002</v>
      </c>
      <c r="M456" s="6" t="s">
        <v>11688</v>
      </c>
      <c r="N456" s="6"/>
    </row>
    <row r="457" customFormat="false" ht="15" hidden="false" customHeight="false" outlineLevel="0" collapsed="false">
      <c r="A457" s="6" t="s">
        <v>11692</v>
      </c>
      <c r="B457" s="6" t="s">
        <v>171</v>
      </c>
      <c r="C457" s="7" t="n">
        <v>45565</v>
      </c>
      <c r="D457" s="6" t="s">
        <v>380</v>
      </c>
      <c r="E457" s="6" t="s">
        <v>10851</v>
      </c>
      <c r="F457" s="6" t="s">
        <v>10860</v>
      </c>
      <c r="G457" s="6" t="s">
        <v>10840</v>
      </c>
      <c r="H457" s="9" t="n">
        <v>140284</v>
      </c>
      <c r="I457" s="6" t="s">
        <v>384</v>
      </c>
      <c r="J457" s="6" t="s">
        <v>13</v>
      </c>
      <c r="K457" s="6" t="s">
        <v>169</v>
      </c>
      <c r="L457" s="6" t="s">
        <v>11693</v>
      </c>
      <c r="M457" s="6" t="s">
        <v>11694</v>
      </c>
      <c r="N457" s="6"/>
    </row>
    <row r="458" customFormat="false" ht="15" hidden="false" customHeight="false" outlineLevel="0" collapsed="false">
      <c r="A458" s="6" t="s">
        <v>11695</v>
      </c>
      <c r="B458" s="6" t="s">
        <v>171</v>
      </c>
      <c r="C458" s="7" t="n">
        <v>45565</v>
      </c>
      <c r="D458" s="6" t="s">
        <v>380</v>
      </c>
      <c r="E458" s="6" t="s">
        <v>10851</v>
      </c>
      <c r="F458" s="6" t="s">
        <v>2706</v>
      </c>
      <c r="G458" s="6" t="s">
        <v>10845</v>
      </c>
      <c r="H458" s="9" t="n">
        <v>-9945</v>
      </c>
      <c r="I458" s="6" t="s">
        <v>384</v>
      </c>
      <c r="J458" s="6" t="s">
        <v>13</v>
      </c>
      <c r="K458" s="6" t="s">
        <v>169</v>
      </c>
      <c r="L458" s="6" t="s">
        <v>11690</v>
      </c>
      <c r="M458" s="6" t="s">
        <v>11694</v>
      </c>
      <c r="N458" s="6"/>
    </row>
    <row r="459" customFormat="false" ht="15" hidden="false" customHeight="false" outlineLevel="0" collapsed="false">
      <c r="A459" s="6" t="s">
        <v>11696</v>
      </c>
      <c r="B459" s="6" t="s">
        <v>171</v>
      </c>
      <c r="C459" s="7" t="n">
        <v>45565</v>
      </c>
      <c r="D459" s="6" t="s">
        <v>380</v>
      </c>
      <c r="E459" s="6" t="s">
        <v>10851</v>
      </c>
      <c r="F459" s="6" t="s">
        <v>10865</v>
      </c>
      <c r="G459" s="6" t="s">
        <v>10849</v>
      </c>
      <c r="H459" s="9" t="n">
        <v>130339</v>
      </c>
      <c r="I459" s="6" t="s">
        <v>384</v>
      </c>
      <c r="J459" s="6" t="s">
        <v>13</v>
      </c>
      <c r="K459" s="6" t="s">
        <v>169</v>
      </c>
      <c r="L459" s="6" t="s">
        <v>2117</v>
      </c>
      <c r="M459" s="6" t="s">
        <v>11694</v>
      </c>
      <c r="N459" s="6"/>
    </row>
    <row r="460" customFormat="false" ht="15" hidden="false" customHeight="false" outlineLevel="0" collapsed="false">
      <c r="A460" s="6" t="s">
        <v>11697</v>
      </c>
      <c r="B460" s="6" t="s">
        <v>171</v>
      </c>
      <c r="C460" s="7" t="n">
        <v>45565</v>
      </c>
      <c r="D460" s="6" t="s">
        <v>380</v>
      </c>
      <c r="E460" s="6" t="s">
        <v>10851</v>
      </c>
      <c r="F460" s="6" t="s">
        <v>10867</v>
      </c>
      <c r="G460" s="6" t="s">
        <v>10840</v>
      </c>
      <c r="H460" s="9" t="n">
        <v>55637</v>
      </c>
      <c r="I460" s="6" t="s">
        <v>384</v>
      </c>
      <c r="J460" s="6" t="s">
        <v>13</v>
      </c>
      <c r="K460" s="6" t="s">
        <v>169</v>
      </c>
      <c r="L460" s="6" t="s">
        <v>11698</v>
      </c>
      <c r="M460" s="6" t="s">
        <v>11699</v>
      </c>
      <c r="N460" s="6"/>
    </row>
    <row r="461" customFormat="false" ht="15" hidden="false" customHeight="false" outlineLevel="0" collapsed="false">
      <c r="A461" s="6" t="s">
        <v>11700</v>
      </c>
      <c r="B461" s="6" t="s">
        <v>171</v>
      </c>
      <c r="C461" s="7" t="n">
        <v>45565</v>
      </c>
      <c r="D461" s="6" t="s">
        <v>380</v>
      </c>
      <c r="E461" s="6" t="s">
        <v>10851</v>
      </c>
      <c r="F461" s="6" t="s">
        <v>2706</v>
      </c>
      <c r="G461" s="6" t="s">
        <v>10845</v>
      </c>
      <c r="H461" s="9" t="n">
        <v>-10012</v>
      </c>
      <c r="I461" s="6" t="s">
        <v>384</v>
      </c>
      <c r="J461" s="6" t="s">
        <v>13</v>
      </c>
      <c r="K461" s="6" t="s">
        <v>169</v>
      </c>
      <c r="L461" s="6" t="s">
        <v>11690</v>
      </c>
      <c r="M461" s="6" t="s">
        <v>11699</v>
      </c>
      <c r="N461" s="6"/>
    </row>
    <row r="462" customFormat="false" ht="15" hidden="false" customHeight="false" outlineLevel="0" collapsed="false">
      <c r="A462" s="6" t="s">
        <v>11701</v>
      </c>
      <c r="B462" s="6" t="s">
        <v>171</v>
      </c>
      <c r="C462" s="7" t="n">
        <v>45565</v>
      </c>
      <c r="D462" s="6" t="s">
        <v>380</v>
      </c>
      <c r="E462" s="6" t="s">
        <v>10851</v>
      </c>
      <c r="F462" s="6" t="s">
        <v>11702</v>
      </c>
      <c r="G462" s="6" t="s">
        <v>10845</v>
      </c>
      <c r="H462" s="9" t="n">
        <v>-24208</v>
      </c>
      <c r="I462" s="6" t="s">
        <v>384</v>
      </c>
      <c r="J462" s="6" t="s">
        <v>13</v>
      </c>
      <c r="K462" s="6" t="s">
        <v>169</v>
      </c>
      <c r="L462" s="6" t="s">
        <v>11703</v>
      </c>
      <c r="M462" s="6" t="s">
        <v>11699</v>
      </c>
      <c r="N462" s="6"/>
    </row>
    <row r="463" customFormat="false" ht="15" hidden="false" customHeight="false" outlineLevel="0" collapsed="false">
      <c r="A463" s="6" t="s">
        <v>11704</v>
      </c>
      <c r="B463" s="6" t="s">
        <v>171</v>
      </c>
      <c r="C463" s="7" t="n">
        <v>45565</v>
      </c>
      <c r="D463" s="6" t="s">
        <v>380</v>
      </c>
      <c r="E463" s="6" t="s">
        <v>10851</v>
      </c>
      <c r="F463" s="6" t="s">
        <v>10872</v>
      </c>
      <c r="G463" s="6" t="s">
        <v>10849</v>
      </c>
      <c r="H463" s="9" t="n">
        <v>21417</v>
      </c>
      <c r="I463" s="6" t="s">
        <v>384</v>
      </c>
      <c r="J463" s="6" t="s">
        <v>13</v>
      </c>
      <c r="K463" s="6" t="s">
        <v>169</v>
      </c>
      <c r="L463" s="6" t="s">
        <v>2232</v>
      </c>
      <c r="M463" s="6" t="s">
        <v>11699</v>
      </c>
      <c r="N463" s="6"/>
    </row>
    <row r="464" customFormat="false" ht="15" hidden="false" customHeight="false" outlineLevel="0" collapsed="false">
      <c r="A464" s="6" t="s">
        <v>11705</v>
      </c>
      <c r="B464" s="6" t="s">
        <v>171</v>
      </c>
      <c r="C464" s="7" t="n">
        <v>45565</v>
      </c>
      <c r="D464" s="6" t="s">
        <v>380</v>
      </c>
      <c r="E464" s="6" t="s">
        <v>11306</v>
      </c>
      <c r="F464" s="6" t="s">
        <v>10165</v>
      </c>
      <c r="G464" s="6" t="s">
        <v>10840</v>
      </c>
      <c r="H464" s="9" t="n">
        <v>-27402</v>
      </c>
      <c r="I464" s="6" t="s">
        <v>384</v>
      </c>
      <c r="J464" s="6" t="s">
        <v>13</v>
      </c>
      <c r="K464" s="6" t="s">
        <v>169</v>
      </c>
      <c r="L464" s="6" t="s">
        <v>11706</v>
      </c>
      <c r="M464" s="6" t="s">
        <v>11707</v>
      </c>
      <c r="N464" s="6"/>
    </row>
    <row r="465" customFormat="false" ht="15" hidden="false" customHeight="false" outlineLevel="0" collapsed="false">
      <c r="A465" s="6" t="s">
        <v>11708</v>
      </c>
      <c r="B465" s="6" t="s">
        <v>171</v>
      </c>
      <c r="C465" s="7" t="n">
        <v>45565</v>
      </c>
      <c r="D465" s="6" t="s">
        <v>380</v>
      </c>
      <c r="E465" s="6" t="s">
        <v>11306</v>
      </c>
      <c r="F465" s="6" t="s">
        <v>2706</v>
      </c>
      <c r="G465" s="6" t="s">
        <v>10845</v>
      </c>
      <c r="H465" s="9" t="n">
        <v>35374</v>
      </c>
      <c r="I465" s="6" t="s">
        <v>384</v>
      </c>
      <c r="J465" s="6" t="s">
        <v>13</v>
      </c>
      <c r="K465" s="6" t="s">
        <v>169</v>
      </c>
      <c r="L465" s="6" t="s">
        <v>2781</v>
      </c>
      <c r="M465" s="6" t="s">
        <v>11707</v>
      </c>
      <c r="N465" s="6"/>
    </row>
    <row r="466" customFormat="false" ht="15" hidden="false" customHeight="false" outlineLevel="0" collapsed="false">
      <c r="A466" s="6" t="s">
        <v>11709</v>
      </c>
      <c r="B466" s="6" t="s">
        <v>171</v>
      </c>
      <c r="C466" s="7" t="n">
        <v>45565</v>
      </c>
      <c r="D466" s="6" t="s">
        <v>380</v>
      </c>
      <c r="E466" s="6" t="s">
        <v>11306</v>
      </c>
      <c r="F466" s="6" t="s">
        <v>11702</v>
      </c>
      <c r="G466" s="6" t="s">
        <v>10845</v>
      </c>
      <c r="H466" s="9" t="n">
        <v>24208</v>
      </c>
      <c r="I466" s="6" t="s">
        <v>384</v>
      </c>
      <c r="J466" s="6" t="s">
        <v>13</v>
      </c>
      <c r="K466" s="6" t="s">
        <v>169</v>
      </c>
      <c r="L466" s="6" t="s">
        <v>2932</v>
      </c>
      <c r="M466" s="6" t="s">
        <v>11707</v>
      </c>
      <c r="N466" s="6"/>
    </row>
    <row r="467" customFormat="false" ht="15" hidden="false" customHeight="false" outlineLevel="0" collapsed="false">
      <c r="A467" s="6" t="s">
        <v>11710</v>
      </c>
      <c r="B467" s="6" t="s">
        <v>171</v>
      </c>
      <c r="C467" s="7" t="n">
        <v>45565</v>
      </c>
      <c r="D467" s="6" t="s">
        <v>380</v>
      </c>
      <c r="E467" s="6" t="s">
        <v>11306</v>
      </c>
      <c r="F467" s="6" t="s">
        <v>5717</v>
      </c>
      <c r="G467" s="6" t="s">
        <v>10849</v>
      </c>
      <c r="H467" s="9" t="n">
        <v>32180</v>
      </c>
      <c r="I467" s="6" t="s">
        <v>384</v>
      </c>
      <c r="J467" s="6" t="s">
        <v>13</v>
      </c>
      <c r="K467" s="6" t="s">
        <v>169</v>
      </c>
      <c r="L467" s="6" t="s">
        <v>2347</v>
      </c>
      <c r="M467" s="6" t="s">
        <v>11707</v>
      </c>
      <c r="N467" s="6"/>
    </row>
    <row r="468" customFormat="false" ht="15" hidden="false" customHeight="false" outlineLevel="0" collapsed="false">
      <c r="A468" s="6" t="s">
        <v>11711</v>
      </c>
      <c r="B468" s="6" t="s">
        <v>171</v>
      </c>
      <c r="C468" s="7" t="n">
        <v>45565</v>
      </c>
      <c r="D468" s="6" t="s">
        <v>380</v>
      </c>
      <c r="E468" s="6" t="s">
        <v>11256</v>
      </c>
      <c r="F468" s="6" t="s">
        <v>11501</v>
      </c>
      <c r="G468" s="6" t="s">
        <v>10840</v>
      </c>
      <c r="H468" s="9" t="n">
        <v>-12026</v>
      </c>
      <c r="I468" s="6" t="s">
        <v>384</v>
      </c>
      <c r="J468" s="6" t="s">
        <v>13</v>
      </c>
      <c r="K468" s="6" t="s">
        <v>169</v>
      </c>
      <c r="L468" s="6" t="s">
        <v>11712</v>
      </c>
      <c r="M468" s="6" t="s">
        <v>11713</v>
      </c>
      <c r="N468" s="6"/>
    </row>
    <row r="469" customFormat="false" ht="15" hidden="false" customHeight="false" outlineLevel="0" collapsed="false">
      <c r="A469" s="6" t="s">
        <v>11714</v>
      </c>
      <c r="B469" s="6" t="s">
        <v>171</v>
      </c>
      <c r="C469" s="7" t="n">
        <v>45565</v>
      </c>
      <c r="D469" s="6" t="s">
        <v>380</v>
      </c>
      <c r="E469" s="6" t="s">
        <v>11256</v>
      </c>
      <c r="F469" s="6" t="s">
        <v>2706</v>
      </c>
      <c r="G469" s="6" t="s">
        <v>10845</v>
      </c>
      <c r="H469" s="9" t="n">
        <v>35374</v>
      </c>
      <c r="I469" s="6" t="s">
        <v>384</v>
      </c>
      <c r="J469" s="6" t="s">
        <v>13</v>
      </c>
      <c r="K469" s="6" t="s">
        <v>169</v>
      </c>
      <c r="L469" s="6" t="s">
        <v>11715</v>
      </c>
      <c r="M469" s="6" t="s">
        <v>11713</v>
      </c>
      <c r="N469" s="6"/>
    </row>
    <row r="470" customFormat="false" ht="15" hidden="false" customHeight="false" outlineLevel="0" collapsed="false">
      <c r="A470" s="6" t="s">
        <v>11716</v>
      </c>
      <c r="B470" s="6" t="s">
        <v>171</v>
      </c>
      <c r="C470" s="7" t="n">
        <v>45565</v>
      </c>
      <c r="D470" s="6" t="s">
        <v>380</v>
      </c>
      <c r="E470" s="6" t="s">
        <v>11256</v>
      </c>
      <c r="F470" s="6" t="s">
        <v>11702</v>
      </c>
      <c r="G470" s="6" t="s">
        <v>10845</v>
      </c>
      <c r="H470" s="9" t="n">
        <v>24208</v>
      </c>
      <c r="I470" s="6" t="s">
        <v>384</v>
      </c>
      <c r="J470" s="6" t="s">
        <v>13</v>
      </c>
      <c r="K470" s="6" t="s">
        <v>169</v>
      </c>
      <c r="L470" s="6" t="s">
        <v>11717</v>
      </c>
      <c r="M470" s="6" t="s">
        <v>11713</v>
      </c>
      <c r="N470" s="6"/>
    </row>
    <row r="471" customFormat="false" ht="15" hidden="false" customHeight="false" outlineLevel="0" collapsed="false">
      <c r="A471" s="6" t="s">
        <v>11718</v>
      </c>
      <c r="B471" s="6" t="s">
        <v>171</v>
      </c>
      <c r="C471" s="7" t="n">
        <v>45565</v>
      </c>
      <c r="D471" s="6" t="s">
        <v>380</v>
      </c>
      <c r="E471" s="6" t="s">
        <v>11256</v>
      </c>
      <c r="F471" s="6" t="s">
        <v>11719</v>
      </c>
      <c r="G471" s="6" t="s">
        <v>10845</v>
      </c>
      <c r="H471" s="9" t="n">
        <v>-2587</v>
      </c>
      <c r="I471" s="6" t="s">
        <v>384</v>
      </c>
      <c r="J471" s="6" t="s">
        <v>13</v>
      </c>
      <c r="K471" s="6" t="s">
        <v>169</v>
      </c>
      <c r="L471" s="6" t="s">
        <v>11720</v>
      </c>
      <c r="M471" s="6" t="s">
        <v>11713</v>
      </c>
      <c r="N471" s="6"/>
    </row>
    <row r="472" customFormat="false" ht="15" hidden="false" customHeight="false" outlineLevel="0" collapsed="false">
      <c r="A472" s="6" t="s">
        <v>11721</v>
      </c>
      <c r="B472" s="6" t="s">
        <v>171</v>
      </c>
      <c r="C472" s="7" t="n">
        <v>45565</v>
      </c>
      <c r="D472" s="6" t="s">
        <v>380</v>
      </c>
      <c r="E472" s="6" t="s">
        <v>11256</v>
      </c>
      <c r="F472" s="6" t="s">
        <v>11632</v>
      </c>
      <c r="G472" s="6" t="s">
        <v>10849</v>
      </c>
      <c r="H472" s="9" t="n">
        <v>44969</v>
      </c>
      <c r="I472" s="6" t="s">
        <v>384</v>
      </c>
      <c r="J472" s="6" t="s">
        <v>13</v>
      </c>
      <c r="K472" s="6" t="s">
        <v>169</v>
      </c>
      <c r="L472" s="6" t="s">
        <v>2555</v>
      </c>
      <c r="M472" s="6" t="s">
        <v>11713</v>
      </c>
      <c r="N472" s="6"/>
    </row>
    <row r="473" customFormat="false" ht="15" hidden="false" customHeight="false" outlineLevel="0" collapsed="false">
      <c r="A473" s="6" t="s">
        <v>11722</v>
      </c>
      <c r="B473" s="6" t="s">
        <v>171</v>
      </c>
      <c r="C473" s="7" t="n">
        <v>45565</v>
      </c>
      <c r="D473" s="6" t="s">
        <v>380</v>
      </c>
      <c r="E473" s="6" t="s">
        <v>10904</v>
      </c>
      <c r="F473" s="6" t="s">
        <v>8429</v>
      </c>
      <c r="G473" s="6" t="s">
        <v>10840</v>
      </c>
      <c r="H473" s="9" t="n">
        <v>86605</v>
      </c>
      <c r="I473" s="6" t="s">
        <v>384</v>
      </c>
      <c r="J473" s="6" t="s">
        <v>13</v>
      </c>
      <c r="K473" s="6" t="s">
        <v>169</v>
      </c>
      <c r="L473" s="6" t="s">
        <v>11723</v>
      </c>
      <c r="M473" s="6" t="s">
        <v>11724</v>
      </c>
      <c r="N473" s="6"/>
    </row>
    <row r="474" customFormat="false" ht="15" hidden="false" customHeight="false" outlineLevel="0" collapsed="false">
      <c r="A474" s="6" t="s">
        <v>11725</v>
      </c>
      <c r="B474" s="6" t="s">
        <v>171</v>
      </c>
      <c r="C474" s="7" t="n">
        <v>45565</v>
      </c>
      <c r="D474" s="6" t="s">
        <v>380</v>
      </c>
      <c r="E474" s="6" t="s">
        <v>10904</v>
      </c>
      <c r="F474" s="6" t="s">
        <v>8520</v>
      </c>
      <c r="G474" s="6" t="s">
        <v>10845</v>
      </c>
      <c r="H474" s="9" t="n">
        <v>-3800</v>
      </c>
      <c r="I474" s="6" t="s">
        <v>384</v>
      </c>
      <c r="J474" s="6" t="s">
        <v>13</v>
      </c>
      <c r="K474" s="6" t="s">
        <v>169</v>
      </c>
      <c r="L474" s="6" t="s">
        <v>3138</v>
      </c>
      <c r="M474" s="6" t="s">
        <v>11724</v>
      </c>
      <c r="N474" s="6"/>
    </row>
    <row r="475" customFormat="false" ht="15" hidden="false" customHeight="false" outlineLevel="0" collapsed="false">
      <c r="A475" s="6" t="s">
        <v>11726</v>
      </c>
      <c r="B475" s="6" t="s">
        <v>171</v>
      </c>
      <c r="C475" s="7" t="n">
        <v>45565</v>
      </c>
      <c r="D475" s="6" t="s">
        <v>380</v>
      </c>
      <c r="E475" s="6" t="s">
        <v>10904</v>
      </c>
      <c r="F475" s="6" t="s">
        <v>8081</v>
      </c>
      <c r="G475" s="6" t="s">
        <v>10845</v>
      </c>
      <c r="H475" s="9" t="n">
        <v>-393</v>
      </c>
      <c r="I475" s="6" t="s">
        <v>384</v>
      </c>
      <c r="J475" s="6" t="s">
        <v>13</v>
      </c>
      <c r="K475" s="6" t="s">
        <v>169</v>
      </c>
      <c r="L475" s="6" t="s">
        <v>3252</v>
      </c>
      <c r="M475" s="6" t="s">
        <v>11724</v>
      </c>
      <c r="N475" s="6"/>
    </row>
    <row r="476" customFormat="false" ht="15" hidden="false" customHeight="false" outlineLevel="0" collapsed="false">
      <c r="A476" s="6" t="s">
        <v>11727</v>
      </c>
      <c r="B476" s="6" t="s">
        <v>171</v>
      </c>
      <c r="C476" s="7" t="n">
        <v>45565</v>
      </c>
      <c r="D476" s="6" t="s">
        <v>380</v>
      </c>
      <c r="E476" s="6" t="s">
        <v>10904</v>
      </c>
      <c r="F476" s="6" t="s">
        <v>4820</v>
      </c>
      <c r="G476" s="6" t="s">
        <v>10849</v>
      </c>
      <c r="H476" s="9" t="n">
        <v>82412</v>
      </c>
      <c r="I476" s="6" t="s">
        <v>384</v>
      </c>
      <c r="J476" s="6" t="s">
        <v>13</v>
      </c>
      <c r="K476" s="6" t="s">
        <v>169</v>
      </c>
      <c r="L476" s="6" t="s">
        <v>3435</v>
      </c>
      <c r="M476" s="6" t="s">
        <v>11724</v>
      </c>
      <c r="N476" s="6"/>
    </row>
    <row r="477" customFormat="false" ht="15" hidden="false" customHeight="false" outlineLevel="0" collapsed="false">
      <c r="A477" s="6" t="s">
        <v>11728</v>
      </c>
      <c r="B477" s="6" t="s">
        <v>176</v>
      </c>
      <c r="C477" s="7" t="n">
        <v>45657</v>
      </c>
      <c r="D477" s="6" t="s">
        <v>380</v>
      </c>
      <c r="E477" s="6" t="s">
        <v>10838</v>
      </c>
      <c r="F477" s="6" t="s">
        <v>10839</v>
      </c>
      <c r="G477" s="6" t="s">
        <v>10840</v>
      </c>
      <c r="H477" s="9" t="n">
        <v>237474</v>
      </c>
      <c r="I477" s="6" t="s">
        <v>384</v>
      </c>
      <c r="J477" s="6" t="s">
        <v>13</v>
      </c>
      <c r="K477" s="6" t="s">
        <v>174</v>
      </c>
      <c r="L477" s="6" t="s">
        <v>11729</v>
      </c>
      <c r="M477" s="6" t="s">
        <v>11730</v>
      </c>
      <c r="N477" s="6"/>
    </row>
    <row r="478" customFormat="false" ht="15" hidden="false" customHeight="false" outlineLevel="0" collapsed="false">
      <c r="A478" s="6" t="s">
        <v>11731</v>
      </c>
      <c r="B478" s="6" t="s">
        <v>176</v>
      </c>
      <c r="C478" s="7" t="n">
        <v>45657</v>
      </c>
      <c r="D478" s="6" t="s">
        <v>380</v>
      </c>
      <c r="E478" s="6" t="s">
        <v>10838</v>
      </c>
      <c r="F478" s="6" t="s">
        <v>2706</v>
      </c>
      <c r="G478" s="6" t="s">
        <v>10845</v>
      </c>
      <c r="H478" s="9" t="n">
        <v>1606</v>
      </c>
      <c r="I478" s="6" t="s">
        <v>384</v>
      </c>
      <c r="J478" s="6" t="s">
        <v>13</v>
      </c>
      <c r="K478" s="6" t="s">
        <v>174</v>
      </c>
      <c r="L478" s="6" t="s">
        <v>11732</v>
      </c>
      <c r="M478" s="6" t="s">
        <v>11730</v>
      </c>
      <c r="N478" s="6"/>
    </row>
    <row r="479" customFormat="false" ht="15" hidden="false" customHeight="false" outlineLevel="0" collapsed="false">
      <c r="A479" s="6" t="s">
        <v>11733</v>
      </c>
      <c r="B479" s="6" t="s">
        <v>176</v>
      </c>
      <c r="C479" s="7" t="n">
        <v>45657</v>
      </c>
      <c r="D479" s="6" t="s">
        <v>380</v>
      </c>
      <c r="E479" s="6" t="s">
        <v>10838</v>
      </c>
      <c r="F479" s="6" t="s">
        <v>10848</v>
      </c>
      <c r="G479" s="6" t="s">
        <v>10849</v>
      </c>
      <c r="H479" s="9" t="n">
        <v>239080</v>
      </c>
      <c r="I479" s="6" t="s">
        <v>384</v>
      </c>
      <c r="J479" s="6" t="s">
        <v>13</v>
      </c>
      <c r="K479" s="6" t="s">
        <v>174</v>
      </c>
      <c r="L479" s="6" t="s">
        <v>1815</v>
      </c>
      <c r="M479" s="6" t="s">
        <v>11730</v>
      </c>
      <c r="N479" s="6"/>
    </row>
    <row r="480" customFormat="false" ht="15" hidden="false" customHeight="false" outlineLevel="0" collapsed="false">
      <c r="A480" s="6" t="s">
        <v>11734</v>
      </c>
      <c r="B480" s="6" t="s">
        <v>176</v>
      </c>
      <c r="C480" s="7" t="n">
        <v>45657</v>
      </c>
      <c r="D480" s="6" t="s">
        <v>380</v>
      </c>
      <c r="E480" s="6" t="s">
        <v>10851</v>
      </c>
      <c r="F480" s="6" t="s">
        <v>10852</v>
      </c>
      <c r="G480" s="6" t="s">
        <v>10840</v>
      </c>
      <c r="H480" s="9" t="n">
        <v>62332</v>
      </c>
      <c r="I480" s="6" t="s">
        <v>384</v>
      </c>
      <c r="J480" s="6" t="s">
        <v>13</v>
      </c>
      <c r="K480" s="6" t="s">
        <v>174</v>
      </c>
      <c r="L480" s="6" t="s">
        <v>11735</v>
      </c>
      <c r="M480" s="6" t="s">
        <v>11736</v>
      </c>
      <c r="N480" s="6"/>
    </row>
    <row r="481" customFormat="false" ht="15" hidden="false" customHeight="false" outlineLevel="0" collapsed="false">
      <c r="A481" s="6" t="s">
        <v>11737</v>
      </c>
      <c r="B481" s="6" t="s">
        <v>176</v>
      </c>
      <c r="C481" s="7" t="n">
        <v>45657</v>
      </c>
      <c r="D481" s="6" t="s">
        <v>380</v>
      </c>
      <c r="E481" s="6" t="s">
        <v>10851</v>
      </c>
      <c r="F481" s="6" t="s">
        <v>2706</v>
      </c>
      <c r="G481" s="6" t="s">
        <v>10845</v>
      </c>
      <c r="H481" s="9" t="n">
        <v>-14266</v>
      </c>
      <c r="I481" s="6" t="s">
        <v>384</v>
      </c>
      <c r="J481" s="6" t="s">
        <v>13</v>
      </c>
      <c r="K481" s="6" t="s">
        <v>174</v>
      </c>
      <c r="L481" s="6" t="s">
        <v>11738</v>
      </c>
      <c r="M481" s="6" t="s">
        <v>11736</v>
      </c>
      <c r="N481" s="6"/>
    </row>
    <row r="482" customFormat="false" ht="15" hidden="false" customHeight="false" outlineLevel="0" collapsed="false">
      <c r="A482" s="6" t="s">
        <v>11739</v>
      </c>
      <c r="B482" s="6" t="s">
        <v>176</v>
      </c>
      <c r="C482" s="7" t="n">
        <v>45657</v>
      </c>
      <c r="D482" s="6" t="s">
        <v>380</v>
      </c>
      <c r="E482" s="6" t="s">
        <v>10851</v>
      </c>
      <c r="F482" s="6" t="s">
        <v>10858</v>
      </c>
      <c r="G482" s="6" t="s">
        <v>10849</v>
      </c>
      <c r="H482" s="9" t="n">
        <v>48066</v>
      </c>
      <c r="I482" s="6" t="s">
        <v>384</v>
      </c>
      <c r="J482" s="6" t="s">
        <v>13</v>
      </c>
      <c r="K482" s="6" t="s">
        <v>174</v>
      </c>
      <c r="L482" s="6" t="s">
        <v>2008</v>
      </c>
      <c r="M482" s="6" t="s">
        <v>11736</v>
      </c>
      <c r="N482" s="6"/>
    </row>
    <row r="483" customFormat="false" ht="15" hidden="false" customHeight="false" outlineLevel="0" collapsed="false">
      <c r="A483" s="6" t="s">
        <v>11740</v>
      </c>
      <c r="B483" s="6" t="s">
        <v>176</v>
      </c>
      <c r="C483" s="7" t="n">
        <v>45657</v>
      </c>
      <c r="D483" s="6" t="s">
        <v>380</v>
      </c>
      <c r="E483" s="6" t="s">
        <v>10851</v>
      </c>
      <c r="F483" s="6" t="s">
        <v>10860</v>
      </c>
      <c r="G483" s="6" t="s">
        <v>10840</v>
      </c>
      <c r="H483" s="9" t="n">
        <v>133643</v>
      </c>
      <c r="I483" s="6" t="s">
        <v>384</v>
      </c>
      <c r="J483" s="6" t="s">
        <v>13</v>
      </c>
      <c r="K483" s="6" t="s">
        <v>174</v>
      </c>
      <c r="L483" s="6" t="s">
        <v>11741</v>
      </c>
      <c r="M483" s="6" t="s">
        <v>11742</v>
      </c>
      <c r="N483" s="6"/>
    </row>
    <row r="484" customFormat="false" ht="15" hidden="false" customHeight="false" outlineLevel="0" collapsed="false">
      <c r="A484" s="6" t="s">
        <v>11743</v>
      </c>
      <c r="B484" s="6" t="s">
        <v>176</v>
      </c>
      <c r="C484" s="7" t="n">
        <v>45657</v>
      </c>
      <c r="D484" s="6" t="s">
        <v>380</v>
      </c>
      <c r="E484" s="6" t="s">
        <v>10851</v>
      </c>
      <c r="F484" s="6" t="s">
        <v>2706</v>
      </c>
      <c r="G484" s="6" t="s">
        <v>10845</v>
      </c>
      <c r="H484" s="9" t="n">
        <v>-5852</v>
      </c>
      <c r="I484" s="6" t="s">
        <v>384</v>
      </c>
      <c r="J484" s="6" t="s">
        <v>13</v>
      </c>
      <c r="K484" s="6" t="s">
        <v>174</v>
      </c>
      <c r="L484" s="6" t="s">
        <v>11738</v>
      </c>
      <c r="M484" s="6" t="s">
        <v>11742</v>
      </c>
      <c r="N484" s="6"/>
    </row>
    <row r="485" customFormat="false" ht="15" hidden="false" customHeight="false" outlineLevel="0" collapsed="false">
      <c r="A485" s="6" t="s">
        <v>11744</v>
      </c>
      <c r="B485" s="6" t="s">
        <v>176</v>
      </c>
      <c r="C485" s="7" t="n">
        <v>45657</v>
      </c>
      <c r="D485" s="6" t="s">
        <v>380</v>
      </c>
      <c r="E485" s="6" t="s">
        <v>10851</v>
      </c>
      <c r="F485" s="6" t="s">
        <v>10865</v>
      </c>
      <c r="G485" s="6" t="s">
        <v>10849</v>
      </c>
      <c r="H485" s="9" t="n">
        <v>127791</v>
      </c>
      <c r="I485" s="6" t="s">
        <v>384</v>
      </c>
      <c r="J485" s="6" t="s">
        <v>13</v>
      </c>
      <c r="K485" s="6" t="s">
        <v>174</v>
      </c>
      <c r="L485" s="6" t="s">
        <v>2123</v>
      </c>
      <c r="M485" s="6" t="s">
        <v>11742</v>
      </c>
      <c r="N485" s="6"/>
    </row>
    <row r="486" customFormat="false" ht="15" hidden="false" customHeight="false" outlineLevel="0" collapsed="false">
      <c r="A486" s="6" t="s">
        <v>11745</v>
      </c>
      <c r="B486" s="6" t="s">
        <v>176</v>
      </c>
      <c r="C486" s="7" t="n">
        <v>45657</v>
      </c>
      <c r="D486" s="6" t="s">
        <v>380</v>
      </c>
      <c r="E486" s="6" t="s">
        <v>10851</v>
      </c>
      <c r="F486" s="6" t="s">
        <v>10867</v>
      </c>
      <c r="G486" s="6" t="s">
        <v>10840</v>
      </c>
      <c r="H486" s="9" t="n">
        <v>31903</v>
      </c>
      <c r="I486" s="6" t="s">
        <v>384</v>
      </c>
      <c r="J486" s="6" t="s">
        <v>13</v>
      </c>
      <c r="K486" s="6" t="s">
        <v>174</v>
      </c>
      <c r="L486" s="6" t="s">
        <v>11746</v>
      </c>
      <c r="M486" s="6" t="s">
        <v>11747</v>
      </c>
      <c r="N486" s="6"/>
    </row>
    <row r="487" customFormat="false" ht="15" hidden="false" customHeight="false" outlineLevel="0" collapsed="false">
      <c r="A487" s="6" t="s">
        <v>11748</v>
      </c>
      <c r="B487" s="6" t="s">
        <v>176</v>
      </c>
      <c r="C487" s="7" t="n">
        <v>45657</v>
      </c>
      <c r="D487" s="6" t="s">
        <v>380</v>
      </c>
      <c r="E487" s="6" t="s">
        <v>10851</v>
      </c>
      <c r="F487" s="6" t="s">
        <v>2706</v>
      </c>
      <c r="G487" s="6" t="s">
        <v>10845</v>
      </c>
      <c r="H487" s="9" t="n">
        <v>-8945</v>
      </c>
      <c r="I487" s="6" t="s">
        <v>384</v>
      </c>
      <c r="J487" s="6" t="s">
        <v>13</v>
      </c>
      <c r="K487" s="6" t="s">
        <v>174</v>
      </c>
      <c r="L487" s="6" t="s">
        <v>11738</v>
      </c>
      <c r="M487" s="6" t="s">
        <v>11747</v>
      </c>
      <c r="N487" s="6"/>
    </row>
    <row r="488" customFormat="false" ht="15" hidden="false" customHeight="false" outlineLevel="0" collapsed="false">
      <c r="A488" s="6" t="s">
        <v>11749</v>
      </c>
      <c r="B488" s="6" t="s">
        <v>176</v>
      </c>
      <c r="C488" s="7" t="n">
        <v>45657</v>
      </c>
      <c r="D488" s="6" t="s">
        <v>380</v>
      </c>
      <c r="E488" s="6" t="s">
        <v>10851</v>
      </c>
      <c r="F488" s="6" t="s">
        <v>11702</v>
      </c>
      <c r="G488" s="6" t="s">
        <v>10845</v>
      </c>
      <c r="H488" s="9" t="n">
        <v>0</v>
      </c>
      <c r="I488" s="6" t="s">
        <v>384</v>
      </c>
      <c r="J488" s="6" t="s">
        <v>13</v>
      </c>
      <c r="K488" s="6" t="s">
        <v>174</v>
      </c>
      <c r="L488" s="6" t="s">
        <v>11750</v>
      </c>
      <c r="M488" s="6" t="s">
        <v>11747</v>
      </c>
      <c r="N488" s="6"/>
    </row>
    <row r="489" customFormat="false" ht="15" hidden="false" customHeight="false" outlineLevel="0" collapsed="false">
      <c r="A489" s="6" t="s">
        <v>11751</v>
      </c>
      <c r="B489" s="6" t="s">
        <v>176</v>
      </c>
      <c r="C489" s="7" t="n">
        <v>45657</v>
      </c>
      <c r="D489" s="6" t="s">
        <v>380</v>
      </c>
      <c r="E489" s="6" t="s">
        <v>10851</v>
      </c>
      <c r="F489" s="6" t="s">
        <v>10872</v>
      </c>
      <c r="G489" s="6" t="s">
        <v>10849</v>
      </c>
      <c r="H489" s="9" t="n">
        <v>22958</v>
      </c>
      <c r="I489" s="6" t="s">
        <v>384</v>
      </c>
      <c r="J489" s="6" t="s">
        <v>13</v>
      </c>
      <c r="K489" s="6" t="s">
        <v>174</v>
      </c>
      <c r="L489" s="6" t="s">
        <v>2238</v>
      </c>
      <c r="M489" s="6" t="s">
        <v>11747</v>
      </c>
      <c r="N489" s="6"/>
    </row>
    <row r="490" customFormat="false" ht="15" hidden="false" customHeight="false" outlineLevel="0" collapsed="false">
      <c r="A490" s="6" t="s">
        <v>11752</v>
      </c>
      <c r="B490" s="6" t="s">
        <v>176</v>
      </c>
      <c r="C490" s="7" t="n">
        <v>45657</v>
      </c>
      <c r="D490" s="6" t="s">
        <v>380</v>
      </c>
      <c r="E490" s="6" t="s">
        <v>11306</v>
      </c>
      <c r="F490" s="6" t="s">
        <v>10162</v>
      </c>
      <c r="G490" s="6" t="s">
        <v>10840</v>
      </c>
      <c r="H490" s="9" t="n">
        <v>9596</v>
      </c>
      <c r="I490" s="6" t="s">
        <v>384</v>
      </c>
      <c r="J490" s="6" t="s">
        <v>13</v>
      </c>
      <c r="K490" s="6" t="s">
        <v>174</v>
      </c>
      <c r="L490" s="6" t="s">
        <v>11753</v>
      </c>
      <c r="M490" s="6" t="s">
        <v>11754</v>
      </c>
      <c r="N490" s="6"/>
    </row>
    <row r="491" customFormat="false" ht="15" hidden="false" customHeight="false" outlineLevel="0" collapsed="false">
      <c r="A491" s="6" t="s">
        <v>11755</v>
      </c>
      <c r="B491" s="6" t="s">
        <v>176</v>
      </c>
      <c r="C491" s="7" t="n">
        <v>45657</v>
      </c>
      <c r="D491" s="6" t="s">
        <v>380</v>
      </c>
      <c r="E491" s="6" t="s">
        <v>11306</v>
      </c>
      <c r="F491" s="6" t="s">
        <v>2706</v>
      </c>
      <c r="G491" s="6" t="s">
        <v>10845</v>
      </c>
      <c r="H491" s="9" t="n">
        <v>30669</v>
      </c>
      <c r="I491" s="6" t="s">
        <v>384</v>
      </c>
      <c r="J491" s="6" t="s">
        <v>13</v>
      </c>
      <c r="K491" s="6" t="s">
        <v>174</v>
      </c>
      <c r="L491" s="6" t="s">
        <v>2787</v>
      </c>
      <c r="M491" s="6" t="s">
        <v>11754</v>
      </c>
      <c r="N491" s="6"/>
    </row>
    <row r="492" customFormat="false" ht="15" hidden="false" customHeight="false" outlineLevel="0" collapsed="false">
      <c r="A492" s="6" t="s">
        <v>11756</v>
      </c>
      <c r="B492" s="6" t="s">
        <v>176</v>
      </c>
      <c r="C492" s="7" t="n">
        <v>45657</v>
      </c>
      <c r="D492" s="6" t="s">
        <v>380</v>
      </c>
      <c r="E492" s="6" t="s">
        <v>11306</v>
      </c>
      <c r="F492" s="6" t="s">
        <v>11702</v>
      </c>
      <c r="G492" s="6" t="s">
        <v>10845</v>
      </c>
      <c r="H492" s="9" t="n">
        <v>0</v>
      </c>
      <c r="I492" s="6" t="s">
        <v>384</v>
      </c>
      <c r="J492" s="6" t="s">
        <v>13</v>
      </c>
      <c r="K492" s="6" t="s">
        <v>174</v>
      </c>
      <c r="L492" s="6" t="s">
        <v>2936</v>
      </c>
      <c r="M492" s="6" t="s">
        <v>11754</v>
      </c>
      <c r="N492" s="6"/>
    </row>
    <row r="493" customFormat="false" ht="15" hidden="false" customHeight="false" outlineLevel="0" collapsed="false">
      <c r="A493" s="6" t="s">
        <v>11757</v>
      </c>
      <c r="B493" s="6" t="s">
        <v>176</v>
      </c>
      <c r="C493" s="7" t="n">
        <v>45657</v>
      </c>
      <c r="D493" s="6" t="s">
        <v>380</v>
      </c>
      <c r="E493" s="6" t="s">
        <v>11306</v>
      </c>
      <c r="F493" s="6" t="s">
        <v>5717</v>
      </c>
      <c r="G493" s="6" t="s">
        <v>10849</v>
      </c>
      <c r="H493" s="9" t="n">
        <v>40265</v>
      </c>
      <c r="I493" s="6" t="s">
        <v>384</v>
      </c>
      <c r="J493" s="6" t="s">
        <v>13</v>
      </c>
      <c r="K493" s="6" t="s">
        <v>174</v>
      </c>
      <c r="L493" s="6" t="s">
        <v>2353</v>
      </c>
      <c r="M493" s="6" t="s">
        <v>11754</v>
      </c>
      <c r="N493" s="6"/>
    </row>
    <row r="494" customFormat="false" ht="15" hidden="false" customHeight="false" outlineLevel="0" collapsed="false">
      <c r="A494" s="6" t="s">
        <v>11758</v>
      </c>
      <c r="B494" s="6" t="s">
        <v>176</v>
      </c>
      <c r="C494" s="7" t="n">
        <v>45657</v>
      </c>
      <c r="D494" s="6" t="s">
        <v>380</v>
      </c>
      <c r="E494" s="6" t="s">
        <v>11256</v>
      </c>
      <c r="F494" s="6" t="s">
        <v>11501</v>
      </c>
      <c r="G494" s="6" t="s">
        <v>10840</v>
      </c>
      <c r="H494" s="9" t="n">
        <v>23005</v>
      </c>
      <c r="I494" s="6" t="s">
        <v>384</v>
      </c>
      <c r="J494" s="6" t="s">
        <v>13</v>
      </c>
      <c r="K494" s="6" t="s">
        <v>174</v>
      </c>
      <c r="L494" s="6" t="s">
        <v>11759</v>
      </c>
      <c r="M494" s="6" t="s">
        <v>11760</v>
      </c>
      <c r="N494" s="6"/>
    </row>
    <row r="495" customFormat="false" ht="15" hidden="false" customHeight="false" outlineLevel="0" collapsed="false">
      <c r="A495" s="6" t="s">
        <v>11761</v>
      </c>
      <c r="B495" s="6" t="s">
        <v>176</v>
      </c>
      <c r="C495" s="7" t="n">
        <v>45657</v>
      </c>
      <c r="D495" s="6" t="s">
        <v>380</v>
      </c>
      <c r="E495" s="6" t="s">
        <v>11256</v>
      </c>
      <c r="F495" s="6" t="s">
        <v>2706</v>
      </c>
      <c r="G495" s="6" t="s">
        <v>10845</v>
      </c>
      <c r="H495" s="9" t="n">
        <v>30669</v>
      </c>
      <c r="I495" s="6" t="s">
        <v>384</v>
      </c>
      <c r="J495" s="6" t="s">
        <v>13</v>
      </c>
      <c r="K495" s="6" t="s">
        <v>174</v>
      </c>
      <c r="L495" s="6" t="s">
        <v>11762</v>
      </c>
      <c r="M495" s="6" t="s">
        <v>11760</v>
      </c>
      <c r="N495" s="6"/>
    </row>
    <row r="496" customFormat="false" ht="15" hidden="false" customHeight="false" outlineLevel="0" collapsed="false">
      <c r="A496" s="6" t="s">
        <v>11763</v>
      </c>
      <c r="B496" s="6" t="s">
        <v>176</v>
      </c>
      <c r="C496" s="7" t="n">
        <v>45657</v>
      </c>
      <c r="D496" s="6" t="s">
        <v>380</v>
      </c>
      <c r="E496" s="6" t="s">
        <v>11256</v>
      </c>
      <c r="F496" s="6" t="s">
        <v>11702</v>
      </c>
      <c r="G496" s="6" t="s">
        <v>10845</v>
      </c>
      <c r="H496" s="9" t="n">
        <v>0</v>
      </c>
      <c r="I496" s="6" t="s">
        <v>384</v>
      </c>
      <c r="J496" s="6" t="s">
        <v>13</v>
      </c>
      <c r="K496" s="6" t="s">
        <v>174</v>
      </c>
      <c r="L496" s="6" t="s">
        <v>11764</v>
      </c>
      <c r="M496" s="6" t="s">
        <v>11760</v>
      </c>
      <c r="N496" s="6"/>
    </row>
    <row r="497" customFormat="false" ht="15" hidden="false" customHeight="false" outlineLevel="0" collapsed="false">
      <c r="A497" s="6" t="s">
        <v>11765</v>
      </c>
      <c r="B497" s="6" t="s">
        <v>176</v>
      </c>
      <c r="C497" s="7" t="n">
        <v>45657</v>
      </c>
      <c r="D497" s="6" t="s">
        <v>380</v>
      </c>
      <c r="E497" s="6" t="s">
        <v>11256</v>
      </c>
      <c r="F497" s="6" t="s">
        <v>11766</v>
      </c>
      <c r="G497" s="6" t="s">
        <v>10845</v>
      </c>
      <c r="H497" s="9" t="n">
        <v>3626</v>
      </c>
      <c r="I497" s="6" t="s">
        <v>384</v>
      </c>
      <c r="J497" s="6" t="s">
        <v>13</v>
      </c>
      <c r="K497" s="6" t="s">
        <v>174</v>
      </c>
      <c r="L497" s="6" t="s">
        <v>11767</v>
      </c>
      <c r="M497" s="6" t="s">
        <v>11760</v>
      </c>
      <c r="N497" s="6"/>
    </row>
    <row r="498" customFormat="false" ht="15" hidden="false" customHeight="false" outlineLevel="0" collapsed="false">
      <c r="A498" s="6" t="s">
        <v>11768</v>
      </c>
      <c r="B498" s="6" t="s">
        <v>176</v>
      </c>
      <c r="C498" s="7" t="n">
        <v>45657</v>
      </c>
      <c r="D498" s="6" t="s">
        <v>380</v>
      </c>
      <c r="E498" s="6" t="s">
        <v>11256</v>
      </c>
      <c r="F498" s="6" t="s">
        <v>11632</v>
      </c>
      <c r="G498" s="6" t="s">
        <v>10849</v>
      </c>
      <c r="H498" s="9" t="n">
        <v>57300</v>
      </c>
      <c r="I498" s="6" t="s">
        <v>384</v>
      </c>
      <c r="J498" s="6" t="s">
        <v>13</v>
      </c>
      <c r="K498" s="6" t="s">
        <v>174</v>
      </c>
      <c r="L498" s="6" t="s">
        <v>2561</v>
      </c>
      <c r="M498" s="6" t="s">
        <v>11760</v>
      </c>
      <c r="N498" s="6"/>
    </row>
    <row r="499" customFormat="false" ht="15" hidden="false" customHeight="false" outlineLevel="0" collapsed="false">
      <c r="A499" s="6" t="s">
        <v>11769</v>
      </c>
      <c r="B499" s="6" t="s">
        <v>176</v>
      </c>
      <c r="C499" s="7" t="n">
        <v>45657</v>
      </c>
      <c r="D499" s="6" t="s">
        <v>380</v>
      </c>
      <c r="E499" s="6" t="s">
        <v>10904</v>
      </c>
      <c r="F499" s="6" t="s">
        <v>8429</v>
      </c>
      <c r="G499" s="6" t="s">
        <v>10840</v>
      </c>
      <c r="H499" s="9" t="n">
        <v>76711</v>
      </c>
      <c r="I499" s="6" t="s">
        <v>384</v>
      </c>
      <c r="J499" s="6" t="s">
        <v>13</v>
      </c>
      <c r="K499" s="6" t="s">
        <v>174</v>
      </c>
      <c r="L499" s="6" t="s">
        <v>11770</v>
      </c>
      <c r="M499" s="6" t="s">
        <v>11771</v>
      </c>
      <c r="N499" s="6"/>
    </row>
    <row r="500" customFormat="false" ht="15" hidden="false" customHeight="false" outlineLevel="0" collapsed="false">
      <c r="A500" s="6" t="s">
        <v>11772</v>
      </c>
      <c r="B500" s="6" t="s">
        <v>176</v>
      </c>
      <c r="C500" s="7" t="n">
        <v>45657</v>
      </c>
      <c r="D500" s="6" t="s">
        <v>380</v>
      </c>
      <c r="E500" s="6" t="s">
        <v>10904</v>
      </c>
      <c r="F500" s="6" t="s">
        <v>8520</v>
      </c>
      <c r="G500" s="6" t="s">
        <v>10845</v>
      </c>
      <c r="H500" s="9" t="n">
        <v>-3447</v>
      </c>
      <c r="I500" s="6" t="s">
        <v>384</v>
      </c>
      <c r="J500" s="6" t="s">
        <v>13</v>
      </c>
      <c r="K500" s="6" t="s">
        <v>174</v>
      </c>
      <c r="L500" s="6" t="s">
        <v>3144</v>
      </c>
      <c r="M500" s="6" t="s">
        <v>11771</v>
      </c>
      <c r="N500" s="6"/>
    </row>
    <row r="501" customFormat="false" ht="15" hidden="false" customHeight="false" outlineLevel="0" collapsed="false">
      <c r="A501" s="6" t="s">
        <v>11773</v>
      </c>
      <c r="B501" s="6" t="s">
        <v>176</v>
      </c>
      <c r="C501" s="7" t="n">
        <v>45657</v>
      </c>
      <c r="D501" s="6" t="s">
        <v>380</v>
      </c>
      <c r="E501" s="6" t="s">
        <v>10904</v>
      </c>
      <c r="F501" s="6" t="s">
        <v>8081</v>
      </c>
      <c r="G501" s="6" t="s">
        <v>10845</v>
      </c>
      <c r="H501" s="9" t="n">
        <v>-561</v>
      </c>
      <c r="I501" s="6" t="s">
        <v>384</v>
      </c>
      <c r="J501" s="6" t="s">
        <v>13</v>
      </c>
      <c r="K501" s="6" t="s">
        <v>174</v>
      </c>
      <c r="L501" s="6" t="s">
        <v>3258</v>
      </c>
      <c r="M501" s="6" t="s">
        <v>11771</v>
      </c>
      <c r="N501" s="6"/>
    </row>
    <row r="502" customFormat="false" ht="15" hidden="false" customHeight="false" outlineLevel="0" collapsed="false">
      <c r="A502" s="6" t="s">
        <v>11774</v>
      </c>
      <c r="B502" s="6" t="s">
        <v>176</v>
      </c>
      <c r="C502" s="7" t="n">
        <v>45657</v>
      </c>
      <c r="D502" s="6" t="s">
        <v>380</v>
      </c>
      <c r="E502" s="6" t="s">
        <v>10904</v>
      </c>
      <c r="F502" s="6" t="s">
        <v>4820</v>
      </c>
      <c r="G502" s="6" t="s">
        <v>10849</v>
      </c>
      <c r="H502" s="9" t="n">
        <v>72703</v>
      </c>
      <c r="I502" s="6" t="s">
        <v>384</v>
      </c>
      <c r="J502" s="6" t="s">
        <v>13</v>
      </c>
      <c r="K502" s="6" t="s">
        <v>174</v>
      </c>
      <c r="L502" s="6" t="s">
        <v>3441</v>
      </c>
      <c r="M502" s="6" t="s">
        <v>11771</v>
      </c>
      <c r="N502" s="6"/>
    </row>
    <row r="503" customFormat="false" ht="15" hidden="false" customHeight="false" outlineLevel="0" collapsed="false">
      <c r="A503" s="6" t="s">
        <v>11775</v>
      </c>
      <c r="B503" s="6" t="s">
        <v>230</v>
      </c>
      <c r="C503" s="7" t="n">
        <v>45657</v>
      </c>
      <c r="D503" s="6" t="s">
        <v>407</v>
      </c>
      <c r="E503" s="6" t="s">
        <v>10838</v>
      </c>
      <c r="F503" s="6" t="s">
        <v>10839</v>
      </c>
      <c r="G503" s="6" t="s">
        <v>10840</v>
      </c>
      <c r="H503" s="9" t="n">
        <v>868304</v>
      </c>
      <c r="I503" s="6" t="s">
        <v>384</v>
      </c>
      <c r="J503" s="6" t="s">
        <v>13</v>
      </c>
      <c r="K503" s="6" t="s">
        <v>174</v>
      </c>
      <c r="L503" s="6" t="s">
        <v>11776</v>
      </c>
      <c r="M503" s="6" t="s">
        <v>11777</v>
      </c>
      <c r="N503" s="6"/>
    </row>
    <row r="504" customFormat="false" ht="15" hidden="false" customHeight="false" outlineLevel="0" collapsed="false">
      <c r="A504" s="6" t="s">
        <v>11778</v>
      </c>
      <c r="B504" s="6" t="s">
        <v>230</v>
      </c>
      <c r="C504" s="7" t="n">
        <v>45657</v>
      </c>
      <c r="D504" s="6" t="s">
        <v>407</v>
      </c>
      <c r="E504" s="6" t="s">
        <v>10838</v>
      </c>
      <c r="F504" s="6" t="s">
        <v>2706</v>
      </c>
      <c r="G504" s="6" t="s">
        <v>10845</v>
      </c>
      <c r="H504" s="9" t="n">
        <v>6603</v>
      </c>
      <c r="I504" s="6" t="s">
        <v>384</v>
      </c>
      <c r="J504" s="6" t="s">
        <v>13</v>
      </c>
      <c r="K504" s="6" t="s">
        <v>174</v>
      </c>
      <c r="L504" s="6" t="s">
        <v>11779</v>
      </c>
      <c r="M504" s="6" t="s">
        <v>11777</v>
      </c>
      <c r="N504" s="6"/>
    </row>
    <row r="505" customFormat="false" ht="15" hidden="false" customHeight="false" outlineLevel="0" collapsed="false">
      <c r="A505" s="6" t="s">
        <v>11780</v>
      </c>
      <c r="B505" s="6" t="s">
        <v>230</v>
      </c>
      <c r="C505" s="7" t="n">
        <v>45657</v>
      </c>
      <c r="D505" s="6" t="s">
        <v>407</v>
      </c>
      <c r="E505" s="6" t="s">
        <v>10838</v>
      </c>
      <c r="F505" s="6" t="s">
        <v>10848</v>
      </c>
      <c r="G505" s="6" t="s">
        <v>10849</v>
      </c>
      <c r="H505" s="9" t="n">
        <v>874907</v>
      </c>
      <c r="I505" s="6" t="s">
        <v>384</v>
      </c>
      <c r="J505" s="6" t="s">
        <v>13</v>
      </c>
      <c r="K505" s="6" t="s">
        <v>174</v>
      </c>
      <c r="L505" s="6" t="s">
        <v>1818</v>
      </c>
      <c r="M505" s="6" t="s">
        <v>11777</v>
      </c>
      <c r="N505" s="6"/>
    </row>
    <row r="506" customFormat="false" ht="15" hidden="false" customHeight="false" outlineLevel="0" collapsed="false">
      <c r="A506" s="6" t="s">
        <v>11781</v>
      </c>
      <c r="B506" s="6" t="s">
        <v>230</v>
      </c>
      <c r="C506" s="7" t="n">
        <v>45657</v>
      </c>
      <c r="D506" s="6" t="s">
        <v>407</v>
      </c>
      <c r="E506" s="6" t="s">
        <v>10851</v>
      </c>
      <c r="F506" s="6" t="s">
        <v>10852</v>
      </c>
      <c r="G506" s="6" t="s">
        <v>10840</v>
      </c>
      <c r="H506" s="9" t="n">
        <v>213709</v>
      </c>
      <c r="I506" s="6" t="s">
        <v>384</v>
      </c>
      <c r="J506" s="6" t="s">
        <v>13</v>
      </c>
      <c r="K506" s="6" t="s">
        <v>174</v>
      </c>
      <c r="L506" s="6" t="s">
        <v>11782</v>
      </c>
      <c r="M506" s="6" t="s">
        <v>11783</v>
      </c>
      <c r="N506" s="6"/>
    </row>
    <row r="507" customFormat="false" ht="15" hidden="false" customHeight="false" outlineLevel="0" collapsed="false">
      <c r="A507" s="6" t="s">
        <v>11784</v>
      </c>
      <c r="B507" s="6" t="s">
        <v>230</v>
      </c>
      <c r="C507" s="7" t="n">
        <v>45657</v>
      </c>
      <c r="D507" s="6" t="s">
        <v>407</v>
      </c>
      <c r="E507" s="6" t="s">
        <v>10851</v>
      </c>
      <c r="F507" s="6" t="s">
        <v>2706</v>
      </c>
      <c r="G507" s="6" t="s">
        <v>10845</v>
      </c>
      <c r="H507" s="9" t="n">
        <v>-50995</v>
      </c>
      <c r="I507" s="6" t="s">
        <v>384</v>
      </c>
      <c r="J507" s="6" t="s">
        <v>13</v>
      </c>
      <c r="K507" s="6" t="s">
        <v>174</v>
      </c>
      <c r="L507" s="6" t="s">
        <v>11785</v>
      </c>
      <c r="M507" s="6" t="s">
        <v>11783</v>
      </c>
      <c r="N507" s="6"/>
    </row>
    <row r="508" customFormat="false" ht="15" hidden="false" customHeight="false" outlineLevel="0" collapsed="false">
      <c r="A508" s="6" t="s">
        <v>11786</v>
      </c>
      <c r="B508" s="6" t="s">
        <v>230</v>
      </c>
      <c r="C508" s="7" t="n">
        <v>45657</v>
      </c>
      <c r="D508" s="6" t="s">
        <v>407</v>
      </c>
      <c r="E508" s="6" t="s">
        <v>10851</v>
      </c>
      <c r="F508" s="6" t="s">
        <v>10858</v>
      </c>
      <c r="G508" s="6" t="s">
        <v>10849</v>
      </c>
      <c r="H508" s="9" t="n">
        <v>162714</v>
      </c>
      <c r="I508" s="6" t="s">
        <v>384</v>
      </c>
      <c r="J508" s="6" t="s">
        <v>13</v>
      </c>
      <c r="K508" s="6" t="s">
        <v>174</v>
      </c>
      <c r="L508" s="6" t="s">
        <v>2011</v>
      </c>
      <c r="M508" s="6" t="s">
        <v>11783</v>
      </c>
      <c r="N508" s="6"/>
    </row>
    <row r="509" customFormat="false" ht="15" hidden="false" customHeight="false" outlineLevel="0" collapsed="false">
      <c r="A509" s="6" t="s">
        <v>11787</v>
      </c>
      <c r="B509" s="6" t="s">
        <v>230</v>
      </c>
      <c r="C509" s="7" t="n">
        <v>45657</v>
      </c>
      <c r="D509" s="6" t="s">
        <v>407</v>
      </c>
      <c r="E509" s="6" t="s">
        <v>10851</v>
      </c>
      <c r="F509" s="6" t="s">
        <v>10860</v>
      </c>
      <c r="G509" s="6" t="s">
        <v>10840</v>
      </c>
      <c r="H509" s="9" t="n">
        <v>533539</v>
      </c>
      <c r="I509" s="6" t="s">
        <v>384</v>
      </c>
      <c r="J509" s="6" t="s">
        <v>13</v>
      </c>
      <c r="K509" s="6" t="s">
        <v>174</v>
      </c>
      <c r="L509" s="6" t="s">
        <v>11788</v>
      </c>
      <c r="M509" s="6" t="s">
        <v>11789</v>
      </c>
      <c r="N509" s="6"/>
    </row>
    <row r="510" customFormat="false" ht="15" hidden="false" customHeight="false" outlineLevel="0" collapsed="false">
      <c r="A510" s="6" t="s">
        <v>11790</v>
      </c>
      <c r="B510" s="6" t="s">
        <v>230</v>
      </c>
      <c r="C510" s="7" t="n">
        <v>45657</v>
      </c>
      <c r="D510" s="6" t="s">
        <v>407</v>
      </c>
      <c r="E510" s="6" t="s">
        <v>10851</v>
      </c>
      <c r="F510" s="6" t="s">
        <v>2706</v>
      </c>
      <c r="G510" s="6" t="s">
        <v>10845</v>
      </c>
      <c r="H510" s="9" t="n">
        <v>-33865</v>
      </c>
      <c r="I510" s="6" t="s">
        <v>384</v>
      </c>
      <c r="J510" s="6" t="s">
        <v>13</v>
      </c>
      <c r="K510" s="6" t="s">
        <v>174</v>
      </c>
      <c r="L510" s="6" t="s">
        <v>11785</v>
      </c>
      <c r="M510" s="6" t="s">
        <v>11789</v>
      </c>
      <c r="N510" s="6"/>
    </row>
    <row r="511" customFormat="false" ht="15" hidden="false" customHeight="false" outlineLevel="0" collapsed="false">
      <c r="A511" s="6" t="s">
        <v>11791</v>
      </c>
      <c r="B511" s="6" t="s">
        <v>230</v>
      </c>
      <c r="C511" s="7" t="n">
        <v>45657</v>
      </c>
      <c r="D511" s="6" t="s">
        <v>407</v>
      </c>
      <c r="E511" s="6" t="s">
        <v>10851</v>
      </c>
      <c r="F511" s="6" t="s">
        <v>10865</v>
      </c>
      <c r="G511" s="6" t="s">
        <v>10849</v>
      </c>
      <c r="H511" s="9" t="n">
        <v>499674</v>
      </c>
      <c r="I511" s="6" t="s">
        <v>384</v>
      </c>
      <c r="J511" s="6" t="s">
        <v>13</v>
      </c>
      <c r="K511" s="6" t="s">
        <v>174</v>
      </c>
      <c r="L511" s="6" t="s">
        <v>2126</v>
      </c>
      <c r="M511" s="6" t="s">
        <v>11789</v>
      </c>
      <c r="N511" s="6"/>
    </row>
    <row r="512" customFormat="false" ht="15" hidden="false" customHeight="false" outlineLevel="0" collapsed="false">
      <c r="A512" s="6" t="s">
        <v>11792</v>
      </c>
      <c r="B512" s="6" t="s">
        <v>230</v>
      </c>
      <c r="C512" s="7" t="n">
        <v>45657</v>
      </c>
      <c r="D512" s="6" t="s">
        <v>407</v>
      </c>
      <c r="E512" s="6" t="s">
        <v>10851</v>
      </c>
      <c r="F512" s="6" t="s">
        <v>10867</v>
      </c>
      <c r="G512" s="6" t="s">
        <v>10840</v>
      </c>
      <c r="H512" s="9" t="n">
        <v>142090</v>
      </c>
      <c r="I512" s="6" t="s">
        <v>384</v>
      </c>
      <c r="J512" s="6" t="s">
        <v>13</v>
      </c>
      <c r="K512" s="6" t="s">
        <v>174</v>
      </c>
      <c r="L512" s="6" t="s">
        <v>11793</v>
      </c>
      <c r="M512" s="6" t="s">
        <v>11794</v>
      </c>
      <c r="N512" s="6"/>
    </row>
    <row r="513" customFormat="false" ht="15" hidden="false" customHeight="false" outlineLevel="0" collapsed="false">
      <c r="A513" s="6" t="s">
        <v>11795</v>
      </c>
      <c r="B513" s="6" t="s">
        <v>230</v>
      </c>
      <c r="C513" s="7" t="n">
        <v>45657</v>
      </c>
      <c r="D513" s="6" t="s">
        <v>407</v>
      </c>
      <c r="E513" s="6" t="s">
        <v>10851</v>
      </c>
      <c r="F513" s="6" t="s">
        <v>2706</v>
      </c>
      <c r="G513" s="6" t="s">
        <v>10845</v>
      </c>
      <c r="H513" s="9" t="n">
        <v>-37746</v>
      </c>
      <c r="I513" s="6" t="s">
        <v>384</v>
      </c>
      <c r="J513" s="6" t="s">
        <v>13</v>
      </c>
      <c r="K513" s="6" t="s">
        <v>174</v>
      </c>
      <c r="L513" s="6" t="s">
        <v>11785</v>
      </c>
      <c r="M513" s="6" t="s">
        <v>11794</v>
      </c>
      <c r="N513" s="6"/>
    </row>
    <row r="514" customFormat="false" ht="15" hidden="false" customHeight="false" outlineLevel="0" collapsed="false">
      <c r="A514" s="6" t="s">
        <v>11796</v>
      </c>
      <c r="B514" s="6" t="s">
        <v>230</v>
      </c>
      <c r="C514" s="7" t="n">
        <v>45657</v>
      </c>
      <c r="D514" s="6" t="s">
        <v>407</v>
      </c>
      <c r="E514" s="6" t="s">
        <v>10851</v>
      </c>
      <c r="F514" s="6" t="s">
        <v>11702</v>
      </c>
      <c r="G514" s="6" t="s">
        <v>10845</v>
      </c>
      <c r="H514" s="9" t="n">
        <v>-24208</v>
      </c>
      <c r="I514" s="6" t="s">
        <v>384</v>
      </c>
      <c r="J514" s="6" t="s">
        <v>13</v>
      </c>
      <c r="K514" s="6" t="s">
        <v>174</v>
      </c>
      <c r="L514" s="6" t="s">
        <v>11797</v>
      </c>
      <c r="M514" s="6" t="s">
        <v>11794</v>
      </c>
      <c r="N514" s="6"/>
    </row>
    <row r="515" customFormat="false" ht="15" hidden="false" customHeight="false" outlineLevel="0" collapsed="false">
      <c r="A515" s="6" t="s">
        <v>11798</v>
      </c>
      <c r="B515" s="6" t="s">
        <v>230</v>
      </c>
      <c r="C515" s="7" t="n">
        <v>45657</v>
      </c>
      <c r="D515" s="6" t="s">
        <v>407</v>
      </c>
      <c r="E515" s="6" t="s">
        <v>10851</v>
      </c>
      <c r="F515" s="6" t="s">
        <v>10872</v>
      </c>
      <c r="G515" s="6" t="s">
        <v>10849</v>
      </c>
      <c r="H515" s="9" t="n">
        <v>80136</v>
      </c>
      <c r="I515" s="6" t="s">
        <v>384</v>
      </c>
      <c r="J515" s="6" t="s">
        <v>13</v>
      </c>
      <c r="K515" s="6" t="s">
        <v>174</v>
      </c>
      <c r="L515" s="6" t="s">
        <v>2241</v>
      </c>
      <c r="M515" s="6" t="s">
        <v>11794</v>
      </c>
      <c r="N515" s="6"/>
    </row>
    <row r="516" customFormat="false" ht="15" hidden="false" customHeight="false" outlineLevel="0" collapsed="false">
      <c r="A516" s="6" t="s">
        <v>11799</v>
      </c>
      <c r="B516" s="6" t="s">
        <v>230</v>
      </c>
      <c r="C516" s="7" t="n">
        <v>45657</v>
      </c>
      <c r="D516" s="6" t="s">
        <v>407</v>
      </c>
      <c r="E516" s="6" t="s">
        <v>11306</v>
      </c>
      <c r="F516" s="6" t="s">
        <v>10162</v>
      </c>
      <c r="G516" s="6" t="s">
        <v>10840</v>
      </c>
      <c r="H516" s="9" t="n">
        <v>-21034</v>
      </c>
      <c r="I516" s="6" t="s">
        <v>384</v>
      </c>
      <c r="J516" s="6" t="s">
        <v>13</v>
      </c>
      <c r="K516" s="6" t="s">
        <v>174</v>
      </c>
      <c r="L516" s="6" t="s">
        <v>11800</v>
      </c>
      <c r="M516" s="6" t="s">
        <v>11801</v>
      </c>
      <c r="N516" s="6"/>
    </row>
    <row r="517" customFormat="false" ht="15" hidden="false" customHeight="false" outlineLevel="0" collapsed="false">
      <c r="A517" s="6" t="s">
        <v>11802</v>
      </c>
      <c r="B517" s="6" t="s">
        <v>230</v>
      </c>
      <c r="C517" s="7" t="n">
        <v>45657</v>
      </c>
      <c r="D517" s="6" t="s">
        <v>407</v>
      </c>
      <c r="E517" s="6" t="s">
        <v>11306</v>
      </c>
      <c r="F517" s="6" t="s">
        <v>2706</v>
      </c>
      <c r="G517" s="6" t="s">
        <v>10845</v>
      </c>
      <c r="H517" s="9" t="n">
        <v>129209</v>
      </c>
      <c r="I517" s="6" t="s">
        <v>384</v>
      </c>
      <c r="J517" s="6" t="s">
        <v>13</v>
      </c>
      <c r="K517" s="6" t="s">
        <v>174</v>
      </c>
      <c r="L517" s="6" t="s">
        <v>2790</v>
      </c>
      <c r="M517" s="6" t="s">
        <v>11801</v>
      </c>
      <c r="N517" s="6"/>
    </row>
    <row r="518" customFormat="false" ht="15" hidden="false" customHeight="false" outlineLevel="0" collapsed="false">
      <c r="A518" s="6" t="s">
        <v>11803</v>
      </c>
      <c r="B518" s="6" t="s">
        <v>230</v>
      </c>
      <c r="C518" s="7" t="n">
        <v>45657</v>
      </c>
      <c r="D518" s="6" t="s">
        <v>407</v>
      </c>
      <c r="E518" s="6" t="s">
        <v>11306</v>
      </c>
      <c r="F518" s="6" t="s">
        <v>11702</v>
      </c>
      <c r="G518" s="6" t="s">
        <v>10845</v>
      </c>
      <c r="H518" s="9" t="n">
        <v>24208</v>
      </c>
      <c r="I518" s="6" t="s">
        <v>384</v>
      </c>
      <c r="J518" s="6" t="s">
        <v>13</v>
      </c>
      <c r="K518" s="6" t="s">
        <v>174</v>
      </c>
      <c r="L518" s="6" t="s">
        <v>2938</v>
      </c>
      <c r="M518" s="6" t="s">
        <v>11801</v>
      </c>
      <c r="N518" s="6"/>
    </row>
    <row r="519" customFormat="false" ht="15" hidden="false" customHeight="false" outlineLevel="0" collapsed="false">
      <c r="A519" s="6" t="s">
        <v>11804</v>
      </c>
      <c r="B519" s="6" t="s">
        <v>230</v>
      </c>
      <c r="C519" s="7" t="n">
        <v>45657</v>
      </c>
      <c r="D519" s="6" t="s">
        <v>407</v>
      </c>
      <c r="E519" s="6" t="s">
        <v>11306</v>
      </c>
      <c r="F519" s="6" t="s">
        <v>5717</v>
      </c>
      <c r="G519" s="6" t="s">
        <v>10849</v>
      </c>
      <c r="H519" s="9" t="n">
        <v>132383</v>
      </c>
      <c r="I519" s="6" t="s">
        <v>384</v>
      </c>
      <c r="J519" s="6" t="s">
        <v>13</v>
      </c>
      <c r="K519" s="6" t="s">
        <v>174</v>
      </c>
      <c r="L519" s="6" t="s">
        <v>2356</v>
      </c>
      <c r="M519" s="6" t="s">
        <v>11801</v>
      </c>
      <c r="N519" s="6"/>
    </row>
    <row r="520" customFormat="false" ht="15" hidden="false" customHeight="false" outlineLevel="0" collapsed="false">
      <c r="A520" s="6" t="s">
        <v>11805</v>
      </c>
      <c r="B520" s="6" t="s">
        <v>230</v>
      </c>
      <c r="C520" s="7" t="n">
        <v>45657</v>
      </c>
      <c r="D520" s="6" t="s">
        <v>407</v>
      </c>
      <c r="E520" s="6" t="s">
        <v>11256</v>
      </c>
      <c r="F520" s="6" t="s">
        <v>11501</v>
      </c>
      <c r="G520" s="6" t="s">
        <v>10840</v>
      </c>
      <c r="H520" s="9" t="n">
        <v>32372</v>
      </c>
      <c r="I520" s="6" t="s">
        <v>384</v>
      </c>
      <c r="J520" s="6" t="s">
        <v>13</v>
      </c>
      <c r="K520" s="6" t="s">
        <v>174</v>
      </c>
      <c r="L520" s="6" t="s">
        <v>11806</v>
      </c>
      <c r="M520" s="6" t="s">
        <v>11807</v>
      </c>
      <c r="N520" s="6"/>
    </row>
    <row r="521" customFormat="false" ht="15" hidden="false" customHeight="false" outlineLevel="0" collapsed="false">
      <c r="A521" s="6" t="s">
        <v>11808</v>
      </c>
      <c r="B521" s="6" t="s">
        <v>230</v>
      </c>
      <c r="C521" s="7" t="n">
        <v>45657</v>
      </c>
      <c r="D521" s="6" t="s">
        <v>407</v>
      </c>
      <c r="E521" s="6" t="s">
        <v>11256</v>
      </c>
      <c r="F521" s="6" t="s">
        <v>2706</v>
      </c>
      <c r="G521" s="6" t="s">
        <v>10845</v>
      </c>
      <c r="H521" s="9" t="n">
        <v>129209</v>
      </c>
      <c r="I521" s="6" t="s">
        <v>384</v>
      </c>
      <c r="J521" s="6" t="s">
        <v>13</v>
      </c>
      <c r="K521" s="6" t="s">
        <v>174</v>
      </c>
      <c r="L521" s="6" t="s">
        <v>11809</v>
      </c>
      <c r="M521" s="6" t="s">
        <v>11807</v>
      </c>
      <c r="N521" s="6"/>
    </row>
    <row r="522" customFormat="false" ht="15" hidden="false" customHeight="false" outlineLevel="0" collapsed="false">
      <c r="A522" s="6" t="s">
        <v>11810</v>
      </c>
      <c r="B522" s="6" t="s">
        <v>230</v>
      </c>
      <c r="C522" s="7" t="n">
        <v>45657</v>
      </c>
      <c r="D522" s="6" t="s">
        <v>407</v>
      </c>
      <c r="E522" s="6" t="s">
        <v>11256</v>
      </c>
      <c r="F522" s="6" t="s">
        <v>11702</v>
      </c>
      <c r="G522" s="6" t="s">
        <v>10845</v>
      </c>
      <c r="H522" s="9" t="n">
        <v>24208</v>
      </c>
      <c r="I522" s="6" t="s">
        <v>384</v>
      </c>
      <c r="J522" s="6" t="s">
        <v>13</v>
      </c>
      <c r="K522" s="6" t="s">
        <v>174</v>
      </c>
      <c r="L522" s="6" t="s">
        <v>11811</v>
      </c>
      <c r="M522" s="6" t="s">
        <v>11807</v>
      </c>
      <c r="N522" s="6"/>
    </row>
    <row r="523" customFormat="false" ht="15" hidden="false" customHeight="false" outlineLevel="0" collapsed="false">
      <c r="A523" s="6" t="s">
        <v>11812</v>
      </c>
      <c r="B523" s="6" t="s">
        <v>230</v>
      </c>
      <c r="C523" s="7" t="n">
        <v>45657</v>
      </c>
      <c r="D523" s="6" t="s">
        <v>407</v>
      </c>
      <c r="E523" s="6" t="s">
        <v>11256</v>
      </c>
      <c r="F523" s="6" t="s">
        <v>11766</v>
      </c>
      <c r="G523" s="6" t="s">
        <v>10845</v>
      </c>
      <c r="H523" s="9" t="n">
        <v>-2486</v>
      </c>
      <c r="I523" s="6" t="s">
        <v>384</v>
      </c>
      <c r="J523" s="6" t="s">
        <v>13</v>
      </c>
      <c r="K523" s="6" t="s">
        <v>174</v>
      </c>
      <c r="L523" s="6" t="s">
        <v>11813</v>
      </c>
      <c r="M523" s="6" t="s">
        <v>11807</v>
      </c>
      <c r="N523" s="6"/>
    </row>
    <row r="524" customFormat="false" ht="15" hidden="false" customHeight="false" outlineLevel="0" collapsed="false">
      <c r="A524" s="6" t="s">
        <v>11814</v>
      </c>
      <c r="B524" s="6" t="s">
        <v>230</v>
      </c>
      <c r="C524" s="7" t="n">
        <v>45657</v>
      </c>
      <c r="D524" s="6" t="s">
        <v>407</v>
      </c>
      <c r="E524" s="6" t="s">
        <v>11256</v>
      </c>
      <c r="F524" s="6" t="s">
        <v>11632</v>
      </c>
      <c r="G524" s="6" t="s">
        <v>10849</v>
      </c>
      <c r="H524" s="9" t="n">
        <v>183303</v>
      </c>
      <c r="I524" s="6" t="s">
        <v>384</v>
      </c>
      <c r="J524" s="6" t="s">
        <v>13</v>
      </c>
      <c r="K524" s="6" t="s">
        <v>174</v>
      </c>
      <c r="L524" s="6" t="s">
        <v>2564</v>
      </c>
      <c r="M524" s="6" t="s">
        <v>11807</v>
      </c>
      <c r="N524" s="6"/>
    </row>
    <row r="525" customFormat="false" ht="15" hidden="false" customHeight="false" outlineLevel="0" collapsed="false">
      <c r="A525" s="6" t="s">
        <v>11815</v>
      </c>
      <c r="B525" s="6" t="s">
        <v>230</v>
      </c>
      <c r="C525" s="7" t="n">
        <v>45657</v>
      </c>
      <c r="D525" s="6" t="s">
        <v>407</v>
      </c>
      <c r="E525" s="6" t="s">
        <v>10904</v>
      </c>
      <c r="F525" s="6" t="s">
        <v>8429</v>
      </c>
      <c r="G525" s="6" t="s">
        <v>10840</v>
      </c>
      <c r="H525" s="9" t="n">
        <v>311065</v>
      </c>
      <c r="I525" s="6" t="s">
        <v>384</v>
      </c>
      <c r="J525" s="6" t="s">
        <v>13</v>
      </c>
      <c r="K525" s="6" t="s">
        <v>174</v>
      </c>
      <c r="L525" s="6" t="s">
        <v>11816</v>
      </c>
      <c r="M525" s="6" t="s">
        <v>11817</v>
      </c>
      <c r="N525" s="6"/>
    </row>
    <row r="526" customFormat="false" ht="15" hidden="false" customHeight="false" outlineLevel="0" collapsed="false">
      <c r="A526" s="6" t="s">
        <v>11818</v>
      </c>
      <c r="B526" s="6" t="s">
        <v>230</v>
      </c>
      <c r="C526" s="7" t="n">
        <v>45657</v>
      </c>
      <c r="D526" s="6" t="s">
        <v>407</v>
      </c>
      <c r="E526" s="6" t="s">
        <v>10904</v>
      </c>
      <c r="F526" s="6" t="s">
        <v>8520</v>
      </c>
      <c r="G526" s="6" t="s">
        <v>10845</v>
      </c>
      <c r="H526" s="9" t="n">
        <v>-13211</v>
      </c>
      <c r="I526" s="6" t="s">
        <v>384</v>
      </c>
      <c r="J526" s="6" t="s">
        <v>13</v>
      </c>
      <c r="K526" s="6" t="s">
        <v>174</v>
      </c>
      <c r="L526" s="6" t="s">
        <v>3147</v>
      </c>
      <c r="M526" s="6" t="s">
        <v>11817</v>
      </c>
      <c r="N526" s="6"/>
    </row>
    <row r="527" customFormat="false" ht="15" hidden="false" customHeight="false" outlineLevel="0" collapsed="false">
      <c r="A527" s="6" t="s">
        <v>11819</v>
      </c>
      <c r="B527" s="6" t="s">
        <v>230</v>
      </c>
      <c r="C527" s="7" t="n">
        <v>45657</v>
      </c>
      <c r="D527" s="6" t="s">
        <v>407</v>
      </c>
      <c r="E527" s="6" t="s">
        <v>10904</v>
      </c>
      <c r="F527" s="6" t="s">
        <v>8081</v>
      </c>
      <c r="G527" s="6" t="s">
        <v>10845</v>
      </c>
      <c r="H527" s="9" t="n">
        <v>-2024</v>
      </c>
      <c r="I527" s="6" t="s">
        <v>384</v>
      </c>
      <c r="J527" s="6" t="s">
        <v>13</v>
      </c>
      <c r="K527" s="6" t="s">
        <v>174</v>
      </c>
      <c r="L527" s="6" t="s">
        <v>3261</v>
      </c>
      <c r="M527" s="6" t="s">
        <v>11817</v>
      </c>
      <c r="N527" s="6"/>
    </row>
    <row r="528" customFormat="false" ht="15" hidden="false" customHeight="false" outlineLevel="0" collapsed="false">
      <c r="A528" s="6" t="s">
        <v>11820</v>
      </c>
      <c r="B528" s="6" t="s">
        <v>230</v>
      </c>
      <c r="C528" s="7" t="n">
        <v>45657</v>
      </c>
      <c r="D528" s="6" t="s">
        <v>407</v>
      </c>
      <c r="E528" s="6" t="s">
        <v>10904</v>
      </c>
      <c r="F528" s="6" t="s">
        <v>4820</v>
      </c>
      <c r="G528" s="6" t="s">
        <v>10849</v>
      </c>
      <c r="H528" s="9" t="n">
        <v>295830</v>
      </c>
      <c r="I528" s="6" t="s">
        <v>384</v>
      </c>
      <c r="J528" s="6" t="s">
        <v>13</v>
      </c>
      <c r="K528" s="6" t="s">
        <v>174</v>
      </c>
      <c r="L528" s="6" t="s">
        <v>3444</v>
      </c>
      <c r="M528" s="6" t="s">
        <v>11817</v>
      </c>
      <c r="N528" s="6"/>
    </row>
    <row r="529" customFormat="false" ht="15" hidden="false" customHeight="false" outlineLevel="0" collapsed="false">
      <c r="A529" s="6" t="s">
        <v>11821</v>
      </c>
      <c r="B529" s="6" t="s">
        <v>181</v>
      </c>
      <c r="C529" s="7" t="n">
        <v>45747</v>
      </c>
      <c r="D529" s="6" t="s">
        <v>380</v>
      </c>
      <c r="E529" s="6" t="s">
        <v>10838</v>
      </c>
      <c r="F529" s="6" t="s">
        <v>10839</v>
      </c>
      <c r="G529" s="6" t="s">
        <v>10840</v>
      </c>
      <c r="H529" s="9" t="n">
        <v>253445</v>
      </c>
      <c r="I529" s="6" t="s">
        <v>384</v>
      </c>
      <c r="J529" s="6" t="s">
        <v>13</v>
      </c>
      <c r="K529" s="6" t="s">
        <v>179</v>
      </c>
      <c r="L529" s="6" t="s">
        <v>11822</v>
      </c>
      <c r="M529" s="6" t="s">
        <v>11823</v>
      </c>
      <c r="N529" s="6"/>
    </row>
    <row r="530" customFormat="false" ht="15" hidden="false" customHeight="false" outlineLevel="0" collapsed="false">
      <c r="A530" s="6" t="s">
        <v>11824</v>
      </c>
      <c r="B530" s="6" t="s">
        <v>181</v>
      </c>
      <c r="C530" s="7" t="n">
        <v>45747</v>
      </c>
      <c r="D530" s="6" t="s">
        <v>380</v>
      </c>
      <c r="E530" s="6" t="s">
        <v>10838</v>
      </c>
      <c r="F530" s="6" t="s">
        <v>2706</v>
      </c>
      <c r="G530" s="6" t="s">
        <v>10845</v>
      </c>
      <c r="H530" s="9" t="n">
        <v>1134</v>
      </c>
      <c r="I530" s="6" t="s">
        <v>384</v>
      </c>
      <c r="J530" s="6" t="s">
        <v>13</v>
      </c>
      <c r="K530" s="6" t="s">
        <v>179</v>
      </c>
      <c r="L530" s="6" t="s">
        <v>11825</v>
      </c>
      <c r="M530" s="6" t="s">
        <v>11823</v>
      </c>
      <c r="N530" s="6"/>
    </row>
    <row r="531" customFormat="false" ht="15" hidden="false" customHeight="false" outlineLevel="0" collapsed="false">
      <c r="A531" s="6" t="s">
        <v>11826</v>
      </c>
      <c r="B531" s="6" t="s">
        <v>181</v>
      </c>
      <c r="C531" s="7" t="n">
        <v>45747</v>
      </c>
      <c r="D531" s="6" t="s">
        <v>380</v>
      </c>
      <c r="E531" s="6" t="s">
        <v>10838</v>
      </c>
      <c r="F531" s="6" t="s">
        <v>10848</v>
      </c>
      <c r="G531" s="6" t="s">
        <v>10849</v>
      </c>
      <c r="H531" s="9" t="n">
        <v>254579</v>
      </c>
      <c r="I531" s="6" t="s">
        <v>384</v>
      </c>
      <c r="J531" s="6" t="s">
        <v>13</v>
      </c>
      <c r="K531" s="6" t="s">
        <v>179</v>
      </c>
      <c r="L531" s="6" t="s">
        <v>1821</v>
      </c>
      <c r="M531" s="6" t="s">
        <v>11823</v>
      </c>
      <c r="N531" s="6"/>
    </row>
    <row r="532" customFormat="false" ht="15" hidden="false" customHeight="false" outlineLevel="0" collapsed="false">
      <c r="A532" s="6" t="s">
        <v>11827</v>
      </c>
      <c r="B532" s="6" t="s">
        <v>181</v>
      </c>
      <c r="C532" s="7" t="n">
        <v>45747</v>
      </c>
      <c r="D532" s="6" t="s">
        <v>380</v>
      </c>
      <c r="E532" s="6" t="s">
        <v>10851</v>
      </c>
      <c r="F532" s="6" t="s">
        <v>10852</v>
      </c>
      <c r="G532" s="6" t="s">
        <v>10840</v>
      </c>
      <c r="H532" s="9" t="n">
        <v>69385</v>
      </c>
      <c r="I532" s="6" t="s">
        <v>384</v>
      </c>
      <c r="J532" s="6" t="s">
        <v>13</v>
      </c>
      <c r="K532" s="6" t="s">
        <v>179</v>
      </c>
      <c r="L532" s="6" t="s">
        <v>11828</v>
      </c>
      <c r="M532" s="6" t="s">
        <v>11829</v>
      </c>
      <c r="N532" s="6"/>
    </row>
    <row r="533" customFormat="false" ht="15" hidden="false" customHeight="false" outlineLevel="0" collapsed="false">
      <c r="A533" s="6" t="s">
        <v>11830</v>
      </c>
      <c r="B533" s="6" t="s">
        <v>181</v>
      </c>
      <c r="C533" s="7" t="n">
        <v>45747</v>
      </c>
      <c r="D533" s="6" t="s">
        <v>380</v>
      </c>
      <c r="E533" s="6" t="s">
        <v>10851</v>
      </c>
      <c r="F533" s="6" t="s">
        <v>2706</v>
      </c>
      <c r="G533" s="6" t="s">
        <v>10845</v>
      </c>
      <c r="H533" s="9" t="n">
        <v>-15541</v>
      </c>
      <c r="I533" s="6" t="s">
        <v>384</v>
      </c>
      <c r="J533" s="6" t="s">
        <v>13</v>
      </c>
      <c r="K533" s="6" t="s">
        <v>179</v>
      </c>
      <c r="L533" s="6" t="s">
        <v>11831</v>
      </c>
      <c r="M533" s="6" t="s">
        <v>11829</v>
      </c>
      <c r="N533" s="6"/>
    </row>
    <row r="534" customFormat="false" ht="15" hidden="false" customHeight="false" outlineLevel="0" collapsed="false">
      <c r="A534" s="6" t="s">
        <v>11832</v>
      </c>
      <c r="B534" s="6" t="s">
        <v>181</v>
      </c>
      <c r="C534" s="7" t="n">
        <v>45747</v>
      </c>
      <c r="D534" s="6" t="s">
        <v>380</v>
      </c>
      <c r="E534" s="6" t="s">
        <v>10851</v>
      </c>
      <c r="F534" s="6" t="s">
        <v>10858</v>
      </c>
      <c r="G534" s="6" t="s">
        <v>10849</v>
      </c>
      <c r="H534" s="9" t="n">
        <v>53844</v>
      </c>
      <c r="I534" s="6" t="s">
        <v>384</v>
      </c>
      <c r="J534" s="6" t="s">
        <v>13</v>
      </c>
      <c r="K534" s="6" t="s">
        <v>179</v>
      </c>
      <c r="L534" s="6" t="s">
        <v>2014</v>
      </c>
      <c r="M534" s="6" t="s">
        <v>11829</v>
      </c>
      <c r="N534" s="6"/>
    </row>
    <row r="535" customFormat="false" ht="15" hidden="false" customHeight="false" outlineLevel="0" collapsed="false">
      <c r="A535" s="6" t="s">
        <v>11833</v>
      </c>
      <c r="B535" s="6" t="s">
        <v>181</v>
      </c>
      <c r="C535" s="7" t="n">
        <v>45747</v>
      </c>
      <c r="D535" s="6" t="s">
        <v>380</v>
      </c>
      <c r="E535" s="6" t="s">
        <v>10851</v>
      </c>
      <c r="F535" s="6" t="s">
        <v>10860</v>
      </c>
      <c r="G535" s="6" t="s">
        <v>10840</v>
      </c>
      <c r="H535" s="9" t="n">
        <v>141720</v>
      </c>
      <c r="I535" s="6" t="s">
        <v>384</v>
      </c>
      <c r="J535" s="6" t="s">
        <v>13</v>
      </c>
      <c r="K535" s="6" t="s">
        <v>179</v>
      </c>
      <c r="L535" s="6" t="s">
        <v>11834</v>
      </c>
      <c r="M535" s="6" t="s">
        <v>11835</v>
      </c>
      <c r="N535" s="6"/>
    </row>
    <row r="536" customFormat="false" ht="15" hidden="false" customHeight="false" outlineLevel="0" collapsed="false">
      <c r="A536" s="6" t="s">
        <v>11836</v>
      </c>
      <c r="B536" s="6" t="s">
        <v>181</v>
      </c>
      <c r="C536" s="7" t="n">
        <v>45747</v>
      </c>
      <c r="D536" s="6" t="s">
        <v>380</v>
      </c>
      <c r="E536" s="6" t="s">
        <v>10851</v>
      </c>
      <c r="F536" s="6" t="s">
        <v>2706</v>
      </c>
      <c r="G536" s="6" t="s">
        <v>10845</v>
      </c>
      <c r="H536" s="9" t="n">
        <v>-5838</v>
      </c>
      <c r="I536" s="6" t="s">
        <v>384</v>
      </c>
      <c r="J536" s="6" t="s">
        <v>13</v>
      </c>
      <c r="K536" s="6" t="s">
        <v>179</v>
      </c>
      <c r="L536" s="6" t="s">
        <v>11831</v>
      </c>
      <c r="M536" s="6" t="s">
        <v>11835</v>
      </c>
      <c r="N536" s="6"/>
    </row>
    <row r="537" customFormat="false" ht="15" hidden="false" customHeight="false" outlineLevel="0" collapsed="false">
      <c r="A537" s="6" t="s">
        <v>11837</v>
      </c>
      <c r="B537" s="6" t="s">
        <v>181</v>
      </c>
      <c r="C537" s="7" t="n">
        <v>45747</v>
      </c>
      <c r="D537" s="6" t="s">
        <v>380</v>
      </c>
      <c r="E537" s="6" t="s">
        <v>10851</v>
      </c>
      <c r="F537" s="6" t="s">
        <v>10865</v>
      </c>
      <c r="G537" s="6" t="s">
        <v>10849</v>
      </c>
      <c r="H537" s="9" t="n">
        <v>135882</v>
      </c>
      <c r="I537" s="6" t="s">
        <v>384</v>
      </c>
      <c r="J537" s="6" t="s">
        <v>13</v>
      </c>
      <c r="K537" s="6" t="s">
        <v>179</v>
      </c>
      <c r="L537" s="6" t="s">
        <v>2129</v>
      </c>
      <c r="M537" s="6" t="s">
        <v>11835</v>
      </c>
      <c r="N537" s="6"/>
    </row>
    <row r="538" customFormat="false" ht="15" hidden="false" customHeight="false" outlineLevel="0" collapsed="false">
      <c r="A538" s="6" t="s">
        <v>11838</v>
      </c>
      <c r="B538" s="6" t="s">
        <v>181</v>
      </c>
      <c r="C538" s="7" t="n">
        <v>45747</v>
      </c>
      <c r="D538" s="6" t="s">
        <v>380</v>
      </c>
      <c r="E538" s="6" t="s">
        <v>10851</v>
      </c>
      <c r="F538" s="6" t="s">
        <v>10867</v>
      </c>
      <c r="G538" s="6" t="s">
        <v>10840</v>
      </c>
      <c r="H538" s="9" t="n">
        <v>32544</v>
      </c>
      <c r="I538" s="6" t="s">
        <v>384</v>
      </c>
      <c r="J538" s="6" t="s">
        <v>13</v>
      </c>
      <c r="K538" s="6" t="s">
        <v>179</v>
      </c>
      <c r="L538" s="6" t="s">
        <v>11839</v>
      </c>
      <c r="M538" s="6" t="s">
        <v>11840</v>
      </c>
      <c r="N538" s="6"/>
    </row>
    <row r="539" customFormat="false" ht="15" hidden="false" customHeight="false" outlineLevel="0" collapsed="false">
      <c r="A539" s="6" t="s">
        <v>11841</v>
      </c>
      <c r="B539" s="6" t="s">
        <v>181</v>
      </c>
      <c r="C539" s="7" t="n">
        <v>45747</v>
      </c>
      <c r="D539" s="6" t="s">
        <v>380</v>
      </c>
      <c r="E539" s="6" t="s">
        <v>10851</v>
      </c>
      <c r="F539" s="6" t="s">
        <v>2706</v>
      </c>
      <c r="G539" s="6" t="s">
        <v>10845</v>
      </c>
      <c r="H539" s="9" t="n">
        <v>-8445</v>
      </c>
      <c r="I539" s="6" t="s">
        <v>384</v>
      </c>
      <c r="J539" s="6" t="s">
        <v>13</v>
      </c>
      <c r="K539" s="6" t="s">
        <v>179</v>
      </c>
      <c r="L539" s="6" t="s">
        <v>11831</v>
      </c>
      <c r="M539" s="6" t="s">
        <v>11840</v>
      </c>
      <c r="N539" s="6"/>
    </row>
    <row r="540" customFormat="false" ht="15" hidden="false" customHeight="false" outlineLevel="0" collapsed="false">
      <c r="A540" s="6" t="s">
        <v>11842</v>
      </c>
      <c r="B540" s="6" t="s">
        <v>181</v>
      </c>
      <c r="C540" s="7" t="n">
        <v>45747</v>
      </c>
      <c r="D540" s="6" t="s">
        <v>380</v>
      </c>
      <c r="E540" s="6" t="s">
        <v>10851</v>
      </c>
      <c r="F540" s="6" t="s">
        <v>10872</v>
      </c>
      <c r="G540" s="6" t="s">
        <v>10849</v>
      </c>
      <c r="H540" s="9" t="n">
        <v>24099</v>
      </c>
      <c r="I540" s="6" t="s">
        <v>384</v>
      </c>
      <c r="J540" s="6" t="s">
        <v>13</v>
      </c>
      <c r="K540" s="6" t="s">
        <v>179</v>
      </c>
      <c r="L540" s="6" t="s">
        <v>2244</v>
      </c>
      <c r="M540" s="6" t="s">
        <v>11840</v>
      </c>
      <c r="N540" s="6"/>
    </row>
    <row r="541" customFormat="false" ht="15" hidden="false" customHeight="false" outlineLevel="0" collapsed="false">
      <c r="A541" s="6" t="s">
        <v>11843</v>
      </c>
      <c r="B541" s="6" t="s">
        <v>181</v>
      </c>
      <c r="C541" s="7" t="n">
        <v>45747</v>
      </c>
      <c r="D541" s="6" t="s">
        <v>380</v>
      </c>
      <c r="E541" s="6" t="s">
        <v>11306</v>
      </c>
      <c r="F541" s="6" t="s">
        <v>10162</v>
      </c>
      <c r="G541" s="6" t="s">
        <v>10840</v>
      </c>
      <c r="H541" s="9" t="n">
        <v>9796</v>
      </c>
      <c r="I541" s="6" t="s">
        <v>384</v>
      </c>
      <c r="J541" s="6" t="s">
        <v>13</v>
      </c>
      <c r="K541" s="6" t="s">
        <v>179</v>
      </c>
      <c r="L541" s="6" t="s">
        <v>11844</v>
      </c>
      <c r="M541" s="6" t="s">
        <v>11845</v>
      </c>
      <c r="N541" s="6"/>
    </row>
    <row r="542" customFormat="false" ht="15" hidden="false" customHeight="false" outlineLevel="0" collapsed="false">
      <c r="A542" s="6" t="s">
        <v>11846</v>
      </c>
      <c r="B542" s="6" t="s">
        <v>181</v>
      </c>
      <c r="C542" s="7" t="n">
        <v>45747</v>
      </c>
      <c r="D542" s="6" t="s">
        <v>380</v>
      </c>
      <c r="E542" s="6" t="s">
        <v>11306</v>
      </c>
      <c r="F542" s="6" t="s">
        <v>2706</v>
      </c>
      <c r="G542" s="6" t="s">
        <v>10845</v>
      </c>
      <c r="H542" s="9" t="n">
        <v>30958</v>
      </c>
      <c r="I542" s="6" t="s">
        <v>384</v>
      </c>
      <c r="J542" s="6" t="s">
        <v>13</v>
      </c>
      <c r="K542" s="6" t="s">
        <v>179</v>
      </c>
      <c r="L542" s="6" t="s">
        <v>2793</v>
      </c>
      <c r="M542" s="6" t="s">
        <v>11845</v>
      </c>
      <c r="N542" s="6"/>
    </row>
    <row r="543" customFormat="false" ht="15" hidden="false" customHeight="false" outlineLevel="0" collapsed="false">
      <c r="A543" s="6" t="s">
        <v>11847</v>
      </c>
      <c r="B543" s="6" t="s">
        <v>181</v>
      </c>
      <c r="C543" s="7" t="n">
        <v>45747</v>
      </c>
      <c r="D543" s="6" t="s">
        <v>380</v>
      </c>
      <c r="E543" s="6" t="s">
        <v>11306</v>
      </c>
      <c r="F543" s="6" t="s">
        <v>5717</v>
      </c>
      <c r="G543" s="6" t="s">
        <v>10849</v>
      </c>
      <c r="H543" s="9" t="n">
        <v>40754</v>
      </c>
      <c r="I543" s="6" t="s">
        <v>384</v>
      </c>
      <c r="J543" s="6" t="s">
        <v>13</v>
      </c>
      <c r="K543" s="6" t="s">
        <v>179</v>
      </c>
      <c r="L543" s="6" t="s">
        <v>2359</v>
      </c>
      <c r="M543" s="6" t="s">
        <v>11845</v>
      </c>
      <c r="N543" s="6"/>
    </row>
    <row r="544" customFormat="false" ht="15" hidden="false" customHeight="false" outlineLevel="0" collapsed="false">
      <c r="A544" s="6" t="s">
        <v>11848</v>
      </c>
      <c r="B544" s="6" t="s">
        <v>181</v>
      </c>
      <c r="C544" s="7" t="n">
        <v>45747</v>
      </c>
      <c r="D544" s="6" t="s">
        <v>380</v>
      </c>
      <c r="E544" s="6" t="s">
        <v>11849</v>
      </c>
      <c r="F544" s="6" t="s">
        <v>11850</v>
      </c>
      <c r="G544" s="6" t="s">
        <v>10840</v>
      </c>
      <c r="H544" s="9" t="n">
        <v>27425</v>
      </c>
      <c r="I544" s="6" t="s">
        <v>384</v>
      </c>
      <c r="J544" s="6" t="s">
        <v>13</v>
      </c>
      <c r="K544" s="6" t="s">
        <v>179</v>
      </c>
      <c r="L544" s="6" t="s">
        <v>11851</v>
      </c>
      <c r="M544" s="6" t="s">
        <v>11852</v>
      </c>
      <c r="N544" s="6"/>
    </row>
    <row r="545" customFormat="false" ht="15" hidden="false" customHeight="false" outlineLevel="0" collapsed="false">
      <c r="A545" s="6" t="s">
        <v>11853</v>
      </c>
      <c r="B545" s="6" t="s">
        <v>181</v>
      </c>
      <c r="C545" s="7" t="n">
        <v>45747</v>
      </c>
      <c r="D545" s="6" t="s">
        <v>380</v>
      </c>
      <c r="E545" s="6" t="s">
        <v>11849</v>
      </c>
      <c r="F545" s="6" t="s">
        <v>2706</v>
      </c>
      <c r="G545" s="6" t="s">
        <v>10845</v>
      </c>
      <c r="H545" s="9" t="n">
        <v>30958</v>
      </c>
      <c r="I545" s="6" t="s">
        <v>384</v>
      </c>
      <c r="J545" s="6" t="s">
        <v>13</v>
      </c>
      <c r="K545" s="6" t="s">
        <v>179</v>
      </c>
      <c r="L545" s="6" t="s">
        <v>11854</v>
      </c>
      <c r="M545" s="6" t="s">
        <v>11852</v>
      </c>
      <c r="N545" s="6"/>
    </row>
    <row r="546" customFormat="false" ht="15" hidden="false" customHeight="false" outlineLevel="0" collapsed="false">
      <c r="A546" s="6" t="s">
        <v>11855</v>
      </c>
      <c r="B546" s="6" t="s">
        <v>181</v>
      </c>
      <c r="C546" s="7" t="n">
        <v>45747</v>
      </c>
      <c r="D546" s="6" t="s">
        <v>380</v>
      </c>
      <c r="E546" s="6" t="s">
        <v>11849</v>
      </c>
      <c r="F546" s="6" t="s">
        <v>10885</v>
      </c>
      <c r="G546" s="6" t="s">
        <v>10845</v>
      </c>
      <c r="H546" s="9" t="n">
        <v>0</v>
      </c>
      <c r="I546" s="6" t="s">
        <v>384</v>
      </c>
      <c r="J546" s="6" t="s">
        <v>13</v>
      </c>
      <c r="K546" s="6" t="s">
        <v>179</v>
      </c>
      <c r="L546" s="6" t="s">
        <v>11856</v>
      </c>
      <c r="M546" s="6" t="s">
        <v>11852</v>
      </c>
      <c r="N546" s="6"/>
    </row>
    <row r="547" customFormat="false" ht="15" hidden="false" customHeight="false" outlineLevel="0" collapsed="false">
      <c r="A547" s="6" t="s">
        <v>11857</v>
      </c>
      <c r="B547" s="6" t="s">
        <v>181</v>
      </c>
      <c r="C547" s="7" t="n">
        <v>45747</v>
      </c>
      <c r="D547" s="6" t="s">
        <v>380</v>
      </c>
      <c r="E547" s="6" t="s">
        <v>11849</v>
      </c>
      <c r="F547" s="6" t="s">
        <v>11632</v>
      </c>
      <c r="G547" s="6" t="s">
        <v>10849</v>
      </c>
      <c r="H547" s="9" t="n">
        <v>58383</v>
      </c>
      <c r="I547" s="6" t="s">
        <v>384</v>
      </c>
      <c r="J547" s="6" t="s">
        <v>13</v>
      </c>
      <c r="K547" s="6" t="s">
        <v>179</v>
      </c>
      <c r="L547" s="6" t="s">
        <v>2567</v>
      </c>
      <c r="M547" s="6" t="s">
        <v>11852</v>
      </c>
      <c r="N547" s="6"/>
    </row>
    <row r="548" customFormat="false" ht="15" hidden="false" customHeight="false" outlineLevel="0" collapsed="false">
      <c r="A548" s="6" t="s">
        <v>11858</v>
      </c>
      <c r="B548" s="6" t="s">
        <v>181</v>
      </c>
      <c r="C548" s="7" t="n">
        <v>45747</v>
      </c>
      <c r="D548" s="6" t="s">
        <v>380</v>
      </c>
      <c r="E548" s="6" t="s">
        <v>10904</v>
      </c>
      <c r="F548" s="6" t="s">
        <v>8429</v>
      </c>
      <c r="G548" s="6" t="s">
        <v>10840</v>
      </c>
      <c r="H548" s="9" t="n">
        <v>111970</v>
      </c>
      <c r="I548" s="6" t="s">
        <v>384</v>
      </c>
      <c r="J548" s="6" t="s">
        <v>13</v>
      </c>
      <c r="K548" s="6" t="s">
        <v>179</v>
      </c>
      <c r="L548" s="6" t="s">
        <v>11859</v>
      </c>
      <c r="M548" s="6" t="s">
        <v>11860</v>
      </c>
      <c r="N548" s="6"/>
    </row>
    <row r="549" customFormat="false" ht="15" hidden="false" customHeight="false" outlineLevel="0" collapsed="false">
      <c r="A549" s="6" t="s">
        <v>11861</v>
      </c>
      <c r="B549" s="6" t="s">
        <v>181</v>
      </c>
      <c r="C549" s="7" t="n">
        <v>45747</v>
      </c>
      <c r="D549" s="6" t="s">
        <v>380</v>
      </c>
      <c r="E549" s="6" t="s">
        <v>10904</v>
      </c>
      <c r="F549" s="6" t="s">
        <v>8520</v>
      </c>
      <c r="G549" s="6" t="s">
        <v>10845</v>
      </c>
      <c r="H549" s="9" t="n">
        <v>-3687</v>
      </c>
      <c r="I549" s="6" t="s">
        <v>384</v>
      </c>
      <c r="J549" s="6" t="s">
        <v>13</v>
      </c>
      <c r="K549" s="6" t="s">
        <v>179</v>
      </c>
      <c r="L549" s="6" t="s">
        <v>3150</v>
      </c>
      <c r="M549" s="6" t="s">
        <v>11860</v>
      </c>
      <c r="N549" s="6"/>
    </row>
    <row r="550" customFormat="false" ht="15" hidden="false" customHeight="false" outlineLevel="0" collapsed="false">
      <c r="A550" s="6" t="s">
        <v>11862</v>
      </c>
      <c r="B550" s="6" t="s">
        <v>181</v>
      </c>
      <c r="C550" s="7" t="n">
        <v>45747</v>
      </c>
      <c r="D550" s="6" t="s">
        <v>380</v>
      </c>
      <c r="E550" s="6" t="s">
        <v>10904</v>
      </c>
      <c r="F550" s="6" t="s">
        <v>8081</v>
      </c>
      <c r="G550" s="6" t="s">
        <v>10845</v>
      </c>
      <c r="H550" s="9" t="n">
        <v>-779</v>
      </c>
      <c r="I550" s="6" t="s">
        <v>384</v>
      </c>
      <c r="J550" s="6" t="s">
        <v>13</v>
      </c>
      <c r="K550" s="6" t="s">
        <v>179</v>
      </c>
      <c r="L550" s="6" t="s">
        <v>3263</v>
      </c>
      <c r="M550" s="6" t="s">
        <v>11860</v>
      </c>
      <c r="N550" s="6"/>
    </row>
    <row r="551" customFormat="false" ht="15" hidden="false" customHeight="false" outlineLevel="0" collapsed="false">
      <c r="A551" s="6" t="s">
        <v>11863</v>
      </c>
      <c r="B551" s="6" t="s">
        <v>181</v>
      </c>
      <c r="C551" s="7" t="n">
        <v>45747</v>
      </c>
      <c r="D551" s="6" t="s">
        <v>380</v>
      </c>
      <c r="E551" s="6" t="s">
        <v>10904</v>
      </c>
      <c r="F551" s="6" t="s">
        <v>11864</v>
      </c>
      <c r="G551" s="6" t="s">
        <v>10845</v>
      </c>
      <c r="H551" s="9" t="n">
        <v>2028</v>
      </c>
      <c r="I551" s="6" t="s">
        <v>384</v>
      </c>
      <c r="J551" s="6" t="s">
        <v>13</v>
      </c>
      <c r="K551" s="6" t="s">
        <v>179</v>
      </c>
      <c r="L551" s="6" t="s">
        <v>3327</v>
      </c>
      <c r="M551" s="6" t="s">
        <v>11860</v>
      </c>
      <c r="N551" s="6"/>
    </row>
    <row r="552" customFormat="false" ht="15" hidden="false" customHeight="false" outlineLevel="0" collapsed="false">
      <c r="A552" s="6" t="s">
        <v>11865</v>
      </c>
      <c r="B552" s="6" t="s">
        <v>181</v>
      </c>
      <c r="C552" s="7" t="n">
        <v>45747</v>
      </c>
      <c r="D552" s="6" t="s">
        <v>380</v>
      </c>
      <c r="E552" s="6" t="s">
        <v>10904</v>
      </c>
      <c r="F552" s="6" t="s">
        <v>4887</v>
      </c>
      <c r="G552" s="6" t="s">
        <v>10849</v>
      </c>
      <c r="H552" s="9" t="n">
        <v>109532</v>
      </c>
      <c r="I552" s="6" t="s">
        <v>384</v>
      </c>
      <c r="J552" s="6" t="s">
        <v>13</v>
      </c>
      <c r="K552" s="6" t="s">
        <v>179</v>
      </c>
      <c r="L552" s="6" t="s">
        <v>3447</v>
      </c>
      <c r="M552" s="6" t="s">
        <v>11860</v>
      </c>
      <c r="N552" s="6"/>
    </row>
    <row r="553" customFormat="false" ht="15" hidden="false" customHeight="false" outlineLevel="0" collapsed="false">
      <c r="A553" s="6" t="s">
        <v>11866</v>
      </c>
      <c r="B553" s="6" t="s">
        <v>186</v>
      </c>
      <c r="C553" s="7" t="n">
        <v>45838</v>
      </c>
      <c r="D553" s="6" t="s">
        <v>380</v>
      </c>
      <c r="E553" s="6" t="s">
        <v>10838</v>
      </c>
      <c r="F553" s="6" t="s">
        <v>10839</v>
      </c>
      <c r="G553" s="6" t="s">
        <v>10840</v>
      </c>
      <c r="H553" s="9" t="n">
        <v>267841</v>
      </c>
      <c r="I553" s="6" t="s">
        <v>384</v>
      </c>
      <c r="J553" s="6" t="s">
        <v>13</v>
      </c>
      <c r="K553" s="6" t="s">
        <v>184</v>
      </c>
      <c r="L553" s="6" t="s">
        <v>11867</v>
      </c>
      <c r="M553" s="6" t="s">
        <v>11868</v>
      </c>
      <c r="N553" s="6"/>
    </row>
    <row r="554" customFormat="false" ht="15" hidden="false" customHeight="false" outlineLevel="0" collapsed="false">
      <c r="A554" s="6" t="s">
        <v>11869</v>
      </c>
      <c r="B554" s="6" t="s">
        <v>186</v>
      </c>
      <c r="C554" s="7" t="n">
        <v>45838</v>
      </c>
      <c r="D554" s="6" t="s">
        <v>380</v>
      </c>
      <c r="E554" s="6" t="s">
        <v>10838</v>
      </c>
      <c r="F554" s="6" t="s">
        <v>2706</v>
      </c>
      <c r="G554" s="6" t="s">
        <v>10845</v>
      </c>
      <c r="H554" s="9" t="n">
        <v>2272</v>
      </c>
      <c r="I554" s="6" t="s">
        <v>384</v>
      </c>
      <c r="J554" s="6" t="s">
        <v>13</v>
      </c>
      <c r="K554" s="6" t="s">
        <v>184</v>
      </c>
      <c r="L554" s="6" t="s">
        <v>11870</v>
      </c>
      <c r="M554" s="6" t="s">
        <v>11868</v>
      </c>
      <c r="N554" s="6"/>
    </row>
    <row r="555" customFormat="false" ht="15" hidden="false" customHeight="false" outlineLevel="0" collapsed="false">
      <c r="A555" s="6" t="s">
        <v>11871</v>
      </c>
      <c r="B555" s="6" t="s">
        <v>186</v>
      </c>
      <c r="C555" s="7" t="n">
        <v>45838</v>
      </c>
      <c r="D555" s="6" t="s">
        <v>380</v>
      </c>
      <c r="E555" s="6" t="s">
        <v>10838</v>
      </c>
      <c r="F555" s="6" t="s">
        <v>10848</v>
      </c>
      <c r="G555" s="6" t="s">
        <v>10849</v>
      </c>
      <c r="H555" s="9" t="n">
        <v>270113</v>
      </c>
      <c r="I555" s="6" t="s">
        <v>384</v>
      </c>
      <c r="J555" s="6" t="s">
        <v>13</v>
      </c>
      <c r="K555" s="6" t="s">
        <v>184</v>
      </c>
      <c r="L555" s="6" t="s">
        <v>1824</v>
      </c>
      <c r="M555" s="6" t="s">
        <v>11868</v>
      </c>
      <c r="N555" s="6"/>
    </row>
    <row r="556" customFormat="false" ht="15" hidden="false" customHeight="false" outlineLevel="0" collapsed="false">
      <c r="A556" s="6" t="s">
        <v>11872</v>
      </c>
      <c r="B556" s="6" t="s">
        <v>186</v>
      </c>
      <c r="C556" s="7" t="n">
        <v>45838</v>
      </c>
      <c r="D556" s="6" t="s">
        <v>380</v>
      </c>
      <c r="E556" s="6" t="s">
        <v>10851</v>
      </c>
      <c r="F556" s="6" t="s">
        <v>10852</v>
      </c>
      <c r="G556" s="6" t="s">
        <v>10840</v>
      </c>
      <c r="H556" s="9" t="n">
        <v>87039</v>
      </c>
      <c r="I556" s="6" t="s">
        <v>384</v>
      </c>
      <c r="J556" s="6" t="s">
        <v>13</v>
      </c>
      <c r="K556" s="6" t="s">
        <v>184</v>
      </c>
      <c r="L556" s="6" t="s">
        <v>11873</v>
      </c>
      <c r="M556" s="6" t="s">
        <v>11874</v>
      </c>
      <c r="N556" s="6"/>
    </row>
    <row r="557" customFormat="false" ht="15" hidden="false" customHeight="false" outlineLevel="0" collapsed="false">
      <c r="A557" s="6" t="s">
        <v>11875</v>
      </c>
      <c r="B557" s="6" t="s">
        <v>186</v>
      </c>
      <c r="C557" s="7" t="n">
        <v>45838</v>
      </c>
      <c r="D557" s="6" t="s">
        <v>380</v>
      </c>
      <c r="E557" s="6" t="s">
        <v>10851</v>
      </c>
      <c r="F557" s="6" t="s">
        <v>2706</v>
      </c>
      <c r="G557" s="6" t="s">
        <v>10845</v>
      </c>
      <c r="H557" s="9" t="n">
        <v>-27806</v>
      </c>
      <c r="I557" s="6" t="s">
        <v>384</v>
      </c>
      <c r="J557" s="6" t="s">
        <v>13</v>
      </c>
      <c r="K557" s="6" t="s">
        <v>184</v>
      </c>
      <c r="L557" s="6" t="s">
        <v>11876</v>
      </c>
      <c r="M557" s="6" t="s">
        <v>11874</v>
      </c>
      <c r="N557" s="6"/>
    </row>
    <row r="558" customFormat="false" ht="15" hidden="false" customHeight="false" outlineLevel="0" collapsed="false">
      <c r="A558" s="6" t="s">
        <v>11877</v>
      </c>
      <c r="B558" s="6" t="s">
        <v>186</v>
      </c>
      <c r="C558" s="7" t="n">
        <v>45838</v>
      </c>
      <c r="D558" s="6" t="s">
        <v>380</v>
      </c>
      <c r="E558" s="6" t="s">
        <v>10851</v>
      </c>
      <c r="F558" s="6" t="s">
        <v>10858</v>
      </c>
      <c r="G558" s="6" t="s">
        <v>10849</v>
      </c>
      <c r="H558" s="9" t="n">
        <v>59233</v>
      </c>
      <c r="I558" s="6" t="s">
        <v>384</v>
      </c>
      <c r="J558" s="6" t="s">
        <v>13</v>
      </c>
      <c r="K558" s="6" t="s">
        <v>184</v>
      </c>
      <c r="L558" s="6" t="s">
        <v>2017</v>
      </c>
      <c r="M558" s="6" t="s">
        <v>11874</v>
      </c>
      <c r="N558" s="6"/>
    </row>
    <row r="559" customFormat="false" ht="15" hidden="false" customHeight="false" outlineLevel="0" collapsed="false">
      <c r="A559" s="6" t="s">
        <v>11878</v>
      </c>
      <c r="B559" s="6" t="s">
        <v>186</v>
      </c>
      <c r="C559" s="7" t="n">
        <v>45838</v>
      </c>
      <c r="D559" s="6" t="s">
        <v>380</v>
      </c>
      <c r="E559" s="6" t="s">
        <v>10851</v>
      </c>
      <c r="F559" s="6" t="s">
        <v>10860</v>
      </c>
      <c r="G559" s="6" t="s">
        <v>10840</v>
      </c>
      <c r="H559" s="9" t="n">
        <v>152590</v>
      </c>
      <c r="I559" s="6" t="s">
        <v>384</v>
      </c>
      <c r="J559" s="6" t="s">
        <v>13</v>
      </c>
      <c r="K559" s="6" t="s">
        <v>184</v>
      </c>
      <c r="L559" s="6" t="s">
        <v>11879</v>
      </c>
      <c r="M559" s="6" t="s">
        <v>11880</v>
      </c>
      <c r="N559" s="6"/>
    </row>
    <row r="560" customFormat="false" ht="15" hidden="false" customHeight="false" outlineLevel="0" collapsed="false">
      <c r="A560" s="6" t="s">
        <v>11881</v>
      </c>
      <c r="B560" s="6" t="s">
        <v>186</v>
      </c>
      <c r="C560" s="7" t="n">
        <v>45838</v>
      </c>
      <c r="D560" s="6" t="s">
        <v>380</v>
      </c>
      <c r="E560" s="6" t="s">
        <v>10851</v>
      </c>
      <c r="F560" s="6" t="s">
        <v>2706</v>
      </c>
      <c r="G560" s="6" t="s">
        <v>10845</v>
      </c>
      <c r="H560" s="9" t="n">
        <v>-13367</v>
      </c>
      <c r="I560" s="6" t="s">
        <v>384</v>
      </c>
      <c r="J560" s="6" t="s">
        <v>13</v>
      </c>
      <c r="K560" s="6" t="s">
        <v>184</v>
      </c>
      <c r="L560" s="6" t="s">
        <v>11876</v>
      </c>
      <c r="M560" s="6" t="s">
        <v>11880</v>
      </c>
      <c r="N560" s="6"/>
    </row>
    <row r="561" customFormat="false" ht="15" hidden="false" customHeight="false" outlineLevel="0" collapsed="false">
      <c r="A561" s="6" t="s">
        <v>11882</v>
      </c>
      <c r="B561" s="6" t="s">
        <v>186</v>
      </c>
      <c r="C561" s="7" t="n">
        <v>45838</v>
      </c>
      <c r="D561" s="6" t="s">
        <v>380</v>
      </c>
      <c r="E561" s="6" t="s">
        <v>10851</v>
      </c>
      <c r="F561" s="6" t="s">
        <v>10865</v>
      </c>
      <c r="G561" s="6" t="s">
        <v>10849</v>
      </c>
      <c r="H561" s="9" t="n">
        <v>139223</v>
      </c>
      <c r="I561" s="6" t="s">
        <v>384</v>
      </c>
      <c r="J561" s="6" t="s">
        <v>13</v>
      </c>
      <c r="K561" s="6" t="s">
        <v>184</v>
      </c>
      <c r="L561" s="6" t="s">
        <v>2132</v>
      </c>
      <c r="M561" s="6" t="s">
        <v>11880</v>
      </c>
      <c r="N561" s="6"/>
    </row>
    <row r="562" customFormat="false" ht="15" hidden="false" customHeight="false" outlineLevel="0" collapsed="false">
      <c r="A562" s="6" t="s">
        <v>11883</v>
      </c>
      <c r="B562" s="6" t="s">
        <v>186</v>
      </c>
      <c r="C562" s="7" t="n">
        <v>45838</v>
      </c>
      <c r="D562" s="6" t="s">
        <v>380</v>
      </c>
      <c r="E562" s="6" t="s">
        <v>10851</v>
      </c>
      <c r="F562" s="6" t="s">
        <v>10867</v>
      </c>
      <c r="G562" s="6" t="s">
        <v>10840</v>
      </c>
      <c r="H562" s="9" t="n">
        <v>39763</v>
      </c>
      <c r="I562" s="6" t="s">
        <v>384</v>
      </c>
      <c r="J562" s="6" t="s">
        <v>13</v>
      </c>
      <c r="K562" s="6" t="s">
        <v>184</v>
      </c>
      <c r="L562" s="6" t="s">
        <v>11884</v>
      </c>
      <c r="M562" s="6" t="s">
        <v>11885</v>
      </c>
      <c r="N562" s="6"/>
    </row>
    <row r="563" customFormat="false" ht="15" hidden="false" customHeight="false" outlineLevel="0" collapsed="false">
      <c r="A563" s="6" t="s">
        <v>11886</v>
      </c>
      <c r="B563" s="6" t="s">
        <v>186</v>
      </c>
      <c r="C563" s="7" t="n">
        <v>45838</v>
      </c>
      <c r="D563" s="6" t="s">
        <v>380</v>
      </c>
      <c r="E563" s="6" t="s">
        <v>10851</v>
      </c>
      <c r="F563" s="6" t="s">
        <v>2706</v>
      </c>
      <c r="G563" s="6" t="s">
        <v>10845</v>
      </c>
      <c r="H563" s="9" t="n">
        <v>-13200</v>
      </c>
      <c r="I563" s="6" t="s">
        <v>384</v>
      </c>
      <c r="J563" s="6" t="s">
        <v>13</v>
      </c>
      <c r="K563" s="6" t="s">
        <v>184</v>
      </c>
      <c r="L563" s="6" t="s">
        <v>11876</v>
      </c>
      <c r="M563" s="6" t="s">
        <v>11885</v>
      </c>
      <c r="N563" s="6"/>
    </row>
    <row r="564" customFormat="false" ht="15" hidden="false" customHeight="false" outlineLevel="0" collapsed="false">
      <c r="A564" s="6" t="s">
        <v>11887</v>
      </c>
      <c r="B564" s="6" t="s">
        <v>186</v>
      </c>
      <c r="C564" s="7" t="n">
        <v>45838</v>
      </c>
      <c r="D564" s="6" t="s">
        <v>380</v>
      </c>
      <c r="E564" s="6" t="s">
        <v>10851</v>
      </c>
      <c r="F564" s="6" t="s">
        <v>10872</v>
      </c>
      <c r="G564" s="6" t="s">
        <v>10849</v>
      </c>
      <c r="H564" s="9" t="n">
        <v>26563</v>
      </c>
      <c r="I564" s="6" t="s">
        <v>384</v>
      </c>
      <c r="J564" s="6" t="s">
        <v>13</v>
      </c>
      <c r="K564" s="6" t="s">
        <v>184</v>
      </c>
      <c r="L564" s="6" t="s">
        <v>2247</v>
      </c>
      <c r="M564" s="6" t="s">
        <v>11885</v>
      </c>
      <c r="N564" s="6"/>
    </row>
    <row r="565" customFormat="false" ht="15" hidden="false" customHeight="false" outlineLevel="0" collapsed="false">
      <c r="A565" s="6" t="s">
        <v>11888</v>
      </c>
      <c r="B565" s="6" t="s">
        <v>186</v>
      </c>
      <c r="C565" s="7" t="n">
        <v>45838</v>
      </c>
      <c r="D565" s="6" t="s">
        <v>380</v>
      </c>
      <c r="E565" s="6" t="s">
        <v>11306</v>
      </c>
      <c r="F565" s="6" t="s">
        <v>10162</v>
      </c>
      <c r="G565" s="6" t="s">
        <v>10840</v>
      </c>
      <c r="H565" s="9" t="n">
        <v>-11551</v>
      </c>
      <c r="I565" s="6" t="s">
        <v>384</v>
      </c>
      <c r="J565" s="6" t="s">
        <v>13</v>
      </c>
      <c r="K565" s="6" t="s">
        <v>184</v>
      </c>
      <c r="L565" s="6" t="s">
        <v>11889</v>
      </c>
      <c r="M565" s="6" t="s">
        <v>11890</v>
      </c>
      <c r="N565" s="6"/>
    </row>
    <row r="566" customFormat="false" ht="15" hidden="false" customHeight="false" outlineLevel="0" collapsed="false">
      <c r="A566" s="6" t="s">
        <v>11891</v>
      </c>
      <c r="B566" s="6" t="s">
        <v>186</v>
      </c>
      <c r="C566" s="7" t="n">
        <v>45838</v>
      </c>
      <c r="D566" s="6" t="s">
        <v>380</v>
      </c>
      <c r="E566" s="6" t="s">
        <v>11306</v>
      </c>
      <c r="F566" s="6" t="s">
        <v>2706</v>
      </c>
      <c r="G566" s="6" t="s">
        <v>10845</v>
      </c>
      <c r="H566" s="9" t="n">
        <v>56645</v>
      </c>
      <c r="I566" s="6" t="s">
        <v>384</v>
      </c>
      <c r="J566" s="6" t="s">
        <v>13</v>
      </c>
      <c r="K566" s="6" t="s">
        <v>184</v>
      </c>
      <c r="L566" s="6" t="s">
        <v>2796</v>
      </c>
      <c r="M566" s="6" t="s">
        <v>11890</v>
      </c>
      <c r="N566" s="6"/>
    </row>
    <row r="567" customFormat="false" ht="15" hidden="false" customHeight="false" outlineLevel="0" collapsed="false">
      <c r="A567" s="6" t="s">
        <v>11892</v>
      </c>
      <c r="B567" s="6" t="s">
        <v>186</v>
      </c>
      <c r="C567" s="7" t="n">
        <v>45838</v>
      </c>
      <c r="D567" s="6" t="s">
        <v>380</v>
      </c>
      <c r="E567" s="6" t="s">
        <v>11306</v>
      </c>
      <c r="F567" s="6" t="s">
        <v>5717</v>
      </c>
      <c r="G567" s="6" t="s">
        <v>10849</v>
      </c>
      <c r="H567" s="9" t="n">
        <v>45094</v>
      </c>
      <c r="I567" s="6" t="s">
        <v>384</v>
      </c>
      <c r="J567" s="6" t="s">
        <v>13</v>
      </c>
      <c r="K567" s="6" t="s">
        <v>184</v>
      </c>
      <c r="L567" s="6" t="s">
        <v>2362</v>
      </c>
      <c r="M567" s="6" t="s">
        <v>11890</v>
      </c>
      <c r="N567" s="6"/>
    </row>
    <row r="568" customFormat="false" ht="15" hidden="false" customHeight="false" outlineLevel="0" collapsed="false">
      <c r="A568" s="6" t="s">
        <v>11893</v>
      </c>
      <c r="B568" s="6" t="s">
        <v>186</v>
      </c>
      <c r="C568" s="7" t="n">
        <v>45838</v>
      </c>
      <c r="D568" s="6" t="s">
        <v>380</v>
      </c>
      <c r="E568" s="6" t="s">
        <v>11849</v>
      </c>
      <c r="F568" s="6" t="s">
        <v>11850</v>
      </c>
      <c r="G568" s="6" t="s">
        <v>10840</v>
      </c>
      <c r="H568" s="9" t="n">
        <v>1573</v>
      </c>
      <c r="I568" s="6" t="s">
        <v>384</v>
      </c>
      <c r="J568" s="6" t="s">
        <v>13</v>
      </c>
      <c r="K568" s="6" t="s">
        <v>184</v>
      </c>
      <c r="L568" s="6" t="s">
        <v>11894</v>
      </c>
      <c r="M568" s="6" t="s">
        <v>11895</v>
      </c>
      <c r="N568" s="6"/>
    </row>
    <row r="569" customFormat="false" ht="15" hidden="false" customHeight="false" outlineLevel="0" collapsed="false">
      <c r="A569" s="6" t="s">
        <v>11896</v>
      </c>
      <c r="B569" s="6" t="s">
        <v>186</v>
      </c>
      <c r="C569" s="7" t="n">
        <v>45838</v>
      </c>
      <c r="D569" s="6" t="s">
        <v>380</v>
      </c>
      <c r="E569" s="6" t="s">
        <v>11849</v>
      </c>
      <c r="F569" s="6" t="s">
        <v>2706</v>
      </c>
      <c r="G569" s="6" t="s">
        <v>10845</v>
      </c>
      <c r="H569" s="9" t="n">
        <v>56645</v>
      </c>
      <c r="I569" s="6" t="s">
        <v>384</v>
      </c>
      <c r="J569" s="6" t="s">
        <v>13</v>
      </c>
      <c r="K569" s="6" t="s">
        <v>184</v>
      </c>
      <c r="L569" s="6" t="s">
        <v>11897</v>
      </c>
      <c r="M569" s="6" t="s">
        <v>11895</v>
      </c>
      <c r="N569" s="6"/>
    </row>
    <row r="570" customFormat="false" ht="15" hidden="false" customHeight="false" outlineLevel="0" collapsed="false">
      <c r="A570" s="6" t="s">
        <v>11898</v>
      </c>
      <c r="B570" s="6" t="s">
        <v>186</v>
      </c>
      <c r="C570" s="7" t="n">
        <v>45838</v>
      </c>
      <c r="D570" s="6" t="s">
        <v>380</v>
      </c>
      <c r="E570" s="6" t="s">
        <v>11849</v>
      </c>
      <c r="F570" s="6" t="s">
        <v>11899</v>
      </c>
      <c r="G570" s="6" t="s">
        <v>10845</v>
      </c>
      <c r="H570" s="9" t="n">
        <v>78</v>
      </c>
      <c r="I570" s="6" t="s">
        <v>384</v>
      </c>
      <c r="J570" s="6" t="s">
        <v>13</v>
      </c>
      <c r="K570" s="6" t="s">
        <v>184</v>
      </c>
      <c r="L570" s="6" t="s">
        <v>11900</v>
      </c>
      <c r="M570" s="6" t="s">
        <v>11895</v>
      </c>
      <c r="N570" s="6"/>
    </row>
    <row r="571" customFormat="false" ht="15" hidden="false" customHeight="false" outlineLevel="0" collapsed="false">
      <c r="A571" s="6" t="s">
        <v>11901</v>
      </c>
      <c r="B571" s="6" t="s">
        <v>186</v>
      </c>
      <c r="C571" s="7" t="n">
        <v>45838</v>
      </c>
      <c r="D571" s="6" t="s">
        <v>380</v>
      </c>
      <c r="E571" s="6" t="s">
        <v>11849</v>
      </c>
      <c r="F571" s="6" t="s">
        <v>11632</v>
      </c>
      <c r="G571" s="6" t="s">
        <v>10849</v>
      </c>
      <c r="H571" s="9" t="n">
        <v>58296</v>
      </c>
      <c r="I571" s="6" t="s">
        <v>384</v>
      </c>
      <c r="J571" s="6" t="s">
        <v>13</v>
      </c>
      <c r="K571" s="6" t="s">
        <v>184</v>
      </c>
      <c r="L571" s="6" t="s">
        <v>2570</v>
      </c>
      <c r="M571" s="6" t="s">
        <v>11895</v>
      </c>
      <c r="N571" s="6"/>
    </row>
    <row r="572" customFormat="false" ht="15" hidden="false" customHeight="false" outlineLevel="0" collapsed="false">
      <c r="A572" s="6" t="s">
        <v>11902</v>
      </c>
      <c r="B572" s="6" t="s">
        <v>186</v>
      </c>
      <c r="C572" s="7" t="n">
        <v>45838</v>
      </c>
      <c r="D572" s="6" t="s">
        <v>380</v>
      </c>
      <c r="E572" s="6" t="s">
        <v>10904</v>
      </c>
      <c r="F572" s="6" t="s">
        <v>8429</v>
      </c>
      <c r="G572" s="6" t="s">
        <v>10840</v>
      </c>
      <c r="H572" s="9" t="n">
        <v>66837</v>
      </c>
      <c r="I572" s="6" t="s">
        <v>384</v>
      </c>
      <c r="J572" s="6" t="s">
        <v>13</v>
      </c>
      <c r="K572" s="6" t="s">
        <v>184</v>
      </c>
      <c r="L572" s="6" t="s">
        <v>11903</v>
      </c>
      <c r="M572" s="6" t="s">
        <v>11904</v>
      </c>
      <c r="N572" s="6"/>
    </row>
    <row r="573" customFormat="false" ht="15" hidden="false" customHeight="false" outlineLevel="0" collapsed="false">
      <c r="A573" s="6" t="s">
        <v>11905</v>
      </c>
      <c r="B573" s="6" t="s">
        <v>186</v>
      </c>
      <c r="C573" s="7" t="n">
        <v>45838</v>
      </c>
      <c r="D573" s="6" t="s">
        <v>380</v>
      </c>
      <c r="E573" s="6" t="s">
        <v>10904</v>
      </c>
      <c r="F573" s="6" t="s">
        <v>8520</v>
      </c>
      <c r="G573" s="6" t="s">
        <v>10845</v>
      </c>
      <c r="H573" s="9" t="n">
        <v>-5884</v>
      </c>
      <c r="I573" s="6" t="s">
        <v>384</v>
      </c>
      <c r="J573" s="6" t="s">
        <v>13</v>
      </c>
      <c r="K573" s="6" t="s">
        <v>184</v>
      </c>
      <c r="L573" s="6" t="s">
        <v>3153</v>
      </c>
      <c r="M573" s="6" t="s">
        <v>11904</v>
      </c>
      <c r="N573" s="6"/>
    </row>
    <row r="574" customFormat="false" ht="15" hidden="false" customHeight="false" outlineLevel="0" collapsed="false">
      <c r="A574" s="6" t="s">
        <v>11906</v>
      </c>
      <c r="B574" s="6" t="s">
        <v>186</v>
      </c>
      <c r="C574" s="7" t="n">
        <v>45838</v>
      </c>
      <c r="D574" s="6" t="s">
        <v>380</v>
      </c>
      <c r="E574" s="6" t="s">
        <v>10904</v>
      </c>
      <c r="F574" s="6" t="s">
        <v>8081</v>
      </c>
      <c r="G574" s="6" t="s">
        <v>10845</v>
      </c>
      <c r="H574" s="9" t="n">
        <v>-924</v>
      </c>
      <c r="I574" s="6" t="s">
        <v>384</v>
      </c>
      <c r="J574" s="6" t="s">
        <v>13</v>
      </c>
      <c r="K574" s="6" t="s">
        <v>184</v>
      </c>
      <c r="L574" s="6" t="s">
        <v>3266</v>
      </c>
      <c r="M574" s="6" t="s">
        <v>11904</v>
      </c>
      <c r="N574" s="6"/>
    </row>
    <row r="575" customFormat="false" ht="15" hidden="false" customHeight="false" outlineLevel="0" collapsed="false">
      <c r="A575" s="6" t="s">
        <v>11907</v>
      </c>
      <c r="B575" s="6" t="s">
        <v>186</v>
      </c>
      <c r="C575" s="7" t="n">
        <v>45838</v>
      </c>
      <c r="D575" s="6" t="s">
        <v>380</v>
      </c>
      <c r="E575" s="6" t="s">
        <v>10904</v>
      </c>
      <c r="F575" s="6" t="s">
        <v>11864</v>
      </c>
      <c r="G575" s="6" t="s">
        <v>10845</v>
      </c>
      <c r="H575" s="9" t="n">
        <v>4064</v>
      </c>
      <c r="I575" s="6" t="s">
        <v>384</v>
      </c>
      <c r="J575" s="6" t="s">
        <v>13</v>
      </c>
      <c r="K575" s="6" t="s">
        <v>184</v>
      </c>
      <c r="L575" s="6" t="s">
        <v>3330</v>
      </c>
      <c r="M575" s="6" t="s">
        <v>11904</v>
      </c>
      <c r="N575" s="6"/>
    </row>
    <row r="576" customFormat="false" ht="15" hidden="false" customHeight="false" outlineLevel="0" collapsed="false">
      <c r="A576" s="6" t="s">
        <v>11908</v>
      </c>
      <c r="B576" s="6" t="s">
        <v>186</v>
      </c>
      <c r="C576" s="7" t="n">
        <v>45838</v>
      </c>
      <c r="D576" s="6" t="s">
        <v>380</v>
      </c>
      <c r="E576" s="6" t="s">
        <v>10904</v>
      </c>
      <c r="F576" s="6" t="s">
        <v>4887</v>
      </c>
      <c r="G576" s="6" t="s">
        <v>10849</v>
      </c>
      <c r="H576" s="9" t="n">
        <v>64093</v>
      </c>
      <c r="I576" s="6" t="s">
        <v>384</v>
      </c>
      <c r="J576" s="6" t="s">
        <v>13</v>
      </c>
      <c r="K576" s="6" t="s">
        <v>184</v>
      </c>
      <c r="L576" s="6" t="s">
        <v>3450</v>
      </c>
      <c r="M576" s="6" t="s">
        <v>11904</v>
      </c>
      <c r="N576" s="6"/>
    </row>
    <row r="577" customFormat="false" ht="15" hidden="false" customHeight="false" outlineLevel="0" collapsed="false">
      <c r="A577" s="6" t="s">
        <v>11909</v>
      </c>
      <c r="B577" s="6" t="s">
        <v>191</v>
      </c>
      <c r="C577" s="7" t="n">
        <v>45930</v>
      </c>
      <c r="D577" s="6" t="s">
        <v>380</v>
      </c>
      <c r="E577" s="6" t="s">
        <v>10838</v>
      </c>
      <c r="F577" s="6" t="s">
        <v>10839</v>
      </c>
      <c r="G577" s="6" t="s">
        <v>10840</v>
      </c>
      <c r="H577" s="9" t="n">
        <v>281067</v>
      </c>
      <c r="I577" s="6" t="s">
        <v>384</v>
      </c>
      <c r="J577" s="6" t="s">
        <v>13</v>
      </c>
      <c r="K577" s="6" t="s">
        <v>189</v>
      </c>
      <c r="L577" s="6" t="s">
        <v>11910</v>
      </c>
      <c r="M577" s="6" t="s">
        <v>11911</v>
      </c>
      <c r="N577" s="6"/>
    </row>
    <row r="578" customFormat="false" ht="15" hidden="false" customHeight="false" outlineLevel="0" collapsed="false">
      <c r="A578" s="6" t="s">
        <v>11912</v>
      </c>
      <c r="B578" s="6" t="s">
        <v>191</v>
      </c>
      <c r="C578" s="7" t="n">
        <v>45930</v>
      </c>
      <c r="D578" s="6" t="s">
        <v>380</v>
      </c>
      <c r="E578" s="6" t="s">
        <v>10838</v>
      </c>
      <c r="F578" s="6" t="s">
        <v>2706</v>
      </c>
      <c r="G578" s="6" t="s">
        <v>10845</v>
      </c>
      <c r="H578" s="9" t="n">
        <v>2964</v>
      </c>
      <c r="I578" s="6" t="s">
        <v>384</v>
      </c>
      <c r="J578" s="6" t="s">
        <v>13</v>
      </c>
      <c r="K578" s="6" t="s">
        <v>189</v>
      </c>
      <c r="L578" s="6" t="s">
        <v>11913</v>
      </c>
      <c r="M578" s="6" t="s">
        <v>11911</v>
      </c>
      <c r="N578" s="6"/>
    </row>
    <row r="579" customFormat="false" ht="15" hidden="false" customHeight="false" outlineLevel="0" collapsed="false">
      <c r="A579" s="6" t="s">
        <v>11914</v>
      </c>
      <c r="B579" s="6" t="s">
        <v>191</v>
      </c>
      <c r="C579" s="7" t="n">
        <v>45930</v>
      </c>
      <c r="D579" s="6" t="s">
        <v>380</v>
      </c>
      <c r="E579" s="6" t="s">
        <v>10838</v>
      </c>
      <c r="F579" s="6" t="s">
        <v>10848</v>
      </c>
      <c r="G579" s="6" t="s">
        <v>10849</v>
      </c>
      <c r="H579" s="9" t="n">
        <v>284031</v>
      </c>
      <c r="I579" s="6" t="s">
        <v>384</v>
      </c>
      <c r="J579" s="6" t="s">
        <v>13</v>
      </c>
      <c r="K579" s="6" t="s">
        <v>189</v>
      </c>
      <c r="L579" s="6" t="s">
        <v>1830</v>
      </c>
      <c r="M579" s="6" t="s">
        <v>11911</v>
      </c>
      <c r="N579" s="6"/>
    </row>
    <row r="580" customFormat="false" ht="15" hidden="false" customHeight="false" outlineLevel="0" collapsed="false">
      <c r="A580" s="6" t="s">
        <v>11915</v>
      </c>
      <c r="B580" s="6" t="s">
        <v>191</v>
      </c>
      <c r="C580" s="7" t="n">
        <v>45930</v>
      </c>
      <c r="D580" s="6" t="s">
        <v>380</v>
      </c>
      <c r="E580" s="6" t="s">
        <v>10851</v>
      </c>
      <c r="F580" s="6" t="s">
        <v>10852</v>
      </c>
      <c r="G580" s="6" t="s">
        <v>10840</v>
      </c>
      <c r="H580" s="9" t="n">
        <v>79453</v>
      </c>
      <c r="I580" s="6" t="s">
        <v>384</v>
      </c>
      <c r="J580" s="6" t="s">
        <v>13</v>
      </c>
      <c r="K580" s="6" t="s">
        <v>189</v>
      </c>
      <c r="L580" s="6" t="s">
        <v>11916</v>
      </c>
      <c r="M580" s="6" t="s">
        <v>11917</v>
      </c>
      <c r="N580" s="6"/>
    </row>
    <row r="581" customFormat="false" ht="15" hidden="false" customHeight="false" outlineLevel="0" collapsed="false">
      <c r="A581" s="6" t="s">
        <v>11918</v>
      </c>
      <c r="B581" s="6" t="s">
        <v>191</v>
      </c>
      <c r="C581" s="7" t="n">
        <v>45930</v>
      </c>
      <c r="D581" s="6" t="s">
        <v>380</v>
      </c>
      <c r="E581" s="6" t="s">
        <v>10851</v>
      </c>
      <c r="F581" s="6" t="s">
        <v>2706</v>
      </c>
      <c r="G581" s="6" t="s">
        <v>10845</v>
      </c>
      <c r="H581" s="9" t="n">
        <v>-21681</v>
      </c>
      <c r="I581" s="6" t="s">
        <v>384</v>
      </c>
      <c r="J581" s="6" t="s">
        <v>13</v>
      </c>
      <c r="K581" s="6" t="s">
        <v>189</v>
      </c>
      <c r="L581" s="6" t="s">
        <v>11919</v>
      </c>
      <c r="M581" s="6" t="s">
        <v>11917</v>
      </c>
      <c r="N581" s="6"/>
    </row>
    <row r="582" customFormat="false" ht="15" hidden="false" customHeight="false" outlineLevel="0" collapsed="false">
      <c r="A582" s="6" t="s">
        <v>11920</v>
      </c>
      <c r="B582" s="6" t="s">
        <v>191</v>
      </c>
      <c r="C582" s="7" t="n">
        <v>45930</v>
      </c>
      <c r="D582" s="6" t="s">
        <v>380</v>
      </c>
      <c r="E582" s="6" t="s">
        <v>10851</v>
      </c>
      <c r="F582" s="6" t="s">
        <v>10858</v>
      </c>
      <c r="G582" s="6" t="s">
        <v>10849</v>
      </c>
      <c r="H582" s="9" t="n">
        <v>57772</v>
      </c>
      <c r="I582" s="6" t="s">
        <v>384</v>
      </c>
      <c r="J582" s="6" t="s">
        <v>13</v>
      </c>
      <c r="K582" s="6" t="s">
        <v>189</v>
      </c>
      <c r="L582" s="6" t="s">
        <v>2023</v>
      </c>
      <c r="M582" s="6" t="s">
        <v>11917</v>
      </c>
      <c r="N582" s="6"/>
    </row>
    <row r="583" customFormat="false" ht="15" hidden="false" customHeight="false" outlineLevel="0" collapsed="false">
      <c r="A583" s="6" t="s">
        <v>11921</v>
      </c>
      <c r="B583" s="6" t="s">
        <v>191</v>
      </c>
      <c r="C583" s="7" t="n">
        <v>45930</v>
      </c>
      <c r="D583" s="6" t="s">
        <v>380</v>
      </c>
      <c r="E583" s="6" t="s">
        <v>10851</v>
      </c>
      <c r="F583" s="6" t="s">
        <v>10860</v>
      </c>
      <c r="G583" s="6" t="s">
        <v>10840</v>
      </c>
      <c r="H583" s="9" t="n">
        <v>165808</v>
      </c>
      <c r="I583" s="6" t="s">
        <v>384</v>
      </c>
      <c r="J583" s="6" t="s">
        <v>13</v>
      </c>
      <c r="K583" s="6" t="s">
        <v>189</v>
      </c>
      <c r="L583" s="6" t="s">
        <v>11922</v>
      </c>
      <c r="M583" s="6" t="s">
        <v>11923</v>
      </c>
      <c r="N583" s="6"/>
    </row>
    <row r="584" customFormat="false" ht="15" hidden="false" customHeight="false" outlineLevel="0" collapsed="false">
      <c r="A584" s="6" t="s">
        <v>11924</v>
      </c>
      <c r="B584" s="6" t="s">
        <v>191</v>
      </c>
      <c r="C584" s="7" t="n">
        <v>45930</v>
      </c>
      <c r="D584" s="6" t="s">
        <v>380</v>
      </c>
      <c r="E584" s="6" t="s">
        <v>10851</v>
      </c>
      <c r="F584" s="6" t="s">
        <v>2706</v>
      </c>
      <c r="G584" s="6" t="s">
        <v>10845</v>
      </c>
      <c r="H584" s="9" t="n">
        <v>-14004</v>
      </c>
      <c r="I584" s="6" t="s">
        <v>384</v>
      </c>
      <c r="J584" s="6" t="s">
        <v>13</v>
      </c>
      <c r="K584" s="6" t="s">
        <v>189</v>
      </c>
      <c r="L584" s="6" t="s">
        <v>11919</v>
      </c>
      <c r="M584" s="6" t="s">
        <v>11923</v>
      </c>
      <c r="N584" s="6"/>
    </row>
    <row r="585" customFormat="false" ht="15" hidden="false" customHeight="false" outlineLevel="0" collapsed="false">
      <c r="A585" s="6" t="s">
        <v>11925</v>
      </c>
      <c r="B585" s="6" t="s">
        <v>191</v>
      </c>
      <c r="C585" s="7" t="n">
        <v>45930</v>
      </c>
      <c r="D585" s="6" t="s">
        <v>380</v>
      </c>
      <c r="E585" s="6" t="s">
        <v>10851</v>
      </c>
      <c r="F585" s="6" t="s">
        <v>10865</v>
      </c>
      <c r="G585" s="6" t="s">
        <v>10849</v>
      </c>
      <c r="H585" s="9" t="n">
        <v>151804</v>
      </c>
      <c r="I585" s="6" t="s">
        <v>384</v>
      </c>
      <c r="J585" s="6" t="s">
        <v>13</v>
      </c>
      <c r="K585" s="6" t="s">
        <v>189</v>
      </c>
      <c r="L585" s="6" t="s">
        <v>2138</v>
      </c>
      <c r="M585" s="6" t="s">
        <v>11923</v>
      </c>
      <c r="N585" s="6"/>
    </row>
    <row r="586" customFormat="false" ht="15" hidden="false" customHeight="false" outlineLevel="0" collapsed="false">
      <c r="A586" s="6" t="s">
        <v>11926</v>
      </c>
      <c r="B586" s="6" t="s">
        <v>191</v>
      </c>
      <c r="C586" s="7" t="n">
        <v>45930</v>
      </c>
      <c r="D586" s="6" t="s">
        <v>380</v>
      </c>
      <c r="E586" s="6" t="s">
        <v>10851</v>
      </c>
      <c r="F586" s="6" t="s">
        <v>10867</v>
      </c>
      <c r="G586" s="6" t="s">
        <v>10840</v>
      </c>
      <c r="H586" s="9" t="n">
        <v>38184</v>
      </c>
      <c r="I586" s="6" t="s">
        <v>384</v>
      </c>
      <c r="J586" s="6" t="s">
        <v>13</v>
      </c>
      <c r="K586" s="6" t="s">
        <v>189</v>
      </c>
      <c r="L586" s="6" t="s">
        <v>11927</v>
      </c>
      <c r="M586" s="6" t="s">
        <v>11928</v>
      </c>
      <c r="N586" s="6"/>
    </row>
    <row r="587" customFormat="false" ht="15" hidden="false" customHeight="false" outlineLevel="0" collapsed="false">
      <c r="A587" s="6" t="s">
        <v>11929</v>
      </c>
      <c r="B587" s="6" t="s">
        <v>191</v>
      </c>
      <c r="C587" s="7" t="n">
        <v>45930</v>
      </c>
      <c r="D587" s="6" t="s">
        <v>380</v>
      </c>
      <c r="E587" s="6" t="s">
        <v>10851</v>
      </c>
      <c r="F587" s="6" t="s">
        <v>2706</v>
      </c>
      <c r="G587" s="6" t="s">
        <v>10845</v>
      </c>
      <c r="H587" s="9" t="n">
        <v>-11213</v>
      </c>
      <c r="I587" s="6" t="s">
        <v>384</v>
      </c>
      <c r="J587" s="6" t="s">
        <v>13</v>
      </c>
      <c r="K587" s="6" t="s">
        <v>189</v>
      </c>
      <c r="L587" s="6" t="s">
        <v>11919</v>
      </c>
      <c r="M587" s="6" t="s">
        <v>11928</v>
      </c>
      <c r="N587" s="6"/>
    </row>
    <row r="588" customFormat="false" ht="15" hidden="false" customHeight="false" outlineLevel="0" collapsed="false">
      <c r="A588" s="6" t="s">
        <v>11930</v>
      </c>
      <c r="B588" s="6" t="s">
        <v>191</v>
      </c>
      <c r="C588" s="7" t="n">
        <v>45930</v>
      </c>
      <c r="D588" s="6" t="s">
        <v>380</v>
      </c>
      <c r="E588" s="6" t="s">
        <v>10851</v>
      </c>
      <c r="F588" s="6" t="s">
        <v>11702</v>
      </c>
      <c r="G588" s="6" t="s">
        <v>10845</v>
      </c>
      <c r="H588" s="9" t="n">
        <v>0</v>
      </c>
      <c r="I588" s="6" t="s">
        <v>384</v>
      </c>
      <c r="J588" s="6" t="s">
        <v>13</v>
      </c>
      <c r="K588" s="6" t="s">
        <v>189</v>
      </c>
      <c r="L588" s="6" t="s">
        <v>11931</v>
      </c>
      <c r="M588" s="6" t="s">
        <v>11928</v>
      </c>
      <c r="N588" s="6"/>
    </row>
    <row r="589" customFormat="false" ht="15" hidden="false" customHeight="false" outlineLevel="0" collapsed="false">
      <c r="A589" s="6" t="s">
        <v>11932</v>
      </c>
      <c r="B589" s="6" t="s">
        <v>191</v>
      </c>
      <c r="C589" s="7" t="n">
        <v>45930</v>
      </c>
      <c r="D589" s="6" t="s">
        <v>380</v>
      </c>
      <c r="E589" s="6" t="s">
        <v>10851</v>
      </c>
      <c r="F589" s="6" t="s">
        <v>10872</v>
      </c>
      <c r="G589" s="6" t="s">
        <v>10849</v>
      </c>
      <c r="H589" s="9" t="n">
        <v>26971</v>
      </c>
      <c r="I589" s="6" t="s">
        <v>384</v>
      </c>
      <c r="J589" s="6" t="s">
        <v>13</v>
      </c>
      <c r="K589" s="6" t="s">
        <v>189</v>
      </c>
      <c r="L589" s="6" t="s">
        <v>2253</v>
      </c>
      <c r="M589" s="6" t="s">
        <v>11928</v>
      </c>
      <c r="N589" s="6"/>
    </row>
    <row r="590" customFormat="false" ht="15" hidden="false" customHeight="false" outlineLevel="0" collapsed="false">
      <c r="A590" s="6" t="s">
        <v>11933</v>
      </c>
      <c r="B590" s="6" t="s">
        <v>191</v>
      </c>
      <c r="C590" s="7" t="n">
        <v>45930</v>
      </c>
      <c r="D590" s="6" t="s">
        <v>380</v>
      </c>
      <c r="E590" s="6" t="s">
        <v>11306</v>
      </c>
      <c r="F590" s="6" t="s">
        <v>10165</v>
      </c>
      <c r="G590" s="6" t="s">
        <v>10840</v>
      </c>
      <c r="H590" s="9" t="n">
        <v>-2378</v>
      </c>
      <c r="I590" s="6" t="s">
        <v>384</v>
      </c>
      <c r="J590" s="6" t="s">
        <v>13</v>
      </c>
      <c r="K590" s="6" t="s">
        <v>189</v>
      </c>
      <c r="L590" s="6" t="s">
        <v>11934</v>
      </c>
      <c r="M590" s="6" t="s">
        <v>11935</v>
      </c>
      <c r="N590" s="6"/>
    </row>
    <row r="591" customFormat="false" ht="15" hidden="false" customHeight="false" outlineLevel="0" collapsed="false">
      <c r="A591" s="6" t="s">
        <v>11936</v>
      </c>
      <c r="B591" s="6" t="s">
        <v>191</v>
      </c>
      <c r="C591" s="7" t="n">
        <v>45930</v>
      </c>
      <c r="D591" s="6" t="s">
        <v>380</v>
      </c>
      <c r="E591" s="6" t="s">
        <v>11306</v>
      </c>
      <c r="F591" s="6" t="s">
        <v>2706</v>
      </c>
      <c r="G591" s="6" t="s">
        <v>10845</v>
      </c>
      <c r="H591" s="9" t="n">
        <v>49862</v>
      </c>
      <c r="I591" s="6" t="s">
        <v>384</v>
      </c>
      <c r="J591" s="6" t="s">
        <v>13</v>
      </c>
      <c r="K591" s="6" t="s">
        <v>189</v>
      </c>
      <c r="L591" s="6" t="s">
        <v>2802</v>
      </c>
      <c r="M591" s="6" t="s">
        <v>11935</v>
      </c>
      <c r="N591" s="6"/>
    </row>
    <row r="592" customFormat="false" ht="15" hidden="false" customHeight="false" outlineLevel="0" collapsed="false">
      <c r="A592" s="6" t="s">
        <v>11937</v>
      </c>
      <c r="B592" s="6" t="s">
        <v>191</v>
      </c>
      <c r="C592" s="7" t="n">
        <v>45930</v>
      </c>
      <c r="D592" s="6" t="s">
        <v>380</v>
      </c>
      <c r="E592" s="6" t="s">
        <v>11306</v>
      </c>
      <c r="F592" s="6" t="s">
        <v>11702</v>
      </c>
      <c r="G592" s="6" t="s">
        <v>10845</v>
      </c>
      <c r="H592" s="9" t="n">
        <v>0</v>
      </c>
      <c r="I592" s="6" t="s">
        <v>384</v>
      </c>
      <c r="J592" s="6" t="s">
        <v>13</v>
      </c>
      <c r="K592" s="6" t="s">
        <v>189</v>
      </c>
      <c r="L592" s="6" t="s">
        <v>2940</v>
      </c>
      <c r="M592" s="6" t="s">
        <v>11935</v>
      </c>
      <c r="N592" s="6"/>
    </row>
    <row r="593" customFormat="false" ht="15" hidden="false" customHeight="false" outlineLevel="0" collapsed="false">
      <c r="A593" s="6" t="s">
        <v>11938</v>
      </c>
      <c r="B593" s="6" t="s">
        <v>191</v>
      </c>
      <c r="C593" s="7" t="n">
        <v>45930</v>
      </c>
      <c r="D593" s="6" t="s">
        <v>380</v>
      </c>
      <c r="E593" s="6" t="s">
        <v>11306</v>
      </c>
      <c r="F593" s="6" t="s">
        <v>5717</v>
      </c>
      <c r="G593" s="6" t="s">
        <v>10849</v>
      </c>
      <c r="H593" s="9" t="n">
        <v>47484</v>
      </c>
      <c r="I593" s="6" t="s">
        <v>384</v>
      </c>
      <c r="J593" s="6" t="s">
        <v>13</v>
      </c>
      <c r="K593" s="6" t="s">
        <v>189</v>
      </c>
      <c r="L593" s="6" t="s">
        <v>2368</v>
      </c>
      <c r="M593" s="6" t="s">
        <v>11935</v>
      </c>
      <c r="N593" s="6"/>
    </row>
    <row r="594" customFormat="false" ht="15" hidden="false" customHeight="false" outlineLevel="0" collapsed="false">
      <c r="A594" s="6" t="s">
        <v>11939</v>
      </c>
      <c r="B594" s="6" t="s">
        <v>191</v>
      </c>
      <c r="C594" s="7" t="n">
        <v>45930</v>
      </c>
      <c r="D594" s="6" t="s">
        <v>380</v>
      </c>
      <c r="E594" s="6" t="s">
        <v>11256</v>
      </c>
      <c r="F594" s="6" t="s">
        <v>11501</v>
      </c>
      <c r="G594" s="6" t="s">
        <v>10840</v>
      </c>
      <c r="H594" s="9" t="n">
        <v>13052</v>
      </c>
      <c r="I594" s="6" t="s">
        <v>384</v>
      </c>
      <c r="J594" s="6" t="s">
        <v>13</v>
      </c>
      <c r="K594" s="6" t="s">
        <v>189</v>
      </c>
      <c r="L594" s="6" t="s">
        <v>11940</v>
      </c>
      <c r="M594" s="6" t="s">
        <v>11941</v>
      </c>
      <c r="N594" s="6"/>
    </row>
    <row r="595" customFormat="false" ht="15" hidden="false" customHeight="false" outlineLevel="0" collapsed="false">
      <c r="A595" s="6" t="s">
        <v>11942</v>
      </c>
      <c r="B595" s="6" t="s">
        <v>191</v>
      </c>
      <c r="C595" s="7" t="n">
        <v>45930</v>
      </c>
      <c r="D595" s="6" t="s">
        <v>380</v>
      </c>
      <c r="E595" s="6" t="s">
        <v>11256</v>
      </c>
      <c r="F595" s="6" t="s">
        <v>2706</v>
      </c>
      <c r="G595" s="6" t="s">
        <v>10845</v>
      </c>
      <c r="H595" s="9" t="n">
        <v>49862</v>
      </c>
      <c r="I595" s="6" t="s">
        <v>384</v>
      </c>
      <c r="J595" s="6" t="s">
        <v>13</v>
      </c>
      <c r="K595" s="6" t="s">
        <v>189</v>
      </c>
      <c r="L595" s="6" t="s">
        <v>11943</v>
      </c>
      <c r="M595" s="6" t="s">
        <v>11941</v>
      </c>
      <c r="N595" s="6"/>
    </row>
    <row r="596" customFormat="false" ht="15" hidden="false" customHeight="false" outlineLevel="0" collapsed="false">
      <c r="A596" s="6" t="s">
        <v>11944</v>
      </c>
      <c r="B596" s="6" t="s">
        <v>191</v>
      </c>
      <c r="C596" s="7" t="n">
        <v>45930</v>
      </c>
      <c r="D596" s="6" t="s">
        <v>380</v>
      </c>
      <c r="E596" s="6" t="s">
        <v>11256</v>
      </c>
      <c r="F596" s="6" t="s">
        <v>11702</v>
      </c>
      <c r="G596" s="6" t="s">
        <v>10845</v>
      </c>
      <c r="H596" s="9" t="n">
        <v>0</v>
      </c>
      <c r="I596" s="6" t="s">
        <v>384</v>
      </c>
      <c r="J596" s="6" t="s">
        <v>13</v>
      </c>
      <c r="K596" s="6" t="s">
        <v>189</v>
      </c>
      <c r="L596" s="6" t="s">
        <v>11945</v>
      </c>
      <c r="M596" s="6" t="s">
        <v>11941</v>
      </c>
      <c r="N596" s="6"/>
    </row>
    <row r="597" customFormat="false" ht="15" hidden="false" customHeight="false" outlineLevel="0" collapsed="false">
      <c r="A597" s="6" t="s">
        <v>11946</v>
      </c>
      <c r="B597" s="6" t="s">
        <v>191</v>
      </c>
      <c r="C597" s="7" t="n">
        <v>45930</v>
      </c>
      <c r="D597" s="6" t="s">
        <v>380</v>
      </c>
      <c r="E597" s="6" t="s">
        <v>11256</v>
      </c>
      <c r="F597" s="6" t="s">
        <v>11719</v>
      </c>
      <c r="G597" s="6" t="s">
        <v>10845</v>
      </c>
      <c r="H597" s="9" t="n">
        <v>-1015</v>
      </c>
      <c r="I597" s="6" t="s">
        <v>384</v>
      </c>
      <c r="J597" s="6" t="s">
        <v>13</v>
      </c>
      <c r="K597" s="6" t="s">
        <v>189</v>
      </c>
      <c r="L597" s="6" t="s">
        <v>11947</v>
      </c>
      <c r="M597" s="6" t="s">
        <v>11941</v>
      </c>
      <c r="N597" s="6"/>
    </row>
    <row r="598" customFormat="false" ht="15" hidden="false" customHeight="false" outlineLevel="0" collapsed="false">
      <c r="A598" s="6" t="s">
        <v>11948</v>
      </c>
      <c r="B598" s="6" t="s">
        <v>191</v>
      </c>
      <c r="C598" s="7" t="n">
        <v>45930</v>
      </c>
      <c r="D598" s="6" t="s">
        <v>380</v>
      </c>
      <c r="E598" s="6" t="s">
        <v>11256</v>
      </c>
      <c r="F598" s="6" t="s">
        <v>11632</v>
      </c>
      <c r="G598" s="6" t="s">
        <v>10849</v>
      </c>
      <c r="H598" s="9" t="n">
        <v>61899</v>
      </c>
      <c r="I598" s="6" t="s">
        <v>384</v>
      </c>
      <c r="J598" s="6" t="s">
        <v>13</v>
      </c>
      <c r="K598" s="6" t="s">
        <v>189</v>
      </c>
      <c r="L598" s="6" t="s">
        <v>2576</v>
      </c>
      <c r="M598" s="6" t="s">
        <v>11941</v>
      </c>
      <c r="N598" s="6"/>
    </row>
    <row r="599" customFormat="false" ht="15" hidden="false" customHeight="false" outlineLevel="0" collapsed="false">
      <c r="A599" s="6" t="s">
        <v>11949</v>
      </c>
      <c r="B599" s="6" t="s">
        <v>191</v>
      </c>
      <c r="C599" s="7" t="n">
        <v>45930</v>
      </c>
      <c r="D599" s="6" t="s">
        <v>380</v>
      </c>
      <c r="E599" s="6" t="s">
        <v>10904</v>
      </c>
      <c r="F599" s="6" t="s">
        <v>8429</v>
      </c>
      <c r="G599" s="6" t="s">
        <v>10840</v>
      </c>
      <c r="H599" s="9" t="n">
        <v>95144</v>
      </c>
      <c r="I599" s="6" t="s">
        <v>384</v>
      </c>
      <c r="J599" s="6" t="s">
        <v>13</v>
      </c>
      <c r="K599" s="6" t="s">
        <v>189</v>
      </c>
      <c r="L599" s="6" t="s">
        <v>11950</v>
      </c>
      <c r="M599" s="6" t="s">
        <v>11951</v>
      </c>
      <c r="N599" s="6"/>
    </row>
    <row r="600" customFormat="false" ht="15" hidden="false" customHeight="false" outlineLevel="0" collapsed="false">
      <c r="A600" s="6" t="s">
        <v>11952</v>
      </c>
      <c r="B600" s="6" t="s">
        <v>191</v>
      </c>
      <c r="C600" s="7" t="n">
        <v>45930</v>
      </c>
      <c r="D600" s="6" t="s">
        <v>380</v>
      </c>
      <c r="E600" s="6" t="s">
        <v>10904</v>
      </c>
      <c r="F600" s="6" t="s">
        <v>8520</v>
      </c>
      <c r="G600" s="6" t="s">
        <v>10845</v>
      </c>
      <c r="H600" s="9" t="n">
        <v>-3984</v>
      </c>
      <c r="I600" s="6" t="s">
        <v>384</v>
      </c>
      <c r="J600" s="6" t="s">
        <v>13</v>
      </c>
      <c r="K600" s="6" t="s">
        <v>189</v>
      </c>
      <c r="L600" s="6" t="s">
        <v>3159</v>
      </c>
      <c r="M600" s="6" t="s">
        <v>11951</v>
      </c>
      <c r="N600" s="6"/>
    </row>
    <row r="601" customFormat="false" ht="15" hidden="false" customHeight="false" outlineLevel="0" collapsed="false">
      <c r="A601" s="6" t="s">
        <v>11953</v>
      </c>
      <c r="B601" s="6" t="s">
        <v>191</v>
      </c>
      <c r="C601" s="7" t="n">
        <v>45930</v>
      </c>
      <c r="D601" s="6" t="s">
        <v>380</v>
      </c>
      <c r="E601" s="6" t="s">
        <v>10904</v>
      </c>
      <c r="F601" s="6" t="s">
        <v>8081</v>
      </c>
      <c r="G601" s="6" t="s">
        <v>10845</v>
      </c>
      <c r="H601" s="9" t="n">
        <v>-941</v>
      </c>
      <c r="I601" s="6" t="s">
        <v>384</v>
      </c>
      <c r="J601" s="6" t="s">
        <v>13</v>
      </c>
      <c r="K601" s="6" t="s">
        <v>189</v>
      </c>
      <c r="L601" s="6" t="s">
        <v>3272</v>
      </c>
      <c r="M601" s="6" t="s">
        <v>11951</v>
      </c>
      <c r="N601" s="6"/>
    </row>
    <row r="602" customFormat="false" ht="15" hidden="false" customHeight="false" outlineLevel="0" collapsed="false">
      <c r="A602" s="6" t="s">
        <v>11954</v>
      </c>
      <c r="B602" s="6" t="s">
        <v>191</v>
      </c>
      <c r="C602" s="7" t="n">
        <v>45930</v>
      </c>
      <c r="D602" s="6" t="s">
        <v>380</v>
      </c>
      <c r="E602" s="6" t="s">
        <v>10904</v>
      </c>
      <c r="F602" s="6" t="s">
        <v>11864</v>
      </c>
      <c r="G602" s="6" t="s">
        <v>10845</v>
      </c>
      <c r="H602" s="9" t="n">
        <v>2082</v>
      </c>
      <c r="I602" s="6" t="s">
        <v>384</v>
      </c>
      <c r="J602" s="6" t="s">
        <v>13</v>
      </c>
      <c r="K602" s="6" t="s">
        <v>189</v>
      </c>
      <c r="L602" s="6" t="s">
        <v>3336</v>
      </c>
      <c r="M602" s="6" t="s">
        <v>11951</v>
      </c>
      <c r="N602" s="6"/>
    </row>
    <row r="603" customFormat="false" ht="15" hidden="false" customHeight="false" outlineLevel="0" collapsed="false">
      <c r="A603" s="6" t="s">
        <v>11955</v>
      </c>
      <c r="B603" s="6" t="s">
        <v>191</v>
      </c>
      <c r="C603" s="7" t="n">
        <v>45930</v>
      </c>
      <c r="D603" s="6" t="s">
        <v>380</v>
      </c>
      <c r="E603" s="6" t="s">
        <v>10904</v>
      </c>
      <c r="F603" s="6" t="s">
        <v>4887</v>
      </c>
      <c r="G603" s="6" t="s">
        <v>10849</v>
      </c>
      <c r="H603" s="9" t="n">
        <v>92301</v>
      </c>
      <c r="I603" s="6" t="s">
        <v>384</v>
      </c>
      <c r="J603" s="6" t="s">
        <v>13</v>
      </c>
      <c r="K603" s="6" t="s">
        <v>189</v>
      </c>
      <c r="L603" s="6" t="s">
        <v>3456</v>
      </c>
      <c r="M603" s="6" t="s">
        <v>11951</v>
      </c>
      <c r="N603" s="6"/>
    </row>
    <row r="604" customFormat="false" ht="15" hidden="false" customHeight="false" outlineLevel="0" collapsed="false">
      <c r="A604" s="6" t="s">
        <v>11956</v>
      </c>
      <c r="B604" s="6" t="s">
        <v>196</v>
      </c>
      <c r="C604" s="7" t="n">
        <v>46022</v>
      </c>
      <c r="D604" s="6" t="s">
        <v>380</v>
      </c>
      <c r="E604" s="6" t="s">
        <v>10838</v>
      </c>
      <c r="F604" s="6" t="s">
        <v>10839</v>
      </c>
      <c r="G604" s="6" t="s">
        <v>10840</v>
      </c>
      <c r="H604" s="9" t="n">
        <v>296545</v>
      </c>
      <c r="I604" s="6" t="s">
        <v>384</v>
      </c>
      <c r="J604" s="6" t="s">
        <v>13</v>
      </c>
      <c r="K604" s="6" t="s">
        <v>194</v>
      </c>
      <c r="L604" s="6" t="s">
        <v>11957</v>
      </c>
      <c r="M604" s="6" t="s">
        <v>11958</v>
      </c>
      <c r="N604" s="6"/>
    </row>
    <row r="605" customFormat="false" ht="15" hidden="false" customHeight="false" outlineLevel="0" collapsed="false">
      <c r="A605" s="6" t="s">
        <v>11959</v>
      </c>
      <c r="B605" s="6" t="s">
        <v>196</v>
      </c>
      <c r="C605" s="7" t="n">
        <v>46022</v>
      </c>
      <c r="D605" s="6" t="s">
        <v>380</v>
      </c>
      <c r="E605" s="6" t="s">
        <v>10838</v>
      </c>
      <c r="F605" s="6" t="s">
        <v>2706</v>
      </c>
      <c r="G605" s="6" t="s">
        <v>10845</v>
      </c>
      <c r="H605" s="9" t="n">
        <v>2191</v>
      </c>
      <c r="I605" s="6" t="s">
        <v>384</v>
      </c>
      <c r="J605" s="6" t="s">
        <v>13</v>
      </c>
      <c r="K605" s="6" t="s">
        <v>194</v>
      </c>
      <c r="L605" s="6" t="s">
        <v>11960</v>
      </c>
      <c r="M605" s="6" t="s">
        <v>11958</v>
      </c>
      <c r="N605" s="6"/>
    </row>
    <row r="606" customFormat="false" ht="15" hidden="false" customHeight="false" outlineLevel="0" collapsed="false">
      <c r="A606" s="6" t="s">
        <v>11961</v>
      </c>
      <c r="B606" s="6" t="s">
        <v>196</v>
      </c>
      <c r="C606" s="7" t="n">
        <v>46022</v>
      </c>
      <c r="D606" s="6" t="s">
        <v>380</v>
      </c>
      <c r="E606" s="6" t="s">
        <v>10838</v>
      </c>
      <c r="F606" s="6" t="s">
        <v>10848</v>
      </c>
      <c r="G606" s="6" t="s">
        <v>10849</v>
      </c>
      <c r="H606" s="9" t="n">
        <v>298736</v>
      </c>
      <c r="I606" s="6" t="s">
        <v>384</v>
      </c>
      <c r="J606" s="6" t="s">
        <v>13</v>
      </c>
      <c r="K606" s="6" t="s">
        <v>194</v>
      </c>
      <c r="L606" s="6" t="s">
        <v>1836</v>
      </c>
      <c r="M606" s="6" t="s">
        <v>11958</v>
      </c>
      <c r="N606" s="6"/>
    </row>
    <row r="607" customFormat="false" ht="15" hidden="false" customHeight="false" outlineLevel="0" collapsed="false">
      <c r="A607" s="6" t="s">
        <v>11962</v>
      </c>
      <c r="B607" s="6" t="s">
        <v>196</v>
      </c>
      <c r="C607" s="7" t="n">
        <v>46022</v>
      </c>
      <c r="D607" s="6" t="s">
        <v>380</v>
      </c>
      <c r="E607" s="6" t="s">
        <v>10851</v>
      </c>
      <c r="F607" s="6" t="s">
        <v>10852</v>
      </c>
      <c r="G607" s="6" t="s">
        <v>10840</v>
      </c>
      <c r="H607" s="9" t="n">
        <v>84922</v>
      </c>
      <c r="I607" s="6" t="s">
        <v>384</v>
      </c>
      <c r="J607" s="6" t="s">
        <v>13</v>
      </c>
      <c r="K607" s="6" t="s">
        <v>194</v>
      </c>
      <c r="L607" s="6" t="s">
        <v>11963</v>
      </c>
      <c r="M607" s="6" t="s">
        <v>11964</v>
      </c>
      <c r="N607" s="6"/>
    </row>
    <row r="608" customFormat="false" ht="15" hidden="false" customHeight="false" outlineLevel="0" collapsed="false">
      <c r="A608" s="6" t="s">
        <v>11965</v>
      </c>
      <c r="B608" s="6" t="s">
        <v>196</v>
      </c>
      <c r="C608" s="7" t="n">
        <v>46022</v>
      </c>
      <c r="D608" s="6" t="s">
        <v>380</v>
      </c>
      <c r="E608" s="6" t="s">
        <v>10851</v>
      </c>
      <c r="F608" s="6" t="s">
        <v>2706</v>
      </c>
      <c r="G608" s="6" t="s">
        <v>10845</v>
      </c>
      <c r="H608" s="9" t="n">
        <v>-17222</v>
      </c>
      <c r="I608" s="6" t="s">
        <v>384</v>
      </c>
      <c r="J608" s="6" t="s">
        <v>13</v>
      </c>
      <c r="K608" s="6" t="s">
        <v>194</v>
      </c>
      <c r="L608" s="6" t="s">
        <v>11966</v>
      </c>
      <c r="M608" s="6" t="s">
        <v>11964</v>
      </c>
      <c r="N608" s="6"/>
    </row>
    <row r="609" customFormat="false" ht="15" hidden="false" customHeight="false" outlineLevel="0" collapsed="false">
      <c r="A609" s="6" t="s">
        <v>11967</v>
      </c>
      <c r="B609" s="6" t="s">
        <v>196</v>
      </c>
      <c r="C609" s="7" t="n">
        <v>46022</v>
      </c>
      <c r="D609" s="6" t="s">
        <v>380</v>
      </c>
      <c r="E609" s="6" t="s">
        <v>10851</v>
      </c>
      <c r="F609" s="6" t="s">
        <v>10858</v>
      </c>
      <c r="G609" s="6" t="s">
        <v>10849</v>
      </c>
      <c r="H609" s="9" t="n">
        <v>67700</v>
      </c>
      <c r="I609" s="6" t="s">
        <v>384</v>
      </c>
      <c r="J609" s="6" t="s">
        <v>13</v>
      </c>
      <c r="K609" s="6" t="s">
        <v>194</v>
      </c>
      <c r="L609" s="6" t="s">
        <v>2029</v>
      </c>
      <c r="M609" s="6" t="s">
        <v>11964</v>
      </c>
      <c r="N609" s="6"/>
    </row>
    <row r="610" customFormat="false" ht="15" hidden="false" customHeight="false" outlineLevel="0" collapsed="false">
      <c r="A610" s="6" t="s">
        <v>11968</v>
      </c>
      <c r="B610" s="6" t="s">
        <v>196</v>
      </c>
      <c r="C610" s="7" t="n">
        <v>46022</v>
      </c>
      <c r="D610" s="6" t="s">
        <v>380</v>
      </c>
      <c r="E610" s="6" t="s">
        <v>10851</v>
      </c>
      <c r="F610" s="6" t="s">
        <v>10860</v>
      </c>
      <c r="G610" s="6" t="s">
        <v>10840</v>
      </c>
      <c r="H610" s="9" t="n">
        <v>170733</v>
      </c>
      <c r="I610" s="6" t="s">
        <v>384</v>
      </c>
      <c r="J610" s="6" t="s">
        <v>13</v>
      </c>
      <c r="K610" s="6" t="s">
        <v>194</v>
      </c>
      <c r="L610" s="6" t="s">
        <v>11969</v>
      </c>
      <c r="M610" s="6" t="s">
        <v>11970</v>
      </c>
      <c r="N610" s="6"/>
    </row>
    <row r="611" customFormat="false" ht="15" hidden="false" customHeight="false" outlineLevel="0" collapsed="false">
      <c r="A611" s="6" t="s">
        <v>11971</v>
      </c>
      <c r="B611" s="6" t="s">
        <v>196</v>
      </c>
      <c r="C611" s="7" t="n">
        <v>46022</v>
      </c>
      <c r="D611" s="6" t="s">
        <v>380</v>
      </c>
      <c r="E611" s="6" t="s">
        <v>10851</v>
      </c>
      <c r="F611" s="6" t="s">
        <v>2706</v>
      </c>
      <c r="G611" s="6" t="s">
        <v>10845</v>
      </c>
      <c r="H611" s="9" t="n">
        <v>-10875</v>
      </c>
      <c r="I611" s="6" t="s">
        <v>384</v>
      </c>
      <c r="J611" s="6" t="s">
        <v>13</v>
      </c>
      <c r="K611" s="6" t="s">
        <v>194</v>
      </c>
      <c r="L611" s="6" t="s">
        <v>11966</v>
      </c>
      <c r="M611" s="6" t="s">
        <v>11970</v>
      </c>
      <c r="N611" s="6"/>
    </row>
    <row r="612" customFormat="false" ht="15" hidden="false" customHeight="false" outlineLevel="0" collapsed="false">
      <c r="A612" s="6" t="s">
        <v>11972</v>
      </c>
      <c r="B612" s="6" t="s">
        <v>196</v>
      </c>
      <c r="C612" s="7" t="n">
        <v>46022</v>
      </c>
      <c r="D612" s="6" t="s">
        <v>380</v>
      </c>
      <c r="E612" s="6" t="s">
        <v>10851</v>
      </c>
      <c r="F612" s="6" t="s">
        <v>10865</v>
      </c>
      <c r="G612" s="6" t="s">
        <v>10849</v>
      </c>
      <c r="H612" s="9" t="n">
        <v>159858</v>
      </c>
      <c r="I612" s="6" t="s">
        <v>384</v>
      </c>
      <c r="J612" s="6" t="s">
        <v>13</v>
      </c>
      <c r="K612" s="6" t="s">
        <v>194</v>
      </c>
      <c r="L612" s="6" t="s">
        <v>2144</v>
      </c>
      <c r="M612" s="6" t="s">
        <v>11970</v>
      </c>
      <c r="N612" s="6"/>
    </row>
    <row r="613" customFormat="false" ht="15" hidden="false" customHeight="false" outlineLevel="0" collapsed="false">
      <c r="A613" s="6" t="s">
        <v>11973</v>
      </c>
      <c r="B613" s="6" t="s">
        <v>196</v>
      </c>
      <c r="C613" s="7" t="n">
        <v>46022</v>
      </c>
      <c r="D613" s="6" t="s">
        <v>380</v>
      </c>
      <c r="E613" s="6" t="s">
        <v>10851</v>
      </c>
      <c r="F613" s="6" t="s">
        <v>10867</v>
      </c>
      <c r="G613" s="6" t="s">
        <v>10840</v>
      </c>
      <c r="H613" s="9" t="n">
        <v>38505</v>
      </c>
      <c r="I613" s="6" t="s">
        <v>384</v>
      </c>
      <c r="J613" s="6" t="s">
        <v>13</v>
      </c>
      <c r="K613" s="6" t="s">
        <v>194</v>
      </c>
      <c r="L613" s="6" t="s">
        <v>11974</v>
      </c>
      <c r="M613" s="6" t="s">
        <v>11975</v>
      </c>
      <c r="N613" s="6"/>
    </row>
    <row r="614" customFormat="false" ht="15" hidden="false" customHeight="false" outlineLevel="0" collapsed="false">
      <c r="A614" s="6" t="s">
        <v>11976</v>
      </c>
      <c r="B614" s="6" t="s">
        <v>196</v>
      </c>
      <c r="C614" s="7" t="n">
        <v>46022</v>
      </c>
      <c r="D614" s="6" t="s">
        <v>380</v>
      </c>
      <c r="E614" s="6" t="s">
        <v>10851</v>
      </c>
      <c r="F614" s="6" t="s">
        <v>2706</v>
      </c>
      <c r="G614" s="6" t="s">
        <v>10845</v>
      </c>
      <c r="H614" s="9" t="n">
        <v>-9258</v>
      </c>
      <c r="I614" s="6" t="s">
        <v>384</v>
      </c>
      <c r="J614" s="6" t="s">
        <v>13</v>
      </c>
      <c r="K614" s="6" t="s">
        <v>194</v>
      </c>
      <c r="L614" s="6" t="s">
        <v>11966</v>
      </c>
      <c r="M614" s="6" t="s">
        <v>11975</v>
      </c>
      <c r="N614" s="6"/>
    </row>
    <row r="615" customFormat="false" ht="15" hidden="false" customHeight="false" outlineLevel="0" collapsed="false">
      <c r="A615" s="6" t="s">
        <v>11977</v>
      </c>
      <c r="B615" s="6" t="s">
        <v>196</v>
      </c>
      <c r="C615" s="7" t="n">
        <v>46022</v>
      </c>
      <c r="D615" s="6" t="s">
        <v>380</v>
      </c>
      <c r="E615" s="6" t="s">
        <v>10851</v>
      </c>
      <c r="F615" s="6" t="s">
        <v>11702</v>
      </c>
      <c r="G615" s="6" t="s">
        <v>10845</v>
      </c>
      <c r="H615" s="9" t="n">
        <v>0</v>
      </c>
      <c r="I615" s="6" t="s">
        <v>384</v>
      </c>
      <c r="J615" s="6" t="s">
        <v>13</v>
      </c>
      <c r="K615" s="6" t="s">
        <v>194</v>
      </c>
      <c r="L615" s="6" t="s">
        <v>11978</v>
      </c>
      <c r="M615" s="6" t="s">
        <v>11975</v>
      </c>
      <c r="N615" s="6"/>
    </row>
    <row r="616" customFormat="false" ht="15" hidden="false" customHeight="false" outlineLevel="0" collapsed="false">
      <c r="A616" s="6" t="s">
        <v>11979</v>
      </c>
      <c r="B616" s="6" t="s">
        <v>196</v>
      </c>
      <c r="C616" s="7" t="n">
        <v>46022</v>
      </c>
      <c r="D616" s="6" t="s">
        <v>380</v>
      </c>
      <c r="E616" s="6" t="s">
        <v>10851</v>
      </c>
      <c r="F616" s="6" t="s">
        <v>10872</v>
      </c>
      <c r="G616" s="6" t="s">
        <v>10849</v>
      </c>
      <c r="H616" s="9" t="n">
        <v>29247</v>
      </c>
      <c r="I616" s="6" t="s">
        <v>384</v>
      </c>
      <c r="J616" s="6" t="s">
        <v>13</v>
      </c>
      <c r="K616" s="6" t="s">
        <v>194</v>
      </c>
      <c r="L616" s="6" t="s">
        <v>2259</v>
      </c>
      <c r="M616" s="6" t="s">
        <v>11975</v>
      </c>
      <c r="N616" s="6"/>
    </row>
    <row r="617" customFormat="false" ht="15" hidden="false" customHeight="false" outlineLevel="0" collapsed="false">
      <c r="A617" s="6" t="s">
        <v>11980</v>
      </c>
      <c r="B617" s="6" t="s">
        <v>196</v>
      </c>
      <c r="C617" s="7" t="n">
        <v>46022</v>
      </c>
      <c r="D617" s="6" t="s">
        <v>380</v>
      </c>
      <c r="E617" s="6" t="s">
        <v>11306</v>
      </c>
      <c r="F617" s="6" t="s">
        <v>10162</v>
      </c>
      <c r="G617" s="6" t="s">
        <v>10840</v>
      </c>
      <c r="H617" s="9" t="n">
        <v>2385</v>
      </c>
      <c r="I617" s="6" t="s">
        <v>384</v>
      </c>
      <c r="J617" s="6" t="s">
        <v>13</v>
      </c>
      <c r="K617" s="6" t="s">
        <v>194</v>
      </c>
      <c r="L617" s="6" t="s">
        <v>11981</v>
      </c>
      <c r="M617" s="6" t="s">
        <v>11982</v>
      </c>
      <c r="N617" s="6"/>
    </row>
    <row r="618" customFormat="false" ht="15" hidden="false" customHeight="false" outlineLevel="0" collapsed="false">
      <c r="A618" s="6" t="s">
        <v>11983</v>
      </c>
      <c r="B618" s="6" t="s">
        <v>196</v>
      </c>
      <c r="C618" s="7" t="n">
        <v>46022</v>
      </c>
      <c r="D618" s="6" t="s">
        <v>380</v>
      </c>
      <c r="E618" s="6" t="s">
        <v>11306</v>
      </c>
      <c r="F618" s="6" t="s">
        <v>2706</v>
      </c>
      <c r="G618" s="6" t="s">
        <v>10845</v>
      </c>
      <c r="H618" s="9" t="n">
        <v>39546</v>
      </c>
      <c r="I618" s="6" t="s">
        <v>384</v>
      </c>
      <c r="J618" s="6" t="s">
        <v>13</v>
      </c>
      <c r="K618" s="6" t="s">
        <v>194</v>
      </c>
      <c r="L618" s="6" t="s">
        <v>2808</v>
      </c>
      <c r="M618" s="6" t="s">
        <v>11982</v>
      </c>
      <c r="N618" s="6"/>
    </row>
    <row r="619" customFormat="false" ht="15" hidden="false" customHeight="false" outlineLevel="0" collapsed="false">
      <c r="A619" s="6" t="s">
        <v>11984</v>
      </c>
      <c r="B619" s="6" t="s">
        <v>196</v>
      </c>
      <c r="C619" s="7" t="n">
        <v>46022</v>
      </c>
      <c r="D619" s="6" t="s">
        <v>380</v>
      </c>
      <c r="E619" s="6" t="s">
        <v>11306</v>
      </c>
      <c r="F619" s="6" t="s">
        <v>11702</v>
      </c>
      <c r="G619" s="6" t="s">
        <v>10845</v>
      </c>
      <c r="H619" s="9" t="n">
        <v>0</v>
      </c>
      <c r="I619" s="6" t="s">
        <v>384</v>
      </c>
      <c r="J619" s="6" t="s">
        <v>13</v>
      </c>
      <c r="K619" s="6" t="s">
        <v>194</v>
      </c>
      <c r="L619" s="6" t="s">
        <v>2944</v>
      </c>
      <c r="M619" s="6" t="s">
        <v>11982</v>
      </c>
      <c r="N619" s="6"/>
    </row>
    <row r="620" customFormat="false" ht="15" hidden="false" customHeight="false" outlineLevel="0" collapsed="false">
      <c r="A620" s="6" t="s">
        <v>11985</v>
      </c>
      <c r="B620" s="6" t="s">
        <v>196</v>
      </c>
      <c r="C620" s="7" t="n">
        <v>46022</v>
      </c>
      <c r="D620" s="6" t="s">
        <v>380</v>
      </c>
      <c r="E620" s="6" t="s">
        <v>11306</v>
      </c>
      <c r="F620" s="6" t="s">
        <v>5717</v>
      </c>
      <c r="G620" s="6" t="s">
        <v>10849</v>
      </c>
      <c r="H620" s="9" t="n">
        <v>41931</v>
      </c>
      <c r="I620" s="6" t="s">
        <v>384</v>
      </c>
      <c r="J620" s="6" t="s">
        <v>13</v>
      </c>
      <c r="K620" s="6" t="s">
        <v>194</v>
      </c>
      <c r="L620" s="6" t="s">
        <v>2374</v>
      </c>
      <c r="M620" s="6" t="s">
        <v>11982</v>
      </c>
      <c r="N620" s="6"/>
    </row>
    <row r="621" customFormat="false" ht="15" hidden="false" customHeight="false" outlineLevel="0" collapsed="false">
      <c r="A621" s="6" t="s">
        <v>11986</v>
      </c>
      <c r="B621" s="6" t="s">
        <v>196</v>
      </c>
      <c r="C621" s="7" t="n">
        <v>46022</v>
      </c>
      <c r="D621" s="6" t="s">
        <v>380</v>
      </c>
      <c r="E621" s="6" t="s">
        <v>11849</v>
      </c>
      <c r="F621" s="6" t="s">
        <v>11850</v>
      </c>
      <c r="G621" s="6" t="s">
        <v>10840</v>
      </c>
      <c r="H621" s="9" t="n">
        <v>76692</v>
      </c>
      <c r="I621" s="6" t="s">
        <v>384</v>
      </c>
      <c r="J621" s="6" t="s">
        <v>13</v>
      </c>
      <c r="K621" s="6" t="s">
        <v>194</v>
      </c>
      <c r="L621" s="6" t="s">
        <v>11987</v>
      </c>
      <c r="M621" s="6" t="s">
        <v>11988</v>
      </c>
      <c r="N621" s="6"/>
    </row>
    <row r="622" customFormat="false" ht="15" hidden="false" customHeight="false" outlineLevel="0" collapsed="false">
      <c r="A622" s="6" t="s">
        <v>11989</v>
      </c>
      <c r="B622" s="6" t="s">
        <v>196</v>
      </c>
      <c r="C622" s="7" t="n">
        <v>46022</v>
      </c>
      <c r="D622" s="6" t="s">
        <v>380</v>
      </c>
      <c r="E622" s="6" t="s">
        <v>11849</v>
      </c>
      <c r="F622" s="6" t="s">
        <v>2706</v>
      </c>
      <c r="G622" s="6" t="s">
        <v>10845</v>
      </c>
      <c r="H622" s="9" t="n">
        <v>39546</v>
      </c>
      <c r="I622" s="6" t="s">
        <v>384</v>
      </c>
      <c r="J622" s="6" t="s">
        <v>13</v>
      </c>
      <c r="K622" s="6" t="s">
        <v>194</v>
      </c>
      <c r="L622" s="6" t="s">
        <v>11990</v>
      </c>
      <c r="M622" s="6" t="s">
        <v>11988</v>
      </c>
      <c r="N622" s="6"/>
    </row>
    <row r="623" customFormat="false" ht="15" hidden="false" customHeight="false" outlineLevel="0" collapsed="false">
      <c r="A623" s="6" t="s">
        <v>11991</v>
      </c>
      <c r="B623" s="6" t="s">
        <v>196</v>
      </c>
      <c r="C623" s="7" t="n">
        <v>46022</v>
      </c>
      <c r="D623" s="6" t="s">
        <v>380</v>
      </c>
      <c r="E623" s="6" t="s">
        <v>11849</v>
      </c>
      <c r="F623" s="6" t="s">
        <v>11702</v>
      </c>
      <c r="G623" s="6" t="s">
        <v>10845</v>
      </c>
      <c r="H623" s="9" t="n">
        <v>0</v>
      </c>
      <c r="I623" s="6" t="s">
        <v>384</v>
      </c>
      <c r="J623" s="6" t="s">
        <v>13</v>
      </c>
      <c r="K623" s="6" t="s">
        <v>194</v>
      </c>
      <c r="L623" s="6" t="s">
        <v>11992</v>
      </c>
      <c r="M623" s="6" t="s">
        <v>11988</v>
      </c>
      <c r="N623" s="6"/>
    </row>
    <row r="624" customFormat="false" ht="15" hidden="false" customHeight="false" outlineLevel="0" collapsed="false">
      <c r="A624" s="6" t="s">
        <v>11993</v>
      </c>
      <c r="B624" s="6" t="s">
        <v>196</v>
      </c>
      <c r="C624" s="7" t="n">
        <v>46022</v>
      </c>
      <c r="D624" s="6" t="s">
        <v>380</v>
      </c>
      <c r="E624" s="6" t="s">
        <v>11849</v>
      </c>
      <c r="F624" s="6" t="s">
        <v>11994</v>
      </c>
      <c r="G624" s="6" t="s">
        <v>10845</v>
      </c>
      <c r="H624" s="9" t="n">
        <v>-61150</v>
      </c>
      <c r="I624" s="6" t="s">
        <v>384</v>
      </c>
      <c r="J624" s="6" t="s">
        <v>13</v>
      </c>
      <c r="K624" s="6" t="s">
        <v>194</v>
      </c>
      <c r="L624" s="6" t="s">
        <v>11995</v>
      </c>
      <c r="M624" s="6" t="s">
        <v>11988</v>
      </c>
      <c r="N624" s="6"/>
    </row>
    <row r="625" customFormat="false" ht="15" hidden="false" customHeight="false" outlineLevel="0" collapsed="false">
      <c r="A625" s="6" t="s">
        <v>11996</v>
      </c>
      <c r="B625" s="6" t="s">
        <v>196</v>
      </c>
      <c r="C625" s="7" t="n">
        <v>46022</v>
      </c>
      <c r="D625" s="6" t="s">
        <v>380</v>
      </c>
      <c r="E625" s="6" t="s">
        <v>11849</v>
      </c>
      <c r="F625" s="6" t="s">
        <v>11997</v>
      </c>
      <c r="G625" s="6" t="s">
        <v>10845</v>
      </c>
      <c r="H625" s="9" t="n">
        <v>-80</v>
      </c>
      <c r="I625" s="6" t="s">
        <v>384</v>
      </c>
      <c r="J625" s="6" t="s">
        <v>13</v>
      </c>
      <c r="K625" s="6" t="s">
        <v>194</v>
      </c>
      <c r="L625" s="6" t="s">
        <v>11998</v>
      </c>
      <c r="M625" s="6" t="s">
        <v>11988</v>
      </c>
      <c r="N625" s="6"/>
    </row>
    <row r="626" customFormat="false" ht="15" hidden="false" customHeight="false" outlineLevel="0" collapsed="false">
      <c r="A626" s="6" t="s">
        <v>11999</v>
      </c>
      <c r="B626" s="6" t="s">
        <v>196</v>
      </c>
      <c r="C626" s="7" t="n">
        <v>46022</v>
      </c>
      <c r="D626" s="6" t="s">
        <v>380</v>
      </c>
      <c r="E626" s="6" t="s">
        <v>11849</v>
      </c>
      <c r="F626" s="6" t="s">
        <v>11632</v>
      </c>
      <c r="G626" s="6" t="s">
        <v>10849</v>
      </c>
      <c r="H626" s="9" t="n">
        <v>55008</v>
      </c>
      <c r="I626" s="6" t="s">
        <v>384</v>
      </c>
      <c r="J626" s="6" t="s">
        <v>13</v>
      </c>
      <c r="K626" s="6" t="s">
        <v>194</v>
      </c>
      <c r="L626" s="6" t="s">
        <v>2582</v>
      </c>
      <c r="M626" s="6" t="s">
        <v>11988</v>
      </c>
      <c r="N626" s="6"/>
    </row>
    <row r="627" customFormat="false" ht="15" hidden="false" customHeight="false" outlineLevel="0" collapsed="false">
      <c r="A627" s="6" t="s">
        <v>12000</v>
      </c>
      <c r="B627" s="6" t="s">
        <v>196</v>
      </c>
      <c r="C627" s="7" t="n">
        <v>46022</v>
      </c>
      <c r="D627" s="6" t="s">
        <v>380</v>
      </c>
      <c r="E627" s="6" t="s">
        <v>10904</v>
      </c>
      <c r="F627" s="6" t="s">
        <v>8429</v>
      </c>
      <c r="G627" s="6" t="s">
        <v>10840</v>
      </c>
      <c r="H627" s="9" t="n">
        <v>59693</v>
      </c>
      <c r="I627" s="6" t="s">
        <v>384</v>
      </c>
      <c r="J627" s="6" t="s">
        <v>13</v>
      </c>
      <c r="K627" s="6" t="s">
        <v>194</v>
      </c>
      <c r="L627" s="6" t="s">
        <v>12001</v>
      </c>
      <c r="M627" s="6" t="s">
        <v>12002</v>
      </c>
      <c r="N627" s="6"/>
    </row>
    <row r="628" customFormat="false" ht="15" hidden="false" customHeight="false" outlineLevel="0" collapsed="false">
      <c r="A628" s="6" t="s">
        <v>12003</v>
      </c>
      <c r="B628" s="6" t="s">
        <v>196</v>
      </c>
      <c r="C628" s="7" t="n">
        <v>46022</v>
      </c>
      <c r="D628" s="6" t="s">
        <v>380</v>
      </c>
      <c r="E628" s="6" t="s">
        <v>10904</v>
      </c>
      <c r="F628" s="6" t="s">
        <v>8520</v>
      </c>
      <c r="G628" s="6" t="s">
        <v>10845</v>
      </c>
      <c r="H628" s="9" t="n">
        <v>-6807</v>
      </c>
      <c r="I628" s="6" t="s">
        <v>384</v>
      </c>
      <c r="J628" s="6" t="s">
        <v>13</v>
      </c>
      <c r="K628" s="6" t="s">
        <v>194</v>
      </c>
      <c r="L628" s="6" t="s">
        <v>3165</v>
      </c>
      <c r="M628" s="6" t="s">
        <v>12002</v>
      </c>
      <c r="N628" s="6"/>
    </row>
    <row r="629" customFormat="false" ht="15" hidden="false" customHeight="false" outlineLevel="0" collapsed="false">
      <c r="A629" s="6" t="s">
        <v>12004</v>
      </c>
      <c r="B629" s="6" t="s">
        <v>196</v>
      </c>
      <c r="C629" s="7" t="n">
        <v>46022</v>
      </c>
      <c r="D629" s="6" t="s">
        <v>380</v>
      </c>
      <c r="E629" s="6" t="s">
        <v>10904</v>
      </c>
      <c r="F629" s="6" t="s">
        <v>8081</v>
      </c>
      <c r="G629" s="6" t="s">
        <v>10845</v>
      </c>
      <c r="H629" s="9" t="n">
        <v>-736</v>
      </c>
      <c r="I629" s="6" t="s">
        <v>384</v>
      </c>
      <c r="J629" s="6" t="s">
        <v>13</v>
      </c>
      <c r="K629" s="6" t="s">
        <v>194</v>
      </c>
      <c r="L629" s="6" t="s">
        <v>3278</v>
      </c>
      <c r="M629" s="6" t="s">
        <v>12002</v>
      </c>
      <c r="N629" s="6"/>
    </row>
    <row r="630" customFormat="false" ht="15" hidden="false" customHeight="false" outlineLevel="0" collapsed="false">
      <c r="A630" s="6" t="s">
        <v>12005</v>
      </c>
      <c r="B630" s="6" t="s">
        <v>196</v>
      </c>
      <c r="C630" s="7" t="n">
        <v>46022</v>
      </c>
      <c r="D630" s="6" t="s">
        <v>380</v>
      </c>
      <c r="E630" s="6" t="s">
        <v>10904</v>
      </c>
      <c r="F630" s="6" t="s">
        <v>11864</v>
      </c>
      <c r="G630" s="6" t="s">
        <v>10845</v>
      </c>
      <c r="H630" s="9" t="n">
        <v>4584</v>
      </c>
      <c r="I630" s="6" t="s">
        <v>384</v>
      </c>
      <c r="J630" s="6" t="s">
        <v>13</v>
      </c>
      <c r="K630" s="6" t="s">
        <v>194</v>
      </c>
      <c r="L630" s="6" t="s">
        <v>3342</v>
      </c>
      <c r="M630" s="6" t="s">
        <v>12002</v>
      </c>
      <c r="N630" s="6"/>
    </row>
    <row r="631" customFormat="false" ht="15" hidden="false" customHeight="false" outlineLevel="0" collapsed="false">
      <c r="A631" s="6" t="s">
        <v>12006</v>
      </c>
      <c r="B631" s="6" t="s">
        <v>196</v>
      </c>
      <c r="C631" s="7" t="n">
        <v>46022</v>
      </c>
      <c r="D631" s="6" t="s">
        <v>380</v>
      </c>
      <c r="E631" s="6" t="s">
        <v>10904</v>
      </c>
      <c r="F631" s="6" t="s">
        <v>4887</v>
      </c>
      <c r="G631" s="6" t="s">
        <v>10849</v>
      </c>
      <c r="H631" s="9" t="n">
        <v>56734</v>
      </c>
      <c r="I631" s="6" t="s">
        <v>384</v>
      </c>
      <c r="J631" s="6" t="s">
        <v>13</v>
      </c>
      <c r="K631" s="6" t="s">
        <v>194</v>
      </c>
      <c r="L631" s="6" t="s">
        <v>3462</v>
      </c>
      <c r="M631" s="6" t="s">
        <v>12002</v>
      </c>
      <c r="N631" s="6"/>
    </row>
    <row r="632" customFormat="false" ht="15" hidden="false" customHeight="false" outlineLevel="0" collapsed="false">
      <c r="A632" s="6" t="s">
        <v>12007</v>
      </c>
      <c r="B632" s="6" t="s">
        <v>235</v>
      </c>
      <c r="C632" s="7" t="n">
        <v>46022</v>
      </c>
      <c r="D632" s="6" t="s">
        <v>407</v>
      </c>
      <c r="E632" s="6" t="s">
        <v>10838</v>
      </c>
      <c r="F632" s="6" t="s">
        <v>10839</v>
      </c>
      <c r="G632" s="6" t="s">
        <v>10840</v>
      </c>
      <c r="H632" s="9" t="n">
        <v>1098898</v>
      </c>
      <c r="I632" s="6" t="s">
        <v>384</v>
      </c>
      <c r="J632" s="6" t="s">
        <v>13</v>
      </c>
      <c r="K632" s="6" t="s">
        <v>194</v>
      </c>
      <c r="L632" s="6" t="s">
        <v>12008</v>
      </c>
      <c r="M632" s="6" t="s">
        <v>12009</v>
      </c>
      <c r="N632" s="6"/>
    </row>
    <row r="633" customFormat="false" ht="15" hidden="false" customHeight="false" outlineLevel="0" collapsed="false">
      <c r="A633" s="6" t="s">
        <v>12010</v>
      </c>
      <c r="B633" s="6" t="s">
        <v>235</v>
      </c>
      <c r="C633" s="7" t="n">
        <v>46022</v>
      </c>
      <c r="D633" s="6" t="s">
        <v>407</v>
      </c>
      <c r="E633" s="6" t="s">
        <v>10838</v>
      </c>
      <c r="F633" s="6" t="s">
        <v>2706</v>
      </c>
      <c r="G633" s="6" t="s">
        <v>10845</v>
      </c>
      <c r="H633" s="9" t="n">
        <v>8561</v>
      </c>
      <c r="I633" s="6" t="s">
        <v>384</v>
      </c>
      <c r="J633" s="6" t="s">
        <v>13</v>
      </c>
      <c r="K633" s="6" t="s">
        <v>194</v>
      </c>
      <c r="L633" s="6" t="s">
        <v>12011</v>
      </c>
      <c r="M633" s="6" t="s">
        <v>12009</v>
      </c>
      <c r="N633" s="6"/>
    </row>
    <row r="634" customFormat="false" ht="15" hidden="false" customHeight="false" outlineLevel="0" collapsed="false">
      <c r="A634" s="6" t="s">
        <v>12012</v>
      </c>
      <c r="B634" s="6" t="s">
        <v>235</v>
      </c>
      <c r="C634" s="7" t="n">
        <v>46022</v>
      </c>
      <c r="D634" s="6" t="s">
        <v>407</v>
      </c>
      <c r="E634" s="6" t="s">
        <v>10838</v>
      </c>
      <c r="F634" s="6" t="s">
        <v>10848</v>
      </c>
      <c r="G634" s="6" t="s">
        <v>10849</v>
      </c>
      <c r="H634" s="9" t="n">
        <v>1107459</v>
      </c>
      <c r="I634" s="6" t="s">
        <v>384</v>
      </c>
      <c r="J634" s="6" t="s">
        <v>13</v>
      </c>
      <c r="K634" s="6" t="s">
        <v>194</v>
      </c>
      <c r="L634" s="6" t="s">
        <v>1839</v>
      </c>
      <c r="M634" s="6" t="s">
        <v>12009</v>
      </c>
      <c r="N634" s="6"/>
    </row>
    <row r="635" customFormat="false" ht="15" hidden="false" customHeight="false" outlineLevel="0" collapsed="false">
      <c r="A635" s="6" t="s">
        <v>12013</v>
      </c>
      <c r="B635" s="6" t="s">
        <v>235</v>
      </c>
      <c r="C635" s="7" t="n">
        <v>46022</v>
      </c>
      <c r="D635" s="6" t="s">
        <v>407</v>
      </c>
      <c r="E635" s="6" t="s">
        <v>10851</v>
      </c>
      <c r="F635" s="6" t="s">
        <v>10852</v>
      </c>
      <c r="G635" s="6" t="s">
        <v>10840</v>
      </c>
      <c r="H635" s="9" t="n">
        <v>320799</v>
      </c>
      <c r="I635" s="6" t="s">
        <v>384</v>
      </c>
      <c r="J635" s="6" t="s">
        <v>13</v>
      </c>
      <c r="K635" s="6" t="s">
        <v>194</v>
      </c>
      <c r="L635" s="6" t="s">
        <v>12014</v>
      </c>
      <c r="M635" s="6" t="s">
        <v>12015</v>
      </c>
      <c r="N635" s="6"/>
    </row>
    <row r="636" customFormat="false" ht="15" hidden="false" customHeight="false" outlineLevel="0" collapsed="false">
      <c r="A636" s="6" t="s">
        <v>12016</v>
      </c>
      <c r="B636" s="6" t="s">
        <v>235</v>
      </c>
      <c r="C636" s="7" t="n">
        <v>46022</v>
      </c>
      <c r="D636" s="6" t="s">
        <v>407</v>
      </c>
      <c r="E636" s="6" t="s">
        <v>10851</v>
      </c>
      <c r="F636" s="6" t="s">
        <v>2706</v>
      </c>
      <c r="G636" s="6" t="s">
        <v>10845</v>
      </c>
      <c r="H636" s="9" t="n">
        <v>-82250</v>
      </c>
      <c r="I636" s="6" t="s">
        <v>384</v>
      </c>
      <c r="J636" s="6" t="s">
        <v>13</v>
      </c>
      <c r="K636" s="6" t="s">
        <v>194</v>
      </c>
      <c r="L636" s="6" t="s">
        <v>12017</v>
      </c>
      <c r="M636" s="6" t="s">
        <v>12015</v>
      </c>
      <c r="N636" s="6"/>
    </row>
    <row r="637" customFormat="false" ht="15" hidden="false" customHeight="false" outlineLevel="0" collapsed="false">
      <c r="A637" s="6" t="s">
        <v>12018</v>
      </c>
      <c r="B637" s="6" t="s">
        <v>235</v>
      </c>
      <c r="C637" s="7" t="n">
        <v>46022</v>
      </c>
      <c r="D637" s="6" t="s">
        <v>407</v>
      </c>
      <c r="E637" s="6" t="s">
        <v>10851</v>
      </c>
      <c r="F637" s="6" t="s">
        <v>10858</v>
      </c>
      <c r="G637" s="6" t="s">
        <v>10849</v>
      </c>
      <c r="H637" s="9" t="n">
        <v>238549</v>
      </c>
      <c r="I637" s="6" t="s">
        <v>384</v>
      </c>
      <c r="J637" s="6" t="s">
        <v>13</v>
      </c>
      <c r="K637" s="6" t="s">
        <v>194</v>
      </c>
      <c r="L637" s="6" t="s">
        <v>2032</v>
      </c>
      <c r="M637" s="6" t="s">
        <v>12015</v>
      </c>
      <c r="N637" s="6"/>
    </row>
    <row r="638" customFormat="false" ht="15" hidden="false" customHeight="false" outlineLevel="0" collapsed="false">
      <c r="A638" s="6" t="s">
        <v>12019</v>
      </c>
      <c r="B638" s="6" t="s">
        <v>235</v>
      </c>
      <c r="C638" s="7" t="n">
        <v>46022</v>
      </c>
      <c r="D638" s="6" t="s">
        <v>407</v>
      </c>
      <c r="E638" s="6" t="s">
        <v>10851</v>
      </c>
      <c r="F638" s="6" t="s">
        <v>10860</v>
      </c>
      <c r="G638" s="6" t="s">
        <v>10840</v>
      </c>
      <c r="H638" s="9" t="n">
        <v>630851</v>
      </c>
      <c r="I638" s="6" t="s">
        <v>384</v>
      </c>
      <c r="J638" s="6" t="s">
        <v>13</v>
      </c>
      <c r="K638" s="6" t="s">
        <v>194</v>
      </c>
      <c r="L638" s="6" t="s">
        <v>12020</v>
      </c>
      <c r="M638" s="6" t="s">
        <v>12021</v>
      </c>
      <c r="N638" s="6"/>
    </row>
    <row r="639" customFormat="false" ht="15" hidden="false" customHeight="false" outlineLevel="0" collapsed="false">
      <c r="A639" s="6" t="s">
        <v>12022</v>
      </c>
      <c r="B639" s="6" t="s">
        <v>235</v>
      </c>
      <c r="C639" s="7" t="n">
        <v>46022</v>
      </c>
      <c r="D639" s="6" t="s">
        <v>407</v>
      </c>
      <c r="E639" s="6" t="s">
        <v>10851</v>
      </c>
      <c r="F639" s="6" t="s">
        <v>2706</v>
      </c>
      <c r="G639" s="6" t="s">
        <v>10845</v>
      </c>
      <c r="H639" s="9" t="n">
        <v>-44084</v>
      </c>
      <c r="I639" s="6" t="s">
        <v>384</v>
      </c>
      <c r="J639" s="6" t="s">
        <v>13</v>
      </c>
      <c r="K639" s="6" t="s">
        <v>194</v>
      </c>
      <c r="L639" s="6" t="s">
        <v>12017</v>
      </c>
      <c r="M639" s="6" t="s">
        <v>12021</v>
      </c>
      <c r="N639" s="6"/>
    </row>
    <row r="640" customFormat="false" ht="15" hidden="false" customHeight="false" outlineLevel="0" collapsed="false">
      <c r="A640" s="6" t="s">
        <v>12023</v>
      </c>
      <c r="B640" s="6" t="s">
        <v>235</v>
      </c>
      <c r="C640" s="7" t="n">
        <v>46022</v>
      </c>
      <c r="D640" s="6" t="s">
        <v>407</v>
      </c>
      <c r="E640" s="6" t="s">
        <v>10851</v>
      </c>
      <c r="F640" s="6" t="s">
        <v>10865</v>
      </c>
      <c r="G640" s="6" t="s">
        <v>10849</v>
      </c>
      <c r="H640" s="9" t="n">
        <v>586767</v>
      </c>
      <c r="I640" s="6" t="s">
        <v>384</v>
      </c>
      <c r="J640" s="6" t="s">
        <v>13</v>
      </c>
      <c r="K640" s="6" t="s">
        <v>194</v>
      </c>
      <c r="L640" s="6" t="s">
        <v>2147</v>
      </c>
      <c r="M640" s="6" t="s">
        <v>12021</v>
      </c>
      <c r="N640" s="6"/>
    </row>
    <row r="641" customFormat="false" ht="15" hidden="false" customHeight="false" outlineLevel="0" collapsed="false">
      <c r="A641" s="6" t="s">
        <v>12024</v>
      </c>
      <c r="B641" s="6" t="s">
        <v>235</v>
      </c>
      <c r="C641" s="7" t="n">
        <v>46022</v>
      </c>
      <c r="D641" s="6" t="s">
        <v>407</v>
      </c>
      <c r="E641" s="6" t="s">
        <v>10851</v>
      </c>
      <c r="F641" s="6" t="s">
        <v>10867</v>
      </c>
      <c r="G641" s="6" t="s">
        <v>10840</v>
      </c>
      <c r="H641" s="9" t="n">
        <v>148996</v>
      </c>
      <c r="I641" s="6" t="s">
        <v>384</v>
      </c>
      <c r="J641" s="6" t="s">
        <v>13</v>
      </c>
      <c r="K641" s="6" t="s">
        <v>194</v>
      </c>
      <c r="L641" s="6" t="s">
        <v>12025</v>
      </c>
      <c r="M641" s="6" t="s">
        <v>12026</v>
      </c>
      <c r="N641" s="6"/>
    </row>
    <row r="642" customFormat="false" ht="15" hidden="false" customHeight="false" outlineLevel="0" collapsed="false">
      <c r="A642" s="6" t="s">
        <v>12027</v>
      </c>
      <c r="B642" s="6" t="s">
        <v>235</v>
      </c>
      <c r="C642" s="7" t="n">
        <v>46022</v>
      </c>
      <c r="D642" s="6" t="s">
        <v>407</v>
      </c>
      <c r="E642" s="6" t="s">
        <v>10851</v>
      </c>
      <c r="F642" s="6" t="s">
        <v>2706</v>
      </c>
      <c r="G642" s="6" t="s">
        <v>10845</v>
      </c>
      <c r="H642" s="9" t="n">
        <v>-42116</v>
      </c>
      <c r="I642" s="6" t="s">
        <v>384</v>
      </c>
      <c r="J642" s="6" t="s">
        <v>13</v>
      </c>
      <c r="K642" s="6" t="s">
        <v>194</v>
      </c>
      <c r="L642" s="6" t="s">
        <v>12017</v>
      </c>
      <c r="M642" s="6" t="s">
        <v>12026</v>
      </c>
      <c r="N642" s="6"/>
    </row>
    <row r="643" customFormat="false" ht="15" hidden="false" customHeight="false" outlineLevel="0" collapsed="false">
      <c r="A643" s="6" t="s">
        <v>12028</v>
      </c>
      <c r="B643" s="6" t="s">
        <v>235</v>
      </c>
      <c r="C643" s="7" t="n">
        <v>46022</v>
      </c>
      <c r="D643" s="6" t="s">
        <v>407</v>
      </c>
      <c r="E643" s="6" t="s">
        <v>10851</v>
      </c>
      <c r="F643" s="6" t="s">
        <v>11702</v>
      </c>
      <c r="G643" s="6" t="s">
        <v>10845</v>
      </c>
      <c r="H643" s="9" t="n">
        <v>0</v>
      </c>
      <c r="I643" s="6" t="s">
        <v>384</v>
      </c>
      <c r="J643" s="6" t="s">
        <v>13</v>
      </c>
      <c r="K643" s="6" t="s">
        <v>194</v>
      </c>
      <c r="L643" s="6" t="s">
        <v>12029</v>
      </c>
      <c r="M643" s="6" t="s">
        <v>12026</v>
      </c>
      <c r="N643" s="6"/>
    </row>
    <row r="644" customFormat="false" ht="15" hidden="false" customHeight="false" outlineLevel="0" collapsed="false">
      <c r="A644" s="6" t="s">
        <v>12030</v>
      </c>
      <c r="B644" s="6" t="s">
        <v>235</v>
      </c>
      <c r="C644" s="7" t="n">
        <v>46022</v>
      </c>
      <c r="D644" s="6" t="s">
        <v>407</v>
      </c>
      <c r="E644" s="6" t="s">
        <v>10851</v>
      </c>
      <c r="F644" s="6" t="s">
        <v>10872</v>
      </c>
      <c r="G644" s="6" t="s">
        <v>10849</v>
      </c>
      <c r="H644" s="9" t="n">
        <v>106880</v>
      </c>
      <c r="I644" s="6" t="s">
        <v>384</v>
      </c>
      <c r="J644" s="6" t="s">
        <v>13</v>
      </c>
      <c r="K644" s="6" t="s">
        <v>194</v>
      </c>
      <c r="L644" s="6" t="s">
        <v>2262</v>
      </c>
      <c r="M644" s="6" t="s">
        <v>12026</v>
      </c>
      <c r="N644" s="6"/>
    </row>
    <row r="645" customFormat="false" ht="15" hidden="false" customHeight="false" outlineLevel="0" collapsed="false">
      <c r="A645" s="6" t="s">
        <v>12031</v>
      </c>
      <c r="B645" s="6" t="s">
        <v>235</v>
      </c>
      <c r="C645" s="7" t="n">
        <v>46022</v>
      </c>
      <c r="D645" s="6" t="s">
        <v>407</v>
      </c>
      <c r="E645" s="6" t="s">
        <v>11306</v>
      </c>
      <c r="F645" s="6" t="s">
        <v>10162</v>
      </c>
      <c r="G645" s="6" t="s">
        <v>10840</v>
      </c>
      <c r="H645" s="9" t="n">
        <v>-1748</v>
      </c>
      <c r="I645" s="6" t="s">
        <v>384</v>
      </c>
      <c r="J645" s="6" t="s">
        <v>13</v>
      </c>
      <c r="K645" s="6" t="s">
        <v>194</v>
      </c>
      <c r="L645" s="6" t="s">
        <v>12032</v>
      </c>
      <c r="M645" s="6" t="s">
        <v>12033</v>
      </c>
      <c r="N645" s="6"/>
    </row>
    <row r="646" customFormat="false" ht="15" hidden="false" customHeight="false" outlineLevel="0" collapsed="false">
      <c r="A646" s="6" t="s">
        <v>12034</v>
      </c>
      <c r="B646" s="6" t="s">
        <v>235</v>
      </c>
      <c r="C646" s="7" t="n">
        <v>46022</v>
      </c>
      <c r="D646" s="6" t="s">
        <v>407</v>
      </c>
      <c r="E646" s="6" t="s">
        <v>11306</v>
      </c>
      <c r="F646" s="6" t="s">
        <v>2706</v>
      </c>
      <c r="G646" s="6" t="s">
        <v>10845</v>
      </c>
      <c r="H646" s="9" t="n">
        <v>177011</v>
      </c>
      <c r="I646" s="6" t="s">
        <v>384</v>
      </c>
      <c r="J646" s="6" t="s">
        <v>13</v>
      </c>
      <c r="K646" s="6" t="s">
        <v>194</v>
      </c>
      <c r="L646" s="6" t="s">
        <v>2811</v>
      </c>
      <c r="M646" s="6" t="s">
        <v>12033</v>
      </c>
      <c r="N646" s="6"/>
    </row>
    <row r="647" customFormat="false" ht="15" hidden="false" customHeight="false" outlineLevel="0" collapsed="false">
      <c r="A647" s="6" t="s">
        <v>12035</v>
      </c>
      <c r="B647" s="6" t="s">
        <v>235</v>
      </c>
      <c r="C647" s="7" t="n">
        <v>46022</v>
      </c>
      <c r="D647" s="6" t="s">
        <v>407</v>
      </c>
      <c r="E647" s="6" t="s">
        <v>11306</v>
      </c>
      <c r="F647" s="6" t="s">
        <v>11702</v>
      </c>
      <c r="G647" s="6" t="s">
        <v>10845</v>
      </c>
      <c r="H647" s="9" t="n">
        <v>0</v>
      </c>
      <c r="I647" s="6" t="s">
        <v>384</v>
      </c>
      <c r="J647" s="6" t="s">
        <v>13</v>
      </c>
      <c r="K647" s="6" t="s">
        <v>194</v>
      </c>
      <c r="L647" s="6" t="s">
        <v>2946</v>
      </c>
      <c r="M647" s="6" t="s">
        <v>12033</v>
      </c>
      <c r="N647" s="6"/>
    </row>
    <row r="648" customFormat="false" ht="15" hidden="false" customHeight="false" outlineLevel="0" collapsed="false">
      <c r="A648" s="6" t="s">
        <v>12036</v>
      </c>
      <c r="B648" s="6" t="s">
        <v>235</v>
      </c>
      <c r="C648" s="7" t="n">
        <v>46022</v>
      </c>
      <c r="D648" s="6" t="s">
        <v>407</v>
      </c>
      <c r="E648" s="6" t="s">
        <v>11306</v>
      </c>
      <c r="F648" s="6" t="s">
        <v>5717</v>
      </c>
      <c r="G648" s="6" t="s">
        <v>10849</v>
      </c>
      <c r="H648" s="9" t="n">
        <v>175263</v>
      </c>
      <c r="I648" s="6" t="s">
        <v>384</v>
      </c>
      <c r="J648" s="6" t="s">
        <v>13</v>
      </c>
      <c r="K648" s="6" t="s">
        <v>194</v>
      </c>
      <c r="L648" s="6" t="s">
        <v>2377</v>
      </c>
      <c r="M648" s="6" t="s">
        <v>12033</v>
      </c>
      <c r="N648" s="6"/>
    </row>
    <row r="649" customFormat="false" ht="15" hidden="false" customHeight="false" outlineLevel="0" collapsed="false">
      <c r="A649" s="6" t="s">
        <v>12037</v>
      </c>
      <c r="B649" s="6" t="s">
        <v>235</v>
      </c>
      <c r="C649" s="7" t="n">
        <v>46022</v>
      </c>
      <c r="D649" s="6" t="s">
        <v>407</v>
      </c>
      <c r="E649" s="6" t="s">
        <v>11849</v>
      </c>
      <c r="F649" s="6" t="s">
        <v>11850</v>
      </c>
      <c r="G649" s="6" t="s">
        <v>10840</v>
      </c>
      <c r="H649" s="9" t="n">
        <v>118742</v>
      </c>
      <c r="I649" s="6" t="s">
        <v>384</v>
      </c>
      <c r="J649" s="6" t="s">
        <v>13</v>
      </c>
      <c r="K649" s="6" t="s">
        <v>194</v>
      </c>
      <c r="L649" s="6" t="s">
        <v>12038</v>
      </c>
      <c r="M649" s="6" t="s">
        <v>12039</v>
      </c>
      <c r="N649" s="6"/>
    </row>
    <row r="650" customFormat="false" ht="15" hidden="false" customHeight="false" outlineLevel="0" collapsed="false">
      <c r="A650" s="6" t="s">
        <v>12040</v>
      </c>
      <c r="B650" s="6" t="s">
        <v>235</v>
      </c>
      <c r="C650" s="7" t="n">
        <v>46022</v>
      </c>
      <c r="D650" s="6" t="s">
        <v>407</v>
      </c>
      <c r="E650" s="6" t="s">
        <v>11849</v>
      </c>
      <c r="F650" s="6" t="s">
        <v>2706</v>
      </c>
      <c r="G650" s="6" t="s">
        <v>10845</v>
      </c>
      <c r="H650" s="9" t="n">
        <v>177011</v>
      </c>
      <c r="I650" s="6" t="s">
        <v>384</v>
      </c>
      <c r="J650" s="6" t="s">
        <v>13</v>
      </c>
      <c r="K650" s="6" t="s">
        <v>194</v>
      </c>
      <c r="L650" s="6" t="s">
        <v>12041</v>
      </c>
      <c r="M650" s="6" t="s">
        <v>12039</v>
      </c>
      <c r="N650" s="6"/>
    </row>
    <row r="651" customFormat="false" ht="15" hidden="false" customHeight="false" outlineLevel="0" collapsed="false">
      <c r="A651" s="6" t="s">
        <v>12042</v>
      </c>
      <c r="B651" s="6" t="s">
        <v>235</v>
      </c>
      <c r="C651" s="7" t="n">
        <v>46022</v>
      </c>
      <c r="D651" s="6" t="s">
        <v>407</v>
      </c>
      <c r="E651" s="6" t="s">
        <v>11849</v>
      </c>
      <c r="F651" s="6" t="s">
        <v>11702</v>
      </c>
      <c r="G651" s="6" t="s">
        <v>10845</v>
      </c>
      <c r="H651" s="9" t="n">
        <v>0</v>
      </c>
      <c r="I651" s="6" t="s">
        <v>384</v>
      </c>
      <c r="J651" s="6" t="s">
        <v>13</v>
      </c>
      <c r="K651" s="6" t="s">
        <v>194</v>
      </c>
      <c r="L651" s="6" t="s">
        <v>12043</v>
      </c>
      <c r="M651" s="6" t="s">
        <v>12039</v>
      </c>
      <c r="N651" s="6"/>
    </row>
    <row r="652" customFormat="false" ht="15" hidden="false" customHeight="false" outlineLevel="0" collapsed="false">
      <c r="A652" s="6" t="s">
        <v>12044</v>
      </c>
      <c r="B652" s="6" t="s">
        <v>235</v>
      </c>
      <c r="C652" s="7" t="n">
        <v>46022</v>
      </c>
      <c r="D652" s="6" t="s">
        <v>407</v>
      </c>
      <c r="E652" s="6" t="s">
        <v>11849</v>
      </c>
      <c r="F652" s="6" t="s">
        <v>11994</v>
      </c>
      <c r="G652" s="6" t="s">
        <v>10845</v>
      </c>
      <c r="H652" s="9" t="n">
        <v>-61150</v>
      </c>
      <c r="I652" s="6" t="s">
        <v>384</v>
      </c>
      <c r="J652" s="6" t="s">
        <v>13</v>
      </c>
      <c r="K652" s="6" t="s">
        <v>194</v>
      </c>
      <c r="L652" s="6" t="s">
        <v>12045</v>
      </c>
      <c r="M652" s="6" t="s">
        <v>12039</v>
      </c>
      <c r="N652" s="6"/>
    </row>
    <row r="653" customFormat="false" ht="15" hidden="false" customHeight="false" outlineLevel="0" collapsed="false">
      <c r="A653" s="6" t="s">
        <v>12046</v>
      </c>
      <c r="B653" s="6" t="s">
        <v>235</v>
      </c>
      <c r="C653" s="7" t="n">
        <v>46022</v>
      </c>
      <c r="D653" s="6" t="s">
        <v>407</v>
      </c>
      <c r="E653" s="6" t="s">
        <v>11849</v>
      </c>
      <c r="F653" s="6" t="s">
        <v>11997</v>
      </c>
      <c r="G653" s="6" t="s">
        <v>10845</v>
      </c>
      <c r="H653" s="9" t="n">
        <v>-1017</v>
      </c>
      <c r="I653" s="6" t="s">
        <v>384</v>
      </c>
      <c r="J653" s="6" t="s">
        <v>13</v>
      </c>
      <c r="K653" s="6" t="s">
        <v>194</v>
      </c>
      <c r="L653" s="6" t="s">
        <v>12047</v>
      </c>
      <c r="M653" s="6" t="s">
        <v>12039</v>
      </c>
      <c r="N653" s="6"/>
    </row>
    <row r="654" customFormat="false" ht="15" hidden="false" customHeight="false" outlineLevel="0" collapsed="false">
      <c r="A654" s="6" t="s">
        <v>12048</v>
      </c>
      <c r="B654" s="6" t="s">
        <v>235</v>
      </c>
      <c r="C654" s="7" t="n">
        <v>46022</v>
      </c>
      <c r="D654" s="6" t="s">
        <v>407</v>
      </c>
      <c r="E654" s="6" t="s">
        <v>11849</v>
      </c>
      <c r="F654" s="6" t="s">
        <v>11632</v>
      </c>
      <c r="G654" s="6" t="s">
        <v>10849</v>
      </c>
      <c r="H654" s="9" t="n">
        <v>233586</v>
      </c>
      <c r="I654" s="6" t="s">
        <v>384</v>
      </c>
      <c r="J654" s="6" t="s">
        <v>13</v>
      </c>
      <c r="K654" s="6" t="s">
        <v>194</v>
      </c>
      <c r="L654" s="6" t="s">
        <v>2585</v>
      </c>
      <c r="M654" s="6" t="s">
        <v>12039</v>
      </c>
      <c r="N654" s="6"/>
    </row>
    <row r="655" customFormat="false" ht="15" hidden="false" customHeight="false" outlineLevel="0" collapsed="false">
      <c r="A655" s="6" t="s">
        <v>12049</v>
      </c>
      <c r="B655" s="6" t="s">
        <v>235</v>
      </c>
      <c r="C655" s="7" t="n">
        <v>46022</v>
      </c>
      <c r="D655" s="6" t="s">
        <v>407</v>
      </c>
      <c r="E655" s="6" t="s">
        <v>10904</v>
      </c>
      <c r="F655" s="6" t="s">
        <v>8429</v>
      </c>
      <c r="G655" s="6" t="s">
        <v>10840</v>
      </c>
      <c r="H655" s="9" t="n">
        <v>333644</v>
      </c>
      <c r="I655" s="6" t="s">
        <v>384</v>
      </c>
      <c r="J655" s="6" t="s">
        <v>13</v>
      </c>
      <c r="K655" s="6" t="s">
        <v>194</v>
      </c>
      <c r="L655" s="6" t="s">
        <v>12050</v>
      </c>
      <c r="M655" s="6" t="s">
        <v>12051</v>
      </c>
      <c r="N655" s="6"/>
    </row>
    <row r="656" customFormat="false" ht="15" hidden="false" customHeight="false" outlineLevel="0" collapsed="false">
      <c r="A656" s="6" t="s">
        <v>12052</v>
      </c>
      <c r="B656" s="6" t="s">
        <v>235</v>
      </c>
      <c r="C656" s="7" t="n">
        <v>46022</v>
      </c>
      <c r="D656" s="6" t="s">
        <v>407</v>
      </c>
      <c r="E656" s="6" t="s">
        <v>10904</v>
      </c>
      <c r="F656" s="6" t="s">
        <v>8520</v>
      </c>
      <c r="G656" s="6" t="s">
        <v>10845</v>
      </c>
      <c r="H656" s="9" t="n">
        <v>-20362</v>
      </c>
      <c r="I656" s="6" t="s">
        <v>384</v>
      </c>
      <c r="J656" s="6" t="s">
        <v>13</v>
      </c>
      <c r="K656" s="6" t="s">
        <v>194</v>
      </c>
      <c r="L656" s="6" t="s">
        <v>3168</v>
      </c>
      <c r="M656" s="6" t="s">
        <v>12051</v>
      </c>
      <c r="N656" s="6"/>
    </row>
    <row r="657" customFormat="false" ht="15" hidden="false" customHeight="false" outlineLevel="0" collapsed="false">
      <c r="A657" s="6" t="s">
        <v>12053</v>
      </c>
      <c r="B657" s="6" t="s">
        <v>235</v>
      </c>
      <c r="C657" s="7" t="n">
        <v>46022</v>
      </c>
      <c r="D657" s="6" t="s">
        <v>407</v>
      </c>
      <c r="E657" s="6" t="s">
        <v>10904</v>
      </c>
      <c r="F657" s="6" t="s">
        <v>8081</v>
      </c>
      <c r="G657" s="6" t="s">
        <v>10845</v>
      </c>
      <c r="H657" s="9" t="n">
        <v>-3380</v>
      </c>
      <c r="I657" s="6" t="s">
        <v>384</v>
      </c>
      <c r="J657" s="6" t="s">
        <v>13</v>
      </c>
      <c r="K657" s="6" t="s">
        <v>194</v>
      </c>
      <c r="L657" s="6" t="s">
        <v>3281</v>
      </c>
      <c r="M657" s="6" t="s">
        <v>12051</v>
      </c>
      <c r="N657" s="6"/>
    </row>
    <row r="658" customFormat="false" ht="15" hidden="false" customHeight="false" outlineLevel="0" collapsed="false">
      <c r="A658" s="6" t="s">
        <v>12054</v>
      </c>
      <c r="B658" s="6" t="s">
        <v>235</v>
      </c>
      <c r="C658" s="7" t="n">
        <v>46022</v>
      </c>
      <c r="D658" s="6" t="s">
        <v>407</v>
      </c>
      <c r="E658" s="6" t="s">
        <v>10904</v>
      </c>
      <c r="F658" s="6" t="s">
        <v>11864</v>
      </c>
      <c r="G658" s="6" t="s">
        <v>10845</v>
      </c>
      <c r="H658" s="9" t="n">
        <v>12758</v>
      </c>
      <c r="I658" s="6" t="s">
        <v>384</v>
      </c>
      <c r="J658" s="6" t="s">
        <v>13</v>
      </c>
      <c r="K658" s="6" t="s">
        <v>194</v>
      </c>
      <c r="L658" s="6" t="s">
        <v>3345</v>
      </c>
      <c r="M658" s="6" t="s">
        <v>12051</v>
      </c>
      <c r="N658" s="6"/>
    </row>
    <row r="659" customFormat="false" ht="15" hidden="false" customHeight="false" outlineLevel="0" collapsed="false">
      <c r="A659" s="6" t="s">
        <v>12055</v>
      </c>
      <c r="B659" s="6" t="s">
        <v>235</v>
      </c>
      <c r="C659" s="7" t="n">
        <v>46022</v>
      </c>
      <c r="D659" s="6" t="s">
        <v>407</v>
      </c>
      <c r="E659" s="6" t="s">
        <v>10904</v>
      </c>
      <c r="F659" s="6" t="s">
        <v>4887</v>
      </c>
      <c r="G659" s="6" t="s">
        <v>10849</v>
      </c>
      <c r="H659" s="9" t="n">
        <v>322660</v>
      </c>
      <c r="I659" s="6" t="s">
        <v>384</v>
      </c>
      <c r="J659" s="6" t="s">
        <v>13</v>
      </c>
      <c r="K659" s="6" t="s">
        <v>194</v>
      </c>
      <c r="L659" s="6" t="s">
        <v>3465</v>
      </c>
      <c r="M659" s="6" t="s">
        <v>12051</v>
      </c>
      <c r="N659" s="6"/>
    </row>
    <row r="660" customFormat="false" ht="15" hidden="false" customHeight="false" outlineLevel="0" collapsed="false">
      <c r="A660" s="6" t="s">
        <v>12056</v>
      </c>
      <c r="B660" s="6" t="s">
        <v>201</v>
      </c>
      <c r="C660" s="7" t="n">
        <v>46112</v>
      </c>
      <c r="D660" s="6" t="s">
        <v>380</v>
      </c>
      <c r="E660" s="6" t="s">
        <v>10838</v>
      </c>
      <c r="F660" s="6" t="s">
        <v>10839</v>
      </c>
      <c r="G660" s="6" t="s">
        <v>10840</v>
      </c>
      <c r="H660" s="9" t="n">
        <v>313141</v>
      </c>
      <c r="I660" s="6" t="s">
        <v>384</v>
      </c>
      <c r="J660" s="6" t="s">
        <v>13</v>
      </c>
      <c r="K660" s="6" t="s">
        <v>199</v>
      </c>
      <c r="L660" s="6" t="s">
        <v>12057</v>
      </c>
      <c r="M660" s="6" t="s">
        <v>12058</v>
      </c>
      <c r="N660" s="6"/>
    </row>
    <row r="661" customFormat="false" ht="15" hidden="false" customHeight="false" outlineLevel="0" collapsed="false">
      <c r="A661" s="6" t="s">
        <v>12059</v>
      </c>
      <c r="B661" s="6" t="s">
        <v>201</v>
      </c>
      <c r="C661" s="7" t="n">
        <v>46112</v>
      </c>
      <c r="D661" s="6" t="s">
        <v>380</v>
      </c>
      <c r="E661" s="6" t="s">
        <v>10838</v>
      </c>
      <c r="F661" s="6" t="s">
        <v>2706</v>
      </c>
      <c r="G661" s="6" t="s">
        <v>10845</v>
      </c>
      <c r="H661" s="9" t="n">
        <v>1049</v>
      </c>
      <c r="I661" s="6" t="s">
        <v>384</v>
      </c>
      <c r="J661" s="6" t="s">
        <v>13</v>
      </c>
      <c r="K661" s="6" t="s">
        <v>199</v>
      </c>
      <c r="L661" s="6" t="s">
        <v>12060</v>
      </c>
      <c r="M661" s="6" t="s">
        <v>12058</v>
      </c>
      <c r="N661" s="6"/>
    </row>
    <row r="662" customFormat="false" ht="15" hidden="false" customHeight="false" outlineLevel="0" collapsed="false">
      <c r="A662" s="6" t="s">
        <v>12061</v>
      </c>
      <c r="B662" s="6" t="s">
        <v>201</v>
      </c>
      <c r="C662" s="7" t="n">
        <v>46112</v>
      </c>
      <c r="D662" s="6" t="s">
        <v>380</v>
      </c>
      <c r="E662" s="6" t="s">
        <v>10838</v>
      </c>
      <c r="F662" s="6" t="s">
        <v>10848</v>
      </c>
      <c r="G662" s="6" t="s">
        <v>10849</v>
      </c>
      <c r="H662" s="9" t="n">
        <v>314190</v>
      </c>
      <c r="I662" s="6" t="s">
        <v>384</v>
      </c>
      <c r="J662" s="6" t="s">
        <v>13</v>
      </c>
      <c r="K662" s="6" t="s">
        <v>199</v>
      </c>
      <c r="L662" s="6" t="s">
        <v>1842</v>
      </c>
      <c r="M662" s="6" t="s">
        <v>12058</v>
      </c>
      <c r="N662" s="6"/>
    </row>
    <row r="663" customFormat="false" ht="15" hidden="false" customHeight="false" outlineLevel="0" collapsed="false">
      <c r="A663" s="6" t="s">
        <v>12062</v>
      </c>
      <c r="B663" s="6" t="s">
        <v>201</v>
      </c>
      <c r="C663" s="7" t="n">
        <v>46112</v>
      </c>
      <c r="D663" s="6" t="s">
        <v>380</v>
      </c>
      <c r="E663" s="6" t="s">
        <v>10851</v>
      </c>
      <c r="F663" s="6" t="s">
        <v>10852</v>
      </c>
      <c r="G663" s="6" t="s">
        <v>10840</v>
      </c>
      <c r="H663" s="9" t="n">
        <v>92020</v>
      </c>
      <c r="I663" s="6" t="s">
        <v>384</v>
      </c>
      <c r="J663" s="6" t="s">
        <v>13</v>
      </c>
      <c r="K663" s="6" t="s">
        <v>199</v>
      </c>
      <c r="L663" s="6" t="s">
        <v>12063</v>
      </c>
      <c r="M663" s="6" t="s">
        <v>12064</v>
      </c>
      <c r="N663" s="6"/>
    </row>
    <row r="664" customFormat="false" ht="15" hidden="false" customHeight="false" outlineLevel="0" collapsed="false">
      <c r="A664" s="6" t="s">
        <v>12065</v>
      </c>
      <c r="B664" s="6" t="s">
        <v>201</v>
      </c>
      <c r="C664" s="7" t="n">
        <v>46112</v>
      </c>
      <c r="D664" s="6" t="s">
        <v>380</v>
      </c>
      <c r="E664" s="6" t="s">
        <v>10851</v>
      </c>
      <c r="F664" s="6" t="s">
        <v>2706</v>
      </c>
      <c r="G664" s="6" t="s">
        <v>10845</v>
      </c>
      <c r="H664" s="9" t="n">
        <v>-13607</v>
      </c>
      <c r="I664" s="6" t="s">
        <v>384</v>
      </c>
      <c r="J664" s="6" t="s">
        <v>13</v>
      </c>
      <c r="K664" s="6" t="s">
        <v>199</v>
      </c>
      <c r="L664" s="6" t="s">
        <v>12066</v>
      </c>
      <c r="M664" s="6" t="s">
        <v>12064</v>
      </c>
      <c r="N664" s="6"/>
    </row>
    <row r="665" customFormat="false" ht="15" hidden="false" customHeight="false" outlineLevel="0" collapsed="false">
      <c r="A665" s="6" t="s">
        <v>12067</v>
      </c>
      <c r="B665" s="6" t="s">
        <v>201</v>
      </c>
      <c r="C665" s="7" t="n">
        <v>46112</v>
      </c>
      <c r="D665" s="6" t="s">
        <v>380</v>
      </c>
      <c r="E665" s="6" t="s">
        <v>10851</v>
      </c>
      <c r="F665" s="6" t="s">
        <v>10858</v>
      </c>
      <c r="G665" s="6" t="s">
        <v>10849</v>
      </c>
      <c r="H665" s="9" t="n">
        <v>78413</v>
      </c>
      <c r="I665" s="6" t="s">
        <v>384</v>
      </c>
      <c r="J665" s="6" t="s">
        <v>13</v>
      </c>
      <c r="K665" s="6" t="s">
        <v>199</v>
      </c>
      <c r="L665" s="6" t="s">
        <v>2035</v>
      </c>
      <c r="M665" s="6" t="s">
        <v>12064</v>
      </c>
      <c r="N665" s="6"/>
    </row>
    <row r="666" customFormat="false" ht="15" hidden="false" customHeight="false" outlineLevel="0" collapsed="false">
      <c r="A666" s="6" t="s">
        <v>12068</v>
      </c>
      <c r="B666" s="6" t="s">
        <v>201</v>
      </c>
      <c r="C666" s="7" t="n">
        <v>46112</v>
      </c>
      <c r="D666" s="6" t="s">
        <v>380</v>
      </c>
      <c r="E666" s="6" t="s">
        <v>10851</v>
      </c>
      <c r="F666" s="6" t="s">
        <v>10860</v>
      </c>
      <c r="G666" s="6" t="s">
        <v>10840</v>
      </c>
      <c r="H666" s="9" t="n">
        <v>165395</v>
      </c>
      <c r="I666" s="6" t="s">
        <v>384</v>
      </c>
      <c r="J666" s="6" t="s">
        <v>13</v>
      </c>
      <c r="K666" s="6" t="s">
        <v>199</v>
      </c>
      <c r="L666" s="6" t="s">
        <v>12069</v>
      </c>
      <c r="M666" s="6" t="s">
        <v>12070</v>
      </c>
      <c r="N666" s="6"/>
    </row>
    <row r="667" customFormat="false" ht="15" hidden="false" customHeight="false" outlineLevel="0" collapsed="false">
      <c r="A667" s="6" t="s">
        <v>12071</v>
      </c>
      <c r="B667" s="6" t="s">
        <v>201</v>
      </c>
      <c r="C667" s="7" t="n">
        <v>46112</v>
      </c>
      <c r="D667" s="6" t="s">
        <v>380</v>
      </c>
      <c r="E667" s="6" t="s">
        <v>10851</v>
      </c>
      <c r="F667" s="6" t="s">
        <v>2706</v>
      </c>
      <c r="G667" s="6" t="s">
        <v>10845</v>
      </c>
      <c r="H667" s="9" t="n">
        <v>-7214</v>
      </c>
      <c r="I667" s="6" t="s">
        <v>384</v>
      </c>
      <c r="J667" s="6" t="s">
        <v>13</v>
      </c>
      <c r="K667" s="6" t="s">
        <v>199</v>
      </c>
      <c r="L667" s="6" t="s">
        <v>12066</v>
      </c>
      <c r="M667" s="6" t="s">
        <v>12070</v>
      </c>
      <c r="N667" s="6"/>
    </row>
    <row r="668" customFormat="false" ht="15" hidden="false" customHeight="false" outlineLevel="0" collapsed="false">
      <c r="A668" s="6" t="s">
        <v>12072</v>
      </c>
      <c r="B668" s="6" t="s">
        <v>201</v>
      </c>
      <c r="C668" s="7" t="n">
        <v>46112</v>
      </c>
      <c r="D668" s="6" t="s">
        <v>380</v>
      </c>
      <c r="E668" s="6" t="s">
        <v>10851</v>
      </c>
      <c r="F668" s="6" t="s">
        <v>10865</v>
      </c>
      <c r="G668" s="6" t="s">
        <v>10849</v>
      </c>
      <c r="H668" s="9" t="n">
        <v>158181</v>
      </c>
      <c r="I668" s="6" t="s">
        <v>384</v>
      </c>
      <c r="J668" s="6" t="s">
        <v>13</v>
      </c>
      <c r="K668" s="6" t="s">
        <v>199</v>
      </c>
      <c r="L668" s="6" t="s">
        <v>2150</v>
      </c>
      <c r="M668" s="6" t="s">
        <v>12070</v>
      </c>
      <c r="N668" s="6"/>
    </row>
    <row r="669" customFormat="false" ht="15" hidden="false" customHeight="false" outlineLevel="0" collapsed="false">
      <c r="A669" s="6" t="s">
        <v>12073</v>
      </c>
      <c r="B669" s="6" t="s">
        <v>201</v>
      </c>
      <c r="C669" s="7" t="n">
        <v>46112</v>
      </c>
      <c r="D669" s="6" t="s">
        <v>380</v>
      </c>
      <c r="E669" s="6" t="s">
        <v>10851</v>
      </c>
      <c r="F669" s="6" t="s">
        <v>10867</v>
      </c>
      <c r="G669" s="6" t="s">
        <v>10840</v>
      </c>
      <c r="H669" s="9" t="n">
        <v>35972</v>
      </c>
      <c r="I669" s="6" t="s">
        <v>384</v>
      </c>
      <c r="J669" s="6" t="s">
        <v>13</v>
      </c>
      <c r="K669" s="6" t="s">
        <v>199</v>
      </c>
      <c r="L669" s="6" t="s">
        <v>12074</v>
      </c>
      <c r="M669" s="6" t="s">
        <v>12075</v>
      </c>
      <c r="N669" s="6"/>
    </row>
    <row r="670" customFormat="false" ht="15" hidden="false" customHeight="false" outlineLevel="0" collapsed="false">
      <c r="A670" s="6" t="s">
        <v>12076</v>
      </c>
      <c r="B670" s="6" t="s">
        <v>201</v>
      </c>
      <c r="C670" s="7" t="n">
        <v>46112</v>
      </c>
      <c r="D670" s="6" t="s">
        <v>380</v>
      </c>
      <c r="E670" s="6" t="s">
        <v>10851</v>
      </c>
      <c r="F670" s="6" t="s">
        <v>2706</v>
      </c>
      <c r="G670" s="6" t="s">
        <v>10845</v>
      </c>
      <c r="H670" s="9" t="n">
        <v>-7413</v>
      </c>
      <c r="I670" s="6" t="s">
        <v>384</v>
      </c>
      <c r="J670" s="6" t="s">
        <v>13</v>
      </c>
      <c r="K670" s="6" t="s">
        <v>199</v>
      </c>
      <c r="L670" s="6" t="s">
        <v>12066</v>
      </c>
      <c r="M670" s="6" t="s">
        <v>12075</v>
      </c>
      <c r="N670" s="6"/>
    </row>
    <row r="671" customFormat="false" ht="15" hidden="false" customHeight="false" outlineLevel="0" collapsed="false">
      <c r="A671" s="6" t="s">
        <v>12077</v>
      </c>
      <c r="B671" s="6" t="s">
        <v>201</v>
      </c>
      <c r="C671" s="7" t="n">
        <v>46112</v>
      </c>
      <c r="D671" s="6" t="s">
        <v>380</v>
      </c>
      <c r="E671" s="6" t="s">
        <v>10851</v>
      </c>
      <c r="F671" s="6" t="s">
        <v>10872</v>
      </c>
      <c r="G671" s="6" t="s">
        <v>10849</v>
      </c>
      <c r="H671" s="9" t="n">
        <v>28559</v>
      </c>
      <c r="I671" s="6" t="s">
        <v>384</v>
      </c>
      <c r="J671" s="6" t="s">
        <v>13</v>
      </c>
      <c r="K671" s="6" t="s">
        <v>199</v>
      </c>
      <c r="L671" s="6" t="s">
        <v>2265</v>
      </c>
      <c r="M671" s="6" t="s">
        <v>12075</v>
      </c>
      <c r="N671" s="6"/>
    </row>
    <row r="672" customFormat="false" ht="15" hidden="false" customHeight="false" outlineLevel="0" collapsed="false">
      <c r="A672" s="6" t="s">
        <v>12078</v>
      </c>
      <c r="B672" s="6" t="s">
        <v>201</v>
      </c>
      <c r="C672" s="7" t="n">
        <v>46112</v>
      </c>
      <c r="D672" s="6" t="s">
        <v>380</v>
      </c>
      <c r="E672" s="6" t="s">
        <v>11306</v>
      </c>
      <c r="F672" s="6" t="s">
        <v>10162</v>
      </c>
      <c r="G672" s="6" t="s">
        <v>10840</v>
      </c>
      <c r="H672" s="9" t="n">
        <v>19754</v>
      </c>
      <c r="I672" s="6" t="s">
        <v>384</v>
      </c>
      <c r="J672" s="6" t="s">
        <v>13</v>
      </c>
      <c r="K672" s="6" t="s">
        <v>199</v>
      </c>
      <c r="L672" s="6" t="s">
        <v>12079</v>
      </c>
      <c r="M672" s="6" t="s">
        <v>12080</v>
      </c>
      <c r="N672" s="6"/>
    </row>
    <row r="673" customFormat="false" ht="15" hidden="false" customHeight="false" outlineLevel="0" collapsed="false">
      <c r="A673" s="6" t="s">
        <v>12081</v>
      </c>
      <c r="B673" s="6" t="s">
        <v>201</v>
      </c>
      <c r="C673" s="7" t="n">
        <v>46112</v>
      </c>
      <c r="D673" s="6" t="s">
        <v>380</v>
      </c>
      <c r="E673" s="6" t="s">
        <v>11306</v>
      </c>
      <c r="F673" s="6" t="s">
        <v>2706</v>
      </c>
      <c r="G673" s="6" t="s">
        <v>10845</v>
      </c>
      <c r="H673" s="9" t="n">
        <v>29283</v>
      </c>
      <c r="I673" s="6" t="s">
        <v>384</v>
      </c>
      <c r="J673" s="6" t="s">
        <v>13</v>
      </c>
      <c r="K673" s="6" t="s">
        <v>199</v>
      </c>
      <c r="L673" s="6" t="s">
        <v>2814</v>
      </c>
      <c r="M673" s="6" t="s">
        <v>12080</v>
      </c>
      <c r="N673" s="6"/>
    </row>
    <row r="674" customFormat="false" ht="15" hidden="false" customHeight="false" outlineLevel="0" collapsed="false">
      <c r="A674" s="6" t="s">
        <v>12082</v>
      </c>
      <c r="B674" s="6" t="s">
        <v>201</v>
      </c>
      <c r="C674" s="7" t="n">
        <v>46112</v>
      </c>
      <c r="D674" s="6" t="s">
        <v>380</v>
      </c>
      <c r="E674" s="6" t="s">
        <v>11306</v>
      </c>
      <c r="F674" s="6" t="s">
        <v>5717</v>
      </c>
      <c r="G674" s="6" t="s">
        <v>10849</v>
      </c>
      <c r="H674" s="9" t="n">
        <v>49037</v>
      </c>
      <c r="I674" s="6" t="s">
        <v>384</v>
      </c>
      <c r="J674" s="6" t="s">
        <v>13</v>
      </c>
      <c r="K674" s="6" t="s">
        <v>199</v>
      </c>
      <c r="L674" s="6" t="s">
        <v>2380</v>
      </c>
      <c r="M674" s="6" t="s">
        <v>12080</v>
      </c>
      <c r="N674" s="6"/>
    </row>
    <row r="675" customFormat="false" ht="15" hidden="false" customHeight="false" outlineLevel="0" collapsed="false">
      <c r="A675" s="6" t="s">
        <v>12083</v>
      </c>
      <c r="B675" s="6" t="s">
        <v>201</v>
      </c>
      <c r="C675" s="7" t="n">
        <v>46112</v>
      </c>
      <c r="D675" s="6" t="s">
        <v>380</v>
      </c>
      <c r="E675" s="6" t="s">
        <v>11849</v>
      </c>
      <c r="F675" s="6" t="s">
        <v>11850</v>
      </c>
      <c r="G675" s="6" t="s">
        <v>10840</v>
      </c>
      <c r="H675" s="9" t="n">
        <v>28034</v>
      </c>
      <c r="I675" s="6" t="s">
        <v>384</v>
      </c>
      <c r="J675" s="6" t="s">
        <v>13</v>
      </c>
      <c r="K675" s="6" t="s">
        <v>199</v>
      </c>
      <c r="L675" s="6" t="s">
        <v>12084</v>
      </c>
      <c r="M675" s="6" t="s">
        <v>12085</v>
      </c>
      <c r="N675" s="6"/>
    </row>
    <row r="676" customFormat="false" ht="15" hidden="false" customHeight="false" outlineLevel="0" collapsed="false">
      <c r="A676" s="6" t="s">
        <v>12086</v>
      </c>
      <c r="B676" s="6" t="s">
        <v>201</v>
      </c>
      <c r="C676" s="7" t="n">
        <v>46112</v>
      </c>
      <c r="D676" s="6" t="s">
        <v>380</v>
      </c>
      <c r="E676" s="6" t="s">
        <v>11849</v>
      </c>
      <c r="F676" s="6" t="s">
        <v>2706</v>
      </c>
      <c r="G676" s="6" t="s">
        <v>10845</v>
      </c>
      <c r="H676" s="9" t="n">
        <v>29283</v>
      </c>
      <c r="I676" s="6" t="s">
        <v>384</v>
      </c>
      <c r="J676" s="6" t="s">
        <v>13</v>
      </c>
      <c r="K676" s="6" t="s">
        <v>199</v>
      </c>
      <c r="L676" s="6" t="s">
        <v>12087</v>
      </c>
      <c r="M676" s="6" t="s">
        <v>12085</v>
      </c>
      <c r="N676" s="6"/>
    </row>
    <row r="677" customFormat="false" ht="15" hidden="false" customHeight="false" outlineLevel="0" collapsed="false">
      <c r="A677" s="6" t="s">
        <v>12088</v>
      </c>
      <c r="B677" s="6" t="s">
        <v>201</v>
      </c>
      <c r="C677" s="7" t="n">
        <v>46112</v>
      </c>
      <c r="D677" s="6" t="s">
        <v>380</v>
      </c>
      <c r="E677" s="6" t="s">
        <v>11849</v>
      </c>
      <c r="F677" s="6" t="s">
        <v>10885</v>
      </c>
      <c r="G677" s="6" t="s">
        <v>10845</v>
      </c>
      <c r="H677" s="9" t="n">
        <v>-1313</v>
      </c>
      <c r="I677" s="6" t="s">
        <v>384</v>
      </c>
      <c r="J677" s="6" t="s">
        <v>13</v>
      </c>
      <c r="K677" s="6" t="s">
        <v>199</v>
      </c>
      <c r="L677" s="6" t="s">
        <v>12089</v>
      </c>
      <c r="M677" s="6" t="s">
        <v>12085</v>
      </c>
      <c r="N677" s="6"/>
    </row>
    <row r="678" customFormat="false" ht="15" hidden="false" customHeight="false" outlineLevel="0" collapsed="false">
      <c r="A678" s="6" t="s">
        <v>12090</v>
      </c>
      <c r="B678" s="6" t="s">
        <v>201</v>
      </c>
      <c r="C678" s="7" t="n">
        <v>46112</v>
      </c>
      <c r="D678" s="6" t="s">
        <v>380</v>
      </c>
      <c r="E678" s="6" t="s">
        <v>11849</v>
      </c>
      <c r="F678" s="6" t="s">
        <v>11632</v>
      </c>
      <c r="G678" s="6" t="s">
        <v>10849</v>
      </c>
      <c r="H678" s="9" t="n">
        <v>56004</v>
      </c>
      <c r="I678" s="6" t="s">
        <v>384</v>
      </c>
      <c r="J678" s="6" t="s">
        <v>13</v>
      </c>
      <c r="K678" s="6" t="s">
        <v>199</v>
      </c>
      <c r="L678" s="6" t="s">
        <v>2588</v>
      </c>
      <c r="M678" s="6" t="s">
        <v>12085</v>
      </c>
      <c r="N678" s="6"/>
    </row>
    <row r="679" customFormat="false" ht="15" hidden="false" customHeight="false" outlineLevel="0" collapsed="false">
      <c r="A679" s="6" t="s">
        <v>12091</v>
      </c>
      <c r="B679" s="6" t="s">
        <v>201</v>
      </c>
      <c r="C679" s="7" t="n">
        <v>46112</v>
      </c>
      <c r="D679" s="6" t="s">
        <v>380</v>
      </c>
      <c r="E679" s="6" t="s">
        <v>10904</v>
      </c>
      <c r="F679" s="6" t="s">
        <v>8429</v>
      </c>
      <c r="G679" s="6" t="s">
        <v>10840</v>
      </c>
      <c r="H679" s="9" t="n">
        <v>104687</v>
      </c>
      <c r="I679" s="6" t="s">
        <v>384</v>
      </c>
      <c r="J679" s="6" t="s">
        <v>13</v>
      </c>
      <c r="K679" s="6" t="s">
        <v>199</v>
      </c>
      <c r="L679" s="6" t="s">
        <v>12092</v>
      </c>
      <c r="M679" s="6" t="s">
        <v>12093</v>
      </c>
      <c r="N679" s="6"/>
    </row>
    <row r="680" customFormat="false" ht="15" hidden="false" customHeight="false" outlineLevel="0" collapsed="false">
      <c r="A680" s="6" t="s">
        <v>12094</v>
      </c>
      <c r="B680" s="6" t="s">
        <v>201</v>
      </c>
      <c r="C680" s="7" t="n">
        <v>46112</v>
      </c>
      <c r="D680" s="6" t="s">
        <v>380</v>
      </c>
      <c r="E680" s="6" t="s">
        <v>10904</v>
      </c>
      <c r="F680" s="6" t="s">
        <v>8520</v>
      </c>
      <c r="G680" s="6" t="s">
        <v>10845</v>
      </c>
      <c r="H680" s="9" t="n">
        <v>-2447</v>
      </c>
      <c r="I680" s="6" t="s">
        <v>384</v>
      </c>
      <c r="J680" s="6" t="s">
        <v>13</v>
      </c>
      <c r="K680" s="6" t="s">
        <v>199</v>
      </c>
      <c r="L680" s="6" t="s">
        <v>3171</v>
      </c>
      <c r="M680" s="6" t="s">
        <v>12093</v>
      </c>
      <c r="N680" s="6"/>
    </row>
    <row r="681" customFormat="false" ht="15" hidden="false" customHeight="false" outlineLevel="0" collapsed="false">
      <c r="A681" s="6" t="s">
        <v>12095</v>
      </c>
      <c r="B681" s="6" t="s">
        <v>201</v>
      </c>
      <c r="C681" s="7" t="n">
        <v>46112</v>
      </c>
      <c r="D681" s="6" t="s">
        <v>380</v>
      </c>
      <c r="E681" s="6" t="s">
        <v>10904</v>
      </c>
      <c r="F681" s="6" t="s">
        <v>8081</v>
      </c>
      <c r="G681" s="6" t="s">
        <v>10845</v>
      </c>
      <c r="H681" s="9" t="n">
        <v>-484</v>
      </c>
      <c r="I681" s="6" t="s">
        <v>384</v>
      </c>
      <c r="J681" s="6" t="s">
        <v>13</v>
      </c>
      <c r="K681" s="6" t="s">
        <v>199</v>
      </c>
      <c r="L681" s="6" t="s">
        <v>3284</v>
      </c>
      <c r="M681" s="6" t="s">
        <v>12093</v>
      </c>
      <c r="N681" s="6"/>
    </row>
    <row r="682" customFormat="false" ht="15" hidden="false" customHeight="false" outlineLevel="0" collapsed="false">
      <c r="A682" s="6" t="s">
        <v>12096</v>
      </c>
      <c r="B682" s="6" t="s">
        <v>201</v>
      </c>
      <c r="C682" s="7" t="n">
        <v>46112</v>
      </c>
      <c r="D682" s="6" t="s">
        <v>380</v>
      </c>
      <c r="E682" s="6" t="s">
        <v>10904</v>
      </c>
      <c r="F682" s="6" t="s">
        <v>11864</v>
      </c>
      <c r="G682" s="6" t="s">
        <v>10845</v>
      </c>
      <c r="H682" s="9" t="n">
        <v>1022</v>
      </c>
      <c r="I682" s="6" t="s">
        <v>384</v>
      </c>
      <c r="J682" s="6" t="s">
        <v>13</v>
      </c>
      <c r="K682" s="6" t="s">
        <v>199</v>
      </c>
      <c r="L682" s="6" t="s">
        <v>3348</v>
      </c>
      <c r="M682" s="6" t="s">
        <v>12093</v>
      </c>
      <c r="N682" s="6"/>
    </row>
    <row r="683" customFormat="false" ht="15" hidden="false" customHeight="false" outlineLevel="0" collapsed="false">
      <c r="A683" s="6" t="s">
        <v>12097</v>
      </c>
      <c r="B683" s="6" t="s">
        <v>201</v>
      </c>
      <c r="C683" s="7" t="n">
        <v>46112</v>
      </c>
      <c r="D683" s="6" t="s">
        <v>380</v>
      </c>
      <c r="E683" s="6" t="s">
        <v>10904</v>
      </c>
      <c r="F683" s="6" t="s">
        <v>4887</v>
      </c>
      <c r="G683" s="6" t="s">
        <v>10849</v>
      </c>
      <c r="H683" s="9" t="n">
        <v>102778</v>
      </c>
      <c r="I683" s="6" t="s">
        <v>384</v>
      </c>
      <c r="J683" s="6" t="s">
        <v>13</v>
      </c>
      <c r="K683" s="6" t="s">
        <v>199</v>
      </c>
      <c r="L683" s="6" t="s">
        <v>3468</v>
      </c>
      <c r="M683" s="6" t="s">
        <v>12093</v>
      </c>
      <c r="N683" s="6"/>
    </row>
    <row r="684" customFormat="false" ht="15" hidden="false" customHeight="false" outlineLevel="0" collapsed="false">
      <c r="A684" s="6" t="s">
        <v>12098</v>
      </c>
      <c r="B684" s="6" t="s">
        <v>206</v>
      </c>
      <c r="C684" s="7" t="n">
        <v>46203</v>
      </c>
      <c r="D684" s="6" t="s">
        <v>380</v>
      </c>
      <c r="E684" s="6" t="s">
        <v>10838</v>
      </c>
      <c r="F684" s="6" t="s">
        <v>10839</v>
      </c>
      <c r="G684" s="6" t="s">
        <v>10840</v>
      </c>
      <c r="H684" s="9" t="n">
        <v>321960</v>
      </c>
      <c r="I684" s="6" t="s">
        <v>384</v>
      </c>
      <c r="J684" s="6" t="s">
        <v>13</v>
      </c>
      <c r="K684" s="6" t="s">
        <v>204</v>
      </c>
      <c r="L684" s="6" t="s">
        <v>12099</v>
      </c>
      <c r="M684" s="6" t="s">
        <v>12100</v>
      </c>
      <c r="N684" s="6"/>
    </row>
    <row r="685" customFormat="false" ht="15" hidden="false" customHeight="false" outlineLevel="0" collapsed="false">
      <c r="A685" s="6" t="s">
        <v>12101</v>
      </c>
      <c r="B685" s="6" t="s">
        <v>206</v>
      </c>
      <c r="C685" s="7" t="n">
        <v>46203</v>
      </c>
      <c r="D685" s="6" t="s">
        <v>380</v>
      </c>
      <c r="E685" s="6" t="s">
        <v>10838</v>
      </c>
      <c r="F685" s="6" t="s">
        <v>2706</v>
      </c>
      <c r="G685" s="6" t="s">
        <v>10845</v>
      </c>
      <c r="H685" s="9" t="n">
        <v>2262</v>
      </c>
      <c r="I685" s="6" t="s">
        <v>384</v>
      </c>
      <c r="J685" s="6" t="s">
        <v>13</v>
      </c>
      <c r="K685" s="6" t="s">
        <v>204</v>
      </c>
      <c r="L685" s="6" t="s">
        <v>12102</v>
      </c>
      <c r="M685" s="6" t="s">
        <v>12100</v>
      </c>
      <c r="N685" s="6"/>
    </row>
    <row r="686" customFormat="false" ht="15" hidden="false" customHeight="false" outlineLevel="0" collapsed="false">
      <c r="A686" s="6" t="s">
        <v>12103</v>
      </c>
      <c r="B686" s="6" t="s">
        <v>206</v>
      </c>
      <c r="C686" s="7" t="n">
        <v>46203</v>
      </c>
      <c r="D686" s="6" t="s">
        <v>380</v>
      </c>
      <c r="E686" s="6" t="s">
        <v>10838</v>
      </c>
      <c r="F686" s="6" t="s">
        <v>10848</v>
      </c>
      <c r="G686" s="6" t="s">
        <v>10849</v>
      </c>
      <c r="H686" s="9" t="n">
        <v>324222</v>
      </c>
      <c r="I686" s="6" t="s">
        <v>384</v>
      </c>
      <c r="J686" s="6" t="s">
        <v>13</v>
      </c>
      <c r="K686" s="6" t="s">
        <v>204</v>
      </c>
      <c r="L686" s="6" t="s">
        <v>1845</v>
      </c>
      <c r="M686" s="6" t="s">
        <v>12100</v>
      </c>
      <c r="N686" s="6"/>
    </row>
    <row r="687" customFormat="false" ht="15" hidden="false" customHeight="false" outlineLevel="0" collapsed="false">
      <c r="A687" s="6" t="s">
        <v>12104</v>
      </c>
      <c r="B687" s="6" t="s">
        <v>206</v>
      </c>
      <c r="C687" s="7" t="n">
        <v>46203</v>
      </c>
      <c r="D687" s="6" t="s">
        <v>380</v>
      </c>
      <c r="E687" s="6" t="s">
        <v>10851</v>
      </c>
      <c r="F687" s="6" t="s">
        <v>10852</v>
      </c>
      <c r="G687" s="6" t="s">
        <v>10840</v>
      </c>
      <c r="H687" s="9" t="n">
        <v>99307</v>
      </c>
      <c r="I687" s="6" t="s">
        <v>384</v>
      </c>
      <c r="J687" s="6" t="s">
        <v>13</v>
      </c>
      <c r="K687" s="6" t="s">
        <v>204</v>
      </c>
      <c r="L687" s="6" t="s">
        <v>12105</v>
      </c>
      <c r="M687" s="6" t="s">
        <v>12106</v>
      </c>
      <c r="N687" s="6"/>
    </row>
    <row r="688" customFormat="false" ht="15" hidden="false" customHeight="false" outlineLevel="0" collapsed="false">
      <c r="A688" s="6" t="s">
        <v>12107</v>
      </c>
      <c r="B688" s="6" t="s">
        <v>206</v>
      </c>
      <c r="C688" s="7" t="n">
        <v>46203</v>
      </c>
      <c r="D688" s="6" t="s">
        <v>380</v>
      </c>
      <c r="E688" s="6" t="s">
        <v>10851</v>
      </c>
      <c r="F688" s="6" t="s">
        <v>2706</v>
      </c>
      <c r="G688" s="6" t="s">
        <v>10845</v>
      </c>
      <c r="H688" s="9" t="n">
        <v>-16304</v>
      </c>
      <c r="I688" s="6" t="s">
        <v>384</v>
      </c>
      <c r="J688" s="6" t="s">
        <v>13</v>
      </c>
      <c r="K688" s="6" t="s">
        <v>204</v>
      </c>
      <c r="L688" s="6" t="s">
        <v>12108</v>
      </c>
      <c r="M688" s="6" t="s">
        <v>12106</v>
      </c>
      <c r="N688" s="6"/>
    </row>
    <row r="689" customFormat="false" ht="15" hidden="false" customHeight="false" outlineLevel="0" collapsed="false">
      <c r="A689" s="6" t="s">
        <v>12109</v>
      </c>
      <c r="B689" s="6" t="s">
        <v>206</v>
      </c>
      <c r="C689" s="7" t="n">
        <v>46203</v>
      </c>
      <c r="D689" s="6" t="s">
        <v>380</v>
      </c>
      <c r="E689" s="6" t="s">
        <v>10851</v>
      </c>
      <c r="F689" s="6" t="s">
        <v>10858</v>
      </c>
      <c r="G689" s="6" t="s">
        <v>10849</v>
      </c>
      <c r="H689" s="9" t="n">
        <v>83003</v>
      </c>
      <c r="I689" s="6" t="s">
        <v>384</v>
      </c>
      <c r="J689" s="6" t="s">
        <v>13</v>
      </c>
      <c r="K689" s="6" t="s">
        <v>204</v>
      </c>
      <c r="L689" s="6" t="s">
        <v>2038</v>
      </c>
      <c r="M689" s="6" t="s">
        <v>12106</v>
      </c>
      <c r="N689" s="6"/>
    </row>
    <row r="690" customFormat="false" ht="15" hidden="false" customHeight="false" outlineLevel="0" collapsed="false">
      <c r="A690" s="6" t="s">
        <v>12110</v>
      </c>
      <c r="B690" s="6" t="s">
        <v>206</v>
      </c>
      <c r="C690" s="7" t="n">
        <v>46203</v>
      </c>
      <c r="D690" s="6" t="s">
        <v>380</v>
      </c>
      <c r="E690" s="6" t="s">
        <v>10851</v>
      </c>
      <c r="F690" s="6" t="s">
        <v>10860</v>
      </c>
      <c r="G690" s="6" t="s">
        <v>10840</v>
      </c>
      <c r="H690" s="9" t="n">
        <v>162402</v>
      </c>
      <c r="I690" s="6" t="s">
        <v>384</v>
      </c>
      <c r="J690" s="6" t="s">
        <v>13</v>
      </c>
      <c r="K690" s="6" t="s">
        <v>204</v>
      </c>
      <c r="L690" s="6" t="s">
        <v>12111</v>
      </c>
      <c r="M690" s="6" t="s">
        <v>12112</v>
      </c>
      <c r="N690" s="6"/>
    </row>
    <row r="691" customFormat="false" ht="15" hidden="false" customHeight="false" outlineLevel="0" collapsed="false">
      <c r="A691" s="6" t="s">
        <v>12113</v>
      </c>
      <c r="B691" s="6" t="s">
        <v>206</v>
      </c>
      <c r="C691" s="7" t="n">
        <v>46203</v>
      </c>
      <c r="D691" s="6" t="s">
        <v>380</v>
      </c>
      <c r="E691" s="6" t="s">
        <v>10851</v>
      </c>
      <c r="F691" s="6" t="s">
        <v>2706</v>
      </c>
      <c r="G691" s="6" t="s">
        <v>10845</v>
      </c>
      <c r="H691" s="9" t="n">
        <v>-12958</v>
      </c>
      <c r="I691" s="6" t="s">
        <v>384</v>
      </c>
      <c r="J691" s="6" t="s">
        <v>13</v>
      </c>
      <c r="K691" s="6" t="s">
        <v>204</v>
      </c>
      <c r="L691" s="6" t="s">
        <v>12108</v>
      </c>
      <c r="M691" s="6" t="s">
        <v>12112</v>
      </c>
      <c r="N691" s="6"/>
    </row>
    <row r="692" customFormat="false" ht="15" hidden="false" customHeight="false" outlineLevel="0" collapsed="false">
      <c r="A692" s="6" t="s">
        <v>12114</v>
      </c>
      <c r="B692" s="6" t="s">
        <v>206</v>
      </c>
      <c r="C692" s="7" t="n">
        <v>46203</v>
      </c>
      <c r="D692" s="6" t="s">
        <v>380</v>
      </c>
      <c r="E692" s="6" t="s">
        <v>10851</v>
      </c>
      <c r="F692" s="6" t="s">
        <v>10865</v>
      </c>
      <c r="G692" s="6" t="s">
        <v>10849</v>
      </c>
      <c r="H692" s="9" t="n">
        <v>149444</v>
      </c>
      <c r="I692" s="6" t="s">
        <v>384</v>
      </c>
      <c r="J692" s="6" t="s">
        <v>13</v>
      </c>
      <c r="K692" s="6" t="s">
        <v>204</v>
      </c>
      <c r="L692" s="6" t="s">
        <v>2153</v>
      </c>
      <c r="M692" s="6" t="s">
        <v>12112</v>
      </c>
      <c r="N692" s="6"/>
    </row>
    <row r="693" customFormat="false" ht="15" hidden="false" customHeight="false" outlineLevel="0" collapsed="false">
      <c r="A693" s="6" t="s">
        <v>12115</v>
      </c>
      <c r="B693" s="6" t="s">
        <v>206</v>
      </c>
      <c r="C693" s="7" t="n">
        <v>46203</v>
      </c>
      <c r="D693" s="6" t="s">
        <v>380</v>
      </c>
      <c r="E693" s="6" t="s">
        <v>10851</v>
      </c>
      <c r="F693" s="6" t="s">
        <v>10867</v>
      </c>
      <c r="G693" s="6" t="s">
        <v>10840</v>
      </c>
      <c r="H693" s="9" t="n">
        <v>40359</v>
      </c>
      <c r="I693" s="6" t="s">
        <v>384</v>
      </c>
      <c r="J693" s="6" t="s">
        <v>13</v>
      </c>
      <c r="K693" s="6" t="s">
        <v>204</v>
      </c>
      <c r="L693" s="6" t="s">
        <v>12116</v>
      </c>
      <c r="M693" s="6" t="s">
        <v>12117</v>
      </c>
      <c r="N693" s="6"/>
    </row>
    <row r="694" customFormat="false" ht="15" hidden="false" customHeight="false" outlineLevel="0" collapsed="false">
      <c r="A694" s="6" t="s">
        <v>12118</v>
      </c>
      <c r="B694" s="6" t="s">
        <v>206</v>
      </c>
      <c r="C694" s="7" t="n">
        <v>46203</v>
      </c>
      <c r="D694" s="6" t="s">
        <v>380</v>
      </c>
      <c r="E694" s="6" t="s">
        <v>10851</v>
      </c>
      <c r="F694" s="6" t="s">
        <v>2706</v>
      </c>
      <c r="G694" s="6" t="s">
        <v>10845</v>
      </c>
      <c r="H694" s="9" t="n">
        <v>-9694</v>
      </c>
      <c r="I694" s="6" t="s">
        <v>384</v>
      </c>
      <c r="J694" s="6" t="s">
        <v>13</v>
      </c>
      <c r="K694" s="6" t="s">
        <v>204</v>
      </c>
      <c r="L694" s="6" t="s">
        <v>12108</v>
      </c>
      <c r="M694" s="6" t="s">
        <v>12117</v>
      </c>
      <c r="N694" s="6"/>
    </row>
    <row r="695" customFormat="false" ht="15" hidden="false" customHeight="false" outlineLevel="0" collapsed="false">
      <c r="A695" s="6" t="s">
        <v>12119</v>
      </c>
      <c r="B695" s="6" t="s">
        <v>206</v>
      </c>
      <c r="C695" s="7" t="n">
        <v>46203</v>
      </c>
      <c r="D695" s="6" t="s">
        <v>380</v>
      </c>
      <c r="E695" s="6" t="s">
        <v>10851</v>
      </c>
      <c r="F695" s="6" t="s">
        <v>10872</v>
      </c>
      <c r="G695" s="6" t="s">
        <v>10849</v>
      </c>
      <c r="H695" s="9" t="n">
        <v>30665</v>
      </c>
      <c r="I695" s="6" t="s">
        <v>384</v>
      </c>
      <c r="J695" s="6" t="s">
        <v>13</v>
      </c>
      <c r="K695" s="6" t="s">
        <v>204</v>
      </c>
      <c r="L695" s="6" t="s">
        <v>2268</v>
      </c>
      <c r="M695" s="6" t="s">
        <v>12117</v>
      </c>
      <c r="N695" s="6"/>
    </row>
    <row r="696" customFormat="false" ht="15" hidden="false" customHeight="false" outlineLevel="0" collapsed="false">
      <c r="A696" s="6" t="s">
        <v>12120</v>
      </c>
      <c r="B696" s="6" t="s">
        <v>206</v>
      </c>
      <c r="C696" s="7" t="n">
        <v>46203</v>
      </c>
      <c r="D696" s="6" t="s">
        <v>380</v>
      </c>
      <c r="E696" s="6" t="s">
        <v>11306</v>
      </c>
      <c r="F696" s="6" t="s">
        <v>10162</v>
      </c>
      <c r="G696" s="6" t="s">
        <v>10840</v>
      </c>
      <c r="H696" s="9" t="n">
        <v>-1544</v>
      </c>
      <c r="I696" s="6" t="s">
        <v>384</v>
      </c>
      <c r="J696" s="6" t="s">
        <v>13</v>
      </c>
      <c r="K696" s="6" t="s">
        <v>204</v>
      </c>
      <c r="L696" s="6" t="s">
        <v>12121</v>
      </c>
      <c r="M696" s="6" t="s">
        <v>12122</v>
      </c>
      <c r="N696" s="6"/>
    </row>
    <row r="697" customFormat="false" ht="15" hidden="false" customHeight="false" outlineLevel="0" collapsed="false">
      <c r="A697" s="6" t="s">
        <v>12123</v>
      </c>
      <c r="B697" s="6" t="s">
        <v>206</v>
      </c>
      <c r="C697" s="7" t="n">
        <v>46203</v>
      </c>
      <c r="D697" s="6" t="s">
        <v>380</v>
      </c>
      <c r="E697" s="6" t="s">
        <v>11306</v>
      </c>
      <c r="F697" s="6" t="s">
        <v>2706</v>
      </c>
      <c r="G697" s="6" t="s">
        <v>10845</v>
      </c>
      <c r="H697" s="9" t="n">
        <v>41218</v>
      </c>
      <c r="I697" s="6" t="s">
        <v>384</v>
      </c>
      <c r="J697" s="6" t="s">
        <v>13</v>
      </c>
      <c r="K697" s="6" t="s">
        <v>204</v>
      </c>
      <c r="L697" s="6" t="s">
        <v>2817</v>
      </c>
      <c r="M697" s="6" t="s">
        <v>12122</v>
      </c>
      <c r="N697" s="6"/>
    </row>
    <row r="698" customFormat="false" ht="15" hidden="false" customHeight="false" outlineLevel="0" collapsed="false">
      <c r="A698" s="6" t="s">
        <v>12124</v>
      </c>
      <c r="B698" s="6" t="s">
        <v>206</v>
      </c>
      <c r="C698" s="7" t="n">
        <v>46203</v>
      </c>
      <c r="D698" s="6" t="s">
        <v>380</v>
      </c>
      <c r="E698" s="6" t="s">
        <v>11306</v>
      </c>
      <c r="F698" s="6" t="s">
        <v>12125</v>
      </c>
      <c r="G698" s="6" t="s">
        <v>10845</v>
      </c>
      <c r="H698" s="9" t="n">
        <v>21436</v>
      </c>
      <c r="I698" s="6" t="s">
        <v>384</v>
      </c>
      <c r="J698" s="6" t="s">
        <v>13</v>
      </c>
      <c r="K698" s="6" t="s">
        <v>204</v>
      </c>
      <c r="L698" s="6" t="s">
        <v>2920</v>
      </c>
      <c r="M698" s="6" t="s">
        <v>12122</v>
      </c>
      <c r="N698" s="6"/>
    </row>
    <row r="699" customFormat="false" ht="15" hidden="false" customHeight="false" outlineLevel="0" collapsed="false">
      <c r="A699" s="6" t="s">
        <v>12126</v>
      </c>
      <c r="B699" s="6" t="s">
        <v>206</v>
      </c>
      <c r="C699" s="7" t="n">
        <v>46203</v>
      </c>
      <c r="D699" s="6" t="s">
        <v>380</v>
      </c>
      <c r="E699" s="6" t="s">
        <v>11306</v>
      </c>
      <c r="F699" s="6" t="s">
        <v>5717</v>
      </c>
      <c r="G699" s="6" t="s">
        <v>10849</v>
      </c>
      <c r="H699" s="9" t="n">
        <v>61110</v>
      </c>
      <c r="I699" s="6" t="s">
        <v>384</v>
      </c>
      <c r="J699" s="6" t="s">
        <v>13</v>
      </c>
      <c r="K699" s="6" t="s">
        <v>204</v>
      </c>
      <c r="L699" s="6" t="s">
        <v>2383</v>
      </c>
      <c r="M699" s="6" t="s">
        <v>12122</v>
      </c>
      <c r="N699" s="6"/>
    </row>
    <row r="700" customFormat="false" ht="15" hidden="false" customHeight="false" outlineLevel="0" collapsed="false">
      <c r="A700" s="6" t="s">
        <v>12127</v>
      </c>
      <c r="B700" s="6" t="s">
        <v>206</v>
      </c>
      <c r="C700" s="7" t="n">
        <v>46203</v>
      </c>
      <c r="D700" s="6" t="s">
        <v>380</v>
      </c>
      <c r="E700" s="6" t="s">
        <v>11849</v>
      </c>
      <c r="F700" s="6" t="s">
        <v>11850</v>
      </c>
      <c r="G700" s="6" t="s">
        <v>10840</v>
      </c>
      <c r="H700" s="9" t="n">
        <v>3460</v>
      </c>
      <c r="I700" s="6" t="s">
        <v>384</v>
      </c>
      <c r="J700" s="6" t="s">
        <v>13</v>
      </c>
      <c r="K700" s="6" t="s">
        <v>204</v>
      </c>
      <c r="L700" s="6" t="s">
        <v>12128</v>
      </c>
      <c r="M700" s="6" t="s">
        <v>12129</v>
      </c>
      <c r="N700" s="6"/>
    </row>
    <row r="701" customFormat="false" ht="15" hidden="false" customHeight="false" outlineLevel="0" collapsed="false">
      <c r="A701" s="6" t="s">
        <v>12130</v>
      </c>
      <c r="B701" s="6" t="s">
        <v>206</v>
      </c>
      <c r="C701" s="7" t="n">
        <v>46203</v>
      </c>
      <c r="D701" s="6" t="s">
        <v>380</v>
      </c>
      <c r="E701" s="6" t="s">
        <v>11849</v>
      </c>
      <c r="F701" s="6" t="s">
        <v>2706</v>
      </c>
      <c r="G701" s="6" t="s">
        <v>10845</v>
      </c>
      <c r="H701" s="9" t="n">
        <v>41218</v>
      </c>
      <c r="I701" s="6" t="s">
        <v>384</v>
      </c>
      <c r="J701" s="6" t="s">
        <v>13</v>
      </c>
      <c r="K701" s="6" t="s">
        <v>204</v>
      </c>
      <c r="L701" s="6" t="s">
        <v>12131</v>
      </c>
      <c r="M701" s="6" t="s">
        <v>12129</v>
      </c>
      <c r="N701" s="6"/>
    </row>
    <row r="702" customFormat="false" ht="15" hidden="false" customHeight="false" outlineLevel="0" collapsed="false">
      <c r="A702" s="6" t="s">
        <v>12132</v>
      </c>
      <c r="B702" s="6" t="s">
        <v>206</v>
      </c>
      <c r="C702" s="7" t="n">
        <v>46203</v>
      </c>
      <c r="D702" s="6" t="s">
        <v>380</v>
      </c>
      <c r="E702" s="6" t="s">
        <v>11849</v>
      </c>
      <c r="F702" s="6" t="s">
        <v>12125</v>
      </c>
      <c r="G702" s="6" t="s">
        <v>10845</v>
      </c>
      <c r="H702" s="9" t="n">
        <v>21436</v>
      </c>
      <c r="I702" s="6" t="s">
        <v>384</v>
      </c>
      <c r="J702" s="6" t="s">
        <v>13</v>
      </c>
      <c r="K702" s="6" t="s">
        <v>204</v>
      </c>
      <c r="L702" s="6" t="s">
        <v>12133</v>
      </c>
      <c r="M702" s="6" t="s">
        <v>12129</v>
      </c>
      <c r="N702" s="6"/>
    </row>
    <row r="703" customFormat="false" ht="15" hidden="false" customHeight="false" outlineLevel="0" collapsed="false">
      <c r="A703" s="6" t="s">
        <v>12134</v>
      </c>
      <c r="B703" s="6" t="s">
        <v>206</v>
      </c>
      <c r="C703" s="7" t="n">
        <v>46203</v>
      </c>
      <c r="D703" s="6" t="s">
        <v>380</v>
      </c>
      <c r="E703" s="6" t="s">
        <v>11849</v>
      </c>
      <c r="F703" s="6" t="s">
        <v>11766</v>
      </c>
      <c r="G703" s="6" t="s">
        <v>10845</v>
      </c>
      <c r="H703" s="9" t="n">
        <v>-479</v>
      </c>
      <c r="I703" s="6" t="s">
        <v>384</v>
      </c>
      <c r="J703" s="6" t="s">
        <v>13</v>
      </c>
      <c r="K703" s="6" t="s">
        <v>204</v>
      </c>
      <c r="L703" s="6" t="s">
        <v>12135</v>
      </c>
      <c r="M703" s="6" t="s">
        <v>12129</v>
      </c>
      <c r="N703" s="6"/>
    </row>
    <row r="704" customFormat="false" ht="15" hidden="false" customHeight="false" outlineLevel="0" collapsed="false">
      <c r="A704" s="6" t="s">
        <v>12136</v>
      </c>
      <c r="B704" s="6" t="s">
        <v>206</v>
      </c>
      <c r="C704" s="7" t="n">
        <v>46203</v>
      </c>
      <c r="D704" s="6" t="s">
        <v>380</v>
      </c>
      <c r="E704" s="6" t="s">
        <v>11849</v>
      </c>
      <c r="F704" s="6" t="s">
        <v>11632</v>
      </c>
      <c r="G704" s="6" t="s">
        <v>10849</v>
      </c>
      <c r="H704" s="9" t="n">
        <v>65635</v>
      </c>
      <c r="I704" s="6" t="s">
        <v>384</v>
      </c>
      <c r="J704" s="6" t="s">
        <v>13</v>
      </c>
      <c r="K704" s="6" t="s">
        <v>204</v>
      </c>
      <c r="L704" s="6" t="s">
        <v>2591</v>
      </c>
      <c r="M704" s="6" t="s">
        <v>12129</v>
      </c>
      <c r="N704" s="6"/>
    </row>
    <row r="705" customFormat="false" ht="15" hidden="false" customHeight="false" outlineLevel="0" collapsed="false">
      <c r="A705" s="6" t="s">
        <v>12137</v>
      </c>
      <c r="B705" s="6" t="s">
        <v>206</v>
      </c>
      <c r="C705" s="7" t="n">
        <v>46203</v>
      </c>
      <c r="D705" s="6" t="s">
        <v>380</v>
      </c>
      <c r="E705" s="6" t="s">
        <v>10904</v>
      </c>
      <c r="F705" s="6" t="s">
        <v>8429</v>
      </c>
      <c r="G705" s="6" t="s">
        <v>10840</v>
      </c>
      <c r="H705" s="9" t="n">
        <v>55354</v>
      </c>
      <c r="I705" s="6" t="s">
        <v>384</v>
      </c>
      <c r="J705" s="6" t="s">
        <v>13</v>
      </c>
      <c r="K705" s="6" t="s">
        <v>204</v>
      </c>
      <c r="L705" s="6" t="s">
        <v>12138</v>
      </c>
      <c r="M705" s="6" t="s">
        <v>12139</v>
      </c>
      <c r="N705" s="6"/>
    </row>
    <row r="706" customFormat="false" ht="15" hidden="false" customHeight="false" outlineLevel="0" collapsed="false">
      <c r="A706" s="6" t="s">
        <v>12140</v>
      </c>
      <c r="B706" s="6" t="s">
        <v>206</v>
      </c>
      <c r="C706" s="7" t="n">
        <v>46203</v>
      </c>
      <c r="D706" s="6" t="s">
        <v>380</v>
      </c>
      <c r="E706" s="6" t="s">
        <v>10904</v>
      </c>
      <c r="F706" s="6" t="s">
        <v>8520</v>
      </c>
      <c r="G706" s="6" t="s">
        <v>10845</v>
      </c>
      <c r="H706" s="9" t="n">
        <v>-3790</v>
      </c>
      <c r="I706" s="6" t="s">
        <v>384</v>
      </c>
      <c r="J706" s="6" t="s">
        <v>13</v>
      </c>
      <c r="K706" s="6" t="s">
        <v>204</v>
      </c>
      <c r="L706" s="6" t="s">
        <v>3174</v>
      </c>
      <c r="M706" s="6" t="s">
        <v>12139</v>
      </c>
      <c r="N706" s="6"/>
    </row>
    <row r="707" customFormat="false" ht="15" hidden="false" customHeight="false" outlineLevel="0" collapsed="false">
      <c r="A707" s="6" t="s">
        <v>12141</v>
      </c>
      <c r="B707" s="6" t="s">
        <v>206</v>
      </c>
      <c r="C707" s="7" t="n">
        <v>46203</v>
      </c>
      <c r="D707" s="6" t="s">
        <v>380</v>
      </c>
      <c r="E707" s="6" t="s">
        <v>10904</v>
      </c>
      <c r="F707" s="6" t="s">
        <v>8081</v>
      </c>
      <c r="G707" s="6" t="s">
        <v>10845</v>
      </c>
      <c r="H707" s="9" t="n">
        <v>-1106</v>
      </c>
      <c r="I707" s="6" t="s">
        <v>384</v>
      </c>
      <c r="J707" s="6" t="s">
        <v>13</v>
      </c>
      <c r="K707" s="6" t="s">
        <v>204</v>
      </c>
      <c r="L707" s="6" t="s">
        <v>3287</v>
      </c>
      <c r="M707" s="6" t="s">
        <v>12139</v>
      </c>
      <c r="N707" s="6"/>
    </row>
    <row r="708" customFormat="false" ht="15" hidden="false" customHeight="false" outlineLevel="0" collapsed="false">
      <c r="A708" s="6" t="s">
        <v>12142</v>
      </c>
      <c r="B708" s="6" t="s">
        <v>206</v>
      </c>
      <c r="C708" s="7" t="n">
        <v>46203</v>
      </c>
      <c r="D708" s="6" t="s">
        <v>380</v>
      </c>
      <c r="E708" s="6" t="s">
        <v>10904</v>
      </c>
      <c r="F708" s="6" t="s">
        <v>12143</v>
      </c>
      <c r="G708" s="6" t="s">
        <v>10845</v>
      </c>
      <c r="H708" s="9" t="n">
        <v>1886</v>
      </c>
      <c r="I708" s="6" t="s">
        <v>384</v>
      </c>
      <c r="J708" s="6" t="s">
        <v>13</v>
      </c>
      <c r="K708" s="6" t="s">
        <v>204</v>
      </c>
      <c r="L708" s="6" t="s">
        <v>3351</v>
      </c>
      <c r="M708" s="6" t="s">
        <v>12139</v>
      </c>
      <c r="N708" s="6"/>
    </row>
    <row r="709" customFormat="false" ht="15" hidden="false" customHeight="false" outlineLevel="0" collapsed="false">
      <c r="A709" s="6" t="s">
        <v>12144</v>
      </c>
      <c r="B709" s="6" t="s">
        <v>206</v>
      </c>
      <c r="C709" s="7" t="n">
        <v>46203</v>
      </c>
      <c r="D709" s="6" t="s">
        <v>380</v>
      </c>
      <c r="E709" s="6" t="s">
        <v>10904</v>
      </c>
      <c r="F709" s="6" t="s">
        <v>4887</v>
      </c>
      <c r="G709" s="6" t="s">
        <v>10849</v>
      </c>
      <c r="H709" s="9" t="n">
        <v>52344</v>
      </c>
      <c r="I709" s="6" t="s">
        <v>384</v>
      </c>
      <c r="J709" s="6" t="s">
        <v>13</v>
      </c>
      <c r="K709" s="6" t="s">
        <v>204</v>
      </c>
      <c r="L709" s="6" t="s">
        <v>3471</v>
      </c>
      <c r="M709" s="6" t="s">
        <v>12139</v>
      </c>
      <c r="N709" s="6"/>
    </row>
  </sheetData>
  <autoFilter ref="A1:N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 collapsed="false" customWidth="true" hidden="false" outlineLevel="0" max="3" min="3" style="0" width="22"/>
    <col collapsed="false" customWidth="true" hidden="false" outlineLevel="0" max="4" min="4" style="0" width="45"/>
    <col collapsed="false" customWidth="true" hidden="false" outlineLevel="0" max="5" min="5" style="0" width="22"/>
    <col collapsed="false" customWidth="true" hidden="false" outlineLevel="0" max="6" min="6" style="0" width="70"/>
    <col collapsed="false" customWidth="true" hidden="false" outlineLevel="0" max="7" min="7" style="0" width="60"/>
    <col collapsed="false" customWidth="true" hidden="false" outlineLevel="0" max="8" min="8" style="0" width="50"/>
  </cols>
  <sheetData>
    <row r="1" customFormat="false" ht="15" hidden="false" customHeight="false" outlineLevel="0" collapsed="false">
      <c r="A1" s="5" t="s">
        <v>369</v>
      </c>
      <c r="B1" s="5" t="s">
        <v>12145</v>
      </c>
      <c r="C1" s="5" t="s">
        <v>90</v>
      </c>
      <c r="D1" s="5" t="s">
        <v>4715</v>
      </c>
      <c r="E1" s="5" t="s">
        <v>12146</v>
      </c>
      <c r="F1" s="5" t="s">
        <v>12147</v>
      </c>
      <c r="G1" s="5" t="s">
        <v>12148</v>
      </c>
      <c r="H1" s="5" t="s">
        <v>99</v>
      </c>
    </row>
    <row r="2" customFormat="false" ht="102.2" hidden="false" customHeight="false" outlineLevel="0" collapsed="false">
      <c r="A2" s="4" t="s">
        <v>12149</v>
      </c>
      <c r="B2" s="4" t="s">
        <v>12150</v>
      </c>
      <c r="C2" s="4" t="s">
        <v>12151</v>
      </c>
      <c r="D2" s="4" t="s">
        <v>12152</v>
      </c>
      <c r="E2" s="4" t="s">
        <v>12153</v>
      </c>
      <c r="F2" s="4" t="s">
        <v>12154</v>
      </c>
      <c r="G2" s="4" t="s">
        <v>12155</v>
      </c>
      <c r="H2" s="4" t="s">
        <v>12156</v>
      </c>
    </row>
    <row r="3" customFormat="false" ht="46.25" hidden="false" customHeight="false" outlineLevel="0" collapsed="false">
      <c r="A3" s="4" t="s">
        <v>12157</v>
      </c>
      <c r="B3" s="4" t="s">
        <v>12158</v>
      </c>
      <c r="C3" s="4" t="s">
        <v>12159</v>
      </c>
      <c r="D3" s="4" t="s">
        <v>12160</v>
      </c>
      <c r="E3" s="4" t="s">
        <v>12161</v>
      </c>
      <c r="F3" s="4" t="s">
        <v>12162</v>
      </c>
      <c r="G3" s="4" t="s">
        <v>12163</v>
      </c>
      <c r="H3" s="4" t="s">
        <v>12164</v>
      </c>
    </row>
    <row r="4" customFormat="false" ht="35.05" hidden="false" customHeight="false" outlineLevel="0" collapsed="false">
      <c r="A4" s="4" t="s">
        <v>12165</v>
      </c>
      <c r="B4" s="4" t="s">
        <v>12166</v>
      </c>
      <c r="C4" s="4" t="s">
        <v>12167</v>
      </c>
      <c r="D4" s="4" t="s">
        <v>12168</v>
      </c>
      <c r="E4" s="4" t="s">
        <v>12161</v>
      </c>
      <c r="F4" s="4" t="s">
        <v>12169</v>
      </c>
      <c r="G4" s="4" t="s">
        <v>12170</v>
      </c>
      <c r="H4" s="4"/>
    </row>
    <row r="5" customFormat="false" ht="68.65" hidden="false" customHeight="false" outlineLevel="0" collapsed="false">
      <c r="A5" s="4" t="s">
        <v>4413</v>
      </c>
      <c r="B5" s="4" t="s">
        <v>12171</v>
      </c>
      <c r="C5" s="4" t="s">
        <v>12172</v>
      </c>
      <c r="D5" s="4" t="s">
        <v>12173</v>
      </c>
      <c r="E5" s="4" t="s">
        <v>12174</v>
      </c>
      <c r="F5" s="4" t="s">
        <v>12175</v>
      </c>
      <c r="G5" s="4" t="s">
        <v>12176</v>
      </c>
      <c r="H5" s="4"/>
    </row>
    <row r="6" customFormat="false" ht="79.85" hidden="false" customHeight="false" outlineLevel="0" collapsed="false">
      <c r="A6" s="4" t="s">
        <v>12177</v>
      </c>
      <c r="B6" s="4" t="s">
        <v>12178</v>
      </c>
      <c r="C6" s="4" t="s">
        <v>12179</v>
      </c>
      <c r="D6" s="4" t="s">
        <v>12180</v>
      </c>
      <c r="E6" s="4" t="s">
        <v>12181</v>
      </c>
      <c r="F6" s="4" t="s">
        <v>12182</v>
      </c>
      <c r="G6" s="4" t="s">
        <v>12183</v>
      </c>
      <c r="H6" s="4"/>
    </row>
    <row r="7" customFormat="false" ht="68.65" hidden="false" customHeight="false" outlineLevel="0" collapsed="false">
      <c r="A7" s="4" t="s">
        <v>12184</v>
      </c>
      <c r="B7" s="4" t="s">
        <v>12185</v>
      </c>
      <c r="C7" s="4" t="s">
        <v>12186</v>
      </c>
      <c r="D7" s="4" t="s">
        <v>12187</v>
      </c>
      <c r="E7" s="4" t="s">
        <v>12188</v>
      </c>
      <c r="F7" s="4" t="s">
        <v>12189</v>
      </c>
      <c r="G7" s="4" t="s">
        <v>12190</v>
      </c>
      <c r="H7" s="4"/>
    </row>
    <row r="8" customFormat="false" ht="46.25" hidden="false" customHeight="false" outlineLevel="0" collapsed="false">
      <c r="A8" s="4" t="s">
        <v>12191</v>
      </c>
      <c r="B8" s="4" t="s">
        <v>12192</v>
      </c>
      <c r="C8" s="4" t="s">
        <v>12193</v>
      </c>
      <c r="D8" s="4" t="s">
        <v>12194</v>
      </c>
      <c r="E8" s="4" t="s">
        <v>12195</v>
      </c>
      <c r="F8" s="4" t="s">
        <v>12196</v>
      </c>
      <c r="G8" s="4" t="s">
        <v>12197</v>
      </c>
      <c r="H8" s="4" t="s">
        <v>12198</v>
      </c>
    </row>
    <row r="9" customFormat="false" ht="35.05" hidden="false" customHeight="false" outlineLevel="0" collapsed="false">
      <c r="A9" s="4" t="s">
        <v>4565</v>
      </c>
      <c r="B9" s="4" t="s">
        <v>12199</v>
      </c>
      <c r="C9" s="4" t="s">
        <v>12200</v>
      </c>
      <c r="D9" s="4" t="s">
        <v>12201</v>
      </c>
      <c r="E9" s="4" t="s">
        <v>12202</v>
      </c>
      <c r="F9" s="4" t="s">
        <v>12203</v>
      </c>
      <c r="G9" s="4" t="s">
        <v>12204</v>
      </c>
      <c r="H9" s="4"/>
    </row>
    <row r="10" customFormat="false" ht="68.65" hidden="false" customHeight="false" outlineLevel="0" collapsed="false">
      <c r="A10" s="4" t="s">
        <v>12205</v>
      </c>
      <c r="B10" s="4" t="s">
        <v>12206</v>
      </c>
      <c r="C10" s="4" t="s">
        <v>12207</v>
      </c>
      <c r="D10" s="4" t="s">
        <v>12208</v>
      </c>
      <c r="E10" s="4" t="s">
        <v>12209</v>
      </c>
      <c r="F10" s="4" t="s">
        <v>12210</v>
      </c>
      <c r="G10" s="4" t="s">
        <v>12211</v>
      </c>
      <c r="H10" s="4" t="s">
        <v>12212</v>
      </c>
    </row>
    <row r="11" customFormat="false" ht="68.65" hidden="false" customHeight="false" outlineLevel="0" collapsed="false">
      <c r="A11" s="4" t="s">
        <v>12213</v>
      </c>
      <c r="B11" s="4" t="s">
        <v>12214</v>
      </c>
      <c r="C11" s="4" t="s">
        <v>12215</v>
      </c>
      <c r="D11" s="4" t="s">
        <v>12216</v>
      </c>
      <c r="E11" s="4" t="s">
        <v>12161</v>
      </c>
      <c r="F11" s="4" t="s">
        <v>12217</v>
      </c>
      <c r="G11" s="4" t="s">
        <v>12218</v>
      </c>
      <c r="H11" s="4"/>
    </row>
    <row r="12" customFormat="false" ht="35.05" hidden="false" customHeight="false" outlineLevel="0" collapsed="false">
      <c r="A12" s="4" t="s">
        <v>11264</v>
      </c>
      <c r="B12" s="4" t="s">
        <v>12219</v>
      </c>
      <c r="C12" s="4" t="s">
        <v>12220</v>
      </c>
      <c r="D12" s="4" t="s">
        <v>12221</v>
      </c>
      <c r="E12" s="4" t="s">
        <v>12161</v>
      </c>
      <c r="F12" s="4" t="s">
        <v>12222</v>
      </c>
      <c r="G12" s="4" t="s">
        <v>12223</v>
      </c>
      <c r="H12" s="4" t="s">
        <v>12224</v>
      </c>
    </row>
    <row r="13" customFormat="false" ht="35.05" hidden="false" customHeight="false" outlineLevel="0" collapsed="false">
      <c r="A13" s="4" t="s">
        <v>12225</v>
      </c>
      <c r="B13" s="4" t="s">
        <v>12226</v>
      </c>
      <c r="C13" s="4" t="s">
        <v>12227</v>
      </c>
      <c r="D13" s="4" t="s">
        <v>12228</v>
      </c>
      <c r="E13" s="4" t="s">
        <v>12229</v>
      </c>
      <c r="F13" s="4" t="s">
        <v>12230</v>
      </c>
      <c r="G13" s="4" t="s">
        <v>12231</v>
      </c>
      <c r="H13" s="4"/>
    </row>
    <row r="14" customFormat="false" ht="57.45" hidden="false" customHeight="false" outlineLevel="0" collapsed="false">
      <c r="A14" s="4" t="s">
        <v>10622</v>
      </c>
      <c r="B14" s="4" t="s">
        <v>12232</v>
      </c>
      <c r="C14" s="4" t="s">
        <v>12233</v>
      </c>
      <c r="D14" s="4" t="s">
        <v>12234</v>
      </c>
      <c r="E14" s="4" t="s">
        <v>12235</v>
      </c>
      <c r="F14" s="4" t="s">
        <v>12236</v>
      </c>
      <c r="G14" s="4" t="s">
        <v>12237</v>
      </c>
      <c r="H14" s="4"/>
    </row>
    <row r="15" customFormat="false" ht="35.05" hidden="false" customHeight="false" outlineLevel="0" collapsed="false">
      <c r="A15" s="4" t="s">
        <v>12238</v>
      </c>
      <c r="B15" s="4" t="s">
        <v>12239</v>
      </c>
      <c r="C15" s="4" t="s">
        <v>12240</v>
      </c>
      <c r="D15" s="4" t="s">
        <v>12241</v>
      </c>
      <c r="E15" s="4" t="s">
        <v>12242</v>
      </c>
      <c r="F15" s="4" t="s">
        <v>12243</v>
      </c>
      <c r="G15" s="4" t="s">
        <v>12244</v>
      </c>
      <c r="H15" s="4"/>
    </row>
    <row r="16" customFormat="false" ht="23.85" hidden="false" customHeight="false" outlineLevel="0" collapsed="false">
      <c r="A16" s="4" t="s">
        <v>12245</v>
      </c>
      <c r="B16" s="4" t="s">
        <v>12246</v>
      </c>
      <c r="C16" s="4" t="s">
        <v>233</v>
      </c>
      <c r="D16" s="4" t="s">
        <v>12247</v>
      </c>
      <c r="E16" s="4" t="s">
        <v>12248</v>
      </c>
      <c r="F16" s="4" t="s">
        <v>12249</v>
      </c>
      <c r="G16" s="4" t="s">
        <v>12250</v>
      </c>
      <c r="H16" s="4"/>
    </row>
    <row r="17" customFormat="false" ht="23.85" hidden="false" customHeight="false" outlineLevel="0" collapsed="false">
      <c r="A17" s="4" t="s">
        <v>12251</v>
      </c>
      <c r="B17" s="4" t="s">
        <v>12252</v>
      </c>
      <c r="C17" s="4" t="s">
        <v>12253</v>
      </c>
      <c r="D17" s="4" t="s">
        <v>12254</v>
      </c>
      <c r="E17" s="4" t="s">
        <v>12255</v>
      </c>
      <c r="F17" s="4" t="s">
        <v>12256</v>
      </c>
      <c r="G17" s="4" t="s">
        <v>12257</v>
      </c>
      <c r="H17" s="4"/>
    </row>
    <row r="18" customFormat="false" ht="15" hidden="false" customHeight="false" outlineLevel="0" collapsed="false">
      <c r="A18" s="4" t="s">
        <v>12258</v>
      </c>
      <c r="B18" s="4" t="s">
        <v>12259</v>
      </c>
      <c r="C18" s="4" t="s">
        <v>223</v>
      </c>
      <c r="D18" s="4" t="s">
        <v>12260</v>
      </c>
      <c r="E18" s="4" t="s">
        <v>12261</v>
      </c>
      <c r="F18" s="4"/>
      <c r="G18" s="4" t="s">
        <v>12262</v>
      </c>
      <c r="H18" s="4"/>
    </row>
    <row r="19" customFormat="false" ht="23.85" hidden="false" customHeight="false" outlineLevel="0" collapsed="false">
      <c r="A19" s="4" t="s">
        <v>10495</v>
      </c>
      <c r="B19" s="4" t="s">
        <v>12263</v>
      </c>
      <c r="C19" s="4" t="s">
        <v>12264</v>
      </c>
      <c r="D19" s="4" t="s">
        <v>12265</v>
      </c>
      <c r="E19" s="4" t="s">
        <v>12161</v>
      </c>
      <c r="F19" s="4" t="s">
        <v>12266</v>
      </c>
      <c r="G19" s="4" t="s">
        <v>12267</v>
      </c>
      <c r="H19" s="4"/>
    </row>
  </sheetData>
  <autoFilter ref="A1:H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70"/>
    <col collapsed="false" customWidth="true" hidden="false" outlineLevel="0" max="4" min="4" style="0" width="14"/>
    <col collapsed="false" customWidth="true" hidden="false" outlineLevel="0" max="5" min="5" style="0" width="70"/>
    <col collapsed="false" customWidth="true" hidden="false" outlineLevel="0" max="6" min="6" style="0" width="14"/>
    <col collapsed="false" customWidth="true" hidden="false" outlineLevel="0" max="7" min="7" style="0" width="9"/>
    <col collapsed="false" customWidth="true" hidden="false" outlineLevel="0" max="8" min="8" style="0" width="10"/>
    <col collapsed="false" customWidth="true" hidden="false" outlineLevel="0" max="9" min="9" style="0" width="80"/>
  </cols>
  <sheetData>
    <row r="1" customFormat="false" ht="23.85" hidden="false" customHeight="false" outlineLevel="0" collapsed="false">
      <c r="A1" s="5" t="s">
        <v>12268</v>
      </c>
      <c r="B1" s="5" t="s">
        <v>12269</v>
      </c>
      <c r="C1" s="5" t="s">
        <v>12270</v>
      </c>
      <c r="D1" s="5" t="s">
        <v>12271</v>
      </c>
      <c r="E1" s="5" t="s">
        <v>12272</v>
      </c>
      <c r="F1" s="5" t="s">
        <v>12273</v>
      </c>
      <c r="G1" s="5" t="s">
        <v>12274</v>
      </c>
      <c r="H1" s="5" t="s">
        <v>12275</v>
      </c>
      <c r="I1" s="5" t="s">
        <v>12276</v>
      </c>
    </row>
    <row r="2" customFormat="false" ht="15" hidden="false" customHeight="false" outlineLevel="0" collapsed="false">
      <c r="A2" s="6" t="s">
        <v>12277</v>
      </c>
      <c r="B2" s="6" t="s">
        <v>12278</v>
      </c>
      <c r="C2" s="6" t="s">
        <v>12279</v>
      </c>
      <c r="D2" s="6" t="s">
        <v>379</v>
      </c>
      <c r="E2" s="6" t="s">
        <v>12280</v>
      </c>
      <c r="F2" s="20" t="n">
        <f aca="false">Quarterly_Actuals!H2-Quarterly_Actuals!H40-Quarterly_Actuals!H78</f>
        <v>0</v>
      </c>
      <c r="G2" s="6" t="str">
        <f aca="false">IF(ABS(F2)&lt;=H2,"PASS","FAIL")</f>
        <v>PASS</v>
      </c>
      <c r="H2" s="6" t="n">
        <v>0.5</v>
      </c>
      <c r="I2" s="6"/>
    </row>
    <row r="3" customFormat="false" ht="15" hidden="false" customHeight="false" outlineLevel="0" collapsed="false">
      <c r="A3" s="6" t="s">
        <v>12281</v>
      </c>
      <c r="B3" s="6" t="s">
        <v>12278</v>
      </c>
      <c r="C3" s="6" t="s">
        <v>12282</v>
      </c>
      <c r="D3" s="6" t="s">
        <v>379</v>
      </c>
      <c r="E3" s="6" t="s">
        <v>12283</v>
      </c>
      <c r="F3" s="20" t="n">
        <f aca="false">Quarterly_Actuals!H78-Quarterly_Actuals!H270-Quarterly_Actuals!H308</f>
        <v>0</v>
      </c>
      <c r="G3" s="6" t="str">
        <f aca="false">IF(ABS(F3)&lt;=H3,"PASS","FAIL")</f>
        <v>PASS</v>
      </c>
      <c r="H3" s="6" t="n">
        <v>0.5</v>
      </c>
      <c r="I3" s="6"/>
    </row>
    <row r="4" customFormat="false" ht="15" hidden="false" customHeight="false" outlineLevel="0" collapsed="false">
      <c r="A4" s="6" t="s">
        <v>12284</v>
      </c>
      <c r="B4" s="6" t="s">
        <v>12278</v>
      </c>
      <c r="C4" s="6" t="s">
        <v>12285</v>
      </c>
      <c r="D4" s="6" t="s">
        <v>379</v>
      </c>
      <c r="E4" s="6" t="s">
        <v>12286</v>
      </c>
      <c r="F4" s="20" t="n">
        <f aca="false">Quarterly_Actuals!H154+Quarterly_Actuals!H192+Quarterly_Actuals!H230-Quarterly_Actuals!H270</f>
        <v>0</v>
      </c>
      <c r="G4" s="6" t="str">
        <f aca="false">IF(ABS(F4)&lt;=H4,"PASS","FAIL")</f>
        <v>PASS</v>
      </c>
      <c r="H4" s="6" t="n">
        <v>0.5</v>
      </c>
      <c r="I4" s="6"/>
    </row>
    <row r="5" customFormat="false" ht="15" hidden="false" customHeight="false" outlineLevel="0" collapsed="false">
      <c r="A5" s="6" t="s">
        <v>12287</v>
      </c>
      <c r="B5" s="6" t="s">
        <v>12288</v>
      </c>
      <c r="C5" s="6" t="s">
        <v>12289</v>
      </c>
      <c r="D5" s="6" t="s">
        <v>379</v>
      </c>
      <c r="E5" s="6" t="s">
        <v>12290</v>
      </c>
      <c r="F5" s="20" t="n">
        <f aca="false">Reconciliations!H26-Quarterly_Actuals!H930</f>
        <v>0</v>
      </c>
      <c r="G5" s="6" t="str">
        <f aca="false">IF(ABS(F5)&lt;=H5,"PASS","FAIL")</f>
        <v>PASS</v>
      </c>
      <c r="H5" s="6" t="n">
        <v>0.5</v>
      </c>
      <c r="I5" s="6"/>
    </row>
    <row r="6" customFormat="false" ht="15" hidden="false" customHeight="false" outlineLevel="0" collapsed="false">
      <c r="A6" s="6" t="s">
        <v>12291</v>
      </c>
      <c r="B6" s="6" t="s">
        <v>12288</v>
      </c>
      <c r="C6" s="6" t="s">
        <v>12292</v>
      </c>
      <c r="D6" s="6" t="s">
        <v>379</v>
      </c>
      <c r="E6" s="6" t="s">
        <v>12293</v>
      </c>
      <c r="F6" s="20" t="n">
        <f aca="false">Quarterly_Actuals!H930+Quarterly_Actuals!H968+Quarterly_Actuals!H1006+Quarterly_Actuals!H1044-Quarterly_Actuals!H1068</f>
        <v>0</v>
      </c>
      <c r="G6" s="6" t="str">
        <f aca="false">IF(ABS(F6)&lt;=H6,"PASS","FAIL")</f>
        <v>PASS</v>
      </c>
      <c r="H6" s="6" t="n">
        <v>0.5</v>
      </c>
      <c r="I6" s="6"/>
    </row>
    <row r="7" customFormat="false" ht="15" hidden="false" customHeight="false" outlineLevel="0" collapsed="false">
      <c r="A7" s="6" t="s">
        <v>12294</v>
      </c>
      <c r="B7" s="6" t="s">
        <v>12295</v>
      </c>
      <c r="C7" s="6" t="s">
        <v>12296</v>
      </c>
      <c r="D7" s="6" t="s">
        <v>379</v>
      </c>
      <c r="E7" s="6" t="s">
        <v>12297</v>
      </c>
      <c r="F7" s="20" t="n">
        <f aca="false">Quarterly_Actuals!H834-Quarterly_Actuals!H872</f>
        <v>0</v>
      </c>
      <c r="G7" s="6" t="str">
        <f aca="false">IF(ABS(F7)&lt;=H7,"PASS","FAIL")</f>
        <v>PASS</v>
      </c>
      <c r="H7" s="6" t="n">
        <v>0.5</v>
      </c>
      <c r="I7" s="6"/>
    </row>
    <row r="8" customFormat="false" ht="15" hidden="false" customHeight="false" outlineLevel="0" collapsed="false">
      <c r="A8" s="6" t="s">
        <v>12298</v>
      </c>
      <c r="B8" s="6" t="s">
        <v>12299</v>
      </c>
      <c r="C8" s="6" t="s">
        <v>12300</v>
      </c>
      <c r="D8" s="6" t="s">
        <v>379</v>
      </c>
      <c r="E8" s="6" t="s">
        <v>12301</v>
      </c>
      <c r="F8" s="20" t="n">
        <f aca="false">ROUND(Quarterly_Actuals!H422,2)-Quarterly_Actuals!H116</f>
        <v>0</v>
      </c>
      <c r="G8" s="6" t="str">
        <f aca="false">IF(ABS(F8)&lt;=H8,"PASS","FAIL")</f>
        <v>PASS</v>
      </c>
      <c r="H8" s="6" t="n">
        <v>0.0001</v>
      </c>
      <c r="I8" s="6"/>
    </row>
    <row r="9" customFormat="false" ht="15" hidden="false" customHeight="false" outlineLevel="0" collapsed="false">
      <c r="A9" s="6" t="s">
        <v>12302</v>
      </c>
      <c r="B9" s="6" t="s">
        <v>12299</v>
      </c>
      <c r="C9" s="6" t="s">
        <v>12303</v>
      </c>
      <c r="D9" s="6" t="s">
        <v>379</v>
      </c>
      <c r="E9" s="6" t="s">
        <v>12304</v>
      </c>
      <c r="F9" s="20" t="n">
        <f aca="false">ROUND(Quarterly_Actuals!H780,2)-Quarterly_Actuals!H514</f>
        <v>0</v>
      </c>
      <c r="G9" s="6" t="str">
        <f aca="false">IF(ABS(F9)&lt;=H9,"PASS","FAIL")</f>
        <v>PASS</v>
      </c>
      <c r="H9" s="6" t="n">
        <v>0.0001</v>
      </c>
      <c r="I9" s="6"/>
    </row>
    <row r="10" customFormat="false" ht="15" hidden="false" customHeight="false" outlineLevel="0" collapsed="false">
      <c r="A10" s="6" t="s">
        <v>12305</v>
      </c>
      <c r="B10" s="6" t="s">
        <v>12299</v>
      </c>
      <c r="C10" s="6" t="s">
        <v>12306</v>
      </c>
      <c r="D10" s="6" t="s">
        <v>379</v>
      </c>
      <c r="E10" s="6" t="s">
        <v>12307</v>
      </c>
      <c r="F10" s="20" t="n">
        <f aca="false">ROUND(Quarterly_Actuals!H449,2)-Quarterly_Actuals!H346</f>
        <v>0</v>
      </c>
      <c r="G10" s="6" t="str">
        <f aca="false">IF(ABS(F10)&lt;=H10,"PASS","FAIL")</f>
        <v>PASS</v>
      </c>
      <c r="H10" s="6" t="n">
        <v>0.0001</v>
      </c>
      <c r="I10" s="6"/>
    </row>
    <row r="11" customFormat="false" ht="15" hidden="false" customHeight="false" outlineLevel="0" collapsed="false">
      <c r="A11" s="6" t="s">
        <v>12308</v>
      </c>
      <c r="B11" s="6" t="s">
        <v>12299</v>
      </c>
      <c r="C11" s="6" t="s">
        <v>12309</v>
      </c>
      <c r="D11" s="6" t="s">
        <v>379</v>
      </c>
      <c r="E11" s="6" t="s">
        <v>12310</v>
      </c>
      <c r="F11" s="20" t="n">
        <f aca="false">ROUND(Quarterly_Actuals!H807,2)-Quarterly_Actuals!H704</f>
        <v>0</v>
      </c>
      <c r="G11" s="6" t="str">
        <f aca="false">IF(ABS(F11)&lt;=H11,"PASS","FAIL")</f>
        <v>PASS</v>
      </c>
      <c r="H11" s="6" t="n">
        <v>0.0001</v>
      </c>
      <c r="I11" s="6"/>
    </row>
    <row r="12" customFormat="false" ht="15" hidden="false" customHeight="false" outlineLevel="0" collapsed="false">
      <c r="A12" s="6" t="s">
        <v>12311</v>
      </c>
      <c r="B12" s="6" t="s">
        <v>12278</v>
      </c>
      <c r="C12" s="6" t="s">
        <v>12279</v>
      </c>
      <c r="D12" s="6" t="s">
        <v>103</v>
      </c>
      <c r="E12" s="6" t="s">
        <v>12312</v>
      </c>
      <c r="F12" s="20" t="n">
        <f aca="false">Quarterly_Actuals!H3-Quarterly_Actuals!H41-Quarterly_Actuals!H79</f>
        <v>0</v>
      </c>
      <c r="G12" s="6" t="str">
        <f aca="false">IF(ABS(F12)&lt;=H12,"PASS","FAIL")</f>
        <v>PASS</v>
      </c>
      <c r="H12" s="6" t="n">
        <v>0.5</v>
      </c>
      <c r="I12" s="6"/>
    </row>
    <row r="13" customFormat="false" ht="15" hidden="false" customHeight="false" outlineLevel="0" collapsed="false">
      <c r="A13" s="6" t="s">
        <v>12313</v>
      </c>
      <c r="B13" s="6" t="s">
        <v>12278</v>
      </c>
      <c r="C13" s="6" t="s">
        <v>12282</v>
      </c>
      <c r="D13" s="6" t="s">
        <v>103</v>
      </c>
      <c r="E13" s="6" t="s">
        <v>12314</v>
      </c>
      <c r="F13" s="20" t="n">
        <f aca="false">Quarterly_Actuals!H79-Quarterly_Actuals!H271-Quarterly_Actuals!H309</f>
        <v>0</v>
      </c>
      <c r="G13" s="6" t="str">
        <f aca="false">IF(ABS(F13)&lt;=H13,"PASS","FAIL")</f>
        <v>PASS</v>
      </c>
      <c r="H13" s="6" t="n">
        <v>0.5</v>
      </c>
      <c r="I13" s="6"/>
    </row>
    <row r="14" customFormat="false" ht="15" hidden="false" customHeight="false" outlineLevel="0" collapsed="false">
      <c r="A14" s="6" t="s">
        <v>12315</v>
      </c>
      <c r="B14" s="6" t="s">
        <v>12278</v>
      </c>
      <c r="C14" s="6" t="s">
        <v>12285</v>
      </c>
      <c r="D14" s="6" t="s">
        <v>103</v>
      </c>
      <c r="E14" s="6" t="s">
        <v>12316</v>
      </c>
      <c r="F14" s="20" t="n">
        <f aca="false">Quarterly_Actuals!H155+Quarterly_Actuals!H193+Quarterly_Actuals!H231-Quarterly_Actuals!H271</f>
        <v>0</v>
      </c>
      <c r="G14" s="6" t="str">
        <f aca="false">IF(ABS(F14)&lt;=H14,"PASS","FAIL")</f>
        <v>PASS</v>
      </c>
      <c r="H14" s="6" t="n">
        <v>0.5</v>
      </c>
      <c r="I14" s="6"/>
    </row>
    <row r="15" customFormat="false" ht="15" hidden="false" customHeight="false" outlineLevel="0" collapsed="false">
      <c r="A15" s="6" t="s">
        <v>12317</v>
      </c>
      <c r="B15" s="6" t="s">
        <v>12288</v>
      </c>
      <c r="C15" s="6" t="s">
        <v>12289</v>
      </c>
      <c r="D15" s="6" t="s">
        <v>103</v>
      </c>
      <c r="E15" s="6" t="s">
        <v>12318</v>
      </c>
      <c r="F15" s="20" t="n">
        <f aca="false">Reconciliations!H53-Quarterly_Actuals!H931</f>
        <v>0</v>
      </c>
      <c r="G15" s="6" t="str">
        <f aca="false">IF(ABS(F15)&lt;=H15,"PASS","FAIL")</f>
        <v>PASS</v>
      </c>
      <c r="H15" s="6" t="n">
        <v>0.5</v>
      </c>
      <c r="I15" s="6"/>
    </row>
    <row r="16" customFormat="false" ht="15" hidden="false" customHeight="false" outlineLevel="0" collapsed="false">
      <c r="A16" s="6" t="s">
        <v>12319</v>
      </c>
      <c r="B16" s="6" t="s">
        <v>12288</v>
      </c>
      <c r="C16" s="6" t="s">
        <v>12292</v>
      </c>
      <c r="D16" s="6" t="s">
        <v>103</v>
      </c>
      <c r="E16" s="6" t="s">
        <v>12320</v>
      </c>
      <c r="F16" s="20" t="n">
        <f aca="false">Quarterly_Actuals!H931+Quarterly_Actuals!H969+Quarterly_Actuals!H1007+Quarterly_Actuals!H1045-Quarterly_Actuals!H1069</f>
        <v>0</v>
      </c>
      <c r="G16" s="6" t="str">
        <f aca="false">IF(ABS(F16)&lt;=H16,"PASS","FAIL")</f>
        <v>PASS</v>
      </c>
      <c r="H16" s="6" t="n">
        <v>0.5</v>
      </c>
      <c r="I16" s="6"/>
    </row>
    <row r="17" customFormat="false" ht="15" hidden="false" customHeight="false" outlineLevel="0" collapsed="false">
      <c r="A17" s="6" t="s">
        <v>12321</v>
      </c>
      <c r="B17" s="6" t="s">
        <v>12295</v>
      </c>
      <c r="C17" s="6" t="s">
        <v>12296</v>
      </c>
      <c r="D17" s="6" t="s">
        <v>103</v>
      </c>
      <c r="E17" s="6" t="s">
        <v>12322</v>
      </c>
      <c r="F17" s="20" t="n">
        <f aca="false">Quarterly_Actuals!H835-Quarterly_Actuals!H873</f>
        <v>0</v>
      </c>
      <c r="G17" s="6" t="str">
        <f aca="false">IF(ABS(F17)&lt;=H17,"PASS","FAIL")</f>
        <v>PASS</v>
      </c>
      <c r="H17" s="6" t="n">
        <v>0.5</v>
      </c>
      <c r="I17" s="6"/>
    </row>
    <row r="18" customFormat="false" ht="15" hidden="false" customHeight="false" outlineLevel="0" collapsed="false">
      <c r="A18" s="6" t="s">
        <v>12323</v>
      </c>
      <c r="B18" s="6" t="s">
        <v>12299</v>
      </c>
      <c r="C18" s="6" t="s">
        <v>12300</v>
      </c>
      <c r="D18" s="6" t="s">
        <v>103</v>
      </c>
      <c r="E18" s="6" t="s">
        <v>12324</v>
      </c>
      <c r="F18" s="20" t="n">
        <f aca="false">ROUND(Quarterly_Actuals!H423,2)-Quarterly_Actuals!H117</f>
        <v>0</v>
      </c>
      <c r="G18" s="6" t="str">
        <f aca="false">IF(ABS(F18)&lt;=H18,"PASS","FAIL")</f>
        <v>PASS</v>
      </c>
      <c r="H18" s="6" t="n">
        <v>0.0001</v>
      </c>
      <c r="I18" s="6"/>
    </row>
    <row r="19" customFormat="false" ht="15" hidden="false" customHeight="false" outlineLevel="0" collapsed="false">
      <c r="A19" s="6" t="s">
        <v>12325</v>
      </c>
      <c r="B19" s="6" t="s">
        <v>12299</v>
      </c>
      <c r="C19" s="6" t="s">
        <v>12303</v>
      </c>
      <c r="D19" s="6" t="s">
        <v>103</v>
      </c>
      <c r="E19" s="6" t="s">
        <v>12326</v>
      </c>
      <c r="F19" s="20" t="n">
        <f aca="false">ROUND(Quarterly_Actuals!H781,2)-Quarterly_Actuals!H515</f>
        <v>0</v>
      </c>
      <c r="G19" s="6" t="str">
        <f aca="false">IF(ABS(F19)&lt;=H19,"PASS","FAIL")</f>
        <v>PASS</v>
      </c>
      <c r="H19" s="6" t="n">
        <v>0.0001</v>
      </c>
      <c r="I19" s="6"/>
    </row>
    <row r="20" customFormat="false" ht="15" hidden="false" customHeight="false" outlineLevel="0" collapsed="false">
      <c r="A20" s="6" t="s">
        <v>12327</v>
      </c>
      <c r="B20" s="6" t="s">
        <v>12299</v>
      </c>
      <c r="C20" s="6" t="s">
        <v>12306</v>
      </c>
      <c r="D20" s="6" t="s">
        <v>103</v>
      </c>
      <c r="E20" s="6" t="s">
        <v>12328</v>
      </c>
      <c r="F20" s="20" t="n">
        <f aca="false">ROUND(Quarterly_Actuals!H450,2)-Quarterly_Actuals!H347</f>
        <v>0</v>
      </c>
      <c r="G20" s="6" t="str">
        <f aca="false">IF(ABS(F20)&lt;=H20,"PASS","FAIL")</f>
        <v>PASS</v>
      </c>
      <c r="H20" s="6" t="n">
        <v>0.0001</v>
      </c>
      <c r="I20" s="6"/>
    </row>
    <row r="21" customFormat="false" ht="15" hidden="false" customHeight="false" outlineLevel="0" collapsed="false">
      <c r="A21" s="6" t="s">
        <v>12329</v>
      </c>
      <c r="B21" s="6" t="s">
        <v>12299</v>
      </c>
      <c r="C21" s="6" t="s">
        <v>12309</v>
      </c>
      <c r="D21" s="6" t="s">
        <v>103</v>
      </c>
      <c r="E21" s="6" t="s">
        <v>12330</v>
      </c>
      <c r="F21" s="20" t="n">
        <f aca="false">ROUND(Quarterly_Actuals!H808,2)-Quarterly_Actuals!H705</f>
        <v>0</v>
      </c>
      <c r="G21" s="6" t="str">
        <f aca="false">IF(ABS(F21)&lt;=H21,"PASS","FAIL")</f>
        <v>PASS</v>
      </c>
      <c r="H21" s="6" t="n">
        <v>0.0001</v>
      </c>
      <c r="I21" s="6"/>
    </row>
    <row r="22" customFormat="false" ht="15" hidden="false" customHeight="false" outlineLevel="0" collapsed="false">
      <c r="A22" s="6" t="s">
        <v>12331</v>
      </c>
      <c r="B22" s="6" t="s">
        <v>12278</v>
      </c>
      <c r="C22" s="6" t="s">
        <v>12279</v>
      </c>
      <c r="D22" s="6" t="s">
        <v>111</v>
      </c>
      <c r="E22" s="6" t="s">
        <v>12332</v>
      </c>
      <c r="F22" s="20" t="n">
        <f aca="false">Quarterly_Actuals!H5-Quarterly_Actuals!H43-Quarterly_Actuals!H81</f>
        <v>0</v>
      </c>
      <c r="G22" s="6" t="str">
        <f aca="false">IF(ABS(F22)&lt;=H22,"PASS","FAIL")</f>
        <v>PASS</v>
      </c>
      <c r="H22" s="6" t="n">
        <v>0.5</v>
      </c>
      <c r="I22" s="6"/>
    </row>
    <row r="23" customFormat="false" ht="15" hidden="false" customHeight="false" outlineLevel="0" collapsed="false">
      <c r="A23" s="6" t="s">
        <v>12333</v>
      </c>
      <c r="B23" s="6" t="s">
        <v>12278</v>
      </c>
      <c r="C23" s="6" t="s">
        <v>12282</v>
      </c>
      <c r="D23" s="6" t="s">
        <v>111</v>
      </c>
      <c r="E23" s="6" t="s">
        <v>12334</v>
      </c>
      <c r="F23" s="20" t="n">
        <f aca="false">Quarterly_Actuals!H81-Quarterly_Actuals!H273-Quarterly_Actuals!H311</f>
        <v>0</v>
      </c>
      <c r="G23" s="6" t="str">
        <f aca="false">IF(ABS(F23)&lt;=H23,"PASS","FAIL")</f>
        <v>PASS</v>
      </c>
      <c r="H23" s="6" t="n">
        <v>0.5</v>
      </c>
      <c r="I23" s="6"/>
    </row>
    <row r="24" customFormat="false" ht="15" hidden="false" customHeight="false" outlineLevel="0" collapsed="false">
      <c r="A24" s="6" t="s">
        <v>12335</v>
      </c>
      <c r="B24" s="6" t="s">
        <v>12278</v>
      </c>
      <c r="C24" s="6" t="s">
        <v>12285</v>
      </c>
      <c r="D24" s="6" t="s">
        <v>111</v>
      </c>
      <c r="E24" s="6" t="s">
        <v>12336</v>
      </c>
      <c r="F24" s="20" t="n">
        <f aca="false">Quarterly_Actuals!H157+Quarterly_Actuals!H195+Quarterly_Actuals!H233-Quarterly_Actuals!H273</f>
        <v>0</v>
      </c>
      <c r="G24" s="6" t="str">
        <f aca="false">IF(ABS(F24)&lt;=H24,"PASS","FAIL")</f>
        <v>PASS</v>
      </c>
      <c r="H24" s="6" t="n">
        <v>0.5</v>
      </c>
      <c r="I24" s="6"/>
    </row>
    <row r="25" customFormat="false" ht="15" hidden="false" customHeight="false" outlineLevel="0" collapsed="false">
      <c r="A25" s="6" t="s">
        <v>12337</v>
      </c>
      <c r="B25" s="6" t="s">
        <v>12288</v>
      </c>
      <c r="C25" s="6" t="s">
        <v>12289</v>
      </c>
      <c r="D25" s="6" t="s">
        <v>111</v>
      </c>
      <c r="E25" s="6" t="s">
        <v>12338</v>
      </c>
      <c r="F25" s="20" t="n">
        <f aca="false">Reconciliations!H82-Quarterly_Actuals!H933</f>
        <v>0</v>
      </c>
      <c r="G25" s="6" t="str">
        <f aca="false">IF(ABS(F25)&lt;=H25,"PASS","FAIL")</f>
        <v>PASS</v>
      </c>
      <c r="H25" s="6" t="n">
        <v>0.5</v>
      </c>
      <c r="I25" s="6"/>
    </row>
    <row r="26" customFormat="false" ht="15" hidden="false" customHeight="false" outlineLevel="0" collapsed="false">
      <c r="A26" s="6" t="s">
        <v>12339</v>
      </c>
      <c r="B26" s="6" t="s">
        <v>12288</v>
      </c>
      <c r="C26" s="6" t="s">
        <v>12292</v>
      </c>
      <c r="D26" s="6" t="s">
        <v>111</v>
      </c>
      <c r="E26" s="6" t="s">
        <v>12340</v>
      </c>
      <c r="F26" s="20" t="n">
        <f aca="false">Quarterly_Actuals!H933+Quarterly_Actuals!H971+Quarterly_Actuals!H1009+Quarterly_Actuals!H1047-Quarterly_Actuals!H1071</f>
        <v>0</v>
      </c>
      <c r="G26" s="6" t="str">
        <f aca="false">IF(ABS(F26)&lt;=H26,"PASS","FAIL")</f>
        <v>PASS</v>
      </c>
      <c r="H26" s="6" t="n">
        <v>0.5</v>
      </c>
      <c r="I26" s="6"/>
    </row>
    <row r="27" customFormat="false" ht="15" hidden="false" customHeight="false" outlineLevel="0" collapsed="false">
      <c r="A27" s="6" t="s">
        <v>12341</v>
      </c>
      <c r="B27" s="6" t="s">
        <v>12295</v>
      </c>
      <c r="C27" s="6" t="s">
        <v>12296</v>
      </c>
      <c r="D27" s="6" t="s">
        <v>111</v>
      </c>
      <c r="E27" s="6" t="s">
        <v>12342</v>
      </c>
      <c r="F27" s="20" t="n">
        <f aca="false">Quarterly_Actuals!H837-Quarterly_Actuals!H875</f>
        <v>0</v>
      </c>
      <c r="G27" s="6" t="str">
        <f aca="false">IF(ABS(F27)&lt;=H27,"PASS","FAIL")</f>
        <v>PASS</v>
      </c>
      <c r="H27" s="6" t="n">
        <v>0.5</v>
      </c>
      <c r="I27" s="6"/>
    </row>
    <row r="28" customFormat="false" ht="15" hidden="false" customHeight="false" outlineLevel="0" collapsed="false">
      <c r="A28" s="6" t="s">
        <v>12343</v>
      </c>
      <c r="B28" s="6" t="s">
        <v>12299</v>
      </c>
      <c r="C28" s="6" t="s">
        <v>12300</v>
      </c>
      <c r="D28" s="6" t="s">
        <v>111</v>
      </c>
      <c r="E28" s="6" t="s">
        <v>12344</v>
      </c>
      <c r="F28" s="20" t="n">
        <f aca="false">ROUND(Quarterly_Actuals!H424,2)-Quarterly_Actuals!H119</f>
        <v>0</v>
      </c>
      <c r="G28" s="6" t="str">
        <f aca="false">IF(ABS(F28)&lt;=H28,"PASS","FAIL")</f>
        <v>PASS</v>
      </c>
      <c r="H28" s="6" t="n">
        <v>0.0001</v>
      </c>
      <c r="I28" s="6"/>
    </row>
    <row r="29" customFormat="false" ht="15" hidden="false" customHeight="false" outlineLevel="0" collapsed="false">
      <c r="A29" s="6" t="s">
        <v>12345</v>
      </c>
      <c r="B29" s="6" t="s">
        <v>12299</v>
      </c>
      <c r="C29" s="6" t="s">
        <v>12303</v>
      </c>
      <c r="D29" s="6" t="s">
        <v>111</v>
      </c>
      <c r="E29" s="6" t="s">
        <v>12346</v>
      </c>
      <c r="F29" s="20" t="n">
        <f aca="false">ROUND(Quarterly_Actuals!H782,2)-Quarterly_Actuals!H517</f>
        <v>0</v>
      </c>
      <c r="G29" s="6" t="str">
        <f aca="false">IF(ABS(F29)&lt;=H29,"PASS","FAIL")</f>
        <v>PASS</v>
      </c>
      <c r="H29" s="6" t="n">
        <v>0.0001</v>
      </c>
      <c r="I29" s="6"/>
    </row>
    <row r="30" customFormat="false" ht="15" hidden="false" customHeight="false" outlineLevel="0" collapsed="false">
      <c r="A30" s="6" t="s">
        <v>12347</v>
      </c>
      <c r="B30" s="6" t="s">
        <v>12299</v>
      </c>
      <c r="C30" s="6" t="s">
        <v>12306</v>
      </c>
      <c r="D30" s="6" t="s">
        <v>111</v>
      </c>
      <c r="E30" s="6" t="s">
        <v>12348</v>
      </c>
      <c r="F30" s="20" t="n">
        <f aca="false">ROUND(Quarterly_Actuals!H451,2)-Quarterly_Actuals!H349</f>
        <v>0</v>
      </c>
      <c r="G30" s="6" t="str">
        <f aca="false">IF(ABS(F30)&lt;=H30,"PASS","FAIL")</f>
        <v>PASS</v>
      </c>
      <c r="H30" s="6" t="n">
        <v>0.0001</v>
      </c>
      <c r="I30" s="6"/>
    </row>
    <row r="31" customFormat="false" ht="15" hidden="false" customHeight="false" outlineLevel="0" collapsed="false">
      <c r="A31" s="6" t="s">
        <v>12349</v>
      </c>
      <c r="B31" s="6" t="s">
        <v>12299</v>
      </c>
      <c r="C31" s="6" t="s">
        <v>12309</v>
      </c>
      <c r="D31" s="6" t="s">
        <v>111</v>
      </c>
      <c r="E31" s="6" t="s">
        <v>12350</v>
      </c>
      <c r="F31" s="20" t="n">
        <f aca="false">ROUND(Quarterly_Actuals!H809,2)-Quarterly_Actuals!H707</f>
        <v>0</v>
      </c>
      <c r="G31" s="6" t="str">
        <f aca="false">IF(ABS(F31)&lt;=H31,"PASS","FAIL")</f>
        <v>PASS</v>
      </c>
      <c r="H31" s="6" t="n">
        <v>0.0001</v>
      </c>
      <c r="I31" s="6"/>
    </row>
    <row r="32" customFormat="false" ht="15" hidden="false" customHeight="false" outlineLevel="0" collapsed="false">
      <c r="A32" s="6" t="s">
        <v>12351</v>
      </c>
      <c r="B32" s="6" t="s">
        <v>12278</v>
      </c>
      <c r="C32" s="6" t="s">
        <v>12279</v>
      </c>
      <c r="D32" s="6" t="s">
        <v>116</v>
      </c>
      <c r="E32" s="6" t="s">
        <v>12352</v>
      </c>
      <c r="F32" s="20" t="n">
        <f aca="false">Quarterly_Actuals!H7-Quarterly_Actuals!H45-Quarterly_Actuals!H83</f>
        <v>0</v>
      </c>
      <c r="G32" s="6" t="str">
        <f aca="false">IF(ABS(F32)&lt;=H32,"PASS","FAIL")</f>
        <v>PASS</v>
      </c>
      <c r="H32" s="6" t="n">
        <v>0.5</v>
      </c>
      <c r="I32" s="6"/>
    </row>
    <row r="33" customFormat="false" ht="15" hidden="false" customHeight="false" outlineLevel="0" collapsed="false">
      <c r="A33" s="6" t="s">
        <v>12353</v>
      </c>
      <c r="B33" s="6" t="s">
        <v>12278</v>
      </c>
      <c r="C33" s="6" t="s">
        <v>12282</v>
      </c>
      <c r="D33" s="6" t="s">
        <v>116</v>
      </c>
      <c r="E33" s="6" t="s">
        <v>12354</v>
      </c>
      <c r="F33" s="20" t="n">
        <f aca="false">Quarterly_Actuals!H83-Quarterly_Actuals!H275-Quarterly_Actuals!H313</f>
        <v>0</v>
      </c>
      <c r="G33" s="6" t="str">
        <f aca="false">IF(ABS(F33)&lt;=H33,"PASS","FAIL")</f>
        <v>PASS</v>
      </c>
      <c r="H33" s="6" t="n">
        <v>0.5</v>
      </c>
      <c r="I33" s="6"/>
    </row>
    <row r="34" customFormat="false" ht="15" hidden="false" customHeight="false" outlineLevel="0" collapsed="false">
      <c r="A34" s="6" t="s">
        <v>12355</v>
      </c>
      <c r="B34" s="6" t="s">
        <v>12278</v>
      </c>
      <c r="C34" s="6" t="s">
        <v>12285</v>
      </c>
      <c r="D34" s="6" t="s">
        <v>116</v>
      </c>
      <c r="E34" s="6" t="s">
        <v>12356</v>
      </c>
      <c r="F34" s="20" t="n">
        <f aca="false">Quarterly_Actuals!H159+Quarterly_Actuals!H197+Quarterly_Actuals!H235-Quarterly_Actuals!H275</f>
        <v>0</v>
      </c>
      <c r="G34" s="6" t="str">
        <f aca="false">IF(ABS(F34)&lt;=H34,"PASS","FAIL")</f>
        <v>PASS</v>
      </c>
      <c r="H34" s="6" t="n">
        <v>0.5</v>
      </c>
      <c r="I34" s="6"/>
    </row>
    <row r="35" customFormat="false" ht="15" hidden="false" customHeight="false" outlineLevel="0" collapsed="false">
      <c r="A35" s="6" t="s">
        <v>12357</v>
      </c>
      <c r="B35" s="6" t="s">
        <v>12288</v>
      </c>
      <c r="C35" s="6" t="s">
        <v>12289</v>
      </c>
      <c r="D35" s="6" t="s">
        <v>116</v>
      </c>
      <c r="E35" s="6" t="s">
        <v>12358</v>
      </c>
      <c r="F35" s="20" t="n">
        <f aca="false">Reconciliations!H111-Quarterly_Actuals!H935</f>
        <v>0</v>
      </c>
      <c r="G35" s="6" t="str">
        <f aca="false">IF(ABS(F35)&lt;=H35,"PASS","FAIL")</f>
        <v>PASS</v>
      </c>
      <c r="H35" s="6" t="n">
        <v>0.5</v>
      </c>
      <c r="I35" s="6"/>
    </row>
    <row r="36" customFormat="false" ht="15" hidden="false" customHeight="false" outlineLevel="0" collapsed="false">
      <c r="A36" s="6" t="s">
        <v>12359</v>
      </c>
      <c r="B36" s="6" t="s">
        <v>12288</v>
      </c>
      <c r="C36" s="6" t="s">
        <v>12292</v>
      </c>
      <c r="D36" s="6" t="s">
        <v>116</v>
      </c>
      <c r="E36" s="6" t="s">
        <v>12360</v>
      </c>
      <c r="F36" s="20" t="n">
        <f aca="false">Quarterly_Actuals!H935+Quarterly_Actuals!H973+Quarterly_Actuals!H1011+Quarterly_Actuals!H1049-Quarterly_Actuals!H1073</f>
        <v>0</v>
      </c>
      <c r="G36" s="6" t="str">
        <f aca="false">IF(ABS(F36)&lt;=H36,"PASS","FAIL")</f>
        <v>PASS</v>
      </c>
      <c r="H36" s="6" t="n">
        <v>0.5</v>
      </c>
      <c r="I36" s="6"/>
    </row>
    <row r="37" customFormat="false" ht="15" hidden="false" customHeight="false" outlineLevel="0" collapsed="false">
      <c r="A37" s="6" t="s">
        <v>12361</v>
      </c>
      <c r="B37" s="6" t="s">
        <v>12295</v>
      </c>
      <c r="C37" s="6" t="s">
        <v>12296</v>
      </c>
      <c r="D37" s="6" t="s">
        <v>116</v>
      </c>
      <c r="E37" s="6" t="s">
        <v>12362</v>
      </c>
      <c r="F37" s="20" t="n">
        <f aca="false">Quarterly_Actuals!H839-Quarterly_Actuals!H877</f>
        <v>0</v>
      </c>
      <c r="G37" s="6" t="str">
        <f aca="false">IF(ABS(F37)&lt;=H37,"PASS","FAIL")</f>
        <v>PASS</v>
      </c>
      <c r="H37" s="6" t="n">
        <v>0.5</v>
      </c>
      <c r="I37" s="6"/>
    </row>
    <row r="38" customFormat="false" ht="15" hidden="false" customHeight="false" outlineLevel="0" collapsed="false">
      <c r="A38" s="6" t="s">
        <v>12363</v>
      </c>
      <c r="B38" s="6" t="s">
        <v>12299</v>
      </c>
      <c r="C38" s="6" t="s">
        <v>12300</v>
      </c>
      <c r="D38" s="6" t="s">
        <v>116</v>
      </c>
      <c r="E38" s="6" t="s">
        <v>12364</v>
      </c>
      <c r="F38" s="20" t="n">
        <f aca="false">ROUND(Quarterly_Actuals!H425,2)-Quarterly_Actuals!H121</f>
        <v>0</v>
      </c>
      <c r="G38" s="6" t="str">
        <f aca="false">IF(ABS(F38)&lt;=H38,"PASS","FAIL")</f>
        <v>PASS</v>
      </c>
      <c r="H38" s="6" t="n">
        <v>0.0001</v>
      </c>
      <c r="I38" s="6"/>
    </row>
    <row r="39" customFormat="false" ht="15" hidden="false" customHeight="false" outlineLevel="0" collapsed="false">
      <c r="A39" s="6" t="s">
        <v>12365</v>
      </c>
      <c r="B39" s="6" t="s">
        <v>12299</v>
      </c>
      <c r="C39" s="6" t="s">
        <v>12303</v>
      </c>
      <c r="D39" s="6" t="s">
        <v>116</v>
      </c>
      <c r="E39" s="6" t="s">
        <v>12366</v>
      </c>
      <c r="F39" s="20" t="n">
        <f aca="false">ROUND(Quarterly_Actuals!H783,2)-Quarterly_Actuals!H519</f>
        <v>0</v>
      </c>
      <c r="G39" s="6" t="str">
        <f aca="false">IF(ABS(F39)&lt;=H39,"PASS","FAIL")</f>
        <v>PASS</v>
      </c>
      <c r="H39" s="6" t="n">
        <v>0.0001</v>
      </c>
      <c r="I39" s="6"/>
    </row>
    <row r="40" customFormat="false" ht="15" hidden="false" customHeight="false" outlineLevel="0" collapsed="false">
      <c r="A40" s="6" t="s">
        <v>12367</v>
      </c>
      <c r="B40" s="6" t="s">
        <v>12299</v>
      </c>
      <c r="C40" s="6" t="s">
        <v>12306</v>
      </c>
      <c r="D40" s="6" t="s">
        <v>116</v>
      </c>
      <c r="E40" s="6" t="s">
        <v>12368</v>
      </c>
      <c r="F40" s="20" t="n">
        <f aca="false">ROUND(Quarterly_Actuals!H452,2)-Quarterly_Actuals!H351</f>
        <v>0</v>
      </c>
      <c r="G40" s="6" t="str">
        <f aca="false">IF(ABS(F40)&lt;=H40,"PASS","FAIL")</f>
        <v>PASS</v>
      </c>
      <c r="H40" s="6" t="n">
        <v>0.0001</v>
      </c>
      <c r="I40" s="6"/>
    </row>
    <row r="41" customFormat="false" ht="15" hidden="false" customHeight="false" outlineLevel="0" collapsed="false">
      <c r="A41" s="6" t="s">
        <v>12369</v>
      </c>
      <c r="B41" s="6" t="s">
        <v>12299</v>
      </c>
      <c r="C41" s="6" t="s">
        <v>12309</v>
      </c>
      <c r="D41" s="6" t="s">
        <v>116</v>
      </c>
      <c r="E41" s="6" t="s">
        <v>12370</v>
      </c>
      <c r="F41" s="20" t="n">
        <f aca="false">ROUND(Quarterly_Actuals!H810,2)-Quarterly_Actuals!H709</f>
        <v>0</v>
      </c>
      <c r="G41" s="6" t="str">
        <f aca="false">IF(ABS(F41)&lt;=H41,"PASS","FAIL")</f>
        <v>PASS</v>
      </c>
      <c r="H41" s="6" t="n">
        <v>0.0001</v>
      </c>
      <c r="I41" s="6"/>
    </row>
    <row r="42" customFormat="false" ht="15" hidden="false" customHeight="false" outlineLevel="0" collapsed="false">
      <c r="A42" s="6" t="s">
        <v>12371</v>
      </c>
      <c r="B42" s="6" t="s">
        <v>12278</v>
      </c>
      <c r="C42" s="6" t="s">
        <v>12279</v>
      </c>
      <c r="D42" s="6" t="s">
        <v>212</v>
      </c>
      <c r="E42" s="6" t="s">
        <v>12372</v>
      </c>
      <c r="F42" s="20" t="n">
        <f aca="false">Quarterly_Actuals!H8-Quarterly_Actuals!H46-Quarterly_Actuals!H84</f>
        <v>0</v>
      </c>
      <c r="G42" s="6" t="str">
        <f aca="false">IF(ABS(F42)&lt;=H42,"PASS","FAIL")</f>
        <v>PASS</v>
      </c>
      <c r="H42" s="6" t="n">
        <v>0.5</v>
      </c>
      <c r="I42" s="6"/>
    </row>
    <row r="43" customFormat="false" ht="15" hidden="false" customHeight="false" outlineLevel="0" collapsed="false">
      <c r="A43" s="6" t="s">
        <v>12373</v>
      </c>
      <c r="B43" s="6" t="s">
        <v>12278</v>
      </c>
      <c r="C43" s="6" t="s">
        <v>12282</v>
      </c>
      <c r="D43" s="6" t="s">
        <v>212</v>
      </c>
      <c r="E43" s="6" t="s">
        <v>12374</v>
      </c>
      <c r="F43" s="20" t="n">
        <f aca="false">Quarterly_Actuals!H84-Quarterly_Actuals!H276-Quarterly_Actuals!H314</f>
        <v>0</v>
      </c>
      <c r="G43" s="6" t="str">
        <f aca="false">IF(ABS(F43)&lt;=H43,"PASS","FAIL")</f>
        <v>PASS</v>
      </c>
      <c r="H43" s="6" t="n">
        <v>0.5</v>
      </c>
      <c r="I43" s="6"/>
    </row>
    <row r="44" customFormat="false" ht="15" hidden="false" customHeight="false" outlineLevel="0" collapsed="false">
      <c r="A44" s="6" t="s">
        <v>12375</v>
      </c>
      <c r="B44" s="6" t="s">
        <v>12278</v>
      </c>
      <c r="C44" s="6" t="s">
        <v>12285</v>
      </c>
      <c r="D44" s="6" t="s">
        <v>212</v>
      </c>
      <c r="E44" s="6" t="s">
        <v>12376</v>
      </c>
      <c r="F44" s="20" t="n">
        <f aca="false">Quarterly_Actuals!H160+Quarterly_Actuals!H198+Quarterly_Actuals!H236-Quarterly_Actuals!H276</f>
        <v>0</v>
      </c>
      <c r="G44" s="6" t="str">
        <f aca="false">IF(ABS(F44)&lt;=H44,"PASS","FAIL")</f>
        <v>PASS</v>
      </c>
      <c r="H44" s="6" t="n">
        <v>0.5</v>
      </c>
      <c r="I44" s="6"/>
    </row>
    <row r="45" customFormat="false" ht="15" hidden="false" customHeight="false" outlineLevel="0" collapsed="false">
      <c r="A45" s="6" t="s">
        <v>12377</v>
      </c>
      <c r="B45" s="6" t="s">
        <v>12288</v>
      </c>
      <c r="C45" s="6" t="s">
        <v>12289</v>
      </c>
      <c r="D45" s="6" t="s">
        <v>212</v>
      </c>
      <c r="E45" s="6" t="s">
        <v>12378</v>
      </c>
      <c r="F45" s="20" t="n">
        <f aca="false">Reconciliations!H140-Quarterly_Actuals!H936</f>
        <v>0</v>
      </c>
      <c r="G45" s="6" t="str">
        <f aca="false">IF(ABS(F45)&lt;=H45,"PASS","FAIL")</f>
        <v>PASS</v>
      </c>
      <c r="H45" s="6" t="n">
        <v>0.5</v>
      </c>
      <c r="I45" s="6"/>
    </row>
    <row r="46" customFormat="false" ht="15" hidden="false" customHeight="false" outlineLevel="0" collapsed="false">
      <c r="A46" s="6" t="s">
        <v>12379</v>
      </c>
      <c r="B46" s="6" t="s">
        <v>12288</v>
      </c>
      <c r="C46" s="6" t="s">
        <v>12292</v>
      </c>
      <c r="D46" s="6" t="s">
        <v>212</v>
      </c>
      <c r="E46" s="6" t="s">
        <v>12380</v>
      </c>
      <c r="F46" s="20" t="n">
        <f aca="false">Quarterly_Actuals!H936+Quarterly_Actuals!H974+Quarterly_Actuals!H1012+Quarterly_Actuals!H1050-Quarterly_Actuals!H1074</f>
        <v>0</v>
      </c>
      <c r="G46" s="6" t="str">
        <f aca="false">IF(ABS(F46)&lt;=H46,"PASS","FAIL")</f>
        <v>PASS</v>
      </c>
      <c r="H46" s="6" t="n">
        <v>0.5</v>
      </c>
      <c r="I46" s="6"/>
    </row>
    <row r="47" customFormat="false" ht="15" hidden="false" customHeight="false" outlineLevel="0" collapsed="false">
      <c r="A47" s="6" t="s">
        <v>12381</v>
      </c>
      <c r="B47" s="6" t="s">
        <v>12295</v>
      </c>
      <c r="C47" s="6" t="s">
        <v>12296</v>
      </c>
      <c r="D47" s="6" t="s">
        <v>212</v>
      </c>
      <c r="E47" s="6" t="s">
        <v>12382</v>
      </c>
      <c r="F47" s="20" t="n">
        <f aca="false">Quarterly_Actuals!H840-Quarterly_Actuals!H878</f>
        <v>0</v>
      </c>
      <c r="G47" s="6" t="str">
        <f aca="false">IF(ABS(F47)&lt;=H47,"PASS","FAIL")</f>
        <v>PASS</v>
      </c>
      <c r="H47" s="6" t="n">
        <v>0.5</v>
      </c>
      <c r="I47" s="6"/>
    </row>
    <row r="48" customFormat="false" ht="15" hidden="false" customHeight="false" outlineLevel="0" collapsed="false">
      <c r="A48" s="6" t="s">
        <v>12383</v>
      </c>
      <c r="B48" s="6" t="s">
        <v>12299</v>
      </c>
      <c r="C48" s="6" t="s">
        <v>12300</v>
      </c>
      <c r="D48" s="6" t="s">
        <v>212</v>
      </c>
      <c r="E48" s="6" t="s">
        <v>12384</v>
      </c>
      <c r="F48" s="20" t="n">
        <f aca="false">ROUND(Quarterly_Actuals!H426,2)-Quarterly_Actuals!H122</f>
        <v>0</v>
      </c>
      <c r="G48" s="6" t="str">
        <f aca="false">IF(ABS(F48)&lt;=H48,"PASS","FAIL")</f>
        <v>PASS</v>
      </c>
      <c r="H48" s="6" t="n">
        <v>0.0001</v>
      </c>
      <c r="I48" s="6"/>
    </row>
    <row r="49" customFormat="false" ht="15" hidden="false" customHeight="false" outlineLevel="0" collapsed="false">
      <c r="A49" s="6" t="s">
        <v>12385</v>
      </c>
      <c r="B49" s="6" t="s">
        <v>12299</v>
      </c>
      <c r="C49" s="6" t="s">
        <v>12303</v>
      </c>
      <c r="D49" s="6" t="s">
        <v>212</v>
      </c>
      <c r="E49" s="6" t="s">
        <v>12386</v>
      </c>
      <c r="F49" s="20" t="n">
        <f aca="false">ROUND(Quarterly_Actuals!H784,2)-Quarterly_Actuals!H520</f>
        <v>0</v>
      </c>
      <c r="G49" s="6" t="str">
        <f aca="false">IF(ABS(F49)&lt;=H49,"PASS","FAIL")</f>
        <v>PASS</v>
      </c>
      <c r="H49" s="6" t="n">
        <v>0.0001</v>
      </c>
      <c r="I49" s="6"/>
    </row>
    <row r="50" customFormat="false" ht="15" hidden="false" customHeight="false" outlineLevel="0" collapsed="false">
      <c r="A50" s="6" t="s">
        <v>12387</v>
      </c>
      <c r="B50" s="6" t="s">
        <v>12299</v>
      </c>
      <c r="C50" s="6" t="s">
        <v>12306</v>
      </c>
      <c r="D50" s="6" t="s">
        <v>212</v>
      </c>
      <c r="E50" s="6" t="s">
        <v>12388</v>
      </c>
      <c r="F50" s="20" t="n">
        <f aca="false">ROUND(Quarterly_Actuals!H453,2)-Quarterly_Actuals!H352</f>
        <v>0</v>
      </c>
      <c r="G50" s="6" t="str">
        <f aca="false">IF(ABS(F50)&lt;=H50,"PASS","FAIL")</f>
        <v>PASS</v>
      </c>
      <c r="H50" s="6" t="n">
        <v>0.0001</v>
      </c>
      <c r="I50" s="6"/>
    </row>
    <row r="51" customFormat="false" ht="15" hidden="false" customHeight="false" outlineLevel="0" collapsed="false">
      <c r="A51" s="6" t="s">
        <v>12389</v>
      </c>
      <c r="B51" s="6" t="s">
        <v>12299</v>
      </c>
      <c r="C51" s="6" t="s">
        <v>12309</v>
      </c>
      <c r="D51" s="6" t="s">
        <v>212</v>
      </c>
      <c r="E51" s="6" t="s">
        <v>12390</v>
      </c>
      <c r="F51" s="20" t="n">
        <f aca="false">ROUND(Quarterly_Actuals!H811,2)-Quarterly_Actuals!H710</f>
        <v>0</v>
      </c>
      <c r="G51" s="6" t="str">
        <f aca="false">IF(ABS(F51)&lt;=H51,"PASS","FAIL")</f>
        <v>PASS</v>
      </c>
      <c r="H51" s="6" t="n">
        <v>0.0001</v>
      </c>
      <c r="I51" s="6"/>
    </row>
    <row r="52" customFormat="false" ht="15" hidden="false" customHeight="false" outlineLevel="0" collapsed="false">
      <c r="A52" s="6" t="s">
        <v>12391</v>
      </c>
      <c r="B52" s="6" t="s">
        <v>12278</v>
      </c>
      <c r="C52" s="6" t="s">
        <v>12279</v>
      </c>
      <c r="D52" s="6" t="s">
        <v>121</v>
      </c>
      <c r="E52" s="6" t="s">
        <v>12392</v>
      </c>
      <c r="F52" s="20" t="n">
        <f aca="false">Quarterly_Actuals!H9-Quarterly_Actuals!H47-Quarterly_Actuals!H85</f>
        <v>0</v>
      </c>
      <c r="G52" s="6" t="str">
        <f aca="false">IF(ABS(F52)&lt;=H52,"PASS","FAIL")</f>
        <v>PASS</v>
      </c>
      <c r="H52" s="6" t="n">
        <v>0.5</v>
      </c>
      <c r="I52" s="6"/>
    </row>
    <row r="53" customFormat="false" ht="15" hidden="false" customHeight="false" outlineLevel="0" collapsed="false">
      <c r="A53" s="6" t="s">
        <v>12393</v>
      </c>
      <c r="B53" s="6" t="s">
        <v>12278</v>
      </c>
      <c r="C53" s="6" t="s">
        <v>12282</v>
      </c>
      <c r="D53" s="6" t="s">
        <v>121</v>
      </c>
      <c r="E53" s="6" t="s">
        <v>12394</v>
      </c>
      <c r="F53" s="20" t="n">
        <f aca="false">Quarterly_Actuals!H85-Quarterly_Actuals!H277-Quarterly_Actuals!H315</f>
        <v>0</v>
      </c>
      <c r="G53" s="6" t="str">
        <f aca="false">IF(ABS(F53)&lt;=H53,"PASS","FAIL")</f>
        <v>PASS</v>
      </c>
      <c r="H53" s="6" t="n">
        <v>0.5</v>
      </c>
      <c r="I53" s="6"/>
    </row>
    <row r="54" customFormat="false" ht="15" hidden="false" customHeight="false" outlineLevel="0" collapsed="false">
      <c r="A54" s="6" t="s">
        <v>12395</v>
      </c>
      <c r="B54" s="6" t="s">
        <v>12278</v>
      </c>
      <c r="C54" s="6" t="s">
        <v>12285</v>
      </c>
      <c r="D54" s="6" t="s">
        <v>121</v>
      </c>
      <c r="E54" s="6" t="s">
        <v>12396</v>
      </c>
      <c r="F54" s="20" t="n">
        <f aca="false">Quarterly_Actuals!H161+Quarterly_Actuals!H199+Quarterly_Actuals!H237-Quarterly_Actuals!H277</f>
        <v>0</v>
      </c>
      <c r="G54" s="6" t="str">
        <f aca="false">IF(ABS(F54)&lt;=H54,"PASS","FAIL")</f>
        <v>PASS</v>
      </c>
      <c r="H54" s="6" t="n">
        <v>0.5</v>
      </c>
      <c r="I54" s="6"/>
    </row>
    <row r="55" customFormat="false" ht="15" hidden="false" customHeight="false" outlineLevel="0" collapsed="false">
      <c r="A55" s="6" t="s">
        <v>12397</v>
      </c>
      <c r="B55" s="6" t="s">
        <v>12288</v>
      </c>
      <c r="C55" s="6" t="s">
        <v>12289</v>
      </c>
      <c r="D55" s="6" t="s">
        <v>121</v>
      </c>
      <c r="E55" s="6" t="s">
        <v>12398</v>
      </c>
      <c r="F55" s="20" t="n">
        <f aca="false">Reconciliations!H169-Quarterly_Actuals!H937</f>
        <v>0</v>
      </c>
      <c r="G55" s="6" t="str">
        <f aca="false">IF(ABS(F55)&lt;=H55,"PASS","FAIL")</f>
        <v>PASS</v>
      </c>
      <c r="H55" s="6" t="n">
        <v>0.5</v>
      </c>
      <c r="I55" s="6"/>
    </row>
    <row r="56" customFormat="false" ht="15" hidden="false" customHeight="false" outlineLevel="0" collapsed="false">
      <c r="A56" s="6" t="s">
        <v>12399</v>
      </c>
      <c r="B56" s="6" t="s">
        <v>12288</v>
      </c>
      <c r="C56" s="6" t="s">
        <v>12292</v>
      </c>
      <c r="D56" s="6" t="s">
        <v>121</v>
      </c>
      <c r="E56" s="6" t="s">
        <v>12400</v>
      </c>
      <c r="F56" s="20" t="n">
        <f aca="false">Quarterly_Actuals!H937+Quarterly_Actuals!H975+Quarterly_Actuals!H1013+Quarterly_Actuals!H1051-Quarterly_Actuals!H1075</f>
        <v>0</v>
      </c>
      <c r="G56" s="6" t="str">
        <f aca="false">IF(ABS(F56)&lt;=H56,"PASS","FAIL")</f>
        <v>PASS</v>
      </c>
      <c r="H56" s="6" t="n">
        <v>0.5</v>
      </c>
      <c r="I56" s="6"/>
    </row>
    <row r="57" customFormat="false" ht="15" hidden="false" customHeight="false" outlineLevel="0" collapsed="false">
      <c r="A57" s="6" t="s">
        <v>12401</v>
      </c>
      <c r="B57" s="6" t="s">
        <v>12295</v>
      </c>
      <c r="C57" s="6" t="s">
        <v>12296</v>
      </c>
      <c r="D57" s="6" t="s">
        <v>121</v>
      </c>
      <c r="E57" s="6" t="s">
        <v>12402</v>
      </c>
      <c r="F57" s="20" t="n">
        <f aca="false">Quarterly_Actuals!H841-Quarterly_Actuals!H879</f>
        <v>0</v>
      </c>
      <c r="G57" s="6" t="str">
        <f aca="false">IF(ABS(F57)&lt;=H57,"PASS","FAIL")</f>
        <v>PASS</v>
      </c>
      <c r="H57" s="6" t="n">
        <v>0.5</v>
      </c>
      <c r="I57" s="6"/>
    </row>
    <row r="58" customFormat="false" ht="15" hidden="false" customHeight="false" outlineLevel="0" collapsed="false">
      <c r="A58" s="6" t="s">
        <v>12403</v>
      </c>
      <c r="B58" s="6" t="s">
        <v>12299</v>
      </c>
      <c r="C58" s="6" t="s">
        <v>12300</v>
      </c>
      <c r="D58" s="6" t="s">
        <v>121</v>
      </c>
      <c r="E58" s="6" t="s">
        <v>12404</v>
      </c>
      <c r="F58" s="20" t="n">
        <f aca="false">ROUND(Quarterly_Actuals!H427,2)-Quarterly_Actuals!H123</f>
        <v>0</v>
      </c>
      <c r="G58" s="6" t="str">
        <f aca="false">IF(ABS(F58)&lt;=H58,"PASS","FAIL")</f>
        <v>PASS</v>
      </c>
      <c r="H58" s="6" t="n">
        <v>0.0001</v>
      </c>
      <c r="I58" s="6"/>
    </row>
    <row r="59" customFormat="false" ht="15" hidden="false" customHeight="false" outlineLevel="0" collapsed="false">
      <c r="A59" s="6" t="s">
        <v>12405</v>
      </c>
      <c r="B59" s="6" t="s">
        <v>12299</v>
      </c>
      <c r="C59" s="6" t="s">
        <v>12303</v>
      </c>
      <c r="D59" s="6" t="s">
        <v>121</v>
      </c>
      <c r="E59" s="6" t="s">
        <v>12406</v>
      </c>
      <c r="F59" s="20" t="n">
        <f aca="false">ROUND(Quarterly_Actuals!H785,2)-Quarterly_Actuals!H521</f>
        <v>0</v>
      </c>
      <c r="G59" s="6" t="str">
        <f aca="false">IF(ABS(F59)&lt;=H59,"PASS","FAIL")</f>
        <v>PASS</v>
      </c>
      <c r="H59" s="6" t="n">
        <v>0.0001</v>
      </c>
      <c r="I59" s="6"/>
    </row>
    <row r="60" customFormat="false" ht="15" hidden="false" customHeight="false" outlineLevel="0" collapsed="false">
      <c r="A60" s="6" t="s">
        <v>12407</v>
      </c>
      <c r="B60" s="6" t="s">
        <v>12299</v>
      </c>
      <c r="C60" s="6" t="s">
        <v>12306</v>
      </c>
      <c r="D60" s="6" t="s">
        <v>121</v>
      </c>
      <c r="E60" s="6" t="s">
        <v>12408</v>
      </c>
      <c r="F60" s="20" t="n">
        <f aca="false">ROUND(Quarterly_Actuals!H454,2)-Quarterly_Actuals!H353</f>
        <v>0</v>
      </c>
      <c r="G60" s="6" t="str">
        <f aca="false">IF(ABS(F60)&lt;=H60,"PASS","FAIL")</f>
        <v>PASS</v>
      </c>
      <c r="H60" s="6" t="n">
        <v>0.0001</v>
      </c>
      <c r="I60" s="6"/>
    </row>
    <row r="61" customFormat="false" ht="15" hidden="false" customHeight="false" outlineLevel="0" collapsed="false">
      <c r="A61" s="6" t="s">
        <v>12409</v>
      </c>
      <c r="B61" s="6" t="s">
        <v>12299</v>
      </c>
      <c r="C61" s="6" t="s">
        <v>12309</v>
      </c>
      <c r="D61" s="6" t="s">
        <v>121</v>
      </c>
      <c r="E61" s="6" t="s">
        <v>12410</v>
      </c>
      <c r="F61" s="20" t="n">
        <f aca="false">ROUND(Quarterly_Actuals!H812,2)-Quarterly_Actuals!H711</f>
        <v>0</v>
      </c>
      <c r="G61" s="6" t="str">
        <f aca="false">IF(ABS(F61)&lt;=H61,"PASS","FAIL")</f>
        <v>PASS</v>
      </c>
      <c r="H61" s="6" t="n">
        <v>0.0001</v>
      </c>
      <c r="I61" s="6"/>
    </row>
    <row r="62" customFormat="false" ht="15" hidden="false" customHeight="false" outlineLevel="0" collapsed="false">
      <c r="A62" s="6" t="s">
        <v>12411</v>
      </c>
      <c r="B62" s="6" t="s">
        <v>12278</v>
      </c>
      <c r="C62" s="6" t="s">
        <v>12279</v>
      </c>
      <c r="D62" s="6" t="s">
        <v>126</v>
      </c>
      <c r="E62" s="6" t="s">
        <v>12412</v>
      </c>
      <c r="F62" s="20" t="n">
        <f aca="false">Quarterly_Actuals!H10-Quarterly_Actuals!H48-Quarterly_Actuals!H86</f>
        <v>0</v>
      </c>
      <c r="G62" s="6" t="str">
        <f aca="false">IF(ABS(F62)&lt;=H62,"PASS","FAIL")</f>
        <v>PASS</v>
      </c>
      <c r="H62" s="6" t="n">
        <v>0.5</v>
      </c>
      <c r="I62" s="6"/>
    </row>
    <row r="63" customFormat="false" ht="15" hidden="false" customHeight="false" outlineLevel="0" collapsed="false">
      <c r="A63" s="6" t="s">
        <v>12413</v>
      </c>
      <c r="B63" s="6" t="s">
        <v>12278</v>
      </c>
      <c r="C63" s="6" t="s">
        <v>12282</v>
      </c>
      <c r="D63" s="6" t="s">
        <v>126</v>
      </c>
      <c r="E63" s="6" t="s">
        <v>12414</v>
      </c>
      <c r="F63" s="20" t="n">
        <f aca="false">Quarterly_Actuals!H86-Quarterly_Actuals!H278-Quarterly_Actuals!H316</f>
        <v>0</v>
      </c>
      <c r="G63" s="6" t="str">
        <f aca="false">IF(ABS(F63)&lt;=H63,"PASS","FAIL")</f>
        <v>PASS</v>
      </c>
      <c r="H63" s="6" t="n">
        <v>0.5</v>
      </c>
      <c r="I63" s="6"/>
    </row>
    <row r="64" customFormat="false" ht="15" hidden="false" customHeight="false" outlineLevel="0" collapsed="false">
      <c r="A64" s="6" t="s">
        <v>12415</v>
      </c>
      <c r="B64" s="6" t="s">
        <v>12278</v>
      </c>
      <c r="C64" s="6" t="s">
        <v>12285</v>
      </c>
      <c r="D64" s="6" t="s">
        <v>126</v>
      </c>
      <c r="E64" s="6" t="s">
        <v>12416</v>
      </c>
      <c r="F64" s="20" t="n">
        <f aca="false">Quarterly_Actuals!H162+Quarterly_Actuals!H200+Quarterly_Actuals!H238-Quarterly_Actuals!H278</f>
        <v>0</v>
      </c>
      <c r="G64" s="6" t="str">
        <f aca="false">IF(ABS(F64)&lt;=H64,"PASS","FAIL")</f>
        <v>PASS</v>
      </c>
      <c r="H64" s="6" t="n">
        <v>0.5</v>
      </c>
      <c r="I64" s="6"/>
    </row>
    <row r="65" customFormat="false" ht="15" hidden="false" customHeight="false" outlineLevel="0" collapsed="false">
      <c r="A65" s="6" t="s">
        <v>12417</v>
      </c>
      <c r="B65" s="6" t="s">
        <v>12288</v>
      </c>
      <c r="C65" s="6" t="s">
        <v>12289</v>
      </c>
      <c r="D65" s="6" t="s">
        <v>126</v>
      </c>
      <c r="E65" s="6" t="s">
        <v>12418</v>
      </c>
      <c r="F65" s="20" t="n">
        <f aca="false">Reconciliations!H198-Quarterly_Actuals!H938</f>
        <v>0</v>
      </c>
      <c r="G65" s="6" t="str">
        <f aca="false">IF(ABS(F65)&lt;=H65,"PASS","FAIL")</f>
        <v>PASS</v>
      </c>
      <c r="H65" s="6" t="n">
        <v>0.5</v>
      </c>
      <c r="I65" s="6"/>
    </row>
    <row r="66" customFormat="false" ht="15" hidden="false" customHeight="false" outlineLevel="0" collapsed="false">
      <c r="A66" s="6" t="s">
        <v>12419</v>
      </c>
      <c r="B66" s="6" t="s">
        <v>12288</v>
      </c>
      <c r="C66" s="6" t="s">
        <v>12292</v>
      </c>
      <c r="D66" s="6" t="s">
        <v>126</v>
      </c>
      <c r="E66" s="6" t="s">
        <v>12420</v>
      </c>
      <c r="F66" s="20" t="n">
        <f aca="false">Quarterly_Actuals!H938+Quarterly_Actuals!H976+Quarterly_Actuals!H1014+Quarterly_Actuals!H1052-Quarterly_Actuals!H1076</f>
        <v>0</v>
      </c>
      <c r="G66" s="6" t="str">
        <f aca="false">IF(ABS(F66)&lt;=H66,"PASS","FAIL")</f>
        <v>PASS</v>
      </c>
      <c r="H66" s="6" t="n">
        <v>0.5</v>
      </c>
      <c r="I66" s="6"/>
    </row>
    <row r="67" customFormat="false" ht="15" hidden="false" customHeight="false" outlineLevel="0" collapsed="false">
      <c r="A67" s="6" t="s">
        <v>12421</v>
      </c>
      <c r="B67" s="6" t="s">
        <v>12295</v>
      </c>
      <c r="C67" s="6" t="s">
        <v>12296</v>
      </c>
      <c r="D67" s="6" t="s">
        <v>126</v>
      </c>
      <c r="E67" s="6" t="s">
        <v>12422</v>
      </c>
      <c r="F67" s="20" t="n">
        <f aca="false">Quarterly_Actuals!H842-Quarterly_Actuals!H880</f>
        <v>0</v>
      </c>
      <c r="G67" s="6" t="str">
        <f aca="false">IF(ABS(F67)&lt;=H67,"PASS","FAIL")</f>
        <v>PASS</v>
      </c>
      <c r="H67" s="6" t="n">
        <v>0.5</v>
      </c>
      <c r="I67" s="6"/>
    </row>
    <row r="68" customFormat="false" ht="15" hidden="false" customHeight="false" outlineLevel="0" collapsed="false">
      <c r="A68" s="6" t="s">
        <v>12423</v>
      </c>
      <c r="B68" s="6" t="s">
        <v>12299</v>
      </c>
      <c r="C68" s="6" t="s">
        <v>12300</v>
      </c>
      <c r="D68" s="6" t="s">
        <v>126</v>
      </c>
      <c r="E68" s="6" t="s">
        <v>12424</v>
      </c>
      <c r="F68" s="20" t="n">
        <f aca="false">ROUND(Quarterly_Actuals!H428,2)-Quarterly_Actuals!H124</f>
        <v>0</v>
      </c>
      <c r="G68" s="6" t="str">
        <f aca="false">IF(ABS(F68)&lt;=H68,"PASS","FAIL")</f>
        <v>PASS</v>
      </c>
      <c r="H68" s="6" t="n">
        <v>0.0001</v>
      </c>
      <c r="I68" s="6"/>
    </row>
    <row r="69" customFormat="false" ht="15" hidden="false" customHeight="false" outlineLevel="0" collapsed="false">
      <c r="A69" s="6" t="s">
        <v>12425</v>
      </c>
      <c r="B69" s="6" t="s">
        <v>12299</v>
      </c>
      <c r="C69" s="6" t="s">
        <v>12303</v>
      </c>
      <c r="D69" s="6" t="s">
        <v>126</v>
      </c>
      <c r="E69" s="6" t="s">
        <v>12426</v>
      </c>
      <c r="F69" s="20" t="n">
        <f aca="false">ROUND(Quarterly_Actuals!H786,2)-Quarterly_Actuals!H522</f>
        <v>0</v>
      </c>
      <c r="G69" s="6" t="str">
        <f aca="false">IF(ABS(F69)&lt;=H69,"PASS","FAIL")</f>
        <v>PASS</v>
      </c>
      <c r="H69" s="6" t="n">
        <v>0.0001</v>
      </c>
      <c r="I69" s="6"/>
    </row>
    <row r="70" customFormat="false" ht="15" hidden="false" customHeight="false" outlineLevel="0" collapsed="false">
      <c r="A70" s="6" t="s">
        <v>12427</v>
      </c>
      <c r="B70" s="6" t="s">
        <v>12299</v>
      </c>
      <c r="C70" s="6" t="s">
        <v>12306</v>
      </c>
      <c r="D70" s="6" t="s">
        <v>126</v>
      </c>
      <c r="E70" s="6" t="s">
        <v>12428</v>
      </c>
      <c r="F70" s="20" t="n">
        <f aca="false">ROUND(Quarterly_Actuals!H455,2)-Quarterly_Actuals!H354</f>
        <v>0</v>
      </c>
      <c r="G70" s="6" t="str">
        <f aca="false">IF(ABS(F70)&lt;=H70,"PASS","FAIL")</f>
        <v>PASS</v>
      </c>
      <c r="H70" s="6" t="n">
        <v>0.0001</v>
      </c>
      <c r="I70" s="6"/>
    </row>
    <row r="71" customFormat="false" ht="15" hidden="false" customHeight="false" outlineLevel="0" collapsed="false">
      <c r="A71" s="6" t="s">
        <v>12429</v>
      </c>
      <c r="B71" s="6" t="s">
        <v>12299</v>
      </c>
      <c r="C71" s="6" t="s">
        <v>12309</v>
      </c>
      <c r="D71" s="6" t="s">
        <v>126</v>
      </c>
      <c r="E71" s="6" t="s">
        <v>12430</v>
      </c>
      <c r="F71" s="20" t="n">
        <f aca="false">ROUND(Quarterly_Actuals!H813,2)-Quarterly_Actuals!H712</f>
        <v>0</v>
      </c>
      <c r="G71" s="6" t="str">
        <f aca="false">IF(ABS(F71)&lt;=H71,"PASS","FAIL")</f>
        <v>PASS</v>
      </c>
      <c r="H71" s="6" t="n">
        <v>0.0001</v>
      </c>
      <c r="I71" s="6"/>
    </row>
    <row r="72" customFormat="false" ht="15" hidden="false" customHeight="false" outlineLevel="0" collapsed="false">
      <c r="A72" s="6" t="s">
        <v>12431</v>
      </c>
      <c r="B72" s="6" t="s">
        <v>12278</v>
      </c>
      <c r="C72" s="6" t="s">
        <v>12279</v>
      </c>
      <c r="D72" s="6" t="s">
        <v>131</v>
      </c>
      <c r="E72" s="6" t="s">
        <v>12432</v>
      </c>
      <c r="F72" s="20" t="n">
        <f aca="false">Quarterly_Actuals!H12-Quarterly_Actuals!H50-Quarterly_Actuals!H88</f>
        <v>0</v>
      </c>
      <c r="G72" s="6" t="str">
        <f aca="false">IF(ABS(F72)&lt;=H72,"PASS","FAIL")</f>
        <v>PASS</v>
      </c>
      <c r="H72" s="6" t="n">
        <v>0.5</v>
      </c>
      <c r="I72" s="6"/>
    </row>
    <row r="73" customFormat="false" ht="15" hidden="false" customHeight="false" outlineLevel="0" collapsed="false">
      <c r="A73" s="6" t="s">
        <v>12433</v>
      </c>
      <c r="B73" s="6" t="s">
        <v>12278</v>
      </c>
      <c r="C73" s="6" t="s">
        <v>12282</v>
      </c>
      <c r="D73" s="6" t="s">
        <v>131</v>
      </c>
      <c r="E73" s="6" t="s">
        <v>12434</v>
      </c>
      <c r="F73" s="20" t="n">
        <f aca="false">Quarterly_Actuals!H88-Quarterly_Actuals!H280-Quarterly_Actuals!H318</f>
        <v>0</v>
      </c>
      <c r="G73" s="6" t="str">
        <f aca="false">IF(ABS(F73)&lt;=H73,"PASS","FAIL")</f>
        <v>PASS</v>
      </c>
      <c r="H73" s="6" t="n">
        <v>0.5</v>
      </c>
      <c r="I73" s="6"/>
    </row>
    <row r="74" customFormat="false" ht="15" hidden="false" customHeight="false" outlineLevel="0" collapsed="false">
      <c r="A74" s="6" t="s">
        <v>12435</v>
      </c>
      <c r="B74" s="6" t="s">
        <v>12278</v>
      </c>
      <c r="C74" s="6" t="s">
        <v>12285</v>
      </c>
      <c r="D74" s="6" t="s">
        <v>131</v>
      </c>
      <c r="E74" s="6" t="s">
        <v>12436</v>
      </c>
      <c r="F74" s="20" t="n">
        <f aca="false">Quarterly_Actuals!H164+Quarterly_Actuals!H202+Quarterly_Actuals!H240-Quarterly_Actuals!H280</f>
        <v>0</v>
      </c>
      <c r="G74" s="6" t="str">
        <f aca="false">IF(ABS(F74)&lt;=H74,"PASS","FAIL")</f>
        <v>PASS</v>
      </c>
      <c r="H74" s="6" t="n">
        <v>0.5</v>
      </c>
      <c r="I74" s="6"/>
    </row>
    <row r="75" customFormat="false" ht="15" hidden="false" customHeight="false" outlineLevel="0" collapsed="false">
      <c r="A75" s="6" t="s">
        <v>12437</v>
      </c>
      <c r="B75" s="6" t="s">
        <v>12288</v>
      </c>
      <c r="C75" s="6" t="s">
        <v>12289</v>
      </c>
      <c r="D75" s="6" t="s">
        <v>131</v>
      </c>
      <c r="E75" s="6" t="s">
        <v>12438</v>
      </c>
      <c r="F75" s="20" t="n">
        <f aca="false">Reconciliations!H227-Quarterly_Actuals!H940</f>
        <v>0</v>
      </c>
      <c r="G75" s="6" t="str">
        <f aca="false">IF(ABS(F75)&lt;=H75,"PASS","FAIL")</f>
        <v>PASS</v>
      </c>
      <c r="H75" s="6" t="n">
        <v>0.5</v>
      </c>
      <c r="I75" s="6"/>
    </row>
    <row r="76" customFormat="false" ht="15" hidden="false" customHeight="false" outlineLevel="0" collapsed="false">
      <c r="A76" s="6" t="s">
        <v>12439</v>
      </c>
      <c r="B76" s="6" t="s">
        <v>12288</v>
      </c>
      <c r="C76" s="6" t="s">
        <v>12292</v>
      </c>
      <c r="D76" s="6" t="s">
        <v>131</v>
      </c>
      <c r="E76" s="6" t="s">
        <v>12440</v>
      </c>
      <c r="F76" s="20" t="n">
        <f aca="false">Quarterly_Actuals!H940+Quarterly_Actuals!H978+Quarterly_Actuals!H1016+Quarterly_Actuals!H1054-Quarterly_Actuals!H1078</f>
        <v>0</v>
      </c>
      <c r="G76" s="6" t="str">
        <f aca="false">IF(ABS(F76)&lt;=H76,"PASS","FAIL")</f>
        <v>PASS</v>
      </c>
      <c r="H76" s="6" t="n">
        <v>0.5</v>
      </c>
      <c r="I76" s="6"/>
    </row>
    <row r="77" customFormat="false" ht="15" hidden="false" customHeight="false" outlineLevel="0" collapsed="false">
      <c r="A77" s="6" t="s">
        <v>12441</v>
      </c>
      <c r="B77" s="6" t="s">
        <v>12295</v>
      </c>
      <c r="C77" s="6" t="s">
        <v>12296</v>
      </c>
      <c r="D77" s="6" t="s">
        <v>131</v>
      </c>
      <c r="E77" s="6" t="s">
        <v>12442</v>
      </c>
      <c r="F77" s="20" t="n">
        <f aca="false">Quarterly_Actuals!H844-Quarterly_Actuals!H882</f>
        <v>0</v>
      </c>
      <c r="G77" s="6" t="str">
        <f aca="false">IF(ABS(F77)&lt;=H77,"PASS","FAIL")</f>
        <v>PASS</v>
      </c>
      <c r="H77" s="6" t="n">
        <v>0.5</v>
      </c>
      <c r="I77" s="6"/>
    </row>
    <row r="78" customFormat="false" ht="15" hidden="false" customHeight="false" outlineLevel="0" collapsed="false">
      <c r="A78" s="6" t="s">
        <v>12443</v>
      </c>
      <c r="B78" s="6" t="s">
        <v>12299</v>
      </c>
      <c r="C78" s="6" t="s">
        <v>12300</v>
      </c>
      <c r="D78" s="6" t="s">
        <v>131</v>
      </c>
      <c r="E78" s="6" t="s">
        <v>12444</v>
      </c>
      <c r="F78" s="20" t="n">
        <f aca="false">ROUND(Quarterly_Actuals!H429,2)-Quarterly_Actuals!H126</f>
        <v>0</v>
      </c>
      <c r="G78" s="6" t="str">
        <f aca="false">IF(ABS(F78)&lt;=H78,"PASS","FAIL")</f>
        <v>PASS</v>
      </c>
      <c r="H78" s="6" t="n">
        <v>0.0001</v>
      </c>
      <c r="I78" s="6"/>
    </row>
    <row r="79" customFormat="false" ht="15" hidden="false" customHeight="false" outlineLevel="0" collapsed="false">
      <c r="A79" s="6" t="s">
        <v>12445</v>
      </c>
      <c r="B79" s="6" t="s">
        <v>12299</v>
      </c>
      <c r="C79" s="6" t="s">
        <v>12303</v>
      </c>
      <c r="D79" s="6" t="s">
        <v>131</v>
      </c>
      <c r="E79" s="6" t="s">
        <v>12446</v>
      </c>
      <c r="F79" s="20" t="n">
        <f aca="false">ROUND(Quarterly_Actuals!H787,2)-Quarterly_Actuals!H524</f>
        <v>0</v>
      </c>
      <c r="G79" s="6" t="str">
        <f aca="false">IF(ABS(F79)&lt;=H79,"PASS","FAIL")</f>
        <v>PASS</v>
      </c>
      <c r="H79" s="6" t="n">
        <v>0.0001</v>
      </c>
      <c r="I79" s="6"/>
    </row>
    <row r="80" customFormat="false" ht="15" hidden="false" customHeight="false" outlineLevel="0" collapsed="false">
      <c r="A80" s="6" t="s">
        <v>12447</v>
      </c>
      <c r="B80" s="6" t="s">
        <v>12299</v>
      </c>
      <c r="C80" s="6" t="s">
        <v>12306</v>
      </c>
      <c r="D80" s="6" t="s">
        <v>131</v>
      </c>
      <c r="E80" s="6" t="s">
        <v>12448</v>
      </c>
      <c r="F80" s="20" t="n">
        <f aca="false">ROUND(Quarterly_Actuals!H456,2)-Quarterly_Actuals!H356</f>
        <v>0</v>
      </c>
      <c r="G80" s="6" t="str">
        <f aca="false">IF(ABS(F80)&lt;=H80,"PASS","FAIL")</f>
        <v>PASS</v>
      </c>
      <c r="H80" s="6" t="n">
        <v>0.0001</v>
      </c>
      <c r="I80" s="6"/>
    </row>
    <row r="81" customFormat="false" ht="15" hidden="false" customHeight="false" outlineLevel="0" collapsed="false">
      <c r="A81" s="6" t="s">
        <v>12449</v>
      </c>
      <c r="B81" s="6" t="s">
        <v>12299</v>
      </c>
      <c r="C81" s="6" t="s">
        <v>12309</v>
      </c>
      <c r="D81" s="6" t="s">
        <v>131</v>
      </c>
      <c r="E81" s="6" t="s">
        <v>12450</v>
      </c>
      <c r="F81" s="20" t="n">
        <f aca="false">ROUND(Quarterly_Actuals!H814,2)-Quarterly_Actuals!H714</f>
        <v>0</v>
      </c>
      <c r="G81" s="6" t="str">
        <f aca="false">IF(ABS(F81)&lt;=H81,"PASS","FAIL")</f>
        <v>PASS</v>
      </c>
      <c r="H81" s="6" t="n">
        <v>0.0001</v>
      </c>
      <c r="I81" s="6"/>
    </row>
    <row r="82" customFormat="false" ht="15" hidden="false" customHeight="false" outlineLevel="0" collapsed="false">
      <c r="A82" s="6" t="s">
        <v>12451</v>
      </c>
      <c r="B82" s="6" t="s">
        <v>12299</v>
      </c>
      <c r="C82" s="6" t="s">
        <v>12452</v>
      </c>
      <c r="D82" s="6" t="s">
        <v>131</v>
      </c>
      <c r="E82" s="6" t="s">
        <v>12453</v>
      </c>
      <c r="F82" s="20" t="n">
        <f aca="false">ROUND(Quarterly_Actuals!H1179,2)-Quarterly_Actuals!H1106</f>
        <v>0</v>
      </c>
      <c r="G82" s="6" t="str">
        <f aca="false">IF(ABS(F82)&lt;=H82,"PASS","FAIL")</f>
        <v>PASS</v>
      </c>
      <c r="H82" s="6" t="n">
        <v>0.0001</v>
      </c>
      <c r="I82" s="6"/>
    </row>
    <row r="83" customFormat="false" ht="15" hidden="false" customHeight="false" outlineLevel="0" collapsed="false">
      <c r="A83" s="6" t="s">
        <v>12454</v>
      </c>
      <c r="B83" s="6" t="s">
        <v>12278</v>
      </c>
      <c r="C83" s="6" t="s">
        <v>12279</v>
      </c>
      <c r="D83" s="6" t="s">
        <v>136</v>
      </c>
      <c r="E83" s="6" t="s">
        <v>12455</v>
      </c>
      <c r="F83" s="20" t="n">
        <f aca="false">Quarterly_Actuals!H14-Quarterly_Actuals!H52-Quarterly_Actuals!H90</f>
        <v>0</v>
      </c>
      <c r="G83" s="6" t="str">
        <f aca="false">IF(ABS(F83)&lt;=H83,"PASS","FAIL")</f>
        <v>PASS</v>
      </c>
      <c r="H83" s="6" t="n">
        <v>0.5</v>
      </c>
      <c r="I83" s="6"/>
    </row>
    <row r="84" customFormat="false" ht="15" hidden="false" customHeight="false" outlineLevel="0" collapsed="false">
      <c r="A84" s="6" t="s">
        <v>12456</v>
      </c>
      <c r="B84" s="6" t="s">
        <v>12278</v>
      </c>
      <c r="C84" s="6" t="s">
        <v>12282</v>
      </c>
      <c r="D84" s="6" t="s">
        <v>136</v>
      </c>
      <c r="E84" s="6" t="s">
        <v>12457</v>
      </c>
      <c r="F84" s="20" t="n">
        <f aca="false">Quarterly_Actuals!H90-Quarterly_Actuals!H282-Quarterly_Actuals!H320</f>
        <v>0</v>
      </c>
      <c r="G84" s="6" t="str">
        <f aca="false">IF(ABS(F84)&lt;=H84,"PASS","FAIL")</f>
        <v>PASS</v>
      </c>
      <c r="H84" s="6" t="n">
        <v>0.5</v>
      </c>
      <c r="I84" s="6"/>
    </row>
    <row r="85" customFormat="false" ht="15" hidden="false" customHeight="false" outlineLevel="0" collapsed="false">
      <c r="A85" s="6" t="s">
        <v>12458</v>
      </c>
      <c r="B85" s="6" t="s">
        <v>12278</v>
      </c>
      <c r="C85" s="6" t="s">
        <v>12285</v>
      </c>
      <c r="D85" s="6" t="s">
        <v>136</v>
      </c>
      <c r="E85" s="6" t="s">
        <v>12459</v>
      </c>
      <c r="F85" s="20" t="n">
        <f aca="false">Quarterly_Actuals!H166+Quarterly_Actuals!H204+Quarterly_Actuals!H242-Quarterly_Actuals!H282</f>
        <v>0</v>
      </c>
      <c r="G85" s="6" t="str">
        <f aca="false">IF(ABS(F85)&lt;=H85,"PASS","FAIL")</f>
        <v>PASS</v>
      </c>
      <c r="H85" s="6" t="n">
        <v>0.5</v>
      </c>
      <c r="I85" s="6"/>
    </row>
    <row r="86" customFormat="false" ht="15" hidden="false" customHeight="false" outlineLevel="0" collapsed="false">
      <c r="A86" s="6" t="s">
        <v>12460</v>
      </c>
      <c r="B86" s="6" t="s">
        <v>12288</v>
      </c>
      <c r="C86" s="6" t="s">
        <v>12289</v>
      </c>
      <c r="D86" s="6" t="s">
        <v>136</v>
      </c>
      <c r="E86" s="6" t="s">
        <v>12461</v>
      </c>
      <c r="F86" s="20" t="n">
        <f aca="false">Reconciliations!H256-Quarterly_Actuals!H942</f>
        <v>0</v>
      </c>
      <c r="G86" s="6" t="str">
        <f aca="false">IF(ABS(F86)&lt;=H86,"PASS","FAIL")</f>
        <v>PASS</v>
      </c>
      <c r="H86" s="6" t="n">
        <v>0.5</v>
      </c>
      <c r="I86" s="6"/>
    </row>
    <row r="87" customFormat="false" ht="15" hidden="false" customHeight="false" outlineLevel="0" collapsed="false">
      <c r="A87" s="6" t="s">
        <v>12462</v>
      </c>
      <c r="B87" s="6" t="s">
        <v>12288</v>
      </c>
      <c r="C87" s="6" t="s">
        <v>12292</v>
      </c>
      <c r="D87" s="6" t="s">
        <v>136</v>
      </c>
      <c r="E87" s="6" t="s">
        <v>12463</v>
      </c>
      <c r="F87" s="20" t="n">
        <f aca="false">Quarterly_Actuals!H942+Quarterly_Actuals!H980+Quarterly_Actuals!H1018+Quarterly_Actuals!H1056-Quarterly_Actuals!H1080</f>
        <v>0</v>
      </c>
      <c r="G87" s="6" t="str">
        <f aca="false">IF(ABS(F87)&lt;=H87,"PASS","FAIL")</f>
        <v>PASS</v>
      </c>
      <c r="H87" s="6" t="n">
        <v>0.5</v>
      </c>
      <c r="I87" s="6"/>
    </row>
    <row r="88" customFormat="false" ht="15" hidden="false" customHeight="false" outlineLevel="0" collapsed="false">
      <c r="A88" s="6" t="s">
        <v>12464</v>
      </c>
      <c r="B88" s="6" t="s">
        <v>12295</v>
      </c>
      <c r="C88" s="6" t="s">
        <v>12296</v>
      </c>
      <c r="D88" s="6" t="s">
        <v>136</v>
      </c>
      <c r="E88" s="6" t="s">
        <v>12465</v>
      </c>
      <c r="F88" s="20" t="n">
        <f aca="false">Quarterly_Actuals!H846-Quarterly_Actuals!H884</f>
        <v>0</v>
      </c>
      <c r="G88" s="6" t="str">
        <f aca="false">IF(ABS(F88)&lt;=H88,"PASS","FAIL")</f>
        <v>PASS</v>
      </c>
      <c r="H88" s="6" t="n">
        <v>0.5</v>
      </c>
      <c r="I88" s="6"/>
    </row>
    <row r="89" customFormat="false" ht="15" hidden="false" customHeight="false" outlineLevel="0" collapsed="false">
      <c r="A89" s="6" t="s">
        <v>12466</v>
      </c>
      <c r="B89" s="6" t="s">
        <v>12299</v>
      </c>
      <c r="C89" s="6" t="s">
        <v>12300</v>
      </c>
      <c r="D89" s="6" t="s">
        <v>136</v>
      </c>
      <c r="E89" s="6" t="s">
        <v>12467</v>
      </c>
      <c r="F89" s="20" t="n">
        <f aca="false">ROUND(Quarterly_Actuals!H430,2)-Quarterly_Actuals!H128</f>
        <v>0</v>
      </c>
      <c r="G89" s="6" t="str">
        <f aca="false">IF(ABS(F89)&lt;=H89,"PASS","FAIL")</f>
        <v>PASS</v>
      </c>
      <c r="H89" s="6" t="n">
        <v>0.0001</v>
      </c>
      <c r="I89" s="6"/>
    </row>
    <row r="90" customFormat="false" ht="15" hidden="false" customHeight="false" outlineLevel="0" collapsed="false">
      <c r="A90" s="6" t="s">
        <v>12468</v>
      </c>
      <c r="B90" s="6" t="s">
        <v>12299</v>
      </c>
      <c r="C90" s="6" t="s">
        <v>12303</v>
      </c>
      <c r="D90" s="6" t="s">
        <v>136</v>
      </c>
      <c r="E90" s="6" t="s">
        <v>12469</v>
      </c>
      <c r="F90" s="20" t="n">
        <f aca="false">ROUND(Quarterly_Actuals!H788,2)-Quarterly_Actuals!H526</f>
        <v>0</v>
      </c>
      <c r="G90" s="6" t="str">
        <f aca="false">IF(ABS(F90)&lt;=H90,"PASS","FAIL")</f>
        <v>PASS</v>
      </c>
      <c r="H90" s="6" t="n">
        <v>0.0001</v>
      </c>
      <c r="I90" s="6"/>
    </row>
    <row r="91" customFormat="false" ht="15" hidden="false" customHeight="false" outlineLevel="0" collapsed="false">
      <c r="A91" s="6" t="s">
        <v>12470</v>
      </c>
      <c r="B91" s="6" t="s">
        <v>12299</v>
      </c>
      <c r="C91" s="6" t="s">
        <v>12306</v>
      </c>
      <c r="D91" s="6" t="s">
        <v>136</v>
      </c>
      <c r="E91" s="6" t="s">
        <v>12471</v>
      </c>
      <c r="F91" s="20" t="n">
        <f aca="false">ROUND(Quarterly_Actuals!H457,2)-Quarterly_Actuals!H358</f>
        <v>0</v>
      </c>
      <c r="G91" s="6" t="str">
        <f aca="false">IF(ABS(F91)&lt;=H91,"PASS","FAIL")</f>
        <v>PASS</v>
      </c>
      <c r="H91" s="6" t="n">
        <v>0.0001</v>
      </c>
      <c r="I91" s="6"/>
    </row>
    <row r="92" customFormat="false" ht="15" hidden="false" customHeight="false" outlineLevel="0" collapsed="false">
      <c r="A92" s="6" t="s">
        <v>12472</v>
      </c>
      <c r="B92" s="6" t="s">
        <v>12299</v>
      </c>
      <c r="C92" s="6" t="s">
        <v>12309</v>
      </c>
      <c r="D92" s="6" t="s">
        <v>136</v>
      </c>
      <c r="E92" s="6" t="s">
        <v>12473</v>
      </c>
      <c r="F92" s="20" t="n">
        <f aca="false">ROUND(Quarterly_Actuals!H815,2)-Quarterly_Actuals!H716</f>
        <v>0</v>
      </c>
      <c r="G92" s="6" t="str">
        <f aca="false">IF(ABS(F92)&lt;=H92,"PASS","FAIL")</f>
        <v>PASS</v>
      </c>
      <c r="H92" s="6" t="n">
        <v>0.0001</v>
      </c>
      <c r="I92" s="6"/>
    </row>
    <row r="93" customFormat="false" ht="15" hidden="false" customHeight="false" outlineLevel="0" collapsed="false">
      <c r="A93" s="6" t="s">
        <v>12474</v>
      </c>
      <c r="B93" s="6" t="s">
        <v>12299</v>
      </c>
      <c r="C93" s="6" t="s">
        <v>12452</v>
      </c>
      <c r="D93" s="6" t="s">
        <v>136</v>
      </c>
      <c r="E93" s="6" t="s">
        <v>12475</v>
      </c>
      <c r="F93" s="20" t="n">
        <f aca="false">ROUND(Quarterly_Actuals!H1180,2)-Quarterly_Actuals!H1108</f>
        <v>0</v>
      </c>
      <c r="G93" s="6" t="str">
        <f aca="false">IF(ABS(F93)&lt;=H93,"PASS","FAIL")</f>
        <v>PASS</v>
      </c>
      <c r="H93" s="6" t="n">
        <v>0.0001</v>
      </c>
      <c r="I93" s="6"/>
    </row>
    <row r="94" customFormat="false" ht="15" hidden="false" customHeight="false" outlineLevel="0" collapsed="false">
      <c r="A94" s="6" t="s">
        <v>12476</v>
      </c>
      <c r="B94" s="6" t="s">
        <v>12278</v>
      </c>
      <c r="C94" s="6" t="s">
        <v>12279</v>
      </c>
      <c r="D94" s="6" t="s">
        <v>220</v>
      </c>
      <c r="E94" s="6" t="s">
        <v>12477</v>
      </c>
      <c r="F94" s="20" t="n">
        <f aca="false">Quarterly_Actuals!H15-Quarterly_Actuals!H53-Quarterly_Actuals!H91</f>
        <v>0</v>
      </c>
      <c r="G94" s="6" t="str">
        <f aca="false">IF(ABS(F94)&lt;=H94,"PASS","FAIL")</f>
        <v>PASS</v>
      </c>
      <c r="H94" s="6" t="n">
        <v>0.5</v>
      </c>
      <c r="I94" s="6"/>
    </row>
    <row r="95" customFormat="false" ht="15" hidden="false" customHeight="false" outlineLevel="0" collapsed="false">
      <c r="A95" s="6" t="s">
        <v>12478</v>
      </c>
      <c r="B95" s="6" t="s">
        <v>12278</v>
      </c>
      <c r="C95" s="6" t="s">
        <v>12282</v>
      </c>
      <c r="D95" s="6" t="s">
        <v>220</v>
      </c>
      <c r="E95" s="6" t="s">
        <v>12479</v>
      </c>
      <c r="F95" s="20" t="n">
        <f aca="false">Quarterly_Actuals!H91-Quarterly_Actuals!H283-Quarterly_Actuals!H321</f>
        <v>0</v>
      </c>
      <c r="G95" s="6" t="str">
        <f aca="false">IF(ABS(F95)&lt;=H95,"PASS","FAIL")</f>
        <v>PASS</v>
      </c>
      <c r="H95" s="6" t="n">
        <v>0.5</v>
      </c>
      <c r="I95" s="6"/>
    </row>
    <row r="96" customFormat="false" ht="15" hidden="false" customHeight="false" outlineLevel="0" collapsed="false">
      <c r="A96" s="6" t="s">
        <v>12480</v>
      </c>
      <c r="B96" s="6" t="s">
        <v>12278</v>
      </c>
      <c r="C96" s="6" t="s">
        <v>12285</v>
      </c>
      <c r="D96" s="6" t="s">
        <v>220</v>
      </c>
      <c r="E96" s="6" t="s">
        <v>12481</v>
      </c>
      <c r="F96" s="20" t="n">
        <f aca="false">Quarterly_Actuals!H167+Quarterly_Actuals!H205+Quarterly_Actuals!H243-Quarterly_Actuals!H283</f>
        <v>0</v>
      </c>
      <c r="G96" s="6" t="str">
        <f aca="false">IF(ABS(F96)&lt;=H96,"PASS","FAIL")</f>
        <v>PASS</v>
      </c>
      <c r="H96" s="6" t="n">
        <v>0.5</v>
      </c>
      <c r="I96" s="6"/>
    </row>
    <row r="97" customFormat="false" ht="15" hidden="false" customHeight="false" outlineLevel="0" collapsed="false">
      <c r="A97" s="6" t="s">
        <v>12482</v>
      </c>
      <c r="B97" s="6" t="s">
        <v>12288</v>
      </c>
      <c r="C97" s="6" t="s">
        <v>12289</v>
      </c>
      <c r="D97" s="6" t="s">
        <v>220</v>
      </c>
      <c r="E97" s="6" t="s">
        <v>12483</v>
      </c>
      <c r="F97" s="20" t="n">
        <f aca="false">Reconciliations!H285-Quarterly_Actuals!H943</f>
        <v>0</v>
      </c>
      <c r="G97" s="6" t="str">
        <f aca="false">IF(ABS(F97)&lt;=H97,"PASS","FAIL")</f>
        <v>PASS</v>
      </c>
      <c r="H97" s="6" t="n">
        <v>0.5</v>
      </c>
      <c r="I97" s="6"/>
    </row>
    <row r="98" customFormat="false" ht="15" hidden="false" customHeight="false" outlineLevel="0" collapsed="false">
      <c r="A98" s="6" t="s">
        <v>12484</v>
      </c>
      <c r="B98" s="6" t="s">
        <v>12288</v>
      </c>
      <c r="C98" s="6" t="s">
        <v>12292</v>
      </c>
      <c r="D98" s="6" t="s">
        <v>220</v>
      </c>
      <c r="E98" s="6" t="s">
        <v>12485</v>
      </c>
      <c r="F98" s="20" t="n">
        <f aca="false">Quarterly_Actuals!H943+Quarterly_Actuals!H981+Quarterly_Actuals!H1019+Quarterly_Actuals!H1057-Quarterly_Actuals!H1081</f>
        <v>0</v>
      </c>
      <c r="G98" s="6" t="str">
        <f aca="false">IF(ABS(F98)&lt;=H98,"PASS","FAIL")</f>
        <v>PASS</v>
      </c>
      <c r="H98" s="6" t="n">
        <v>0.5</v>
      </c>
      <c r="I98" s="6"/>
    </row>
    <row r="99" customFormat="false" ht="15" hidden="false" customHeight="false" outlineLevel="0" collapsed="false">
      <c r="A99" s="6" t="s">
        <v>12486</v>
      </c>
      <c r="B99" s="6" t="s">
        <v>12295</v>
      </c>
      <c r="C99" s="6" t="s">
        <v>12296</v>
      </c>
      <c r="D99" s="6" t="s">
        <v>220</v>
      </c>
      <c r="E99" s="6" t="s">
        <v>12487</v>
      </c>
      <c r="F99" s="20" t="n">
        <f aca="false">Quarterly_Actuals!H847-Quarterly_Actuals!H885</f>
        <v>0</v>
      </c>
      <c r="G99" s="6" t="str">
        <f aca="false">IF(ABS(F99)&lt;=H99,"PASS","FAIL")</f>
        <v>PASS</v>
      </c>
      <c r="H99" s="6" t="n">
        <v>0.5</v>
      </c>
      <c r="I99" s="6"/>
    </row>
    <row r="100" customFormat="false" ht="15" hidden="false" customHeight="false" outlineLevel="0" collapsed="false">
      <c r="A100" s="6" t="s">
        <v>12488</v>
      </c>
      <c r="B100" s="6" t="s">
        <v>12299</v>
      </c>
      <c r="C100" s="6" t="s">
        <v>12300</v>
      </c>
      <c r="D100" s="6" t="s">
        <v>220</v>
      </c>
      <c r="E100" s="6" t="s">
        <v>12489</v>
      </c>
      <c r="F100" s="20" t="n">
        <f aca="false">ROUND(Quarterly_Actuals!H431,2)-Quarterly_Actuals!H129</f>
        <v>0</v>
      </c>
      <c r="G100" s="6" t="str">
        <f aca="false">IF(ABS(F100)&lt;=H100,"PASS","FAIL")</f>
        <v>PASS</v>
      </c>
      <c r="H100" s="6" t="n">
        <v>0.0001</v>
      </c>
      <c r="I100" s="6"/>
    </row>
    <row r="101" customFormat="false" ht="15" hidden="false" customHeight="false" outlineLevel="0" collapsed="false">
      <c r="A101" s="6" t="s">
        <v>12490</v>
      </c>
      <c r="B101" s="6" t="s">
        <v>12299</v>
      </c>
      <c r="C101" s="6" t="s">
        <v>12303</v>
      </c>
      <c r="D101" s="6" t="s">
        <v>220</v>
      </c>
      <c r="E101" s="6" t="s">
        <v>12491</v>
      </c>
      <c r="F101" s="20" t="n">
        <f aca="false">ROUND(Quarterly_Actuals!H789,2)-Quarterly_Actuals!H527</f>
        <v>0</v>
      </c>
      <c r="G101" s="6" t="str">
        <f aca="false">IF(ABS(F101)&lt;=H101,"PASS","FAIL")</f>
        <v>PASS</v>
      </c>
      <c r="H101" s="6" t="n">
        <v>0.0001</v>
      </c>
      <c r="I101" s="6"/>
    </row>
    <row r="102" customFormat="false" ht="15" hidden="false" customHeight="false" outlineLevel="0" collapsed="false">
      <c r="A102" s="6" t="s">
        <v>12492</v>
      </c>
      <c r="B102" s="6" t="s">
        <v>12299</v>
      </c>
      <c r="C102" s="6" t="s">
        <v>12306</v>
      </c>
      <c r="D102" s="6" t="s">
        <v>220</v>
      </c>
      <c r="E102" s="6" t="s">
        <v>12493</v>
      </c>
      <c r="F102" s="20" t="n">
        <f aca="false">ROUND(Quarterly_Actuals!H458,2)-Quarterly_Actuals!H359</f>
        <v>0</v>
      </c>
      <c r="G102" s="6" t="str">
        <f aca="false">IF(ABS(F102)&lt;=H102,"PASS","FAIL")</f>
        <v>PASS</v>
      </c>
      <c r="H102" s="6" t="n">
        <v>0.0001</v>
      </c>
      <c r="I102" s="6"/>
    </row>
    <row r="103" customFormat="false" ht="15" hidden="false" customHeight="false" outlineLevel="0" collapsed="false">
      <c r="A103" s="6" t="s">
        <v>12494</v>
      </c>
      <c r="B103" s="6" t="s">
        <v>12299</v>
      </c>
      <c r="C103" s="6" t="s">
        <v>12309</v>
      </c>
      <c r="D103" s="6" t="s">
        <v>220</v>
      </c>
      <c r="E103" s="6" t="s">
        <v>12495</v>
      </c>
      <c r="F103" s="20" t="n">
        <f aca="false">ROUND(Quarterly_Actuals!H816,2)-Quarterly_Actuals!H717</f>
        <v>0</v>
      </c>
      <c r="G103" s="6" t="str">
        <f aca="false">IF(ABS(F103)&lt;=H103,"PASS","FAIL")</f>
        <v>PASS</v>
      </c>
      <c r="H103" s="6" t="n">
        <v>0.0001</v>
      </c>
      <c r="I103" s="6"/>
    </row>
    <row r="104" customFormat="false" ht="15" hidden="false" customHeight="false" outlineLevel="0" collapsed="false">
      <c r="A104" s="6" t="s">
        <v>12496</v>
      </c>
      <c r="B104" s="6" t="s">
        <v>12299</v>
      </c>
      <c r="C104" s="6" t="s">
        <v>12452</v>
      </c>
      <c r="D104" s="6" t="s">
        <v>220</v>
      </c>
      <c r="E104" s="6" t="s">
        <v>12497</v>
      </c>
      <c r="F104" s="20" t="n">
        <f aca="false">ROUND(Quarterly_Actuals!H1181,2)-Quarterly_Actuals!H1109</f>
        <v>0</v>
      </c>
      <c r="G104" s="6" t="str">
        <f aca="false">IF(ABS(F104)&lt;=H104,"PASS","FAIL")</f>
        <v>PASS</v>
      </c>
      <c r="H104" s="6" t="n">
        <v>0.0001</v>
      </c>
      <c r="I104" s="6"/>
    </row>
    <row r="105" customFormat="false" ht="15" hidden="false" customHeight="false" outlineLevel="0" collapsed="false">
      <c r="A105" s="6" t="s">
        <v>12498</v>
      </c>
      <c r="B105" s="6" t="s">
        <v>12278</v>
      </c>
      <c r="C105" s="6" t="s">
        <v>12279</v>
      </c>
      <c r="D105" s="6" t="s">
        <v>141</v>
      </c>
      <c r="E105" s="6" t="s">
        <v>12499</v>
      </c>
      <c r="F105" s="20" t="n">
        <f aca="false">Quarterly_Actuals!H16-Quarterly_Actuals!H54-Quarterly_Actuals!H92</f>
        <v>0</v>
      </c>
      <c r="G105" s="6" t="str">
        <f aca="false">IF(ABS(F105)&lt;=H105,"PASS","FAIL")</f>
        <v>PASS</v>
      </c>
      <c r="H105" s="6" t="n">
        <v>0.5</v>
      </c>
      <c r="I105" s="6"/>
    </row>
    <row r="106" customFormat="false" ht="15" hidden="false" customHeight="false" outlineLevel="0" collapsed="false">
      <c r="A106" s="6" t="s">
        <v>12500</v>
      </c>
      <c r="B106" s="6" t="s">
        <v>12278</v>
      </c>
      <c r="C106" s="6" t="s">
        <v>12282</v>
      </c>
      <c r="D106" s="6" t="s">
        <v>141</v>
      </c>
      <c r="E106" s="6" t="s">
        <v>12501</v>
      </c>
      <c r="F106" s="20" t="n">
        <f aca="false">Quarterly_Actuals!H92-Quarterly_Actuals!H284-Quarterly_Actuals!H322</f>
        <v>0</v>
      </c>
      <c r="G106" s="6" t="str">
        <f aca="false">IF(ABS(F106)&lt;=H106,"PASS","FAIL")</f>
        <v>PASS</v>
      </c>
      <c r="H106" s="6" t="n">
        <v>0.5</v>
      </c>
      <c r="I106" s="6"/>
    </row>
    <row r="107" customFormat="false" ht="15" hidden="false" customHeight="false" outlineLevel="0" collapsed="false">
      <c r="A107" s="6" t="s">
        <v>12502</v>
      </c>
      <c r="B107" s="6" t="s">
        <v>12278</v>
      </c>
      <c r="C107" s="6" t="s">
        <v>12285</v>
      </c>
      <c r="D107" s="6" t="s">
        <v>141</v>
      </c>
      <c r="E107" s="6" t="s">
        <v>12503</v>
      </c>
      <c r="F107" s="20" t="n">
        <f aca="false">Quarterly_Actuals!H168+Quarterly_Actuals!H206+Quarterly_Actuals!H244-Quarterly_Actuals!H284</f>
        <v>0</v>
      </c>
      <c r="G107" s="6" t="str">
        <f aca="false">IF(ABS(F107)&lt;=H107,"PASS","FAIL")</f>
        <v>PASS</v>
      </c>
      <c r="H107" s="6" t="n">
        <v>0.5</v>
      </c>
      <c r="I107" s="6"/>
    </row>
    <row r="108" customFormat="false" ht="15" hidden="false" customHeight="false" outlineLevel="0" collapsed="false">
      <c r="A108" s="6" t="s">
        <v>12504</v>
      </c>
      <c r="B108" s="6" t="s">
        <v>12288</v>
      </c>
      <c r="C108" s="6" t="s">
        <v>12289</v>
      </c>
      <c r="D108" s="6" t="s">
        <v>141</v>
      </c>
      <c r="E108" s="6" t="s">
        <v>12505</v>
      </c>
      <c r="F108" s="20" t="n">
        <f aca="false">Reconciliations!H309-Quarterly_Actuals!H944</f>
        <v>0</v>
      </c>
      <c r="G108" s="6" t="str">
        <f aca="false">IF(ABS(F108)&lt;=H108,"PASS","FAIL")</f>
        <v>PASS</v>
      </c>
      <c r="H108" s="6" t="n">
        <v>0.5</v>
      </c>
      <c r="I108" s="6"/>
    </row>
    <row r="109" customFormat="false" ht="15" hidden="false" customHeight="false" outlineLevel="0" collapsed="false">
      <c r="A109" s="6" t="s">
        <v>12506</v>
      </c>
      <c r="B109" s="6" t="s">
        <v>12288</v>
      </c>
      <c r="C109" s="6" t="s">
        <v>12292</v>
      </c>
      <c r="D109" s="6" t="s">
        <v>141</v>
      </c>
      <c r="E109" s="6" t="s">
        <v>12507</v>
      </c>
      <c r="F109" s="20" t="n">
        <f aca="false">Quarterly_Actuals!H944+Quarterly_Actuals!H982+Quarterly_Actuals!H1020-Quarterly_Actuals!H1082</f>
        <v>0</v>
      </c>
      <c r="G109" s="6" t="str">
        <f aca="false">IF(ABS(F109)&lt;=H109,"PASS","FAIL")</f>
        <v>PASS</v>
      </c>
      <c r="H109" s="6" t="n">
        <v>0.5</v>
      </c>
      <c r="I109" s="6"/>
    </row>
    <row r="110" customFormat="false" ht="15" hidden="false" customHeight="false" outlineLevel="0" collapsed="false">
      <c r="A110" s="6" t="s">
        <v>12508</v>
      </c>
      <c r="B110" s="6" t="s">
        <v>12295</v>
      </c>
      <c r="C110" s="6" t="s">
        <v>12296</v>
      </c>
      <c r="D110" s="6" t="s">
        <v>141</v>
      </c>
      <c r="E110" s="6" t="s">
        <v>12509</v>
      </c>
      <c r="F110" s="20" t="n">
        <f aca="false">Quarterly_Actuals!H848-Quarterly_Actuals!H886</f>
        <v>0</v>
      </c>
      <c r="G110" s="6" t="str">
        <f aca="false">IF(ABS(F110)&lt;=H110,"PASS","FAIL")</f>
        <v>PASS</v>
      </c>
      <c r="H110" s="6" t="n">
        <v>0.5</v>
      </c>
      <c r="I110" s="6"/>
    </row>
    <row r="111" customFormat="false" ht="15" hidden="false" customHeight="false" outlineLevel="0" collapsed="false">
      <c r="A111" s="6" t="s">
        <v>12510</v>
      </c>
      <c r="B111" s="6" t="s">
        <v>12299</v>
      </c>
      <c r="C111" s="6" t="s">
        <v>12300</v>
      </c>
      <c r="D111" s="6" t="s">
        <v>141</v>
      </c>
      <c r="E111" s="6" t="s">
        <v>12511</v>
      </c>
      <c r="F111" s="20" t="n">
        <f aca="false">ROUND(Quarterly_Actuals!H432,2)-Quarterly_Actuals!H130</f>
        <v>0</v>
      </c>
      <c r="G111" s="6" t="str">
        <f aca="false">IF(ABS(F111)&lt;=H111,"PASS","FAIL")</f>
        <v>PASS</v>
      </c>
      <c r="H111" s="6" t="n">
        <v>0.0001</v>
      </c>
      <c r="I111" s="6"/>
    </row>
    <row r="112" customFormat="false" ht="15" hidden="false" customHeight="false" outlineLevel="0" collapsed="false">
      <c r="A112" s="6" t="s">
        <v>12512</v>
      </c>
      <c r="B112" s="6" t="s">
        <v>12299</v>
      </c>
      <c r="C112" s="6" t="s">
        <v>12303</v>
      </c>
      <c r="D112" s="6" t="s">
        <v>141</v>
      </c>
      <c r="E112" s="6" t="s">
        <v>12513</v>
      </c>
      <c r="F112" s="20" t="n">
        <f aca="false">ROUND(Quarterly_Actuals!H790,2)-Quarterly_Actuals!H528</f>
        <v>0</v>
      </c>
      <c r="G112" s="6" t="str">
        <f aca="false">IF(ABS(F112)&lt;=H112,"PASS","FAIL")</f>
        <v>PASS</v>
      </c>
      <c r="H112" s="6" t="n">
        <v>0.0001</v>
      </c>
      <c r="I112" s="6"/>
    </row>
    <row r="113" customFormat="false" ht="15" hidden="false" customHeight="false" outlineLevel="0" collapsed="false">
      <c r="A113" s="6" t="s">
        <v>12514</v>
      </c>
      <c r="B113" s="6" t="s">
        <v>12299</v>
      </c>
      <c r="C113" s="6" t="s">
        <v>12306</v>
      </c>
      <c r="D113" s="6" t="s">
        <v>141</v>
      </c>
      <c r="E113" s="6" t="s">
        <v>12515</v>
      </c>
      <c r="F113" s="20" t="n">
        <f aca="false">ROUND(Quarterly_Actuals!H459,2)-Quarterly_Actuals!H360</f>
        <v>0</v>
      </c>
      <c r="G113" s="6" t="str">
        <f aca="false">IF(ABS(F113)&lt;=H113,"PASS","FAIL")</f>
        <v>PASS</v>
      </c>
      <c r="H113" s="6" t="n">
        <v>0.0001</v>
      </c>
      <c r="I113" s="6"/>
    </row>
    <row r="114" customFormat="false" ht="15" hidden="false" customHeight="false" outlineLevel="0" collapsed="false">
      <c r="A114" s="6" t="s">
        <v>12516</v>
      </c>
      <c r="B114" s="6" t="s">
        <v>12299</v>
      </c>
      <c r="C114" s="6" t="s">
        <v>12309</v>
      </c>
      <c r="D114" s="6" t="s">
        <v>141</v>
      </c>
      <c r="E114" s="6" t="s">
        <v>12517</v>
      </c>
      <c r="F114" s="20" t="n">
        <f aca="false">ROUND(Quarterly_Actuals!H817,2)-Quarterly_Actuals!H718</f>
        <v>0</v>
      </c>
      <c r="G114" s="6" t="str">
        <f aca="false">IF(ABS(F114)&lt;=H114,"PASS","FAIL")</f>
        <v>PASS</v>
      </c>
      <c r="H114" s="6" t="n">
        <v>0.0001</v>
      </c>
      <c r="I114" s="6"/>
    </row>
    <row r="115" customFormat="false" ht="15" hidden="false" customHeight="false" outlineLevel="0" collapsed="false">
      <c r="A115" s="6" t="s">
        <v>12518</v>
      </c>
      <c r="B115" s="6" t="s">
        <v>12299</v>
      </c>
      <c r="C115" s="6" t="s">
        <v>12452</v>
      </c>
      <c r="D115" s="6" t="s">
        <v>141</v>
      </c>
      <c r="E115" s="6" t="s">
        <v>12519</v>
      </c>
      <c r="F115" s="20" t="n">
        <f aca="false">ROUND(Quarterly_Actuals!H1182,2)-Quarterly_Actuals!H1110</f>
        <v>0</v>
      </c>
      <c r="G115" s="6" t="str">
        <f aca="false">IF(ABS(F115)&lt;=H115,"PASS","FAIL")</f>
        <v>PASS</v>
      </c>
      <c r="H115" s="6" t="n">
        <v>0.0001</v>
      </c>
      <c r="I115" s="6"/>
    </row>
    <row r="116" customFormat="false" ht="15" hidden="false" customHeight="false" outlineLevel="0" collapsed="false">
      <c r="A116" s="6" t="s">
        <v>12520</v>
      </c>
      <c r="B116" s="6" t="s">
        <v>12278</v>
      </c>
      <c r="C116" s="6" t="s">
        <v>12279</v>
      </c>
      <c r="D116" s="6" t="s">
        <v>146</v>
      </c>
      <c r="E116" s="6" t="s">
        <v>12521</v>
      </c>
      <c r="F116" s="20" t="n">
        <f aca="false">Quarterly_Actuals!H17-Quarterly_Actuals!H55-Quarterly_Actuals!H93</f>
        <v>0</v>
      </c>
      <c r="G116" s="6" t="str">
        <f aca="false">IF(ABS(F116)&lt;=H116,"PASS","FAIL")</f>
        <v>PASS</v>
      </c>
      <c r="H116" s="6" t="n">
        <v>0.5</v>
      </c>
      <c r="I116" s="6"/>
    </row>
    <row r="117" customFormat="false" ht="15" hidden="false" customHeight="false" outlineLevel="0" collapsed="false">
      <c r="A117" s="6" t="s">
        <v>12522</v>
      </c>
      <c r="B117" s="6" t="s">
        <v>12278</v>
      </c>
      <c r="C117" s="6" t="s">
        <v>12282</v>
      </c>
      <c r="D117" s="6" t="s">
        <v>146</v>
      </c>
      <c r="E117" s="6" t="s">
        <v>12523</v>
      </c>
      <c r="F117" s="20" t="n">
        <f aca="false">Quarterly_Actuals!H93-Quarterly_Actuals!H285-Quarterly_Actuals!H323</f>
        <v>0</v>
      </c>
      <c r="G117" s="6" t="str">
        <f aca="false">IF(ABS(F117)&lt;=H117,"PASS","FAIL")</f>
        <v>PASS</v>
      </c>
      <c r="H117" s="6" t="n">
        <v>0.5</v>
      </c>
      <c r="I117" s="6"/>
    </row>
    <row r="118" customFormat="false" ht="15" hidden="false" customHeight="false" outlineLevel="0" collapsed="false">
      <c r="A118" s="6" t="s">
        <v>12524</v>
      </c>
      <c r="B118" s="6" t="s">
        <v>12278</v>
      </c>
      <c r="C118" s="6" t="s">
        <v>12285</v>
      </c>
      <c r="D118" s="6" t="s">
        <v>146</v>
      </c>
      <c r="E118" s="6" t="s">
        <v>12525</v>
      </c>
      <c r="F118" s="20" t="n">
        <f aca="false">Quarterly_Actuals!H169+Quarterly_Actuals!H207+Quarterly_Actuals!H245-Quarterly_Actuals!H285</f>
        <v>0</v>
      </c>
      <c r="G118" s="6" t="str">
        <f aca="false">IF(ABS(F118)&lt;=H118,"PASS","FAIL")</f>
        <v>PASS</v>
      </c>
      <c r="H118" s="6" t="n">
        <v>0.5</v>
      </c>
      <c r="I118" s="6"/>
    </row>
    <row r="119" customFormat="false" ht="15" hidden="false" customHeight="false" outlineLevel="0" collapsed="false">
      <c r="A119" s="6" t="s">
        <v>12526</v>
      </c>
      <c r="B119" s="6" t="s">
        <v>12288</v>
      </c>
      <c r="C119" s="6" t="s">
        <v>12289</v>
      </c>
      <c r="D119" s="6" t="s">
        <v>146</v>
      </c>
      <c r="E119" s="6" t="s">
        <v>12527</v>
      </c>
      <c r="F119" s="20" t="n">
        <f aca="false">Reconciliations!H332-Quarterly_Actuals!H945</f>
        <v>0</v>
      </c>
      <c r="G119" s="6" t="str">
        <f aca="false">IF(ABS(F119)&lt;=H119,"PASS","FAIL")</f>
        <v>PASS</v>
      </c>
      <c r="H119" s="6" t="n">
        <v>0.5</v>
      </c>
      <c r="I119" s="6"/>
    </row>
    <row r="120" customFormat="false" ht="15" hidden="false" customHeight="false" outlineLevel="0" collapsed="false">
      <c r="A120" s="6" t="s">
        <v>12528</v>
      </c>
      <c r="B120" s="6" t="s">
        <v>12288</v>
      </c>
      <c r="C120" s="6" t="s">
        <v>12292</v>
      </c>
      <c r="D120" s="6" t="s">
        <v>146</v>
      </c>
      <c r="E120" s="6" t="s">
        <v>12529</v>
      </c>
      <c r="F120" s="20" t="n">
        <f aca="false">Quarterly_Actuals!H945+Quarterly_Actuals!H983+Quarterly_Actuals!H1021-Quarterly_Actuals!H1083</f>
        <v>0</v>
      </c>
      <c r="G120" s="6" t="str">
        <f aca="false">IF(ABS(F120)&lt;=H120,"PASS","FAIL")</f>
        <v>PASS</v>
      </c>
      <c r="H120" s="6" t="n">
        <v>0.5</v>
      </c>
      <c r="I120" s="6"/>
    </row>
    <row r="121" customFormat="false" ht="15" hidden="false" customHeight="false" outlineLevel="0" collapsed="false">
      <c r="A121" s="6" t="s">
        <v>12530</v>
      </c>
      <c r="B121" s="6" t="s">
        <v>12295</v>
      </c>
      <c r="C121" s="6" t="s">
        <v>12296</v>
      </c>
      <c r="D121" s="6" t="s">
        <v>146</v>
      </c>
      <c r="E121" s="6" t="s">
        <v>12531</v>
      </c>
      <c r="F121" s="20" t="n">
        <f aca="false">Quarterly_Actuals!H849-Quarterly_Actuals!H887</f>
        <v>0</v>
      </c>
      <c r="G121" s="6" t="str">
        <f aca="false">IF(ABS(F121)&lt;=H121,"PASS","FAIL")</f>
        <v>PASS</v>
      </c>
      <c r="H121" s="6" t="n">
        <v>0.5</v>
      </c>
      <c r="I121" s="6"/>
    </row>
    <row r="122" customFormat="false" ht="15" hidden="false" customHeight="false" outlineLevel="0" collapsed="false">
      <c r="A122" s="6" t="s">
        <v>12532</v>
      </c>
      <c r="B122" s="6" t="s">
        <v>12299</v>
      </c>
      <c r="C122" s="6" t="s">
        <v>12300</v>
      </c>
      <c r="D122" s="6" t="s">
        <v>146</v>
      </c>
      <c r="E122" s="6" t="s">
        <v>12533</v>
      </c>
      <c r="F122" s="20" t="n">
        <f aca="false">ROUND(Quarterly_Actuals!H433,2)-Quarterly_Actuals!H131</f>
        <v>0</v>
      </c>
      <c r="G122" s="6" t="str">
        <f aca="false">IF(ABS(F122)&lt;=H122,"PASS","FAIL")</f>
        <v>PASS</v>
      </c>
      <c r="H122" s="6" t="n">
        <v>0.0001</v>
      </c>
      <c r="I122" s="6"/>
    </row>
    <row r="123" customFormat="false" ht="15" hidden="false" customHeight="false" outlineLevel="0" collapsed="false">
      <c r="A123" s="6" t="s">
        <v>12534</v>
      </c>
      <c r="B123" s="6" t="s">
        <v>12299</v>
      </c>
      <c r="C123" s="6" t="s">
        <v>12303</v>
      </c>
      <c r="D123" s="6" t="s">
        <v>146</v>
      </c>
      <c r="E123" s="6" t="s">
        <v>12535</v>
      </c>
      <c r="F123" s="20" t="n">
        <f aca="false">ROUND(Quarterly_Actuals!H791,2)-Quarterly_Actuals!H529</f>
        <v>0</v>
      </c>
      <c r="G123" s="6" t="str">
        <f aca="false">IF(ABS(F123)&lt;=H123,"PASS","FAIL")</f>
        <v>PASS</v>
      </c>
      <c r="H123" s="6" t="n">
        <v>0.0001</v>
      </c>
      <c r="I123" s="6"/>
    </row>
    <row r="124" customFormat="false" ht="15" hidden="false" customHeight="false" outlineLevel="0" collapsed="false">
      <c r="A124" s="6" t="s">
        <v>12536</v>
      </c>
      <c r="B124" s="6" t="s">
        <v>12299</v>
      </c>
      <c r="C124" s="6" t="s">
        <v>12306</v>
      </c>
      <c r="D124" s="6" t="s">
        <v>146</v>
      </c>
      <c r="E124" s="6" t="s">
        <v>12537</v>
      </c>
      <c r="F124" s="20" t="n">
        <f aca="false">ROUND(Quarterly_Actuals!H460,2)-Quarterly_Actuals!H361</f>
        <v>0</v>
      </c>
      <c r="G124" s="6" t="str">
        <f aca="false">IF(ABS(F124)&lt;=H124,"PASS","FAIL")</f>
        <v>PASS</v>
      </c>
      <c r="H124" s="6" t="n">
        <v>0.0001</v>
      </c>
      <c r="I124" s="6"/>
    </row>
    <row r="125" customFormat="false" ht="15" hidden="false" customHeight="false" outlineLevel="0" collapsed="false">
      <c r="A125" s="6" t="s">
        <v>12538</v>
      </c>
      <c r="B125" s="6" t="s">
        <v>12299</v>
      </c>
      <c r="C125" s="6" t="s">
        <v>12309</v>
      </c>
      <c r="D125" s="6" t="s">
        <v>146</v>
      </c>
      <c r="E125" s="6" t="s">
        <v>12539</v>
      </c>
      <c r="F125" s="20" t="n">
        <f aca="false">ROUND(Quarterly_Actuals!H818,2)-Quarterly_Actuals!H719</f>
        <v>0</v>
      </c>
      <c r="G125" s="6" t="str">
        <f aca="false">IF(ABS(F125)&lt;=H125,"PASS","FAIL")</f>
        <v>PASS</v>
      </c>
      <c r="H125" s="6" t="n">
        <v>0.0001</v>
      </c>
      <c r="I125" s="6"/>
    </row>
    <row r="126" customFormat="false" ht="15" hidden="false" customHeight="false" outlineLevel="0" collapsed="false">
      <c r="A126" s="6" t="s">
        <v>12540</v>
      </c>
      <c r="B126" s="6" t="s">
        <v>12299</v>
      </c>
      <c r="C126" s="6" t="s">
        <v>12452</v>
      </c>
      <c r="D126" s="6" t="s">
        <v>146</v>
      </c>
      <c r="E126" s="6" t="s">
        <v>12541</v>
      </c>
      <c r="F126" s="20" t="n">
        <f aca="false">ROUND(Quarterly_Actuals!H1183,2)-Quarterly_Actuals!H1111</f>
        <v>0</v>
      </c>
      <c r="G126" s="6" t="str">
        <f aca="false">IF(ABS(F126)&lt;=H126,"PASS","FAIL")</f>
        <v>PASS</v>
      </c>
      <c r="H126" s="6" t="n">
        <v>0.0001</v>
      </c>
      <c r="I126" s="6"/>
    </row>
    <row r="127" customFormat="false" ht="15" hidden="false" customHeight="false" outlineLevel="0" collapsed="false">
      <c r="A127" s="6" t="s">
        <v>12542</v>
      </c>
      <c r="B127" s="6" t="s">
        <v>12278</v>
      </c>
      <c r="C127" s="6" t="s">
        <v>12279</v>
      </c>
      <c r="D127" s="6" t="s">
        <v>151</v>
      </c>
      <c r="E127" s="6" t="s">
        <v>12543</v>
      </c>
      <c r="F127" s="20" t="n">
        <f aca="false">Quarterly_Actuals!H19-Quarterly_Actuals!H57-Quarterly_Actuals!H95</f>
        <v>0</v>
      </c>
      <c r="G127" s="6" t="str">
        <f aca="false">IF(ABS(F127)&lt;=H127,"PASS","FAIL")</f>
        <v>PASS</v>
      </c>
      <c r="H127" s="6" t="n">
        <v>0.5</v>
      </c>
      <c r="I127" s="6"/>
    </row>
    <row r="128" customFormat="false" ht="15" hidden="false" customHeight="false" outlineLevel="0" collapsed="false">
      <c r="A128" s="6" t="s">
        <v>12544</v>
      </c>
      <c r="B128" s="6" t="s">
        <v>12278</v>
      </c>
      <c r="C128" s="6" t="s">
        <v>12282</v>
      </c>
      <c r="D128" s="6" t="s">
        <v>151</v>
      </c>
      <c r="E128" s="6" t="s">
        <v>12545</v>
      </c>
      <c r="F128" s="20" t="n">
        <f aca="false">Quarterly_Actuals!H95-Quarterly_Actuals!H287-Quarterly_Actuals!H325</f>
        <v>0</v>
      </c>
      <c r="G128" s="6" t="str">
        <f aca="false">IF(ABS(F128)&lt;=H128,"PASS","FAIL")</f>
        <v>PASS</v>
      </c>
      <c r="H128" s="6" t="n">
        <v>0.5</v>
      </c>
      <c r="I128" s="6"/>
    </row>
    <row r="129" customFormat="false" ht="15" hidden="false" customHeight="false" outlineLevel="0" collapsed="false">
      <c r="A129" s="6" t="s">
        <v>12546</v>
      </c>
      <c r="B129" s="6" t="s">
        <v>12278</v>
      </c>
      <c r="C129" s="6" t="s">
        <v>12285</v>
      </c>
      <c r="D129" s="6" t="s">
        <v>151</v>
      </c>
      <c r="E129" s="6" t="s">
        <v>12547</v>
      </c>
      <c r="F129" s="20" t="n">
        <f aca="false">Quarterly_Actuals!H171+Quarterly_Actuals!H209+Quarterly_Actuals!H247-Quarterly_Actuals!H287</f>
        <v>0</v>
      </c>
      <c r="G129" s="6" t="str">
        <f aca="false">IF(ABS(F129)&lt;=H129,"PASS","FAIL")</f>
        <v>PASS</v>
      </c>
      <c r="H129" s="6" t="n">
        <v>0.5</v>
      </c>
      <c r="I129" s="6"/>
    </row>
    <row r="130" customFormat="false" ht="15" hidden="false" customHeight="false" outlineLevel="0" collapsed="false">
      <c r="A130" s="6" t="s">
        <v>12548</v>
      </c>
      <c r="B130" s="6" t="s">
        <v>12288</v>
      </c>
      <c r="C130" s="6" t="s">
        <v>12289</v>
      </c>
      <c r="D130" s="6" t="s">
        <v>151</v>
      </c>
      <c r="E130" s="6" t="s">
        <v>12549</v>
      </c>
      <c r="F130" s="20" t="n">
        <f aca="false">Reconciliations!H355-Quarterly_Actuals!H947</f>
        <v>0</v>
      </c>
      <c r="G130" s="6" t="str">
        <f aca="false">IF(ABS(F130)&lt;=H130,"PASS","FAIL")</f>
        <v>PASS</v>
      </c>
      <c r="H130" s="6" t="n">
        <v>0.5</v>
      </c>
      <c r="I130" s="6"/>
    </row>
    <row r="131" customFormat="false" ht="15" hidden="false" customHeight="false" outlineLevel="0" collapsed="false">
      <c r="A131" s="6" t="s">
        <v>12550</v>
      </c>
      <c r="B131" s="6" t="s">
        <v>12288</v>
      </c>
      <c r="C131" s="6" t="s">
        <v>12292</v>
      </c>
      <c r="D131" s="6" t="s">
        <v>151</v>
      </c>
      <c r="E131" s="6" t="s">
        <v>12551</v>
      </c>
      <c r="F131" s="20" t="n">
        <f aca="false">Quarterly_Actuals!H947+Quarterly_Actuals!H985+Quarterly_Actuals!H1023-Quarterly_Actuals!H1085</f>
        <v>0</v>
      </c>
      <c r="G131" s="6" t="str">
        <f aca="false">IF(ABS(F131)&lt;=H131,"PASS","FAIL")</f>
        <v>PASS</v>
      </c>
      <c r="H131" s="6" t="n">
        <v>0.5</v>
      </c>
      <c r="I131" s="6"/>
    </row>
    <row r="132" customFormat="false" ht="15" hidden="false" customHeight="false" outlineLevel="0" collapsed="false">
      <c r="A132" s="6" t="s">
        <v>12552</v>
      </c>
      <c r="B132" s="6" t="s">
        <v>12295</v>
      </c>
      <c r="C132" s="6" t="s">
        <v>12296</v>
      </c>
      <c r="D132" s="6" t="s">
        <v>151</v>
      </c>
      <c r="E132" s="6" t="s">
        <v>12553</v>
      </c>
      <c r="F132" s="20" t="n">
        <f aca="false">Quarterly_Actuals!H851-Quarterly_Actuals!H889</f>
        <v>0</v>
      </c>
      <c r="G132" s="6" t="str">
        <f aca="false">IF(ABS(F132)&lt;=H132,"PASS","FAIL")</f>
        <v>PASS</v>
      </c>
      <c r="H132" s="6" t="n">
        <v>0.5</v>
      </c>
      <c r="I132" s="6"/>
    </row>
    <row r="133" customFormat="false" ht="15" hidden="false" customHeight="false" outlineLevel="0" collapsed="false">
      <c r="A133" s="6" t="s">
        <v>12554</v>
      </c>
      <c r="B133" s="6" t="s">
        <v>12299</v>
      </c>
      <c r="C133" s="6" t="s">
        <v>12300</v>
      </c>
      <c r="D133" s="6" t="s">
        <v>151</v>
      </c>
      <c r="E133" s="6" t="s">
        <v>12555</v>
      </c>
      <c r="F133" s="20" t="n">
        <f aca="false">ROUND(Quarterly_Actuals!H434,2)-Quarterly_Actuals!H133</f>
        <v>0</v>
      </c>
      <c r="G133" s="6" t="str">
        <f aca="false">IF(ABS(F133)&lt;=H133,"PASS","FAIL")</f>
        <v>PASS</v>
      </c>
      <c r="H133" s="6" t="n">
        <v>0.0001</v>
      </c>
      <c r="I133" s="6"/>
    </row>
    <row r="134" customFormat="false" ht="15" hidden="false" customHeight="false" outlineLevel="0" collapsed="false">
      <c r="A134" s="6" t="s">
        <v>12556</v>
      </c>
      <c r="B134" s="6" t="s">
        <v>12299</v>
      </c>
      <c r="C134" s="6" t="s">
        <v>12303</v>
      </c>
      <c r="D134" s="6" t="s">
        <v>151</v>
      </c>
      <c r="E134" s="6" t="s">
        <v>12557</v>
      </c>
      <c r="F134" s="20" t="n">
        <f aca="false">ROUND(Quarterly_Actuals!H792,2)-Quarterly_Actuals!H531</f>
        <v>0</v>
      </c>
      <c r="G134" s="6" t="str">
        <f aca="false">IF(ABS(F134)&lt;=H134,"PASS","FAIL")</f>
        <v>PASS</v>
      </c>
      <c r="H134" s="6" t="n">
        <v>0.0001</v>
      </c>
      <c r="I134" s="6"/>
    </row>
    <row r="135" customFormat="false" ht="15" hidden="false" customHeight="false" outlineLevel="0" collapsed="false">
      <c r="A135" s="6" t="s">
        <v>12558</v>
      </c>
      <c r="B135" s="6" t="s">
        <v>12299</v>
      </c>
      <c r="C135" s="6" t="s">
        <v>12306</v>
      </c>
      <c r="D135" s="6" t="s">
        <v>151</v>
      </c>
      <c r="E135" s="6" t="s">
        <v>12559</v>
      </c>
      <c r="F135" s="20" t="n">
        <f aca="false">ROUND(Quarterly_Actuals!H461,2)-Quarterly_Actuals!H363</f>
        <v>0</v>
      </c>
      <c r="G135" s="6" t="str">
        <f aca="false">IF(ABS(F135)&lt;=H135,"PASS","FAIL")</f>
        <v>PASS</v>
      </c>
      <c r="H135" s="6" t="n">
        <v>0.0001</v>
      </c>
      <c r="I135" s="6"/>
    </row>
    <row r="136" customFormat="false" ht="15" hidden="false" customHeight="false" outlineLevel="0" collapsed="false">
      <c r="A136" s="6" t="s">
        <v>12560</v>
      </c>
      <c r="B136" s="6" t="s">
        <v>12299</v>
      </c>
      <c r="C136" s="6" t="s">
        <v>12309</v>
      </c>
      <c r="D136" s="6" t="s">
        <v>151</v>
      </c>
      <c r="E136" s="6" t="s">
        <v>12561</v>
      </c>
      <c r="F136" s="20" t="n">
        <f aca="false">ROUND(Quarterly_Actuals!H819,2)-Quarterly_Actuals!H721</f>
        <v>0</v>
      </c>
      <c r="G136" s="6" t="str">
        <f aca="false">IF(ABS(F136)&lt;=H136,"PASS","FAIL")</f>
        <v>PASS</v>
      </c>
      <c r="H136" s="6" t="n">
        <v>0.0001</v>
      </c>
      <c r="I136" s="6"/>
    </row>
    <row r="137" customFormat="false" ht="15" hidden="false" customHeight="false" outlineLevel="0" collapsed="false">
      <c r="A137" s="6" t="s">
        <v>12562</v>
      </c>
      <c r="B137" s="6" t="s">
        <v>12299</v>
      </c>
      <c r="C137" s="6" t="s">
        <v>12452</v>
      </c>
      <c r="D137" s="6" t="s">
        <v>151</v>
      </c>
      <c r="E137" s="6" t="s">
        <v>12563</v>
      </c>
      <c r="F137" s="20" t="n">
        <f aca="false">ROUND(Quarterly_Actuals!H1184,2)-Quarterly_Actuals!H1113</f>
        <v>0</v>
      </c>
      <c r="G137" s="6" t="str">
        <f aca="false">IF(ABS(F137)&lt;=H137,"PASS","FAIL")</f>
        <v>PASS</v>
      </c>
      <c r="H137" s="6" t="n">
        <v>0.0001</v>
      </c>
      <c r="I137" s="6"/>
    </row>
    <row r="138" customFormat="false" ht="15" hidden="false" customHeight="false" outlineLevel="0" collapsed="false">
      <c r="A138" s="6" t="s">
        <v>12564</v>
      </c>
      <c r="B138" s="6" t="s">
        <v>12278</v>
      </c>
      <c r="C138" s="6" t="s">
        <v>12279</v>
      </c>
      <c r="D138" s="6" t="s">
        <v>156</v>
      </c>
      <c r="E138" s="6" t="s">
        <v>12565</v>
      </c>
      <c r="F138" s="20" t="n">
        <f aca="false">Quarterly_Actuals!H21-Quarterly_Actuals!H59-Quarterly_Actuals!H97</f>
        <v>0</v>
      </c>
      <c r="G138" s="6" t="str">
        <f aca="false">IF(ABS(F138)&lt;=H138,"PASS","FAIL")</f>
        <v>PASS</v>
      </c>
      <c r="H138" s="6" t="n">
        <v>0.5</v>
      </c>
      <c r="I138" s="6"/>
    </row>
    <row r="139" customFormat="false" ht="15" hidden="false" customHeight="false" outlineLevel="0" collapsed="false">
      <c r="A139" s="6" t="s">
        <v>12566</v>
      </c>
      <c r="B139" s="6" t="s">
        <v>12278</v>
      </c>
      <c r="C139" s="6" t="s">
        <v>12282</v>
      </c>
      <c r="D139" s="6" t="s">
        <v>156</v>
      </c>
      <c r="E139" s="6" t="s">
        <v>12567</v>
      </c>
      <c r="F139" s="20" t="n">
        <f aca="false">Quarterly_Actuals!H97-Quarterly_Actuals!H289-Quarterly_Actuals!H327</f>
        <v>0</v>
      </c>
      <c r="G139" s="6" t="str">
        <f aca="false">IF(ABS(F139)&lt;=H139,"PASS","FAIL")</f>
        <v>PASS</v>
      </c>
      <c r="H139" s="6" t="n">
        <v>0.5</v>
      </c>
      <c r="I139" s="6"/>
    </row>
    <row r="140" customFormat="false" ht="15" hidden="false" customHeight="false" outlineLevel="0" collapsed="false">
      <c r="A140" s="6" t="s">
        <v>12568</v>
      </c>
      <c r="B140" s="6" t="s">
        <v>12278</v>
      </c>
      <c r="C140" s="6" t="s">
        <v>12285</v>
      </c>
      <c r="D140" s="6" t="s">
        <v>156</v>
      </c>
      <c r="E140" s="6" t="s">
        <v>12569</v>
      </c>
      <c r="F140" s="20" t="n">
        <f aca="false">Quarterly_Actuals!H173+Quarterly_Actuals!H211+Quarterly_Actuals!H249-Quarterly_Actuals!H289</f>
        <v>0</v>
      </c>
      <c r="G140" s="6" t="str">
        <f aca="false">IF(ABS(F140)&lt;=H140,"PASS","FAIL")</f>
        <v>PASS</v>
      </c>
      <c r="H140" s="6" t="n">
        <v>0.5</v>
      </c>
      <c r="I140" s="6"/>
    </row>
    <row r="141" customFormat="false" ht="15" hidden="false" customHeight="false" outlineLevel="0" collapsed="false">
      <c r="A141" s="6" t="s">
        <v>12570</v>
      </c>
      <c r="B141" s="6" t="s">
        <v>12288</v>
      </c>
      <c r="C141" s="6" t="s">
        <v>12289</v>
      </c>
      <c r="D141" s="6" t="s">
        <v>156</v>
      </c>
      <c r="E141" s="6" t="s">
        <v>12571</v>
      </c>
      <c r="F141" s="20" t="n">
        <f aca="false">Reconciliations!H378-Quarterly_Actuals!H949</f>
        <v>0</v>
      </c>
      <c r="G141" s="6" t="str">
        <f aca="false">IF(ABS(F141)&lt;=H141,"PASS","FAIL")</f>
        <v>PASS</v>
      </c>
      <c r="H141" s="6" t="n">
        <v>0.5</v>
      </c>
      <c r="I141" s="6"/>
    </row>
    <row r="142" customFormat="false" ht="15" hidden="false" customHeight="false" outlineLevel="0" collapsed="false">
      <c r="A142" s="6" t="s">
        <v>12572</v>
      </c>
      <c r="B142" s="6" t="s">
        <v>12288</v>
      </c>
      <c r="C142" s="6" t="s">
        <v>12292</v>
      </c>
      <c r="D142" s="6" t="s">
        <v>156</v>
      </c>
      <c r="E142" s="6" t="s">
        <v>12573</v>
      </c>
      <c r="F142" s="20" t="n">
        <f aca="false">Quarterly_Actuals!H949+Quarterly_Actuals!H987+Quarterly_Actuals!H1025-Quarterly_Actuals!H1087</f>
        <v>0</v>
      </c>
      <c r="G142" s="6" t="str">
        <f aca="false">IF(ABS(F142)&lt;=H142,"PASS","FAIL")</f>
        <v>PASS</v>
      </c>
      <c r="H142" s="6" t="n">
        <v>0.5</v>
      </c>
      <c r="I142" s="6"/>
    </row>
    <row r="143" customFormat="false" ht="15" hidden="false" customHeight="false" outlineLevel="0" collapsed="false">
      <c r="A143" s="6" t="s">
        <v>12574</v>
      </c>
      <c r="B143" s="6" t="s">
        <v>12295</v>
      </c>
      <c r="C143" s="6" t="s">
        <v>12296</v>
      </c>
      <c r="D143" s="6" t="s">
        <v>156</v>
      </c>
      <c r="E143" s="6" t="s">
        <v>12575</v>
      </c>
      <c r="F143" s="20" t="n">
        <f aca="false">Quarterly_Actuals!H853-Quarterly_Actuals!H891</f>
        <v>0</v>
      </c>
      <c r="G143" s="6" t="str">
        <f aca="false">IF(ABS(F143)&lt;=H143,"PASS","FAIL")</f>
        <v>PASS</v>
      </c>
      <c r="H143" s="6" t="n">
        <v>0.5</v>
      </c>
      <c r="I143" s="6"/>
    </row>
    <row r="144" customFormat="false" ht="15" hidden="false" customHeight="false" outlineLevel="0" collapsed="false">
      <c r="A144" s="6" t="s">
        <v>12576</v>
      </c>
      <c r="B144" s="6" t="s">
        <v>12299</v>
      </c>
      <c r="C144" s="6" t="s">
        <v>12300</v>
      </c>
      <c r="D144" s="6" t="s">
        <v>156</v>
      </c>
      <c r="E144" s="6" t="s">
        <v>12577</v>
      </c>
      <c r="F144" s="20" t="n">
        <f aca="false">ROUND(Quarterly_Actuals!H435,2)-Quarterly_Actuals!H135</f>
        <v>0</v>
      </c>
      <c r="G144" s="6" t="str">
        <f aca="false">IF(ABS(F144)&lt;=H144,"PASS","FAIL")</f>
        <v>PASS</v>
      </c>
      <c r="H144" s="6" t="n">
        <v>0.0001</v>
      </c>
      <c r="I144" s="6"/>
    </row>
    <row r="145" customFormat="false" ht="15" hidden="false" customHeight="false" outlineLevel="0" collapsed="false">
      <c r="A145" s="6" t="s">
        <v>12578</v>
      </c>
      <c r="B145" s="6" t="s">
        <v>12299</v>
      </c>
      <c r="C145" s="6" t="s">
        <v>12303</v>
      </c>
      <c r="D145" s="6" t="s">
        <v>156</v>
      </c>
      <c r="E145" s="6" t="s">
        <v>12579</v>
      </c>
      <c r="F145" s="20" t="n">
        <f aca="false">ROUND(Quarterly_Actuals!H793,2)-Quarterly_Actuals!H533</f>
        <v>0</v>
      </c>
      <c r="G145" s="6" t="str">
        <f aca="false">IF(ABS(F145)&lt;=H145,"PASS","FAIL")</f>
        <v>PASS</v>
      </c>
      <c r="H145" s="6" t="n">
        <v>0.0001</v>
      </c>
      <c r="I145" s="6"/>
    </row>
    <row r="146" customFormat="false" ht="15" hidden="false" customHeight="false" outlineLevel="0" collapsed="false">
      <c r="A146" s="6" t="s">
        <v>12580</v>
      </c>
      <c r="B146" s="6" t="s">
        <v>12299</v>
      </c>
      <c r="C146" s="6" t="s">
        <v>12306</v>
      </c>
      <c r="D146" s="6" t="s">
        <v>156</v>
      </c>
      <c r="E146" s="6" t="s">
        <v>12581</v>
      </c>
      <c r="F146" s="20" t="n">
        <f aca="false">ROUND(Quarterly_Actuals!H462,2)-Quarterly_Actuals!H365</f>
        <v>0</v>
      </c>
      <c r="G146" s="6" t="str">
        <f aca="false">IF(ABS(F146)&lt;=H146,"PASS","FAIL")</f>
        <v>PASS</v>
      </c>
      <c r="H146" s="6" t="n">
        <v>0.0001</v>
      </c>
      <c r="I146" s="6"/>
    </row>
    <row r="147" customFormat="false" ht="15" hidden="false" customHeight="false" outlineLevel="0" collapsed="false">
      <c r="A147" s="6" t="s">
        <v>12582</v>
      </c>
      <c r="B147" s="6" t="s">
        <v>12299</v>
      </c>
      <c r="C147" s="6" t="s">
        <v>12309</v>
      </c>
      <c r="D147" s="6" t="s">
        <v>156</v>
      </c>
      <c r="E147" s="6" t="s">
        <v>12583</v>
      </c>
      <c r="F147" s="20" t="n">
        <f aca="false">ROUND(Quarterly_Actuals!H820,2)-Quarterly_Actuals!H723</f>
        <v>0</v>
      </c>
      <c r="G147" s="6" t="str">
        <f aca="false">IF(ABS(F147)&lt;=H147,"PASS","FAIL")</f>
        <v>PASS</v>
      </c>
      <c r="H147" s="6" t="n">
        <v>0.0001</v>
      </c>
      <c r="I147" s="6"/>
    </row>
    <row r="148" customFormat="false" ht="15" hidden="false" customHeight="false" outlineLevel="0" collapsed="false">
      <c r="A148" s="6" t="s">
        <v>12584</v>
      </c>
      <c r="B148" s="6" t="s">
        <v>12299</v>
      </c>
      <c r="C148" s="6" t="s">
        <v>12452</v>
      </c>
      <c r="D148" s="6" t="s">
        <v>156</v>
      </c>
      <c r="E148" s="6" t="s">
        <v>12585</v>
      </c>
      <c r="F148" s="20" t="n">
        <f aca="false">ROUND(Quarterly_Actuals!H1185,2)-Quarterly_Actuals!H1115</f>
        <v>0</v>
      </c>
      <c r="G148" s="6" t="str">
        <f aca="false">IF(ABS(F148)&lt;=H148,"PASS","FAIL")</f>
        <v>PASS</v>
      </c>
      <c r="H148" s="6" t="n">
        <v>0.0001</v>
      </c>
      <c r="I148" s="6"/>
    </row>
    <row r="149" customFormat="false" ht="15" hidden="false" customHeight="false" outlineLevel="0" collapsed="false">
      <c r="A149" s="6" t="s">
        <v>12586</v>
      </c>
      <c r="B149" s="6" t="s">
        <v>12278</v>
      </c>
      <c r="C149" s="6" t="s">
        <v>12279</v>
      </c>
      <c r="D149" s="6" t="s">
        <v>225</v>
      </c>
      <c r="E149" s="6" t="s">
        <v>12587</v>
      </c>
      <c r="F149" s="20" t="n">
        <f aca="false">Quarterly_Actuals!H22-Quarterly_Actuals!H60-Quarterly_Actuals!H98</f>
        <v>0</v>
      </c>
      <c r="G149" s="6" t="str">
        <f aca="false">IF(ABS(F149)&lt;=H149,"PASS","FAIL")</f>
        <v>PASS</v>
      </c>
      <c r="H149" s="6" t="n">
        <v>0.5</v>
      </c>
      <c r="I149" s="6"/>
    </row>
    <row r="150" customFormat="false" ht="15" hidden="false" customHeight="false" outlineLevel="0" collapsed="false">
      <c r="A150" s="6" t="s">
        <v>12588</v>
      </c>
      <c r="B150" s="6" t="s">
        <v>12278</v>
      </c>
      <c r="C150" s="6" t="s">
        <v>12282</v>
      </c>
      <c r="D150" s="6" t="s">
        <v>225</v>
      </c>
      <c r="E150" s="6" t="s">
        <v>12589</v>
      </c>
      <c r="F150" s="20" t="n">
        <f aca="false">Quarterly_Actuals!H98-Quarterly_Actuals!H290-Quarterly_Actuals!H328</f>
        <v>0</v>
      </c>
      <c r="G150" s="6" t="str">
        <f aca="false">IF(ABS(F150)&lt;=H150,"PASS","FAIL")</f>
        <v>PASS</v>
      </c>
      <c r="H150" s="6" t="n">
        <v>0.5</v>
      </c>
      <c r="I150" s="6"/>
    </row>
    <row r="151" customFormat="false" ht="15" hidden="false" customHeight="false" outlineLevel="0" collapsed="false">
      <c r="A151" s="6" t="s">
        <v>12590</v>
      </c>
      <c r="B151" s="6" t="s">
        <v>12278</v>
      </c>
      <c r="C151" s="6" t="s">
        <v>12285</v>
      </c>
      <c r="D151" s="6" t="s">
        <v>225</v>
      </c>
      <c r="E151" s="6" t="s">
        <v>12591</v>
      </c>
      <c r="F151" s="20" t="n">
        <f aca="false">Quarterly_Actuals!H174+Quarterly_Actuals!H212+Quarterly_Actuals!H250-Quarterly_Actuals!H290</f>
        <v>0</v>
      </c>
      <c r="G151" s="6" t="str">
        <f aca="false">IF(ABS(F151)&lt;=H151,"PASS","FAIL")</f>
        <v>PASS</v>
      </c>
      <c r="H151" s="6" t="n">
        <v>0.5</v>
      </c>
      <c r="I151" s="6"/>
    </row>
    <row r="152" customFormat="false" ht="15" hidden="false" customHeight="false" outlineLevel="0" collapsed="false">
      <c r="A152" s="6" t="s">
        <v>12592</v>
      </c>
      <c r="B152" s="6" t="s">
        <v>12288</v>
      </c>
      <c r="C152" s="6" t="s">
        <v>12289</v>
      </c>
      <c r="D152" s="6" t="s">
        <v>225</v>
      </c>
      <c r="E152" s="6" t="s">
        <v>12593</v>
      </c>
      <c r="F152" s="20" t="n">
        <f aca="false">Reconciliations!H401-Quarterly_Actuals!H950</f>
        <v>0</v>
      </c>
      <c r="G152" s="6" t="str">
        <f aca="false">IF(ABS(F152)&lt;=H152,"PASS","FAIL")</f>
        <v>PASS</v>
      </c>
      <c r="H152" s="6" t="n">
        <v>0.5</v>
      </c>
      <c r="I152" s="6"/>
    </row>
    <row r="153" customFormat="false" ht="15" hidden="false" customHeight="false" outlineLevel="0" collapsed="false">
      <c r="A153" s="6" t="s">
        <v>12594</v>
      </c>
      <c r="B153" s="6" t="s">
        <v>12288</v>
      </c>
      <c r="C153" s="6" t="s">
        <v>12292</v>
      </c>
      <c r="D153" s="6" t="s">
        <v>225</v>
      </c>
      <c r="E153" s="6" t="s">
        <v>12595</v>
      </c>
      <c r="F153" s="20" t="n">
        <f aca="false">Quarterly_Actuals!H950+Quarterly_Actuals!H988+Quarterly_Actuals!H1026-Quarterly_Actuals!H1088</f>
        <v>0</v>
      </c>
      <c r="G153" s="6" t="str">
        <f aca="false">IF(ABS(F153)&lt;=H153,"PASS","FAIL")</f>
        <v>PASS</v>
      </c>
      <c r="H153" s="6" t="n">
        <v>0.5</v>
      </c>
      <c r="I153" s="6"/>
    </row>
    <row r="154" customFormat="false" ht="15" hidden="false" customHeight="false" outlineLevel="0" collapsed="false">
      <c r="A154" s="6" t="s">
        <v>12596</v>
      </c>
      <c r="B154" s="6" t="s">
        <v>12295</v>
      </c>
      <c r="C154" s="6" t="s">
        <v>12296</v>
      </c>
      <c r="D154" s="6" t="s">
        <v>225</v>
      </c>
      <c r="E154" s="6" t="s">
        <v>12597</v>
      </c>
      <c r="F154" s="20" t="n">
        <f aca="false">Quarterly_Actuals!H854-Quarterly_Actuals!H892</f>
        <v>0</v>
      </c>
      <c r="G154" s="6" t="str">
        <f aca="false">IF(ABS(F154)&lt;=H154,"PASS","FAIL")</f>
        <v>PASS</v>
      </c>
      <c r="H154" s="6" t="n">
        <v>0.5</v>
      </c>
      <c r="I154" s="6"/>
    </row>
    <row r="155" customFormat="false" ht="15" hidden="false" customHeight="false" outlineLevel="0" collapsed="false">
      <c r="A155" s="6" t="s">
        <v>12598</v>
      </c>
      <c r="B155" s="6" t="s">
        <v>12299</v>
      </c>
      <c r="C155" s="6" t="s">
        <v>12300</v>
      </c>
      <c r="D155" s="6" t="s">
        <v>225</v>
      </c>
      <c r="E155" s="6" t="s">
        <v>12599</v>
      </c>
      <c r="F155" s="20" t="n">
        <f aca="false">ROUND(Quarterly_Actuals!H436,2)-Quarterly_Actuals!H136</f>
        <v>0</v>
      </c>
      <c r="G155" s="6" t="str">
        <f aca="false">IF(ABS(F155)&lt;=H155,"PASS","FAIL")</f>
        <v>PASS</v>
      </c>
      <c r="H155" s="6" t="n">
        <v>0.0001</v>
      </c>
      <c r="I155" s="6"/>
    </row>
    <row r="156" customFormat="false" ht="15" hidden="false" customHeight="false" outlineLevel="0" collapsed="false">
      <c r="A156" s="6" t="s">
        <v>12600</v>
      </c>
      <c r="B156" s="6" t="s">
        <v>12299</v>
      </c>
      <c r="C156" s="6" t="s">
        <v>12303</v>
      </c>
      <c r="D156" s="6" t="s">
        <v>225</v>
      </c>
      <c r="E156" s="6" t="s">
        <v>12601</v>
      </c>
      <c r="F156" s="20" t="n">
        <f aca="false">ROUND(Quarterly_Actuals!H794,2)-Quarterly_Actuals!H534</f>
        <v>0</v>
      </c>
      <c r="G156" s="6" t="str">
        <f aca="false">IF(ABS(F156)&lt;=H156,"PASS","FAIL")</f>
        <v>PASS</v>
      </c>
      <c r="H156" s="6" t="n">
        <v>0.0001</v>
      </c>
      <c r="I156" s="6"/>
    </row>
    <row r="157" customFormat="false" ht="15" hidden="false" customHeight="false" outlineLevel="0" collapsed="false">
      <c r="A157" s="6" t="s">
        <v>12602</v>
      </c>
      <c r="B157" s="6" t="s">
        <v>12299</v>
      </c>
      <c r="C157" s="6" t="s">
        <v>12306</v>
      </c>
      <c r="D157" s="6" t="s">
        <v>225</v>
      </c>
      <c r="E157" s="6" t="s">
        <v>12603</v>
      </c>
      <c r="F157" s="20" t="n">
        <f aca="false">ROUND(Quarterly_Actuals!H463,2)-Quarterly_Actuals!H366</f>
        <v>0</v>
      </c>
      <c r="G157" s="6" t="str">
        <f aca="false">IF(ABS(F157)&lt;=H157,"PASS","FAIL")</f>
        <v>PASS</v>
      </c>
      <c r="H157" s="6" t="n">
        <v>0.0001</v>
      </c>
      <c r="I157" s="6"/>
    </row>
    <row r="158" customFormat="false" ht="15" hidden="false" customHeight="false" outlineLevel="0" collapsed="false">
      <c r="A158" s="6" t="s">
        <v>12604</v>
      </c>
      <c r="B158" s="6" t="s">
        <v>12299</v>
      </c>
      <c r="C158" s="6" t="s">
        <v>12309</v>
      </c>
      <c r="D158" s="6" t="s">
        <v>225</v>
      </c>
      <c r="E158" s="6" t="s">
        <v>12605</v>
      </c>
      <c r="F158" s="20" t="n">
        <f aca="false">ROUND(Quarterly_Actuals!H821,2)-Quarterly_Actuals!H724</f>
        <v>0</v>
      </c>
      <c r="G158" s="6" t="str">
        <f aca="false">IF(ABS(F158)&lt;=H158,"PASS","FAIL")</f>
        <v>PASS</v>
      </c>
      <c r="H158" s="6" t="n">
        <v>0.0001</v>
      </c>
      <c r="I158" s="6"/>
    </row>
    <row r="159" customFormat="false" ht="15" hidden="false" customHeight="false" outlineLevel="0" collapsed="false">
      <c r="A159" s="6" t="s">
        <v>12606</v>
      </c>
      <c r="B159" s="6" t="s">
        <v>12299</v>
      </c>
      <c r="C159" s="6" t="s">
        <v>12452</v>
      </c>
      <c r="D159" s="6" t="s">
        <v>225</v>
      </c>
      <c r="E159" s="6" t="s">
        <v>12607</v>
      </c>
      <c r="F159" s="20" t="n">
        <f aca="false">ROUND(Quarterly_Actuals!H1186,2)-Quarterly_Actuals!H1116</f>
        <v>0</v>
      </c>
      <c r="G159" s="6" t="str">
        <f aca="false">IF(ABS(F159)&lt;=H159,"PASS","FAIL")</f>
        <v>PASS</v>
      </c>
      <c r="H159" s="6" t="n">
        <v>0.0001</v>
      </c>
      <c r="I159" s="6"/>
    </row>
    <row r="160" customFormat="false" ht="15" hidden="false" customHeight="false" outlineLevel="0" collapsed="false">
      <c r="A160" s="6" t="s">
        <v>12608</v>
      </c>
      <c r="B160" s="6" t="s">
        <v>12278</v>
      </c>
      <c r="C160" s="6" t="s">
        <v>12279</v>
      </c>
      <c r="D160" s="6" t="s">
        <v>161</v>
      </c>
      <c r="E160" s="6" t="s">
        <v>12609</v>
      </c>
      <c r="F160" s="20" t="n">
        <f aca="false">Quarterly_Actuals!H23-Quarterly_Actuals!H61-Quarterly_Actuals!H99</f>
        <v>0</v>
      </c>
      <c r="G160" s="6" t="str">
        <f aca="false">IF(ABS(F160)&lt;=H160,"PASS","FAIL")</f>
        <v>PASS</v>
      </c>
      <c r="H160" s="6" t="n">
        <v>0.5</v>
      </c>
      <c r="I160" s="6"/>
    </row>
    <row r="161" customFormat="false" ht="15" hidden="false" customHeight="false" outlineLevel="0" collapsed="false">
      <c r="A161" s="6" t="s">
        <v>12610</v>
      </c>
      <c r="B161" s="6" t="s">
        <v>12278</v>
      </c>
      <c r="C161" s="6" t="s">
        <v>12282</v>
      </c>
      <c r="D161" s="6" t="s">
        <v>161</v>
      </c>
      <c r="E161" s="6" t="s">
        <v>12611</v>
      </c>
      <c r="F161" s="20" t="n">
        <f aca="false">Quarterly_Actuals!H99-Quarterly_Actuals!H291-Quarterly_Actuals!H329</f>
        <v>0</v>
      </c>
      <c r="G161" s="6" t="str">
        <f aca="false">IF(ABS(F161)&lt;=H161,"PASS","FAIL")</f>
        <v>PASS</v>
      </c>
      <c r="H161" s="6" t="n">
        <v>0.5</v>
      </c>
      <c r="I161" s="6"/>
    </row>
    <row r="162" customFormat="false" ht="15" hidden="false" customHeight="false" outlineLevel="0" collapsed="false">
      <c r="A162" s="6" t="s">
        <v>12612</v>
      </c>
      <c r="B162" s="6" t="s">
        <v>12278</v>
      </c>
      <c r="C162" s="6" t="s">
        <v>12285</v>
      </c>
      <c r="D162" s="6" t="s">
        <v>161</v>
      </c>
      <c r="E162" s="6" t="s">
        <v>12613</v>
      </c>
      <c r="F162" s="20" t="n">
        <f aca="false">Quarterly_Actuals!H175+Quarterly_Actuals!H213+Quarterly_Actuals!H251-Quarterly_Actuals!H291</f>
        <v>0</v>
      </c>
      <c r="G162" s="6" t="str">
        <f aca="false">IF(ABS(F162)&lt;=H162,"PASS","FAIL")</f>
        <v>PASS</v>
      </c>
      <c r="H162" s="6" t="n">
        <v>0.5</v>
      </c>
      <c r="I162" s="6"/>
    </row>
    <row r="163" customFormat="false" ht="15" hidden="false" customHeight="false" outlineLevel="0" collapsed="false">
      <c r="A163" s="6" t="s">
        <v>12614</v>
      </c>
      <c r="B163" s="6" t="s">
        <v>12288</v>
      </c>
      <c r="C163" s="6" t="s">
        <v>12289</v>
      </c>
      <c r="D163" s="6" t="s">
        <v>161</v>
      </c>
      <c r="E163" s="6" t="s">
        <v>12615</v>
      </c>
      <c r="F163" s="20" t="n">
        <f aca="false">Reconciliations!H424-Quarterly_Actuals!H951</f>
        <v>0</v>
      </c>
      <c r="G163" s="6" t="str">
        <f aca="false">IF(ABS(F163)&lt;=H163,"PASS","FAIL")</f>
        <v>PASS</v>
      </c>
      <c r="H163" s="6" t="n">
        <v>0.5</v>
      </c>
      <c r="I163" s="6"/>
    </row>
    <row r="164" customFormat="false" ht="15" hidden="false" customHeight="false" outlineLevel="0" collapsed="false">
      <c r="A164" s="6" t="s">
        <v>12616</v>
      </c>
      <c r="B164" s="6" t="s">
        <v>12288</v>
      </c>
      <c r="C164" s="6" t="s">
        <v>12292</v>
      </c>
      <c r="D164" s="6" t="s">
        <v>161</v>
      </c>
      <c r="E164" s="6" t="s">
        <v>12617</v>
      </c>
      <c r="F164" s="20" t="n">
        <f aca="false">Quarterly_Actuals!H951+Quarterly_Actuals!H989+Quarterly_Actuals!H1027-Quarterly_Actuals!H1089</f>
        <v>0</v>
      </c>
      <c r="G164" s="6" t="str">
        <f aca="false">IF(ABS(F164)&lt;=H164,"PASS","FAIL")</f>
        <v>PASS</v>
      </c>
      <c r="H164" s="6" t="n">
        <v>0.5</v>
      </c>
      <c r="I164" s="6"/>
    </row>
    <row r="165" customFormat="false" ht="15" hidden="false" customHeight="false" outlineLevel="0" collapsed="false">
      <c r="A165" s="6" t="s">
        <v>12618</v>
      </c>
      <c r="B165" s="6" t="s">
        <v>12295</v>
      </c>
      <c r="C165" s="6" t="s">
        <v>12296</v>
      </c>
      <c r="D165" s="6" t="s">
        <v>161</v>
      </c>
      <c r="E165" s="6" t="s">
        <v>12619</v>
      </c>
      <c r="F165" s="20" t="n">
        <f aca="false">Quarterly_Actuals!H855-Quarterly_Actuals!H893</f>
        <v>0</v>
      </c>
      <c r="G165" s="6" t="str">
        <f aca="false">IF(ABS(F165)&lt;=H165,"PASS","FAIL")</f>
        <v>PASS</v>
      </c>
      <c r="H165" s="6" t="n">
        <v>0.5</v>
      </c>
      <c r="I165" s="6"/>
    </row>
    <row r="166" customFormat="false" ht="15" hidden="false" customHeight="false" outlineLevel="0" collapsed="false">
      <c r="A166" s="6" t="s">
        <v>12620</v>
      </c>
      <c r="B166" s="6" t="s">
        <v>12299</v>
      </c>
      <c r="C166" s="6" t="s">
        <v>12300</v>
      </c>
      <c r="D166" s="6" t="s">
        <v>161</v>
      </c>
      <c r="E166" s="6" t="s">
        <v>12621</v>
      </c>
      <c r="F166" s="20" t="n">
        <f aca="false">ROUND(Quarterly_Actuals!H437,2)-Quarterly_Actuals!H137</f>
        <v>0</v>
      </c>
      <c r="G166" s="6" t="str">
        <f aca="false">IF(ABS(F166)&lt;=H166,"PASS","FAIL")</f>
        <v>PASS</v>
      </c>
      <c r="H166" s="6" t="n">
        <v>0.0001</v>
      </c>
      <c r="I166" s="6"/>
    </row>
    <row r="167" customFormat="false" ht="15" hidden="false" customHeight="false" outlineLevel="0" collapsed="false">
      <c r="A167" s="6" t="s">
        <v>12622</v>
      </c>
      <c r="B167" s="6" t="s">
        <v>12299</v>
      </c>
      <c r="C167" s="6" t="s">
        <v>12303</v>
      </c>
      <c r="D167" s="6" t="s">
        <v>161</v>
      </c>
      <c r="E167" s="6" t="s">
        <v>12623</v>
      </c>
      <c r="F167" s="20" t="n">
        <f aca="false">ROUND(Quarterly_Actuals!H795,2)-Quarterly_Actuals!H535</f>
        <v>0</v>
      </c>
      <c r="G167" s="6" t="str">
        <f aca="false">IF(ABS(F167)&lt;=H167,"PASS","FAIL")</f>
        <v>PASS</v>
      </c>
      <c r="H167" s="6" t="n">
        <v>0.0001</v>
      </c>
      <c r="I167" s="6"/>
    </row>
    <row r="168" customFormat="false" ht="15" hidden="false" customHeight="false" outlineLevel="0" collapsed="false">
      <c r="A168" s="6" t="s">
        <v>12624</v>
      </c>
      <c r="B168" s="6" t="s">
        <v>12299</v>
      </c>
      <c r="C168" s="6" t="s">
        <v>12306</v>
      </c>
      <c r="D168" s="6" t="s">
        <v>161</v>
      </c>
      <c r="E168" s="6" t="s">
        <v>12625</v>
      </c>
      <c r="F168" s="20" t="n">
        <f aca="false">ROUND(Quarterly_Actuals!H464,2)-Quarterly_Actuals!H367</f>
        <v>0</v>
      </c>
      <c r="G168" s="6" t="str">
        <f aca="false">IF(ABS(F168)&lt;=H168,"PASS","FAIL")</f>
        <v>PASS</v>
      </c>
      <c r="H168" s="6" t="n">
        <v>0.0001</v>
      </c>
      <c r="I168" s="6"/>
    </row>
    <row r="169" customFormat="false" ht="15" hidden="false" customHeight="false" outlineLevel="0" collapsed="false">
      <c r="A169" s="6" t="s">
        <v>12626</v>
      </c>
      <c r="B169" s="6" t="s">
        <v>12299</v>
      </c>
      <c r="C169" s="6" t="s">
        <v>12309</v>
      </c>
      <c r="D169" s="6" t="s">
        <v>161</v>
      </c>
      <c r="E169" s="6" t="s">
        <v>12627</v>
      </c>
      <c r="F169" s="20" t="n">
        <f aca="false">ROUND(Quarterly_Actuals!H822,2)-Quarterly_Actuals!H725</f>
        <v>0</v>
      </c>
      <c r="G169" s="6" t="str">
        <f aca="false">IF(ABS(F169)&lt;=H169,"PASS","FAIL")</f>
        <v>PASS</v>
      </c>
      <c r="H169" s="6" t="n">
        <v>0.0001</v>
      </c>
      <c r="I169" s="6"/>
    </row>
    <row r="170" customFormat="false" ht="15" hidden="false" customHeight="false" outlineLevel="0" collapsed="false">
      <c r="A170" s="6" t="s">
        <v>12628</v>
      </c>
      <c r="B170" s="6" t="s">
        <v>12299</v>
      </c>
      <c r="C170" s="6" t="s">
        <v>12452</v>
      </c>
      <c r="D170" s="6" t="s">
        <v>161</v>
      </c>
      <c r="E170" s="6" t="s">
        <v>12629</v>
      </c>
      <c r="F170" s="20" t="n">
        <f aca="false">ROUND(Quarterly_Actuals!H1187,2)-Quarterly_Actuals!H1117</f>
        <v>0</v>
      </c>
      <c r="G170" s="6" t="str">
        <f aca="false">IF(ABS(F170)&lt;=H170,"PASS","FAIL")</f>
        <v>PASS</v>
      </c>
      <c r="H170" s="6" t="n">
        <v>0.0001</v>
      </c>
      <c r="I170" s="6"/>
    </row>
    <row r="171" customFormat="false" ht="15" hidden="false" customHeight="false" outlineLevel="0" collapsed="false">
      <c r="A171" s="6" t="s">
        <v>12630</v>
      </c>
      <c r="B171" s="6" t="s">
        <v>12278</v>
      </c>
      <c r="C171" s="6" t="s">
        <v>12279</v>
      </c>
      <c r="D171" s="6" t="s">
        <v>166</v>
      </c>
      <c r="E171" s="6" t="s">
        <v>12631</v>
      </c>
      <c r="F171" s="20" t="n">
        <f aca="false">Quarterly_Actuals!H24-Quarterly_Actuals!H62-Quarterly_Actuals!H100</f>
        <v>0</v>
      </c>
      <c r="G171" s="6" t="str">
        <f aca="false">IF(ABS(F171)&lt;=H171,"PASS","FAIL")</f>
        <v>PASS</v>
      </c>
      <c r="H171" s="6" t="n">
        <v>0.5</v>
      </c>
      <c r="I171" s="6"/>
    </row>
    <row r="172" customFormat="false" ht="15" hidden="false" customHeight="false" outlineLevel="0" collapsed="false">
      <c r="A172" s="6" t="s">
        <v>12632</v>
      </c>
      <c r="B172" s="6" t="s">
        <v>12278</v>
      </c>
      <c r="C172" s="6" t="s">
        <v>12282</v>
      </c>
      <c r="D172" s="6" t="s">
        <v>166</v>
      </c>
      <c r="E172" s="6" t="s">
        <v>12633</v>
      </c>
      <c r="F172" s="20" t="n">
        <f aca="false">Quarterly_Actuals!H100-Quarterly_Actuals!H292-Quarterly_Actuals!H330</f>
        <v>0</v>
      </c>
      <c r="G172" s="6" t="str">
        <f aca="false">IF(ABS(F172)&lt;=H172,"PASS","FAIL")</f>
        <v>PASS</v>
      </c>
      <c r="H172" s="6" t="n">
        <v>0.5</v>
      </c>
      <c r="I172" s="6"/>
    </row>
    <row r="173" customFormat="false" ht="15" hidden="false" customHeight="false" outlineLevel="0" collapsed="false">
      <c r="A173" s="6" t="s">
        <v>12634</v>
      </c>
      <c r="B173" s="6" t="s">
        <v>12278</v>
      </c>
      <c r="C173" s="6" t="s">
        <v>12285</v>
      </c>
      <c r="D173" s="6" t="s">
        <v>166</v>
      </c>
      <c r="E173" s="6" t="s">
        <v>12635</v>
      </c>
      <c r="F173" s="20" t="n">
        <f aca="false">Quarterly_Actuals!H176+Quarterly_Actuals!H214+Quarterly_Actuals!H252-Quarterly_Actuals!H292</f>
        <v>0</v>
      </c>
      <c r="G173" s="6" t="str">
        <f aca="false">IF(ABS(F173)&lt;=H173,"PASS","FAIL")</f>
        <v>PASS</v>
      </c>
      <c r="H173" s="6" t="n">
        <v>0.5</v>
      </c>
      <c r="I173" s="6"/>
    </row>
    <row r="174" customFormat="false" ht="15" hidden="false" customHeight="false" outlineLevel="0" collapsed="false">
      <c r="A174" s="6" t="s">
        <v>12636</v>
      </c>
      <c r="B174" s="6" t="s">
        <v>12288</v>
      </c>
      <c r="C174" s="6" t="s">
        <v>12289</v>
      </c>
      <c r="D174" s="6" t="s">
        <v>166</v>
      </c>
      <c r="E174" s="6" t="s">
        <v>12637</v>
      </c>
      <c r="F174" s="20" t="n">
        <f aca="false">Reconciliations!H447-Quarterly_Actuals!H952</f>
        <v>0</v>
      </c>
      <c r="G174" s="6" t="str">
        <f aca="false">IF(ABS(F174)&lt;=H174,"PASS","FAIL")</f>
        <v>PASS</v>
      </c>
      <c r="H174" s="6" t="n">
        <v>0.5</v>
      </c>
      <c r="I174" s="6"/>
    </row>
    <row r="175" customFormat="false" ht="15" hidden="false" customHeight="false" outlineLevel="0" collapsed="false">
      <c r="A175" s="6" t="s">
        <v>12638</v>
      </c>
      <c r="B175" s="6" t="s">
        <v>12288</v>
      </c>
      <c r="C175" s="6" t="s">
        <v>12292</v>
      </c>
      <c r="D175" s="6" t="s">
        <v>166</v>
      </c>
      <c r="E175" s="6" t="s">
        <v>12639</v>
      </c>
      <c r="F175" s="20" t="n">
        <f aca="false">Quarterly_Actuals!H952+Quarterly_Actuals!H990+Quarterly_Actuals!H1028-Quarterly_Actuals!H1090</f>
        <v>0</v>
      </c>
      <c r="G175" s="6" t="str">
        <f aca="false">IF(ABS(F175)&lt;=H175,"PASS","FAIL")</f>
        <v>PASS</v>
      </c>
      <c r="H175" s="6" t="n">
        <v>0.5</v>
      </c>
      <c r="I175" s="6"/>
    </row>
    <row r="176" customFormat="false" ht="15" hidden="false" customHeight="false" outlineLevel="0" collapsed="false">
      <c r="A176" s="6" t="s">
        <v>12640</v>
      </c>
      <c r="B176" s="6" t="s">
        <v>12295</v>
      </c>
      <c r="C176" s="6" t="s">
        <v>12296</v>
      </c>
      <c r="D176" s="6" t="s">
        <v>166</v>
      </c>
      <c r="E176" s="6" t="s">
        <v>12641</v>
      </c>
      <c r="F176" s="20" t="n">
        <f aca="false">Quarterly_Actuals!H856-Quarterly_Actuals!H894</f>
        <v>0</v>
      </c>
      <c r="G176" s="6" t="str">
        <f aca="false">IF(ABS(F176)&lt;=H176,"PASS","FAIL")</f>
        <v>PASS</v>
      </c>
      <c r="H176" s="6" t="n">
        <v>0.5</v>
      </c>
      <c r="I176" s="6"/>
    </row>
    <row r="177" customFormat="false" ht="15" hidden="false" customHeight="false" outlineLevel="0" collapsed="false">
      <c r="A177" s="6" t="s">
        <v>12642</v>
      </c>
      <c r="B177" s="6" t="s">
        <v>12299</v>
      </c>
      <c r="C177" s="6" t="s">
        <v>12300</v>
      </c>
      <c r="D177" s="6" t="s">
        <v>166</v>
      </c>
      <c r="E177" s="6" t="s">
        <v>12643</v>
      </c>
      <c r="F177" s="20" t="n">
        <f aca="false">ROUND(Quarterly_Actuals!H438,2)-Quarterly_Actuals!H138</f>
        <v>0</v>
      </c>
      <c r="G177" s="6" t="str">
        <f aca="false">IF(ABS(F177)&lt;=H177,"PASS","FAIL")</f>
        <v>PASS</v>
      </c>
      <c r="H177" s="6" t="n">
        <v>0.0001</v>
      </c>
      <c r="I177" s="6"/>
    </row>
    <row r="178" customFormat="false" ht="15" hidden="false" customHeight="false" outlineLevel="0" collapsed="false">
      <c r="A178" s="6" t="s">
        <v>12644</v>
      </c>
      <c r="B178" s="6" t="s">
        <v>12299</v>
      </c>
      <c r="C178" s="6" t="s">
        <v>12303</v>
      </c>
      <c r="D178" s="6" t="s">
        <v>166</v>
      </c>
      <c r="E178" s="6" t="s">
        <v>12645</v>
      </c>
      <c r="F178" s="20" t="n">
        <f aca="false">ROUND(Quarterly_Actuals!H796,2)-Quarterly_Actuals!H536</f>
        <v>0</v>
      </c>
      <c r="G178" s="6" t="str">
        <f aca="false">IF(ABS(F178)&lt;=H178,"PASS","FAIL")</f>
        <v>PASS</v>
      </c>
      <c r="H178" s="6" t="n">
        <v>0.0001</v>
      </c>
      <c r="I178" s="6"/>
    </row>
    <row r="179" customFormat="false" ht="15" hidden="false" customHeight="false" outlineLevel="0" collapsed="false">
      <c r="A179" s="6" t="s">
        <v>12646</v>
      </c>
      <c r="B179" s="6" t="s">
        <v>12299</v>
      </c>
      <c r="C179" s="6" t="s">
        <v>12306</v>
      </c>
      <c r="D179" s="6" t="s">
        <v>166</v>
      </c>
      <c r="E179" s="6" t="s">
        <v>12647</v>
      </c>
      <c r="F179" s="20" t="n">
        <f aca="false">ROUND(Quarterly_Actuals!H465,2)-Quarterly_Actuals!H368</f>
        <v>0</v>
      </c>
      <c r="G179" s="6" t="str">
        <f aca="false">IF(ABS(F179)&lt;=H179,"PASS","FAIL")</f>
        <v>PASS</v>
      </c>
      <c r="H179" s="6" t="n">
        <v>0.0001</v>
      </c>
      <c r="I179" s="6"/>
    </row>
    <row r="180" customFormat="false" ht="15" hidden="false" customHeight="false" outlineLevel="0" collapsed="false">
      <c r="A180" s="6" t="s">
        <v>12648</v>
      </c>
      <c r="B180" s="6" t="s">
        <v>12299</v>
      </c>
      <c r="C180" s="6" t="s">
        <v>12309</v>
      </c>
      <c r="D180" s="6" t="s">
        <v>166</v>
      </c>
      <c r="E180" s="6" t="s">
        <v>12649</v>
      </c>
      <c r="F180" s="20" t="n">
        <f aca="false">ROUND(Quarterly_Actuals!H823,2)-Quarterly_Actuals!H726</f>
        <v>0</v>
      </c>
      <c r="G180" s="6" t="str">
        <f aca="false">IF(ABS(F180)&lt;=H180,"PASS","FAIL")</f>
        <v>PASS</v>
      </c>
      <c r="H180" s="6" t="n">
        <v>0.0001</v>
      </c>
      <c r="I180" s="6"/>
    </row>
    <row r="181" customFormat="false" ht="15" hidden="false" customHeight="false" outlineLevel="0" collapsed="false">
      <c r="A181" s="6" t="s">
        <v>12650</v>
      </c>
      <c r="B181" s="6" t="s">
        <v>12299</v>
      </c>
      <c r="C181" s="6" t="s">
        <v>12452</v>
      </c>
      <c r="D181" s="6" t="s">
        <v>166</v>
      </c>
      <c r="E181" s="6" t="s">
        <v>12651</v>
      </c>
      <c r="F181" s="20" t="n">
        <f aca="false">ROUND(Quarterly_Actuals!H1188,2)-Quarterly_Actuals!H1118</f>
        <v>0</v>
      </c>
      <c r="G181" s="6" t="str">
        <f aca="false">IF(ABS(F181)&lt;=H181,"PASS","FAIL")</f>
        <v>PASS</v>
      </c>
      <c r="H181" s="6" t="n">
        <v>0.0001</v>
      </c>
      <c r="I181" s="6"/>
    </row>
    <row r="182" customFormat="false" ht="15" hidden="false" customHeight="false" outlineLevel="0" collapsed="false">
      <c r="A182" s="6" t="s">
        <v>12652</v>
      </c>
      <c r="B182" s="6" t="s">
        <v>12278</v>
      </c>
      <c r="C182" s="6" t="s">
        <v>12279</v>
      </c>
      <c r="D182" s="6" t="s">
        <v>171</v>
      </c>
      <c r="E182" s="6" t="s">
        <v>12653</v>
      </c>
      <c r="F182" s="20" t="n">
        <f aca="false">Quarterly_Actuals!H26-Quarterly_Actuals!H64-Quarterly_Actuals!H102</f>
        <v>0</v>
      </c>
      <c r="G182" s="6" t="str">
        <f aca="false">IF(ABS(F182)&lt;=H182,"PASS","FAIL")</f>
        <v>PASS</v>
      </c>
      <c r="H182" s="6" t="n">
        <v>0.5</v>
      </c>
      <c r="I182" s="6"/>
    </row>
    <row r="183" customFormat="false" ht="15" hidden="false" customHeight="false" outlineLevel="0" collapsed="false">
      <c r="A183" s="6" t="s">
        <v>12654</v>
      </c>
      <c r="B183" s="6" t="s">
        <v>12278</v>
      </c>
      <c r="C183" s="6" t="s">
        <v>12282</v>
      </c>
      <c r="D183" s="6" t="s">
        <v>171</v>
      </c>
      <c r="E183" s="6" t="s">
        <v>12655</v>
      </c>
      <c r="F183" s="20" t="n">
        <f aca="false">Quarterly_Actuals!H102-Quarterly_Actuals!H294-Quarterly_Actuals!H332</f>
        <v>0</v>
      </c>
      <c r="G183" s="6" t="str">
        <f aca="false">IF(ABS(F183)&lt;=H183,"PASS","FAIL")</f>
        <v>PASS</v>
      </c>
      <c r="H183" s="6" t="n">
        <v>0.5</v>
      </c>
      <c r="I183" s="6"/>
    </row>
    <row r="184" customFormat="false" ht="15" hidden="false" customHeight="false" outlineLevel="0" collapsed="false">
      <c r="A184" s="6" t="s">
        <v>12656</v>
      </c>
      <c r="B184" s="6" t="s">
        <v>12278</v>
      </c>
      <c r="C184" s="6" t="s">
        <v>12285</v>
      </c>
      <c r="D184" s="6" t="s">
        <v>171</v>
      </c>
      <c r="E184" s="6" t="s">
        <v>12657</v>
      </c>
      <c r="F184" s="20" t="n">
        <f aca="false">Quarterly_Actuals!H178+Quarterly_Actuals!H216+Quarterly_Actuals!H254-Quarterly_Actuals!H294</f>
        <v>0</v>
      </c>
      <c r="G184" s="6" t="str">
        <f aca="false">IF(ABS(F184)&lt;=H184,"PASS","FAIL")</f>
        <v>PASS</v>
      </c>
      <c r="H184" s="6" t="n">
        <v>0.5</v>
      </c>
      <c r="I184" s="6"/>
    </row>
    <row r="185" customFormat="false" ht="15" hidden="false" customHeight="false" outlineLevel="0" collapsed="false">
      <c r="A185" s="6" t="s">
        <v>12658</v>
      </c>
      <c r="B185" s="6" t="s">
        <v>12288</v>
      </c>
      <c r="C185" s="6" t="s">
        <v>12289</v>
      </c>
      <c r="D185" s="6" t="s">
        <v>171</v>
      </c>
      <c r="E185" s="6" t="s">
        <v>12659</v>
      </c>
      <c r="F185" s="20" t="n">
        <f aca="false">Reconciliations!H473-Quarterly_Actuals!H954</f>
        <v>0</v>
      </c>
      <c r="G185" s="6" t="str">
        <f aca="false">IF(ABS(F185)&lt;=H185,"PASS","FAIL")</f>
        <v>PASS</v>
      </c>
      <c r="H185" s="6" t="n">
        <v>0.5</v>
      </c>
      <c r="I185" s="6"/>
    </row>
    <row r="186" customFormat="false" ht="15" hidden="false" customHeight="false" outlineLevel="0" collapsed="false">
      <c r="A186" s="6" t="s">
        <v>12660</v>
      </c>
      <c r="B186" s="6" t="s">
        <v>12288</v>
      </c>
      <c r="C186" s="6" t="s">
        <v>12292</v>
      </c>
      <c r="D186" s="6" t="s">
        <v>171</v>
      </c>
      <c r="E186" s="6" t="s">
        <v>12661</v>
      </c>
      <c r="F186" s="20" t="n">
        <f aca="false">Quarterly_Actuals!H954+Quarterly_Actuals!H992+Quarterly_Actuals!H1030-Quarterly_Actuals!H1092</f>
        <v>0</v>
      </c>
      <c r="G186" s="6" t="str">
        <f aca="false">IF(ABS(F186)&lt;=H186,"PASS","FAIL")</f>
        <v>PASS</v>
      </c>
      <c r="H186" s="6" t="n">
        <v>0.5</v>
      </c>
      <c r="I186" s="6"/>
    </row>
    <row r="187" customFormat="false" ht="15" hidden="false" customHeight="false" outlineLevel="0" collapsed="false">
      <c r="A187" s="6" t="s">
        <v>12662</v>
      </c>
      <c r="B187" s="6" t="s">
        <v>12295</v>
      </c>
      <c r="C187" s="6" t="s">
        <v>12296</v>
      </c>
      <c r="D187" s="6" t="s">
        <v>171</v>
      </c>
      <c r="E187" s="6" t="s">
        <v>12663</v>
      </c>
      <c r="F187" s="20" t="n">
        <f aca="false">Quarterly_Actuals!H858-Quarterly_Actuals!H896</f>
        <v>0</v>
      </c>
      <c r="G187" s="6" t="str">
        <f aca="false">IF(ABS(F187)&lt;=H187,"PASS","FAIL")</f>
        <v>PASS</v>
      </c>
      <c r="H187" s="6" t="n">
        <v>0.5</v>
      </c>
      <c r="I187" s="6"/>
    </row>
    <row r="188" customFormat="false" ht="15" hidden="false" customHeight="false" outlineLevel="0" collapsed="false">
      <c r="A188" s="6" t="s">
        <v>12664</v>
      </c>
      <c r="B188" s="6" t="s">
        <v>12299</v>
      </c>
      <c r="C188" s="6" t="s">
        <v>12300</v>
      </c>
      <c r="D188" s="6" t="s">
        <v>171</v>
      </c>
      <c r="E188" s="6" t="s">
        <v>12665</v>
      </c>
      <c r="F188" s="20" t="n">
        <f aca="false">ROUND(Quarterly_Actuals!H439,2)-Quarterly_Actuals!H140</f>
        <v>0</v>
      </c>
      <c r="G188" s="6" t="str">
        <f aca="false">IF(ABS(F188)&lt;=H188,"PASS","FAIL")</f>
        <v>PASS</v>
      </c>
      <c r="H188" s="6" t="n">
        <v>0.0001</v>
      </c>
      <c r="I188" s="6"/>
    </row>
    <row r="189" customFormat="false" ht="15" hidden="false" customHeight="false" outlineLevel="0" collapsed="false">
      <c r="A189" s="6" t="s">
        <v>12666</v>
      </c>
      <c r="B189" s="6" t="s">
        <v>12299</v>
      </c>
      <c r="C189" s="6" t="s">
        <v>12303</v>
      </c>
      <c r="D189" s="6" t="s">
        <v>171</v>
      </c>
      <c r="E189" s="6" t="s">
        <v>12667</v>
      </c>
      <c r="F189" s="20" t="n">
        <f aca="false">ROUND(Quarterly_Actuals!H797,2)-Quarterly_Actuals!H538</f>
        <v>0</v>
      </c>
      <c r="G189" s="6" t="str">
        <f aca="false">IF(ABS(F189)&lt;=H189,"PASS","FAIL")</f>
        <v>PASS</v>
      </c>
      <c r="H189" s="6" t="n">
        <v>0.0001</v>
      </c>
      <c r="I189" s="6"/>
    </row>
    <row r="190" customFormat="false" ht="15" hidden="false" customHeight="false" outlineLevel="0" collapsed="false">
      <c r="A190" s="6" t="s">
        <v>12668</v>
      </c>
      <c r="B190" s="6" t="s">
        <v>12299</v>
      </c>
      <c r="C190" s="6" t="s">
        <v>12306</v>
      </c>
      <c r="D190" s="6" t="s">
        <v>171</v>
      </c>
      <c r="E190" s="6" t="s">
        <v>12669</v>
      </c>
      <c r="F190" s="20" t="n">
        <f aca="false">ROUND(Quarterly_Actuals!H466,2)-Quarterly_Actuals!H370</f>
        <v>0</v>
      </c>
      <c r="G190" s="6" t="str">
        <f aca="false">IF(ABS(F190)&lt;=H190,"PASS","FAIL")</f>
        <v>PASS</v>
      </c>
      <c r="H190" s="6" t="n">
        <v>0.0001</v>
      </c>
      <c r="I190" s="6"/>
    </row>
    <row r="191" customFormat="false" ht="15" hidden="false" customHeight="false" outlineLevel="0" collapsed="false">
      <c r="A191" s="6" t="s">
        <v>12670</v>
      </c>
      <c r="B191" s="6" t="s">
        <v>12299</v>
      </c>
      <c r="C191" s="6" t="s">
        <v>12309</v>
      </c>
      <c r="D191" s="6" t="s">
        <v>171</v>
      </c>
      <c r="E191" s="6" t="s">
        <v>12671</v>
      </c>
      <c r="F191" s="20" t="n">
        <f aca="false">ROUND(Quarterly_Actuals!H824,2)-Quarterly_Actuals!H728</f>
        <v>0</v>
      </c>
      <c r="G191" s="6" t="str">
        <f aca="false">IF(ABS(F191)&lt;=H191,"PASS","FAIL")</f>
        <v>PASS</v>
      </c>
      <c r="H191" s="6" t="n">
        <v>0.0001</v>
      </c>
      <c r="I191" s="6"/>
    </row>
    <row r="192" customFormat="false" ht="15" hidden="false" customHeight="false" outlineLevel="0" collapsed="false">
      <c r="A192" s="6" t="s">
        <v>12672</v>
      </c>
      <c r="B192" s="6" t="s">
        <v>12299</v>
      </c>
      <c r="C192" s="6" t="s">
        <v>12452</v>
      </c>
      <c r="D192" s="6" t="s">
        <v>171</v>
      </c>
      <c r="E192" s="6" t="s">
        <v>12673</v>
      </c>
      <c r="F192" s="20" t="n">
        <f aca="false">ROUND(Quarterly_Actuals!H1189,2)-Quarterly_Actuals!H1120</f>
        <v>0</v>
      </c>
      <c r="G192" s="6" t="str">
        <f aca="false">IF(ABS(F192)&lt;=H192,"PASS","FAIL")</f>
        <v>PASS</v>
      </c>
      <c r="H192" s="6" t="n">
        <v>0.0001</v>
      </c>
      <c r="I192" s="6"/>
    </row>
    <row r="193" customFormat="false" ht="15" hidden="false" customHeight="false" outlineLevel="0" collapsed="false">
      <c r="A193" s="6" t="s">
        <v>12674</v>
      </c>
      <c r="B193" s="6" t="s">
        <v>12278</v>
      </c>
      <c r="C193" s="6" t="s">
        <v>12279</v>
      </c>
      <c r="D193" s="6" t="s">
        <v>176</v>
      </c>
      <c r="E193" s="6" t="s">
        <v>12675</v>
      </c>
      <c r="F193" s="20" t="n">
        <f aca="false">Quarterly_Actuals!H28-Quarterly_Actuals!H66-Quarterly_Actuals!H104</f>
        <v>0</v>
      </c>
      <c r="G193" s="6" t="str">
        <f aca="false">IF(ABS(F193)&lt;=H193,"PASS","FAIL")</f>
        <v>PASS</v>
      </c>
      <c r="H193" s="6" t="n">
        <v>0.5</v>
      </c>
      <c r="I193" s="6"/>
    </row>
    <row r="194" customFormat="false" ht="15" hidden="false" customHeight="false" outlineLevel="0" collapsed="false">
      <c r="A194" s="6" t="s">
        <v>12676</v>
      </c>
      <c r="B194" s="6" t="s">
        <v>12278</v>
      </c>
      <c r="C194" s="6" t="s">
        <v>12282</v>
      </c>
      <c r="D194" s="6" t="s">
        <v>176</v>
      </c>
      <c r="E194" s="6" t="s">
        <v>12677</v>
      </c>
      <c r="F194" s="20" t="n">
        <f aca="false">Quarterly_Actuals!H104-Quarterly_Actuals!H296-Quarterly_Actuals!H334</f>
        <v>0</v>
      </c>
      <c r="G194" s="6" t="str">
        <f aca="false">IF(ABS(F194)&lt;=H194,"PASS","FAIL")</f>
        <v>PASS</v>
      </c>
      <c r="H194" s="6" t="n">
        <v>0.5</v>
      </c>
      <c r="I194" s="6"/>
    </row>
    <row r="195" customFormat="false" ht="15" hidden="false" customHeight="false" outlineLevel="0" collapsed="false">
      <c r="A195" s="6" t="s">
        <v>12678</v>
      </c>
      <c r="B195" s="6" t="s">
        <v>12278</v>
      </c>
      <c r="C195" s="6" t="s">
        <v>12285</v>
      </c>
      <c r="D195" s="6" t="s">
        <v>176</v>
      </c>
      <c r="E195" s="6" t="s">
        <v>12679</v>
      </c>
      <c r="F195" s="20" t="n">
        <f aca="false">Quarterly_Actuals!H180+Quarterly_Actuals!H218+Quarterly_Actuals!H256-Quarterly_Actuals!H296</f>
        <v>0</v>
      </c>
      <c r="G195" s="6" t="str">
        <f aca="false">IF(ABS(F195)&lt;=H195,"PASS","FAIL")</f>
        <v>PASS</v>
      </c>
      <c r="H195" s="6" t="n">
        <v>0.5</v>
      </c>
      <c r="I195" s="6"/>
    </row>
    <row r="196" customFormat="false" ht="15" hidden="false" customHeight="false" outlineLevel="0" collapsed="false">
      <c r="A196" s="6" t="s">
        <v>12680</v>
      </c>
      <c r="B196" s="6" t="s">
        <v>12288</v>
      </c>
      <c r="C196" s="6" t="s">
        <v>12289</v>
      </c>
      <c r="D196" s="6" t="s">
        <v>176</v>
      </c>
      <c r="E196" s="6" t="s">
        <v>12681</v>
      </c>
      <c r="F196" s="20" t="n">
        <f aca="false">Reconciliations!H499-Quarterly_Actuals!H956</f>
        <v>0</v>
      </c>
      <c r="G196" s="6" t="str">
        <f aca="false">IF(ABS(F196)&lt;=H196,"PASS","FAIL")</f>
        <v>PASS</v>
      </c>
      <c r="H196" s="6" t="n">
        <v>0.5</v>
      </c>
      <c r="I196" s="6"/>
    </row>
    <row r="197" customFormat="false" ht="15" hidden="false" customHeight="false" outlineLevel="0" collapsed="false">
      <c r="A197" s="6" t="s">
        <v>12682</v>
      </c>
      <c r="B197" s="6" t="s">
        <v>12288</v>
      </c>
      <c r="C197" s="6" t="s">
        <v>12292</v>
      </c>
      <c r="D197" s="6" t="s">
        <v>176</v>
      </c>
      <c r="E197" s="6" t="s">
        <v>12683</v>
      </c>
      <c r="F197" s="20" t="n">
        <f aca="false">Quarterly_Actuals!H956+Quarterly_Actuals!H994+Quarterly_Actuals!H1032-Quarterly_Actuals!H1094</f>
        <v>0</v>
      </c>
      <c r="G197" s="6" t="str">
        <f aca="false">IF(ABS(F197)&lt;=H197,"PASS","FAIL")</f>
        <v>PASS</v>
      </c>
      <c r="H197" s="6" t="n">
        <v>0.5</v>
      </c>
      <c r="I197" s="6"/>
    </row>
    <row r="198" customFormat="false" ht="15" hidden="false" customHeight="false" outlineLevel="0" collapsed="false">
      <c r="A198" s="6" t="s">
        <v>12684</v>
      </c>
      <c r="B198" s="6" t="s">
        <v>12295</v>
      </c>
      <c r="C198" s="6" t="s">
        <v>12296</v>
      </c>
      <c r="D198" s="6" t="s">
        <v>176</v>
      </c>
      <c r="E198" s="6" t="s">
        <v>12685</v>
      </c>
      <c r="F198" s="20" t="n">
        <f aca="false">Quarterly_Actuals!H860-Quarterly_Actuals!H898</f>
        <v>0</v>
      </c>
      <c r="G198" s="6" t="str">
        <f aca="false">IF(ABS(F198)&lt;=H198,"PASS","FAIL")</f>
        <v>PASS</v>
      </c>
      <c r="H198" s="6" t="n">
        <v>0.5</v>
      </c>
      <c r="I198" s="6"/>
    </row>
    <row r="199" customFormat="false" ht="15" hidden="false" customHeight="false" outlineLevel="0" collapsed="false">
      <c r="A199" s="6" t="s">
        <v>12686</v>
      </c>
      <c r="B199" s="6" t="s">
        <v>12299</v>
      </c>
      <c r="C199" s="6" t="s">
        <v>12300</v>
      </c>
      <c r="D199" s="6" t="s">
        <v>176</v>
      </c>
      <c r="E199" s="6" t="s">
        <v>12687</v>
      </c>
      <c r="F199" s="20" t="n">
        <f aca="false">ROUND(Quarterly_Actuals!H440,2)-Quarterly_Actuals!H142</f>
        <v>0</v>
      </c>
      <c r="G199" s="6" t="str">
        <f aca="false">IF(ABS(F199)&lt;=H199,"PASS","FAIL")</f>
        <v>PASS</v>
      </c>
      <c r="H199" s="6" t="n">
        <v>0.0001</v>
      </c>
      <c r="I199" s="6"/>
    </row>
    <row r="200" customFormat="false" ht="15" hidden="false" customHeight="false" outlineLevel="0" collapsed="false">
      <c r="A200" s="6" t="s">
        <v>12688</v>
      </c>
      <c r="B200" s="6" t="s">
        <v>12299</v>
      </c>
      <c r="C200" s="6" t="s">
        <v>12303</v>
      </c>
      <c r="D200" s="6" t="s">
        <v>176</v>
      </c>
      <c r="E200" s="6" t="s">
        <v>12689</v>
      </c>
      <c r="F200" s="20" t="n">
        <f aca="false">ROUND(Quarterly_Actuals!H798,2)-Quarterly_Actuals!H540</f>
        <v>0</v>
      </c>
      <c r="G200" s="6" t="str">
        <f aca="false">IF(ABS(F200)&lt;=H200,"PASS","FAIL")</f>
        <v>PASS</v>
      </c>
      <c r="H200" s="6" t="n">
        <v>0.0001</v>
      </c>
      <c r="I200" s="6"/>
    </row>
    <row r="201" customFormat="false" ht="15" hidden="false" customHeight="false" outlineLevel="0" collapsed="false">
      <c r="A201" s="6" t="s">
        <v>12690</v>
      </c>
      <c r="B201" s="6" t="s">
        <v>12299</v>
      </c>
      <c r="C201" s="6" t="s">
        <v>12306</v>
      </c>
      <c r="D201" s="6" t="s">
        <v>176</v>
      </c>
      <c r="E201" s="6" t="s">
        <v>12691</v>
      </c>
      <c r="F201" s="20" t="n">
        <f aca="false">ROUND(Quarterly_Actuals!H467,2)-Quarterly_Actuals!H372</f>
        <v>0</v>
      </c>
      <c r="G201" s="6" t="str">
        <f aca="false">IF(ABS(F201)&lt;=H201,"PASS","FAIL")</f>
        <v>PASS</v>
      </c>
      <c r="H201" s="6" t="n">
        <v>0.0001</v>
      </c>
      <c r="I201" s="6"/>
    </row>
    <row r="202" customFormat="false" ht="15" hidden="false" customHeight="false" outlineLevel="0" collapsed="false">
      <c r="A202" s="6" t="s">
        <v>12692</v>
      </c>
      <c r="B202" s="6" t="s">
        <v>12299</v>
      </c>
      <c r="C202" s="6" t="s">
        <v>12309</v>
      </c>
      <c r="D202" s="6" t="s">
        <v>176</v>
      </c>
      <c r="E202" s="6" t="s">
        <v>12693</v>
      </c>
      <c r="F202" s="20" t="n">
        <f aca="false">ROUND(Quarterly_Actuals!H825,2)-Quarterly_Actuals!H730</f>
        <v>0</v>
      </c>
      <c r="G202" s="6" t="str">
        <f aca="false">IF(ABS(F202)&lt;=H202,"PASS","FAIL")</f>
        <v>PASS</v>
      </c>
      <c r="H202" s="6" t="n">
        <v>0.0001</v>
      </c>
      <c r="I202" s="6"/>
    </row>
    <row r="203" customFormat="false" ht="15" hidden="false" customHeight="false" outlineLevel="0" collapsed="false">
      <c r="A203" s="6" t="s">
        <v>12694</v>
      </c>
      <c r="B203" s="6" t="s">
        <v>12299</v>
      </c>
      <c r="C203" s="6" t="s">
        <v>12452</v>
      </c>
      <c r="D203" s="6" t="s">
        <v>176</v>
      </c>
      <c r="E203" s="6" t="s">
        <v>12695</v>
      </c>
      <c r="F203" s="20" t="n">
        <f aca="false">ROUND(Quarterly_Actuals!H1190,2)-Quarterly_Actuals!H1122</f>
        <v>0</v>
      </c>
      <c r="G203" s="6" t="str">
        <f aca="false">IF(ABS(F203)&lt;=H203,"PASS","FAIL")</f>
        <v>PASS</v>
      </c>
      <c r="H203" s="6" t="n">
        <v>0.0001</v>
      </c>
      <c r="I203" s="6"/>
    </row>
    <row r="204" customFormat="false" ht="15" hidden="false" customHeight="false" outlineLevel="0" collapsed="false">
      <c r="A204" s="6" t="s">
        <v>12696</v>
      </c>
      <c r="B204" s="6" t="s">
        <v>12278</v>
      </c>
      <c r="C204" s="6" t="s">
        <v>12279</v>
      </c>
      <c r="D204" s="6" t="s">
        <v>230</v>
      </c>
      <c r="E204" s="6" t="s">
        <v>12697</v>
      </c>
      <c r="F204" s="20" t="n">
        <f aca="false">Quarterly_Actuals!H29-Quarterly_Actuals!H67-Quarterly_Actuals!H105</f>
        <v>0</v>
      </c>
      <c r="G204" s="6" t="str">
        <f aca="false">IF(ABS(F204)&lt;=H204,"PASS","FAIL")</f>
        <v>PASS</v>
      </c>
      <c r="H204" s="6" t="n">
        <v>0.5</v>
      </c>
      <c r="I204" s="6"/>
    </row>
    <row r="205" customFormat="false" ht="15" hidden="false" customHeight="false" outlineLevel="0" collapsed="false">
      <c r="A205" s="6" t="s">
        <v>12698</v>
      </c>
      <c r="B205" s="6" t="s">
        <v>12278</v>
      </c>
      <c r="C205" s="6" t="s">
        <v>12282</v>
      </c>
      <c r="D205" s="6" t="s">
        <v>230</v>
      </c>
      <c r="E205" s="6" t="s">
        <v>12699</v>
      </c>
      <c r="F205" s="20" t="n">
        <f aca="false">Quarterly_Actuals!H105-Quarterly_Actuals!H297-Quarterly_Actuals!H335</f>
        <v>0</v>
      </c>
      <c r="G205" s="6" t="str">
        <f aca="false">IF(ABS(F205)&lt;=H205,"PASS","FAIL")</f>
        <v>PASS</v>
      </c>
      <c r="H205" s="6" t="n">
        <v>0.5</v>
      </c>
      <c r="I205" s="6"/>
    </row>
    <row r="206" customFormat="false" ht="15" hidden="false" customHeight="false" outlineLevel="0" collapsed="false">
      <c r="A206" s="6" t="s">
        <v>12700</v>
      </c>
      <c r="B206" s="6" t="s">
        <v>12278</v>
      </c>
      <c r="C206" s="6" t="s">
        <v>12285</v>
      </c>
      <c r="D206" s="6" t="s">
        <v>230</v>
      </c>
      <c r="E206" s="6" t="s">
        <v>12701</v>
      </c>
      <c r="F206" s="20" t="n">
        <f aca="false">Quarterly_Actuals!H181+Quarterly_Actuals!H219+Quarterly_Actuals!H257-Quarterly_Actuals!H297</f>
        <v>0</v>
      </c>
      <c r="G206" s="6" t="str">
        <f aca="false">IF(ABS(F206)&lt;=H206,"PASS","FAIL")</f>
        <v>PASS</v>
      </c>
      <c r="H206" s="6" t="n">
        <v>0.5</v>
      </c>
      <c r="I206" s="6"/>
    </row>
    <row r="207" customFormat="false" ht="15" hidden="false" customHeight="false" outlineLevel="0" collapsed="false">
      <c r="A207" s="6" t="s">
        <v>12702</v>
      </c>
      <c r="B207" s="6" t="s">
        <v>12288</v>
      </c>
      <c r="C207" s="6" t="s">
        <v>12289</v>
      </c>
      <c r="D207" s="6" t="s">
        <v>230</v>
      </c>
      <c r="E207" s="6" t="s">
        <v>12703</v>
      </c>
      <c r="F207" s="20" t="n">
        <f aca="false">Reconciliations!H525-Quarterly_Actuals!H957</f>
        <v>0</v>
      </c>
      <c r="G207" s="6" t="str">
        <f aca="false">IF(ABS(F207)&lt;=H207,"PASS","FAIL")</f>
        <v>PASS</v>
      </c>
      <c r="H207" s="6" t="n">
        <v>0.5</v>
      </c>
      <c r="I207" s="6"/>
    </row>
    <row r="208" customFormat="false" ht="15" hidden="false" customHeight="false" outlineLevel="0" collapsed="false">
      <c r="A208" s="6" t="s">
        <v>12704</v>
      </c>
      <c r="B208" s="6" t="s">
        <v>12288</v>
      </c>
      <c r="C208" s="6" t="s">
        <v>12292</v>
      </c>
      <c r="D208" s="6" t="s">
        <v>230</v>
      </c>
      <c r="E208" s="6" t="s">
        <v>12705</v>
      </c>
      <c r="F208" s="20" t="n">
        <f aca="false">Quarterly_Actuals!H957+Quarterly_Actuals!H995+Quarterly_Actuals!H1033-Quarterly_Actuals!H1095</f>
        <v>0</v>
      </c>
      <c r="G208" s="6" t="str">
        <f aca="false">IF(ABS(F208)&lt;=H208,"PASS","FAIL")</f>
        <v>PASS</v>
      </c>
      <c r="H208" s="6" t="n">
        <v>0.5</v>
      </c>
      <c r="I208" s="6"/>
    </row>
    <row r="209" customFormat="false" ht="15" hidden="false" customHeight="false" outlineLevel="0" collapsed="false">
      <c r="A209" s="6" t="s">
        <v>12706</v>
      </c>
      <c r="B209" s="6" t="s">
        <v>12295</v>
      </c>
      <c r="C209" s="6" t="s">
        <v>12296</v>
      </c>
      <c r="D209" s="6" t="s">
        <v>230</v>
      </c>
      <c r="E209" s="6" t="s">
        <v>12707</v>
      </c>
      <c r="F209" s="20" t="n">
        <f aca="false">Quarterly_Actuals!H861-Quarterly_Actuals!H899</f>
        <v>0</v>
      </c>
      <c r="G209" s="6" t="str">
        <f aca="false">IF(ABS(F209)&lt;=H209,"PASS","FAIL")</f>
        <v>PASS</v>
      </c>
      <c r="H209" s="6" t="n">
        <v>0.5</v>
      </c>
      <c r="I209" s="6"/>
    </row>
    <row r="210" customFormat="false" ht="15" hidden="false" customHeight="false" outlineLevel="0" collapsed="false">
      <c r="A210" s="6" t="s">
        <v>12708</v>
      </c>
      <c r="B210" s="6" t="s">
        <v>12299</v>
      </c>
      <c r="C210" s="6" t="s">
        <v>12300</v>
      </c>
      <c r="D210" s="6" t="s">
        <v>230</v>
      </c>
      <c r="E210" s="6" t="s">
        <v>12709</v>
      </c>
      <c r="F210" s="20" t="n">
        <f aca="false">ROUND(Quarterly_Actuals!H441,2)-Quarterly_Actuals!H143</f>
        <v>0</v>
      </c>
      <c r="G210" s="6" t="str">
        <f aca="false">IF(ABS(F210)&lt;=H210,"PASS","FAIL")</f>
        <v>PASS</v>
      </c>
      <c r="H210" s="6" t="n">
        <v>0.0001</v>
      </c>
      <c r="I210" s="6"/>
    </row>
    <row r="211" customFormat="false" ht="15" hidden="false" customHeight="false" outlineLevel="0" collapsed="false">
      <c r="A211" s="6" t="s">
        <v>12710</v>
      </c>
      <c r="B211" s="6" t="s">
        <v>12299</v>
      </c>
      <c r="C211" s="6" t="s">
        <v>12303</v>
      </c>
      <c r="D211" s="6" t="s">
        <v>230</v>
      </c>
      <c r="E211" s="6" t="s">
        <v>12711</v>
      </c>
      <c r="F211" s="20" t="n">
        <f aca="false">ROUND(Quarterly_Actuals!H799,2)-Quarterly_Actuals!H541</f>
        <v>0</v>
      </c>
      <c r="G211" s="6" t="str">
        <f aca="false">IF(ABS(F211)&lt;=H211,"PASS","FAIL")</f>
        <v>PASS</v>
      </c>
      <c r="H211" s="6" t="n">
        <v>0.0001</v>
      </c>
      <c r="I211" s="6"/>
    </row>
    <row r="212" customFormat="false" ht="15" hidden="false" customHeight="false" outlineLevel="0" collapsed="false">
      <c r="A212" s="6" t="s">
        <v>12712</v>
      </c>
      <c r="B212" s="6" t="s">
        <v>12299</v>
      </c>
      <c r="C212" s="6" t="s">
        <v>12306</v>
      </c>
      <c r="D212" s="6" t="s">
        <v>230</v>
      </c>
      <c r="E212" s="6" t="s">
        <v>12713</v>
      </c>
      <c r="F212" s="20" t="n">
        <f aca="false">ROUND(Quarterly_Actuals!H468,2)-Quarterly_Actuals!H373</f>
        <v>0</v>
      </c>
      <c r="G212" s="6" t="str">
        <f aca="false">IF(ABS(F212)&lt;=H212,"PASS","FAIL")</f>
        <v>PASS</v>
      </c>
      <c r="H212" s="6" t="n">
        <v>0.0001</v>
      </c>
      <c r="I212" s="6"/>
    </row>
    <row r="213" customFormat="false" ht="15" hidden="false" customHeight="false" outlineLevel="0" collapsed="false">
      <c r="A213" s="6" t="s">
        <v>12714</v>
      </c>
      <c r="B213" s="6" t="s">
        <v>12299</v>
      </c>
      <c r="C213" s="6" t="s">
        <v>12309</v>
      </c>
      <c r="D213" s="6" t="s">
        <v>230</v>
      </c>
      <c r="E213" s="6" t="s">
        <v>12715</v>
      </c>
      <c r="F213" s="20" t="n">
        <f aca="false">ROUND(Quarterly_Actuals!H826,2)-Quarterly_Actuals!H731</f>
        <v>0</v>
      </c>
      <c r="G213" s="6" t="str">
        <f aca="false">IF(ABS(F213)&lt;=H213,"PASS","FAIL")</f>
        <v>PASS</v>
      </c>
      <c r="H213" s="6" t="n">
        <v>0.0001</v>
      </c>
      <c r="I213" s="6"/>
    </row>
    <row r="214" customFormat="false" ht="15" hidden="false" customHeight="false" outlineLevel="0" collapsed="false">
      <c r="A214" s="6" t="s">
        <v>12716</v>
      </c>
      <c r="B214" s="6" t="s">
        <v>12299</v>
      </c>
      <c r="C214" s="6" t="s">
        <v>12452</v>
      </c>
      <c r="D214" s="6" t="s">
        <v>230</v>
      </c>
      <c r="E214" s="6" t="s">
        <v>12717</v>
      </c>
      <c r="F214" s="20" t="n">
        <f aca="false">ROUND(Quarterly_Actuals!H1191,2)-Quarterly_Actuals!H1123</f>
        <v>0</v>
      </c>
      <c r="G214" s="6" t="str">
        <f aca="false">IF(ABS(F214)&lt;=H214,"PASS","FAIL")</f>
        <v>PASS</v>
      </c>
      <c r="H214" s="6" t="n">
        <v>0.0001</v>
      </c>
      <c r="I214" s="6"/>
    </row>
    <row r="215" customFormat="false" ht="15" hidden="false" customHeight="false" outlineLevel="0" collapsed="false">
      <c r="A215" s="6" t="s">
        <v>12718</v>
      </c>
      <c r="B215" s="6" t="s">
        <v>12278</v>
      </c>
      <c r="C215" s="6" t="s">
        <v>12279</v>
      </c>
      <c r="D215" s="6" t="s">
        <v>181</v>
      </c>
      <c r="E215" s="6" t="s">
        <v>12719</v>
      </c>
      <c r="F215" s="20" t="n">
        <f aca="false">Quarterly_Actuals!H30-Quarterly_Actuals!H68-Quarterly_Actuals!H106</f>
        <v>0</v>
      </c>
      <c r="G215" s="6" t="str">
        <f aca="false">IF(ABS(F215)&lt;=H215,"PASS","FAIL")</f>
        <v>PASS</v>
      </c>
      <c r="H215" s="6" t="n">
        <v>0.5</v>
      </c>
      <c r="I215" s="6"/>
    </row>
    <row r="216" customFormat="false" ht="15" hidden="false" customHeight="false" outlineLevel="0" collapsed="false">
      <c r="A216" s="6" t="s">
        <v>12720</v>
      </c>
      <c r="B216" s="6" t="s">
        <v>12278</v>
      </c>
      <c r="C216" s="6" t="s">
        <v>12282</v>
      </c>
      <c r="D216" s="6" t="s">
        <v>181</v>
      </c>
      <c r="E216" s="6" t="s">
        <v>12721</v>
      </c>
      <c r="F216" s="20" t="n">
        <f aca="false">Quarterly_Actuals!H106-Quarterly_Actuals!H298-Quarterly_Actuals!H336</f>
        <v>0</v>
      </c>
      <c r="G216" s="6" t="str">
        <f aca="false">IF(ABS(F216)&lt;=H216,"PASS","FAIL")</f>
        <v>PASS</v>
      </c>
      <c r="H216" s="6" t="n">
        <v>0.5</v>
      </c>
      <c r="I216" s="6"/>
    </row>
    <row r="217" customFormat="false" ht="15" hidden="false" customHeight="false" outlineLevel="0" collapsed="false">
      <c r="A217" s="6" t="s">
        <v>12722</v>
      </c>
      <c r="B217" s="6" t="s">
        <v>12278</v>
      </c>
      <c r="C217" s="6" t="s">
        <v>12285</v>
      </c>
      <c r="D217" s="6" t="s">
        <v>181</v>
      </c>
      <c r="E217" s="6" t="s">
        <v>12723</v>
      </c>
      <c r="F217" s="20" t="n">
        <f aca="false">Quarterly_Actuals!H182+Quarterly_Actuals!H220+Quarterly_Actuals!H258-Quarterly_Actuals!H298</f>
        <v>0</v>
      </c>
      <c r="G217" s="6" t="str">
        <f aca="false">IF(ABS(F217)&lt;=H217,"PASS","FAIL")</f>
        <v>PASS</v>
      </c>
      <c r="H217" s="6" t="n">
        <v>0.5</v>
      </c>
      <c r="I217" s="6"/>
    </row>
    <row r="218" customFormat="false" ht="15" hidden="false" customHeight="false" outlineLevel="0" collapsed="false">
      <c r="A218" s="6" t="s">
        <v>12724</v>
      </c>
      <c r="B218" s="6" t="s">
        <v>12288</v>
      </c>
      <c r="C218" s="6" t="s">
        <v>12289</v>
      </c>
      <c r="D218" s="6" t="s">
        <v>181</v>
      </c>
      <c r="E218" s="6" t="s">
        <v>12725</v>
      </c>
      <c r="F218" s="20" t="n">
        <f aca="false">Reconciliations!H548-Quarterly_Actuals!H958</f>
        <v>0</v>
      </c>
      <c r="G218" s="6" t="str">
        <f aca="false">IF(ABS(F218)&lt;=H218,"PASS","FAIL")</f>
        <v>PASS</v>
      </c>
      <c r="H218" s="6" t="n">
        <v>0.5</v>
      </c>
      <c r="I218" s="6"/>
    </row>
    <row r="219" customFormat="false" ht="15" hidden="false" customHeight="false" outlineLevel="0" collapsed="false">
      <c r="A219" s="6" t="s">
        <v>12726</v>
      </c>
      <c r="B219" s="6" t="s">
        <v>12288</v>
      </c>
      <c r="C219" s="6" t="s">
        <v>12292</v>
      </c>
      <c r="D219" s="6" t="s">
        <v>181</v>
      </c>
      <c r="E219" s="6" t="s">
        <v>12727</v>
      </c>
      <c r="F219" s="20" t="n">
        <f aca="false">Quarterly_Actuals!H958+Quarterly_Actuals!H996+Quarterly_Actuals!H1034+Quarterly_Actuals!H1058-Quarterly_Actuals!H1096</f>
        <v>0</v>
      </c>
      <c r="G219" s="6" t="str">
        <f aca="false">IF(ABS(F219)&lt;=H219,"PASS","FAIL")</f>
        <v>PASS</v>
      </c>
      <c r="H219" s="6" t="n">
        <v>0.5</v>
      </c>
      <c r="I219" s="6"/>
    </row>
    <row r="220" customFormat="false" ht="15" hidden="false" customHeight="false" outlineLevel="0" collapsed="false">
      <c r="A220" s="6" t="s">
        <v>12728</v>
      </c>
      <c r="B220" s="6" t="s">
        <v>12295</v>
      </c>
      <c r="C220" s="6" t="s">
        <v>12296</v>
      </c>
      <c r="D220" s="6" t="s">
        <v>181</v>
      </c>
      <c r="E220" s="6" t="s">
        <v>12729</v>
      </c>
      <c r="F220" s="20" t="n">
        <f aca="false">Quarterly_Actuals!H862-Quarterly_Actuals!H900</f>
        <v>0</v>
      </c>
      <c r="G220" s="6" t="str">
        <f aca="false">IF(ABS(F220)&lt;=H220,"PASS","FAIL")</f>
        <v>PASS</v>
      </c>
      <c r="H220" s="6" t="n">
        <v>0.5</v>
      </c>
      <c r="I220" s="6"/>
    </row>
    <row r="221" customFormat="false" ht="15" hidden="false" customHeight="false" outlineLevel="0" collapsed="false">
      <c r="A221" s="6" t="s">
        <v>12730</v>
      </c>
      <c r="B221" s="6" t="s">
        <v>12299</v>
      </c>
      <c r="C221" s="6" t="s">
        <v>12300</v>
      </c>
      <c r="D221" s="6" t="s">
        <v>181</v>
      </c>
      <c r="E221" s="6" t="s">
        <v>12731</v>
      </c>
      <c r="F221" s="20" t="n">
        <f aca="false">ROUND(Quarterly_Actuals!H442,2)-Quarterly_Actuals!H144</f>
        <v>0</v>
      </c>
      <c r="G221" s="6" t="str">
        <f aca="false">IF(ABS(F221)&lt;=H221,"PASS","FAIL")</f>
        <v>PASS</v>
      </c>
      <c r="H221" s="6" t="n">
        <v>0.0001</v>
      </c>
      <c r="I221" s="6"/>
    </row>
    <row r="222" customFormat="false" ht="15" hidden="false" customHeight="false" outlineLevel="0" collapsed="false">
      <c r="A222" s="6" t="s">
        <v>12732</v>
      </c>
      <c r="B222" s="6" t="s">
        <v>12299</v>
      </c>
      <c r="C222" s="6" t="s">
        <v>12303</v>
      </c>
      <c r="D222" s="6" t="s">
        <v>181</v>
      </c>
      <c r="E222" s="6" t="s">
        <v>12733</v>
      </c>
      <c r="F222" s="20" t="n">
        <f aca="false">ROUND(Quarterly_Actuals!H800,2)-Quarterly_Actuals!H542</f>
        <v>0</v>
      </c>
      <c r="G222" s="6" t="str">
        <f aca="false">IF(ABS(F222)&lt;=H222,"PASS","FAIL")</f>
        <v>PASS</v>
      </c>
      <c r="H222" s="6" t="n">
        <v>0.0001</v>
      </c>
      <c r="I222" s="6"/>
    </row>
    <row r="223" customFormat="false" ht="15" hidden="false" customHeight="false" outlineLevel="0" collapsed="false">
      <c r="A223" s="6" t="s">
        <v>12734</v>
      </c>
      <c r="B223" s="6" t="s">
        <v>12299</v>
      </c>
      <c r="C223" s="6" t="s">
        <v>12306</v>
      </c>
      <c r="D223" s="6" t="s">
        <v>181</v>
      </c>
      <c r="E223" s="6" t="s">
        <v>12735</v>
      </c>
      <c r="F223" s="20" t="n">
        <f aca="false">ROUND(Quarterly_Actuals!H469,2)-Quarterly_Actuals!H374</f>
        <v>0</v>
      </c>
      <c r="G223" s="6" t="str">
        <f aca="false">IF(ABS(F223)&lt;=H223,"PASS","FAIL")</f>
        <v>PASS</v>
      </c>
      <c r="H223" s="6" t="n">
        <v>0.0001</v>
      </c>
      <c r="I223" s="6"/>
    </row>
    <row r="224" customFormat="false" ht="15" hidden="false" customHeight="false" outlineLevel="0" collapsed="false">
      <c r="A224" s="6" t="s">
        <v>12736</v>
      </c>
      <c r="B224" s="6" t="s">
        <v>12299</v>
      </c>
      <c r="C224" s="6" t="s">
        <v>12309</v>
      </c>
      <c r="D224" s="6" t="s">
        <v>181</v>
      </c>
      <c r="E224" s="6" t="s">
        <v>12737</v>
      </c>
      <c r="F224" s="20" t="n">
        <f aca="false">ROUND(Quarterly_Actuals!H827,2)-Quarterly_Actuals!H732</f>
        <v>0</v>
      </c>
      <c r="G224" s="6" t="str">
        <f aca="false">IF(ABS(F224)&lt;=H224,"PASS","FAIL")</f>
        <v>PASS</v>
      </c>
      <c r="H224" s="6" t="n">
        <v>0.0001</v>
      </c>
      <c r="I224" s="6"/>
    </row>
    <row r="225" customFormat="false" ht="15" hidden="false" customHeight="false" outlineLevel="0" collapsed="false">
      <c r="A225" s="6" t="s">
        <v>12738</v>
      </c>
      <c r="B225" s="6" t="s">
        <v>12299</v>
      </c>
      <c r="C225" s="6" t="s">
        <v>12452</v>
      </c>
      <c r="D225" s="6" t="s">
        <v>181</v>
      </c>
      <c r="E225" s="6" t="s">
        <v>12739</v>
      </c>
      <c r="F225" s="20" t="n">
        <f aca="false">ROUND(Quarterly_Actuals!H1192,2)-Quarterly_Actuals!H1124</f>
        <v>0</v>
      </c>
      <c r="G225" s="6" t="str">
        <f aca="false">IF(ABS(F225)&lt;=H225,"PASS","FAIL")</f>
        <v>PASS</v>
      </c>
      <c r="H225" s="6" t="n">
        <v>0.0001</v>
      </c>
      <c r="I225" s="6"/>
    </row>
    <row r="226" customFormat="false" ht="15" hidden="false" customHeight="false" outlineLevel="0" collapsed="false">
      <c r="A226" s="6" t="s">
        <v>12740</v>
      </c>
      <c r="B226" s="6" t="s">
        <v>12278</v>
      </c>
      <c r="C226" s="6" t="s">
        <v>12279</v>
      </c>
      <c r="D226" s="6" t="s">
        <v>186</v>
      </c>
      <c r="E226" s="6" t="s">
        <v>12741</v>
      </c>
      <c r="F226" s="20" t="n">
        <f aca="false">Quarterly_Actuals!H31-Quarterly_Actuals!H69-Quarterly_Actuals!H107</f>
        <v>0</v>
      </c>
      <c r="G226" s="6" t="str">
        <f aca="false">IF(ABS(F226)&lt;=H226,"PASS","FAIL")</f>
        <v>PASS</v>
      </c>
      <c r="H226" s="6" t="n">
        <v>0.5</v>
      </c>
      <c r="I226" s="6"/>
    </row>
    <row r="227" customFormat="false" ht="15" hidden="false" customHeight="false" outlineLevel="0" collapsed="false">
      <c r="A227" s="6" t="s">
        <v>12742</v>
      </c>
      <c r="B227" s="6" t="s">
        <v>12278</v>
      </c>
      <c r="C227" s="6" t="s">
        <v>12282</v>
      </c>
      <c r="D227" s="6" t="s">
        <v>186</v>
      </c>
      <c r="E227" s="6" t="s">
        <v>12743</v>
      </c>
      <c r="F227" s="20" t="n">
        <f aca="false">Quarterly_Actuals!H107-Quarterly_Actuals!H299-Quarterly_Actuals!H337</f>
        <v>0</v>
      </c>
      <c r="G227" s="6" t="str">
        <f aca="false">IF(ABS(F227)&lt;=H227,"PASS","FAIL")</f>
        <v>PASS</v>
      </c>
      <c r="H227" s="6" t="n">
        <v>0.5</v>
      </c>
      <c r="I227" s="6"/>
    </row>
    <row r="228" customFormat="false" ht="15" hidden="false" customHeight="false" outlineLevel="0" collapsed="false">
      <c r="A228" s="6" t="s">
        <v>12744</v>
      </c>
      <c r="B228" s="6" t="s">
        <v>12278</v>
      </c>
      <c r="C228" s="6" t="s">
        <v>12285</v>
      </c>
      <c r="D228" s="6" t="s">
        <v>186</v>
      </c>
      <c r="E228" s="6" t="s">
        <v>12745</v>
      </c>
      <c r="F228" s="20" t="n">
        <f aca="false">Quarterly_Actuals!H183+Quarterly_Actuals!H221+Quarterly_Actuals!H259-Quarterly_Actuals!H299</f>
        <v>0</v>
      </c>
      <c r="G228" s="6" t="str">
        <f aca="false">IF(ABS(F228)&lt;=H228,"PASS","FAIL")</f>
        <v>PASS</v>
      </c>
      <c r="H228" s="6" t="n">
        <v>0.5</v>
      </c>
      <c r="I228" s="6"/>
    </row>
    <row r="229" customFormat="false" ht="15" hidden="false" customHeight="false" outlineLevel="0" collapsed="false">
      <c r="A229" s="6" t="s">
        <v>12746</v>
      </c>
      <c r="B229" s="6" t="s">
        <v>12288</v>
      </c>
      <c r="C229" s="6" t="s">
        <v>12289</v>
      </c>
      <c r="D229" s="6" t="s">
        <v>186</v>
      </c>
      <c r="E229" s="6" t="s">
        <v>12747</v>
      </c>
      <c r="F229" s="20" t="n">
        <f aca="false">Reconciliations!H572-Quarterly_Actuals!H959</f>
        <v>0</v>
      </c>
      <c r="G229" s="6" t="str">
        <f aca="false">IF(ABS(F229)&lt;=H229,"PASS","FAIL")</f>
        <v>PASS</v>
      </c>
      <c r="H229" s="6" t="n">
        <v>0.5</v>
      </c>
      <c r="I229" s="6"/>
    </row>
    <row r="230" customFormat="false" ht="15" hidden="false" customHeight="false" outlineLevel="0" collapsed="false">
      <c r="A230" s="6" t="s">
        <v>12748</v>
      </c>
      <c r="B230" s="6" t="s">
        <v>12288</v>
      </c>
      <c r="C230" s="6" t="s">
        <v>12292</v>
      </c>
      <c r="D230" s="6" t="s">
        <v>186</v>
      </c>
      <c r="E230" s="6" t="s">
        <v>12749</v>
      </c>
      <c r="F230" s="20" t="n">
        <f aca="false">Quarterly_Actuals!H959+Quarterly_Actuals!H997+Quarterly_Actuals!H1035+Quarterly_Actuals!H1059-Quarterly_Actuals!H1097</f>
        <v>0</v>
      </c>
      <c r="G230" s="6" t="str">
        <f aca="false">IF(ABS(F230)&lt;=H230,"PASS","FAIL")</f>
        <v>PASS</v>
      </c>
      <c r="H230" s="6" t="n">
        <v>0.5</v>
      </c>
      <c r="I230" s="6"/>
    </row>
    <row r="231" customFormat="false" ht="15" hidden="false" customHeight="false" outlineLevel="0" collapsed="false">
      <c r="A231" s="6" t="s">
        <v>12750</v>
      </c>
      <c r="B231" s="6" t="s">
        <v>12295</v>
      </c>
      <c r="C231" s="6" t="s">
        <v>12296</v>
      </c>
      <c r="D231" s="6" t="s">
        <v>186</v>
      </c>
      <c r="E231" s="6" t="s">
        <v>12751</v>
      </c>
      <c r="F231" s="20" t="n">
        <f aca="false">Quarterly_Actuals!H863-Quarterly_Actuals!H901</f>
        <v>0</v>
      </c>
      <c r="G231" s="6" t="str">
        <f aca="false">IF(ABS(F231)&lt;=H231,"PASS","FAIL")</f>
        <v>PASS</v>
      </c>
      <c r="H231" s="6" t="n">
        <v>0.5</v>
      </c>
      <c r="I231" s="6"/>
    </row>
    <row r="232" customFormat="false" ht="15" hidden="false" customHeight="false" outlineLevel="0" collapsed="false">
      <c r="A232" s="6" t="s">
        <v>12752</v>
      </c>
      <c r="B232" s="6" t="s">
        <v>12299</v>
      </c>
      <c r="C232" s="6" t="s">
        <v>12300</v>
      </c>
      <c r="D232" s="6" t="s">
        <v>186</v>
      </c>
      <c r="E232" s="6" t="s">
        <v>12753</v>
      </c>
      <c r="F232" s="20" t="n">
        <f aca="false">ROUND(Quarterly_Actuals!H443,2)-Quarterly_Actuals!H145</f>
        <v>0</v>
      </c>
      <c r="G232" s="6" t="str">
        <f aca="false">IF(ABS(F232)&lt;=H232,"PASS","FAIL")</f>
        <v>PASS</v>
      </c>
      <c r="H232" s="6" t="n">
        <v>0.0001</v>
      </c>
      <c r="I232" s="6"/>
    </row>
    <row r="233" customFormat="false" ht="15" hidden="false" customHeight="false" outlineLevel="0" collapsed="false">
      <c r="A233" s="6" t="s">
        <v>12754</v>
      </c>
      <c r="B233" s="6" t="s">
        <v>12299</v>
      </c>
      <c r="C233" s="6" t="s">
        <v>12303</v>
      </c>
      <c r="D233" s="6" t="s">
        <v>186</v>
      </c>
      <c r="E233" s="6" t="s">
        <v>12755</v>
      </c>
      <c r="F233" s="20" t="n">
        <f aca="false">ROUND(Quarterly_Actuals!H801,2)-Quarterly_Actuals!H543</f>
        <v>0</v>
      </c>
      <c r="G233" s="6" t="str">
        <f aca="false">IF(ABS(F233)&lt;=H233,"PASS","FAIL")</f>
        <v>PASS</v>
      </c>
      <c r="H233" s="6" t="n">
        <v>0.0001</v>
      </c>
      <c r="I233" s="6"/>
    </row>
    <row r="234" customFormat="false" ht="15" hidden="false" customHeight="false" outlineLevel="0" collapsed="false">
      <c r="A234" s="6" t="s">
        <v>12756</v>
      </c>
      <c r="B234" s="6" t="s">
        <v>12299</v>
      </c>
      <c r="C234" s="6" t="s">
        <v>12306</v>
      </c>
      <c r="D234" s="6" t="s">
        <v>186</v>
      </c>
      <c r="E234" s="6" t="s">
        <v>12757</v>
      </c>
      <c r="F234" s="20" t="n">
        <f aca="false">ROUND(Quarterly_Actuals!H470,2)-Quarterly_Actuals!H375</f>
        <v>0</v>
      </c>
      <c r="G234" s="6" t="str">
        <f aca="false">IF(ABS(F234)&lt;=H234,"PASS","FAIL")</f>
        <v>PASS</v>
      </c>
      <c r="H234" s="6" t="n">
        <v>0.0001</v>
      </c>
      <c r="I234" s="6"/>
    </row>
    <row r="235" customFormat="false" ht="15" hidden="false" customHeight="false" outlineLevel="0" collapsed="false">
      <c r="A235" s="6" t="s">
        <v>12758</v>
      </c>
      <c r="B235" s="6" t="s">
        <v>12299</v>
      </c>
      <c r="C235" s="6" t="s">
        <v>12309</v>
      </c>
      <c r="D235" s="6" t="s">
        <v>186</v>
      </c>
      <c r="E235" s="6" t="s">
        <v>12759</v>
      </c>
      <c r="F235" s="20" t="n">
        <f aca="false">ROUND(Quarterly_Actuals!H828,2)-Quarterly_Actuals!H733</f>
        <v>0</v>
      </c>
      <c r="G235" s="6" t="str">
        <f aca="false">IF(ABS(F235)&lt;=H235,"PASS","FAIL")</f>
        <v>PASS</v>
      </c>
      <c r="H235" s="6" t="n">
        <v>0.0001</v>
      </c>
      <c r="I235" s="6"/>
    </row>
    <row r="236" customFormat="false" ht="15" hidden="false" customHeight="false" outlineLevel="0" collapsed="false">
      <c r="A236" s="6" t="s">
        <v>12760</v>
      </c>
      <c r="B236" s="6" t="s">
        <v>12299</v>
      </c>
      <c r="C236" s="6" t="s">
        <v>12452</v>
      </c>
      <c r="D236" s="6" t="s">
        <v>186</v>
      </c>
      <c r="E236" s="6" t="s">
        <v>12761</v>
      </c>
      <c r="F236" s="20" t="n">
        <f aca="false">ROUND(Quarterly_Actuals!H1193,2)-Quarterly_Actuals!H1125</f>
        <v>0</v>
      </c>
      <c r="G236" s="6" t="str">
        <f aca="false">IF(ABS(F236)&lt;=H236,"PASS","FAIL")</f>
        <v>PASS</v>
      </c>
      <c r="H236" s="6" t="n">
        <v>0.0001</v>
      </c>
      <c r="I236" s="6"/>
    </row>
    <row r="237" customFormat="false" ht="15" hidden="false" customHeight="false" outlineLevel="0" collapsed="false">
      <c r="A237" s="6" t="s">
        <v>12762</v>
      </c>
      <c r="B237" s="6" t="s">
        <v>12278</v>
      </c>
      <c r="C237" s="6" t="s">
        <v>12279</v>
      </c>
      <c r="D237" s="6" t="s">
        <v>191</v>
      </c>
      <c r="E237" s="6" t="s">
        <v>12763</v>
      </c>
      <c r="F237" s="20" t="n">
        <f aca="false">Quarterly_Actuals!H33-Quarterly_Actuals!H71-Quarterly_Actuals!H109</f>
        <v>0</v>
      </c>
      <c r="G237" s="6" t="str">
        <f aca="false">IF(ABS(F237)&lt;=H237,"PASS","FAIL")</f>
        <v>PASS</v>
      </c>
      <c r="H237" s="6" t="n">
        <v>0.5</v>
      </c>
      <c r="I237" s="6"/>
    </row>
    <row r="238" customFormat="false" ht="15" hidden="false" customHeight="false" outlineLevel="0" collapsed="false">
      <c r="A238" s="6" t="s">
        <v>12764</v>
      </c>
      <c r="B238" s="6" t="s">
        <v>12278</v>
      </c>
      <c r="C238" s="6" t="s">
        <v>12282</v>
      </c>
      <c r="D238" s="6" t="s">
        <v>191</v>
      </c>
      <c r="E238" s="6" t="s">
        <v>12765</v>
      </c>
      <c r="F238" s="20" t="n">
        <f aca="false">Quarterly_Actuals!H109-Quarterly_Actuals!H301-Quarterly_Actuals!H339</f>
        <v>0</v>
      </c>
      <c r="G238" s="6" t="str">
        <f aca="false">IF(ABS(F238)&lt;=H238,"PASS","FAIL")</f>
        <v>PASS</v>
      </c>
      <c r="H238" s="6" t="n">
        <v>0.5</v>
      </c>
      <c r="I238" s="6"/>
    </row>
    <row r="239" customFormat="false" ht="15" hidden="false" customHeight="false" outlineLevel="0" collapsed="false">
      <c r="A239" s="6" t="s">
        <v>12766</v>
      </c>
      <c r="B239" s="6" t="s">
        <v>12278</v>
      </c>
      <c r="C239" s="6" t="s">
        <v>12285</v>
      </c>
      <c r="D239" s="6" t="s">
        <v>191</v>
      </c>
      <c r="E239" s="6" t="s">
        <v>12767</v>
      </c>
      <c r="F239" s="20" t="n">
        <f aca="false">Quarterly_Actuals!H185+Quarterly_Actuals!H223+Quarterly_Actuals!H261-Quarterly_Actuals!H301</f>
        <v>0</v>
      </c>
      <c r="G239" s="6" t="str">
        <f aca="false">IF(ABS(F239)&lt;=H239,"PASS","FAIL")</f>
        <v>PASS</v>
      </c>
      <c r="H239" s="6" t="n">
        <v>0.5</v>
      </c>
      <c r="I239" s="6"/>
    </row>
    <row r="240" customFormat="false" ht="15" hidden="false" customHeight="false" outlineLevel="0" collapsed="false">
      <c r="A240" s="6" t="s">
        <v>12768</v>
      </c>
      <c r="B240" s="6" t="s">
        <v>12288</v>
      </c>
      <c r="C240" s="6" t="s">
        <v>12289</v>
      </c>
      <c r="D240" s="6" t="s">
        <v>191</v>
      </c>
      <c r="E240" s="6" t="s">
        <v>12769</v>
      </c>
      <c r="F240" s="20" t="n">
        <f aca="false">Reconciliations!H599-Quarterly_Actuals!H961</f>
        <v>0</v>
      </c>
      <c r="G240" s="6" t="str">
        <f aca="false">IF(ABS(F240)&lt;=H240,"PASS","FAIL")</f>
        <v>PASS</v>
      </c>
      <c r="H240" s="6" t="n">
        <v>0.5</v>
      </c>
      <c r="I240" s="6"/>
    </row>
    <row r="241" customFormat="false" ht="15" hidden="false" customHeight="false" outlineLevel="0" collapsed="false">
      <c r="A241" s="6" t="s">
        <v>12770</v>
      </c>
      <c r="B241" s="6" t="s">
        <v>12288</v>
      </c>
      <c r="C241" s="6" t="s">
        <v>12292</v>
      </c>
      <c r="D241" s="6" t="s">
        <v>191</v>
      </c>
      <c r="E241" s="6" t="s">
        <v>12771</v>
      </c>
      <c r="F241" s="20" t="n">
        <f aca="false">Quarterly_Actuals!H961+Quarterly_Actuals!H999+Quarterly_Actuals!H1037+Quarterly_Actuals!H1061-Quarterly_Actuals!H1099</f>
        <v>0</v>
      </c>
      <c r="G241" s="6" t="str">
        <f aca="false">IF(ABS(F241)&lt;=H241,"PASS","FAIL")</f>
        <v>PASS</v>
      </c>
      <c r="H241" s="6" t="n">
        <v>0.5</v>
      </c>
      <c r="I241" s="6"/>
    </row>
    <row r="242" customFormat="false" ht="15" hidden="false" customHeight="false" outlineLevel="0" collapsed="false">
      <c r="A242" s="6" t="s">
        <v>12772</v>
      </c>
      <c r="B242" s="6" t="s">
        <v>12295</v>
      </c>
      <c r="C242" s="6" t="s">
        <v>12296</v>
      </c>
      <c r="D242" s="6" t="s">
        <v>191</v>
      </c>
      <c r="E242" s="6" t="s">
        <v>12773</v>
      </c>
      <c r="F242" s="20" t="n">
        <f aca="false">Quarterly_Actuals!H865-Quarterly_Actuals!H903</f>
        <v>0</v>
      </c>
      <c r="G242" s="6" t="str">
        <f aca="false">IF(ABS(F242)&lt;=H242,"PASS","FAIL")</f>
        <v>PASS</v>
      </c>
      <c r="H242" s="6" t="n">
        <v>0.5</v>
      </c>
      <c r="I242" s="6"/>
    </row>
    <row r="243" customFormat="false" ht="15" hidden="false" customHeight="false" outlineLevel="0" collapsed="false">
      <c r="A243" s="6" t="s">
        <v>12774</v>
      </c>
      <c r="B243" s="6" t="s">
        <v>12299</v>
      </c>
      <c r="C243" s="6" t="s">
        <v>12300</v>
      </c>
      <c r="D243" s="6" t="s">
        <v>191</v>
      </c>
      <c r="E243" s="6" t="s">
        <v>12775</v>
      </c>
      <c r="F243" s="20" t="n">
        <f aca="false">ROUND(Quarterly_Actuals!H444,2)-Quarterly_Actuals!H147</f>
        <v>0</v>
      </c>
      <c r="G243" s="6" t="str">
        <f aca="false">IF(ABS(F243)&lt;=H243,"PASS","FAIL")</f>
        <v>PASS</v>
      </c>
      <c r="H243" s="6" t="n">
        <v>0.0001</v>
      </c>
      <c r="I243" s="6"/>
    </row>
    <row r="244" customFormat="false" ht="15" hidden="false" customHeight="false" outlineLevel="0" collapsed="false">
      <c r="A244" s="6" t="s">
        <v>12776</v>
      </c>
      <c r="B244" s="6" t="s">
        <v>12299</v>
      </c>
      <c r="C244" s="6" t="s">
        <v>12303</v>
      </c>
      <c r="D244" s="6" t="s">
        <v>191</v>
      </c>
      <c r="E244" s="6" t="s">
        <v>12777</v>
      </c>
      <c r="F244" s="20" t="n">
        <f aca="false">ROUND(Quarterly_Actuals!H802,2)-Quarterly_Actuals!H545</f>
        <v>0</v>
      </c>
      <c r="G244" s="6" t="str">
        <f aca="false">IF(ABS(F244)&lt;=H244,"PASS","FAIL")</f>
        <v>PASS</v>
      </c>
      <c r="H244" s="6" t="n">
        <v>0.0001</v>
      </c>
      <c r="I244" s="6"/>
    </row>
    <row r="245" customFormat="false" ht="15" hidden="false" customHeight="false" outlineLevel="0" collapsed="false">
      <c r="A245" s="6" t="s">
        <v>12778</v>
      </c>
      <c r="B245" s="6" t="s">
        <v>12299</v>
      </c>
      <c r="C245" s="6" t="s">
        <v>12306</v>
      </c>
      <c r="D245" s="6" t="s">
        <v>191</v>
      </c>
      <c r="E245" s="6" t="s">
        <v>12779</v>
      </c>
      <c r="F245" s="20" t="n">
        <f aca="false">ROUND(Quarterly_Actuals!H471,2)-Quarterly_Actuals!H377</f>
        <v>0</v>
      </c>
      <c r="G245" s="6" t="str">
        <f aca="false">IF(ABS(F245)&lt;=H245,"PASS","FAIL")</f>
        <v>PASS</v>
      </c>
      <c r="H245" s="6" t="n">
        <v>0.0001</v>
      </c>
      <c r="I245" s="6"/>
    </row>
    <row r="246" customFormat="false" ht="15" hidden="false" customHeight="false" outlineLevel="0" collapsed="false">
      <c r="A246" s="6" t="s">
        <v>12780</v>
      </c>
      <c r="B246" s="6" t="s">
        <v>12299</v>
      </c>
      <c r="C246" s="6" t="s">
        <v>12309</v>
      </c>
      <c r="D246" s="6" t="s">
        <v>191</v>
      </c>
      <c r="E246" s="6" t="s">
        <v>12781</v>
      </c>
      <c r="F246" s="20" t="n">
        <f aca="false">ROUND(Quarterly_Actuals!H829,2)-Quarterly_Actuals!H735</f>
        <v>0</v>
      </c>
      <c r="G246" s="6" t="str">
        <f aca="false">IF(ABS(F246)&lt;=H246,"PASS","FAIL")</f>
        <v>PASS</v>
      </c>
      <c r="H246" s="6" t="n">
        <v>0.0001</v>
      </c>
      <c r="I246" s="6"/>
    </row>
    <row r="247" customFormat="false" ht="15" hidden="false" customHeight="false" outlineLevel="0" collapsed="false">
      <c r="A247" s="6" t="s">
        <v>12782</v>
      </c>
      <c r="B247" s="6" t="s">
        <v>12299</v>
      </c>
      <c r="C247" s="6" t="s">
        <v>12452</v>
      </c>
      <c r="D247" s="6" t="s">
        <v>191</v>
      </c>
      <c r="E247" s="6" t="s">
        <v>12783</v>
      </c>
      <c r="F247" s="20" t="n">
        <f aca="false">ROUND(Quarterly_Actuals!H1194,2)-Quarterly_Actuals!H1127</f>
        <v>0</v>
      </c>
      <c r="G247" s="6" t="str">
        <f aca="false">IF(ABS(F247)&lt;=H247,"PASS","FAIL")</f>
        <v>PASS</v>
      </c>
      <c r="H247" s="6" t="n">
        <v>0.0001</v>
      </c>
      <c r="I247" s="6"/>
    </row>
    <row r="248" customFormat="false" ht="15" hidden="false" customHeight="false" outlineLevel="0" collapsed="false">
      <c r="A248" s="6" t="s">
        <v>12784</v>
      </c>
      <c r="B248" s="6" t="s">
        <v>12278</v>
      </c>
      <c r="C248" s="6" t="s">
        <v>12279</v>
      </c>
      <c r="D248" s="6" t="s">
        <v>196</v>
      </c>
      <c r="E248" s="6" t="s">
        <v>12785</v>
      </c>
      <c r="F248" s="20" t="n">
        <f aca="false">Quarterly_Actuals!H35-Quarterly_Actuals!H73-Quarterly_Actuals!H111</f>
        <v>0</v>
      </c>
      <c r="G248" s="6" t="str">
        <f aca="false">IF(ABS(F248)&lt;=H248,"PASS","FAIL")</f>
        <v>PASS</v>
      </c>
      <c r="H248" s="6" t="n">
        <v>0.5</v>
      </c>
      <c r="I248" s="6"/>
    </row>
    <row r="249" customFormat="false" ht="15" hidden="false" customHeight="false" outlineLevel="0" collapsed="false">
      <c r="A249" s="6" t="s">
        <v>12786</v>
      </c>
      <c r="B249" s="6" t="s">
        <v>12278</v>
      </c>
      <c r="C249" s="6" t="s">
        <v>12282</v>
      </c>
      <c r="D249" s="6" t="s">
        <v>196</v>
      </c>
      <c r="E249" s="6" t="s">
        <v>12787</v>
      </c>
      <c r="F249" s="20" t="n">
        <f aca="false">Quarterly_Actuals!H111-Quarterly_Actuals!H303-Quarterly_Actuals!H341</f>
        <v>0</v>
      </c>
      <c r="G249" s="6" t="str">
        <f aca="false">IF(ABS(F249)&lt;=H249,"PASS","FAIL")</f>
        <v>PASS</v>
      </c>
      <c r="H249" s="6" t="n">
        <v>0.5</v>
      </c>
      <c r="I249" s="6"/>
    </row>
    <row r="250" customFormat="false" ht="15" hidden="false" customHeight="false" outlineLevel="0" collapsed="false">
      <c r="A250" s="6" t="s">
        <v>12788</v>
      </c>
      <c r="B250" s="6" t="s">
        <v>12278</v>
      </c>
      <c r="C250" s="6" t="s">
        <v>12285</v>
      </c>
      <c r="D250" s="6" t="s">
        <v>196</v>
      </c>
      <c r="E250" s="6" t="s">
        <v>12789</v>
      </c>
      <c r="F250" s="20" t="n">
        <f aca="false">Quarterly_Actuals!H187+Quarterly_Actuals!H225+Quarterly_Actuals!H263-Quarterly_Actuals!H303</f>
        <v>0</v>
      </c>
      <c r="G250" s="6" t="str">
        <f aca="false">IF(ABS(F250)&lt;=H250,"PASS","FAIL")</f>
        <v>PASS</v>
      </c>
      <c r="H250" s="6" t="n">
        <v>0.5</v>
      </c>
      <c r="I250" s="6"/>
    </row>
    <row r="251" customFormat="false" ht="15" hidden="false" customHeight="false" outlineLevel="0" collapsed="false">
      <c r="A251" s="6" t="s">
        <v>12790</v>
      </c>
      <c r="B251" s="6" t="s">
        <v>12288</v>
      </c>
      <c r="C251" s="6" t="s">
        <v>12289</v>
      </c>
      <c r="D251" s="6" t="s">
        <v>196</v>
      </c>
      <c r="E251" s="6" t="s">
        <v>12791</v>
      </c>
      <c r="F251" s="20" t="n">
        <f aca="false">Reconciliations!H627-Quarterly_Actuals!H963</f>
        <v>0</v>
      </c>
      <c r="G251" s="6" t="str">
        <f aca="false">IF(ABS(F251)&lt;=H251,"PASS","FAIL")</f>
        <v>PASS</v>
      </c>
      <c r="H251" s="6" t="n">
        <v>0.5</v>
      </c>
      <c r="I251" s="6"/>
    </row>
    <row r="252" customFormat="false" ht="15" hidden="false" customHeight="false" outlineLevel="0" collapsed="false">
      <c r="A252" s="6" t="s">
        <v>12792</v>
      </c>
      <c r="B252" s="6" t="s">
        <v>12288</v>
      </c>
      <c r="C252" s="6" t="s">
        <v>12292</v>
      </c>
      <c r="D252" s="6" t="s">
        <v>196</v>
      </c>
      <c r="E252" s="6" t="s">
        <v>12793</v>
      </c>
      <c r="F252" s="20" t="n">
        <f aca="false">Quarterly_Actuals!H963+Quarterly_Actuals!H1001+Quarterly_Actuals!H1039+Quarterly_Actuals!H1063-Quarterly_Actuals!H1101</f>
        <v>0</v>
      </c>
      <c r="G252" s="6" t="str">
        <f aca="false">IF(ABS(F252)&lt;=H252,"PASS","FAIL")</f>
        <v>PASS</v>
      </c>
      <c r="H252" s="6" t="n">
        <v>0.5</v>
      </c>
      <c r="I252" s="6"/>
    </row>
    <row r="253" customFormat="false" ht="15" hidden="false" customHeight="false" outlineLevel="0" collapsed="false">
      <c r="A253" s="6" t="s">
        <v>12794</v>
      </c>
      <c r="B253" s="6" t="s">
        <v>12295</v>
      </c>
      <c r="C253" s="6" t="s">
        <v>12296</v>
      </c>
      <c r="D253" s="6" t="s">
        <v>196</v>
      </c>
      <c r="E253" s="6" t="s">
        <v>12795</v>
      </c>
      <c r="F253" s="20" t="n">
        <f aca="false">Quarterly_Actuals!H867-Quarterly_Actuals!H905</f>
        <v>0</v>
      </c>
      <c r="G253" s="6" t="str">
        <f aca="false">IF(ABS(F253)&lt;=H253,"PASS","FAIL")</f>
        <v>PASS</v>
      </c>
      <c r="H253" s="6" t="n">
        <v>0.5</v>
      </c>
      <c r="I253" s="6"/>
    </row>
    <row r="254" customFormat="false" ht="15" hidden="false" customHeight="false" outlineLevel="0" collapsed="false">
      <c r="A254" s="6" t="s">
        <v>12796</v>
      </c>
      <c r="B254" s="6" t="s">
        <v>12299</v>
      </c>
      <c r="C254" s="6" t="s">
        <v>12300</v>
      </c>
      <c r="D254" s="6" t="s">
        <v>196</v>
      </c>
      <c r="E254" s="6" t="s">
        <v>12797</v>
      </c>
      <c r="F254" s="20" t="n">
        <f aca="false">ROUND(Quarterly_Actuals!H445,2)-Quarterly_Actuals!H149</f>
        <v>0</v>
      </c>
      <c r="G254" s="6" t="str">
        <f aca="false">IF(ABS(F254)&lt;=H254,"PASS","FAIL")</f>
        <v>PASS</v>
      </c>
      <c r="H254" s="6" t="n">
        <v>0.0001</v>
      </c>
      <c r="I254" s="6"/>
    </row>
    <row r="255" customFormat="false" ht="15" hidden="false" customHeight="false" outlineLevel="0" collapsed="false">
      <c r="A255" s="6" t="s">
        <v>12798</v>
      </c>
      <c r="B255" s="6" t="s">
        <v>12299</v>
      </c>
      <c r="C255" s="6" t="s">
        <v>12303</v>
      </c>
      <c r="D255" s="6" t="s">
        <v>196</v>
      </c>
      <c r="E255" s="6" t="s">
        <v>12799</v>
      </c>
      <c r="F255" s="20" t="n">
        <f aca="false">ROUND(Quarterly_Actuals!H803,2)-Quarterly_Actuals!H547</f>
        <v>0</v>
      </c>
      <c r="G255" s="6" t="str">
        <f aca="false">IF(ABS(F255)&lt;=H255,"PASS","FAIL")</f>
        <v>PASS</v>
      </c>
      <c r="H255" s="6" t="n">
        <v>0.0001</v>
      </c>
      <c r="I255" s="6"/>
    </row>
    <row r="256" customFormat="false" ht="15" hidden="false" customHeight="false" outlineLevel="0" collapsed="false">
      <c r="A256" s="6" t="s">
        <v>12800</v>
      </c>
      <c r="B256" s="6" t="s">
        <v>12299</v>
      </c>
      <c r="C256" s="6" t="s">
        <v>12306</v>
      </c>
      <c r="D256" s="6" t="s">
        <v>196</v>
      </c>
      <c r="E256" s="6" t="s">
        <v>12801</v>
      </c>
      <c r="F256" s="20" t="n">
        <f aca="false">ROUND(Quarterly_Actuals!H472,2)-Quarterly_Actuals!H379</f>
        <v>0</v>
      </c>
      <c r="G256" s="6" t="str">
        <f aca="false">IF(ABS(F256)&lt;=H256,"PASS","FAIL")</f>
        <v>PASS</v>
      </c>
      <c r="H256" s="6" t="n">
        <v>0.0001</v>
      </c>
      <c r="I256" s="6"/>
    </row>
    <row r="257" customFormat="false" ht="15" hidden="false" customHeight="false" outlineLevel="0" collapsed="false">
      <c r="A257" s="6" t="s">
        <v>12802</v>
      </c>
      <c r="B257" s="6" t="s">
        <v>12299</v>
      </c>
      <c r="C257" s="6" t="s">
        <v>12309</v>
      </c>
      <c r="D257" s="6" t="s">
        <v>196</v>
      </c>
      <c r="E257" s="6" t="s">
        <v>12803</v>
      </c>
      <c r="F257" s="20" t="n">
        <f aca="false">ROUND(Quarterly_Actuals!H830,2)-Quarterly_Actuals!H737</f>
        <v>0</v>
      </c>
      <c r="G257" s="6" t="str">
        <f aca="false">IF(ABS(F257)&lt;=H257,"PASS","FAIL")</f>
        <v>PASS</v>
      </c>
      <c r="H257" s="6" t="n">
        <v>0.0001</v>
      </c>
      <c r="I257" s="6"/>
    </row>
    <row r="258" customFormat="false" ht="15" hidden="false" customHeight="false" outlineLevel="0" collapsed="false">
      <c r="A258" s="6" t="s">
        <v>12804</v>
      </c>
      <c r="B258" s="6" t="s">
        <v>12299</v>
      </c>
      <c r="C258" s="6" t="s">
        <v>12452</v>
      </c>
      <c r="D258" s="6" t="s">
        <v>196</v>
      </c>
      <c r="E258" s="6" t="s">
        <v>12805</v>
      </c>
      <c r="F258" s="20" t="n">
        <f aca="false">ROUND(Quarterly_Actuals!H1195,2)-Quarterly_Actuals!H1129</f>
        <v>0</v>
      </c>
      <c r="G258" s="6" t="str">
        <f aca="false">IF(ABS(F258)&lt;=H258,"PASS","FAIL")</f>
        <v>PASS</v>
      </c>
      <c r="H258" s="6" t="n">
        <v>0.0001</v>
      </c>
      <c r="I258" s="6"/>
    </row>
    <row r="259" customFormat="false" ht="15" hidden="false" customHeight="false" outlineLevel="0" collapsed="false">
      <c r="A259" s="6" t="s">
        <v>12806</v>
      </c>
      <c r="B259" s="6" t="s">
        <v>12278</v>
      </c>
      <c r="C259" s="6" t="s">
        <v>12279</v>
      </c>
      <c r="D259" s="6" t="s">
        <v>235</v>
      </c>
      <c r="E259" s="6" t="s">
        <v>12807</v>
      </c>
      <c r="F259" s="20" t="n">
        <f aca="false">Quarterly_Actuals!H36-Quarterly_Actuals!H74-Quarterly_Actuals!H112</f>
        <v>0</v>
      </c>
      <c r="G259" s="6" t="str">
        <f aca="false">IF(ABS(F259)&lt;=H259,"PASS","FAIL")</f>
        <v>PASS</v>
      </c>
      <c r="H259" s="6" t="n">
        <v>0.5</v>
      </c>
      <c r="I259" s="6"/>
    </row>
    <row r="260" customFormat="false" ht="15" hidden="false" customHeight="false" outlineLevel="0" collapsed="false">
      <c r="A260" s="6" t="s">
        <v>12808</v>
      </c>
      <c r="B260" s="6" t="s">
        <v>12278</v>
      </c>
      <c r="C260" s="6" t="s">
        <v>12282</v>
      </c>
      <c r="D260" s="6" t="s">
        <v>235</v>
      </c>
      <c r="E260" s="6" t="s">
        <v>12809</v>
      </c>
      <c r="F260" s="20" t="n">
        <f aca="false">Quarterly_Actuals!H112-Quarterly_Actuals!H304-Quarterly_Actuals!H342</f>
        <v>0</v>
      </c>
      <c r="G260" s="6" t="str">
        <f aca="false">IF(ABS(F260)&lt;=H260,"PASS","FAIL")</f>
        <v>PASS</v>
      </c>
      <c r="H260" s="6" t="n">
        <v>0.5</v>
      </c>
      <c r="I260" s="6"/>
    </row>
    <row r="261" customFormat="false" ht="15" hidden="false" customHeight="false" outlineLevel="0" collapsed="false">
      <c r="A261" s="6" t="s">
        <v>12810</v>
      </c>
      <c r="B261" s="6" t="s">
        <v>12278</v>
      </c>
      <c r="C261" s="6" t="s">
        <v>12285</v>
      </c>
      <c r="D261" s="6" t="s">
        <v>235</v>
      </c>
      <c r="E261" s="6" t="s">
        <v>12811</v>
      </c>
      <c r="F261" s="20" t="n">
        <f aca="false">Quarterly_Actuals!H188+Quarterly_Actuals!H226+Quarterly_Actuals!H264-Quarterly_Actuals!H304</f>
        <v>0</v>
      </c>
      <c r="G261" s="6" t="str">
        <f aca="false">IF(ABS(F261)&lt;=H261,"PASS","FAIL")</f>
        <v>PASS</v>
      </c>
      <c r="H261" s="6" t="n">
        <v>0.5</v>
      </c>
      <c r="I261" s="6"/>
    </row>
    <row r="262" customFormat="false" ht="15" hidden="false" customHeight="false" outlineLevel="0" collapsed="false">
      <c r="A262" s="6" t="s">
        <v>12812</v>
      </c>
      <c r="B262" s="6" t="s">
        <v>12288</v>
      </c>
      <c r="C262" s="6" t="s">
        <v>12289</v>
      </c>
      <c r="D262" s="6" t="s">
        <v>235</v>
      </c>
      <c r="E262" s="6" t="s">
        <v>12813</v>
      </c>
      <c r="F262" s="20" t="n">
        <f aca="false">Reconciliations!H655-Quarterly_Actuals!H964</f>
        <v>0</v>
      </c>
      <c r="G262" s="6" t="str">
        <f aca="false">IF(ABS(F262)&lt;=H262,"PASS","FAIL")</f>
        <v>PASS</v>
      </c>
      <c r="H262" s="6" t="n">
        <v>0.5</v>
      </c>
      <c r="I262" s="6"/>
    </row>
    <row r="263" customFormat="false" ht="15" hidden="false" customHeight="false" outlineLevel="0" collapsed="false">
      <c r="A263" s="6" t="s">
        <v>12814</v>
      </c>
      <c r="B263" s="6" t="s">
        <v>12288</v>
      </c>
      <c r="C263" s="6" t="s">
        <v>12292</v>
      </c>
      <c r="D263" s="6" t="s">
        <v>235</v>
      </c>
      <c r="E263" s="6" t="s">
        <v>12815</v>
      </c>
      <c r="F263" s="20" t="n">
        <f aca="false">Quarterly_Actuals!H964+Quarterly_Actuals!H1002+Quarterly_Actuals!H1040+Quarterly_Actuals!H1064-Quarterly_Actuals!H1102</f>
        <v>0</v>
      </c>
      <c r="G263" s="6" t="str">
        <f aca="false">IF(ABS(F263)&lt;=H263,"PASS","FAIL")</f>
        <v>PASS</v>
      </c>
      <c r="H263" s="6" t="n">
        <v>0.5</v>
      </c>
      <c r="I263" s="6"/>
    </row>
    <row r="264" customFormat="false" ht="15" hidden="false" customHeight="false" outlineLevel="0" collapsed="false">
      <c r="A264" s="6" t="s">
        <v>12816</v>
      </c>
      <c r="B264" s="6" t="s">
        <v>12295</v>
      </c>
      <c r="C264" s="6" t="s">
        <v>12296</v>
      </c>
      <c r="D264" s="6" t="s">
        <v>235</v>
      </c>
      <c r="E264" s="6" t="s">
        <v>12817</v>
      </c>
      <c r="F264" s="20" t="n">
        <f aca="false">Quarterly_Actuals!H868-Quarterly_Actuals!H906</f>
        <v>0</v>
      </c>
      <c r="G264" s="6" t="str">
        <f aca="false">IF(ABS(F264)&lt;=H264,"PASS","FAIL")</f>
        <v>PASS</v>
      </c>
      <c r="H264" s="6" t="n">
        <v>0.5</v>
      </c>
      <c r="I264" s="6"/>
    </row>
    <row r="265" customFormat="false" ht="15" hidden="false" customHeight="false" outlineLevel="0" collapsed="false">
      <c r="A265" s="6" t="s">
        <v>12818</v>
      </c>
      <c r="B265" s="6" t="s">
        <v>12299</v>
      </c>
      <c r="C265" s="6" t="s">
        <v>12300</v>
      </c>
      <c r="D265" s="6" t="s">
        <v>235</v>
      </c>
      <c r="E265" s="6" t="s">
        <v>12819</v>
      </c>
      <c r="F265" s="20" t="n">
        <f aca="false">ROUND(Quarterly_Actuals!H446,2)-Quarterly_Actuals!H150</f>
        <v>0</v>
      </c>
      <c r="G265" s="6" t="str">
        <f aca="false">IF(ABS(F265)&lt;=H265,"PASS","FAIL")</f>
        <v>PASS</v>
      </c>
      <c r="H265" s="6" t="n">
        <v>0.0001</v>
      </c>
      <c r="I265" s="6"/>
    </row>
    <row r="266" customFormat="false" ht="15" hidden="false" customHeight="false" outlineLevel="0" collapsed="false">
      <c r="A266" s="6" t="s">
        <v>12820</v>
      </c>
      <c r="B266" s="6" t="s">
        <v>12299</v>
      </c>
      <c r="C266" s="6" t="s">
        <v>12303</v>
      </c>
      <c r="D266" s="6" t="s">
        <v>235</v>
      </c>
      <c r="E266" s="6" t="s">
        <v>12821</v>
      </c>
      <c r="F266" s="20" t="n">
        <f aca="false">ROUND(Quarterly_Actuals!H804,2)-Quarterly_Actuals!H548</f>
        <v>0</v>
      </c>
      <c r="G266" s="6" t="str">
        <f aca="false">IF(ABS(F266)&lt;=H266,"PASS","FAIL")</f>
        <v>PASS</v>
      </c>
      <c r="H266" s="6" t="n">
        <v>0.0001</v>
      </c>
      <c r="I266" s="6"/>
    </row>
    <row r="267" customFormat="false" ht="15" hidden="false" customHeight="false" outlineLevel="0" collapsed="false">
      <c r="A267" s="6" t="s">
        <v>12822</v>
      </c>
      <c r="B267" s="6" t="s">
        <v>12299</v>
      </c>
      <c r="C267" s="6" t="s">
        <v>12306</v>
      </c>
      <c r="D267" s="6" t="s">
        <v>235</v>
      </c>
      <c r="E267" s="6" t="s">
        <v>12823</v>
      </c>
      <c r="F267" s="20" t="n">
        <f aca="false">ROUND(Quarterly_Actuals!H473,2)-Quarterly_Actuals!H380</f>
        <v>0</v>
      </c>
      <c r="G267" s="6" t="str">
        <f aca="false">IF(ABS(F267)&lt;=H267,"PASS","FAIL")</f>
        <v>PASS</v>
      </c>
      <c r="H267" s="6" t="n">
        <v>0.0001</v>
      </c>
      <c r="I267" s="6"/>
    </row>
    <row r="268" customFormat="false" ht="15" hidden="false" customHeight="false" outlineLevel="0" collapsed="false">
      <c r="A268" s="6" t="s">
        <v>12824</v>
      </c>
      <c r="B268" s="6" t="s">
        <v>12299</v>
      </c>
      <c r="C268" s="6" t="s">
        <v>12309</v>
      </c>
      <c r="D268" s="6" t="s">
        <v>235</v>
      </c>
      <c r="E268" s="6" t="s">
        <v>12825</v>
      </c>
      <c r="F268" s="20" t="n">
        <f aca="false">ROUND(Quarterly_Actuals!H831,2)-Quarterly_Actuals!H738</f>
        <v>0</v>
      </c>
      <c r="G268" s="6" t="str">
        <f aca="false">IF(ABS(F268)&lt;=H268,"PASS","FAIL")</f>
        <v>PASS</v>
      </c>
      <c r="H268" s="6" t="n">
        <v>0.0001</v>
      </c>
      <c r="I268" s="6"/>
    </row>
    <row r="269" customFormat="false" ht="15" hidden="false" customHeight="false" outlineLevel="0" collapsed="false">
      <c r="A269" s="6" t="s">
        <v>12826</v>
      </c>
      <c r="B269" s="6" t="s">
        <v>12299</v>
      </c>
      <c r="C269" s="6" t="s">
        <v>12452</v>
      </c>
      <c r="D269" s="6" t="s">
        <v>235</v>
      </c>
      <c r="E269" s="6" t="s">
        <v>12827</v>
      </c>
      <c r="F269" s="20" t="n">
        <f aca="false">ROUND(Quarterly_Actuals!H1196,2)-Quarterly_Actuals!H1130</f>
        <v>0</v>
      </c>
      <c r="G269" s="6" t="str">
        <f aca="false">IF(ABS(F269)&lt;=H269,"PASS","FAIL")</f>
        <v>PASS</v>
      </c>
      <c r="H269" s="6" t="n">
        <v>0.0001</v>
      </c>
      <c r="I269" s="6"/>
    </row>
    <row r="270" customFormat="false" ht="15" hidden="false" customHeight="false" outlineLevel="0" collapsed="false">
      <c r="A270" s="6" t="s">
        <v>12828</v>
      </c>
      <c r="B270" s="6" t="s">
        <v>12278</v>
      </c>
      <c r="C270" s="6" t="s">
        <v>12279</v>
      </c>
      <c r="D270" s="6" t="s">
        <v>201</v>
      </c>
      <c r="E270" s="6" t="s">
        <v>12829</v>
      </c>
      <c r="F270" s="20" t="n">
        <f aca="false">Quarterly_Actuals!H37-Quarterly_Actuals!H75-Quarterly_Actuals!H113</f>
        <v>0</v>
      </c>
      <c r="G270" s="6" t="str">
        <f aca="false">IF(ABS(F270)&lt;=H270,"PASS","FAIL")</f>
        <v>PASS</v>
      </c>
      <c r="H270" s="6" t="n">
        <v>0.5</v>
      </c>
      <c r="I270" s="6"/>
    </row>
    <row r="271" customFormat="false" ht="15" hidden="false" customHeight="false" outlineLevel="0" collapsed="false">
      <c r="A271" s="6" t="s">
        <v>12830</v>
      </c>
      <c r="B271" s="6" t="s">
        <v>12278</v>
      </c>
      <c r="C271" s="6" t="s">
        <v>12282</v>
      </c>
      <c r="D271" s="6" t="s">
        <v>201</v>
      </c>
      <c r="E271" s="6" t="s">
        <v>12831</v>
      </c>
      <c r="F271" s="20" t="n">
        <f aca="false">Quarterly_Actuals!H113-Quarterly_Actuals!H305-Quarterly_Actuals!H343</f>
        <v>0</v>
      </c>
      <c r="G271" s="6" t="str">
        <f aca="false">IF(ABS(F271)&lt;=H271,"PASS","FAIL")</f>
        <v>PASS</v>
      </c>
      <c r="H271" s="6" t="n">
        <v>0.5</v>
      </c>
      <c r="I271" s="6"/>
    </row>
    <row r="272" customFormat="false" ht="15" hidden="false" customHeight="false" outlineLevel="0" collapsed="false">
      <c r="A272" s="6" t="s">
        <v>12832</v>
      </c>
      <c r="B272" s="6" t="s">
        <v>12278</v>
      </c>
      <c r="C272" s="6" t="s">
        <v>12285</v>
      </c>
      <c r="D272" s="6" t="s">
        <v>201</v>
      </c>
      <c r="E272" s="6" t="s">
        <v>12833</v>
      </c>
      <c r="F272" s="20" t="n">
        <f aca="false">Quarterly_Actuals!H189+Quarterly_Actuals!H227+Quarterly_Actuals!H265-Quarterly_Actuals!H305</f>
        <v>0</v>
      </c>
      <c r="G272" s="6" t="str">
        <f aca="false">IF(ABS(F272)&lt;=H272,"PASS","FAIL")</f>
        <v>PASS</v>
      </c>
      <c r="H272" s="6" t="n">
        <v>0.5</v>
      </c>
      <c r="I272" s="6"/>
    </row>
    <row r="273" customFormat="false" ht="15" hidden="false" customHeight="false" outlineLevel="0" collapsed="false">
      <c r="A273" s="6" t="s">
        <v>12834</v>
      </c>
      <c r="B273" s="6" t="s">
        <v>12288</v>
      </c>
      <c r="C273" s="6" t="s">
        <v>12289</v>
      </c>
      <c r="D273" s="6" t="s">
        <v>201</v>
      </c>
      <c r="E273" s="6" t="s">
        <v>12835</v>
      </c>
      <c r="F273" s="20" t="n">
        <f aca="false">Reconciliations!H679-Quarterly_Actuals!H965</f>
        <v>0</v>
      </c>
      <c r="G273" s="6" t="str">
        <f aca="false">IF(ABS(F273)&lt;=H273,"PASS","FAIL")</f>
        <v>PASS</v>
      </c>
      <c r="H273" s="6" t="n">
        <v>0.5</v>
      </c>
      <c r="I273" s="6"/>
    </row>
    <row r="274" customFormat="false" ht="15" hidden="false" customHeight="false" outlineLevel="0" collapsed="false">
      <c r="A274" s="6" t="s">
        <v>12836</v>
      </c>
      <c r="B274" s="6" t="s">
        <v>12288</v>
      </c>
      <c r="C274" s="6" t="s">
        <v>12292</v>
      </c>
      <c r="D274" s="6" t="s">
        <v>201</v>
      </c>
      <c r="E274" s="6" t="s">
        <v>12837</v>
      </c>
      <c r="F274" s="20" t="n">
        <f aca="false">Quarterly_Actuals!H965+Quarterly_Actuals!H1003+Quarterly_Actuals!H1041+Quarterly_Actuals!H1065-Quarterly_Actuals!H1103</f>
        <v>0</v>
      </c>
      <c r="G274" s="6" t="str">
        <f aca="false">IF(ABS(F274)&lt;=H274,"PASS","FAIL")</f>
        <v>PASS</v>
      </c>
      <c r="H274" s="6" t="n">
        <v>0.5</v>
      </c>
      <c r="I274" s="6"/>
    </row>
    <row r="275" customFormat="false" ht="15" hidden="false" customHeight="false" outlineLevel="0" collapsed="false">
      <c r="A275" s="6" t="s">
        <v>12838</v>
      </c>
      <c r="B275" s="6" t="s">
        <v>12295</v>
      </c>
      <c r="C275" s="6" t="s">
        <v>12296</v>
      </c>
      <c r="D275" s="6" t="s">
        <v>201</v>
      </c>
      <c r="E275" s="6" t="s">
        <v>12839</v>
      </c>
      <c r="F275" s="20" t="n">
        <f aca="false">Quarterly_Actuals!H869-Quarterly_Actuals!H907</f>
        <v>0</v>
      </c>
      <c r="G275" s="6" t="str">
        <f aca="false">IF(ABS(F275)&lt;=H275,"PASS","FAIL")</f>
        <v>PASS</v>
      </c>
      <c r="H275" s="6" t="n">
        <v>0.5</v>
      </c>
      <c r="I275" s="6"/>
    </row>
    <row r="276" customFormat="false" ht="15" hidden="false" customHeight="false" outlineLevel="0" collapsed="false">
      <c r="A276" s="6" t="s">
        <v>12840</v>
      </c>
      <c r="B276" s="6" t="s">
        <v>12299</v>
      </c>
      <c r="C276" s="6" t="s">
        <v>12300</v>
      </c>
      <c r="D276" s="6" t="s">
        <v>201</v>
      </c>
      <c r="E276" s="6" t="s">
        <v>12841</v>
      </c>
      <c r="F276" s="20" t="n">
        <f aca="false">ROUND(Quarterly_Actuals!H447,2)-Quarterly_Actuals!H151</f>
        <v>0</v>
      </c>
      <c r="G276" s="6" t="str">
        <f aca="false">IF(ABS(F276)&lt;=H276,"PASS","FAIL")</f>
        <v>PASS</v>
      </c>
      <c r="H276" s="6" t="n">
        <v>0.0001</v>
      </c>
      <c r="I276" s="6"/>
    </row>
    <row r="277" customFormat="false" ht="15" hidden="false" customHeight="false" outlineLevel="0" collapsed="false">
      <c r="A277" s="6" t="s">
        <v>12842</v>
      </c>
      <c r="B277" s="6" t="s">
        <v>12299</v>
      </c>
      <c r="C277" s="6" t="s">
        <v>12303</v>
      </c>
      <c r="D277" s="6" t="s">
        <v>201</v>
      </c>
      <c r="E277" s="6" t="s">
        <v>12843</v>
      </c>
      <c r="F277" s="20" t="n">
        <f aca="false">ROUND(Quarterly_Actuals!H805,2)-Quarterly_Actuals!H549</f>
        <v>0</v>
      </c>
      <c r="G277" s="6" t="str">
        <f aca="false">IF(ABS(F277)&lt;=H277,"PASS","FAIL")</f>
        <v>PASS</v>
      </c>
      <c r="H277" s="6" t="n">
        <v>0.0001</v>
      </c>
      <c r="I277" s="6"/>
    </row>
    <row r="278" customFormat="false" ht="15" hidden="false" customHeight="false" outlineLevel="0" collapsed="false">
      <c r="A278" s="6" t="s">
        <v>12844</v>
      </c>
      <c r="B278" s="6" t="s">
        <v>12299</v>
      </c>
      <c r="C278" s="6" t="s">
        <v>12306</v>
      </c>
      <c r="D278" s="6" t="s">
        <v>201</v>
      </c>
      <c r="E278" s="6" t="s">
        <v>12845</v>
      </c>
      <c r="F278" s="20" t="n">
        <f aca="false">ROUND(Quarterly_Actuals!H474,2)-Quarterly_Actuals!H381</f>
        <v>0</v>
      </c>
      <c r="G278" s="6" t="str">
        <f aca="false">IF(ABS(F278)&lt;=H278,"PASS","FAIL")</f>
        <v>PASS</v>
      </c>
      <c r="H278" s="6" t="n">
        <v>0.0001</v>
      </c>
      <c r="I278" s="6"/>
    </row>
    <row r="279" customFormat="false" ht="15" hidden="false" customHeight="false" outlineLevel="0" collapsed="false">
      <c r="A279" s="6" t="s">
        <v>12846</v>
      </c>
      <c r="B279" s="6" t="s">
        <v>12299</v>
      </c>
      <c r="C279" s="6" t="s">
        <v>12309</v>
      </c>
      <c r="D279" s="6" t="s">
        <v>201</v>
      </c>
      <c r="E279" s="6" t="s">
        <v>12847</v>
      </c>
      <c r="F279" s="20" t="n">
        <f aca="false">ROUND(Quarterly_Actuals!H832,2)-Quarterly_Actuals!H739</f>
        <v>0</v>
      </c>
      <c r="G279" s="6" t="str">
        <f aca="false">IF(ABS(F279)&lt;=H279,"PASS","FAIL")</f>
        <v>PASS</v>
      </c>
      <c r="H279" s="6" t="n">
        <v>0.0001</v>
      </c>
      <c r="I279" s="6"/>
    </row>
    <row r="280" customFormat="false" ht="15" hidden="false" customHeight="false" outlineLevel="0" collapsed="false">
      <c r="A280" s="6" t="s">
        <v>12848</v>
      </c>
      <c r="B280" s="6" t="s">
        <v>12299</v>
      </c>
      <c r="C280" s="6" t="s">
        <v>12452</v>
      </c>
      <c r="D280" s="6" t="s">
        <v>201</v>
      </c>
      <c r="E280" s="6" t="s">
        <v>12849</v>
      </c>
      <c r="F280" s="20" t="n">
        <f aca="false">ROUND(Quarterly_Actuals!H1197,2)-Quarterly_Actuals!H1131</f>
        <v>0</v>
      </c>
      <c r="G280" s="6" t="str">
        <f aca="false">IF(ABS(F280)&lt;=H280,"PASS","FAIL")</f>
        <v>PASS</v>
      </c>
      <c r="H280" s="6" t="n">
        <v>0.0001</v>
      </c>
      <c r="I280" s="6"/>
    </row>
    <row r="281" customFormat="false" ht="15" hidden="false" customHeight="false" outlineLevel="0" collapsed="false">
      <c r="A281" s="6" t="s">
        <v>12850</v>
      </c>
      <c r="B281" s="6" t="s">
        <v>12278</v>
      </c>
      <c r="C281" s="6" t="s">
        <v>12279</v>
      </c>
      <c r="D281" s="6" t="s">
        <v>206</v>
      </c>
      <c r="E281" s="6" t="s">
        <v>12851</v>
      </c>
      <c r="F281" s="20" t="n">
        <f aca="false">Quarterly_Actuals!H38-Quarterly_Actuals!H76-Quarterly_Actuals!H114</f>
        <v>0</v>
      </c>
      <c r="G281" s="6" t="str">
        <f aca="false">IF(ABS(F281)&lt;=H281,"PASS","FAIL")</f>
        <v>PASS</v>
      </c>
      <c r="H281" s="6" t="n">
        <v>0.5</v>
      </c>
      <c r="I281" s="6"/>
    </row>
    <row r="282" customFormat="false" ht="15" hidden="false" customHeight="false" outlineLevel="0" collapsed="false">
      <c r="A282" s="6" t="s">
        <v>12852</v>
      </c>
      <c r="B282" s="6" t="s">
        <v>12278</v>
      </c>
      <c r="C282" s="6" t="s">
        <v>12282</v>
      </c>
      <c r="D282" s="6" t="s">
        <v>206</v>
      </c>
      <c r="E282" s="6" t="s">
        <v>12853</v>
      </c>
      <c r="F282" s="20" t="n">
        <f aca="false">Quarterly_Actuals!H114-Quarterly_Actuals!H306-Quarterly_Actuals!H344</f>
        <v>0</v>
      </c>
      <c r="G282" s="6" t="str">
        <f aca="false">IF(ABS(F282)&lt;=H282,"PASS","FAIL")</f>
        <v>PASS</v>
      </c>
      <c r="H282" s="6" t="n">
        <v>0.5</v>
      </c>
      <c r="I282" s="6"/>
    </row>
    <row r="283" customFormat="false" ht="15" hidden="false" customHeight="false" outlineLevel="0" collapsed="false">
      <c r="A283" s="6" t="s">
        <v>12854</v>
      </c>
      <c r="B283" s="6" t="s">
        <v>12278</v>
      </c>
      <c r="C283" s="6" t="s">
        <v>12285</v>
      </c>
      <c r="D283" s="6" t="s">
        <v>206</v>
      </c>
      <c r="E283" s="6" t="s">
        <v>12855</v>
      </c>
      <c r="F283" s="20" t="n">
        <f aca="false">Quarterly_Actuals!H190+Quarterly_Actuals!H228+Quarterly_Actuals!H266+Quarterly_Actuals!H268-Quarterly_Actuals!H306</f>
        <v>0</v>
      </c>
      <c r="G283" s="6" t="str">
        <f aca="false">IF(ABS(F283)&lt;=H283,"PASS","FAIL")</f>
        <v>PASS</v>
      </c>
      <c r="H283" s="6" t="n">
        <v>0.5</v>
      </c>
      <c r="I283" s="6"/>
    </row>
    <row r="284" customFormat="false" ht="15" hidden="false" customHeight="false" outlineLevel="0" collapsed="false">
      <c r="A284" s="6" t="s">
        <v>12856</v>
      </c>
      <c r="B284" s="6" t="s">
        <v>12288</v>
      </c>
      <c r="C284" s="6" t="s">
        <v>12289</v>
      </c>
      <c r="D284" s="6" t="s">
        <v>206</v>
      </c>
      <c r="E284" s="6" t="s">
        <v>12857</v>
      </c>
      <c r="F284" s="20" t="n">
        <f aca="false">Reconciliations!H705-Quarterly_Actuals!H966</f>
        <v>0</v>
      </c>
      <c r="G284" s="6" t="str">
        <f aca="false">IF(ABS(F284)&lt;=H284,"PASS","FAIL")</f>
        <v>PASS</v>
      </c>
      <c r="H284" s="6" t="n">
        <v>0.5</v>
      </c>
      <c r="I284" s="6"/>
    </row>
    <row r="285" customFormat="false" ht="15" hidden="false" customHeight="false" outlineLevel="0" collapsed="false">
      <c r="A285" s="6" t="s">
        <v>12858</v>
      </c>
      <c r="B285" s="6" t="s">
        <v>12288</v>
      </c>
      <c r="C285" s="6" t="s">
        <v>12292</v>
      </c>
      <c r="D285" s="6" t="s">
        <v>206</v>
      </c>
      <c r="E285" s="6" t="s">
        <v>12859</v>
      </c>
      <c r="F285" s="20" t="n">
        <f aca="false">Quarterly_Actuals!H966+Quarterly_Actuals!H1004+Quarterly_Actuals!H1042+Quarterly_Actuals!H1066-Quarterly_Actuals!H1104</f>
        <v>0</v>
      </c>
      <c r="G285" s="6" t="str">
        <f aca="false">IF(ABS(F285)&lt;=H285,"PASS","FAIL")</f>
        <v>PASS</v>
      </c>
      <c r="H285" s="6" t="n">
        <v>0.5</v>
      </c>
      <c r="I285" s="6"/>
    </row>
    <row r="286" customFormat="false" ht="15" hidden="false" customHeight="false" outlineLevel="0" collapsed="false">
      <c r="A286" s="6" t="s">
        <v>12860</v>
      </c>
      <c r="B286" s="6" t="s">
        <v>12295</v>
      </c>
      <c r="C286" s="6" t="s">
        <v>12296</v>
      </c>
      <c r="D286" s="6" t="s">
        <v>206</v>
      </c>
      <c r="E286" s="6" t="s">
        <v>12861</v>
      </c>
      <c r="F286" s="20" t="n">
        <f aca="false">Quarterly_Actuals!H870-Quarterly_Actuals!H908</f>
        <v>0</v>
      </c>
      <c r="G286" s="6" t="str">
        <f aca="false">IF(ABS(F286)&lt;=H286,"PASS","FAIL")</f>
        <v>PASS</v>
      </c>
      <c r="H286" s="6" t="n">
        <v>0.5</v>
      </c>
      <c r="I286" s="6"/>
    </row>
    <row r="287" customFormat="false" ht="15" hidden="false" customHeight="false" outlineLevel="0" collapsed="false">
      <c r="A287" s="6" t="s">
        <v>12862</v>
      </c>
      <c r="B287" s="6" t="s">
        <v>12299</v>
      </c>
      <c r="C287" s="6" t="s">
        <v>12300</v>
      </c>
      <c r="D287" s="6" t="s">
        <v>206</v>
      </c>
      <c r="E287" s="6" t="s">
        <v>12863</v>
      </c>
      <c r="F287" s="20" t="n">
        <f aca="false">ROUND(Quarterly_Actuals!H448,2)-Quarterly_Actuals!H152</f>
        <v>0</v>
      </c>
      <c r="G287" s="6" t="str">
        <f aca="false">IF(ABS(F287)&lt;=H287,"PASS","FAIL")</f>
        <v>PASS</v>
      </c>
      <c r="H287" s="6" t="n">
        <v>0.0001</v>
      </c>
      <c r="I287" s="6"/>
    </row>
    <row r="288" customFormat="false" ht="15" hidden="false" customHeight="false" outlineLevel="0" collapsed="false">
      <c r="A288" s="6" t="s">
        <v>12864</v>
      </c>
      <c r="B288" s="6" t="s">
        <v>12299</v>
      </c>
      <c r="C288" s="6" t="s">
        <v>12303</v>
      </c>
      <c r="D288" s="6" t="s">
        <v>206</v>
      </c>
      <c r="E288" s="6" t="s">
        <v>12865</v>
      </c>
      <c r="F288" s="20" t="n">
        <f aca="false">ROUND(Quarterly_Actuals!H806,2)-Quarterly_Actuals!H550</f>
        <v>0</v>
      </c>
      <c r="G288" s="6" t="str">
        <f aca="false">IF(ABS(F288)&lt;=H288,"PASS","FAIL")</f>
        <v>PASS</v>
      </c>
      <c r="H288" s="6" t="n">
        <v>0.0001</v>
      </c>
      <c r="I288" s="6"/>
    </row>
    <row r="289" customFormat="false" ht="15" hidden="false" customHeight="false" outlineLevel="0" collapsed="false">
      <c r="A289" s="6" t="s">
        <v>12866</v>
      </c>
      <c r="B289" s="6" t="s">
        <v>12299</v>
      </c>
      <c r="C289" s="6" t="s">
        <v>12306</v>
      </c>
      <c r="D289" s="6" t="s">
        <v>206</v>
      </c>
      <c r="E289" s="6" t="s">
        <v>12867</v>
      </c>
      <c r="F289" s="20" t="n">
        <f aca="false">ROUND(Quarterly_Actuals!H475,2)-Quarterly_Actuals!H382</f>
        <v>0</v>
      </c>
      <c r="G289" s="6" t="str">
        <f aca="false">IF(ABS(F289)&lt;=H289,"PASS","FAIL")</f>
        <v>PASS</v>
      </c>
      <c r="H289" s="6" t="n">
        <v>0.0001</v>
      </c>
      <c r="I289" s="6"/>
    </row>
    <row r="290" customFormat="false" ht="15" hidden="false" customHeight="false" outlineLevel="0" collapsed="false">
      <c r="A290" s="6" t="s">
        <v>12868</v>
      </c>
      <c r="B290" s="6" t="s">
        <v>12299</v>
      </c>
      <c r="C290" s="6" t="s">
        <v>12309</v>
      </c>
      <c r="D290" s="6" t="s">
        <v>206</v>
      </c>
      <c r="E290" s="6" t="s">
        <v>12869</v>
      </c>
      <c r="F290" s="20" t="n">
        <f aca="false">ROUND(Quarterly_Actuals!H833,2)-Quarterly_Actuals!H740</f>
        <v>0</v>
      </c>
      <c r="G290" s="6" t="str">
        <f aca="false">IF(ABS(F290)&lt;=H290,"PASS","FAIL")</f>
        <v>PASS</v>
      </c>
      <c r="H290" s="6" t="n">
        <v>0.0001</v>
      </c>
      <c r="I290" s="6"/>
    </row>
    <row r="291" customFormat="false" ht="15" hidden="false" customHeight="false" outlineLevel="0" collapsed="false">
      <c r="A291" s="6" t="s">
        <v>12870</v>
      </c>
      <c r="B291" s="6" t="s">
        <v>12299</v>
      </c>
      <c r="C291" s="6" t="s">
        <v>12452</v>
      </c>
      <c r="D291" s="6" t="s">
        <v>206</v>
      </c>
      <c r="E291" s="6" t="s">
        <v>12871</v>
      </c>
      <c r="F291" s="20" t="n">
        <f aca="false">ROUND(Quarterly_Actuals!H1198,2)-Quarterly_Actuals!H1132</f>
        <v>0</v>
      </c>
      <c r="G291" s="6" t="str">
        <f aca="false">IF(ABS(F291)&lt;=H291,"PASS","FAIL")</f>
        <v>PASS</v>
      </c>
      <c r="H291" s="6" t="n">
        <v>0.0001</v>
      </c>
      <c r="I291" s="6"/>
    </row>
    <row r="292" customFormat="false" ht="15" hidden="false" customHeight="false" outlineLevel="0" collapsed="false">
      <c r="A292" s="6" t="s">
        <v>12872</v>
      </c>
      <c r="B292" s="6" t="s">
        <v>12873</v>
      </c>
      <c r="C292" s="6" t="s">
        <v>12874</v>
      </c>
      <c r="D292" s="6" t="s">
        <v>379</v>
      </c>
      <c r="E292" s="6" t="s">
        <v>12875</v>
      </c>
      <c r="F292" s="20" t="n">
        <f aca="false">SUM(Reconciliations!H2:H3)-Reconciliations!H4</f>
        <v>0</v>
      </c>
      <c r="G292" s="6" t="str">
        <f aca="false">IF(ABS(F292)&lt;=H292,"PASS","FAIL")</f>
        <v>PASS</v>
      </c>
      <c r="H292" s="6" t="n">
        <v>0.5</v>
      </c>
      <c r="I292" s="6"/>
    </row>
    <row r="293" customFormat="false" ht="15" hidden="false" customHeight="false" outlineLevel="0" collapsed="false">
      <c r="A293" s="6" t="s">
        <v>12876</v>
      </c>
      <c r="B293" s="6" t="s">
        <v>12873</v>
      </c>
      <c r="C293" s="6" t="s">
        <v>12877</v>
      </c>
      <c r="D293" s="6" t="s">
        <v>379</v>
      </c>
      <c r="E293" s="6" t="s">
        <v>12878</v>
      </c>
      <c r="F293" s="20" t="n">
        <f aca="false">SUM(Reconciliations!H5:H6)-Reconciliations!H7</f>
        <v>0</v>
      </c>
      <c r="G293" s="6" t="str">
        <f aca="false">IF(ABS(F293)&lt;=H293,"PASS","FAIL")</f>
        <v>PASS</v>
      </c>
      <c r="H293" s="6" t="n">
        <v>0.5</v>
      </c>
      <c r="I293" s="6"/>
    </row>
    <row r="294" customFormat="false" ht="15" hidden="false" customHeight="false" outlineLevel="0" collapsed="false">
      <c r="A294" s="6" t="s">
        <v>12879</v>
      </c>
      <c r="B294" s="6" t="s">
        <v>12873</v>
      </c>
      <c r="C294" s="6" t="s">
        <v>12880</v>
      </c>
      <c r="D294" s="6" t="s">
        <v>379</v>
      </c>
      <c r="E294" s="6" t="s">
        <v>12881</v>
      </c>
      <c r="F294" s="20" t="n">
        <f aca="false">SUM(Reconciliations!H8:H9)-Reconciliations!H10</f>
        <v>0</v>
      </c>
      <c r="G294" s="6" t="str">
        <f aca="false">IF(ABS(F294)&lt;=H294,"PASS","FAIL")</f>
        <v>PASS</v>
      </c>
      <c r="H294" s="6" t="n">
        <v>0.5</v>
      </c>
      <c r="I294" s="6"/>
    </row>
    <row r="295" customFormat="false" ht="15" hidden="false" customHeight="false" outlineLevel="0" collapsed="false">
      <c r="A295" s="6" t="s">
        <v>12882</v>
      </c>
      <c r="B295" s="6" t="s">
        <v>12873</v>
      </c>
      <c r="C295" s="6" t="s">
        <v>12883</v>
      </c>
      <c r="D295" s="6" t="s">
        <v>379</v>
      </c>
      <c r="E295" s="6" t="s">
        <v>12884</v>
      </c>
      <c r="F295" s="20" t="n">
        <f aca="false">SUM(Reconciliations!H11:H12)-Reconciliations!H13</f>
        <v>0</v>
      </c>
      <c r="G295" s="6" t="str">
        <f aca="false">IF(ABS(F295)&lt;=H295,"PASS","FAIL")</f>
        <v>PASS</v>
      </c>
      <c r="H295" s="6" t="n">
        <v>0.5</v>
      </c>
      <c r="I295" s="6"/>
    </row>
    <row r="296" customFormat="false" ht="15" hidden="false" customHeight="false" outlineLevel="0" collapsed="false">
      <c r="A296" s="6" t="s">
        <v>12885</v>
      </c>
      <c r="B296" s="6" t="s">
        <v>12873</v>
      </c>
      <c r="C296" s="6" t="s">
        <v>12886</v>
      </c>
      <c r="D296" s="6" t="s">
        <v>379</v>
      </c>
      <c r="E296" s="6" t="s">
        <v>12887</v>
      </c>
      <c r="F296" s="20" t="n">
        <f aca="false">SUM(Reconciliations!H14:H15)-Reconciliations!H16</f>
        <v>0</v>
      </c>
      <c r="G296" s="6" t="str">
        <f aca="false">IF(ABS(F296)&lt;=H296,"PASS","FAIL")</f>
        <v>PASS</v>
      </c>
      <c r="H296" s="6" t="n">
        <v>0.5</v>
      </c>
      <c r="I296" s="6"/>
    </row>
    <row r="297" customFormat="false" ht="15" hidden="false" customHeight="false" outlineLevel="0" collapsed="false">
      <c r="A297" s="6" t="s">
        <v>12888</v>
      </c>
      <c r="B297" s="6" t="s">
        <v>12873</v>
      </c>
      <c r="C297" s="6" t="s">
        <v>12889</v>
      </c>
      <c r="D297" s="6" t="s">
        <v>379</v>
      </c>
      <c r="E297" s="6" t="s">
        <v>12890</v>
      </c>
      <c r="F297" s="20" t="n">
        <f aca="false">SUM(Reconciliations!H17:H19)-Reconciliations!H20</f>
        <v>0</v>
      </c>
      <c r="G297" s="6" t="str">
        <f aca="false">IF(ABS(F297)&lt;=H297,"PASS","FAIL")</f>
        <v>PASS</v>
      </c>
      <c r="H297" s="6" t="n">
        <v>0.5</v>
      </c>
      <c r="I297" s="6"/>
    </row>
    <row r="298" customFormat="false" ht="15" hidden="false" customHeight="false" outlineLevel="0" collapsed="false">
      <c r="A298" s="6" t="s">
        <v>12891</v>
      </c>
      <c r="B298" s="6" t="s">
        <v>12873</v>
      </c>
      <c r="C298" s="6" t="s">
        <v>12892</v>
      </c>
      <c r="D298" s="6" t="s">
        <v>379</v>
      </c>
      <c r="E298" s="6" t="s">
        <v>12893</v>
      </c>
      <c r="F298" s="20" t="n">
        <f aca="false">SUM(Reconciliations!H21:H24)-Reconciliations!H25</f>
        <v>0</v>
      </c>
      <c r="G298" s="6" t="str">
        <f aca="false">IF(ABS(F298)&lt;=H298,"PASS","FAIL")</f>
        <v>PASS</v>
      </c>
      <c r="H298" s="6" t="n">
        <v>0.5</v>
      </c>
      <c r="I298" s="6"/>
    </row>
    <row r="299" customFormat="false" ht="15" hidden="false" customHeight="false" outlineLevel="0" collapsed="false">
      <c r="A299" s="6" t="s">
        <v>12894</v>
      </c>
      <c r="B299" s="6" t="s">
        <v>12873</v>
      </c>
      <c r="C299" s="6" t="s">
        <v>12895</v>
      </c>
      <c r="D299" s="6" t="s">
        <v>379</v>
      </c>
      <c r="E299" s="6" t="s">
        <v>12896</v>
      </c>
      <c r="F299" s="20" t="n">
        <f aca="false">SUM(Reconciliations!H26:H29)-Reconciliations!H30</f>
        <v>0</v>
      </c>
      <c r="G299" s="6" t="str">
        <f aca="false">IF(ABS(F299)&lt;=H299,"PASS","FAIL")</f>
        <v>PASS</v>
      </c>
      <c r="H299" s="6" t="n">
        <v>0.5</v>
      </c>
      <c r="I299" s="6"/>
    </row>
    <row r="300" customFormat="false" ht="15" hidden="false" customHeight="false" outlineLevel="0" collapsed="false">
      <c r="A300" s="6" t="s">
        <v>12897</v>
      </c>
      <c r="B300" s="6" t="s">
        <v>12873</v>
      </c>
      <c r="C300" s="6" t="s">
        <v>12874</v>
      </c>
      <c r="D300" s="6" t="s">
        <v>103</v>
      </c>
      <c r="E300" s="6" t="s">
        <v>12898</v>
      </c>
      <c r="F300" s="20" t="n">
        <f aca="false">SUM(Reconciliations!H31:H32)-Reconciliations!H33</f>
        <v>0</v>
      </c>
      <c r="G300" s="6" t="str">
        <f aca="false">IF(ABS(F300)&lt;=H300,"PASS","FAIL")</f>
        <v>PASS</v>
      </c>
      <c r="H300" s="6" t="n">
        <v>0.5</v>
      </c>
      <c r="I300" s="6"/>
    </row>
    <row r="301" customFormat="false" ht="15" hidden="false" customHeight="false" outlineLevel="0" collapsed="false">
      <c r="A301" s="6" t="s">
        <v>12899</v>
      </c>
      <c r="B301" s="6" t="s">
        <v>12873</v>
      </c>
      <c r="C301" s="6" t="s">
        <v>12877</v>
      </c>
      <c r="D301" s="6" t="s">
        <v>103</v>
      </c>
      <c r="E301" s="6" t="s">
        <v>12900</v>
      </c>
      <c r="F301" s="20" t="n">
        <f aca="false">SUM(Reconciliations!H34:H35)-Reconciliations!H36</f>
        <v>0</v>
      </c>
      <c r="G301" s="6" t="str">
        <f aca="false">IF(ABS(F301)&lt;=H301,"PASS","FAIL")</f>
        <v>PASS</v>
      </c>
      <c r="H301" s="6" t="n">
        <v>0.5</v>
      </c>
      <c r="I301" s="6"/>
    </row>
    <row r="302" customFormat="false" ht="15" hidden="false" customHeight="false" outlineLevel="0" collapsed="false">
      <c r="A302" s="6" t="s">
        <v>12901</v>
      </c>
      <c r="B302" s="6" t="s">
        <v>12873</v>
      </c>
      <c r="C302" s="6" t="s">
        <v>12880</v>
      </c>
      <c r="D302" s="6" t="s">
        <v>103</v>
      </c>
      <c r="E302" s="6" t="s">
        <v>12902</v>
      </c>
      <c r="F302" s="20" t="n">
        <f aca="false">SUM(Reconciliations!H37:H38)-Reconciliations!H39</f>
        <v>0</v>
      </c>
      <c r="G302" s="6" t="str">
        <f aca="false">IF(ABS(F302)&lt;=H302,"PASS","FAIL")</f>
        <v>PASS</v>
      </c>
      <c r="H302" s="6" t="n">
        <v>0.5</v>
      </c>
      <c r="I302" s="6"/>
    </row>
    <row r="303" customFormat="false" ht="15" hidden="false" customHeight="false" outlineLevel="0" collapsed="false">
      <c r="A303" s="6" t="s">
        <v>12903</v>
      </c>
      <c r="B303" s="6" t="s">
        <v>12873</v>
      </c>
      <c r="C303" s="6" t="s">
        <v>12883</v>
      </c>
      <c r="D303" s="6" t="s">
        <v>103</v>
      </c>
      <c r="E303" s="6" t="s">
        <v>12904</v>
      </c>
      <c r="F303" s="20" t="n">
        <f aca="false">SUM(Reconciliations!H40:H41)-Reconciliations!H42</f>
        <v>0</v>
      </c>
      <c r="G303" s="6" t="str">
        <f aca="false">IF(ABS(F303)&lt;=H303,"PASS","FAIL")</f>
        <v>PASS</v>
      </c>
      <c r="H303" s="6" t="n">
        <v>0.5</v>
      </c>
      <c r="I303" s="6"/>
    </row>
    <row r="304" customFormat="false" ht="15" hidden="false" customHeight="false" outlineLevel="0" collapsed="false">
      <c r="A304" s="6" t="s">
        <v>12905</v>
      </c>
      <c r="B304" s="6" t="s">
        <v>12873</v>
      </c>
      <c r="C304" s="6" t="s">
        <v>12886</v>
      </c>
      <c r="D304" s="6" t="s">
        <v>103</v>
      </c>
      <c r="E304" s="6" t="s">
        <v>12906</v>
      </c>
      <c r="F304" s="20" t="n">
        <f aca="false">SUM(Reconciliations!H43:H44)-Reconciliations!H45</f>
        <v>0</v>
      </c>
      <c r="G304" s="6" t="str">
        <f aca="false">IF(ABS(F304)&lt;=H304,"PASS","FAIL")</f>
        <v>PASS</v>
      </c>
      <c r="H304" s="6" t="n">
        <v>0.5</v>
      </c>
      <c r="I304" s="6"/>
    </row>
    <row r="305" customFormat="false" ht="15" hidden="false" customHeight="false" outlineLevel="0" collapsed="false">
      <c r="A305" s="6" t="s">
        <v>12907</v>
      </c>
      <c r="B305" s="6" t="s">
        <v>12873</v>
      </c>
      <c r="C305" s="6" t="s">
        <v>12908</v>
      </c>
      <c r="D305" s="6" t="s">
        <v>103</v>
      </c>
      <c r="E305" s="6" t="s">
        <v>12909</v>
      </c>
      <c r="F305" s="20" t="n">
        <f aca="false">SUM(Reconciliations!H46:H47)-Reconciliations!H48</f>
        <v>0</v>
      </c>
      <c r="G305" s="6" t="str">
        <f aca="false">IF(ABS(F305)&lt;=H305,"PASS","FAIL")</f>
        <v>PASS</v>
      </c>
      <c r="H305" s="6" t="n">
        <v>0.5</v>
      </c>
      <c r="I305" s="6"/>
    </row>
    <row r="306" customFormat="false" ht="15" hidden="false" customHeight="false" outlineLevel="0" collapsed="false">
      <c r="A306" s="6" t="s">
        <v>12910</v>
      </c>
      <c r="B306" s="6" t="s">
        <v>12873</v>
      </c>
      <c r="C306" s="6" t="s">
        <v>12892</v>
      </c>
      <c r="D306" s="6" t="s">
        <v>103</v>
      </c>
      <c r="E306" s="6" t="s">
        <v>12911</v>
      </c>
      <c r="F306" s="20" t="n">
        <f aca="false">SUM(Reconciliations!H49:H51)-Reconciliations!H52</f>
        <v>0</v>
      </c>
      <c r="G306" s="6" t="str">
        <f aca="false">IF(ABS(F306)&lt;=H306,"PASS","FAIL")</f>
        <v>PASS</v>
      </c>
      <c r="H306" s="6" t="n">
        <v>0.5</v>
      </c>
      <c r="I306" s="6"/>
    </row>
    <row r="307" customFormat="false" ht="15" hidden="false" customHeight="false" outlineLevel="0" collapsed="false">
      <c r="A307" s="6" t="s">
        <v>12912</v>
      </c>
      <c r="B307" s="6" t="s">
        <v>12873</v>
      </c>
      <c r="C307" s="6" t="s">
        <v>12913</v>
      </c>
      <c r="D307" s="6" t="s">
        <v>103</v>
      </c>
      <c r="E307" s="6" t="s">
        <v>12914</v>
      </c>
      <c r="F307" s="20" t="n">
        <f aca="false">SUM(Reconciliations!H53:H56)-Reconciliations!H57</f>
        <v>0</v>
      </c>
      <c r="G307" s="6" t="str">
        <f aca="false">IF(ABS(F307)&lt;=H307,"PASS","FAIL")</f>
        <v>PASS</v>
      </c>
      <c r="H307" s="6" t="n">
        <v>0.5</v>
      </c>
      <c r="I307" s="6"/>
    </row>
    <row r="308" customFormat="false" ht="15" hidden="false" customHeight="false" outlineLevel="0" collapsed="false">
      <c r="A308" s="6" t="s">
        <v>12915</v>
      </c>
      <c r="B308" s="6" t="s">
        <v>12873</v>
      </c>
      <c r="C308" s="6" t="s">
        <v>12874</v>
      </c>
      <c r="D308" s="6" t="s">
        <v>111</v>
      </c>
      <c r="E308" s="6" t="s">
        <v>12916</v>
      </c>
      <c r="F308" s="20" t="n">
        <f aca="false">SUM(Reconciliations!H58:H59)-Reconciliations!H60</f>
        <v>0</v>
      </c>
      <c r="G308" s="6" t="str">
        <f aca="false">IF(ABS(F308)&lt;=H308,"PASS","FAIL")</f>
        <v>PASS</v>
      </c>
      <c r="H308" s="6" t="n">
        <v>0.5</v>
      </c>
      <c r="I308" s="6"/>
    </row>
    <row r="309" customFormat="false" ht="15" hidden="false" customHeight="false" outlineLevel="0" collapsed="false">
      <c r="A309" s="6" t="s">
        <v>12917</v>
      </c>
      <c r="B309" s="6" t="s">
        <v>12873</v>
      </c>
      <c r="C309" s="6" t="s">
        <v>12877</v>
      </c>
      <c r="D309" s="6" t="s">
        <v>111</v>
      </c>
      <c r="E309" s="6" t="s">
        <v>12918</v>
      </c>
      <c r="F309" s="20" t="n">
        <f aca="false">SUM(Reconciliations!H61:H62)-Reconciliations!H63</f>
        <v>0</v>
      </c>
      <c r="G309" s="6" t="str">
        <f aca="false">IF(ABS(F309)&lt;=H309,"PASS","FAIL")</f>
        <v>PASS</v>
      </c>
      <c r="H309" s="6" t="n">
        <v>0.5</v>
      </c>
      <c r="I309" s="6"/>
    </row>
    <row r="310" customFormat="false" ht="15" hidden="false" customHeight="false" outlineLevel="0" collapsed="false">
      <c r="A310" s="6" t="s">
        <v>12919</v>
      </c>
      <c r="B310" s="6" t="s">
        <v>12873</v>
      </c>
      <c r="C310" s="6" t="s">
        <v>12880</v>
      </c>
      <c r="D310" s="6" t="s">
        <v>111</v>
      </c>
      <c r="E310" s="6" t="s">
        <v>12920</v>
      </c>
      <c r="F310" s="20" t="n">
        <f aca="false">SUM(Reconciliations!H64:H65)-Reconciliations!H66</f>
        <v>0</v>
      </c>
      <c r="G310" s="6" t="str">
        <f aca="false">IF(ABS(F310)&lt;=H310,"PASS","FAIL")</f>
        <v>PASS</v>
      </c>
      <c r="H310" s="6" t="n">
        <v>0.5</v>
      </c>
      <c r="I310" s="6"/>
    </row>
    <row r="311" customFormat="false" ht="15" hidden="false" customHeight="false" outlineLevel="0" collapsed="false">
      <c r="A311" s="6" t="s">
        <v>12921</v>
      </c>
      <c r="B311" s="6" t="s">
        <v>12873</v>
      </c>
      <c r="C311" s="6" t="s">
        <v>12883</v>
      </c>
      <c r="D311" s="6" t="s">
        <v>111</v>
      </c>
      <c r="E311" s="6" t="s">
        <v>12922</v>
      </c>
      <c r="F311" s="20" t="n">
        <f aca="false">SUM(Reconciliations!H67:H68)-Reconciliations!H69</f>
        <v>0</v>
      </c>
      <c r="G311" s="6" t="str">
        <f aca="false">IF(ABS(F311)&lt;=H311,"PASS","FAIL")</f>
        <v>PASS</v>
      </c>
      <c r="H311" s="6" t="n">
        <v>0.5</v>
      </c>
      <c r="I311" s="6"/>
    </row>
    <row r="312" customFormat="false" ht="15" hidden="false" customHeight="false" outlineLevel="0" collapsed="false">
      <c r="A312" s="6" t="s">
        <v>12923</v>
      </c>
      <c r="B312" s="6" t="s">
        <v>12873</v>
      </c>
      <c r="C312" s="6" t="s">
        <v>12886</v>
      </c>
      <c r="D312" s="6" t="s">
        <v>111</v>
      </c>
      <c r="E312" s="6" t="s">
        <v>12924</v>
      </c>
      <c r="F312" s="20" t="n">
        <f aca="false">SUM(Reconciliations!H70:H71)-Reconciliations!H72</f>
        <v>0</v>
      </c>
      <c r="G312" s="6" t="str">
        <f aca="false">IF(ABS(F312)&lt;=H312,"PASS","FAIL")</f>
        <v>PASS</v>
      </c>
      <c r="H312" s="6" t="n">
        <v>0.5</v>
      </c>
      <c r="I312" s="6"/>
    </row>
    <row r="313" customFormat="false" ht="15" hidden="false" customHeight="false" outlineLevel="0" collapsed="false">
      <c r="A313" s="6" t="s">
        <v>12925</v>
      </c>
      <c r="B313" s="6" t="s">
        <v>12873</v>
      </c>
      <c r="C313" s="6" t="s">
        <v>12908</v>
      </c>
      <c r="D313" s="6" t="s">
        <v>111</v>
      </c>
      <c r="E313" s="6" t="s">
        <v>12926</v>
      </c>
      <c r="F313" s="20" t="n">
        <f aca="false">SUM(Reconciliations!H73:H75)-Reconciliations!H76</f>
        <v>0</v>
      </c>
      <c r="G313" s="6" t="str">
        <f aca="false">IF(ABS(F313)&lt;=H313,"PASS","FAIL")</f>
        <v>PASS</v>
      </c>
      <c r="H313" s="6" t="n">
        <v>0.5</v>
      </c>
      <c r="I313" s="6"/>
    </row>
    <row r="314" customFormat="false" ht="15" hidden="false" customHeight="false" outlineLevel="0" collapsed="false">
      <c r="A314" s="6" t="s">
        <v>12927</v>
      </c>
      <c r="B314" s="6" t="s">
        <v>12873</v>
      </c>
      <c r="C314" s="6" t="s">
        <v>12892</v>
      </c>
      <c r="D314" s="6" t="s">
        <v>111</v>
      </c>
      <c r="E314" s="6" t="s">
        <v>12928</v>
      </c>
      <c r="F314" s="20" t="n">
        <f aca="false">SUM(Reconciliations!H77:H80)-Reconciliations!H81</f>
        <v>0</v>
      </c>
      <c r="G314" s="6" t="str">
        <f aca="false">IF(ABS(F314)&lt;=H314,"PASS","FAIL")</f>
        <v>PASS</v>
      </c>
      <c r="H314" s="6" t="n">
        <v>0.5</v>
      </c>
      <c r="I314" s="6"/>
    </row>
    <row r="315" customFormat="false" ht="15" hidden="false" customHeight="false" outlineLevel="0" collapsed="false">
      <c r="A315" s="6" t="s">
        <v>12929</v>
      </c>
      <c r="B315" s="6" t="s">
        <v>12873</v>
      </c>
      <c r="C315" s="6" t="s">
        <v>12930</v>
      </c>
      <c r="D315" s="6" t="s">
        <v>111</v>
      </c>
      <c r="E315" s="6" t="s">
        <v>12931</v>
      </c>
      <c r="F315" s="20" t="n">
        <f aca="false">SUM(Reconciliations!H82:H85)-Reconciliations!H86</f>
        <v>0</v>
      </c>
      <c r="G315" s="6" t="str">
        <f aca="false">IF(ABS(F315)&lt;=H315,"PASS","FAIL")</f>
        <v>PASS</v>
      </c>
      <c r="H315" s="6" t="n">
        <v>0.5</v>
      </c>
      <c r="I315" s="6"/>
    </row>
    <row r="316" customFormat="false" ht="15" hidden="false" customHeight="false" outlineLevel="0" collapsed="false">
      <c r="A316" s="6" t="s">
        <v>12932</v>
      </c>
      <c r="B316" s="6" t="s">
        <v>12873</v>
      </c>
      <c r="C316" s="6" t="s">
        <v>12874</v>
      </c>
      <c r="D316" s="6" t="s">
        <v>116</v>
      </c>
      <c r="E316" s="6" t="s">
        <v>12933</v>
      </c>
      <c r="F316" s="20" t="n">
        <f aca="false">SUM(Reconciliations!H87:H88)-Reconciliations!H89</f>
        <v>0</v>
      </c>
      <c r="G316" s="6" t="str">
        <f aca="false">IF(ABS(F316)&lt;=H316,"PASS","FAIL")</f>
        <v>PASS</v>
      </c>
      <c r="H316" s="6" t="n">
        <v>0.5</v>
      </c>
      <c r="I316" s="6"/>
    </row>
    <row r="317" customFormat="false" ht="15" hidden="false" customHeight="false" outlineLevel="0" collapsed="false">
      <c r="A317" s="6" t="s">
        <v>12934</v>
      </c>
      <c r="B317" s="6" t="s">
        <v>12873</v>
      </c>
      <c r="C317" s="6" t="s">
        <v>12877</v>
      </c>
      <c r="D317" s="6" t="s">
        <v>116</v>
      </c>
      <c r="E317" s="6" t="s">
        <v>12935</v>
      </c>
      <c r="F317" s="20" t="n">
        <f aca="false">SUM(Reconciliations!H90:H91)-Reconciliations!H92</f>
        <v>0</v>
      </c>
      <c r="G317" s="6" t="str">
        <f aca="false">IF(ABS(F317)&lt;=H317,"PASS","FAIL")</f>
        <v>PASS</v>
      </c>
      <c r="H317" s="6" t="n">
        <v>0.5</v>
      </c>
      <c r="I317" s="6"/>
    </row>
    <row r="318" customFormat="false" ht="15" hidden="false" customHeight="false" outlineLevel="0" collapsed="false">
      <c r="A318" s="6" t="s">
        <v>12936</v>
      </c>
      <c r="B318" s="6" t="s">
        <v>12873</v>
      </c>
      <c r="C318" s="6" t="s">
        <v>12880</v>
      </c>
      <c r="D318" s="6" t="s">
        <v>116</v>
      </c>
      <c r="E318" s="6" t="s">
        <v>12937</v>
      </c>
      <c r="F318" s="20" t="n">
        <f aca="false">SUM(Reconciliations!H93:H94)-Reconciliations!H95</f>
        <v>0</v>
      </c>
      <c r="G318" s="6" t="str">
        <f aca="false">IF(ABS(F318)&lt;=H318,"PASS","FAIL")</f>
        <v>PASS</v>
      </c>
      <c r="H318" s="6" t="n">
        <v>0.5</v>
      </c>
      <c r="I318" s="6"/>
    </row>
    <row r="319" customFormat="false" ht="15" hidden="false" customHeight="false" outlineLevel="0" collapsed="false">
      <c r="A319" s="6" t="s">
        <v>12938</v>
      </c>
      <c r="B319" s="6" t="s">
        <v>12873</v>
      </c>
      <c r="C319" s="6" t="s">
        <v>12883</v>
      </c>
      <c r="D319" s="6" t="s">
        <v>116</v>
      </c>
      <c r="E319" s="6" t="s">
        <v>12939</v>
      </c>
      <c r="F319" s="20" t="n">
        <f aca="false">SUM(Reconciliations!H96:H97)-Reconciliations!H98</f>
        <v>0</v>
      </c>
      <c r="G319" s="6" t="str">
        <f aca="false">IF(ABS(F319)&lt;=H319,"PASS","FAIL")</f>
        <v>PASS</v>
      </c>
      <c r="H319" s="6" t="n">
        <v>0.5</v>
      </c>
      <c r="I319" s="6"/>
    </row>
    <row r="320" customFormat="false" ht="15" hidden="false" customHeight="false" outlineLevel="0" collapsed="false">
      <c r="A320" s="6" t="s">
        <v>12940</v>
      </c>
      <c r="B320" s="6" t="s">
        <v>12873</v>
      </c>
      <c r="C320" s="6" t="s">
        <v>12886</v>
      </c>
      <c r="D320" s="6" t="s">
        <v>116</v>
      </c>
      <c r="E320" s="6" t="s">
        <v>12941</v>
      </c>
      <c r="F320" s="20" t="n">
        <f aca="false">SUM(Reconciliations!H99:H100)-Reconciliations!H101</f>
        <v>0</v>
      </c>
      <c r="G320" s="6" t="str">
        <f aca="false">IF(ABS(F320)&lt;=H320,"PASS","FAIL")</f>
        <v>PASS</v>
      </c>
      <c r="H320" s="6" t="n">
        <v>0.5</v>
      </c>
      <c r="I320" s="6"/>
    </row>
    <row r="321" customFormat="false" ht="15" hidden="false" customHeight="false" outlineLevel="0" collapsed="false">
      <c r="A321" s="6" t="s">
        <v>12942</v>
      </c>
      <c r="B321" s="6" t="s">
        <v>12873</v>
      </c>
      <c r="C321" s="6" t="s">
        <v>12908</v>
      </c>
      <c r="D321" s="6" t="s">
        <v>116</v>
      </c>
      <c r="E321" s="6" t="s">
        <v>12943</v>
      </c>
      <c r="F321" s="20" t="n">
        <f aca="false">SUM(Reconciliations!H102:H104)-Reconciliations!H105</f>
        <v>0</v>
      </c>
      <c r="G321" s="6" t="str">
        <f aca="false">IF(ABS(F321)&lt;=H321,"PASS","FAIL")</f>
        <v>PASS</v>
      </c>
      <c r="H321" s="6" t="n">
        <v>0.5</v>
      </c>
      <c r="I321" s="6"/>
    </row>
    <row r="322" customFormat="false" ht="15" hidden="false" customHeight="false" outlineLevel="0" collapsed="false">
      <c r="A322" s="6" t="s">
        <v>12944</v>
      </c>
      <c r="B322" s="6" t="s">
        <v>12873</v>
      </c>
      <c r="C322" s="6" t="s">
        <v>12892</v>
      </c>
      <c r="D322" s="6" t="s">
        <v>116</v>
      </c>
      <c r="E322" s="6" t="s">
        <v>12945</v>
      </c>
      <c r="F322" s="20" t="n">
        <f aca="false">SUM(Reconciliations!H106:H109)-Reconciliations!H110</f>
        <v>0</v>
      </c>
      <c r="G322" s="6" t="str">
        <f aca="false">IF(ABS(F322)&lt;=H322,"PASS","FAIL")</f>
        <v>PASS</v>
      </c>
      <c r="H322" s="6" t="n">
        <v>0.5</v>
      </c>
      <c r="I322" s="6"/>
    </row>
    <row r="323" customFormat="false" ht="15" hidden="false" customHeight="false" outlineLevel="0" collapsed="false">
      <c r="A323" s="6" t="s">
        <v>12946</v>
      </c>
      <c r="B323" s="6" t="s">
        <v>12873</v>
      </c>
      <c r="C323" s="6" t="s">
        <v>12930</v>
      </c>
      <c r="D323" s="6" t="s">
        <v>116</v>
      </c>
      <c r="E323" s="6" t="s">
        <v>12947</v>
      </c>
      <c r="F323" s="20" t="n">
        <f aca="false">SUM(Reconciliations!H111:H114)-Reconciliations!H115</f>
        <v>0</v>
      </c>
      <c r="G323" s="6" t="str">
        <f aca="false">IF(ABS(F323)&lt;=H323,"PASS","FAIL")</f>
        <v>PASS</v>
      </c>
      <c r="H323" s="6" t="n">
        <v>0.5</v>
      </c>
      <c r="I323" s="6"/>
    </row>
    <row r="324" customFormat="false" ht="15" hidden="false" customHeight="false" outlineLevel="0" collapsed="false">
      <c r="A324" s="6" t="s">
        <v>12948</v>
      </c>
      <c r="B324" s="6" t="s">
        <v>12873</v>
      </c>
      <c r="C324" s="6" t="s">
        <v>12874</v>
      </c>
      <c r="D324" s="6" t="s">
        <v>212</v>
      </c>
      <c r="E324" s="6" t="s">
        <v>12949</v>
      </c>
      <c r="F324" s="20" t="n">
        <f aca="false">SUM(Reconciliations!H116:H117)-Reconciliations!H118</f>
        <v>0</v>
      </c>
      <c r="G324" s="6" t="str">
        <f aca="false">IF(ABS(F324)&lt;=H324,"PASS","FAIL")</f>
        <v>PASS</v>
      </c>
      <c r="H324" s="6" t="n">
        <v>0.5</v>
      </c>
      <c r="I324" s="6"/>
    </row>
    <row r="325" customFormat="false" ht="15" hidden="false" customHeight="false" outlineLevel="0" collapsed="false">
      <c r="A325" s="6" t="s">
        <v>12950</v>
      </c>
      <c r="B325" s="6" t="s">
        <v>12873</v>
      </c>
      <c r="C325" s="6" t="s">
        <v>12877</v>
      </c>
      <c r="D325" s="6" t="s">
        <v>212</v>
      </c>
      <c r="E325" s="6" t="s">
        <v>12951</v>
      </c>
      <c r="F325" s="20" t="n">
        <f aca="false">SUM(Reconciliations!H119:H120)-Reconciliations!H121</f>
        <v>0</v>
      </c>
      <c r="G325" s="6" t="str">
        <f aca="false">IF(ABS(F325)&lt;=H325,"PASS","FAIL")</f>
        <v>PASS</v>
      </c>
      <c r="H325" s="6" t="n">
        <v>0.5</v>
      </c>
      <c r="I325" s="6"/>
    </row>
    <row r="326" customFormat="false" ht="15" hidden="false" customHeight="false" outlineLevel="0" collapsed="false">
      <c r="A326" s="6" t="s">
        <v>12952</v>
      </c>
      <c r="B326" s="6" t="s">
        <v>12873</v>
      </c>
      <c r="C326" s="6" t="s">
        <v>12880</v>
      </c>
      <c r="D326" s="6" t="s">
        <v>212</v>
      </c>
      <c r="E326" s="6" t="s">
        <v>12953</v>
      </c>
      <c r="F326" s="20" t="n">
        <f aca="false">SUM(Reconciliations!H122:H123)-Reconciliations!H124</f>
        <v>0</v>
      </c>
      <c r="G326" s="6" t="str">
        <f aca="false">IF(ABS(F326)&lt;=H326,"PASS","FAIL")</f>
        <v>PASS</v>
      </c>
      <c r="H326" s="6" t="n">
        <v>0.5</v>
      </c>
      <c r="I326" s="6"/>
    </row>
    <row r="327" customFormat="false" ht="15" hidden="false" customHeight="false" outlineLevel="0" collapsed="false">
      <c r="A327" s="6" t="s">
        <v>12954</v>
      </c>
      <c r="B327" s="6" t="s">
        <v>12873</v>
      </c>
      <c r="C327" s="6" t="s">
        <v>12883</v>
      </c>
      <c r="D327" s="6" t="s">
        <v>212</v>
      </c>
      <c r="E327" s="6" t="s">
        <v>12955</v>
      </c>
      <c r="F327" s="20" t="n">
        <f aca="false">SUM(Reconciliations!H125:H126)-Reconciliations!H127</f>
        <v>0</v>
      </c>
      <c r="G327" s="6" t="str">
        <f aca="false">IF(ABS(F327)&lt;=H327,"PASS","FAIL")</f>
        <v>PASS</v>
      </c>
      <c r="H327" s="6" t="n">
        <v>0.5</v>
      </c>
      <c r="I327" s="6"/>
    </row>
    <row r="328" customFormat="false" ht="15" hidden="false" customHeight="false" outlineLevel="0" collapsed="false">
      <c r="A328" s="6" t="s">
        <v>12956</v>
      </c>
      <c r="B328" s="6" t="s">
        <v>12873</v>
      </c>
      <c r="C328" s="6" t="s">
        <v>12886</v>
      </c>
      <c r="D328" s="6" t="s">
        <v>212</v>
      </c>
      <c r="E328" s="6" t="s">
        <v>12957</v>
      </c>
      <c r="F328" s="20" t="n">
        <f aca="false">SUM(Reconciliations!H128:H129)-Reconciliations!H130</f>
        <v>0</v>
      </c>
      <c r="G328" s="6" t="str">
        <f aca="false">IF(ABS(F328)&lt;=H328,"PASS","FAIL")</f>
        <v>PASS</v>
      </c>
      <c r="H328" s="6" t="n">
        <v>0.5</v>
      </c>
      <c r="I328" s="6"/>
    </row>
    <row r="329" customFormat="false" ht="15" hidden="false" customHeight="false" outlineLevel="0" collapsed="false">
      <c r="A329" s="6" t="s">
        <v>12958</v>
      </c>
      <c r="B329" s="6" t="s">
        <v>12873</v>
      </c>
      <c r="C329" s="6" t="s">
        <v>12908</v>
      </c>
      <c r="D329" s="6" t="s">
        <v>212</v>
      </c>
      <c r="E329" s="6" t="s">
        <v>12959</v>
      </c>
      <c r="F329" s="20" t="n">
        <f aca="false">SUM(Reconciliations!H131:H133)-Reconciliations!H134</f>
        <v>0</v>
      </c>
      <c r="G329" s="6" t="str">
        <f aca="false">IF(ABS(F329)&lt;=H329,"PASS","FAIL")</f>
        <v>PASS</v>
      </c>
      <c r="H329" s="6" t="n">
        <v>0.5</v>
      </c>
      <c r="I329" s="6"/>
    </row>
    <row r="330" customFormat="false" ht="15" hidden="false" customHeight="false" outlineLevel="0" collapsed="false">
      <c r="A330" s="6" t="s">
        <v>12960</v>
      </c>
      <c r="B330" s="6" t="s">
        <v>12873</v>
      </c>
      <c r="C330" s="6" t="s">
        <v>12892</v>
      </c>
      <c r="D330" s="6" t="s">
        <v>212</v>
      </c>
      <c r="E330" s="6" t="s">
        <v>12961</v>
      </c>
      <c r="F330" s="20" t="n">
        <f aca="false">SUM(Reconciliations!H135:H138)-Reconciliations!H139</f>
        <v>0</v>
      </c>
      <c r="G330" s="6" t="str">
        <f aca="false">IF(ABS(F330)&lt;=H330,"PASS","FAIL")</f>
        <v>PASS</v>
      </c>
      <c r="H330" s="6" t="n">
        <v>0.5</v>
      </c>
      <c r="I330" s="6"/>
    </row>
    <row r="331" customFormat="false" ht="15" hidden="false" customHeight="false" outlineLevel="0" collapsed="false">
      <c r="A331" s="6" t="s">
        <v>12962</v>
      </c>
      <c r="B331" s="6" t="s">
        <v>12873</v>
      </c>
      <c r="C331" s="6" t="s">
        <v>12930</v>
      </c>
      <c r="D331" s="6" t="s">
        <v>212</v>
      </c>
      <c r="E331" s="6" t="s">
        <v>12963</v>
      </c>
      <c r="F331" s="20" t="n">
        <f aca="false">SUM(Reconciliations!H140:H143)-Reconciliations!H144</f>
        <v>0</v>
      </c>
      <c r="G331" s="6" t="str">
        <f aca="false">IF(ABS(F331)&lt;=H331,"PASS","FAIL")</f>
        <v>PASS</v>
      </c>
      <c r="H331" s="6" t="n">
        <v>0.5</v>
      </c>
      <c r="I331" s="6"/>
    </row>
    <row r="332" customFormat="false" ht="15" hidden="false" customHeight="false" outlineLevel="0" collapsed="false">
      <c r="A332" s="6" t="s">
        <v>12964</v>
      </c>
      <c r="B332" s="6" t="s">
        <v>12873</v>
      </c>
      <c r="C332" s="6" t="s">
        <v>12874</v>
      </c>
      <c r="D332" s="6" t="s">
        <v>121</v>
      </c>
      <c r="E332" s="6" t="s">
        <v>12965</v>
      </c>
      <c r="F332" s="20" t="n">
        <f aca="false">SUM(Reconciliations!H145:H146)-Reconciliations!H147</f>
        <v>0</v>
      </c>
      <c r="G332" s="6" t="str">
        <f aca="false">IF(ABS(F332)&lt;=H332,"PASS","FAIL")</f>
        <v>PASS</v>
      </c>
      <c r="H332" s="6" t="n">
        <v>0.5</v>
      </c>
      <c r="I332" s="6"/>
    </row>
    <row r="333" customFormat="false" ht="15" hidden="false" customHeight="false" outlineLevel="0" collapsed="false">
      <c r="A333" s="6" t="s">
        <v>12966</v>
      </c>
      <c r="B333" s="6" t="s">
        <v>12873</v>
      </c>
      <c r="C333" s="6" t="s">
        <v>12877</v>
      </c>
      <c r="D333" s="6" t="s">
        <v>121</v>
      </c>
      <c r="E333" s="6" t="s">
        <v>12967</v>
      </c>
      <c r="F333" s="20" t="n">
        <f aca="false">SUM(Reconciliations!H148:H149)-Reconciliations!H150</f>
        <v>0</v>
      </c>
      <c r="G333" s="6" t="str">
        <f aca="false">IF(ABS(F333)&lt;=H333,"PASS","FAIL")</f>
        <v>PASS</v>
      </c>
      <c r="H333" s="6" t="n">
        <v>0.5</v>
      </c>
      <c r="I333" s="6"/>
    </row>
    <row r="334" customFormat="false" ht="15" hidden="false" customHeight="false" outlineLevel="0" collapsed="false">
      <c r="A334" s="6" t="s">
        <v>12968</v>
      </c>
      <c r="B334" s="6" t="s">
        <v>12873</v>
      </c>
      <c r="C334" s="6" t="s">
        <v>12880</v>
      </c>
      <c r="D334" s="6" t="s">
        <v>121</v>
      </c>
      <c r="E334" s="6" t="s">
        <v>12969</v>
      </c>
      <c r="F334" s="20" t="n">
        <f aca="false">SUM(Reconciliations!H151:H152)-Reconciliations!H153</f>
        <v>0</v>
      </c>
      <c r="G334" s="6" t="str">
        <f aca="false">IF(ABS(F334)&lt;=H334,"PASS","FAIL")</f>
        <v>PASS</v>
      </c>
      <c r="H334" s="6" t="n">
        <v>0.5</v>
      </c>
      <c r="I334" s="6"/>
    </row>
    <row r="335" customFormat="false" ht="15" hidden="false" customHeight="false" outlineLevel="0" collapsed="false">
      <c r="A335" s="6" t="s">
        <v>12970</v>
      </c>
      <c r="B335" s="6" t="s">
        <v>12873</v>
      </c>
      <c r="C335" s="6" t="s">
        <v>12883</v>
      </c>
      <c r="D335" s="6" t="s">
        <v>121</v>
      </c>
      <c r="E335" s="6" t="s">
        <v>12971</v>
      </c>
      <c r="F335" s="20" t="n">
        <f aca="false">SUM(Reconciliations!H154:H155)-Reconciliations!H156</f>
        <v>0</v>
      </c>
      <c r="G335" s="6" t="str">
        <f aca="false">IF(ABS(F335)&lt;=H335,"PASS","FAIL")</f>
        <v>PASS</v>
      </c>
      <c r="H335" s="6" t="n">
        <v>0.5</v>
      </c>
      <c r="I335" s="6"/>
    </row>
    <row r="336" customFormat="false" ht="15" hidden="false" customHeight="false" outlineLevel="0" collapsed="false">
      <c r="A336" s="6" t="s">
        <v>12972</v>
      </c>
      <c r="B336" s="6" t="s">
        <v>12873</v>
      </c>
      <c r="C336" s="6" t="s">
        <v>12886</v>
      </c>
      <c r="D336" s="6" t="s">
        <v>121</v>
      </c>
      <c r="E336" s="6" t="s">
        <v>12973</v>
      </c>
      <c r="F336" s="20" t="n">
        <f aca="false">SUM(Reconciliations!H157:H158)-Reconciliations!H159</f>
        <v>0</v>
      </c>
      <c r="G336" s="6" t="str">
        <f aca="false">IF(ABS(F336)&lt;=H336,"PASS","FAIL")</f>
        <v>PASS</v>
      </c>
      <c r="H336" s="6" t="n">
        <v>0.5</v>
      </c>
      <c r="I336" s="6"/>
    </row>
    <row r="337" customFormat="false" ht="15" hidden="false" customHeight="false" outlineLevel="0" collapsed="false">
      <c r="A337" s="6" t="s">
        <v>12974</v>
      </c>
      <c r="B337" s="6" t="s">
        <v>12873</v>
      </c>
      <c r="C337" s="6" t="s">
        <v>12889</v>
      </c>
      <c r="D337" s="6" t="s">
        <v>121</v>
      </c>
      <c r="E337" s="6" t="s">
        <v>12975</v>
      </c>
      <c r="F337" s="20" t="n">
        <f aca="false">SUM(Reconciliations!H160:H162)-Reconciliations!H163</f>
        <v>0</v>
      </c>
      <c r="G337" s="6" t="str">
        <f aca="false">IF(ABS(F337)&lt;=H337,"PASS","FAIL")</f>
        <v>PASS</v>
      </c>
      <c r="H337" s="6" t="n">
        <v>0.5</v>
      </c>
      <c r="I337" s="6"/>
    </row>
    <row r="338" customFormat="false" ht="15" hidden="false" customHeight="false" outlineLevel="0" collapsed="false">
      <c r="A338" s="6" t="s">
        <v>12976</v>
      </c>
      <c r="B338" s="6" t="s">
        <v>12873</v>
      </c>
      <c r="C338" s="6" t="s">
        <v>12892</v>
      </c>
      <c r="D338" s="6" t="s">
        <v>121</v>
      </c>
      <c r="E338" s="6" t="s">
        <v>12977</v>
      </c>
      <c r="F338" s="20" t="n">
        <f aca="false">SUM(Reconciliations!H164:H167)-Reconciliations!H168</f>
        <v>0</v>
      </c>
      <c r="G338" s="6" t="str">
        <f aca="false">IF(ABS(F338)&lt;=H338,"PASS","FAIL")</f>
        <v>PASS</v>
      </c>
      <c r="H338" s="6" t="n">
        <v>0.5</v>
      </c>
      <c r="I338" s="6"/>
    </row>
    <row r="339" customFormat="false" ht="15" hidden="false" customHeight="false" outlineLevel="0" collapsed="false">
      <c r="A339" s="6" t="s">
        <v>12978</v>
      </c>
      <c r="B339" s="6" t="s">
        <v>12873</v>
      </c>
      <c r="C339" s="6" t="s">
        <v>12895</v>
      </c>
      <c r="D339" s="6" t="s">
        <v>121</v>
      </c>
      <c r="E339" s="6" t="s">
        <v>12979</v>
      </c>
      <c r="F339" s="20" t="n">
        <f aca="false">SUM(Reconciliations!H169:H172)-Reconciliations!H173</f>
        <v>0</v>
      </c>
      <c r="G339" s="6" t="str">
        <f aca="false">IF(ABS(F339)&lt;=H339,"PASS","FAIL")</f>
        <v>PASS</v>
      </c>
      <c r="H339" s="6" t="n">
        <v>0.5</v>
      </c>
      <c r="I339" s="6"/>
    </row>
    <row r="340" customFormat="false" ht="15" hidden="false" customHeight="false" outlineLevel="0" collapsed="false">
      <c r="A340" s="6" t="s">
        <v>12980</v>
      </c>
      <c r="B340" s="6" t="s">
        <v>12873</v>
      </c>
      <c r="C340" s="6" t="s">
        <v>12874</v>
      </c>
      <c r="D340" s="6" t="s">
        <v>126</v>
      </c>
      <c r="E340" s="6" t="s">
        <v>12981</v>
      </c>
      <c r="F340" s="20" t="n">
        <f aca="false">SUM(Reconciliations!H174:H175)-Reconciliations!H176</f>
        <v>0</v>
      </c>
      <c r="G340" s="6" t="str">
        <f aca="false">IF(ABS(F340)&lt;=H340,"PASS","FAIL")</f>
        <v>PASS</v>
      </c>
      <c r="H340" s="6" t="n">
        <v>0.5</v>
      </c>
      <c r="I340" s="6"/>
    </row>
    <row r="341" customFormat="false" ht="15" hidden="false" customHeight="false" outlineLevel="0" collapsed="false">
      <c r="A341" s="6" t="s">
        <v>12982</v>
      </c>
      <c r="B341" s="6" t="s">
        <v>12873</v>
      </c>
      <c r="C341" s="6" t="s">
        <v>12877</v>
      </c>
      <c r="D341" s="6" t="s">
        <v>126</v>
      </c>
      <c r="E341" s="6" t="s">
        <v>12983</v>
      </c>
      <c r="F341" s="20" t="n">
        <f aca="false">SUM(Reconciliations!H177:H178)-Reconciliations!H179</f>
        <v>0</v>
      </c>
      <c r="G341" s="6" t="str">
        <f aca="false">IF(ABS(F341)&lt;=H341,"PASS","FAIL")</f>
        <v>PASS</v>
      </c>
      <c r="H341" s="6" t="n">
        <v>0.5</v>
      </c>
      <c r="I341" s="6"/>
    </row>
    <row r="342" customFormat="false" ht="15" hidden="false" customHeight="false" outlineLevel="0" collapsed="false">
      <c r="A342" s="6" t="s">
        <v>12984</v>
      </c>
      <c r="B342" s="6" t="s">
        <v>12873</v>
      </c>
      <c r="C342" s="6" t="s">
        <v>12880</v>
      </c>
      <c r="D342" s="6" t="s">
        <v>126</v>
      </c>
      <c r="E342" s="6" t="s">
        <v>12985</v>
      </c>
      <c r="F342" s="20" t="n">
        <f aca="false">SUM(Reconciliations!H180:H181)-Reconciliations!H182</f>
        <v>0</v>
      </c>
      <c r="G342" s="6" t="str">
        <f aca="false">IF(ABS(F342)&lt;=H342,"PASS","FAIL")</f>
        <v>PASS</v>
      </c>
      <c r="H342" s="6" t="n">
        <v>0.5</v>
      </c>
      <c r="I342" s="6"/>
    </row>
    <row r="343" customFormat="false" ht="15" hidden="false" customHeight="false" outlineLevel="0" collapsed="false">
      <c r="A343" s="6" t="s">
        <v>12986</v>
      </c>
      <c r="B343" s="6" t="s">
        <v>12873</v>
      </c>
      <c r="C343" s="6" t="s">
        <v>12883</v>
      </c>
      <c r="D343" s="6" t="s">
        <v>126</v>
      </c>
      <c r="E343" s="6" t="s">
        <v>12987</v>
      </c>
      <c r="F343" s="20" t="n">
        <f aca="false">SUM(Reconciliations!H183:H184)-Reconciliations!H185</f>
        <v>0</v>
      </c>
      <c r="G343" s="6" t="str">
        <f aca="false">IF(ABS(F343)&lt;=H343,"PASS","FAIL")</f>
        <v>PASS</v>
      </c>
      <c r="H343" s="6" t="n">
        <v>0.5</v>
      </c>
      <c r="I343" s="6"/>
    </row>
    <row r="344" customFormat="false" ht="15" hidden="false" customHeight="false" outlineLevel="0" collapsed="false">
      <c r="A344" s="6" t="s">
        <v>12988</v>
      </c>
      <c r="B344" s="6" t="s">
        <v>12873</v>
      </c>
      <c r="C344" s="6" t="s">
        <v>12886</v>
      </c>
      <c r="D344" s="6" t="s">
        <v>126</v>
      </c>
      <c r="E344" s="6" t="s">
        <v>12989</v>
      </c>
      <c r="F344" s="20" t="n">
        <f aca="false">SUM(Reconciliations!H186:H187)-Reconciliations!H188</f>
        <v>0</v>
      </c>
      <c r="G344" s="6" t="str">
        <f aca="false">IF(ABS(F344)&lt;=H344,"PASS","FAIL")</f>
        <v>PASS</v>
      </c>
      <c r="H344" s="6" t="n">
        <v>0.5</v>
      </c>
      <c r="I344" s="6"/>
    </row>
    <row r="345" customFormat="false" ht="15" hidden="false" customHeight="false" outlineLevel="0" collapsed="false">
      <c r="A345" s="6" t="s">
        <v>12990</v>
      </c>
      <c r="B345" s="6" t="s">
        <v>12873</v>
      </c>
      <c r="C345" s="6" t="s">
        <v>12908</v>
      </c>
      <c r="D345" s="6" t="s">
        <v>126</v>
      </c>
      <c r="E345" s="6" t="s">
        <v>12991</v>
      </c>
      <c r="F345" s="20" t="n">
        <f aca="false">SUM(Reconciliations!H189:H191)-Reconciliations!H192</f>
        <v>0</v>
      </c>
      <c r="G345" s="6" t="str">
        <f aca="false">IF(ABS(F345)&lt;=H345,"PASS","FAIL")</f>
        <v>PASS</v>
      </c>
      <c r="H345" s="6" t="n">
        <v>0.5</v>
      </c>
      <c r="I345" s="6"/>
    </row>
    <row r="346" customFormat="false" ht="15" hidden="false" customHeight="false" outlineLevel="0" collapsed="false">
      <c r="A346" s="6" t="s">
        <v>12992</v>
      </c>
      <c r="B346" s="6" t="s">
        <v>12873</v>
      </c>
      <c r="C346" s="6" t="s">
        <v>12892</v>
      </c>
      <c r="D346" s="6" t="s">
        <v>126</v>
      </c>
      <c r="E346" s="6" t="s">
        <v>12993</v>
      </c>
      <c r="F346" s="20" t="n">
        <f aca="false">SUM(Reconciliations!H193:H196)-Reconciliations!H197</f>
        <v>0</v>
      </c>
      <c r="G346" s="6" t="str">
        <f aca="false">IF(ABS(F346)&lt;=H346,"PASS","FAIL")</f>
        <v>PASS</v>
      </c>
      <c r="H346" s="6" t="n">
        <v>0.5</v>
      </c>
      <c r="I346" s="6"/>
    </row>
    <row r="347" customFormat="false" ht="15" hidden="false" customHeight="false" outlineLevel="0" collapsed="false">
      <c r="A347" s="6" t="s">
        <v>12994</v>
      </c>
      <c r="B347" s="6" t="s">
        <v>12873</v>
      </c>
      <c r="C347" s="6" t="s">
        <v>12895</v>
      </c>
      <c r="D347" s="6" t="s">
        <v>126</v>
      </c>
      <c r="E347" s="6" t="s">
        <v>12995</v>
      </c>
      <c r="F347" s="20" t="n">
        <f aca="false">SUM(Reconciliations!H198:H201)-Reconciliations!H202</f>
        <v>0</v>
      </c>
      <c r="G347" s="6" t="str">
        <f aca="false">IF(ABS(F347)&lt;=H347,"PASS","FAIL")</f>
        <v>PASS</v>
      </c>
      <c r="H347" s="6" t="n">
        <v>0.5</v>
      </c>
      <c r="I347" s="6"/>
    </row>
    <row r="348" customFormat="false" ht="15" hidden="false" customHeight="false" outlineLevel="0" collapsed="false">
      <c r="A348" s="6" t="s">
        <v>12996</v>
      </c>
      <c r="B348" s="6" t="s">
        <v>12873</v>
      </c>
      <c r="C348" s="6" t="s">
        <v>12874</v>
      </c>
      <c r="D348" s="6" t="s">
        <v>131</v>
      </c>
      <c r="E348" s="6" t="s">
        <v>12997</v>
      </c>
      <c r="F348" s="20" t="n">
        <f aca="false">SUM(Reconciliations!H203:H204)-Reconciliations!H205</f>
        <v>0</v>
      </c>
      <c r="G348" s="6" t="str">
        <f aca="false">IF(ABS(F348)&lt;=H348,"PASS","FAIL")</f>
        <v>PASS</v>
      </c>
      <c r="H348" s="6" t="n">
        <v>0.5</v>
      </c>
      <c r="I348" s="6"/>
    </row>
    <row r="349" customFormat="false" ht="15" hidden="false" customHeight="false" outlineLevel="0" collapsed="false">
      <c r="A349" s="6" t="s">
        <v>12998</v>
      </c>
      <c r="B349" s="6" t="s">
        <v>12873</v>
      </c>
      <c r="C349" s="6" t="s">
        <v>12877</v>
      </c>
      <c r="D349" s="6" t="s">
        <v>131</v>
      </c>
      <c r="E349" s="6" t="s">
        <v>12999</v>
      </c>
      <c r="F349" s="20" t="n">
        <f aca="false">SUM(Reconciliations!H206:H207)-Reconciliations!H208</f>
        <v>0</v>
      </c>
      <c r="G349" s="6" t="str">
        <f aca="false">IF(ABS(F349)&lt;=H349,"PASS","FAIL")</f>
        <v>PASS</v>
      </c>
      <c r="H349" s="6" t="n">
        <v>0.5</v>
      </c>
      <c r="I349" s="6"/>
    </row>
    <row r="350" customFormat="false" ht="15" hidden="false" customHeight="false" outlineLevel="0" collapsed="false">
      <c r="A350" s="6" t="s">
        <v>13000</v>
      </c>
      <c r="B350" s="6" t="s">
        <v>12873</v>
      </c>
      <c r="C350" s="6" t="s">
        <v>12880</v>
      </c>
      <c r="D350" s="6" t="s">
        <v>131</v>
      </c>
      <c r="E350" s="6" t="s">
        <v>13001</v>
      </c>
      <c r="F350" s="20" t="n">
        <f aca="false">SUM(Reconciliations!H209:H210)-Reconciliations!H211</f>
        <v>0</v>
      </c>
      <c r="G350" s="6" t="str">
        <f aca="false">IF(ABS(F350)&lt;=H350,"PASS","FAIL")</f>
        <v>PASS</v>
      </c>
      <c r="H350" s="6" t="n">
        <v>0.5</v>
      </c>
      <c r="I350" s="6"/>
    </row>
    <row r="351" customFormat="false" ht="15" hidden="false" customHeight="false" outlineLevel="0" collapsed="false">
      <c r="A351" s="6" t="s">
        <v>13002</v>
      </c>
      <c r="B351" s="6" t="s">
        <v>12873</v>
      </c>
      <c r="C351" s="6" t="s">
        <v>12883</v>
      </c>
      <c r="D351" s="6" t="s">
        <v>131</v>
      </c>
      <c r="E351" s="6" t="s">
        <v>13003</v>
      </c>
      <c r="F351" s="20" t="n">
        <f aca="false">SUM(Reconciliations!H212:H213)-Reconciliations!H214</f>
        <v>0</v>
      </c>
      <c r="G351" s="6" t="str">
        <f aca="false">IF(ABS(F351)&lt;=H351,"PASS","FAIL")</f>
        <v>PASS</v>
      </c>
      <c r="H351" s="6" t="n">
        <v>0.5</v>
      </c>
      <c r="I351" s="6"/>
    </row>
    <row r="352" customFormat="false" ht="15" hidden="false" customHeight="false" outlineLevel="0" collapsed="false">
      <c r="A352" s="6" t="s">
        <v>13004</v>
      </c>
      <c r="B352" s="6" t="s">
        <v>12873</v>
      </c>
      <c r="C352" s="6" t="s">
        <v>12886</v>
      </c>
      <c r="D352" s="6" t="s">
        <v>131</v>
      </c>
      <c r="E352" s="6" t="s">
        <v>13005</v>
      </c>
      <c r="F352" s="20" t="n">
        <f aca="false">SUM(Reconciliations!H215:H216)-Reconciliations!H217</f>
        <v>0</v>
      </c>
      <c r="G352" s="6" t="str">
        <f aca="false">IF(ABS(F352)&lt;=H352,"PASS","FAIL")</f>
        <v>PASS</v>
      </c>
      <c r="H352" s="6" t="n">
        <v>0.5</v>
      </c>
      <c r="I352" s="6"/>
    </row>
    <row r="353" customFormat="false" ht="15" hidden="false" customHeight="false" outlineLevel="0" collapsed="false">
      <c r="A353" s="6" t="s">
        <v>13006</v>
      </c>
      <c r="B353" s="6" t="s">
        <v>12873</v>
      </c>
      <c r="C353" s="6" t="s">
        <v>13007</v>
      </c>
      <c r="D353" s="6" t="s">
        <v>131</v>
      </c>
      <c r="E353" s="6" t="s">
        <v>13008</v>
      </c>
      <c r="F353" s="20" t="n">
        <f aca="false">SUM(Reconciliations!H218:H220)-Reconciliations!H221</f>
        <v>0</v>
      </c>
      <c r="G353" s="6" t="str">
        <f aca="false">IF(ABS(F353)&lt;=H353,"PASS","FAIL")</f>
        <v>PASS</v>
      </c>
      <c r="H353" s="6" t="n">
        <v>0.5</v>
      </c>
      <c r="I353" s="6"/>
    </row>
    <row r="354" customFormat="false" ht="15" hidden="false" customHeight="false" outlineLevel="0" collapsed="false">
      <c r="A354" s="6" t="s">
        <v>13009</v>
      </c>
      <c r="B354" s="6" t="s">
        <v>12873</v>
      </c>
      <c r="C354" s="6" t="s">
        <v>13010</v>
      </c>
      <c r="D354" s="6" t="s">
        <v>131</v>
      </c>
      <c r="E354" s="6" t="s">
        <v>13011</v>
      </c>
      <c r="F354" s="20" t="n">
        <f aca="false">SUM(Reconciliations!H222:H225)-Reconciliations!H226</f>
        <v>0</v>
      </c>
      <c r="G354" s="6" t="str">
        <f aca="false">IF(ABS(F354)&lt;=H354,"PASS","FAIL")</f>
        <v>PASS</v>
      </c>
      <c r="H354" s="6" t="n">
        <v>0.5</v>
      </c>
      <c r="I354" s="6"/>
    </row>
    <row r="355" customFormat="false" ht="15" hidden="false" customHeight="false" outlineLevel="0" collapsed="false">
      <c r="A355" s="6" t="s">
        <v>13012</v>
      </c>
      <c r="B355" s="6" t="s">
        <v>12873</v>
      </c>
      <c r="C355" s="6" t="s">
        <v>12930</v>
      </c>
      <c r="D355" s="6" t="s">
        <v>131</v>
      </c>
      <c r="E355" s="6" t="s">
        <v>13013</v>
      </c>
      <c r="F355" s="20" t="n">
        <f aca="false">SUM(Reconciliations!H227:H230)-Reconciliations!H231</f>
        <v>0</v>
      </c>
      <c r="G355" s="6" t="str">
        <f aca="false">IF(ABS(F355)&lt;=H355,"PASS","FAIL")</f>
        <v>PASS</v>
      </c>
      <c r="H355" s="6" t="n">
        <v>0.5</v>
      </c>
      <c r="I355" s="6"/>
    </row>
    <row r="356" customFormat="false" ht="15" hidden="false" customHeight="false" outlineLevel="0" collapsed="false">
      <c r="A356" s="6" t="s">
        <v>13014</v>
      </c>
      <c r="B356" s="6" t="s">
        <v>12873</v>
      </c>
      <c r="C356" s="6" t="s">
        <v>12874</v>
      </c>
      <c r="D356" s="6" t="s">
        <v>136</v>
      </c>
      <c r="E356" s="6" t="s">
        <v>13015</v>
      </c>
      <c r="F356" s="20" t="n">
        <f aca="false">SUM(Reconciliations!H232:H233)-Reconciliations!H234</f>
        <v>0</v>
      </c>
      <c r="G356" s="6" t="str">
        <f aca="false">IF(ABS(F356)&lt;=H356,"PASS","FAIL")</f>
        <v>PASS</v>
      </c>
      <c r="H356" s="6" t="n">
        <v>0.5</v>
      </c>
      <c r="I356" s="6"/>
    </row>
    <row r="357" customFormat="false" ht="15" hidden="false" customHeight="false" outlineLevel="0" collapsed="false">
      <c r="A357" s="6" t="s">
        <v>13016</v>
      </c>
      <c r="B357" s="6" t="s">
        <v>12873</v>
      </c>
      <c r="C357" s="6" t="s">
        <v>12877</v>
      </c>
      <c r="D357" s="6" t="s">
        <v>136</v>
      </c>
      <c r="E357" s="6" t="s">
        <v>13017</v>
      </c>
      <c r="F357" s="20" t="n">
        <f aca="false">SUM(Reconciliations!H235:H236)-Reconciliations!H237</f>
        <v>0</v>
      </c>
      <c r="G357" s="6" t="str">
        <f aca="false">IF(ABS(F357)&lt;=H357,"PASS","FAIL")</f>
        <v>PASS</v>
      </c>
      <c r="H357" s="6" t="n">
        <v>0.5</v>
      </c>
      <c r="I357" s="6"/>
    </row>
    <row r="358" customFormat="false" ht="15" hidden="false" customHeight="false" outlineLevel="0" collapsed="false">
      <c r="A358" s="6" t="s">
        <v>13018</v>
      </c>
      <c r="B358" s="6" t="s">
        <v>12873</v>
      </c>
      <c r="C358" s="6" t="s">
        <v>12880</v>
      </c>
      <c r="D358" s="6" t="s">
        <v>136</v>
      </c>
      <c r="E358" s="6" t="s">
        <v>13019</v>
      </c>
      <c r="F358" s="20" t="n">
        <f aca="false">SUM(Reconciliations!H238:H239)-Reconciliations!H240</f>
        <v>0</v>
      </c>
      <c r="G358" s="6" t="str">
        <f aca="false">IF(ABS(F358)&lt;=H358,"PASS","FAIL")</f>
        <v>PASS</v>
      </c>
      <c r="H358" s="6" t="n">
        <v>0.5</v>
      </c>
      <c r="I358" s="6"/>
    </row>
    <row r="359" customFormat="false" ht="15" hidden="false" customHeight="false" outlineLevel="0" collapsed="false">
      <c r="A359" s="6" t="s">
        <v>13020</v>
      </c>
      <c r="B359" s="6" t="s">
        <v>12873</v>
      </c>
      <c r="C359" s="6" t="s">
        <v>12883</v>
      </c>
      <c r="D359" s="6" t="s">
        <v>136</v>
      </c>
      <c r="E359" s="6" t="s">
        <v>13021</v>
      </c>
      <c r="F359" s="20" t="n">
        <f aca="false">SUM(Reconciliations!H241:H242)-Reconciliations!H243</f>
        <v>0</v>
      </c>
      <c r="G359" s="6" t="str">
        <f aca="false">IF(ABS(F359)&lt;=H359,"PASS","FAIL")</f>
        <v>PASS</v>
      </c>
      <c r="H359" s="6" t="n">
        <v>0.5</v>
      </c>
      <c r="I359" s="6"/>
    </row>
    <row r="360" customFormat="false" ht="15" hidden="false" customHeight="false" outlineLevel="0" collapsed="false">
      <c r="A360" s="6" t="s">
        <v>13022</v>
      </c>
      <c r="B360" s="6" t="s">
        <v>12873</v>
      </c>
      <c r="C360" s="6" t="s">
        <v>13023</v>
      </c>
      <c r="D360" s="6" t="s">
        <v>136</v>
      </c>
      <c r="E360" s="6" t="s">
        <v>13024</v>
      </c>
      <c r="F360" s="20" t="n">
        <f aca="false">SUM(Reconciliations!H244:H245)-Reconciliations!H246</f>
        <v>0</v>
      </c>
      <c r="G360" s="6" t="str">
        <f aca="false">IF(ABS(F360)&lt;=H360,"PASS","FAIL")</f>
        <v>PASS</v>
      </c>
      <c r="H360" s="6" t="n">
        <v>0.5</v>
      </c>
      <c r="I360" s="6"/>
    </row>
    <row r="361" customFormat="false" ht="15" hidden="false" customHeight="false" outlineLevel="0" collapsed="false">
      <c r="A361" s="6" t="s">
        <v>13025</v>
      </c>
      <c r="B361" s="6" t="s">
        <v>12873</v>
      </c>
      <c r="C361" s="6" t="s">
        <v>13007</v>
      </c>
      <c r="D361" s="6" t="s">
        <v>136</v>
      </c>
      <c r="E361" s="6" t="s">
        <v>13026</v>
      </c>
      <c r="F361" s="20" t="n">
        <f aca="false">SUM(Reconciliations!H247:H249)-Reconciliations!H250</f>
        <v>0</v>
      </c>
      <c r="G361" s="6" t="str">
        <f aca="false">IF(ABS(F361)&lt;=H361,"PASS","FAIL")</f>
        <v>PASS</v>
      </c>
      <c r="H361" s="6" t="n">
        <v>0.5</v>
      </c>
      <c r="I361" s="6"/>
    </row>
    <row r="362" customFormat="false" ht="15" hidden="false" customHeight="false" outlineLevel="0" collapsed="false">
      <c r="A362" s="6" t="s">
        <v>13027</v>
      </c>
      <c r="B362" s="6" t="s">
        <v>12873</v>
      </c>
      <c r="C362" s="6" t="s">
        <v>13028</v>
      </c>
      <c r="D362" s="6" t="s">
        <v>136</v>
      </c>
      <c r="E362" s="6" t="s">
        <v>13029</v>
      </c>
      <c r="F362" s="20" t="n">
        <f aca="false">SUM(Reconciliations!H251:H254)-Reconciliations!H255</f>
        <v>0</v>
      </c>
      <c r="G362" s="6" t="str">
        <f aca="false">IF(ABS(F362)&lt;=H362,"PASS","FAIL")</f>
        <v>PASS</v>
      </c>
      <c r="H362" s="6" t="n">
        <v>0.5</v>
      </c>
      <c r="I362" s="6"/>
    </row>
    <row r="363" customFormat="false" ht="15" hidden="false" customHeight="false" outlineLevel="0" collapsed="false">
      <c r="A363" s="6" t="s">
        <v>13030</v>
      </c>
      <c r="B363" s="6" t="s">
        <v>12873</v>
      </c>
      <c r="C363" s="6" t="s">
        <v>12913</v>
      </c>
      <c r="D363" s="6" t="s">
        <v>136</v>
      </c>
      <c r="E363" s="6" t="s">
        <v>13031</v>
      </c>
      <c r="F363" s="20" t="n">
        <f aca="false">SUM(Reconciliations!H256:H259)-Reconciliations!H260</f>
        <v>0</v>
      </c>
      <c r="G363" s="6" t="str">
        <f aca="false">IF(ABS(F363)&lt;=H363,"PASS","FAIL")</f>
        <v>PASS</v>
      </c>
      <c r="H363" s="6" t="n">
        <v>0.5</v>
      </c>
      <c r="I363" s="6"/>
    </row>
    <row r="364" customFormat="false" ht="15" hidden="false" customHeight="false" outlineLevel="0" collapsed="false">
      <c r="A364" s="6" t="s">
        <v>13032</v>
      </c>
      <c r="B364" s="6" t="s">
        <v>12873</v>
      </c>
      <c r="C364" s="6" t="s">
        <v>12874</v>
      </c>
      <c r="D364" s="6" t="s">
        <v>220</v>
      </c>
      <c r="E364" s="6" t="s">
        <v>13033</v>
      </c>
      <c r="F364" s="20" t="n">
        <f aca="false">SUM(Reconciliations!H261:H262)-Reconciliations!H263</f>
        <v>0</v>
      </c>
      <c r="G364" s="6" t="str">
        <f aca="false">IF(ABS(F364)&lt;=H364,"PASS","FAIL")</f>
        <v>PASS</v>
      </c>
      <c r="H364" s="6" t="n">
        <v>0.5</v>
      </c>
      <c r="I364" s="6"/>
    </row>
    <row r="365" customFormat="false" ht="15" hidden="false" customHeight="false" outlineLevel="0" collapsed="false">
      <c r="A365" s="6" t="s">
        <v>13034</v>
      </c>
      <c r="B365" s="6" t="s">
        <v>12873</v>
      </c>
      <c r="C365" s="6" t="s">
        <v>12877</v>
      </c>
      <c r="D365" s="6" t="s">
        <v>220</v>
      </c>
      <c r="E365" s="6" t="s">
        <v>13035</v>
      </c>
      <c r="F365" s="20" t="n">
        <f aca="false">SUM(Reconciliations!H264:H265)-Reconciliations!H266</f>
        <v>0</v>
      </c>
      <c r="G365" s="6" t="str">
        <f aca="false">IF(ABS(F365)&lt;=H365,"PASS","FAIL")</f>
        <v>PASS</v>
      </c>
      <c r="H365" s="6" t="n">
        <v>0.5</v>
      </c>
      <c r="I365" s="6"/>
    </row>
    <row r="366" customFormat="false" ht="15" hidden="false" customHeight="false" outlineLevel="0" collapsed="false">
      <c r="A366" s="6" t="s">
        <v>13036</v>
      </c>
      <c r="B366" s="6" t="s">
        <v>12873</v>
      </c>
      <c r="C366" s="6" t="s">
        <v>12880</v>
      </c>
      <c r="D366" s="6" t="s">
        <v>220</v>
      </c>
      <c r="E366" s="6" t="s">
        <v>13037</v>
      </c>
      <c r="F366" s="20" t="n">
        <f aca="false">SUM(Reconciliations!H267:H268)-Reconciliations!H269</f>
        <v>0</v>
      </c>
      <c r="G366" s="6" t="str">
        <f aca="false">IF(ABS(F366)&lt;=H366,"PASS","FAIL")</f>
        <v>PASS</v>
      </c>
      <c r="H366" s="6" t="n">
        <v>0.5</v>
      </c>
      <c r="I366" s="6"/>
    </row>
    <row r="367" customFormat="false" ht="15" hidden="false" customHeight="false" outlineLevel="0" collapsed="false">
      <c r="A367" s="6" t="s">
        <v>13038</v>
      </c>
      <c r="B367" s="6" t="s">
        <v>12873</v>
      </c>
      <c r="C367" s="6" t="s">
        <v>12883</v>
      </c>
      <c r="D367" s="6" t="s">
        <v>220</v>
      </c>
      <c r="E367" s="6" t="s">
        <v>13039</v>
      </c>
      <c r="F367" s="20" t="n">
        <f aca="false">SUM(Reconciliations!H270:H271)-Reconciliations!H272</f>
        <v>0</v>
      </c>
      <c r="G367" s="6" t="str">
        <f aca="false">IF(ABS(F367)&lt;=H367,"PASS","FAIL")</f>
        <v>PASS</v>
      </c>
      <c r="H367" s="6" t="n">
        <v>0.5</v>
      </c>
      <c r="I367" s="6"/>
    </row>
    <row r="368" customFormat="false" ht="15" hidden="false" customHeight="false" outlineLevel="0" collapsed="false">
      <c r="A368" s="6" t="s">
        <v>13040</v>
      </c>
      <c r="B368" s="6" t="s">
        <v>12873</v>
      </c>
      <c r="C368" s="6" t="s">
        <v>13023</v>
      </c>
      <c r="D368" s="6" t="s">
        <v>220</v>
      </c>
      <c r="E368" s="6" t="s">
        <v>13041</v>
      </c>
      <c r="F368" s="20" t="n">
        <f aca="false">SUM(Reconciliations!H273:H274)-Reconciliations!H275</f>
        <v>0</v>
      </c>
      <c r="G368" s="6" t="str">
        <f aca="false">IF(ABS(F368)&lt;=H368,"PASS","FAIL")</f>
        <v>PASS</v>
      </c>
      <c r="H368" s="6" t="n">
        <v>0.5</v>
      </c>
      <c r="I368" s="6"/>
    </row>
    <row r="369" customFormat="false" ht="15" hidden="false" customHeight="false" outlineLevel="0" collapsed="false">
      <c r="A369" s="6" t="s">
        <v>13042</v>
      </c>
      <c r="B369" s="6" t="s">
        <v>12873</v>
      </c>
      <c r="C369" s="6" t="s">
        <v>13007</v>
      </c>
      <c r="D369" s="6" t="s">
        <v>220</v>
      </c>
      <c r="E369" s="6" t="s">
        <v>13043</v>
      </c>
      <c r="F369" s="20" t="n">
        <f aca="false">SUM(Reconciliations!H276:H278)-Reconciliations!H279</f>
        <v>0</v>
      </c>
      <c r="G369" s="6" t="str">
        <f aca="false">IF(ABS(F369)&lt;=H369,"PASS","FAIL")</f>
        <v>PASS</v>
      </c>
      <c r="H369" s="6" t="n">
        <v>0.5</v>
      </c>
      <c r="I369" s="6"/>
    </row>
    <row r="370" customFormat="false" ht="15" hidden="false" customHeight="false" outlineLevel="0" collapsed="false">
      <c r="A370" s="6" t="s">
        <v>13044</v>
      </c>
      <c r="B370" s="6" t="s">
        <v>12873</v>
      </c>
      <c r="C370" s="6" t="s">
        <v>13028</v>
      </c>
      <c r="D370" s="6" t="s">
        <v>220</v>
      </c>
      <c r="E370" s="6" t="s">
        <v>13045</v>
      </c>
      <c r="F370" s="20" t="n">
        <f aca="false">SUM(Reconciliations!H280:H283)-Reconciliations!H284</f>
        <v>0</v>
      </c>
      <c r="G370" s="6" t="str">
        <f aca="false">IF(ABS(F370)&lt;=H370,"PASS","FAIL")</f>
        <v>PASS</v>
      </c>
      <c r="H370" s="6" t="n">
        <v>0.5</v>
      </c>
      <c r="I370" s="6"/>
    </row>
    <row r="371" customFormat="false" ht="15" hidden="false" customHeight="false" outlineLevel="0" collapsed="false">
      <c r="A371" s="6" t="s">
        <v>13046</v>
      </c>
      <c r="B371" s="6" t="s">
        <v>12873</v>
      </c>
      <c r="C371" s="6" t="s">
        <v>12913</v>
      </c>
      <c r="D371" s="6" t="s">
        <v>220</v>
      </c>
      <c r="E371" s="6" t="s">
        <v>13047</v>
      </c>
      <c r="F371" s="20" t="n">
        <f aca="false">SUM(Reconciliations!H285:H288)-Reconciliations!H289</f>
        <v>0</v>
      </c>
      <c r="G371" s="6" t="str">
        <f aca="false">IF(ABS(F371)&lt;=H371,"PASS","FAIL")</f>
        <v>PASS</v>
      </c>
      <c r="H371" s="6" t="n">
        <v>0.5</v>
      </c>
      <c r="I371" s="6"/>
    </row>
    <row r="372" customFormat="false" ht="15" hidden="false" customHeight="false" outlineLevel="0" collapsed="false">
      <c r="A372" s="6" t="s">
        <v>13048</v>
      </c>
      <c r="B372" s="6" t="s">
        <v>12873</v>
      </c>
      <c r="C372" s="6" t="s">
        <v>12874</v>
      </c>
      <c r="D372" s="6" t="s">
        <v>141</v>
      </c>
      <c r="E372" s="6" t="s">
        <v>13049</v>
      </c>
      <c r="F372" s="20" t="n">
        <f aca="false">SUM(Reconciliations!H290:H291)-Reconciliations!H292</f>
        <v>0</v>
      </c>
      <c r="G372" s="6" t="str">
        <f aca="false">IF(ABS(F372)&lt;=H372,"PASS","FAIL")</f>
        <v>PASS</v>
      </c>
      <c r="H372" s="6" t="n">
        <v>0.5</v>
      </c>
      <c r="I372" s="6"/>
    </row>
    <row r="373" customFormat="false" ht="15" hidden="false" customHeight="false" outlineLevel="0" collapsed="false">
      <c r="A373" s="6" t="s">
        <v>13050</v>
      </c>
      <c r="B373" s="6" t="s">
        <v>12873</v>
      </c>
      <c r="C373" s="6" t="s">
        <v>12877</v>
      </c>
      <c r="D373" s="6" t="s">
        <v>141</v>
      </c>
      <c r="E373" s="6" t="s">
        <v>13051</v>
      </c>
      <c r="F373" s="20" t="n">
        <f aca="false">SUM(Reconciliations!H293:H294)-Reconciliations!H295</f>
        <v>0</v>
      </c>
      <c r="G373" s="6" t="str">
        <f aca="false">IF(ABS(F373)&lt;=H373,"PASS","FAIL")</f>
        <v>PASS</v>
      </c>
      <c r="H373" s="6" t="n">
        <v>0.5</v>
      </c>
      <c r="I373" s="6"/>
    </row>
    <row r="374" customFormat="false" ht="15" hidden="false" customHeight="false" outlineLevel="0" collapsed="false">
      <c r="A374" s="6" t="s">
        <v>13052</v>
      </c>
      <c r="B374" s="6" t="s">
        <v>12873</v>
      </c>
      <c r="C374" s="6" t="s">
        <v>12880</v>
      </c>
      <c r="D374" s="6" t="s">
        <v>141</v>
      </c>
      <c r="E374" s="6" t="s">
        <v>13053</v>
      </c>
      <c r="F374" s="20" t="n">
        <f aca="false">SUM(Reconciliations!H296:H297)-Reconciliations!H298</f>
        <v>0</v>
      </c>
      <c r="G374" s="6" t="str">
        <f aca="false">IF(ABS(F374)&lt;=H374,"PASS","FAIL")</f>
        <v>PASS</v>
      </c>
      <c r="H374" s="6" t="n">
        <v>0.5</v>
      </c>
      <c r="I374" s="6"/>
    </row>
    <row r="375" customFormat="false" ht="15" hidden="false" customHeight="false" outlineLevel="0" collapsed="false">
      <c r="A375" s="6" t="s">
        <v>13054</v>
      </c>
      <c r="B375" s="6" t="s">
        <v>12873</v>
      </c>
      <c r="C375" s="6" t="s">
        <v>12883</v>
      </c>
      <c r="D375" s="6" t="s">
        <v>141</v>
      </c>
      <c r="E375" s="6" t="s">
        <v>13055</v>
      </c>
      <c r="F375" s="20" t="n">
        <f aca="false">SUM(Reconciliations!H299:H300)-Reconciliations!H301</f>
        <v>0</v>
      </c>
      <c r="G375" s="6" t="str">
        <f aca="false">IF(ABS(F375)&lt;=H375,"PASS","FAIL")</f>
        <v>PASS</v>
      </c>
      <c r="H375" s="6" t="n">
        <v>0.5</v>
      </c>
      <c r="I375" s="6"/>
    </row>
    <row r="376" customFormat="false" ht="15" hidden="false" customHeight="false" outlineLevel="0" collapsed="false">
      <c r="A376" s="6" t="s">
        <v>13056</v>
      </c>
      <c r="B376" s="6" t="s">
        <v>12873</v>
      </c>
      <c r="C376" s="6" t="s">
        <v>12886</v>
      </c>
      <c r="D376" s="6" t="s">
        <v>141</v>
      </c>
      <c r="E376" s="6" t="s">
        <v>13057</v>
      </c>
      <c r="F376" s="20" t="n">
        <f aca="false">SUM(Reconciliations!H302:H303)-Reconciliations!H304</f>
        <v>0</v>
      </c>
      <c r="G376" s="6" t="str">
        <f aca="false">IF(ABS(F376)&lt;=H376,"PASS","FAIL")</f>
        <v>PASS</v>
      </c>
      <c r="H376" s="6" t="n">
        <v>0.5</v>
      </c>
      <c r="I376" s="6"/>
    </row>
    <row r="377" customFormat="false" ht="15" hidden="false" customHeight="false" outlineLevel="0" collapsed="false">
      <c r="A377" s="6" t="s">
        <v>13058</v>
      </c>
      <c r="B377" s="6" t="s">
        <v>12873</v>
      </c>
      <c r="C377" s="6" t="s">
        <v>13007</v>
      </c>
      <c r="D377" s="6" t="s">
        <v>141</v>
      </c>
      <c r="E377" s="6" t="s">
        <v>13059</v>
      </c>
      <c r="F377" s="20" t="n">
        <f aca="false">SUM(Reconciliations!H305:H307)-Reconciliations!H308</f>
        <v>0</v>
      </c>
      <c r="G377" s="6" t="str">
        <f aca="false">IF(ABS(F377)&lt;=H377,"PASS","FAIL")</f>
        <v>PASS</v>
      </c>
      <c r="H377" s="6" t="n">
        <v>0.5</v>
      </c>
      <c r="I377" s="6"/>
    </row>
    <row r="378" customFormat="false" ht="15" hidden="false" customHeight="false" outlineLevel="0" collapsed="false">
      <c r="A378" s="6" t="s">
        <v>13060</v>
      </c>
      <c r="B378" s="6" t="s">
        <v>12873</v>
      </c>
      <c r="C378" s="6" t="s">
        <v>13061</v>
      </c>
      <c r="D378" s="6" t="s">
        <v>141</v>
      </c>
      <c r="E378" s="6" t="s">
        <v>13062</v>
      </c>
      <c r="F378" s="20" t="n">
        <f aca="false">SUM(Reconciliations!H309:H311)-Reconciliations!H312</f>
        <v>0</v>
      </c>
      <c r="G378" s="6" t="str">
        <f aca="false">IF(ABS(F378)&lt;=H378,"PASS","FAIL")</f>
        <v>PASS</v>
      </c>
      <c r="H378" s="6" t="n">
        <v>0.5</v>
      </c>
      <c r="I378" s="6"/>
    </row>
    <row r="379" customFormat="false" ht="15" hidden="false" customHeight="false" outlineLevel="0" collapsed="false">
      <c r="A379" s="6" t="s">
        <v>13063</v>
      </c>
      <c r="B379" s="6" t="s">
        <v>12873</v>
      </c>
      <c r="C379" s="6" t="s">
        <v>12874</v>
      </c>
      <c r="D379" s="6" t="s">
        <v>146</v>
      </c>
      <c r="E379" s="6" t="s">
        <v>13064</v>
      </c>
      <c r="F379" s="20" t="n">
        <f aca="false">SUM(Reconciliations!H313:H314)-Reconciliations!H315</f>
        <v>0</v>
      </c>
      <c r="G379" s="6" t="str">
        <f aca="false">IF(ABS(F379)&lt;=H379,"PASS","FAIL")</f>
        <v>PASS</v>
      </c>
      <c r="H379" s="6" t="n">
        <v>0.5</v>
      </c>
      <c r="I379" s="6"/>
    </row>
    <row r="380" customFormat="false" ht="15" hidden="false" customHeight="false" outlineLevel="0" collapsed="false">
      <c r="A380" s="6" t="s">
        <v>13065</v>
      </c>
      <c r="B380" s="6" t="s">
        <v>12873</v>
      </c>
      <c r="C380" s="6" t="s">
        <v>12877</v>
      </c>
      <c r="D380" s="6" t="s">
        <v>146</v>
      </c>
      <c r="E380" s="6" t="s">
        <v>13066</v>
      </c>
      <c r="F380" s="20" t="n">
        <f aca="false">SUM(Reconciliations!H316:H317)-Reconciliations!H318</f>
        <v>0</v>
      </c>
      <c r="G380" s="6" t="str">
        <f aca="false">IF(ABS(F380)&lt;=H380,"PASS","FAIL")</f>
        <v>PASS</v>
      </c>
      <c r="H380" s="6" t="n">
        <v>0.5</v>
      </c>
      <c r="I380" s="6"/>
    </row>
    <row r="381" customFormat="false" ht="15" hidden="false" customHeight="false" outlineLevel="0" collapsed="false">
      <c r="A381" s="6" t="s">
        <v>13067</v>
      </c>
      <c r="B381" s="6" t="s">
        <v>12873</v>
      </c>
      <c r="C381" s="6" t="s">
        <v>12880</v>
      </c>
      <c r="D381" s="6" t="s">
        <v>146</v>
      </c>
      <c r="E381" s="6" t="s">
        <v>13068</v>
      </c>
      <c r="F381" s="20" t="n">
        <f aca="false">SUM(Reconciliations!H319:H320)-Reconciliations!H321</f>
        <v>0</v>
      </c>
      <c r="G381" s="6" t="str">
        <f aca="false">IF(ABS(F381)&lt;=H381,"PASS","FAIL")</f>
        <v>PASS</v>
      </c>
      <c r="H381" s="6" t="n">
        <v>0.5</v>
      </c>
      <c r="I381" s="6"/>
    </row>
    <row r="382" customFormat="false" ht="15" hidden="false" customHeight="false" outlineLevel="0" collapsed="false">
      <c r="A382" s="6" t="s">
        <v>13069</v>
      </c>
      <c r="B382" s="6" t="s">
        <v>12873</v>
      </c>
      <c r="C382" s="6" t="s">
        <v>12883</v>
      </c>
      <c r="D382" s="6" t="s">
        <v>146</v>
      </c>
      <c r="E382" s="6" t="s">
        <v>13070</v>
      </c>
      <c r="F382" s="20" t="n">
        <f aca="false">SUM(Reconciliations!H322:H323)-Reconciliations!H324</f>
        <v>0</v>
      </c>
      <c r="G382" s="6" t="str">
        <f aca="false">IF(ABS(F382)&lt;=H382,"PASS","FAIL")</f>
        <v>PASS</v>
      </c>
      <c r="H382" s="6" t="n">
        <v>0.5</v>
      </c>
      <c r="I382" s="6"/>
    </row>
    <row r="383" customFormat="false" ht="15" hidden="false" customHeight="false" outlineLevel="0" collapsed="false">
      <c r="A383" s="6" t="s">
        <v>13071</v>
      </c>
      <c r="B383" s="6" t="s">
        <v>12873</v>
      </c>
      <c r="C383" s="6" t="s">
        <v>13023</v>
      </c>
      <c r="D383" s="6" t="s">
        <v>146</v>
      </c>
      <c r="E383" s="6" t="s">
        <v>13072</v>
      </c>
      <c r="F383" s="20" t="n">
        <f aca="false">SUM(Reconciliations!H325:H326)-Reconciliations!H327</f>
        <v>0</v>
      </c>
      <c r="G383" s="6" t="str">
        <f aca="false">IF(ABS(F383)&lt;=H383,"PASS","FAIL")</f>
        <v>PASS</v>
      </c>
      <c r="H383" s="6" t="n">
        <v>0.5</v>
      </c>
      <c r="I383" s="6"/>
    </row>
    <row r="384" customFormat="false" ht="15" hidden="false" customHeight="false" outlineLevel="0" collapsed="false">
      <c r="A384" s="6" t="s">
        <v>13073</v>
      </c>
      <c r="B384" s="6" t="s">
        <v>12873</v>
      </c>
      <c r="C384" s="6" t="s">
        <v>13007</v>
      </c>
      <c r="D384" s="6" t="s">
        <v>146</v>
      </c>
      <c r="E384" s="6" t="s">
        <v>13074</v>
      </c>
      <c r="F384" s="20" t="n">
        <f aca="false">SUM(Reconciliations!H328:H330)-Reconciliations!H331</f>
        <v>0</v>
      </c>
      <c r="G384" s="6" t="str">
        <f aca="false">IF(ABS(F384)&lt;=H384,"PASS","FAIL")</f>
        <v>PASS</v>
      </c>
      <c r="H384" s="6" t="n">
        <v>0.5</v>
      </c>
      <c r="I384" s="6"/>
    </row>
    <row r="385" customFormat="false" ht="15" hidden="false" customHeight="false" outlineLevel="0" collapsed="false">
      <c r="A385" s="6" t="s">
        <v>13075</v>
      </c>
      <c r="B385" s="6" t="s">
        <v>12873</v>
      </c>
      <c r="C385" s="6" t="s">
        <v>13061</v>
      </c>
      <c r="D385" s="6" t="s">
        <v>146</v>
      </c>
      <c r="E385" s="6" t="s">
        <v>13076</v>
      </c>
      <c r="F385" s="20" t="n">
        <f aca="false">SUM(Reconciliations!H332:H334)-Reconciliations!H335</f>
        <v>0</v>
      </c>
      <c r="G385" s="6" t="str">
        <f aca="false">IF(ABS(F385)&lt;=H385,"PASS","FAIL")</f>
        <v>PASS</v>
      </c>
      <c r="H385" s="6" t="n">
        <v>0.5</v>
      </c>
      <c r="I385" s="6"/>
    </row>
    <row r="386" customFormat="false" ht="15" hidden="false" customHeight="false" outlineLevel="0" collapsed="false">
      <c r="A386" s="6" t="s">
        <v>13077</v>
      </c>
      <c r="B386" s="6" t="s">
        <v>12873</v>
      </c>
      <c r="C386" s="6" t="s">
        <v>12874</v>
      </c>
      <c r="D386" s="6" t="s">
        <v>151</v>
      </c>
      <c r="E386" s="6" t="s">
        <v>13078</v>
      </c>
      <c r="F386" s="20" t="n">
        <f aca="false">SUM(Reconciliations!H336:H337)-Reconciliations!H338</f>
        <v>0</v>
      </c>
      <c r="G386" s="6" t="str">
        <f aca="false">IF(ABS(F386)&lt;=H386,"PASS","FAIL")</f>
        <v>PASS</v>
      </c>
      <c r="H386" s="6" t="n">
        <v>0.5</v>
      </c>
      <c r="I386" s="6"/>
    </row>
    <row r="387" customFormat="false" ht="15" hidden="false" customHeight="false" outlineLevel="0" collapsed="false">
      <c r="A387" s="6" t="s">
        <v>13079</v>
      </c>
      <c r="B387" s="6" t="s">
        <v>12873</v>
      </c>
      <c r="C387" s="6" t="s">
        <v>12877</v>
      </c>
      <c r="D387" s="6" t="s">
        <v>151</v>
      </c>
      <c r="E387" s="6" t="s">
        <v>13080</v>
      </c>
      <c r="F387" s="20" t="n">
        <f aca="false">SUM(Reconciliations!H339:H340)-Reconciliations!H341</f>
        <v>0</v>
      </c>
      <c r="G387" s="6" t="str">
        <f aca="false">IF(ABS(F387)&lt;=H387,"PASS","FAIL")</f>
        <v>PASS</v>
      </c>
      <c r="H387" s="6" t="n">
        <v>0.5</v>
      </c>
      <c r="I387" s="6"/>
    </row>
    <row r="388" customFormat="false" ht="15" hidden="false" customHeight="false" outlineLevel="0" collapsed="false">
      <c r="A388" s="6" t="s">
        <v>13081</v>
      </c>
      <c r="B388" s="6" t="s">
        <v>12873</v>
      </c>
      <c r="C388" s="6" t="s">
        <v>12880</v>
      </c>
      <c r="D388" s="6" t="s">
        <v>151</v>
      </c>
      <c r="E388" s="6" t="s">
        <v>13082</v>
      </c>
      <c r="F388" s="20" t="n">
        <f aca="false">SUM(Reconciliations!H342:H343)-Reconciliations!H344</f>
        <v>0</v>
      </c>
      <c r="G388" s="6" t="str">
        <f aca="false">IF(ABS(F388)&lt;=H388,"PASS","FAIL")</f>
        <v>PASS</v>
      </c>
      <c r="H388" s="6" t="n">
        <v>0.5</v>
      </c>
      <c r="I388" s="6"/>
    </row>
    <row r="389" customFormat="false" ht="15" hidden="false" customHeight="false" outlineLevel="0" collapsed="false">
      <c r="A389" s="6" t="s">
        <v>13083</v>
      </c>
      <c r="B389" s="6" t="s">
        <v>12873</v>
      </c>
      <c r="C389" s="6" t="s">
        <v>12883</v>
      </c>
      <c r="D389" s="6" t="s">
        <v>151</v>
      </c>
      <c r="E389" s="6" t="s">
        <v>13084</v>
      </c>
      <c r="F389" s="20" t="n">
        <f aca="false">SUM(Reconciliations!H345:H346)-Reconciliations!H347</f>
        <v>0</v>
      </c>
      <c r="G389" s="6" t="str">
        <f aca="false">IF(ABS(F389)&lt;=H389,"PASS","FAIL")</f>
        <v>PASS</v>
      </c>
      <c r="H389" s="6" t="n">
        <v>0.5</v>
      </c>
      <c r="I389" s="6"/>
    </row>
    <row r="390" customFormat="false" ht="15" hidden="false" customHeight="false" outlineLevel="0" collapsed="false">
      <c r="A390" s="6" t="s">
        <v>13085</v>
      </c>
      <c r="B390" s="6" t="s">
        <v>12873</v>
      </c>
      <c r="C390" s="6" t="s">
        <v>13023</v>
      </c>
      <c r="D390" s="6" t="s">
        <v>151</v>
      </c>
      <c r="E390" s="6" t="s">
        <v>13086</v>
      </c>
      <c r="F390" s="20" t="n">
        <f aca="false">SUM(Reconciliations!H348:H349)-Reconciliations!H350</f>
        <v>0</v>
      </c>
      <c r="G390" s="6" t="str">
        <f aca="false">IF(ABS(F390)&lt;=H390,"PASS","FAIL")</f>
        <v>PASS</v>
      </c>
      <c r="H390" s="6" t="n">
        <v>0.5</v>
      </c>
      <c r="I390" s="6"/>
    </row>
    <row r="391" customFormat="false" ht="15" hidden="false" customHeight="false" outlineLevel="0" collapsed="false">
      <c r="A391" s="6" t="s">
        <v>13087</v>
      </c>
      <c r="B391" s="6" t="s">
        <v>12873</v>
      </c>
      <c r="C391" s="6" t="s">
        <v>13088</v>
      </c>
      <c r="D391" s="6" t="s">
        <v>151</v>
      </c>
      <c r="E391" s="6" t="s">
        <v>13089</v>
      </c>
      <c r="F391" s="20" t="n">
        <f aca="false">SUM(Reconciliations!H351:H353)-Reconciliations!H354</f>
        <v>0</v>
      </c>
      <c r="G391" s="6" t="str">
        <f aca="false">IF(ABS(F391)&lt;=H391,"PASS","FAIL")</f>
        <v>PASS</v>
      </c>
      <c r="H391" s="6" t="n">
        <v>0.5</v>
      </c>
      <c r="I391" s="6"/>
    </row>
    <row r="392" customFormat="false" ht="15" hidden="false" customHeight="false" outlineLevel="0" collapsed="false">
      <c r="A392" s="6" t="s">
        <v>13090</v>
      </c>
      <c r="B392" s="6" t="s">
        <v>12873</v>
      </c>
      <c r="C392" s="6" t="s">
        <v>13061</v>
      </c>
      <c r="D392" s="6" t="s">
        <v>151</v>
      </c>
      <c r="E392" s="6" t="s">
        <v>13091</v>
      </c>
      <c r="F392" s="20" t="n">
        <f aca="false">SUM(Reconciliations!H355:H357)-Reconciliations!H358</f>
        <v>0</v>
      </c>
      <c r="G392" s="6" t="str">
        <f aca="false">IF(ABS(F392)&lt;=H392,"PASS","FAIL")</f>
        <v>PASS</v>
      </c>
      <c r="H392" s="6" t="n">
        <v>0.5</v>
      </c>
      <c r="I392" s="6"/>
    </row>
    <row r="393" customFormat="false" ht="15" hidden="false" customHeight="false" outlineLevel="0" collapsed="false">
      <c r="A393" s="6" t="s">
        <v>13092</v>
      </c>
      <c r="B393" s="6" t="s">
        <v>12873</v>
      </c>
      <c r="C393" s="6" t="s">
        <v>12874</v>
      </c>
      <c r="D393" s="6" t="s">
        <v>156</v>
      </c>
      <c r="E393" s="6" t="s">
        <v>13093</v>
      </c>
      <c r="F393" s="20" t="n">
        <f aca="false">SUM(Reconciliations!H359:H360)-Reconciliations!H361</f>
        <v>0</v>
      </c>
      <c r="G393" s="6" t="str">
        <f aca="false">IF(ABS(F393)&lt;=H393,"PASS","FAIL")</f>
        <v>PASS</v>
      </c>
      <c r="H393" s="6" t="n">
        <v>0.5</v>
      </c>
      <c r="I393" s="6"/>
    </row>
    <row r="394" customFormat="false" ht="15" hidden="false" customHeight="false" outlineLevel="0" collapsed="false">
      <c r="A394" s="6" t="s">
        <v>13094</v>
      </c>
      <c r="B394" s="6" t="s">
        <v>12873</v>
      </c>
      <c r="C394" s="6" t="s">
        <v>12877</v>
      </c>
      <c r="D394" s="6" t="s">
        <v>156</v>
      </c>
      <c r="E394" s="6" t="s">
        <v>13095</v>
      </c>
      <c r="F394" s="20" t="n">
        <f aca="false">SUM(Reconciliations!H362:H363)-Reconciliations!H364</f>
        <v>0</v>
      </c>
      <c r="G394" s="6" t="str">
        <f aca="false">IF(ABS(F394)&lt;=H394,"PASS","FAIL")</f>
        <v>PASS</v>
      </c>
      <c r="H394" s="6" t="n">
        <v>0.5</v>
      </c>
      <c r="I394" s="6"/>
    </row>
    <row r="395" customFormat="false" ht="15" hidden="false" customHeight="false" outlineLevel="0" collapsed="false">
      <c r="A395" s="6" t="s">
        <v>13096</v>
      </c>
      <c r="B395" s="6" t="s">
        <v>12873</v>
      </c>
      <c r="C395" s="6" t="s">
        <v>12880</v>
      </c>
      <c r="D395" s="6" t="s">
        <v>156</v>
      </c>
      <c r="E395" s="6" t="s">
        <v>13097</v>
      </c>
      <c r="F395" s="20" t="n">
        <f aca="false">SUM(Reconciliations!H365:H366)-Reconciliations!H367</f>
        <v>0</v>
      </c>
      <c r="G395" s="6" t="str">
        <f aca="false">IF(ABS(F395)&lt;=H395,"PASS","FAIL")</f>
        <v>PASS</v>
      </c>
      <c r="H395" s="6" t="n">
        <v>0.5</v>
      </c>
      <c r="I395" s="6"/>
    </row>
    <row r="396" customFormat="false" ht="15" hidden="false" customHeight="false" outlineLevel="0" collapsed="false">
      <c r="A396" s="6" t="s">
        <v>13098</v>
      </c>
      <c r="B396" s="6" t="s">
        <v>12873</v>
      </c>
      <c r="C396" s="6" t="s">
        <v>12883</v>
      </c>
      <c r="D396" s="6" t="s">
        <v>156</v>
      </c>
      <c r="E396" s="6" t="s">
        <v>13099</v>
      </c>
      <c r="F396" s="20" t="n">
        <f aca="false">SUM(Reconciliations!H368:H369)-Reconciliations!H370</f>
        <v>0</v>
      </c>
      <c r="G396" s="6" t="str">
        <f aca="false">IF(ABS(F396)&lt;=H396,"PASS","FAIL")</f>
        <v>PASS</v>
      </c>
      <c r="H396" s="6" t="n">
        <v>0.5</v>
      </c>
      <c r="I396" s="6"/>
    </row>
    <row r="397" customFormat="false" ht="15" hidden="false" customHeight="false" outlineLevel="0" collapsed="false">
      <c r="A397" s="6" t="s">
        <v>13100</v>
      </c>
      <c r="B397" s="6" t="s">
        <v>12873</v>
      </c>
      <c r="C397" s="6" t="s">
        <v>13023</v>
      </c>
      <c r="D397" s="6" t="s">
        <v>156</v>
      </c>
      <c r="E397" s="6" t="s">
        <v>13101</v>
      </c>
      <c r="F397" s="20" t="n">
        <f aca="false">SUM(Reconciliations!H371:H372)-Reconciliations!H373</f>
        <v>0</v>
      </c>
      <c r="G397" s="6" t="str">
        <f aca="false">IF(ABS(F397)&lt;=H397,"PASS","FAIL")</f>
        <v>PASS</v>
      </c>
      <c r="H397" s="6" t="n">
        <v>0.5</v>
      </c>
      <c r="I397" s="6"/>
    </row>
    <row r="398" customFormat="false" ht="15" hidden="false" customHeight="false" outlineLevel="0" collapsed="false">
      <c r="A398" s="6" t="s">
        <v>13102</v>
      </c>
      <c r="B398" s="6" t="s">
        <v>12873</v>
      </c>
      <c r="C398" s="6" t="s">
        <v>13088</v>
      </c>
      <c r="D398" s="6" t="s">
        <v>156</v>
      </c>
      <c r="E398" s="6" t="s">
        <v>13103</v>
      </c>
      <c r="F398" s="20" t="n">
        <f aca="false">SUM(Reconciliations!H374:H376)-Reconciliations!H377</f>
        <v>0</v>
      </c>
      <c r="G398" s="6" t="str">
        <f aca="false">IF(ABS(F398)&lt;=H398,"PASS","FAIL")</f>
        <v>PASS</v>
      </c>
      <c r="H398" s="6" t="n">
        <v>0.5</v>
      </c>
      <c r="I398" s="6"/>
    </row>
    <row r="399" customFormat="false" ht="15" hidden="false" customHeight="false" outlineLevel="0" collapsed="false">
      <c r="A399" s="6" t="s">
        <v>13104</v>
      </c>
      <c r="B399" s="6" t="s">
        <v>12873</v>
      </c>
      <c r="C399" s="6" t="s">
        <v>13105</v>
      </c>
      <c r="D399" s="6" t="s">
        <v>156</v>
      </c>
      <c r="E399" s="6" t="s">
        <v>13106</v>
      </c>
      <c r="F399" s="20" t="n">
        <f aca="false">SUM(Reconciliations!H378:H380)-Reconciliations!H381</f>
        <v>0</v>
      </c>
      <c r="G399" s="6" t="str">
        <f aca="false">IF(ABS(F399)&lt;=H399,"PASS","FAIL")</f>
        <v>PASS</v>
      </c>
      <c r="H399" s="6" t="n">
        <v>0.5</v>
      </c>
      <c r="I399" s="6"/>
    </row>
    <row r="400" customFormat="false" ht="15" hidden="false" customHeight="false" outlineLevel="0" collapsed="false">
      <c r="A400" s="6" t="s">
        <v>13107</v>
      </c>
      <c r="B400" s="6" t="s">
        <v>12873</v>
      </c>
      <c r="C400" s="6" t="s">
        <v>12874</v>
      </c>
      <c r="D400" s="6" t="s">
        <v>225</v>
      </c>
      <c r="E400" s="6" t="s">
        <v>13108</v>
      </c>
      <c r="F400" s="20" t="n">
        <f aca="false">SUM(Reconciliations!H382:H383)-Reconciliations!H384</f>
        <v>0</v>
      </c>
      <c r="G400" s="6" t="str">
        <f aca="false">IF(ABS(F400)&lt;=H400,"PASS","FAIL")</f>
        <v>PASS</v>
      </c>
      <c r="H400" s="6" t="n">
        <v>0.5</v>
      </c>
      <c r="I400" s="6"/>
    </row>
    <row r="401" customFormat="false" ht="15" hidden="false" customHeight="false" outlineLevel="0" collapsed="false">
      <c r="A401" s="6" t="s">
        <v>13109</v>
      </c>
      <c r="B401" s="6" t="s">
        <v>12873</v>
      </c>
      <c r="C401" s="6" t="s">
        <v>12877</v>
      </c>
      <c r="D401" s="6" t="s">
        <v>225</v>
      </c>
      <c r="E401" s="6" t="s">
        <v>13110</v>
      </c>
      <c r="F401" s="20" t="n">
        <f aca="false">SUM(Reconciliations!H385:H386)-Reconciliations!H387</f>
        <v>0</v>
      </c>
      <c r="G401" s="6" t="str">
        <f aca="false">IF(ABS(F401)&lt;=H401,"PASS","FAIL")</f>
        <v>PASS</v>
      </c>
      <c r="H401" s="6" t="n">
        <v>0.5</v>
      </c>
      <c r="I401" s="6"/>
    </row>
    <row r="402" customFormat="false" ht="15" hidden="false" customHeight="false" outlineLevel="0" collapsed="false">
      <c r="A402" s="6" t="s">
        <v>13111</v>
      </c>
      <c r="B402" s="6" t="s">
        <v>12873</v>
      </c>
      <c r="C402" s="6" t="s">
        <v>12880</v>
      </c>
      <c r="D402" s="6" t="s">
        <v>225</v>
      </c>
      <c r="E402" s="6" t="s">
        <v>13112</v>
      </c>
      <c r="F402" s="20" t="n">
        <f aca="false">SUM(Reconciliations!H388:H389)-Reconciliations!H390</f>
        <v>0</v>
      </c>
      <c r="G402" s="6" t="str">
        <f aca="false">IF(ABS(F402)&lt;=H402,"PASS","FAIL")</f>
        <v>PASS</v>
      </c>
      <c r="H402" s="6" t="n">
        <v>0.5</v>
      </c>
      <c r="I402" s="6"/>
    </row>
    <row r="403" customFormat="false" ht="15" hidden="false" customHeight="false" outlineLevel="0" collapsed="false">
      <c r="A403" s="6" t="s">
        <v>13113</v>
      </c>
      <c r="B403" s="6" t="s">
        <v>12873</v>
      </c>
      <c r="C403" s="6" t="s">
        <v>12883</v>
      </c>
      <c r="D403" s="6" t="s">
        <v>225</v>
      </c>
      <c r="E403" s="6" t="s">
        <v>13114</v>
      </c>
      <c r="F403" s="20" t="n">
        <f aca="false">SUM(Reconciliations!H391:H392)-Reconciliations!H393</f>
        <v>0</v>
      </c>
      <c r="G403" s="6" t="str">
        <f aca="false">IF(ABS(F403)&lt;=H403,"PASS","FAIL")</f>
        <v>PASS</v>
      </c>
      <c r="H403" s="6" t="n">
        <v>0.5</v>
      </c>
      <c r="I403" s="6"/>
    </row>
    <row r="404" customFormat="false" ht="15" hidden="false" customHeight="false" outlineLevel="0" collapsed="false">
      <c r="A404" s="6" t="s">
        <v>13115</v>
      </c>
      <c r="B404" s="6" t="s">
        <v>12873</v>
      </c>
      <c r="C404" s="6" t="s">
        <v>13023</v>
      </c>
      <c r="D404" s="6" t="s">
        <v>225</v>
      </c>
      <c r="E404" s="6" t="s">
        <v>13116</v>
      </c>
      <c r="F404" s="20" t="n">
        <f aca="false">SUM(Reconciliations!H394:H395)-Reconciliations!H396</f>
        <v>0</v>
      </c>
      <c r="G404" s="6" t="str">
        <f aca="false">IF(ABS(F404)&lt;=H404,"PASS","FAIL")</f>
        <v>PASS</v>
      </c>
      <c r="H404" s="6" t="n">
        <v>0.5</v>
      </c>
      <c r="I404" s="6"/>
    </row>
    <row r="405" customFormat="false" ht="15" hidden="false" customHeight="false" outlineLevel="0" collapsed="false">
      <c r="A405" s="6" t="s">
        <v>13117</v>
      </c>
      <c r="B405" s="6" t="s">
        <v>12873</v>
      </c>
      <c r="C405" s="6" t="s">
        <v>13088</v>
      </c>
      <c r="D405" s="6" t="s">
        <v>225</v>
      </c>
      <c r="E405" s="6" t="s">
        <v>13118</v>
      </c>
      <c r="F405" s="20" t="n">
        <f aca="false">SUM(Reconciliations!H397:H399)-Reconciliations!H400</f>
        <v>0</v>
      </c>
      <c r="G405" s="6" t="str">
        <f aca="false">IF(ABS(F405)&lt;=H405,"PASS","FAIL")</f>
        <v>PASS</v>
      </c>
      <c r="H405" s="6" t="n">
        <v>0.5</v>
      </c>
      <c r="I405" s="6"/>
    </row>
    <row r="406" customFormat="false" ht="15" hidden="false" customHeight="false" outlineLevel="0" collapsed="false">
      <c r="A406" s="6" t="s">
        <v>13119</v>
      </c>
      <c r="B406" s="6" t="s">
        <v>12873</v>
      </c>
      <c r="C406" s="6" t="s">
        <v>13105</v>
      </c>
      <c r="D406" s="6" t="s">
        <v>225</v>
      </c>
      <c r="E406" s="6" t="s">
        <v>13120</v>
      </c>
      <c r="F406" s="20" t="n">
        <f aca="false">SUM(Reconciliations!H401:H403)-Reconciliations!H404</f>
        <v>0</v>
      </c>
      <c r="G406" s="6" t="str">
        <f aca="false">IF(ABS(F406)&lt;=H406,"PASS","FAIL")</f>
        <v>PASS</v>
      </c>
      <c r="H406" s="6" t="n">
        <v>0.5</v>
      </c>
      <c r="I406" s="6"/>
    </row>
    <row r="407" customFormat="false" ht="15" hidden="false" customHeight="false" outlineLevel="0" collapsed="false">
      <c r="A407" s="6" t="s">
        <v>13121</v>
      </c>
      <c r="B407" s="6" t="s">
        <v>12873</v>
      </c>
      <c r="C407" s="6" t="s">
        <v>12874</v>
      </c>
      <c r="D407" s="6" t="s">
        <v>161</v>
      </c>
      <c r="E407" s="6" t="s">
        <v>13122</v>
      </c>
      <c r="F407" s="20" t="n">
        <f aca="false">SUM(Reconciliations!H405:H406)-Reconciliations!H407</f>
        <v>0</v>
      </c>
      <c r="G407" s="6" t="str">
        <f aca="false">IF(ABS(F407)&lt;=H407,"PASS","FAIL")</f>
        <v>PASS</v>
      </c>
      <c r="H407" s="6" t="n">
        <v>0.5</v>
      </c>
      <c r="I407" s="6"/>
    </row>
    <row r="408" customFormat="false" ht="15" hidden="false" customHeight="false" outlineLevel="0" collapsed="false">
      <c r="A408" s="6" t="s">
        <v>13123</v>
      </c>
      <c r="B408" s="6" t="s">
        <v>12873</v>
      </c>
      <c r="C408" s="6" t="s">
        <v>12877</v>
      </c>
      <c r="D408" s="6" t="s">
        <v>161</v>
      </c>
      <c r="E408" s="6" t="s">
        <v>13124</v>
      </c>
      <c r="F408" s="20" t="n">
        <f aca="false">SUM(Reconciliations!H408:H409)-Reconciliations!H410</f>
        <v>0</v>
      </c>
      <c r="G408" s="6" t="str">
        <f aca="false">IF(ABS(F408)&lt;=H408,"PASS","FAIL")</f>
        <v>PASS</v>
      </c>
      <c r="H408" s="6" t="n">
        <v>0.5</v>
      </c>
      <c r="I408" s="6"/>
    </row>
    <row r="409" customFormat="false" ht="15" hidden="false" customHeight="false" outlineLevel="0" collapsed="false">
      <c r="A409" s="6" t="s">
        <v>13125</v>
      </c>
      <c r="B409" s="6" t="s">
        <v>12873</v>
      </c>
      <c r="C409" s="6" t="s">
        <v>12880</v>
      </c>
      <c r="D409" s="6" t="s">
        <v>161</v>
      </c>
      <c r="E409" s="6" t="s">
        <v>13126</v>
      </c>
      <c r="F409" s="20" t="n">
        <f aca="false">SUM(Reconciliations!H411:H412)-Reconciliations!H413</f>
        <v>0</v>
      </c>
      <c r="G409" s="6" t="str">
        <f aca="false">IF(ABS(F409)&lt;=H409,"PASS","FAIL")</f>
        <v>PASS</v>
      </c>
      <c r="H409" s="6" t="n">
        <v>0.5</v>
      </c>
      <c r="I409" s="6"/>
    </row>
    <row r="410" customFormat="false" ht="15" hidden="false" customHeight="false" outlineLevel="0" collapsed="false">
      <c r="A410" s="6" t="s">
        <v>13127</v>
      </c>
      <c r="B410" s="6" t="s">
        <v>12873</v>
      </c>
      <c r="C410" s="6" t="s">
        <v>12883</v>
      </c>
      <c r="D410" s="6" t="s">
        <v>161</v>
      </c>
      <c r="E410" s="6" t="s">
        <v>13128</v>
      </c>
      <c r="F410" s="20" t="n">
        <f aca="false">SUM(Reconciliations!H414:H415)-Reconciliations!H416</f>
        <v>0</v>
      </c>
      <c r="G410" s="6" t="str">
        <f aca="false">IF(ABS(F410)&lt;=H410,"PASS","FAIL")</f>
        <v>PASS</v>
      </c>
      <c r="H410" s="6" t="n">
        <v>0.5</v>
      </c>
      <c r="I410" s="6"/>
    </row>
    <row r="411" customFormat="false" ht="15" hidden="false" customHeight="false" outlineLevel="0" collapsed="false">
      <c r="A411" s="6" t="s">
        <v>13129</v>
      </c>
      <c r="B411" s="6" t="s">
        <v>12873</v>
      </c>
      <c r="C411" s="6" t="s">
        <v>13023</v>
      </c>
      <c r="D411" s="6" t="s">
        <v>161</v>
      </c>
      <c r="E411" s="6" t="s">
        <v>13130</v>
      </c>
      <c r="F411" s="20" t="n">
        <f aca="false">SUM(Reconciliations!H417:H418)-Reconciliations!H419</f>
        <v>0</v>
      </c>
      <c r="G411" s="6" t="str">
        <f aca="false">IF(ABS(F411)&lt;=H411,"PASS","FAIL")</f>
        <v>PASS</v>
      </c>
      <c r="H411" s="6" t="n">
        <v>0.5</v>
      </c>
      <c r="I411" s="6"/>
    </row>
    <row r="412" customFormat="false" ht="15" hidden="false" customHeight="false" outlineLevel="0" collapsed="false">
      <c r="A412" s="6" t="s">
        <v>13131</v>
      </c>
      <c r="B412" s="6" t="s">
        <v>12873</v>
      </c>
      <c r="C412" s="6" t="s">
        <v>13132</v>
      </c>
      <c r="D412" s="6" t="s">
        <v>161</v>
      </c>
      <c r="E412" s="6" t="s">
        <v>13133</v>
      </c>
      <c r="F412" s="20" t="n">
        <f aca="false">SUM(Reconciliations!H420:H422)-Reconciliations!H423</f>
        <v>0</v>
      </c>
      <c r="G412" s="6" t="str">
        <f aca="false">IF(ABS(F412)&lt;=H412,"PASS","FAIL")</f>
        <v>PASS</v>
      </c>
      <c r="H412" s="6" t="n">
        <v>0.5</v>
      </c>
      <c r="I412" s="6"/>
    </row>
    <row r="413" customFormat="false" ht="15" hidden="false" customHeight="false" outlineLevel="0" collapsed="false">
      <c r="A413" s="6" t="s">
        <v>13134</v>
      </c>
      <c r="B413" s="6" t="s">
        <v>12873</v>
      </c>
      <c r="C413" s="6" t="s">
        <v>13105</v>
      </c>
      <c r="D413" s="6" t="s">
        <v>161</v>
      </c>
      <c r="E413" s="6" t="s">
        <v>13135</v>
      </c>
      <c r="F413" s="20" t="n">
        <f aca="false">SUM(Reconciliations!H424:H426)-Reconciliations!H427</f>
        <v>0</v>
      </c>
      <c r="G413" s="6" t="str">
        <f aca="false">IF(ABS(F413)&lt;=H413,"PASS","FAIL")</f>
        <v>PASS</v>
      </c>
      <c r="H413" s="6" t="n">
        <v>0.5</v>
      </c>
      <c r="I413" s="6"/>
    </row>
    <row r="414" customFormat="false" ht="15" hidden="false" customHeight="false" outlineLevel="0" collapsed="false">
      <c r="A414" s="6" t="s">
        <v>13136</v>
      </c>
      <c r="B414" s="6" t="s">
        <v>12873</v>
      </c>
      <c r="C414" s="6" t="s">
        <v>12874</v>
      </c>
      <c r="D414" s="6" t="s">
        <v>166</v>
      </c>
      <c r="E414" s="6" t="s">
        <v>13137</v>
      </c>
      <c r="F414" s="20" t="n">
        <f aca="false">SUM(Reconciliations!H428:H429)-Reconciliations!H430</f>
        <v>0</v>
      </c>
      <c r="G414" s="6" t="str">
        <f aca="false">IF(ABS(F414)&lt;=H414,"PASS","FAIL")</f>
        <v>PASS</v>
      </c>
      <c r="H414" s="6" t="n">
        <v>0.5</v>
      </c>
      <c r="I414" s="6"/>
    </row>
    <row r="415" customFormat="false" ht="15" hidden="false" customHeight="false" outlineLevel="0" collapsed="false">
      <c r="A415" s="6" t="s">
        <v>13138</v>
      </c>
      <c r="B415" s="6" t="s">
        <v>12873</v>
      </c>
      <c r="C415" s="6" t="s">
        <v>12877</v>
      </c>
      <c r="D415" s="6" t="s">
        <v>166</v>
      </c>
      <c r="E415" s="6" t="s">
        <v>13139</v>
      </c>
      <c r="F415" s="20" t="n">
        <f aca="false">SUM(Reconciliations!H431:H432)-Reconciliations!H433</f>
        <v>0</v>
      </c>
      <c r="G415" s="6" t="str">
        <f aca="false">IF(ABS(F415)&lt;=H415,"PASS","FAIL")</f>
        <v>PASS</v>
      </c>
      <c r="H415" s="6" t="n">
        <v>0.5</v>
      </c>
      <c r="I415" s="6"/>
    </row>
    <row r="416" customFormat="false" ht="15" hidden="false" customHeight="false" outlineLevel="0" collapsed="false">
      <c r="A416" s="6" t="s">
        <v>13140</v>
      </c>
      <c r="B416" s="6" t="s">
        <v>12873</v>
      </c>
      <c r="C416" s="6" t="s">
        <v>12880</v>
      </c>
      <c r="D416" s="6" t="s">
        <v>166</v>
      </c>
      <c r="E416" s="6" t="s">
        <v>13141</v>
      </c>
      <c r="F416" s="20" t="n">
        <f aca="false">SUM(Reconciliations!H434:H435)-Reconciliations!H436</f>
        <v>0</v>
      </c>
      <c r="G416" s="6" t="str">
        <f aca="false">IF(ABS(F416)&lt;=H416,"PASS","FAIL")</f>
        <v>PASS</v>
      </c>
      <c r="H416" s="6" t="n">
        <v>0.5</v>
      </c>
      <c r="I416" s="6"/>
    </row>
    <row r="417" customFormat="false" ht="15" hidden="false" customHeight="false" outlineLevel="0" collapsed="false">
      <c r="A417" s="6" t="s">
        <v>13142</v>
      </c>
      <c r="B417" s="6" t="s">
        <v>12873</v>
      </c>
      <c r="C417" s="6" t="s">
        <v>12883</v>
      </c>
      <c r="D417" s="6" t="s">
        <v>166</v>
      </c>
      <c r="E417" s="6" t="s">
        <v>13143</v>
      </c>
      <c r="F417" s="20" t="n">
        <f aca="false">SUM(Reconciliations!H437:H438)-Reconciliations!H439</f>
        <v>0</v>
      </c>
      <c r="G417" s="6" t="str">
        <f aca="false">IF(ABS(F417)&lt;=H417,"PASS","FAIL")</f>
        <v>PASS</v>
      </c>
      <c r="H417" s="6" t="n">
        <v>0.5</v>
      </c>
      <c r="I417" s="6"/>
    </row>
    <row r="418" customFormat="false" ht="15" hidden="false" customHeight="false" outlineLevel="0" collapsed="false">
      <c r="A418" s="6" t="s">
        <v>13144</v>
      </c>
      <c r="B418" s="6" t="s">
        <v>12873</v>
      </c>
      <c r="C418" s="6" t="s">
        <v>13145</v>
      </c>
      <c r="D418" s="6" t="s">
        <v>166</v>
      </c>
      <c r="E418" s="6" t="s">
        <v>13146</v>
      </c>
      <c r="F418" s="20" t="n">
        <f aca="false">SUM(Reconciliations!H440:H441)-Reconciliations!H442</f>
        <v>0</v>
      </c>
      <c r="G418" s="6" t="str">
        <f aca="false">IF(ABS(F418)&lt;=H418,"PASS","FAIL")</f>
        <v>PASS</v>
      </c>
      <c r="H418" s="6" t="n">
        <v>0.5</v>
      </c>
      <c r="I418" s="6"/>
    </row>
    <row r="419" customFormat="false" ht="15" hidden="false" customHeight="false" outlineLevel="0" collapsed="false">
      <c r="A419" s="6" t="s">
        <v>13147</v>
      </c>
      <c r="B419" s="6" t="s">
        <v>12873</v>
      </c>
      <c r="C419" s="6" t="s">
        <v>13132</v>
      </c>
      <c r="D419" s="6" t="s">
        <v>166</v>
      </c>
      <c r="E419" s="6" t="s">
        <v>13148</v>
      </c>
      <c r="F419" s="20" t="n">
        <f aca="false">SUM(Reconciliations!H443:H445)-Reconciliations!H446</f>
        <v>0</v>
      </c>
      <c r="G419" s="6" t="str">
        <f aca="false">IF(ABS(F419)&lt;=H419,"PASS","FAIL")</f>
        <v>PASS</v>
      </c>
      <c r="H419" s="6" t="n">
        <v>0.5</v>
      </c>
      <c r="I419" s="6"/>
    </row>
    <row r="420" customFormat="false" ht="15" hidden="false" customHeight="false" outlineLevel="0" collapsed="false">
      <c r="A420" s="6" t="s">
        <v>13149</v>
      </c>
      <c r="B420" s="6" t="s">
        <v>12873</v>
      </c>
      <c r="C420" s="6" t="s">
        <v>13105</v>
      </c>
      <c r="D420" s="6" t="s">
        <v>166</v>
      </c>
      <c r="E420" s="6" t="s">
        <v>13150</v>
      </c>
      <c r="F420" s="20" t="n">
        <f aca="false">SUM(Reconciliations!H447:H449)-Reconciliations!H450</f>
        <v>0</v>
      </c>
      <c r="G420" s="6" t="str">
        <f aca="false">IF(ABS(F420)&lt;=H420,"PASS","FAIL")</f>
        <v>PASS</v>
      </c>
      <c r="H420" s="6" t="n">
        <v>0.5</v>
      </c>
      <c r="I420" s="6"/>
    </row>
    <row r="421" customFormat="false" ht="15" hidden="false" customHeight="false" outlineLevel="0" collapsed="false">
      <c r="A421" s="6" t="s">
        <v>13151</v>
      </c>
      <c r="B421" s="6" t="s">
        <v>12873</v>
      </c>
      <c r="C421" s="6" t="s">
        <v>12874</v>
      </c>
      <c r="D421" s="6" t="s">
        <v>171</v>
      </c>
      <c r="E421" s="6" t="s">
        <v>13152</v>
      </c>
      <c r="F421" s="20" t="n">
        <f aca="false">SUM(Reconciliations!H451:H452)-Reconciliations!H453</f>
        <v>0</v>
      </c>
      <c r="G421" s="6" t="str">
        <f aca="false">IF(ABS(F421)&lt;=H421,"PASS","FAIL")</f>
        <v>PASS</v>
      </c>
      <c r="H421" s="6" t="n">
        <v>0.5</v>
      </c>
      <c r="I421" s="6"/>
    </row>
    <row r="422" customFormat="false" ht="15" hidden="false" customHeight="false" outlineLevel="0" collapsed="false">
      <c r="A422" s="6" t="s">
        <v>13153</v>
      </c>
      <c r="B422" s="6" t="s">
        <v>12873</v>
      </c>
      <c r="C422" s="6" t="s">
        <v>12877</v>
      </c>
      <c r="D422" s="6" t="s">
        <v>171</v>
      </c>
      <c r="E422" s="6" t="s">
        <v>13154</v>
      </c>
      <c r="F422" s="20" t="n">
        <f aca="false">SUM(Reconciliations!H454:H455)-Reconciliations!H456</f>
        <v>0</v>
      </c>
      <c r="G422" s="6" t="str">
        <f aca="false">IF(ABS(F422)&lt;=H422,"PASS","FAIL")</f>
        <v>PASS</v>
      </c>
      <c r="H422" s="6" t="n">
        <v>0.5</v>
      </c>
      <c r="I422" s="6"/>
    </row>
    <row r="423" customFormat="false" ht="15" hidden="false" customHeight="false" outlineLevel="0" collapsed="false">
      <c r="A423" s="6" t="s">
        <v>13155</v>
      </c>
      <c r="B423" s="6" t="s">
        <v>12873</v>
      </c>
      <c r="C423" s="6" t="s">
        <v>12880</v>
      </c>
      <c r="D423" s="6" t="s">
        <v>171</v>
      </c>
      <c r="E423" s="6" t="s">
        <v>13156</v>
      </c>
      <c r="F423" s="20" t="n">
        <f aca="false">SUM(Reconciliations!H457:H458)-Reconciliations!H459</f>
        <v>0</v>
      </c>
      <c r="G423" s="6" t="str">
        <f aca="false">IF(ABS(F423)&lt;=H423,"PASS","FAIL")</f>
        <v>PASS</v>
      </c>
      <c r="H423" s="6" t="n">
        <v>0.5</v>
      </c>
      <c r="I423" s="6"/>
    </row>
    <row r="424" customFormat="false" ht="15" hidden="false" customHeight="false" outlineLevel="0" collapsed="false">
      <c r="A424" s="6" t="s">
        <v>13157</v>
      </c>
      <c r="B424" s="6" t="s">
        <v>12873</v>
      </c>
      <c r="C424" s="6" t="s">
        <v>12883</v>
      </c>
      <c r="D424" s="6" t="s">
        <v>171</v>
      </c>
      <c r="E424" s="6" t="s">
        <v>13158</v>
      </c>
      <c r="F424" s="20" t="n">
        <f aca="false">SUM(Reconciliations!H460:H462)-Reconciliations!H463</f>
        <v>0</v>
      </c>
      <c r="G424" s="6" t="str">
        <f aca="false">IF(ABS(F424)&lt;=H424,"PASS","FAIL")</f>
        <v>PASS</v>
      </c>
      <c r="H424" s="6" t="n">
        <v>0.5</v>
      </c>
      <c r="I424" s="6"/>
    </row>
    <row r="425" customFormat="false" ht="15" hidden="false" customHeight="false" outlineLevel="0" collapsed="false">
      <c r="A425" s="6" t="s">
        <v>13159</v>
      </c>
      <c r="B425" s="6" t="s">
        <v>12873</v>
      </c>
      <c r="C425" s="6" t="s">
        <v>13160</v>
      </c>
      <c r="D425" s="6" t="s">
        <v>171</v>
      </c>
      <c r="E425" s="6" t="s">
        <v>13161</v>
      </c>
      <c r="F425" s="20" t="n">
        <f aca="false">SUM(Reconciliations!H464:H466)-Reconciliations!H467</f>
        <v>0</v>
      </c>
      <c r="G425" s="6" t="str">
        <f aca="false">IF(ABS(F425)&lt;=H425,"PASS","FAIL")</f>
        <v>PASS</v>
      </c>
      <c r="H425" s="6" t="n">
        <v>0.5</v>
      </c>
      <c r="I425" s="6"/>
    </row>
    <row r="426" customFormat="false" ht="15" hidden="false" customHeight="false" outlineLevel="0" collapsed="false">
      <c r="A426" s="6" t="s">
        <v>13162</v>
      </c>
      <c r="B426" s="6" t="s">
        <v>12873</v>
      </c>
      <c r="C426" s="6" t="s">
        <v>13132</v>
      </c>
      <c r="D426" s="6" t="s">
        <v>171</v>
      </c>
      <c r="E426" s="6" t="s">
        <v>13163</v>
      </c>
      <c r="F426" s="20" t="n">
        <f aca="false">SUM(Reconciliations!H468:H471)-Reconciliations!H472</f>
        <v>0</v>
      </c>
      <c r="G426" s="6" t="str">
        <f aca="false">IF(ABS(F426)&lt;=H426,"PASS","FAIL")</f>
        <v>PASS</v>
      </c>
      <c r="H426" s="6" t="n">
        <v>0.5</v>
      </c>
      <c r="I426" s="6"/>
    </row>
    <row r="427" customFormat="false" ht="15" hidden="false" customHeight="false" outlineLevel="0" collapsed="false">
      <c r="A427" s="6" t="s">
        <v>13164</v>
      </c>
      <c r="B427" s="6" t="s">
        <v>12873</v>
      </c>
      <c r="C427" s="6" t="s">
        <v>13105</v>
      </c>
      <c r="D427" s="6" t="s">
        <v>171</v>
      </c>
      <c r="E427" s="6" t="s">
        <v>13165</v>
      </c>
      <c r="F427" s="20" t="n">
        <f aca="false">SUM(Reconciliations!H473:H475)-Reconciliations!H476</f>
        <v>0</v>
      </c>
      <c r="G427" s="6" t="str">
        <f aca="false">IF(ABS(F427)&lt;=H427,"PASS","FAIL")</f>
        <v>PASS</v>
      </c>
      <c r="H427" s="6" t="n">
        <v>0.5</v>
      </c>
      <c r="I427" s="6"/>
    </row>
    <row r="428" customFormat="false" ht="15" hidden="false" customHeight="false" outlineLevel="0" collapsed="false">
      <c r="A428" s="6" t="s">
        <v>13166</v>
      </c>
      <c r="B428" s="6" t="s">
        <v>12873</v>
      </c>
      <c r="C428" s="6" t="s">
        <v>12874</v>
      </c>
      <c r="D428" s="6" t="s">
        <v>176</v>
      </c>
      <c r="E428" s="6" t="s">
        <v>13167</v>
      </c>
      <c r="F428" s="20" t="n">
        <f aca="false">SUM(Reconciliations!H477:H478)-Reconciliations!H479</f>
        <v>0</v>
      </c>
      <c r="G428" s="6" t="str">
        <f aca="false">IF(ABS(F428)&lt;=H428,"PASS","FAIL")</f>
        <v>PASS</v>
      </c>
      <c r="H428" s="6" t="n">
        <v>0.5</v>
      </c>
      <c r="I428" s="6"/>
    </row>
    <row r="429" customFormat="false" ht="15" hidden="false" customHeight="false" outlineLevel="0" collapsed="false">
      <c r="A429" s="6" t="s">
        <v>13168</v>
      </c>
      <c r="B429" s="6" t="s">
        <v>12873</v>
      </c>
      <c r="C429" s="6" t="s">
        <v>12877</v>
      </c>
      <c r="D429" s="6" t="s">
        <v>176</v>
      </c>
      <c r="E429" s="6" t="s">
        <v>13169</v>
      </c>
      <c r="F429" s="20" t="n">
        <f aca="false">SUM(Reconciliations!H480:H481)-Reconciliations!H482</f>
        <v>0</v>
      </c>
      <c r="G429" s="6" t="str">
        <f aca="false">IF(ABS(F429)&lt;=H429,"PASS","FAIL")</f>
        <v>PASS</v>
      </c>
      <c r="H429" s="6" t="n">
        <v>0.5</v>
      </c>
      <c r="I429" s="6"/>
    </row>
    <row r="430" customFormat="false" ht="15" hidden="false" customHeight="false" outlineLevel="0" collapsed="false">
      <c r="A430" s="6" t="s">
        <v>13170</v>
      </c>
      <c r="B430" s="6" t="s">
        <v>12873</v>
      </c>
      <c r="C430" s="6" t="s">
        <v>12880</v>
      </c>
      <c r="D430" s="6" t="s">
        <v>176</v>
      </c>
      <c r="E430" s="6" t="s">
        <v>13171</v>
      </c>
      <c r="F430" s="20" t="n">
        <f aca="false">SUM(Reconciliations!H483:H484)-Reconciliations!H485</f>
        <v>0</v>
      </c>
      <c r="G430" s="6" t="str">
        <f aca="false">IF(ABS(F430)&lt;=H430,"PASS","FAIL")</f>
        <v>PASS</v>
      </c>
      <c r="H430" s="6" t="n">
        <v>0.5</v>
      </c>
      <c r="I430" s="6"/>
    </row>
    <row r="431" customFormat="false" ht="15" hidden="false" customHeight="false" outlineLevel="0" collapsed="false">
      <c r="A431" s="6" t="s">
        <v>13172</v>
      </c>
      <c r="B431" s="6" t="s">
        <v>12873</v>
      </c>
      <c r="C431" s="6" t="s">
        <v>12883</v>
      </c>
      <c r="D431" s="6" t="s">
        <v>176</v>
      </c>
      <c r="E431" s="6" t="s">
        <v>13173</v>
      </c>
      <c r="F431" s="20" t="n">
        <f aca="false">SUM(Reconciliations!H486:H488)-Reconciliations!H489</f>
        <v>0</v>
      </c>
      <c r="G431" s="6" t="str">
        <f aca="false">IF(ABS(F431)&lt;=H431,"PASS","FAIL")</f>
        <v>PASS</v>
      </c>
      <c r="H431" s="6" t="n">
        <v>0.5</v>
      </c>
      <c r="I431" s="6"/>
    </row>
    <row r="432" customFormat="false" ht="15" hidden="false" customHeight="false" outlineLevel="0" collapsed="false">
      <c r="A432" s="6" t="s">
        <v>13174</v>
      </c>
      <c r="B432" s="6" t="s">
        <v>12873</v>
      </c>
      <c r="C432" s="6" t="s">
        <v>13145</v>
      </c>
      <c r="D432" s="6" t="s">
        <v>176</v>
      </c>
      <c r="E432" s="6" t="s">
        <v>13175</v>
      </c>
      <c r="F432" s="20" t="n">
        <f aca="false">SUM(Reconciliations!H490:H492)-Reconciliations!H493</f>
        <v>0</v>
      </c>
      <c r="G432" s="6" t="str">
        <f aca="false">IF(ABS(F432)&lt;=H432,"PASS","FAIL")</f>
        <v>PASS</v>
      </c>
      <c r="H432" s="6" t="n">
        <v>0.5</v>
      </c>
      <c r="I432" s="6"/>
    </row>
    <row r="433" customFormat="false" ht="15" hidden="false" customHeight="false" outlineLevel="0" collapsed="false">
      <c r="A433" s="6" t="s">
        <v>13176</v>
      </c>
      <c r="B433" s="6" t="s">
        <v>12873</v>
      </c>
      <c r="C433" s="6" t="s">
        <v>13132</v>
      </c>
      <c r="D433" s="6" t="s">
        <v>176</v>
      </c>
      <c r="E433" s="6" t="s">
        <v>13177</v>
      </c>
      <c r="F433" s="20" t="n">
        <f aca="false">SUM(Reconciliations!H494:H497)-Reconciliations!H498</f>
        <v>0</v>
      </c>
      <c r="G433" s="6" t="str">
        <f aca="false">IF(ABS(F433)&lt;=H433,"PASS","FAIL")</f>
        <v>PASS</v>
      </c>
      <c r="H433" s="6" t="n">
        <v>0.5</v>
      </c>
      <c r="I433" s="6"/>
    </row>
    <row r="434" customFormat="false" ht="15" hidden="false" customHeight="false" outlineLevel="0" collapsed="false">
      <c r="A434" s="6" t="s">
        <v>13178</v>
      </c>
      <c r="B434" s="6" t="s">
        <v>12873</v>
      </c>
      <c r="C434" s="6" t="s">
        <v>13105</v>
      </c>
      <c r="D434" s="6" t="s">
        <v>176</v>
      </c>
      <c r="E434" s="6" t="s">
        <v>13179</v>
      </c>
      <c r="F434" s="20" t="n">
        <f aca="false">SUM(Reconciliations!H499:H501)-Reconciliations!H502</f>
        <v>0</v>
      </c>
      <c r="G434" s="6" t="str">
        <f aca="false">IF(ABS(F434)&lt;=H434,"PASS","FAIL")</f>
        <v>PASS</v>
      </c>
      <c r="H434" s="6" t="n">
        <v>0.5</v>
      </c>
      <c r="I434" s="6"/>
    </row>
    <row r="435" customFormat="false" ht="15" hidden="false" customHeight="false" outlineLevel="0" collapsed="false">
      <c r="A435" s="6" t="s">
        <v>13180</v>
      </c>
      <c r="B435" s="6" t="s">
        <v>12873</v>
      </c>
      <c r="C435" s="6" t="s">
        <v>12874</v>
      </c>
      <c r="D435" s="6" t="s">
        <v>230</v>
      </c>
      <c r="E435" s="6" t="s">
        <v>13181</v>
      </c>
      <c r="F435" s="20" t="n">
        <f aca="false">SUM(Reconciliations!H503:H504)-Reconciliations!H505</f>
        <v>0</v>
      </c>
      <c r="G435" s="6" t="str">
        <f aca="false">IF(ABS(F435)&lt;=H435,"PASS","FAIL")</f>
        <v>PASS</v>
      </c>
      <c r="H435" s="6" t="n">
        <v>0.5</v>
      </c>
      <c r="I435" s="6"/>
    </row>
    <row r="436" customFormat="false" ht="15" hidden="false" customHeight="false" outlineLevel="0" collapsed="false">
      <c r="A436" s="6" t="s">
        <v>13182</v>
      </c>
      <c r="B436" s="6" t="s">
        <v>12873</v>
      </c>
      <c r="C436" s="6" t="s">
        <v>12877</v>
      </c>
      <c r="D436" s="6" t="s">
        <v>230</v>
      </c>
      <c r="E436" s="6" t="s">
        <v>13183</v>
      </c>
      <c r="F436" s="20" t="n">
        <f aca="false">SUM(Reconciliations!H506:H507)-Reconciliations!H508</f>
        <v>0</v>
      </c>
      <c r="G436" s="6" t="str">
        <f aca="false">IF(ABS(F436)&lt;=H436,"PASS","FAIL")</f>
        <v>PASS</v>
      </c>
      <c r="H436" s="6" t="n">
        <v>0.5</v>
      </c>
      <c r="I436" s="6"/>
    </row>
    <row r="437" customFormat="false" ht="15" hidden="false" customHeight="false" outlineLevel="0" collapsed="false">
      <c r="A437" s="6" t="s">
        <v>13184</v>
      </c>
      <c r="B437" s="6" t="s">
        <v>12873</v>
      </c>
      <c r="C437" s="6" t="s">
        <v>12880</v>
      </c>
      <c r="D437" s="6" t="s">
        <v>230</v>
      </c>
      <c r="E437" s="6" t="s">
        <v>13185</v>
      </c>
      <c r="F437" s="20" t="n">
        <f aca="false">SUM(Reconciliations!H509:H510)-Reconciliations!H511</f>
        <v>0</v>
      </c>
      <c r="G437" s="6" t="str">
        <f aca="false">IF(ABS(F437)&lt;=H437,"PASS","FAIL")</f>
        <v>PASS</v>
      </c>
      <c r="H437" s="6" t="n">
        <v>0.5</v>
      </c>
      <c r="I437" s="6"/>
    </row>
    <row r="438" customFormat="false" ht="15" hidden="false" customHeight="false" outlineLevel="0" collapsed="false">
      <c r="A438" s="6" t="s">
        <v>13186</v>
      </c>
      <c r="B438" s="6" t="s">
        <v>12873</v>
      </c>
      <c r="C438" s="6" t="s">
        <v>12883</v>
      </c>
      <c r="D438" s="6" t="s">
        <v>230</v>
      </c>
      <c r="E438" s="6" t="s">
        <v>13187</v>
      </c>
      <c r="F438" s="20" t="n">
        <f aca="false">SUM(Reconciliations!H512:H514)-Reconciliations!H515</f>
        <v>0</v>
      </c>
      <c r="G438" s="6" t="str">
        <f aca="false">IF(ABS(F438)&lt;=H438,"PASS","FAIL")</f>
        <v>PASS</v>
      </c>
      <c r="H438" s="6" t="n">
        <v>0.5</v>
      </c>
      <c r="I438" s="6"/>
    </row>
    <row r="439" customFormat="false" ht="15" hidden="false" customHeight="false" outlineLevel="0" collapsed="false">
      <c r="A439" s="6" t="s">
        <v>13188</v>
      </c>
      <c r="B439" s="6" t="s">
        <v>12873</v>
      </c>
      <c r="C439" s="6" t="s">
        <v>13145</v>
      </c>
      <c r="D439" s="6" t="s">
        <v>230</v>
      </c>
      <c r="E439" s="6" t="s">
        <v>13189</v>
      </c>
      <c r="F439" s="20" t="n">
        <f aca="false">SUM(Reconciliations!H516:H518)-Reconciliations!H519</f>
        <v>0</v>
      </c>
      <c r="G439" s="6" t="str">
        <f aca="false">IF(ABS(F439)&lt;=H439,"PASS","FAIL")</f>
        <v>PASS</v>
      </c>
      <c r="H439" s="6" t="n">
        <v>0.5</v>
      </c>
      <c r="I439" s="6"/>
    </row>
    <row r="440" customFormat="false" ht="15" hidden="false" customHeight="false" outlineLevel="0" collapsed="false">
      <c r="A440" s="6" t="s">
        <v>13190</v>
      </c>
      <c r="B440" s="6" t="s">
        <v>12873</v>
      </c>
      <c r="C440" s="6" t="s">
        <v>13132</v>
      </c>
      <c r="D440" s="6" t="s">
        <v>230</v>
      </c>
      <c r="E440" s="6" t="s">
        <v>13191</v>
      </c>
      <c r="F440" s="20" t="n">
        <f aca="false">SUM(Reconciliations!H520:H523)-Reconciliations!H524</f>
        <v>0</v>
      </c>
      <c r="G440" s="6" t="str">
        <f aca="false">IF(ABS(F440)&lt;=H440,"PASS","FAIL")</f>
        <v>PASS</v>
      </c>
      <c r="H440" s="6" t="n">
        <v>0.5</v>
      </c>
      <c r="I440" s="6"/>
    </row>
    <row r="441" customFormat="false" ht="15" hidden="false" customHeight="false" outlineLevel="0" collapsed="false">
      <c r="A441" s="6" t="s">
        <v>13192</v>
      </c>
      <c r="B441" s="6" t="s">
        <v>12873</v>
      </c>
      <c r="C441" s="6" t="s">
        <v>13105</v>
      </c>
      <c r="D441" s="6" t="s">
        <v>230</v>
      </c>
      <c r="E441" s="6" t="s">
        <v>13193</v>
      </c>
      <c r="F441" s="20" t="n">
        <f aca="false">SUM(Reconciliations!H525:H527)-Reconciliations!H528</f>
        <v>0</v>
      </c>
      <c r="G441" s="6" t="str">
        <f aca="false">IF(ABS(F441)&lt;=H441,"PASS","FAIL")</f>
        <v>PASS</v>
      </c>
      <c r="H441" s="6" t="n">
        <v>0.5</v>
      </c>
      <c r="I441" s="6"/>
    </row>
    <row r="442" customFormat="false" ht="15" hidden="false" customHeight="false" outlineLevel="0" collapsed="false">
      <c r="A442" s="6" t="s">
        <v>13194</v>
      </c>
      <c r="B442" s="6" t="s">
        <v>12873</v>
      </c>
      <c r="C442" s="6" t="s">
        <v>12874</v>
      </c>
      <c r="D442" s="6" t="s">
        <v>181</v>
      </c>
      <c r="E442" s="6" t="s">
        <v>13195</v>
      </c>
      <c r="F442" s="20" t="n">
        <f aca="false">SUM(Reconciliations!H529:H530)-Reconciliations!H531</f>
        <v>0</v>
      </c>
      <c r="G442" s="6" t="str">
        <f aca="false">IF(ABS(F442)&lt;=H442,"PASS","FAIL")</f>
        <v>PASS</v>
      </c>
      <c r="H442" s="6" t="n">
        <v>0.5</v>
      </c>
      <c r="I442" s="6"/>
    </row>
    <row r="443" customFormat="false" ht="15" hidden="false" customHeight="false" outlineLevel="0" collapsed="false">
      <c r="A443" s="6" t="s">
        <v>13196</v>
      </c>
      <c r="B443" s="6" t="s">
        <v>12873</v>
      </c>
      <c r="C443" s="6" t="s">
        <v>12877</v>
      </c>
      <c r="D443" s="6" t="s">
        <v>181</v>
      </c>
      <c r="E443" s="6" t="s">
        <v>13197</v>
      </c>
      <c r="F443" s="20" t="n">
        <f aca="false">SUM(Reconciliations!H532:H533)-Reconciliations!H534</f>
        <v>0</v>
      </c>
      <c r="G443" s="6" t="str">
        <f aca="false">IF(ABS(F443)&lt;=H443,"PASS","FAIL")</f>
        <v>PASS</v>
      </c>
      <c r="H443" s="6" t="n">
        <v>0.5</v>
      </c>
      <c r="I443" s="6"/>
    </row>
    <row r="444" customFormat="false" ht="15" hidden="false" customHeight="false" outlineLevel="0" collapsed="false">
      <c r="A444" s="6" t="s">
        <v>13198</v>
      </c>
      <c r="B444" s="6" t="s">
        <v>12873</v>
      </c>
      <c r="C444" s="6" t="s">
        <v>12880</v>
      </c>
      <c r="D444" s="6" t="s">
        <v>181</v>
      </c>
      <c r="E444" s="6" t="s">
        <v>13199</v>
      </c>
      <c r="F444" s="20" t="n">
        <f aca="false">SUM(Reconciliations!H535:H536)-Reconciliations!H537</f>
        <v>0</v>
      </c>
      <c r="G444" s="6" t="str">
        <f aca="false">IF(ABS(F444)&lt;=H444,"PASS","FAIL")</f>
        <v>PASS</v>
      </c>
      <c r="H444" s="6" t="n">
        <v>0.5</v>
      </c>
      <c r="I444" s="6"/>
    </row>
    <row r="445" customFormat="false" ht="15" hidden="false" customHeight="false" outlineLevel="0" collapsed="false">
      <c r="A445" s="6" t="s">
        <v>13200</v>
      </c>
      <c r="B445" s="6" t="s">
        <v>12873</v>
      </c>
      <c r="C445" s="6" t="s">
        <v>12883</v>
      </c>
      <c r="D445" s="6" t="s">
        <v>181</v>
      </c>
      <c r="E445" s="6" t="s">
        <v>13201</v>
      </c>
      <c r="F445" s="20" t="n">
        <f aca="false">SUM(Reconciliations!H538:H539)-Reconciliations!H540</f>
        <v>0</v>
      </c>
      <c r="G445" s="6" t="str">
        <f aca="false">IF(ABS(F445)&lt;=H445,"PASS","FAIL")</f>
        <v>PASS</v>
      </c>
      <c r="H445" s="6" t="n">
        <v>0.5</v>
      </c>
      <c r="I445" s="6"/>
    </row>
    <row r="446" customFormat="false" ht="15" hidden="false" customHeight="false" outlineLevel="0" collapsed="false">
      <c r="A446" s="6" t="s">
        <v>13202</v>
      </c>
      <c r="B446" s="6" t="s">
        <v>12873</v>
      </c>
      <c r="C446" s="6" t="s">
        <v>13145</v>
      </c>
      <c r="D446" s="6" t="s">
        <v>181</v>
      </c>
      <c r="E446" s="6" t="s">
        <v>13203</v>
      </c>
      <c r="F446" s="20" t="n">
        <f aca="false">SUM(Reconciliations!H541:H542)-Reconciliations!H543</f>
        <v>0</v>
      </c>
      <c r="G446" s="6" t="str">
        <f aca="false">IF(ABS(F446)&lt;=H446,"PASS","FAIL")</f>
        <v>PASS</v>
      </c>
      <c r="H446" s="6" t="n">
        <v>0.5</v>
      </c>
      <c r="I446" s="6"/>
    </row>
    <row r="447" customFormat="false" ht="15" hidden="false" customHeight="false" outlineLevel="0" collapsed="false">
      <c r="A447" s="6" t="s">
        <v>13204</v>
      </c>
      <c r="B447" s="6" t="s">
        <v>12873</v>
      </c>
      <c r="C447" s="6" t="s">
        <v>13205</v>
      </c>
      <c r="D447" s="6" t="s">
        <v>181</v>
      </c>
      <c r="E447" s="6" t="s">
        <v>13206</v>
      </c>
      <c r="F447" s="20" t="n">
        <f aca="false">SUM(Reconciliations!H544:H546)-Reconciliations!H547</f>
        <v>0</v>
      </c>
      <c r="G447" s="6" t="str">
        <f aca="false">IF(ABS(F447)&lt;=H447,"PASS","FAIL")</f>
        <v>PASS</v>
      </c>
      <c r="H447" s="6" t="n">
        <v>0.5</v>
      </c>
      <c r="I447" s="6"/>
    </row>
    <row r="448" customFormat="false" ht="15" hidden="false" customHeight="false" outlineLevel="0" collapsed="false">
      <c r="A448" s="6" t="s">
        <v>13207</v>
      </c>
      <c r="B448" s="6" t="s">
        <v>12873</v>
      </c>
      <c r="C448" s="6" t="s">
        <v>12913</v>
      </c>
      <c r="D448" s="6" t="s">
        <v>181</v>
      </c>
      <c r="E448" s="6" t="s">
        <v>13208</v>
      </c>
      <c r="F448" s="20" t="n">
        <f aca="false">SUM(Reconciliations!H548:H551)-Reconciliations!H552</f>
        <v>0</v>
      </c>
      <c r="G448" s="6" t="str">
        <f aca="false">IF(ABS(F448)&lt;=H448,"PASS","FAIL")</f>
        <v>PASS</v>
      </c>
      <c r="H448" s="6" t="n">
        <v>0.5</v>
      </c>
      <c r="I448" s="6"/>
    </row>
    <row r="449" customFormat="false" ht="15" hidden="false" customHeight="false" outlineLevel="0" collapsed="false">
      <c r="A449" s="6" t="s">
        <v>13209</v>
      </c>
      <c r="B449" s="6" t="s">
        <v>12873</v>
      </c>
      <c r="C449" s="6" t="s">
        <v>12874</v>
      </c>
      <c r="D449" s="6" t="s">
        <v>186</v>
      </c>
      <c r="E449" s="6" t="s">
        <v>13210</v>
      </c>
      <c r="F449" s="20" t="n">
        <f aca="false">SUM(Reconciliations!H553:H554)-Reconciliations!H555</f>
        <v>0</v>
      </c>
      <c r="G449" s="6" t="str">
        <f aca="false">IF(ABS(F449)&lt;=H449,"PASS","FAIL")</f>
        <v>PASS</v>
      </c>
      <c r="H449" s="6" t="n">
        <v>0.5</v>
      </c>
      <c r="I449" s="6"/>
    </row>
    <row r="450" customFormat="false" ht="15" hidden="false" customHeight="false" outlineLevel="0" collapsed="false">
      <c r="A450" s="6" t="s">
        <v>13211</v>
      </c>
      <c r="B450" s="6" t="s">
        <v>12873</v>
      </c>
      <c r="C450" s="6" t="s">
        <v>12877</v>
      </c>
      <c r="D450" s="6" t="s">
        <v>186</v>
      </c>
      <c r="E450" s="6" t="s">
        <v>13212</v>
      </c>
      <c r="F450" s="20" t="n">
        <f aca="false">SUM(Reconciliations!H556:H557)-Reconciliations!H558</f>
        <v>0</v>
      </c>
      <c r="G450" s="6" t="str">
        <f aca="false">IF(ABS(F450)&lt;=H450,"PASS","FAIL")</f>
        <v>PASS</v>
      </c>
      <c r="H450" s="6" t="n">
        <v>0.5</v>
      </c>
      <c r="I450" s="6"/>
    </row>
    <row r="451" customFormat="false" ht="15" hidden="false" customHeight="false" outlineLevel="0" collapsed="false">
      <c r="A451" s="6" t="s">
        <v>13213</v>
      </c>
      <c r="B451" s="6" t="s">
        <v>12873</v>
      </c>
      <c r="C451" s="6" t="s">
        <v>12880</v>
      </c>
      <c r="D451" s="6" t="s">
        <v>186</v>
      </c>
      <c r="E451" s="6" t="s">
        <v>13214</v>
      </c>
      <c r="F451" s="20" t="n">
        <f aca="false">SUM(Reconciliations!H559:H560)-Reconciliations!H561</f>
        <v>0</v>
      </c>
      <c r="G451" s="6" t="str">
        <f aca="false">IF(ABS(F451)&lt;=H451,"PASS","FAIL")</f>
        <v>PASS</v>
      </c>
      <c r="H451" s="6" t="n">
        <v>0.5</v>
      </c>
      <c r="I451" s="6"/>
    </row>
    <row r="452" customFormat="false" ht="15" hidden="false" customHeight="false" outlineLevel="0" collapsed="false">
      <c r="A452" s="6" t="s">
        <v>13215</v>
      </c>
      <c r="B452" s="6" t="s">
        <v>12873</v>
      </c>
      <c r="C452" s="6" t="s">
        <v>12883</v>
      </c>
      <c r="D452" s="6" t="s">
        <v>186</v>
      </c>
      <c r="E452" s="6" t="s">
        <v>13216</v>
      </c>
      <c r="F452" s="20" t="n">
        <f aca="false">SUM(Reconciliations!H562:H563)-Reconciliations!H564</f>
        <v>0</v>
      </c>
      <c r="G452" s="6" t="str">
        <f aca="false">IF(ABS(F452)&lt;=H452,"PASS","FAIL")</f>
        <v>PASS</v>
      </c>
      <c r="H452" s="6" t="n">
        <v>0.5</v>
      </c>
      <c r="I452" s="6"/>
    </row>
    <row r="453" customFormat="false" ht="15" hidden="false" customHeight="false" outlineLevel="0" collapsed="false">
      <c r="A453" s="6" t="s">
        <v>13217</v>
      </c>
      <c r="B453" s="6" t="s">
        <v>12873</v>
      </c>
      <c r="C453" s="6" t="s">
        <v>13145</v>
      </c>
      <c r="D453" s="6" t="s">
        <v>186</v>
      </c>
      <c r="E453" s="6" t="s">
        <v>13218</v>
      </c>
      <c r="F453" s="20" t="n">
        <f aca="false">SUM(Reconciliations!H565:H566)-Reconciliations!H567</f>
        <v>0</v>
      </c>
      <c r="G453" s="6" t="str">
        <f aca="false">IF(ABS(F453)&lt;=H453,"PASS","FAIL")</f>
        <v>PASS</v>
      </c>
      <c r="H453" s="6" t="n">
        <v>0.5</v>
      </c>
      <c r="I453" s="6"/>
    </row>
    <row r="454" customFormat="false" ht="15" hidden="false" customHeight="false" outlineLevel="0" collapsed="false">
      <c r="A454" s="6" t="s">
        <v>13219</v>
      </c>
      <c r="B454" s="6" t="s">
        <v>12873</v>
      </c>
      <c r="C454" s="6" t="s">
        <v>13205</v>
      </c>
      <c r="D454" s="6" t="s">
        <v>186</v>
      </c>
      <c r="E454" s="6" t="s">
        <v>13220</v>
      </c>
      <c r="F454" s="20" t="n">
        <f aca="false">SUM(Reconciliations!H568:H570)-Reconciliations!H571</f>
        <v>0</v>
      </c>
      <c r="G454" s="6" t="str">
        <f aca="false">IF(ABS(F454)&lt;=H454,"PASS","FAIL")</f>
        <v>PASS</v>
      </c>
      <c r="H454" s="6" t="n">
        <v>0.5</v>
      </c>
      <c r="I454" s="6"/>
    </row>
    <row r="455" customFormat="false" ht="15" hidden="false" customHeight="false" outlineLevel="0" collapsed="false">
      <c r="A455" s="6" t="s">
        <v>13221</v>
      </c>
      <c r="B455" s="6" t="s">
        <v>12873</v>
      </c>
      <c r="C455" s="6" t="s">
        <v>12913</v>
      </c>
      <c r="D455" s="6" t="s">
        <v>186</v>
      </c>
      <c r="E455" s="6" t="s">
        <v>13222</v>
      </c>
      <c r="F455" s="20" t="n">
        <f aca="false">SUM(Reconciliations!H572:H575)-Reconciliations!H576</f>
        <v>0</v>
      </c>
      <c r="G455" s="6" t="str">
        <f aca="false">IF(ABS(F455)&lt;=H455,"PASS","FAIL")</f>
        <v>PASS</v>
      </c>
      <c r="H455" s="6" t="n">
        <v>0.5</v>
      </c>
      <c r="I455" s="6"/>
    </row>
    <row r="456" customFormat="false" ht="15" hidden="false" customHeight="false" outlineLevel="0" collapsed="false">
      <c r="A456" s="6" t="s">
        <v>13223</v>
      </c>
      <c r="B456" s="6" t="s">
        <v>12873</v>
      </c>
      <c r="C456" s="6" t="s">
        <v>12874</v>
      </c>
      <c r="D456" s="6" t="s">
        <v>191</v>
      </c>
      <c r="E456" s="6" t="s">
        <v>13224</v>
      </c>
      <c r="F456" s="20" t="n">
        <f aca="false">SUM(Reconciliations!H577:H578)-Reconciliations!H579</f>
        <v>0</v>
      </c>
      <c r="G456" s="6" t="str">
        <f aca="false">IF(ABS(F456)&lt;=H456,"PASS","FAIL")</f>
        <v>PASS</v>
      </c>
      <c r="H456" s="6" t="n">
        <v>0.5</v>
      </c>
      <c r="I456" s="6"/>
    </row>
    <row r="457" customFormat="false" ht="15" hidden="false" customHeight="false" outlineLevel="0" collapsed="false">
      <c r="A457" s="6" t="s">
        <v>13225</v>
      </c>
      <c r="B457" s="6" t="s">
        <v>12873</v>
      </c>
      <c r="C457" s="6" t="s">
        <v>12877</v>
      </c>
      <c r="D457" s="6" t="s">
        <v>191</v>
      </c>
      <c r="E457" s="6" t="s">
        <v>13226</v>
      </c>
      <c r="F457" s="20" t="n">
        <f aca="false">SUM(Reconciliations!H580:H581)-Reconciliations!H582</f>
        <v>0</v>
      </c>
      <c r="G457" s="6" t="str">
        <f aca="false">IF(ABS(F457)&lt;=H457,"PASS","FAIL")</f>
        <v>PASS</v>
      </c>
      <c r="H457" s="6" t="n">
        <v>0.5</v>
      </c>
      <c r="I457" s="6"/>
    </row>
    <row r="458" customFormat="false" ht="15" hidden="false" customHeight="false" outlineLevel="0" collapsed="false">
      <c r="A458" s="6" t="s">
        <v>13227</v>
      </c>
      <c r="B458" s="6" t="s">
        <v>12873</v>
      </c>
      <c r="C458" s="6" t="s">
        <v>12880</v>
      </c>
      <c r="D458" s="6" t="s">
        <v>191</v>
      </c>
      <c r="E458" s="6" t="s">
        <v>13228</v>
      </c>
      <c r="F458" s="20" t="n">
        <f aca="false">SUM(Reconciliations!H583:H584)-Reconciliations!H585</f>
        <v>0</v>
      </c>
      <c r="G458" s="6" t="str">
        <f aca="false">IF(ABS(F458)&lt;=H458,"PASS","FAIL")</f>
        <v>PASS</v>
      </c>
      <c r="H458" s="6" t="n">
        <v>0.5</v>
      </c>
      <c r="I458" s="6"/>
    </row>
    <row r="459" customFormat="false" ht="15" hidden="false" customHeight="false" outlineLevel="0" collapsed="false">
      <c r="A459" s="6" t="s">
        <v>13229</v>
      </c>
      <c r="B459" s="6" t="s">
        <v>12873</v>
      </c>
      <c r="C459" s="6" t="s">
        <v>12883</v>
      </c>
      <c r="D459" s="6" t="s">
        <v>191</v>
      </c>
      <c r="E459" s="6" t="s">
        <v>13230</v>
      </c>
      <c r="F459" s="20" t="n">
        <f aca="false">SUM(Reconciliations!H586:H588)-Reconciliations!H589</f>
        <v>0</v>
      </c>
      <c r="G459" s="6" t="str">
        <f aca="false">IF(ABS(F459)&lt;=H459,"PASS","FAIL")</f>
        <v>PASS</v>
      </c>
      <c r="H459" s="6" t="n">
        <v>0.5</v>
      </c>
      <c r="I459" s="6"/>
    </row>
    <row r="460" customFormat="false" ht="15" hidden="false" customHeight="false" outlineLevel="0" collapsed="false">
      <c r="A460" s="6" t="s">
        <v>13231</v>
      </c>
      <c r="B460" s="6" t="s">
        <v>12873</v>
      </c>
      <c r="C460" s="6" t="s">
        <v>13160</v>
      </c>
      <c r="D460" s="6" t="s">
        <v>191</v>
      </c>
      <c r="E460" s="6" t="s">
        <v>13232</v>
      </c>
      <c r="F460" s="20" t="n">
        <f aca="false">SUM(Reconciliations!H590:H592)-Reconciliations!H593</f>
        <v>0</v>
      </c>
      <c r="G460" s="6" t="str">
        <f aca="false">IF(ABS(F460)&lt;=H460,"PASS","FAIL")</f>
        <v>PASS</v>
      </c>
      <c r="H460" s="6" t="n">
        <v>0.5</v>
      </c>
      <c r="I460" s="6"/>
    </row>
    <row r="461" customFormat="false" ht="15" hidden="false" customHeight="false" outlineLevel="0" collapsed="false">
      <c r="A461" s="6" t="s">
        <v>13233</v>
      </c>
      <c r="B461" s="6" t="s">
        <v>12873</v>
      </c>
      <c r="C461" s="6" t="s">
        <v>13132</v>
      </c>
      <c r="D461" s="6" t="s">
        <v>191</v>
      </c>
      <c r="E461" s="6" t="s">
        <v>13234</v>
      </c>
      <c r="F461" s="20" t="n">
        <f aca="false">SUM(Reconciliations!H594:H597)-Reconciliations!H598</f>
        <v>0</v>
      </c>
      <c r="G461" s="6" t="str">
        <f aca="false">IF(ABS(F461)&lt;=H461,"PASS","FAIL")</f>
        <v>PASS</v>
      </c>
      <c r="H461" s="6" t="n">
        <v>0.5</v>
      </c>
      <c r="I461" s="6"/>
    </row>
    <row r="462" customFormat="false" ht="15" hidden="false" customHeight="false" outlineLevel="0" collapsed="false">
      <c r="A462" s="6" t="s">
        <v>13235</v>
      </c>
      <c r="B462" s="6" t="s">
        <v>12873</v>
      </c>
      <c r="C462" s="6" t="s">
        <v>12913</v>
      </c>
      <c r="D462" s="6" t="s">
        <v>191</v>
      </c>
      <c r="E462" s="6" t="s">
        <v>13236</v>
      </c>
      <c r="F462" s="20" t="n">
        <f aca="false">SUM(Reconciliations!H599:H602)-Reconciliations!H603</f>
        <v>0</v>
      </c>
      <c r="G462" s="6" t="str">
        <f aca="false">IF(ABS(F462)&lt;=H462,"PASS","FAIL")</f>
        <v>PASS</v>
      </c>
      <c r="H462" s="6" t="n">
        <v>0.5</v>
      </c>
      <c r="I462" s="6"/>
    </row>
    <row r="463" customFormat="false" ht="15" hidden="false" customHeight="false" outlineLevel="0" collapsed="false">
      <c r="A463" s="6" t="s">
        <v>13237</v>
      </c>
      <c r="B463" s="6" t="s">
        <v>12873</v>
      </c>
      <c r="C463" s="6" t="s">
        <v>12874</v>
      </c>
      <c r="D463" s="6" t="s">
        <v>196</v>
      </c>
      <c r="E463" s="6" t="s">
        <v>13238</v>
      </c>
      <c r="F463" s="20" t="n">
        <f aca="false">SUM(Reconciliations!H604:H605)-Reconciliations!H606</f>
        <v>0</v>
      </c>
      <c r="G463" s="6" t="str">
        <f aca="false">IF(ABS(F463)&lt;=H463,"PASS","FAIL")</f>
        <v>PASS</v>
      </c>
      <c r="H463" s="6" t="n">
        <v>0.5</v>
      </c>
      <c r="I463" s="6"/>
    </row>
    <row r="464" customFormat="false" ht="15" hidden="false" customHeight="false" outlineLevel="0" collapsed="false">
      <c r="A464" s="6" t="s">
        <v>13239</v>
      </c>
      <c r="B464" s="6" t="s">
        <v>12873</v>
      </c>
      <c r="C464" s="6" t="s">
        <v>12877</v>
      </c>
      <c r="D464" s="6" t="s">
        <v>196</v>
      </c>
      <c r="E464" s="6" t="s">
        <v>13240</v>
      </c>
      <c r="F464" s="20" t="n">
        <f aca="false">SUM(Reconciliations!H607:H608)-Reconciliations!H609</f>
        <v>0</v>
      </c>
      <c r="G464" s="6" t="str">
        <f aca="false">IF(ABS(F464)&lt;=H464,"PASS","FAIL")</f>
        <v>PASS</v>
      </c>
      <c r="H464" s="6" t="n">
        <v>0.5</v>
      </c>
      <c r="I464" s="6"/>
    </row>
    <row r="465" customFormat="false" ht="15" hidden="false" customHeight="false" outlineLevel="0" collapsed="false">
      <c r="A465" s="6" t="s">
        <v>13241</v>
      </c>
      <c r="B465" s="6" t="s">
        <v>12873</v>
      </c>
      <c r="C465" s="6" t="s">
        <v>12880</v>
      </c>
      <c r="D465" s="6" t="s">
        <v>196</v>
      </c>
      <c r="E465" s="6" t="s">
        <v>13242</v>
      </c>
      <c r="F465" s="20" t="n">
        <f aca="false">SUM(Reconciliations!H610:H611)-Reconciliations!H612</f>
        <v>0</v>
      </c>
      <c r="G465" s="6" t="str">
        <f aca="false">IF(ABS(F465)&lt;=H465,"PASS","FAIL")</f>
        <v>PASS</v>
      </c>
      <c r="H465" s="6" t="n">
        <v>0.5</v>
      </c>
      <c r="I465" s="6"/>
    </row>
    <row r="466" customFormat="false" ht="15" hidden="false" customHeight="false" outlineLevel="0" collapsed="false">
      <c r="A466" s="6" t="s">
        <v>13243</v>
      </c>
      <c r="B466" s="6" t="s">
        <v>12873</v>
      </c>
      <c r="C466" s="6" t="s">
        <v>12883</v>
      </c>
      <c r="D466" s="6" t="s">
        <v>196</v>
      </c>
      <c r="E466" s="6" t="s">
        <v>13244</v>
      </c>
      <c r="F466" s="20" t="n">
        <f aca="false">SUM(Reconciliations!H613:H615)-Reconciliations!H616</f>
        <v>0</v>
      </c>
      <c r="G466" s="6" t="str">
        <f aca="false">IF(ABS(F466)&lt;=H466,"PASS","FAIL")</f>
        <v>PASS</v>
      </c>
      <c r="H466" s="6" t="n">
        <v>0.5</v>
      </c>
      <c r="I466" s="6"/>
    </row>
    <row r="467" customFormat="false" ht="15" hidden="false" customHeight="false" outlineLevel="0" collapsed="false">
      <c r="A467" s="6" t="s">
        <v>13245</v>
      </c>
      <c r="B467" s="6" t="s">
        <v>12873</v>
      </c>
      <c r="C467" s="6" t="s">
        <v>13145</v>
      </c>
      <c r="D467" s="6" t="s">
        <v>196</v>
      </c>
      <c r="E467" s="6" t="s">
        <v>13246</v>
      </c>
      <c r="F467" s="20" t="n">
        <f aca="false">SUM(Reconciliations!H617:H619)-Reconciliations!H620</f>
        <v>0</v>
      </c>
      <c r="G467" s="6" t="str">
        <f aca="false">IF(ABS(F467)&lt;=H467,"PASS","FAIL")</f>
        <v>PASS</v>
      </c>
      <c r="H467" s="6" t="n">
        <v>0.5</v>
      </c>
      <c r="I467" s="6"/>
    </row>
    <row r="468" customFormat="false" ht="15" hidden="false" customHeight="false" outlineLevel="0" collapsed="false">
      <c r="A468" s="6" t="s">
        <v>13247</v>
      </c>
      <c r="B468" s="6" t="s">
        <v>12873</v>
      </c>
      <c r="C468" s="6" t="s">
        <v>13205</v>
      </c>
      <c r="D468" s="6" t="s">
        <v>196</v>
      </c>
      <c r="E468" s="6" t="s">
        <v>13248</v>
      </c>
      <c r="F468" s="20" t="n">
        <f aca="false">SUM(Reconciliations!H621:H625)-Reconciliations!H626</f>
        <v>0</v>
      </c>
      <c r="G468" s="6" t="str">
        <f aca="false">IF(ABS(F468)&lt;=H468,"PASS","FAIL")</f>
        <v>PASS</v>
      </c>
      <c r="H468" s="6" t="n">
        <v>0.5</v>
      </c>
      <c r="I468" s="6"/>
    </row>
    <row r="469" customFormat="false" ht="15" hidden="false" customHeight="false" outlineLevel="0" collapsed="false">
      <c r="A469" s="6" t="s">
        <v>13249</v>
      </c>
      <c r="B469" s="6" t="s">
        <v>12873</v>
      </c>
      <c r="C469" s="6" t="s">
        <v>12913</v>
      </c>
      <c r="D469" s="6" t="s">
        <v>196</v>
      </c>
      <c r="E469" s="6" t="s">
        <v>13250</v>
      </c>
      <c r="F469" s="20" t="n">
        <f aca="false">SUM(Reconciliations!H627:H630)-Reconciliations!H631</f>
        <v>0</v>
      </c>
      <c r="G469" s="6" t="str">
        <f aca="false">IF(ABS(F469)&lt;=H469,"PASS","FAIL")</f>
        <v>PASS</v>
      </c>
      <c r="H469" s="6" t="n">
        <v>0.5</v>
      </c>
      <c r="I469" s="6"/>
    </row>
    <row r="470" customFormat="false" ht="15" hidden="false" customHeight="false" outlineLevel="0" collapsed="false">
      <c r="A470" s="6" t="s">
        <v>13251</v>
      </c>
      <c r="B470" s="6" t="s">
        <v>12873</v>
      </c>
      <c r="C470" s="6" t="s">
        <v>12874</v>
      </c>
      <c r="D470" s="6" t="s">
        <v>235</v>
      </c>
      <c r="E470" s="6" t="s">
        <v>13252</v>
      </c>
      <c r="F470" s="20" t="n">
        <f aca="false">SUM(Reconciliations!H632:H633)-Reconciliations!H634</f>
        <v>0</v>
      </c>
      <c r="G470" s="6" t="str">
        <f aca="false">IF(ABS(F470)&lt;=H470,"PASS","FAIL")</f>
        <v>PASS</v>
      </c>
      <c r="H470" s="6" t="n">
        <v>0.5</v>
      </c>
      <c r="I470" s="6"/>
    </row>
    <row r="471" customFormat="false" ht="15" hidden="false" customHeight="false" outlineLevel="0" collapsed="false">
      <c r="A471" s="6" t="s">
        <v>13253</v>
      </c>
      <c r="B471" s="6" t="s">
        <v>12873</v>
      </c>
      <c r="C471" s="6" t="s">
        <v>12877</v>
      </c>
      <c r="D471" s="6" t="s">
        <v>235</v>
      </c>
      <c r="E471" s="6" t="s">
        <v>13254</v>
      </c>
      <c r="F471" s="20" t="n">
        <f aca="false">SUM(Reconciliations!H635:H636)-Reconciliations!H637</f>
        <v>0</v>
      </c>
      <c r="G471" s="6" t="str">
        <f aca="false">IF(ABS(F471)&lt;=H471,"PASS","FAIL")</f>
        <v>PASS</v>
      </c>
      <c r="H471" s="6" t="n">
        <v>0.5</v>
      </c>
      <c r="I471" s="6"/>
    </row>
    <row r="472" customFormat="false" ht="15" hidden="false" customHeight="false" outlineLevel="0" collapsed="false">
      <c r="A472" s="6" t="s">
        <v>13255</v>
      </c>
      <c r="B472" s="6" t="s">
        <v>12873</v>
      </c>
      <c r="C472" s="6" t="s">
        <v>12880</v>
      </c>
      <c r="D472" s="6" t="s">
        <v>235</v>
      </c>
      <c r="E472" s="6" t="s">
        <v>13256</v>
      </c>
      <c r="F472" s="20" t="n">
        <f aca="false">SUM(Reconciliations!H638:H639)-Reconciliations!H640</f>
        <v>0</v>
      </c>
      <c r="G472" s="6" t="str">
        <f aca="false">IF(ABS(F472)&lt;=H472,"PASS","FAIL")</f>
        <v>PASS</v>
      </c>
      <c r="H472" s="6" t="n">
        <v>0.5</v>
      </c>
      <c r="I472" s="6"/>
    </row>
    <row r="473" customFormat="false" ht="15" hidden="false" customHeight="false" outlineLevel="0" collapsed="false">
      <c r="A473" s="6" t="s">
        <v>13257</v>
      </c>
      <c r="B473" s="6" t="s">
        <v>12873</v>
      </c>
      <c r="C473" s="6" t="s">
        <v>12883</v>
      </c>
      <c r="D473" s="6" t="s">
        <v>235</v>
      </c>
      <c r="E473" s="6" t="s">
        <v>13258</v>
      </c>
      <c r="F473" s="20" t="n">
        <f aca="false">SUM(Reconciliations!H641:H643)-Reconciliations!H644</f>
        <v>0</v>
      </c>
      <c r="G473" s="6" t="str">
        <f aca="false">IF(ABS(F473)&lt;=H473,"PASS","FAIL")</f>
        <v>PASS</v>
      </c>
      <c r="H473" s="6" t="n">
        <v>0.5</v>
      </c>
      <c r="I473" s="6"/>
    </row>
    <row r="474" customFormat="false" ht="15" hidden="false" customHeight="false" outlineLevel="0" collapsed="false">
      <c r="A474" s="6" t="s">
        <v>13259</v>
      </c>
      <c r="B474" s="6" t="s">
        <v>12873</v>
      </c>
      <c r="C474" s="6" t="s">
        <v>13145</v>
      </c>
      <c r="D474" s="6" t="s">
        <v>235</v>
      </c>
      <c r="E474" s="6" t="s">
        <v>13260</v>
      </c>
      <c r="F474" s="20" t="n">
        <f aca="false">SUM(Reconciliations!H645:H647)-Reconciliations!H648</f>
        <v>0</v>
      </c>
      <c r="G474" s="6" t="str">
        <f aca="false">IF(ABS(F474)&lt;=H474,"PASS","FAIL")</f>
        <v>PASS</v>
      </c>
      <c r="H474" s="6" t="n">
        <v>0.5</v>
      </c>
      <c r="I474" s="6"/>
    </row>
    <row r="475" customFormat="false" ht="15" hidden="false" customHeight="false" outlineLevel="0" collapsed="false">
      <c r="A475" s="6" t="s">
        <v>13261</v>
      </c>
      <c r="B475" s="6" t="s">
        <v>12873</v>
      </c>
      <c r="C475" s="6" t="s">
        <v>13205</v>
      </c>
      <c r="D475" s="6" t="s">
        <v>235</v>
      </c>
      <c r="E475" s="6" t="s">
        <v>13262</v>
      </c>
      <c r="F475" s="20" t="n">
        <f aca="false">SUM(Reconciliations!H649:H653)-Reconciliations!H654</f>
        <v>0</v>
      </c>
      <c r="G475" s="6" t="str">
        <f aca="false">IF(ABS(F475)&lt;=H475,"PASS","FAIL")</f>
        <v>PASS</v>
      </c>
      <c r="H475" s="6" t="n">
        <v>0.5</v>
      </c>
      <c r="I475" s="6"/>
    </row>
    <row r="476" customFormat="false" ht="15" hidden="false" customHeight="false" outlineLevel="0" collapsed="false">
      <c r="A476" s="6" t="s">
        <v>13263</v>
      </c>
      <c r="B476" s="6" t="s">
        <v>12873</v>
      </c>
      <c r="C476" s="6" t="s">
        <v>12913</v>
      </c>
      <c r="D476" s="6" t="s">
        <v>235</v>
      </c>
      <c r="E476" s="6" t="s">
        <v>13264</v>
      </c>
      <c r="F476" s="20" t="n">
        <f aca="false">SUM(Reconciliations!H655:H658)-Reconciliations!H659</f>
        <v>0</v>
      </c>
      <c r="G476" s="6" t="str">
        <f aca="false">IF(ABS(F476)&lt;=H476,"PASS","FAIL")</f>
        <v>PASS</v>
      </c>
      <c r="H476" s="6" t="n">
        <v>0.5</v>
      </c>
      <c r="I476" s="6"/>
    </row>
    <row r="477" customFormat="false" ht="15" hidden="false" customHeight="false" outlineLevel="0" collapsed="false">
      <c r="A477" s="6" t="s">
        <v>13265</v>
      </c>
      <c r="B477" s="6" t="s">
        <v>12873</v>
      </c>
      <c r="C477" s="6" t="s">
        <v>12874</v>
      </c>
      <c r="D477" s="6" t="s">
        <v>201</v>
      </c>
      <c r="E477" s="6" t="s">
        <v>13266</v>
      </c>
      <c r="F477" s="20" t="n">
        <f aca="false">SUM(Reconciliations!H660:H661)-Reconciliations!H662</f>
        <v>0</v>
      </c>
      <c r="G477" s="6" t="str">
        <f aca="false">IF(ABS(F477)&lt;=H477,"PASS","FAIL")</f>
        <v>PASS</v>
      </c>
      <c r="H477" s="6" t="n">
        <v>0.5</v>
      </c>
      <c r="I477" s="6"/>
    </row>
    <row r="478" customFormat="false" ht="15" hidden="false" customHeight="false" outlineLevel="0" collapsed="false">
      <c r="A478" s="6" t="s">
        <v>13267</v>
      </c>
      <c r="B478" s="6" t="s">
        <v>12873</v>
      </c>
      <c r="C478" s="6" t="s">
        <v>12877</v>
      </c>
      <c r="D478" s="6" t="s">
        <v>201</v>
      </c>
      <c r="E478" s="6" t="s">
        <v>13268</v>
      </c>
      <c r="F478" s="20" t="n">
        <f aca="false">SUM(Reconciliations!H663:H664)-Reconciliations!H665</f>
        <v>0</v>
      </c>
      <c r="G478" s="6" t="str">
        <f aca="false">IF(ABS(F478)&lt;=H478,"PASS","FAIL")</f>
        <v>PASS</v>
      </c>
      <c r="H478" s="6" t="n">
        <v>0.5</v>
      </c>
      <c r="I478" s="6"/>
    </row>
    <row r="479" customFormat="false" ht="15" hidden="false" customHeight="false" outlineLevel="0" collapsed="false">
      <c r="A479" s="6" t="s">
        <v>13269</v>
      </c>
      <c r="B479" s="6" t="s">
        <v>12873</v>
      </c>
      <c r="C479" s="6" t="s">
        <v>12880</v>
      </c>
      <c r="D479" s="6" t="s">
        <v>201</v>
      </c>
      <c r="E479" s="6" t="s">
        <v>13270</v>
      </c>
      <c r="F479" s="20" t="n">
        <f aca="false">SUM(Reconciliations!H666:H667)-Reconciliations!H668</f>
        <v>0</v>
      </c>
      <c r="G479" s="6" t="str">
        <f aca="false">IF(ABS(F479)&lt;=H479,"PASS","FAIL")</f>
        <v>PASS</v>
      </c>
      <c r="H479" s="6" t="n">
        <v>0.5</v>
      </c>
      <c r="I479" s="6"/>
    </row>
    <row r="480" customFormat="false" ht="15" hidden="false" customHeight="false" outlineLevel="0" collapsed="false">
      <c r="A480" s="6" t="s">
        <v>13271</v>
      </c>
      <c r="B480" s="6" t="s">
        <v>12873</v>
      </c>
      <c r="C480" s="6" t="s">
        <v>12883</v>
      </c>
      <c r="D480" s="6" t="s">
        <v>201</v>
      </c>
      <c r="E480" s="6" t="s">
        <v>13272</v>
      </c>
      <c r="F480" s="20" t="n">
        <f aca="false">SUM(Reconciliations!H669:H670)-Reconciliations!H671</f>
        <v>0</v>
      </c>
      <c r="G480" s="6" t="str">
        <f aca="false">IF(ABS(F480)&lt;=H480,"PASS","FAIL")</f>
        <v>PASS</v>
      </c>
      <c r="H480" s="6" t="n">
        <v>0.5</v>
      </c>
      <c r="I480" s="6"/>
    </row>
    <row r="481" customFormat="false" ht="15" hidden="false" customHeight="false" outlineLevel="0" collapsed="false">
      <c r="A481" s="6" t="s">
        <v>13273</v>
      </c>
      <c r="B481" s="6" t="s">
        <v>12873</v>
      </c>
      <c r="C481" s="6" t="s">
        <v>13145</v>
      </c>
      <c r="D481" s="6" t="s">
        <v>201</v>
      </c>
      <c r="E481" s="6" t="s">
        <v>13274</v>
      </c>
      <c r="F481" s="20" t="n">
        <f aca="false">SUM(Reconciliations!H672:H673)-Reconciliations!H674</f>
        <v>0</v>
      </c>
      <c r="G481" s="6" t="str">
        <f aca="false">IF(ABS(F481)&lt;=H481,"PASS","FAIL")</f>
        <v>PASS</v>
      </c>
      <c r="H481" s="6" t="n">
        <v>0.5</v>
      </c>
      <c r="I481" s="6"/>
    </row>
    <row r="482" customFormat="false" ht="15" hidden="false" customHeight="false" outlineLevel="0" collapsed="false">
      <c r="A482" s="6" t="s">
        <v>13275</v>
      </c>
      <c r="B482" s="6" t="s">
        <v>12873</v>
      </c>
      <c r="C482" s="6" t="s">
        <v>13205</v>
      </c>
      <c r="D482" s="6" t="s">
        <v>201</v>
      </c>
      <c r="E482" s="6" t="s">
        <v>13276</v>
      </c>
      <c r="F482" s="20" t="n">
        <f aca="false">SUM(Reconciliations!H675:H677)-Reconciliations!H678</f>
        <v>0</v>
      </c>
      <c r="G482" s="6" t="str">
        <f aca="false">IF(ABS(F482)&lt;=H482,"PASS","FAIL")</f>
        <v>PASS</v>
      </c>
      <c r="H482" s="6" t="n">
        <v>0.5</v>
      </c>
      <c r="I482" s="6"/>
    </row>
    <row r="483" customFormat="false" ht="15" hidden="false" customHeight="false" outlineLevel="0" collapsed="false">
      <c r="A483" s="6" t="s">
        <v>13277</v>
      </c>
      <c r="B483" s="6" t="s">
        <v>12873</v>
      </c>
      <c r="C483" s="6" t="s">
        <v>12913</v>
      </c>
      <c r="D483" s="6" t="s">
        <v>201</v>
      </c>
      <c r="E483" s="6" t="s">
        <v>13278</v>
      </c>
      <c r="F483" s="20" t="n">
        <f aca="false">SUM(Reconciliations!H679:H682)-Reconciliations!H683</f>
        <v>0</v>
      </c>
      <c r="G483" s="6" t="str">
        <f aca="false">IF(ABS(F483)&lt;=H483,"PASS","FAIL")</f>
        <v>PASS</v>
      </c>
      <c r="H483" s="6" t="n">
        <v>0.5</v>
      </c>
      <c r="I483" s="6"/>
    </row>
    <row r="484" customFormat="false" ht="15" hidden="false" customHeight="false" outlineLevel="0" collapsed="false">
      <c r="A484" s="6" t="s">
        <v>13279</v>
      </c>
      <c r="B484" s="6" t="s">
        <v>12873</v>
      </c>
      <c r="C484" s="6" t="s">
        <v>12874</v>
      </c>
      <c r="D484" s="6" t="s">
        <v>206</v>
      </c>
      <c r="E484" s="6" t="s">
        <v>13280</v>
      </c>
      <c r="F484" s="20" t="n">
        <f aca="false">SUM(Reconciliations!H684:H685)-Reconciliations!H686</f>
        <v>0</v>
      </c>
      <c r="G484" s="6" t="str">
        <f aca="false">IF(ABS(F484)&lt;=H484,"PASS","FAIL")</f>
        <v>PASS</v>
      </c>
      <c r="H484" s="6" t="n">
        <v>0.5</v>
      </c>
      <c r="I484" s="6"/>
    </row>
    <row r="485" customFormat="false" ht="15" hidden="false" customHeight="false" outlineLevel="0" collapsed="false">
      <c r="A485" s="6" t="s">
        <v>13281</v>
      </c>
      <c r="B485" s="6" t="s">
        <v>12873</v>
      </c>
      <c r="C485" s="6" t="s">
        <v>12877</v>
      </c>
      <c r="D485" s="6" t="s">
        <v>206</v>
      </c>
      <c r="E485" s="6" t="s">
        <v>13282</v>
      </c>
      <c r="F485" s="20" t="n">
        <f aca="false">SUM(Reconciliations!H687:H688)-Reconciliations!H689</f>
        <v>0</v>
      </c>
      <c r="G485" s="6" t="str">
        <f aca="false">IF(ABS(F485)&lt;=H485,"PASS","FAIL")</f>
        <v>PASS</v>
      </c>
      <c r="H485" s="6" t="n">
        <v>0.5</v>
      </c>
      <c r="I485" s="6"/>
    </row>
    <row r="486" customFormat="false" ht="15" hidden="false" customHeight="false" outlineLevel="0" collapsed="false">
      <c r="A486" s="6" t="s">
        <v>13283</v>
      </c>
      <c r="B486" s="6" t="s">
        <v>12873</v>
      </c>
      <c r="C486" s="6" t="s">
        <v>12880</v>
      </c>
      <c r="D486" s="6" t="s">
        <v>206</v>
      </c>
      <c r="E486" s="6" t="s">
        <v>13284</v>
      </c>
      <c r="F486" s="20" t="n">
        <f aca="false">SUM(Reconciliations!H690:H691)-Reconciliations!H692</f>
        <v>0</v>
      </c>
      <c r="G486" s="6" t="str">
        <f aca="false">IF(ABS(F486)&lt;=H486,"PASS","FAIL")</f>
        <v>PASS</v>
      </c>
      <c r="H486" s="6" t="n">
        <v>0.5</v>
      </c>
      <c r="I486" s="6"/>
    </row>
    <row r="487" customFormat="false" ht="15" hidden="false" customHeight="false" outlineLevel="0" collapsed="false">
      <c r="A487" s="6" t="s">
        <v>13285</v>
      </c>
      <c r="B487" s="6" t="s">
        <v>12873</v>
      </c>
      <c r="C487" s="6" t="s">
        <v>12883</v>
      </c>
      <c r="D487" s="6" t="s">
        <v>206</v>
      </c>
      <c r="E487" s="6" t="s">
        <v>13286</v>
      </c>
      <c r="F487" s="20" t="n">
        <f aca="false">SUM(Reconciliations!H693:H694)-Reconciliations!H695</f>
        <v>0</v>
      </c>
      <c r="G487" s="6" t="str">
        <f aca="false">IF(ABS(F487)&lt;=H487,"PASS","FAIL")</f>
        <v>PASS</v>
      </c>
      <c r="H487" s="6" t="n">
        <v>0.5</v>
      </c>
      <c r="I487" s="6"/>
    </row>
    <row r="488" customFormat="false" ht="15" hidden="false" customHeight="false" outlineLevel="0" collapsed="false">
      <c r="A488" s="6" t="s">
        <v>13287</v>
      </c>
      <c r="B488" s="6" t="s">
        <v>12873</v>
      </c>
      <c r="C488" s="6" t="s">
        <v>13145</v>
      </c>
      <c r="D488" s="6" t="s">
        <v>206</v>
      </c>
      <c r="E488" s="6" t="s">
        <v>13288</v>
      </c>
      <c r="F488" s="20" t="n">
        <f aca="false">SUM(Reconciliations!H696:H698)-Reconciliations!H699</f>
        <v>0</v>
      </c>
      <c r="G488" s="6" t="str">
        <f aca="false">IF(ABS(F488)&lt;=H488,"PASS","FAIL")</f>
        <v>PASS</v>
      </c>
      <c r="H488" s="6" t="n">
        <v>0.5</v>
      </c>
      <c r="I488" s="6"/>
    </row>
    <row r="489" customFormat="false" ht="15" hidden="false" customHeight="false" outlineLevel="0" collapsed="false">
      <c r="A489" s="6" t="s">
        <v>13289</v>
      </c>
      <c r="B489" s="6" t="s">
        <v>12873</v>
      </c>
      <c r="C489" s="6" t="s">
        <v>13205</v>
      </c>
      <c r="D489" s="6" t="s">
        <v>206</v>
      </c>
      <c r="E489" s="6" t="s">
        <v>13290</v>
      </c>
      <c r="F489" s="20" t="n">
        <f aca="false">SUM(Reconciliations!H700:H703)-Reconciliations!H704</f>
        <v>0</v>
      </c>
      <c r="G489" s="6" t="str">
        <f aca="false">IF(ABS(F489)&lt;=H489,"PASS","FAIL")</f>
        <v>PASS</v>
      </c>
      <c r="H489" s="6" t="n">
        <v>0.5</v>
      </c>
      <c r="I489" s="6"/>
    </row>
    <row r="490" customFormat="false" ht="15" hidden="false" customHeight="false" outlineLevel="0" collapsed="false">
      <c r="A490" s="6" t="s">
        <v>13291</v>
      </c>
      <c r="B490" s="6" t="s">
        <v>12873</v>
      </c>
      <c r="C490" s="6" t="s">
        <v>12913</v>
      </c>
      <c r="D490" s="6" t="s">
        <v>206</v>
      </c>
      <c r="E490" s="6" t="s">
        <v>13292</v>
      </c>
      <c r="F490" s="20" t="n">
        <f aca="false">SUM(Reconciliations!H705:H708)-Reconciliations!H709</f>
        <v>0</v>
      </c>
      <c r="G490" s="6" t="str">
        <f aca="false">IF(ABS(F490)&lt;=H490,"PASS","FAIL")</f>
        <v>PASS</v>
      </c>
      <c r="H490" s="6" t="n">
        <v>0.5</v>
      </c>
      <c r="I490" s="6"/>
    </row>
    <row r="491" customFormat="false" ht="15" hidden="false" customHeight="false" outlineLevel="0" collapsed="false">
      <c r="A491" s="6" t="s">
        <v>13293</v>
      </c>
      <c r="B491" s="6" t="s">
        <v>13294</v>
      </c>
      <c r="C491" s="6" t="s">
        <v>13295</v>
      </c>
      <c r="D491" s="6" t="s">
        <v>391</v>
      </c>
      <c r="E491" s="6" t="s">
        <v>13296</v>
      </c>
      <c r="F491" s="20" t="n">
        <f aca="false">Quarterly_Actuals!H2+Quarterly_Actuals!H3-Quarterly_Actuals!H4</f>
        <v>0</v>
      </c>
      <c r="G491" s="6" t="str">
        <f aca="false">IF(ABS(F491)&lt;=H491,"PASS","FAIL")</f>
        <v>PASS</v>
      </c>
      <c r="H491" s="6" t="n">
        <v>0.5</v>
      </c>
      <c r="I491" s="6"/>
    </row>
    <row r="492" customFormat="false" ht="15" hidden="false" customHeight="false" outlineLevel="0" collapsed="false">
      <c r="A492" s="6" t="s">
        <v>13297</v>
      </c>
      <c r="B492" s="6" t="s">
        <v>13294</v>
      </c>
      <c r="C492" s="6" t="s">
        <v>13298</v>
      </c>
      <c r="D492" s="6" t="s">
        <v>399</v>
      </c>
      <c r="E492" s="6" t="s">
        <v>13299</v>
      </c>
      <c r="F492" s="20" t="n">
        <f aca="false">Quarterly_Actuals!H2+Quarterly_Actuals!H3+Quarterly_Actuals!H5-Quarterly_Actuals!H6</f>
        <v>0</v>
      </c>
      <c r="G492" s="6" t="str">
        <f aca="false">IF(ABS(F492)&lt;=H492,"PASS","FAIL")</f>
        <v>PASS</v>
      </c>
      <c r="H492" s="6" t="n">
        <v>0.5</v>
      </c>
      <c r="I492" s="6"/>
    </row>
    <row r="493" customFormat="false" ht="15" hidden="false" customHeight="false" outlineLevel="0" collapsed="false">
      <c r="A493" s="6" t="s">
        <v>13300</v>
      </c>
      <c r="B493" s="6" t="s">
        <v>13294</v>
      </c>
      <c r="C493" s="6" t="s">
        <v>13301</v>
      </c>
      <c r="D493" s="6" t="s">
        <v>13302</v>
      </c>
      <c r="E493" s="6" t="s">
        <v>13303</v>
      </c>
      <c r="F493" s="20" t="n">
        <f aca="false">Quarterly_Actuals!H2+Quarterly_Actuals!H3+Quarterly_Actuals!H5+Quarterly_Actuals!H7-Quarterly_Actuals!H8</f>
        <v>0</v>
      </c>
      <c r="G493" s="6" t="str">
        <f aca="false">IF(ABS(F493)&lt;=H493,"PASS","FAIL")</f>
        <v>PASS</v>
      </c>
      <c r="H493" s="6" t="n">
        <v>0.5</v>
      </c>
      <c r="I493" s="6"/>
    </row>
    <row r="494" customFormat="false" ht="15" hidden="false" customHeight="false" outlineLevel="0" collapsed="false">
      <c r="A494" s="6" t="s">
        <v>13304</v>
      </c>
      <c r="B494" s="6" t="s">
        <v>13294</v>
      </c>
      <c r="C494" s="6" t="s">
        <v>13305</v>
      </c>
      <c r="D494" s="6" t="s">
        <v>391</v>
      </c>
      <c r="E494" s="6" t="s">
        <v>13306</v>
      </c>
      <c r="F494" s="20" t="n">
        <f aca="false">Quarterly_Actuals!H40+Quarterly_Actuals!H41-Quarterly_Actuals!H42</f>
        <v>0</v>
      </c>
      <c r="G494" s="6" t="str">
        <f aca="false">IF(ABS(F494)&lt;=H494,"PASS","FAIL")</f>
        <v>PASS</v>
      </c>
      <c r="H494" s="6" t="n">
        <v>0.5</v>
      </c>
      <c r="I494" s="6"/>
    </row>
    <row r="495" customFormat="false" ht="15" hidden="false" customHeight="false" outlineLevel="0" collapsed="false">
      <c r="A495" s="6" t="s">
        <v>13307</v>
      </c>
      <c r="B495" s="6" t="s">
        <v>13294</v>
      </c>
      <c r="C495" s="6" t="s">
        <v>13308</v>
      </c>
      <c r="D495" s="6" t="s">
        <v>399</v>
      </c>
      <c r="E495" s="6" t="s">
        <v>13309</v>
      </c>
      <c r="F495" s="20" t="n">
        <f aca="false">Quarterly_Actuals!H40+Quarterly_Actuals!H41+Quarterly_Actuals!H43-Quarterly_Actuals!H44</f>
        <v>0</v>
      </c>
      <c r="G495" s="6" t="str">
        <f aca="false">IF(ABS(F495)&lt;=H495,"PASS","FAIL")</f>
        <v>PASS</v>
      </c>
      <c r="H495" s="6" t="n">
        <v>0.5</v>
      </c>
      <c r="I495" s="6"/>
    </row>
    <row r="496" customFormat="false" ht="15" hidden="false" customHeight="false" outlineLevel="0" collapsed="false">
      <c r="A496" s="6" t="s">
        <v>13310</v>
      </c>
      <c r="B496" s="6" t="s">
        <v>13294</v>
      </c>
      <c r="C496" s="6" t="s">
        <v>13311</v>
      </c>
      <c r="D496" s="6" t="s">
        <v>13302</v>
      </c>
      <c r="E496" s="6" t="s">
        <v>13312</v>
      </c>
      <c r="F496" s="20" t="n">
        <f aca="false">Quarterly_Actuals!H40+Quarterly_Actuals!H41+Quarterly_Actuals!H43+Quarterly_Actuals!H45-Quarterly_Actuals!H46</f>
        <v>0</v>
      </c>
      <c r="G496" s="6" t="str">
        <f aca="false">IF(ABS(F496)&lt;=H496,"PASS","FAIL")</f>
        <v>PASS</v>
      </c>
      <c r="H496" s="6" t="n">
        <v>0.5</v>
      </c>
      <c r="I496" s="6"/>
    </row>
    <row r="497" customFormat="false" ht="15" hidden="false" customHeight="false" outlineLevel="0" collapsed="false">
      <c r="A497" s="6" t="s">
        <v>13313</v>
      </c>
      <c r="B497" s="6" t="s">
        <v>13294</v>
      </c>
      <c r="C497" s="6" t="s">
        <v>13314</v>
      </c>
      <c r="D497" s="6" t="s">
        <v>391</v>
      </c>
      <c r="E497" s="6" t="s">
        <v>13315</v>
      </c>
      <c r="F497" s="20" t="n">
        <f aca="false">Quarterly_Actuals!H78+Quarterly_Actuals!H79-Quarterly_Actuals!H80</f>
        <v>0</v>
      </c>
      <c r="G497" s="6" t="str">
        <f aca="false">IF(ABS(F497)&lt;=H497,"PASS","FAIL")</f>
        <v>PASS</v>
      </c>
      <c r="H497" s="6" t="n">
        <v>0.5</v>
      </c>
      <c r="I497" s="6"/>
    </row>
    <row r="498" customFormat="false" ht="15" hidden="false" customHeight="false" outlineLevel="0" collapsed="false">
      <c r="A498" s="6" t="s">
        <v>13316</v>
      </c>
      <c r="B498" s="6" t="s">
        <v>13294</v>
      </c>
      <c r="C498" s="6" t="s">
        <v>13317</v>
      </c>
      <c r="D498" s="6" t="s">
        <v>399</v>
      </c>
      <c r="E498" s="6" t="s">
        <v>13318</v>
      </c>
      <c r="F498" s="20" t="n">
        <f aca="false">Quarterly_Actuals!H78+Quarterly_Actuals!H79+Quarterly_Actuals!H81-Quarterly_Actuals!H82</f>
        <v>0</v>
      </c>
      <c r="G498" s="6" t="str">
        <f aca="false">IF(ABS(F498)&lt;=H498,"PASS","FAIL")</f>
        <v>PASS</v>
      </c>
      <c r="H498" s="6" t="n">
        <v>0.5</v>
      </c>
      <c r="I498" s="6"/>
    </row>
    <row r="499" customFormat="false" ht="15" hidden="false" customHeight="false" outlineLevel="0" collapsed="false">
      <c r="A499" s="6" t="s">
        <v>13319</v>
      </c>
      <c r="B499" s="6" t="s">
        <v>13294</v>
      </c>
      <c r="C499" s="6" t="s">
        <v>13320</v>
      </c>
      <c r="D499" s="6" t="s">
        <v>13302</v>
      </c>
      <c r="E499" s="6" t="s">
        <v>13321</v>
      </c>
      <c r="F499" s="20" t="n">
        <f aca="false">Quarterly_Actuals!H78+Quarterly_Actuals!H79+Quarterly_Actuals!H81+Quarterly_Actuals!H83-Quarterly_Actuals!H84</f>
        <v>0</v>
      </c>
      <c r="G499" s="6" t="str">
        <f aca="false">IF(ABS(F499)&lt;=H499,"PASS","FAIL")</f>
        <v>PASS</v>
      </c>
      <c r="H499" s="6" t="n">
        <v>0.5</v>
      </c>
      <c r="I499" s="6"/>
    </row>
    <row r="500" customFormat="false" ht="15" hidden="false" customHeight="false" outlineLevel="0" collapsed="false">
      <c r="A500" s="6" t="s">
        <v>13322</v>
      </c>
      <c r="B500" s="6" t="s">
        <v>13294</v>
      </c>
      <c r="C500" s="6" t="s">
        <v>13323</v>
      </c>
      <c r="D500" s="6" t="s">
        <v>391</v>
      </c>
      <c r="E500" s="6" t="s">
        <v>13324</v>
      </c>
      <c r="F500" s="20" t="n">
        <f aca="false">Quarterly_Actuals!H154+Quarterly_Actuals!H155-Quarterly_Actuals!H156</f>
        <v>0</v>
      </c>
      <c r="G500" s="6" t="str">
        <f aca="false">IF(ABS(F500)&lt;=H500,"PASS","FAIL")</f>
        <v>PASS</v>
      </c>
      <c r="H500" s="6" t="n">
        <v>0.5</v>
      </c>
      <c r="I500" s="6"/>
    </row>
    <row r="501" customFormat="false" ht="15" hidden="false" customHeight="false" outlineLevel="0" collapsed="false">
      <c r="A501" s="6" t="s">
        <v>13325</v>
      </c>
      <c r="B501" s="6" t="s">
        <v>13294</v>
      </c>
      <c r="C501" s="6" t="s">
        <v>13326</v>
      </c>
      <c r="D501" s="6" t="s">
        <v>399</v>
      </c>
      <c r="E501" s="6" t="s">
        <v>13327</v>
      </c>
      <c r="F501" s="20" t="n">
        <f aca="false">Quarterly_Actuals!H154+Quarterly_Actuals!H155+Quarterly_Actuals!H157-Quarterly_Actuals!H158</f>
        <v>0</v>
      </c>
      <c r="G501" s="6" t="str">
        <f aca="false">IF(ABS(F501)&lt;=H501,"PASS","FAIL")</f>
        <v>PASS</v>
      </c>
      <c r="H501" s="6" t="n">
        <v>0.5</v>
      </c>
      <c r="I501" s="6"/>
    </row>
    <row r="502" customFormat="false" ht="15" hidden="false" customHeight="false" outlineLevel="0" collapsed="false">
      <c r="A502" s="6" t="s">
        <v>13328</v>
      </c>
      <c r="B502" s="6" t="s">
        <v>13294</v>
      </c>
      <c r="C502" s="6" t="s">
        <v>13329</v>
      </c>
      <c r="D502" s="6" t="s">
        <v>13302</v>
      </c>
      <c r="E502" s="6" t="s">
        <v>13330</v>
      </c>
      <c r="F502" s="20" t="n">
        <f aca="false">Quarterly_Actuals!H154+Quarterly_Actuals!H155+Quarterly_Actuals!H157+Quarterly_Actuals!H159-Quarterly_Actuals!H160</f>
        <v>0</v>
      </c>
      <c r="G502" s="6" t="str">
        <f aca="false">IF(ABS(F502)&lt;=H502,"PASS","FAIL")</f>
        <v>PASS</v>
      </c>
      <c r="H502" s="6" t="n">
        <v>0.5</v>
      </c>
      <c r="I502" s="6"/>
    </row>
    <row r="503" customFormat="false" ht="15" hidden="false" customHeight="false" outlineLevel="0" collapsed="false">
      <c r="A503" s="6" t="s">
        <v>13331</v>
      </c>
      <c r="B503" s="6" t="s">
        <v>13294</v>
      </c>
      <c r="C503" s="6" t="s">
        <v>13332</v>
      </c>
      <c r="D503" s="6" t="s">
        <v>391</v>
      </c>
      <c r="E503" s="6" t="s">
        <v>13333</v>
      </c>
      <c r="F503" s="20" t="n">
        <f aca="false">Quarterly_Actuals!H192+Quarterly_Actuals!H193-Quarterly_Actuals!H194</f>
        <v>0</v>
      </c>
      <c r="G503" s="6" t="str">
        <f aca="false">IF(ABS(F503)&lt;=H503,"PASS","FAIL")</f>
        <v>PASS</v>
      </c>
      <c r="H503" s="6" t="n">
        <v>0.5</v>
      </c>
      <c r="I503" s="6"/>
    </row>
    <row r="504" customFormat="false" ht="15" hidden="false" customHeight="false" outlineLevel="0" collapsed="false">
      <c r="A504" s="6" t="s">
        <v>13334</v>
      </c>
      <c r="B504" s="6" t="s">
        <v>13294</v>
      </c>
      <c r="C504" s="6" t="s">
        <v>13335</v>
      </c>
      <c r="D504" s="6" t="s">
        <v>399</v>
      </c>
      <c r="E504" s="6" t="s">
        <v>13336</v>
      </c>
      <c r="F504" s="20" t="n">
        <f aca="false">Quarterly_Actuals!H192+Quarterly_Actuals!H193+Quarterly_Actuals!H195-Quarterly_Actuals!H196</f>
        <v>0</v>
      </c>
      <c r="G504" s="6" t="str">
        <f aca="false">IF(ABS(F504)&lt;=H504,"PASS","FAIL")</f>
        <v>PASS</v>
      </c>
      <c r="H504" s="6" t="n">
        <v>0.5</v>
      </c>
      <c r="I504" s="6"/>
    </row>
    <row r="505" customFormat="false" ht="15" hidden="false" customHeight="false" outlineLevel="0" collapsed="false">
      <c r="A505" s="6" t="s">
        <v>13337</v>
      </c>
      <c r="B505" s="6" t="s">
        <v>13294</v>
      </c>
      <c r="C505" s="6" t="s">
        <v>13338</v>
      </c>
      <c r="D505" s="6" t="s">
        <v>13302</v>
      </c>
      <c r="E505" s="6" t="s">
        <v>13339</v>
      </c>
      <c r="F505" s="20" t="n">
        <f aca="false">Quarterly_Actuals!H192+Quarterly_Actuals!H193+Quarterly_Actuals!H195+Quarterly_Actuals!H197-Quarterly_Actuals!H198</f>
        <v>0</v>
      </c>
      <c r="G505" s="6" t="str">
        <f aca="false">IF(ABS(F505)&lt;=H505,"PASS","FAIL")</f>
        <v>PASS</v>
      </c>
      <c r="H505" s="6" t="n">
        <v>0.5</v>
      </c>
      <c r="I505" s="6"/>
    </row>
    <row r="506" customFormat="false" ht="15" hidden="false" customHeight="false" outlineLevel="0" collapsed="false">
      <c r="A506" s="6" t="s">
        <v>13340</v>
      </c>
      <c r="B506" s="6" t="s">
        <v>13294</v>
      </c>
      <c r="C506" s="6" t="s">
        <v>13341</v>
      </c>
      <c r="D506" s="6" t="s">
        <v>391</v>
      </c>
      <c r="E506" s="6" t="s">
        <v>13342</v>
      </c>
      <c r="F506" s="20" t="n">
        <f aca="false">Quarterly_Actuals!H230+Quarterly_Actuals!H231-Quarterly_Actuals!H232</f>
        <v>0</v>
      </c>
      <c r="G506" s="6" t="str">
        <f aca="false">IF(ABS(F506)&lt;=H506,"PASS","FAIL")</f>
        <v>PASS</v>
      </c>
      <c r="H506" s="6" t="n">
        <v>0.5</v>
      </c>
      <c r="I506" s="6"/>
    </row>
    <row r="507" customFormat="false" ht="15" hidden="false" customHeight="false" outlineLevel="0" collapsed="false">
      <c r="A507" s="6" t="s">
        <v>13343</v>
      </c>
      <c r="B507" s="6" t="s">
        <v>13294</v>
      </c>
      <c r="C507" s="6" t="s">
        <v>13344</v>
      </c>
      <c r="D507" s="6" t="s">
        <v>399</v>
      </c>
      <c r="E507" s="6" t="s">
        <v>13345</v>
      </c>
      <c r="F507" s="20" t="n">
        <f aca="false">Quarterly_Actuals!H230+Quarterly_Actuals!H231+Quarterly_Actuals!H233-Quarterly_Actuals!H234</f>
        <v>0</v>
      </c>
      <c r="G507" s="6" t="str">
        <f aca="false">IF(ABS(F507)&lt;=H507,"PASS","FAIL")</f>
        <v>PASS</v>
      </c>
      <c r="H507" s="6" t="n">
        <v>0.5</v>
      </c>
      <c r="I507" s="6"/>
    </row>
    <row r="508" customFormat="false" ht="15" hidden="false" customHeight="false" outlineLevel="0" collapsed="false">
      <c r="A508" s="6" t="s">
        <v>13346</v>
      </c>
      <c r="B508" s="6" t="s">
        <v>13294</v>
      </c>
      <c r="C508" s="6" t="s">
        <v>13347</v>
      </c>
      <c r="D508" s="6" t="s">
        <v>13302</v>
      </c>
      <c r="E508" s="6" t="s">
        <v>13348</v>
      </c>
      <c r="F508" s="20" t="n">
        <f aca="false">Quarterly_Actuals!H230+Quarterly_Actuals!H231+Quarterly_Actuals!H233+Quarterly_Actuals!H235-Quarterly_Actuals!H236</f>
        <v>0</v>
      </c>
      <c r="G508" s="6" t="str">
        <f aca="false">IF(ABS(F508)&lt;=H508,"PASS","FAIL")</f>
        <v>PASS</v>
      </c>
      <c r="H508" s="6" t="n">
        <v>0.5</v>
      </c>
      <c r="I508" s="6"/>
    </row>
    <row r="509" customFormat="false" ht="15" hidden="false" customHeight="false" outlineLevel="0" collapsed="false">
      <c r="A509" s="6" t="s">
        <v>13349</v>
      </c>
      <c r="B509" s="6" t="s">
        <v>13294</v>
      </c>
      <c r="C509" s="6" t="s">
        <v>13350</v>
      </c>
      <c r="D509" s="6" t="s">
        <v>391</v>
      </c>
      <c r="E509" s="6" t="s">
        <v>13351</v>
      </c>
      <c r="F509" s="20" t="n">
        <f aca="false">Quarterly_Actuals!H270+Quarterly_Actuals!H271-Quarterly_Actuals!H272</f>
        <v>0</v>
      </c>
      <c r="G509" s="6" t="str">
        <f aca="false">IF(ABS(F509)&lt;=H509,"PASS","FAIL")</f>
        <v>PASS</v>
      </c>
      <c r="H509" s="6" t="n">
        <v>0.5</v>
      </c>
      <c r="I509" s="6"/>
    </row>
    <row r="510" customFormat="false" ht="15" hidden="false" customHeight="false" outlineLevel="0" collapsed="false">
      <c r="A510" s="6" t="s">
        <v>13352</v>
      </c>
      <c r="B510" s="6" t="s">
        <v>13294</v>
      </c>
      <c r="C510" s="6" t="s">
        <v>13353</v>
      </c>
      <c r="D510" s="6" t="s">
        <v>399</v>
      </c>
      <c r="E510" s="6" t="s">
        <v>13354</v>
      </c>
      <c r="F510" s="20" t="n">
        <f aca="false">Quarterly_Actuals!H270+Quarterly_Actuals!H271+Quarterly_Actuals!H273-Quarterly_Actuals!H274</f>
        <v>0</v>
      </c>
      <c r="G510" s="6" t="str">
        <f aca="false">IF(ABS(F510)&lt;=H510,"PASS","FAIL")</f>
        <v>PASS</v>
      </c>
      <c r="H510" s="6" t="n">
        <v>0.5</v>
      </c>
      <c r="I510" s="6"/>
    </row>
    <row r="511" customFormat="false" ht="15" hidden="false" customHeight="false" outlineLevel="0" collapsed="false">
      <c r="A511" s="6" t="s">
        <v>13355</v>
      </c>
      <c r="B511" s="6" t="s">
        <v>13294</v>
      </c>
      <c r="C511" s="6" t="s">
        <v>13356</v>
      </c>
      <c r="D511" s="6" t="s">
        <v>13302</v>
      </c>
      <c r="E511" s="6" t="s">
        <v>13357</v>
      </c>
      <c r="F511" s="20" t="n">
        <f aca="false">Quarterly_Actuals!H270+Quarterly_Actuals!H271+Quarterly_Actuals!H273+Quarterly_Actuals!H275-Quarterly_Actuals!H276</f>
        <v>0</v>
      </c>
      <c r="G511" s="6" t="str">
        <f aca="false">IF(ABS(F511)&lt;=H511,"PASS","FAIL")</f>
        <v>PASS</v>
      </c>
      <c r="H511" s="6" t="n">
        <v>0.5</v>
      </c>
      <c r="I511" s="6"/>
    </row>
    <row r="512" customFormat="false" ht="15" hidden="false" customHeight="false" outlineLevel="0" collapsed="false">
      <c r="A512" s="6" t="s">
        <v>13358</v>
      </c>
      <c r="B512" s="6" t="s">
        <v>13294</v>
      </c>
      <c r="C512" s="6" t="s">
        <v>13359</v>
      </c>
      <c r="D512" s="6" t="s">
        <v>391</v>
      </c>
      <c r="E512" s="6" t="s">
        <v>13360</v>
      </c>
      <c r="F512" s="20" t="n">
        <f aca="false">Quarterly_Actuals!H308+Quarterly_Actuals!H309-Quarterly_Actuals!H310</f>
        <v>0</v>
      </c>
      <c r="G512" s="6" t="str">
        <f aca="false">IF(ABS(F512)&lt;=H512,"PASS","FAIL")</f>
        <v>PASS</v>
      </c>
      <c r="H512" s="6" t="n">
        <v>0.5</v>
      </c>
      <c r="I512" s="6"/>
    </row>
    <row r="513" customFormat="false" ht="15" hidden="false" customHeight="false" outlineLevel="0" collapsed="false">
      <c r="A513" s="6" t="s">
        <v>13361</v>
      </c>
      <c r="B513" s="6" t="s">
        <v>13294</v>
      </c>
      <c r="C513" s="6" t="s">
        <v>13362</v>
      </c>
      <c r="D513" s="6" t="s">
        <v>399</v>
      </c>
      <c r="E513" s="6" t="s">
        <v>13363</v>
      </c>
      <c r="F513" s="20" t="n">
        <f aca="false">Quarterly_Actuals!H308+Quarterly_Actuals!H309+Quarterly_Actuals!H311-Quarterly_Actuals!H312</f>
        <v>0</v>
      </c>
      <c r="G513" s="6" t="str">
        <f aca="false">IF(ABS(F513)&lt;=H513,"PASS","FAIL")</f>
        <v>PASS</v>
      </c>
      <c r="H513" s="6" t="n">
        <v>0.5</v>
      </c>
      <c r="I513" s="6"/>
    </row>
    <row r="514" customFormat="false" ht="15" hidden="false" customHeight="false" outlineLevel="0" collapsed="false">
      <c r="A514" s="6" t="s">
        <v>13364</v>
      </c>
      <c r="B514" s="6" t="s">
        <v>13294</v>
      </c>
      <c r="C514" s="6" t="s">
        <v>13365</v>
      </c>
      <c r="D514" s="6" t="s">
        <v>13302</v>
      </c>
      <c r="E514" s="6" t="s">
        <v>13366</v>
      </c>
      <c r="F514" s="20" t="n">
        <f aca="false">Quarterly_Actuals!H308+Quarterly_Actuals!H309+Quarterly_Actuals!H311+Quarterly_Actuals!H313-Quarterly_Actuals!H314</f>
        <v>0</v>
      </c>
      <c r="G514" s="6" t="str">
        <f aca="false">IF(ABS(F514)&lt;=H514,"PASS","FAIL")</f>
        <v>PASS</v>
      </c>
      <c r="H514" s="6" t="n">
        <v>0.5</v>
      </c>
      <c r="I514" s="6"/>
    </row>
    <row r="515" customFormat="false" ht="15" hidden="false" customHeight="false" outlineLevel="0" collapsed="false">
      <c r="A515" s="6" t="s">
        <v>13367</v>
      </c>
      <c r="B515" s="6" t="s">
        <v>13294</v>
      </c>
      <c r="C515" s="6" t="s">
        <v>13368</v>
      </c>
      <c r="D515" s="6" t="s">
        <v>391</v>
      </c>
      <c r="E515" s="6" t="s">
        <v>13369</v>
      </c>
      <c r="F515" s="20" t="n">
        <f aca="false">Quarterly_Actuals!H384+Quarterly_Actuals!H385-Quarterly_Actuals!H386</f>
        <v>0</v>
      </c>
      <c r="G515" s="6" t="str">
        <f aca="false">IF(ABS(F515)&lt;=H515,"PASS","FAIL")</f>
        <v>PASS</v>
      </c>
      <c r="H515" s="6" t="n">
        <v>0.5</v>
      </c>
      <c r="I515" s="6"/>
    </row>
    <row r="516" customFormat="false" ht="15" hidden="false" customHeight="false" outlineLevel="0" collapsed="false">
      <c r="A516" s="6" t="s">
        <v>13370</v>
      </c>
      <c r="B516" s="6" t="s">
        <v>13294</v>
      </c>
      <c r="C516" s="6" t="s">
        <v>13371</v>
      </c>
      <c r="D516" s="6" t="s">
        <v>399</v>
      </c>
      <c r="E516" s="6" t="s">
        <v>13372</v>
      </c>
      <c r="F516" s="20" t="n">
        <f aca="false">Quarterly_Actuals!H384+Quarterly_Actuals!H385+Quarterly_Actuals!H387-Quarterly_Actuals!H388</f>
        <v>0</v>
      </c>
      <c r="G516" s="6" t="str">
        <f aca="false">IF(ABS(F516)&lt;=H516,"PASS","FAIL")</f>
        <v>PASS</v>
      </c>
      <c r="H516" s="6" t="n">
        <v>0.5</v>
      </c>
      <c r="I516" s="6"/>
    </row>
    <row r="517" customFormat="false" ht="15" hidden="false" customHeight="false" outlineLevel="0" collapsed="false">
      <c r="A517" s="6" t="s">
        <v>13373</v>
      </c>
      <c r="B517" s="6" t="s">
        <v>13294</v>
      </c>
      <c r="C517" s="6" t="s">
        <v>13374</v>
      </c>
      <c r="D517" s="6" t="s">
        <v>13302</v>
      </c>
      <c r="E517" s="6" t="s">
        <v>13375</v>
      </c>
      <c r="F517" s="20" t="n">
        <f aca="false">Quarterly_Actuals!H384+Quarterly_Actuals!H385+Quarterly_Actuals!H387+Quarterly_Actuals!H389-Quarterly_Actuals!H390</f>
        <v>0</v>
      </c>
      <c r="G517" s="6" t="str">
        <f aca="false">IF(ABS(F517)&lt;=H517,"PASS","FAIL")</f>
        <v>PASS</v>
      </c>
      <c r="H517" s="6" t="n">
        <v>0.5</v>
      </c>
      <c r="I517" s="6"/>
    </row>
    <row r="518" customFormat="false" ht="15" hidden="false" customHeight="false" outlineLevel="0" collapsed="false">
      <c r="A518" s="6" t="s">
        <v>13376</v>
      </c>
      <c r="B518" s="6" t="s">
        <v>13294</v>
      </c>
      <c r="C518" s="6" t="s">
        <v>13377</v>
      </c>
      <c r="D518" s="6" t="s">
        <v>391</v>
      </c>
      <c r="E518" s="6" t="s">
        <v>13378</v>
      </c>
      <c r="F518" s="20" t="n">
        <f aca="false">Quarterly_Actuals!H476+Quarterly_Actuals!H477-Quarterly_Actuals!H478</f>
        <v>0</v>
      </c>
      <c r="G518" s="6" t="str">
        <f aca="false">IF(ABS(F518)&lt;=H518,"PASS","FAIL")</f>
        <v>PASS</v>
      </c>
      <c r="H518" s="6" t="n">
        <v>0.5</v>
      </c>
      <c r="I518" s="6"/>
    </row>
    <row r="519" customFormat="false" ht="15" hidden="false" customHeight="false" outlineLevel="0" collapsed="false">
      <c r="A519" s="6" t="s">
        <v>13379</v>
      </c>
      <c r="B519" s="6" t="s">
        <v>13294</v>
      </c>
      <c r="C519" s="6" t="s">
        <v>13380</v>
      </c>
      <c r="D519" s="6" t="s">
        <v>399</v>
      </c>
      <c r="E519" s="6" t="s">
        <v>13381</v>
      </c>
      <c r="F519" s="20" t="n">
        <f aca="false">Quarterly_Actuals!H476+Quarterly_Actuals!H477+Quarterly_Actuals!H479-Quarterly_Actuals!H480</f>
        <v>0</v>
      </c>
      <c r="G519" s="6" t="str">
        <f aca="false">IF(ABS(F519)&lt;=H519,"PASS","FAIL")</f>
        <v>PASS</v>
      </c>
      <c r="H519" s="6" t="n">
        <v>0.5</v>
      </c>
      <c r="I519" s="6"/>
    </row>
    <row r="520" customFormat="false" ht="15" hidden="false" customHeight="false" outlineLevel="0" collapsed="false">
      <c r="A520" s="6" t="s">
        <v>13382</v>
      </c>
      <c r="B520" s="6" t="s">
        <v>13294</v>
      </c>
      <c r="C520" s="6" t="s">
        <v>13383</v>
      </c>
      <c r="D520" s="6" t="s">
        <v>13302</v>
      </c>
      <c r="E520" s="6" t="s">
        <v>13384</v>
      </c>
      <c r="F520" s="20" t="n">
        <f aca="false">Quarterly_Actuals!H476+Quarterly_Actuals!H477+Quarterly_Actuals!H479+Quarterly_Actuals!H481-Quarterly_Actuals!H482</f>
        <v>0</v>
      </c>
      <c r="G520" s="6" t="str">
        <f aca="false">IF(ABS(F520)&lt;=H520,"PASS","FAIL")</f>
        <v>PASS</v>
      </c>
      <c r="H520" s="6" t="n">
        <v>0.5</v>
      </c>
      <c r="I520" s="6"/>
    </row>
    <row r="521" customFormat="false" ht="15" hidden="false" customHeight="false" outlineLevel="0" collapsed="false">
      <c r="A521" s="6" t="s">
        <v>13385</v>
      </c>
      <c r="B521" s="6" t="s">
        <v>13294</v>
      </c>
      <c r="C521" s="6" t="s">
        <v>13386</v>
      </c>
      <c r="D521" s="6" t="s">
        <v>391</v>
      </c>
      <c r="E521" s="6" t="s">
        <v>13387</v>
      </c>
      <c r="F521" s="20" t="n">
        <f aca="false">Quarterly_Actuals!H552+Quarterly_Actuals!H553-Quarterly_Actuals!H554</f>
        <v>0</v>
      </c>
      <c r="G521" s="6" t="str">
        <f aca="false">IF(ABS(F521)&lt;=H521,"PASS","FAIL")</f>
        <v>PASS</v>
      </c>
      <c r="H521" s="6" t="n">
        <v>0.5</v>
      </c>
      <c r="I521" s="6"/>
    </row>
    <row r="522" customFormat="false" ht="15" hidden="false" customHeight="false" outlineLevel="0" collapsed="false">
      <c r="A522" s="6" t="s">
        <v>13388</v>
      </c>
      <c r="B522" s="6" t="s">
        <v>13294</v>
      </c>
      <c r="C522" s="6" t="s">
        <v>13389</v>
      </c>
      <c r="D522" s="6" t="s">
        <v>399</v>
      </c>
      <c r="E522" s="6" t="s">
        <v>13390</v>
      </c>
      <c r="F522" s="20" t="n">
        <f aca="false">Quarterly_Actuals!H552+Quarterly_Actuals!H553+Quarterly_Actuals!H555-Quarterly_Actuals!H556</f>
        <v>0</v>
      </c>
      <c r="G522" s="6" t="str">
        <f aca="false">IF(ABS(F522)&lt;=H522,"PASS","FAIL")</f>
        <v>PASS</v>
      </c>
      <c r="H522" s="6" t="n">
        <v>0.5</v>
      </c>
      <c r="I522" s="6"/>
    </row>
    <row r="523" customFormat="false" ht="15" hidden="false" customHeight="false" outlineLevel="0" collapsed="false">
      <c r="A523" s="6" t="s">
        <v>13391</v>
      </c>
      <c r="B523" s="6" t="s">
        <v>13294</v>
      </c>
      <c r="C523" s="6" t="s">
        <v>13392</v>
      </c>
      <c r="D523" s="6" t="s">
        <v>13302</v>
      </c>
      <c r="E523" s="6" t="s">
        <v>13393</v>
      </c>
      <c r="F523" s="20" t="n">
        <f aca="false">Quarterly_Actuals!H552+Quarterly_Actuals!H553+Quarterly_Actuals!H555+Quarterly_Actuals!H557-Quarterly_Actuals!H558</f>
        <v>0</v>
      </c>
      <c r="G523" s="6" t="str">
        <f aca="false">IF(ABS(F523)&lt;=H523,"PASS","FAIL")</f>
        <v>PASS</v>
      </c>
      <c r="H523" s="6" t="n">
        <v>0.5</v>
      </c>
      <c r="I523" s="6"/>
    </row>
    <row r="524" customFormat="false" ht="15" hidden="false" customHeight="false" outlineLevel="0" collapsed="false">
      <c r="A524" s="6" t="s">
        <v>13394</v>
      </c>
      <c r="B524" s="6" t="s">
        <v>13294</v>
      </c>
      <c r="C524" s="6" t="s">
        <v>13395</v>
      </c>
      <c r="D524" s="6" t="s">
        <v>391</v>
      </c>
      <c r="E524" s="6" t="s">
        <v>13396</v>
      </c>
      <c r="F524" s="20" t="n">
        <f aca="false">Quarterly_Actuals!H590+Quarterly_Actuals!H591-Quarterly_Actuals!H592</f>
        <v>0</v>
      </c>
      <c r="G524" s="6" t="str">
        <f aca="false">IF(ABS(F524)&lt;=H524,"PASS","FAIL")</f>
        <v>PASS</v>
      </c>
      <c r="H524" s="6" t="n">
        <v>0.5</v>
      </c>
      <c r="I524" s="6"/>
    </row>
    <row r="525" customFormat="false" ht="15" hidden="false" customHeight="false" outlineLevel="0" collapsed="false">
      <c r="A525" s="6" t="s">
        <v>13397</v>
      </c>
      <c r="B525" s="6" t="s">
        <v>13294</v>
      </c>
      <c r="C525" s="6" t="s">
        <v>13398</v>
      </c>
      <c r="D525" s="6" t="s">
        <v>399</v>
      </c>
      <c r="E525" s="6" t="s">
        <v>13399</v>
      </c>
      <c r="F525" s="20" t="n">
        <f aca="false">Quarterly_Actuals!H590+Quarterly_Actuals!H591+Quarterly_Actuals!H593-Quarterly_Actuals!H594</f>
        <v>0</v>
      </c>
      <c r="G525" s="6" t="str">
        <f aca="false">IF(ABS(F525)&lt;=H525,"PASS","FAIL")</f>
        <v>PASS</v>
      </c>
      <c r="H525" s="6" t="n">
        <v>0.5</v>
      </c>
      <c r="I525" s="6"/>
    </row>
    <row r="526" customFormat="false" ht="15" hidden="false" customHeight="false" outlineLevel="0" collapsed="false">
      <c r="A526" s="6" t="s">
        <v>13400</v>
      </c>
      <c r="B526" s="6" t="s">
        <v>13294</v>
      </c>
      <c r="C526" s="6" t="s">
        <v>13401</v>
      </c>
      <c r="D526" s="6" t="s">
        <v>13302</v>
      </c>
      <c r="E526" s="6" t="s">
        <v>13402</v>
      </c>
      <c r="F526" s="20" t="n">
        <f aca="false">Quarterly_Actuals!H590+Quarterly_Actuals!H591+Quarterly_Actuals!H593+Quarterly_Actuals!H595-Quarterly_Actuals!H596</f>
        <v>0</v>
      </c>
      <c r="G526" s="6" t="str">
        <f aca="false">IF(ABS(F526)&lt;=H526,"PASS","FAIL")</f>
        <v>PASS</v>
      </c>
      <c r="H526" s="6" t="n">
        <v>0.5</v>
      </c>
      <c r="I526" s="6"/>
    </row>
    <row r="527" customFormat="false" ht="15" hidden="false" customHeight="false" outlineLevel="0" collapsed="false">
      <c r="A527" s="6" t="s">
        <v>13403</v>
      </c>
      <c r="B527" s="6" t="s">
        <v>13294</v>
      </c>
      <c r="C527" s="6" t="s">
        <v>13404</v>
      </c>
      <c r="D527" s="6" t="s">
        <v>391</v>
      </c>
      <c r="E527" s="6" t="s">
        <v>13405</v>
      </c>
      <c r="F527" s="20" t="n">
        <f aca="false">Quarterly_Actuals!H628+Quarterly_Actuals!H629-Quarterly_Actuals!H630</f>
        <v>0</v>
      </c>
      <c r="G527" s="6" t="str">
        <f aca="false">IF(ABS(F527)&lt;=H527,"PASS","FAIL")</f>
        <v>PASS</v>
      </c>
      <c r="H527" s="6" t="n">
        <v>0.5</v>
      </c>
      <c r="I527" s="6"/>
    </row>
    <row r="528" customFormat="false" ht="15" hidden="false" customHeight="false" outlineLevel="0" collapsed="false">
      <c r="A528" s="6" t="s">
        <v>13406</v>
      </c>
      <c r="B528" s="6" t="s">
        <v>13294</v>
      </c>
      <c r="C528" s="6" t="s">
        <v>13407</v>
      </c>
      <c r="D528" s="6" t="s">
        <v>399</v>
      </c>
      <c r="E528" s="6" t="s">
        <v>13408</v>
      </c>
      <c r="F528" s="20" t="n">
        <f aca="false">Quarterly_Actuals!H628+Quarterly_Actuals!H629+Quarterly_Actuals!H631-Quarterly_Actuals!H632</f>
        <v>0</v>
      </c>
      <c r="G528" s="6" t="str">
        <f aca="false">IF(ABS(F528)&lt;=H528,"PASS","FAIL")</f>
        <v>PASS</v>
      </c>
      <c r="H528" s="6" t="n">
        <v>0.5</v>
      </c>
      <c r="I528" s="6"/>
    </row>
    <row r="529" customFormat="false" ht="15" hidden="false" customHeight="false" outlineLevel="0" collapsed="false">
      <c r="A529" s="6" t="s">
        <v>13409</v>
      </c>
      <c r="B529" s="6" t="s">
        <v>13294</v>
      </c>
      <c r="C529" s="6" t="s">
        <v>13410</v>
      </c>
      <c r="D529" s="6" t="s">
        <v>13302</v>
      </c>
      <c r="E529" s="6" t="s">
        <v>13411</v>
      </c>
      <c r="F529" s="20" t="n">
        <f aca="false">Quarterly_Actuals!H628+Quarterly_Actuals!H629+Quarterly_Actuals!H631+Quarterly_Actuals!H633-Quarterly_Actuals!H634</f>
        <v>0</v>
      </c>
      <c r="G529" s="6" t="str">
        <f aca="false">IF(ABS(F529)&lt;=H529,"PASS","FAIL")</f>
        <v>PASS</v>
      </c>
      <c r="H529" s="6" t="n">
        <v>0.5</v>
      </c>
      <c r="I529" s="6"/>
    </row>
    <row r="530" customFormat="false" ht="15" hidden="false" customHeight="false" outlineLevel="0" collapsed="false">
      <c r="A530" s="6" t="s">
        <v>13412</v>
      </c>
      <c r="B530" s="6" t="s">
        <v>13294</v>
      </c>
      <c r="C530" s="6" t="s">
        <v>13413</v>
      </c>
      <c r="D530" s="6" t="s">
        <v>391</v>
      </c>
      <c r="E530" s="6" t="s">
        <v>13414</v>
      </c>
      <c r="F530" s="20" t="n">
        <f aca="false">Quarterly_Actuals!H666+Quarterly_Actuals!H667-Quarterly_Actuals!H668</f>
        <v>0</v>
      </c>
      <c r="G530" s="6" t="str">
        <f aca="false">IF(ABS(F530)&lt;=H530,"PASS","FAIL")</f>
        <v>PASS</v>
      </c>
      <c r="H530" s="6" t="n">
        <v>0.5</v>
      </c>
      <c r="I530" s="6"/>
    </row>
    <row r="531" customFormat="false" ht="15" hidden="false" customHeight="false" outlineLevel="0" collapsed="false">
      <c r="A531" s="6" t="s">
        <v>13415</v>
      </c>
      <c r="B531" s="6" t="s">
        <v>13294</v>
      </c>
      <c r="C531" s="6" t="s">
        <v>13416</v>
      </c>
      <c r="D531" s="6" t="s">
        <v>399</v>
      </c>
      <c r="E531" s="6" t="s">
        <v>13417</v>
      </c>
      <c r="F531" s="20" t="n">
        <f aca="false">Quarterly_Actuals!H666+Quarterly_Actuals!H667+Quarterly_Actuals!H669-Quarterly_Actuals!H670</f>
        <v>0</v>
      </c>
      <c r="G531" s="6" t="str">
        <f aca="false">IF(ABS(F531)&lt;=H531,"PASS","FAIL")</f>
        <v>PASS</v>
      </c>
      <c r="H531" s="6" t="n">
        <v>0.5</v>
      </c>
      <c r="I531" s="6"/>
    </row>
    <row r="532" customFormat="false" ht="15" hidden="false" customHeight="false" outlineLevel="0" collapsed="false">
      <c r="A532" s="6" t="s">
        <v>13418</v>
      </c>
      <c r="B532" s="6" t="s">
        <v>13294</v>
      </c>
      <c r="C532" s="6" t="s">
        <v>13419</v>
      </c>
      <c r="D532" s="6" t="s">
        <v>13302</v>
      </c>
      <c r="E532" s="6" t="s">
        <v>13420</v>
      </c>
      <c r="F532" s="20" t="n">
        <f aca="false">Quarterly_Actuals!H666+Quarterly_Actuals!H667+Quarterly_Actuals!H669+Quarterly_Actuals!H671-Quarterly_Actuals!H672</f>
        <v>0</v>
      </c>
      <c r="G532" s="6" t="str">
        <f aca="false">IF(ABS(F532)&lt;=H532,"PASS","FAIL")</f>
        <v>PASS</v>
      </c>
      <c r="H532" s="6" t="n">
        <v>0.5</v>
      </c>
      <c r="I532" s="6"/>
    </row>
    <row r="533" customFormat="false" ht="15" hidden="false" customHeight="false" outlineLevel="0" collapsed="false">
      <c r="A533" s="6" t="s">
        <v>13421</v>
      </c>
      <c r="B533" s="6" t="s">
        <v>13294</v>
      </c>
      <c r="C533" s="6" t="s">
        <v>13422</v>
      </c>
      <c r="D533" s="6" t="s">
        <v>391</v>
      </c>
      <c r="E533" s="6" t="s">
        <v>13423</v>
      </c>
      <c r="F533" s="20" t="n">
        <f aca="false">Quarterly_Actuals!H742+Quarterly_Actuals!H743-Quarterly_Actuals!H744</f>
        <v>0</v>
      </c>
      <c r="G533" s="6" t="str">
        <f aca="false">IF(ABS(F533)&lt;=H533,"PASS","FAIL")</f>
        <v>PASS</v>
      </c>
      <c r="H533" s="6" t="n">
        <v>0.5</v>
      </c>
      <c r="I533" s="6"/>
    </row>
    <row r="534" customFormat="false" ht="15" hidden="false" customHeight="false" outlineLevel="0" collapsed="false">
      <c r="A534" s="6" t="s">
        <v>13424</v>
      </c>
      <c r="B534" s="6" t="s">
        <v>13294</v>
      </c>
      <c r="C534" s="6" t="s">
        <v>13425</v>
      </c>
      <c r="D534" s="6" t="s">
        <v>399</v>
      </c>
      <c r="E534" s="6" t="s">
        <v>13426</v>
      </c>
      <c r="F534" s="20" t="n">
        <f aca="false">Quarterly_Actuals!H742+Quarterly_Actuals!H743+Quarterly_Actuals!H745-Quarterly_Actuals!H746</f>
        <v>0</v>
      </c>
      <c r="G534" s="6" t="str">
        <f aca="false">IF(ABS(F534)&lt;=H534,"PASS","FAIL")</f>
        <v>PASS</v>
      </c>
      <c r="H534" s="6" t="n">
        <v>0.5</v>
      </c>
      <c r="I534" s="6"/>
    </row>
    <row r="535" customFormat="false" ht="15" hidden="false" customHeight="false" outlineLevel="0" collapsed="false">
      <c r="A535" s="6" t="s">
        <v>13427</v>
      </c>
      <c r="B535" s="6" t="s">
        <v>13294</v>
      </c>
      <c r="C535" s="6" t="s">
        <v>13428</v>
      </c>
      <c r="D535" s="6" t="s">
        <v>13302</v>
      </c>
      <c r="E535" s="6" t="s">
        <v>13429</v>
      </c>
      <c r="F535" s="20" t="n">
        <f aca="false">Quarterly_Actuals!H742+Quarterly_Actuals!H743+Quarterly_Actuals!H745+Quarterly_Actuals!H747-Quarterly_Actuals!H748</f>
        <v>0</v>
      </c>
      <c r="G535" s="6" t="str">
        <f aca="false">IF(ABS(F535)&lt;=H535,"PASS","FAIL")</f>
        <v>PASS</v>
      </c>
      <c r="H535" s="6" t="n">
        <v>0.5</v>
      </c>
      <c r="I535" s="6"/>
    </row>
    <row r="536" customFormat="false" ht="15" hidden="false" customHeight="false" outlineLevel="0" collapsed="false">
      <c r="A536" s="6" t="s">
        <v>13430</v>
      </c>
      <c r="B536" s="6" t="s">
        <v>13294</v>
      </c>
      <c r="C536" s="6" t="s">
        <v>13431</v>
      </c>
      <c r="D536" s="6" t="s">
        <v>391</v>
      </c>
      <c r="E536" s="6" t="s">
        <v>13432</v>
      </c>
      <c r="F536" s="20" t="n">
        <f aca="false">Quarterly_Actuals!H834+Quarterly_Actuals!H835-Quarterly_Actuals!H836</f>
        <v>0</v>
      </c>
      <c r="G536" s="6" t="str">
        <f aca="false">IF(ABS(F536)&lt;=H536,"PASS","FAIL")</f>
        <v>PASS</v>
      </c>
      <c r="H536" s="6" t="n">
        <v>0.5</v>
      </c>
      <c r="I536" s="6"/>
    </row>
    <row r="537" customFormat="false" ht="15" hidden="false" customHeight="false" outlineLevel="0" collapsed="false">
      <c r="A537" s="6" t="s">
        <v>13433</v>
      </c>
      <c r="B537" s="6" t="s">
        <v>13294</v>
      </c>
      <c r="C537" s="6" t="s">
        <v>13434</v>
      </c>
      <c r="D537" s="6" t="s">
        <v>399</v>
      </c>
      <c r="E537" s="6" t="s">
        <v>13435</v>
      </c>
      <c r="F537" s="20" t="n">
        <f aca="false">Quarterly_Actuals!H834+Quarterly_Actuals!H835+Quarterly_Actuals!H837-Quarterly_Actuals!H838</f>
        <v>0</v>
      </c>
      <c r="G537" s="6" t="str">
        <f aca="false">IF(ABS(F537)&lt;=H537,"PASS","FAIL")</f>
        <v>PASS</v>
      </c>
      <c r="H537" s="6" t="n">
        <v>0.5</v>
      </c>
      <c r="I537" s="6"/>
    </row>
    <row r="538" customFormat="false" ht="15" hidden="false" customHeight="false" outlineLevel="0" collapsed="false">
      <c r="A538" s="6" t="s">
        <v>13436</v>
      </c>
      <c r="B538" s="6" t="s">
        <v>13294</v>
      </c>
      <c r="C538" s="6" t="s">
        <v>13437</v>
      </c>
      <c r="D538" s="6" t="s">
        <v>13302</v>
      </c>
      <c r="E538" s="6" t="s">
        <v>13438</v>
      </c>
      <c r="F538" s="20" t="n">
        <f aca="false">Quarterly_Actuals!H834+Quarterly_Actuals!H835+Quarterly_Actuals!H837+Quarterly_Actuals!H839-Quarterly_Actuals!H840</f>
        <v>0</v>
      </c>
      <c r="G538" s="6" t="str">
        <f aca="false">IF(ABS(F538)&lt;=H538,"PASS","FAIL")</f>
        <v>PASS</v>
      </c>
      <c r="H538" s="6" t="n">
        <v>0.5</v>
      </c>
      <c r="I538" s="6"/>
    </row>
    <row r="539" customFormat="false" ht="15" hidden="false" customHeight="false" outlineLevel="0" collapsed="false">
      <c r="A539" s="6" t="s">
        <v>13439</v>
      </c>
      <c r="B539" s="6" t="s">
        <v>13294</v>
      </c>
      <c r="C539" s="6" t="s">
        <v>13440</v>
      </c>
      <c r="D539" s="6" t="s">
        <v>391</v>
      </c>
      <c r="E539" s="6" t="s">
        <v>13441</v>
      </c>
      <c r="F539" s="20" t="n">
        <f aca="false">Quarterly_Actuals!H872+Quarterly_Actuals!H873-Quarterly_Actuals!H874</f>
        <v>0</v>
      </c>
      <c r="G539" s="6" t="str">
        <f aca="false">IF(ABS(F539)&lt;=H539,"PASS","FAIL")</f>
        <v>PASS</v>
      </c>
      <c r="H539" s="6" t="n">
        <v>0.5</v>
      </c>
      <c r="I539" s="6"/>
    </row>
    <row r="540" customFormat="false" ht="15" hidden="false" customHeight="false" outlineLevel="0" collapsed="false">
      <c r="A540" s="6" t="s">
        <v>13442</v>
      </c>
      <c r="B540" s="6" t="s">
        <v>13294</v>
      </c>
      <c r="C540" s="6" t="s">
        <v>13443</v>
      </c>
      <c r="D540" s="6" t="s">
        <v>399</v>
      </c>
      <c r="E540" s="6" t="s">
        <v>13444</v>
      </c>
      <c r="F540" s="20" t="n">
        <f aca="false">Quarterly_Actuals!H872+Quarterly_Actuals!H873+Quarterly_Actuals!H875-Quarterly_Actuals!H876</f>
        <v>0</v>
      </c>
      <c r="G540" s="6" t="str">
        <f aca="false">IF(ABS(F540)&lt;=H540,"PASS","FAIL")</f>
        <v>PASS</v>
      </c>
      <c r="H540" s="6" t="n">
        <v>0.5</v>
      </c>
      <c r="I540" s="6"/>
    </row>
    <row r="541" customFormat="false" ht="15" hidden="false" customHeight="false" outlineLevel="0" collapsed="false">
      <c r="A541" s="6" t="s">
        <v>13445</v>
      </c>
      <c r="B541" s="6" t="s">
        <v>13294</v>
      </c>
      <c r="C541" s="6" t="s">
        <v>13446</v>
      </c>
      <c r="D541" s="6" t="s">
        <v>13302</v>
      </c>
      <c r="E541" s="6" t="s">
        <v>13447</v>
      </c>
      <c r="F541" s="20" t="n">
        <f aca="false">Quarterly_Actuals!H872+Quarterly_Actuals!H873+Quarterly_Actuals!H875+Quarterly_Actuals!H877-Quarterly_Actuals!H878</f>
        <v>0</v>
      </c>
      <c r="G541" s="6" t="str">
        <f aca="false">IF(ABS(F541)&lt;=H541,"PASS","FAIL")</f>
        <v>PASS</v>
      </c>
      <c r="H541" s="6" t="n">
        <v>0.5</v>
      </c>
      <c r="I541" s="6"/>
    </row>
    <row r="542" customFormat="false" ht="15" hidden="false" customHeight="false" outlineLevel="0" collapsed="false">
      <c r="A542" s="6" t="s">
        <v>13448</v>
      </c>
      <c r="B542" s="6" t="s">
        <v>13294</v>
      </c>
      <c r="C542" s="6" t="s">
        <v>13449</v>
      </c>
      <c r="D542" s="6" t="s">
        <v>391</v>
      </c>
      <c r="E542" s="6" t="s">
        <v>13450</v>
      </c>
      <c r="F542" s="20" t="n">
        <f aca="false">Quarterly_Actuals!H930+Quarterly_Actuals!H931-Quarterly_Actuals!H932</f>
        <v>0</v>
      </c>
      <c r="G542" s="6" t="str">
        <f aca="false">IF(ABS(F542)&lt;=H542,"PASS","FAIL")</f>
        <v>PASS</v>
      </c>
      <c r="H542" s="6" t="n">
        <v>0.5</v>
      </c>
      <c r="I542" s="6"/>
    </row>
    <row r="543" customFormat="false" ht="15" hidden="false" customHeight="false" outlineLevel="0" collapsed="false">
      <c r="A543" s="6" t="s">
        <v>13451</v>
      </c>
      <c r="B543" s="6" t="s">
        <v>13294</v>
      </c>
      <c r="C543" s="6" t="s">
        <v>13452</v>
      </c>
      <c r="D543" s="6" t="s">
        <v>399</v>
      </c>
      <c r="E543" s="6" t="s">
        <v>13453</v>
      </c>
      <c r="F543" s="20" t="n">
        <f aca="false">Quarterly_Actuals!H930+Quarterly_Actuals!H931+Quarterly_Actuals!H933-Quarterly_Actuals!H934</f>
        <v>0</v>
      </c>
      <c r="G543" s="6" t="str">
        <f aca="false">IF(ABS(F543)&lt;=H543,"PASS","FAIL")</f>
        <v>PASS</v>
      </c>
      <c r="H543" s="6" t="n">
        <v>0.5</v>
      </c>
      <c r="I543" s="6"/>
    </row>
    <row r="544" customFormat="false" ht="15" hidden="false" customHeight="false" outlineLevel="0" collapsed="false">
      <c r="A544" s="6" t="s">
        <v>13454</v>
      </c>
      <c r="B544" s="6" t="s">
        <v>13294</v>
      </c>
      <c r="C544" s="6" t="s">
        <v>13455</v>
      </c>
      <c r="D544" s="6" t="s">
        <v>13302</v>
      </c>
      <c r="E544" s="6" t="s">
        <v>13456</v>
      </c>
      <c r="F544" s="20" t="n">
        <f aca="false">Quarterly_Actuals!H930+Quarterly_Actuals!H931+Quarterly_Actuals!H933+Quarterly_Actuals!H935-Quarterly_Actuals!H936</f>
        <v>0</v>
      </c>
      <c r="G544" s="6" t="str">
        <f aca="false">IF(ABS(F544)&lt;=H544,"PASS","FAIL")</f>
        <v>PASS</v>
      </c>
      <c r="H544" s="6" t="n">
        <v>0.5</v>
      </c>
      <c r="I544" s="6"/>
    </row>
    <row r="545" customFormat="false" ht="15" hidden="false" customHeight="false" outlineLevel="0" collapsed="false">
      <c r="A545" s="6" t="s">
        <v>13457</v>
      </c>
      <c r="B545" s="6" t="s">
        <v>13294</v>
      </c>
      <c r="C545" s="6" t="s">
        <v>13458</v>
      </c>
      <c r="D545" s="6" t="s">
        <v>391</v>
      </c>
      <c r="E545" s="6" t="s">
        <v>13459</v>
      </c>
      <c r="F545" s="20" t="n">
        <f aca="false">Quarterly_Actuals!H968+Quarterly_Actuals!H969-Quarterly_Actuals!H970</f>
        <v>0</v>
      </c>
      <c r="G545" s="6" t="str">
        <f aca="false">IF(ABS(F545)&lt;=H545,"PASS","FAIL")</f>
        <v>PASS</v>
      </c>
      <c r="H545" s="6" t="n">
        <v>0.5</v>
      </c>
      <c r="I545" s="6"/>
    </row>
    <row r="546" customFormat="false" ht="15" hidden="false" customHeight="false" outlineLevel="0" collapsed="false">
      <c r="A546" s="6" t="s">
        <v>13460</v>
      </c>
      <c r="B546" s="6" t="s">
        <v>13294</v>
      </c>
      <c r="C546" s="6" t="s">
        <v>13461</v>
      </c>
      <c r="D546" s="6" t="s">
        <v>399</v>
      </c>
      <c r="E546" s="6" t="s">
        <v>13462</v>
      </c>
      <c r="F546" s="20" t="n">
        <f aca="false">Quarterly_Actuals!H968+Quarterly_Actuals!H969+Quarterly_Actuals!H971-Quarterly_Actuals!H972</f>
        <v>0</v>
      </c>
      <c r="G546" s="6" t="str">
        <f aca="false">IF(ABS(F546)&lt;=H546,"PASS","FAIL")</f>
        <v>PASS</v>
      </c>
      <c r="H546" s="6" t="n">
        <v>0.5</v>
      </c>
      <c r="I546" s="6"/>
    </row>
    <row r="547" customFormat="false" ht="15" hidden="false" customHeight="false" outlineLevel="0" collapsed="false">
      <c r="A547" s="6" t="s">
        <v>13463</v>
      </c>
      <c r="B547" s="6" t="s">
        <v>13294</v>
      </c>
      <c r="C547" s="6" t="s">
        <v>13464</v>
      </c>
      <c r="D547" s="6" t="s">
        <v>13302</v>
      </c>
      <c r="E547" s="6" t="s">
        <v>13465</v>
      </c>
      <c r="F547" s="20" t="n">
        <f aca="false">Quarterly_Actuals!H968+Quarterly_Actuals!H969+Quarterly_Actuals!H971+Quarterly_Actuals!H973-Quarterly_Actuals!H974</f>
        <v>0</v>
      </c>
      <c r="G547" s="6" t="str">
        <f aca="false">IF(ABS(F547)&lt;=H547,"PASS","FAIL")</f>
        <v>PASS</v>
      </c>
      <c r="H547" s="6" t="n">
        <v>0.5</v>
      </c>
      <c r="I547" s="6"/>
    </row>
    <row r="548" customFormat="false" ht="15" hidden="false" customHeight="false" outlineLevel="0" collapsed="false">
      <c r="A548" s="6" t="s">
        <v>13466</v>
      </c>
      <c r="B548" s="6" t="s">
        <v>13294</v>
      </c>
      <c r="C548" s="6" t="s">
        <v>13467</v>
      </c>
      <c r="D548" s="6" t="s">
        <v>391</v>
      </c>
      <c r="E548" s="6" t="s">
        <v>13468</v>
      </c>
      <c r="F548" s="20" t="n">
        <f aca="false">Quarterly_Actuals!H1006+Quarterly_Actuals!H1007-Quarterly_Actuals!H1008</f>
        <v>0</v>
      </c>
      <c r="G548" s="6" t="str">
        <f aca="false">IF(ABS(F548)&lt;=H548,"PASS","FAIL")</f>
        <v>PASS</v>
      </c>
      <c r="H548" s="6" t="n">
        <v>0.5</v>
      </c>
      <c r="I548" s="6"/>
    </row>
    <row r="549" customFormat="false" ht="15" hidden="false" customHeight="false" outlineLevel="0" collapsed="false">
      <c r="A549" s="6" t="s">
        <v>13469</v>
      </c>
      <c r="B549" s="6" t="s">
        <v>13294</v>
      </c>
      <c r="C549" s="6" t="s">
        <v>13470</v>
      </c>
      <c r="D549" s="6" t="s">
        <v>399</v>
      </c>
      <c r="E549" s="6" t="s">
        <v>13471</v>
      </c>
      <c r="F549" s="20" t="n">
        <f aca="false">Quarterly_Actuals!H1006+Quarterly_Actuals!H1007+Quarterly_Actuals!H1009-Quarterly_Actuals!H1010</f>
        <v>0</v>
      </c>
      <c r="G549" s="6" t="str">
        <f aca="false">IF(ABS(F549)&lt;=H549,"PASS","FAIL")</f>
        <v>PASS</v>
      </c>
      <c r="H549" s="6" t="n">
        <v>0.5</v>
      </c>
      <c r="I549" s="6"/>
    </row>
    <row r="550" customFormat="false" ht="15" hidden="false" customHeight="false" outlineLevel="0" collapsed="false">
      <c r="A550" s="6" t="s">
        <v>13472</v>
      </c>
      <c r="B550" s="6" t="s">
        <v>13294</v>
      </c>
      <c r="C550" s="6" t="s">
        <v>13473</v>
      </c>
      <c r="D550" s="6" t="s">
        <v>13302</v>
      </c>
      <c r="E550" s="6" t="s">
        <v>13474</v>
      </c>
      <c r="F550" s="20" t="n">
        <f aca="false">Quarterly_Actuals!H1006+Quarterly_Actuals!H1007+Quarterly_Actuals!H1009+Quarterly_Actuals!H1011-Quarterly_Actuals!H1012</f>
        <v>0</v>
      </c>
      <c r="G550" s="6" t="str">
        <f aca="false">IF(ABS(F550)&lt;=H550,"PASS","FAIL")</f>
        <v>PASS</v>
      </c>
      <c r="H550" s="6" t="n">
        <v>0.5</v>
      </c>
      <c r="I550" s="6"/>
    </row>
    <row r="551" customFormat="false" ht="15" hidden="false" customHeight="false" outlineLevel="0" collapsed="false">
      <c r="A551" s="6" t="s">
        <v>13475</v>
      </c>
      <c r="B551" s="6" t="s">
        <v>13294</v>
      </c>
      <c r="C551" s="6" t="s">
        <v>13476</v>
      </c>
      <c r="D551" s="6" t="s">
        <v>391</v>
      </c>
      <c r="E551" s="6" t="s">
        <v>13477</v>
      </c>
      <c r="F551" s="20" t="n">
        <f aca="false">Quarterly_Actuals!H1044+Quarterly_Actuals!H1045-Quarterly_Actuals!H1046</f>
        <v>0</v>
      </c>
      <c r="G551" s="6" t="str">
        <f aca="false">IF(ABS(F551)&lt;=H551,"PASS","FAIL")</f>
        <v>PASS</v>
      </c>
      <c r="H551" s="6" t="n">
        <v>0.5</v>
      </c>
      <c r="I551" s="6"/>
    </row>
    <row r="552" customFormat="false" ht="15" hidden="false" customHeight="false" outlineLevel="0" collapsed="false">
      <c r="A552" s="6" t="s">
        <v>13478</v>
      </c>
      <c r="B552" s="6" t="s">
        <v>13294</v>
      </c>
      <c r="C552" s="6" t="s">
        <v>13479</v>
      </c>
      <c r="D552" s="6" t="s">
        <v>399</v>
      </c>
      <c r="E552" s="6" t="s">
        <v>13480</v>
      </c>
      <c r="F552" s="20" t="n">
        <f aca="false">Quarterly_Actuals!H1044+Quarterly_Actuals!H1045+Quarterly_Actuals!H1047-Quarterly_Actuals!H1048</f>
        <v>0</v>
      </c>
      <c r="G552" s="6" t="str">
        <f aca="false">IF(ABS(F552)&lt;=H552,"PASS","FAIL")</f>
        <v>PASS</v>
      </c>
      <c r="H552" s="6" t="n">
        <v>0.5</v>
      </c>
      <c r="I552" s="6"/>
    </row>
    <row r="553" customFormat="false" ht="15" hidden="false" customHeight="false" outlineLevel="0" collapsed="false">
      <c r="A553" s="6" t="s">
        <v>13481</v>
      </c>
      <c r="B553" s="6" t="s">
        <v>13294</v>
      </c>
      <c r="C553" s="6" t="s">
        <v>13482</v>
      </c>
      <c r="D553" s="6" t="s">
        <v>13302</v>
      </c>
      <c r="E553" s="6" t="s">
        <v>13483</v>
      </c>
      <c r="F553" s="20" t="n">
        <f aca="false">Quarterly_Actuals!H1044+Quarterly_Actuals!H1045+Quarterly_Actuals!H1047+Quarterly_Actuals!H1049-Quarterly_Actuals!H1050</f>
        <v>0</v>
      </c>
      <c r="G553" s="6" t="str">
        <f aca="false">IF(ABS(F553)&lt;=H553,"PASS","FAIL")</f>
        <v>PASS</v>
      </c>
      <c r="H553" s="6" t="n">
        <v>0.5</v>
      </c>
      <c r="I553" s="6"/>
    </row>
    <row r="554" customFormat="false" ht="15" hidden="false" customHeight="false" outlineLevel="0" collapsed="false">
      <c r="A554" s="6" t="s">
        <v>13484</v>
      </c>
      <c r="B554" s="6" t="s">
        <v>13294</v>
      </c>
      <c r="C554" s="6" t="s">
        <v>13485</v>
      </c>
      <c r="D554" s="6" t="s">
        <v>391</v>
      </c>
      <c r="E554" s="6" t="s">
        <v>13486</v>
      </c>
      <c r="F554" s="20" t="n">
        <f aca="false">Quarterly_Actuals!H1068+Quarterly_Actuals!H1069-Quarterly_Actuals!H1070</f>
        <v>0</v>
      </c>
      <c r="G554" s="6" t="str">
        <f aca="false">IF(ABS(F554)&lt;=H554,"PASS","FAIL")</f>
        <v>PASS</v>
      </c>
      <c r="H554" s="6" t="n">
        <v>0.5</v>
      </c>
      <c r="I554" s="6"/>
    </row>
    <row r="555" customFormat="false" ht="15" hidden="false" customHeight="false" outlineLevel="0" collapsed="false">
      <c r="A555" s="6" t="s">
        <v>13487</v>
      </c>
      <c r="B555" s="6" t="s">
        <v>13294</v>
      </c>
      <c r="C555" s="6" t="s">
        <v>13488</v>
      </c>
      <c r="D555" s="6" t="s">
        <v>399</v>
      </c>
      <c r="E555" s="6" t="s">
        <v>13489</v>
      </c>
      <c r="F555" s="20" t="n">
        <f aca="false">Quarterly_Actuals!H1068+Quarterly_Actuals!H1069+Quarterly_Actuals!H1071-Quarterly_Actuals!H1072</f>
        <v>0</v>
      </c>
      <c r="G555" s="6" t="str">
        <f aca="false">IF(ABS(F555)&lt;=H555,"PASS","FAIL")</f>
        <v>PASS</v>
      </c>
      <c r="H555" s="6" t="n">
        <v>0.5</v>
      </c>
      <c r="I555" s="6"/>
    </row>
    <row r="556" customFormat="false" ht="15" hidden="false" customHeight="false" outlineLevel="0" collapsed="false">
      <c r="A556" s="6" t="s">
        <v>13490</v>
      </c>
      <c r="B556" s="6" t="s">
        <v>13294</v>
      </c>
      <c r="C556" s="6" t="s">
        <v>13491</v>
      </c>
      <c r="D556" s="6" t="s">
        <v>13302</v>
      </c>
      <c r="E556" s="6" t="s">
        <v>13492</v>
      </c>
      <c r="F556" s="20" t="n">
        <f aca="false">Quarterly_Actuals!H1068+Quarterly_Actuals!H1069+Quarterly_Actuals!H1071+Quarterly_Actuals!H1073-Quarterly_Actuals!H1074</f>
        <v>0</v>
      </c>
      <c r="G556" s="6" t="str">
        <f aca="false">IF(ABS(F556)&lt;=H556,"PASS","FAIL")</f>
        <v>PASS</v>
      </c>
      <c r="H556" s="6" t="n">
        <v>0.5</v>
      </c>
      <c r="I556" s="6"/>
    </row>
    <row r="557" customFormat="false" ht="15" hidden="false" customHeight="false" outlineLevel="0" collapsed="false">
      <c r="A557" s="6" t="s">
        <v>13493</v>
      </c>
      <c r="B557" s="6" t="s">
        <v>13294</v>
      </c>
      <c r="C557" s="6" t="s">
        <v>13494</v>
      </c>
      <c r="D557" s="6" t="s">
        <v>391</v>
      </c>
      <c r="E557" s="6" t="s">
        <v>13495</v>
      </c>
      <c r="F557" s="20" t="n">
        <f aca="false">Quarterly_Actuals!H1134+Quarterly_Actuals!H1135-Quarterly_Actuals!H1136</f>
        <v>0</v>
      </c>
      <c r="G557" s="6" t="str">
        <f aca="false">IF(ABS(F557)&lt;=H557,"PASS","FAIL")</f>
        <v>PASS</v>
      </c>
      <c r="H557" s="6" t="n">
        <v>0.5</v>
      </c>
      <c r="I557" s="6"/>
    </row>
    <row r="558" customFormat="false" ht="15" hidden="false" customHeight="false" outlineLevel="0" collapsed="false">
      <c r="A558" s="6" t="s">
        <v>13496</v>
      </c>
      <c r="B558" s="6" t="s">
        <v>13294</v>
      </c>
      <c r="C558" s="6" t="s">
        <v>13497</v>
      </c>
      <c r="D558" s="6" t="s">
        <v>399</v>
      </c>
      <c r="E558" s="6" t="s">
        <v>13498</v>
      </c>
      <c r="F558" s="20" t="n">
        <f aca="false">Quarterly_Actuals!H1134+Quarterly_Actuals!H1135+Quarterly_Actuals!H1137-Quarterly_Actuals!H1138</f>
        <v>0</v>
      </c>
      <c r="G558" s="6" t="str">
        <f aca="false">IF(ABS(F558)&lt;=H558,"PASS","FAIL")</f>
        <v>PASS</v>
      </c>
      <c r="H558" s="6" t="n">
        <v>0.5</v>
      </c>
      <c r="I558" s="6"/>
    </row>
    <row r="559" customFormat="false" ht="15" hidden="false" customHeight="false" outlineLevel="0" collapsed="false">
      <c r="A559" s="6" t="s">
        <v>13499</v>
      </c>
      <c r="B559" s="6" t="s">
        <v>13294</v>
      </c>
      <c r="C559" s="6" t="s">
        <v>13500</v>
      </c>
      <c r="D559" s="6" t="s">
        <v>13302</v>
      </c>
      <c r="E559" s="6" t="s">
        <v>13501</v>
      </c>
      <c r="F559" s="20" t="n">
        <f aca="false">Quarterly_Actuals!H1134+Quarterly_Actuals!H1135+Quarterly_Actuals!H1137+Quarterly_Actuals!H1139-Quarterly_Actuals!H1140</f>
        <v>0</v>
      </c>
      <c r="G559" s="6" t="str">
        <f aca="false">IF(ABS(F559)&lt;=H559,"PASS","FAIL")</f>
        <v>PASS</v>
      </c>
      <c r="H559" s="6" t="n">
        <v>0.5</v>
      </c>
      <c r="I559" s="6"/>
    </row>
    <row r="560" customFormat="false" ht="15" hidden="false" customHeight="false" outlineLevel="0" collapsed="false">
      <c r="A560" s="6" t="s">
        <v>13502</v>
      </c>
      <c r="B560" s="6" t="s">
        <v>13294</v>
      </c>
      <c r="C560" s="6" t="s">
        <v>13503</v>
      </c>
      <c r="D560" s="6" t="s">
        <v>417</v>
      </c>
      <c r="E560" s="6" t="s">
        <v>13504</v>
      </c>
      <c r="F560" s="20" t="n">
        <f aca="false">Quarterly_Actuals!H9+Quarterly_Actuals!H10-Quarterly_Actuals!H11</f>
        <v>0</v>
      </c>
      <c r="G560" s="6" t="str">
        <f aca="false">IF(ABS(F560)&lt;=H560,"PASS","FAIL")</f>
        <v>PASS</v>
      </c>
      <c r="H560" s="6" t="n">
        <v>0.5</v>
      </c>
      <c r="I560" s="6"/>
    </row>
    <row r="561" customFormat="false" ht="15" hidden="false" customHeight="false" outlineLevel="0" collapsed="false">
      <c r="A561" s="6" t="s">
        <v>13505</v>
      </c>
      <c r="B561" s="6" t="s">
        <v>13294</v>
      </c>
      <c r="C561" s="6" t="s">
        <v>13506</v>
      </c>
      <c r="D561" s="6" t="s">
        <v>424</v>
      </c>
      <c r="E561" s="6" t="s">
        <v>13507</v>
      </c>
      <c r="F561" s="20" t="n">
        <f aca="false">Quarterly_Actuals!H9+Quarterly_Actuals!H10+Quarterly_Actuals!H12-Quarterly_Actuals!H13</f>
        <v>0</v>
      </c>
      <c r="G561" s="6" t="str">
        <f aca="false">IF(ABS(F561)&lt;=H561,"PASS","FAIL")</f>
        <v>PASS</v>
      </c>
      <c r="H561" s="6" t="n">
        <v>0.5</v>
      </c>
      <c r="I561" s="6"/>
    </row>
    <row r="562" customFormat="false" ht="15" hidden="false" customHeight="false" outlineLevel="0" collapsed="false">
      <c r="A562" s="6" t="s">
        <v>13508</v>
      </c>
      <c r="B562" s="6" t="s">
        <v>13294</v>
      </c>
      <c r="C562" s="6" t="s">
        <v>13509</v>
      </c>
      <c r="D562" s="6" t="s">
        <v>13510</v>
      </c>
      <c r="E562" s="6" t="s">
        <v>13511</v>
      </c>
      <c r="F562" s="20" t="n">
        <f aca="false">Quarterly_Actuals!H9+Quarterly_Actuals!H10+Quarterly_Actuals!H12+Quarterly_Actuals!H14-Quarterly_Actuals!H15</f>
        <v>0</v>
      </c>
      <c r="G562" s="6" t="str">
        <f aca="false">IF(ABS(F562)&lt;=H562,"PASS","FAIL")</f>
        <v>PASS</v>
      </c>
      <c r="H562" s="6" t="n">
        <v>0.5</v>
      </c>
      <c r="I562" s="6"/>
    </row>
    <row r="563" customFormat="false" ht="15" hidden="false" customHeight="false" outlineLevel="0" collapsed="false">
      <c r="A563" s="6" t="s">
        <v>13512</v>
      </c>
      <c r="B563" s="6" t="s">
        <v>13294</v>
      </c>
      <c r="C563" s="6" t="s">
        <v>13513</v>
      </c>
      <c r="D563" s="6" t="s">
        <v>417</v>
      </c>
      <c r="E563" s="6" t="s">
        <v>13514</v>
      </c>
      <c r="F563" s="20" t="n">
        <f aca="false">Quarterly_Actuals!H47+Quarterly_Actuals!H48-Quarterly_Actuals!H49</f>
        <v>0</v>
      </c>
      <c r="G563" s="6" t="str">
        <f aca="false">IF(ABS(F563)&lt;=H563,"PASS","FAIL")</f>
        <v>PASS</v>
      </c>
      <c r="H563" s="6" t="n">
        <v>0.5</v>
      </c>
      <c r="I563" s="6"/>
    </row>
    <row r="564" customFormat="false" ht="15" hidden="false" customHeight="false" outlineLevel="0" collapsed="false">
      <c r="A564" s="6" t="s">
        <v>13515</v>
      </c>
      <c r="B564" s="6" t="s">
        <v>13294</v>
      </c>
      <c r="C564" s="6" t="s">
        <v>13516</v>
      </c>
      <c r="D564" s="6" t="s">
        <v>424</v>
      </c>
      <c r="E564" s="6" t="s">
        <v>13517</v>
      </c>
      <c r="F564" s="20" t="n">
        <f aca="false">Quarterly_Actuals!H47+Quarterly_Actuals!H48+Quarterly_Actuals!H50-Quarterly_Actuals!H51</f>
        <v>0</v>
      </c>
      <c r="G564" s="6" t="str">
        <f aca="false">IF(ABS(F564)&lt;=H564,"PASS","FAIL")</f>
        <v>PASS</v>
      </c>
      <c r="H564" s="6" t="n">
        <v>0.5</v>
      </c>
      <c r="I564" s="6"/>
    </row>
    <row r="565" customFormat="false" ht="15" hidden="false" customHeight="false" outlineLevel="0" collapsed="false">
      <c r="A565" s="6" t="s">
        <v>13518</v>
      </c>
      <c r="B565" s="6" t="s">
        <v>13294</v>
      </c>
      <c r="C565" s="6" t="s">
        <v>13519</v>
      </c>
      <c r="D565" s="6" t="s">
        <v>13510</v>
      </c>
      <c r="E565" s="6" t="s">
        <v>13520</v>
      </c>
      <c r="F565" s="20" t="n">
        <f aca="false">Quarterly_Actuals!H47+Quarterly_Actuals!H48+Quarterly_Actuals!H50+Quarterly_Actuals!H52-Quarterly_Actuals!H53</f>
        <v>0</v>
      </c>
      <c r="G565" s="6" t="str">
        <f aca="false">IF(ABS(F565)&lt;=H565,"PASS","FAIL")</f>
        <v>PASS</v>
      </c>
      <c r="H565" s="6" t="n">
        <v>0.5</v>
      </c>
      <c r="I565" s="6"/>
    </row>
    <row r="566" customFormat="false" ht="15" hidden="false" customHeight="false" outlineLevel="0" collapsed="false">
      <c r="A566" s="6" t="s">
        <v>13521</v>
      </c>
      <c r="B566" s="6" t="s">
        <v>13294</v>
      </c>
      <c r="C566" s="6" t="s">
        <v>13522</v>
      </c>
      <c r="D566" s="6" t="s">
        <v>417</v>
      </c>
      <c r="E566" s="6" t="s">
        <v>13523</v>
      </c>
      <c r="F566" s="20" t="n">
        <f aca="false">Quarterly_Actuals!H85+Quarterly_Actuals!H86-Quarterly_Actuals!H87</f>
        <v>0</v>
      </c>
      <c r="G566" s="6" t="str">
        <f aca="false">IF(ABS(F566)&lt;=H566,"PASS","FAIL")</f>
        <v>PASS</v>
      </c>
      <c r="H566" s="6" t="n">
        <v>0.5</v>
      </c>
      <c r="I566" s="6"/>
    </row>
    <row r="567" customFormat="false" ht="15" hidden="false" customHeight="false" outlineLevel="0" collapsed="false">
      <c r="A567" s="6" t="s">
        <v>13524</v>
      </c>
      <c r="B567" s="6" t="s">
        <v>13294</v>
      </c>
      <c r="C567" s="6" t="s">
        <v>13525</v>
      </c>
      <c r="D567" s="6" t="s">
        <v>424</v>
      </c>
      <c r="E567" s="6" t="s">
        <v>13526</v>
      </c>
      <c r="F567" s="20" t="n">
        <f aca="false">Quarterly_Actuals!H85+Quarterly_Actuals!H86+Quarterly_Actuals!H88-Quarterly_Actuals!H89</f>
        <v>0</v>
      </c>
      <c r="G567" s="6" t="str">
        <f aca="false">IF(ABS(F567)&lt;=H567,"PASS","FAIL")</f>
        <v>PASS</v>
      </c>
      <c r="H567" s="6" t="n">
        <v>0.5</v>
      </c>
      <c r="I567" s="6"/>
    </row>
    <row r="568" customFormat="false" ht="15" hidden="false" customHeight="false" outlineLevel="0" collapsed="false">
      <c r="A568" s="6" t="s">
        <v>13527</v>
      </c>
      <c r="B568" s="6" t="s">
        <v>13294</v>
      </c>
      <c r="C568" s="6" t="s">
        <v>13528</v>
      </c>
      <c r="D568" s="6" t="s">
        <v>13510</v>
      </c>
      <c r="E568" s="6" t="s">
        <v>13529</v>
      </c>
      <c r="F568" s="20" t="n">
        <f aca="false">Quarterly_Actuals!H85+Quarterly_Actuals!H86+Quarterly_Actuals!H88+Quarterly_Actuals!H90-Quarterly_Actuals!H91</f>
        <v>0</v>
      </c>
      <c r="G568" s="6" t="str">
        <f aca="false">IF(ABS(F568)&lt;=H568,"PASS","FAIL")</f>
        <v>PASS</v>
      </c>
      <c r="H568" s="6" t="n">
        <v>0.5</v>
      </c>
      <c r="I568" s="6"/>
    </row>
    <row r="569" customFormat="false" ht="15" hidden="false" customHeight="false" outlineLevel="0" collapsed="false">
      <c r="A569" s="6" t="s">
        <v>13530</v>
      </c>
      <c r="B569" s="6" t="s">
        <v>13294</v>
      </c>
      <c r="C569" s="6" t="s">
        <v>13531</v>
      </c>
      <c r="D569" s="6" t="s">
        <v>417</v>
      </c>
      <c r="E569" s="6" t="s">
        <v>13532</v>
      </c>
      <c r="F569" s="20" t="n">
        <f aca="false">Quarterly_Actuals!H161+Quarterly_Actuals!H162-Quarterly_Actuals!H163</f>
        <v>0</v>
      </c>
      <c r="G569" s="6" t="str">
        <f aca="false">IF(ABS(F569)&lt;=H569,"PASS","FAIL")</f>
        <v>PASS</v>
      </c>
      <c r="H569" s="6" t="n">
        <v>0.5</v>
      </c>
      <c r="I569" s="6"/>
    </row>
    <row r="570" customFormat="false" ht="15" hidden="false" customHeight="false" outlineLevel="0" collapsed="false">
      <c r="A570" s="6" t="s">
        <v>13533</v>
      </c>
      <c r="B570" s="6" t="s">
        <v>13294</v>
      </c>
      <c r="C570" s="6" t="s">
        <v>13534</v>
      </c>
      <c r="D570" s="6" t="s">
        <v>424</v>
      </c>
      <c r="E570" s="6" t="s">
        <v>13535</v>
      </c>
      <c r="F570" s="20" t="n">
        <f aca="false">Quarterly_Actuals!H161+Quarterly_Actuals!H162+Quarterly_Actuals!H164-Quarterly_Actuals!H165</f>
        <v>0</v>
      </c>
      <c r="G570" s="6" t="str">
        <f aca="false">IF(ABS(F570)&lt;=H570,"PASS","FAIL")</f>
        <v>PASS</v>
      </c>
      <c r="H570" s="6" t="n">
        <v>0.5</v>
      </c>
      <c r="I570" s="6"/>
    </row>
    <row r="571" customFormat="false" ht="15" hidden="false" customHeight="false" outlineLevel="0" collapsed="false">
      <c r="A571" s="6" t="s">
        <v>13536</v>
      </c>
      <c r="B571" s="6" t="s">
        <v>13294</v>
      </c>
      <c r="C571" s="6" t="s">
        <v>13537</v>
      </c>
      <c r="D571" s="6" t="s">
        <v>13510</v>
      </c>
      <c r="E571" s="6" t="s">
        <v>13538</v>
      </c>
      <c r="F571" s="20" t="n">
        <f aca="false">Quarterly_Actuals!H161+Quarterly_Actuals!H162+Quarterly_Actuals!H164+Quarterly_Actuals!H166-Quarterly_Actuals!H167</f>
        <v>0</v>
      </c>
      <c r="G571" s="6" t="str">
        <f aca="false">IF(ABS(F571)&lt;=H571,"PASS","FAIL")</f>
        <v>PASS</v>
      </c>
      <c r="H571" s="6" t="n">
        <v>0.5</v>
      </c>
      <c r="I571" s="6"/>
    </row>
    <row r="572" customFormat="false" ht="15" hidden="false" customHeight="false" outlineLevel="0" collapsed="false">
      <c r="A572" s="6" t="s">
        <v>13539</v>
      </c>
      <c r="B572" s="6" t="s">
        <v>13294</v>
      </c>
      <c r="C572" s="6" t="s">
        <v>13540</v>
      </c>
      <c r="D572" s="6" t="s">
        <v>417</v>
      </c>
      <c r="E572" s="6" t="s">
        <v>13541</v>
      </c>
      <c r="F572" s="20" t="n">
        <f aca="false">Quarterly_Actuals!H199+Quarterly_Actuals!H200-Quarterly_Actuals!H201</f>
        <v>0</v>
      </c>
      <c r="G572" s="6" t="str">
        <f aca="false">IF(ABS(F572)&lt;=H572,"PASS","FAIL")</f>
        <v>PASS</v>
      </c>
      <c r="H572" s="6" t="n">
        <v>0.5</v>
      </c>
      <c r="I572" s="6"/>
    </row>
    <row r="573" customFormat="false" ht="15" hidden="false" customHeight="false" outlineLevel="0" collapsed="false">
      <c r="A573" s="6" t="s">
        <v>13542</v>
      </c>
      <c r="B573" s="6" t="s">
        <v>13294</v>
      </c>
      <c r="C573" s="6" t="s">
        <v>13543</v>
      </c>
      <c r="D573" s="6" t="s">
        <v>424</v>
      </c>
      <c r="E573" s="6" t="s">
        <v>13544</v>
      </c>
      <c r="F573" s="20" t="n">
        <f aca="false">Quarterly_Actuals!H199+Quarterly_Actuals!H200+Quarterly_Actuals!H202-Quarterly_Actuals!H203</f>
        <v>0</v>
      </c>
      <c r="G573" s="6" t="str">
        <f aca="false">IF(ABS(F573)&lt;=H573,"PASS","FAIL")</f>
        <v>PASS</v>
      </c>
      <c r="H573" s="6" t="n">
        <v>0.5</v>
      </c>
      <c r="I573" s="6"/>
    </row>
    <row r="574" customFormat="false" ht="15" hidden="false" customHeight="false" outlineLevel="0" collapsed="false">
      <c r="A574" s="6" t="s">
        <v>13545</v>
      </c>
      <c r="B574" s="6" t="s">
        <v>13294</v>
      </c>
      <c r="C574" s="6" t="s">
        <v>13546</v>
      </c>
      <c r="D574" s="6" t="s">
        <v>13510</v>
      </c>
      <c r="E574" s="6" t="s">
        <v>13547</v>
      </c>
      <c r="F574" s="20" t="n">
        <f aca="false">Quarterly_Actuals!H199+Quarterly_Actuals!H200+Quarterly_Actuals!H202+Quarterly_Actuals!H204-Quarterly_Actuals!H205</f>
        <v>0</v>
      </c>
      <c r="G574" s="6" t="str">
        <f aca="false">IF(ABS(F574)&lt;=H574,"PASS","FAIL")</f>
        <v>PASS</v>
      </c>
      <c r="H574" s="6" t="n">
        <v>0.5</v>
      </c>
      <c r="I574" s="6"/>
    </row>
    <row r="575" customFormat="false" ht="15" hidden="false" customHeight="false" outlineLevel="0" collapsed="false">
      <c r="A575" s="6" t="s">
        <v>13548</v>
      </c>
      <c r="B575" s="6" t="s">
        <v>13294</v>
      </c>
      <c r="C575" s="6" t="s">
        <v>13549</v>
      </c>
      <c r="D575" s="6" t="s">
        <v>417</v>
      </c>
      <c r="E575" s="6" t="s">
        <v>13550</v>
      </c>
      <c r="F575" s="20" t="n">
        <f aca="false">Quarterly_Actuals!H237+Quarterly_Actuals!H238-Quarterly_Actuals!H239</f>
        <v>0</v>
      </c>
      <c r="G575" s="6" t="str">
        <f aca="false">IF(ABS(F575)&lt;=H575,"PASS","FAIL")</f>
        <v>PASS</v>
      </c>
      <c r="H575" s="6" t="n">
        <v>0.5</v>
      </c>
      <c r="I575" s="6"/>
    </row>
    <row r="576" customFormat="false" ht="15" hidden="false" customHeight="false" outlineLevel="0" collapsed="false">
      <c r="A576" s="6" t="s">
        <v>13551</v>
      </c>
      <c r="B576" s="6" t="s">
        <v>13294</v>
      </c>
      <c r="C576" s="6" t="s">
        <v>13552</v>
      </c>
      <c r="D576" s="6" t="s">
        <v>424</v>
      </c>
      <c r="E576" s="6" t="s">
        <v>13553</v>
      </c>
      <c r="F576" s="20" t="n">
        <f aca="false">Quarterly_Actuals!H237+Quarterly_Actuals!H238+Quarterly_Actuals!H240-Quarterly_Actuals!H241</f>
        <v>0</v>
      </c>
      <c r="G576" s="6" t="str">
        <f aca="false">IF(ABS(F576)&lt;=H576,"PASS","FAIL")</f>
        <v>PASS</v>
      </c>
      <c r="H576" s="6" t="n">
        <v>0.5</v>
      </c>
      <c r="I576" s="6"/>
    </row>
    <row r="577" customFormat="false" ht="15" hidden="false" customHeight="false" outlineLevel="0" collapsed="false">
      <c r="A577" s="6" t="s">
        <v>13554</v>
      </c>
      <c r="B577" s="6" t="s">
        <v>13294</v>
      </c>
      <c r="C577" s="6" t="s">
        <v>13555</v>
      </c>
      <c r="D577" s="6" t="s">
        <v>13510</v>
      </c>
      <c r="E577" s="6" t="s">
        <v>13556</v>
      </c>
      <c r="F577" s="20" t="n">
        <f aca="false">Quarterly_Actuals!H237+Quarterly_Actuals!H238+Quarterly_Actuals!H240+Quarterly_Actuals!H242-Quarterly_Actuals!H243</f>
        <v>0</v>
      </c>
      <c r="G577" s="6" t="str">
        <f aca="false">IF(ABS(F577)&lt;=H577,"PASS","FAIL")</f>
        <v>PASS</v>
      </c>
      <c r="H577" s="6" t="n">
        <v>0.5</v>
      </c>
      <c r="I577" s="6"/>
    </row>
    <row r="578" customFormat="false" ht="15" hidden="false" customHeight="false" outlineLevel="0" collapsed="false">
      <c r="A578" s="6" t="s">
        <v>13557</v>
      </c>
      <c r="B578" s="6" t="s">
        <v>13294</v>
      </c>
      <c r="C578" s="6" t="s">
        <v>13558</v>
      </c>
      <c r="D578" s="6" t="s">
        <v>417</v>
      </c>
      <c r="E578" s="6" t="s">
        <v>13559</v>
      </c>
      <c r="F578" s="20" t="n">
        <f aca="false">Quarterly_Actuals!H277+Quarterly_Actuals!H278-Quarterly_Actuals!H279</f>
        <v>0</v>
      </c>
      <c r="G578" s="6" t="str">
        <f aca="false">IF(ABS(F578)&lt;=H578,"PASS","FAIL")</f>
        <v>PASS</v>
      </c>
      <c r="H578" s="6" t="n">
        <v>0.5</v>
      </c>
      <c r="I578" s="6"/>
    </row>
    <row r="579" customFormat="false" ht="15" hidden="false" customHeight="false" outlineLevel="0" collapsed="false">
      <c r="A579" s="6" t="s">
        <v>13560</v>
      </c>
      <c r="B579" s="6" t="s">
        <v>13294</v>
      </c>
      <c r="C579" s="6" t="s">
        <v>13561</v>
      </c>
      <c r="D579" s="6" t="s">
        <v>424</v>
      </c>
      <c r="E579" s="6" t="s">
        <v>13562</v>
      </c>
      <c r="F579" s="20" t="n">
        <f aca="false">Quarterly_Actuals!H277+Quarterly_Actuals!H278+Quarterly_Actuals!H280-Quarterly_Actuals!H281</f>
        <v>0</v>
      </c>
      <c r="G579" s="6" t="str">
        <f aca="false">IF(ABS(F579)&lt;=H579,"PASS","FAIL")</f>
        <v>PASS</v>
      </c>
      <c r="H579" s="6" t="n">
        <v>0.5</v>
      </c>
      <c r="I579" s="6"/>
    </row>
    <row r="580" customFormat="false" ht="15" hidden="false" customHeight="false" outlineLevel="0" collapsed="false">
      <c r="A580" s="6" t="s">
        <v>13563</v>
      </c>
      <c r="B580" s="6" t="s">
        <v>13294</v>
      </c>
      <c r="C580" s="6" t="s">
        <v>13564</v>
      </c>
      <c r="D580" s="6" t="s">
        <v>13510</v>
      </c>
      <c r="E580" s="6" t="s">
        <v>13565</v>
      </c>
      <c r="F580" s="20" t="n">
        <f aca="false">Quarterly_Actuals!H277+Quarterly_Actuals!H278+Quarterly_Actuals!H280+Quarterly_Actuals!H282-Quarterly_Actuals!H283</f>
        <v>0</v>
      </c>
      <c r="G580" s="6" t="str">
        <f aca="false">IF(ABS(F580)&lt;=H580,"PASS","FAIL")</f>
        <v>PASS</v>
      </c>
      <c r="H580" s="6" t="n">
        <v>0.5</v>
      </c>
      <c r="I580" s="6"/>
    </row>
    <row r="581" customFormat="false" ht="15" hidden="false" customHeight="false" outlineLevel="0" collapsed="false">
      <c r="A581" s="6" t="s">
        <v>13566</v>
      </c>
      <c r="B581" s="6" t="s">
        <v>13294</v>
      </c>
      <c r="C581" s="6" t="s">
        <v>13567</v>
      </c>
      <c r="D581" s="6" t="s">
        <v>417</v>
      </c>
      <c r="E581" s="6" t="s">
        <v>13568</v>
      </c>
      <c r="F581" s="20" t="n">
        <f aca="false">Quarterly_Actuals!H315+Quarterly_Actuals!H316-Quarterly_Actuals!H317</f>
        <v>0</v>
      </c>
      <c r="G581" s="6" t="str">
        <f aca="false">IF(ABS(F581)&lt;=H581,"PASS","FAIL")</f>
        <v>PASS</v>
      </c>
      <c r="H581" s="6" t="n">
        <v>0.5</v>
      </c>
      <c r="I581" s="6"/>
    </row>
    <row r="582" customFormat="false" ht="15" hidden="false" customHeight="false" outlineLevel="0" collapsed="false">
      <c r="A582" s="6" t="s">
        <v>13569</v>
      </c>
      <c r="B582" s="6" t="s">
        <v>13294</v>
      </c>
      <c r="C582" s="6" t="s">
        <v>13570</v>
      </c>
      <c r="D582" s="6" t="s">
        <v>424</v>
      </c>
      <c r="E582" s="6" t="s">
        <v>13571</v>
      </c>
      <c r="F582" s="20" t="n">
        <f aca="false">Quarterly_Actuals!H315+Quarterly_Actuals!H316+Quarterly_Actuals!H318-Quarterly_Actuals!H319</f>
        <v>0</v>
      </c>
      <c r="G582" s="6" t="str">
        <f aca="false">IF(ABS(F582)&lt;=H582,"PASS","FAIL")</f>
        <v>PASS</v>
      </c>
      <c r="H582" s="6" t="n">
        <v>0.5</v>
      </c>
      <c r="I582" s="6"/>
    </row>
    <row r="583" customFormat="false" ht="15" hidden="false" customHeight="false" outlineLevel="0" collapsed="false">
      <c r="A583" s="6" t="s">
        <v>13572</v>
      </c>
      <c r="B583" s="6" t="s">
        <v>13294</v>
      </c>
      <c r="C583" s="6" t="s">
        <v>13573</v>
      </c>
      <c r="D583" s="6" t="s">
        <v>13510</v>
      </c>
      <c r="E583" s="6" t="s">
        <v>13574</v>
      </c>
      <c r="F583" s="20" t="n">
        <f aca="false">Quarterly_Actuals!H315+Quarterly_Actuals!H316+Quarterly_Actuals!H318+Quarterly_Actuals!H320-Quarterly_Actuals!H321</f>
        <v>0</v>
      </c>
      <c r="G583" s="6" t="str">
        <f aca="false">IF(ABS(F583)&lt;=H583,"PASS","FAIL")</f>
        <v>PASS</v>
      </c>
      <c r="H583" s="6" t="n">
        <v>0.5</v>
      </c>
      <c r="I583" s="6"/>
    </row>
    <row r="584" customFormat="false" ht="15" hidden="false" customHeight="false" outlineLevel="0" collapsed="false">
      <c r="A584" s="6" t="s">
        <v>13575</v>
      </c>
      <c r="B584" s="6" t="s">
        <v>13294</v>
      </c>
      <c r="C584" s="6" t="s">
        <v>13576</v>
      </c>
      <c r="D584" s="6" t="s">
        <v>417</v>
      </c>
      <c r="E584" s="6" t="s">
        <v>13577</v>
      </c>
      <c r="F584" s="20" t="n">
        <f aca="false">Quarterly_Actuals!H391+Quarterly_Actuals!H392-Quarterly_Actuals!H393</f>
        <v>0</v>
      </c>
      <c r="G584" s="6" t="str">
        <f aca="false">IF(ABS(F584)&lt;=H584,"PASS","FAIL")</f>
        <v>PASS</v>
      </c>
      <c r="H584" s="6" t="n">
        <v>0.5</v>
      </c>
      <c r="I584" s="6"/>
    </row>
    <row r="585" customFormat="false" ht="15" hidden="false" customHeight="false" outlineLevel="0" collapsed="false">
      <c r="A585" s="6" t="s">
        <v>13578</v>
      </c>
      <c r="B585" s="6" t="s">
        <v>13294</v>
      </c>
      <c r="C585" s="6" t="s">
        <v>13579</v>
      </c>
      <c r="D585" s="6" t="s">
        <v>424</v>
      </c>
      <c r="E585" s="6" t="s">
        <v>13580</v>
      </c>
      <c r="F585" s="20" t="n">
        <f aca="false">Quarterly_Actuals!H391+Quarterly_Actuals!H392+Quarterly_Actuals!H394-Quarterly_Actuals!H395</f>
        <v>0</v>
      </c>
      <c r="G585" s="6" t="str">
        <f aca="false">IF(ABS(F585)&lt;=H585,"PASS","FAIL")</f>
        <v>PASS</v>
      </c>
      <c r="H585" s="6" t="n">
        <v>0.5</v>
      </c>
      <c r="I585" s="6"/>
    </row>
    <row r="586" customFormat="false" ht="15" hidden="false" customHeight="false" outlineLevel="0" collapsed="false">
      <c r="A586" s="6" t="s">
        <v>13581</v>
      </c>
      <c r="B586" s="6" t="s">
        <v>13294</v>
      </c>
      <c r="C586" s="6" t="s">
        <v>13582</v>
      </c>
      <c r="D586" s="6" t="s">
        <v>13510</v>
      </c>
      <c r="E586" s="6" t="s">
        <v>13583</v>
      </c>
      <c r="F586" s="20" t="n">
        <f aca="false">Quarterly_Actuals!H391+Quarterly_Actuals!H392+Quarterly_Actuals!H394+Quarterly_Actuals!H396-Quarterly_Actuals!H397</f>
        <v>0</v>
      </c>
      <c r="G586" s="6" t="str">
        <f aca="false">IF(ABS(F586)&lt;=H586,"PASS","FAIL")</f>
        <v>PASS</v>
      </c>
      <c r="H586" s="6" t="n">
        <v>0.5</v>
      </c>
      <c r="I586" s="6"/>
    </row>
    <row r="587" customFormat="false" ht="15" hidden="false" customHeight="false" outlineLevel="0" collapsed="false">
      <c r="A587" s="6" t="s">
        <v>13584</v>
      </c>
      <c r="B587" s="6" t="s">
        <v>13294</v>
      </c>
      <c r="C587" s="6" t="s">
        <v>13585</v>
      </c>
      <c r="D587" s="6" t="s">
        <v>417</v>
      </c>
      <c r="E587" s="6" t="s">
        <v>13586</v>
      </c>
      <c r="F587" s="20" t="n">
        <f aca="false">Quarterly_Actuals!H483+Quarterly_Actuals!H484-Quarterly_Actuals!H485</f>
        <v>0</v>
      </c>
      <c r="G587" s="6" t="str">
        <f aca="false">IF(ABS(F587)&lt;=H587,"PASS","FAIL")</f>
        <v>PASS</v>
      </c>
      <c r="H587" s="6" t="n">
        <v>0.5</v>
      </c>
      <c r="I587" s="6"/>
    </row>
    <row r="588" customFormat="false" ht="15" hidden="false" customHeight="false" outlineLevel="0" collapsed="false">
      <c r="A588" s="6" t="s">
        <v>13587</v>
      </c>
      <c r="B588" s="6" t="s">
        <v>13294</v>
      </c>
      <c r="C588" s="6" t="s">
        <v>13588</v>
      </c>
      <c r="D588" s="6" t="s">
        <v>424</v>
      </c>
      <c r="E588" s="6" t="s">
        <v>13589</v>
      </c>
      <c r="F588" s="20" t="n">
        <f aca="false">Quarterly_Actuals!H483+Quarterly_Actuals!H484+Quarterly_Actuals!H486-Quarterly_Actuals!H487</f>
        <v>0</v>
      </c>
      <c r="G588" s="6" t="str">
        <f aca="false">IF(ABS(F588)&lt;=H588,"PASS","FAIL")</f>
        <v>PASS</v>
      </c>
      <c r="H588" s="6" t="n">
        <v>0.5</v>
      </c>
      <c r="I588" s="6"/>
    </row>
    <row r="589" customFormat="false" ht="15" hidden="false" customHeight="false" outlineLevel="0" collapsed="false">
      <c r="A589" s="6" t="s">
        <v>13590</v>
      </c>
      <c r="B589" s="6" t="s">
        <v>13294</v>
      </c>
      <c r="C589" s="6" t="s">
        <v>13591</v>
      </c>
      <c r="D589" s="6" t="s">
        <v>13510</v>
      </c>
      <c r="E589" s="6" t="s">
        <v>13592</v>
      </c>
      <c r="F589" s="20" t="n">
        <f aca="false">Quarterly_Actuals!H483+Quarterly_Actuals!H484+Quarterly_Actuals!H486+Quarterly_Actuals!H488-Quarterly_Actuals!H489</f>
        <v>0</v>
      </c>
      <c r="G589" s="6" t="str">
        <f aca="false">IF(ABS(F589)&lt;=H589,"PASS","FAIL")</f>
        <v>PASS</v>
      </c>
      <c r="H589" s="6" t="n">
        <v>0.5</v>
      </c>
      <c r="I589" s="6"/>
    </row>
    <row r="590" customFormat="false" ht="15" hidden="false" customHeight="false" outlineLevel="0" collapsed="false">
      <c r="A590" s="6" t="s">
        <v>13593</v>
      </c>
      <c r="B590" s="6" t="s">
        <v>13294</v>
      </c>
      <c r="C590" s="6" t="s">
        <v>13594</v>
      </c>
      <c r="D590" s="6" t="s">
        <v>417</v>
      </c>
      <c r="E590" s="6" t="s">
        <v>13595</v>
      </c>
      <c r="F590" s="20" t="n">
        <f aca="false">Quarterly_Actuals!H559+Quarterly_Actuals!H560-Quarterly_Actuals!H561</f>
        <v>0</v>
      </c>
      <c r="G590" s="6" t="str">
        <f aca="false">IF(ABS(F590)&lt;=H590,"PASS","FAIL")</f>
        <v>PASS</v>
      </c>
      <c r="H590" s="6" t="n">
        <v>0.5</v>
      </c>
      <c r="I590" s="6"/>
    </row>
    <row r="591" customFormat="false" ht="15" hidden="false" customHeight="false" outlineLevel="0" collapsed="false">
      <c r="A591" s="6" t="s">
        <v>13596</v>
      </c>
      <c r="B591" s="6" t="s">
        <v>13294</v>
      </c>
      <c r="C591" s="6" t="s">
        <v>13597</v>
      </c>
      <c r="D591" s="6" t="s">
        <v>424</v>
      </c>
      <c r="E591" s="6" t="s">
        <v>13598</v>
      </c>
      <c r="F591" s="20" t="n">
        <f aca="false">Quarterly_Actuals!H559+Quarterly_Actuals!H560+Quarterly_Actuals!H562-Quarterly_Actuals!H563</f>
        <v>0</v>
      </c>
      <c r="G591" s="6" t="str">
        <f aca="false">IF(ABS(F591)&lt;=H591,"PASS","FAIL")</f>
        <v>PASS</v>
      </c>
      <c r="H591" s="6" t="n">
        <v>0.5</v>
      </c>
      <c r="I591" s="6"/>
    </row>
    <row r="592" customFormat="false" ht="15" hidden="false" customHeight="false" outlineLevel="0" collapsed="false">
      <c r="A592" s="6" t="s">
        <v>13599</v>
      </c>
      <c r="B592" s="6" t="s">
        <v>13294</v>
      </c>
      <c r="C592" s="6" t="s">
        <v>13600</v>
      </c>
      <c r="D592" s="6" t="s">
        <v>13510</v>
      </c>
      <c r="E592" s="6" t="s">
        <v>13601</v>
      </c>
      <c r="F592" s="20" t="n">
        <f aca="false">Quarterly_Actuals!H559+Quarterly_Actuals!H560+Quarterly_Actuals!H562+Quarterly_Actuals!H564-Quarterly_Actuals!H565</f>
        <v>0</v>
      </c>
      <c r="G592" s="6" t="str">
        <f aca="false">IF(ABS(F592)&lt;=H592,"PASS","FAIL")</f>
        <v>PASS</v>
      </c>
      <c r="H592" s="6" t="n">
        <v>0.5</v>
      </c>
      <c r="I592" s="6"/>
    </row>
    <row r="593" customFormat="false" ht="15" hidden="false" customHeight="false" outlineLevel="0" collapsed="false">
      <c r="A593" s="6" t="s">
        <v>13602</v>
      </c>
      <c r="B593" s="6" t="s">
        <v>13294</v>
      </c>
      <c r="C593" s="6" t="s">
        <v>13603</v>
      </c>
      <c r="D593" s="6" t="s">
        <v>417</v>
      </c>
      <c r="E593" s="6" t="s">
        <v>13604</v>
      </c>
      <c r="F593" s="20" t="n">
        <f aca="false">Quarterly_Actuals!H597+Quarterly_Actuals!H598-Quarterly_Actuals!H599</f>
        <v>0</v>
      </c>
      <c r="G593" s="6" t="str">
        <f aca="false">IF(ABS(F593)&lt;=H593,"PASS","FAIL")</f>
        <v>PASS</v>
      </c>
      <c r="H593" s="6" t="n">
        <v>0.5</v>
      </c>
      <c r="I593" s="6"/>
    </row>
    <row r="594" customFormat="false" ht="15" hidden="false" customHeight="false" outlineLevel="0" collapsed="false">
      <c r="A594" s="6" t="s">
        <v>13605</v>
      </c>
      <c r="B594" s="6" t="s">
        <v>13294</v>
      </c>
      <c r="C594" s="6" t="s">
        <v>13606</v>
      </c>
      <c r="D594" s="6" t="s">
        <v>424</v>
      </c>
      <c r="E594" s="6" t="s">
        <v>13607</v>
      </c>
      <c r="F594" s="20" t="n">
        <f aca="false">Quarterly_Actuals!H597+Quarterly_Actuals!H598+Quarterly_Actuals!H600-Quarterly_Actuals!H601</f>
        <v>0</v>
      </c>
      <c r="G594" s="6" t="str">
        <f aca="false">IF(ABS(F594)&lt;=H594,"PASS","FAIL")</f>
        <v>PASS</v>
      </c>
      <c r="H594" s="6" t="n">
        <v>0.5</v>
      </c>
      <c r="I594" s="6"/>
    </row>
    <row r="595" customFormat="false" ht="15" hidden="false" customHeight="false" outlineLevel="0" collapsed="false">
      <c r="A595" s="6" t="s">
        <v>13608</v>
      </c>
      <c r="B595" s="6" t="s">
        <v>13294</v>
      </c>
      <c r="C595" s="6" t="s">
        <v>13609</v>
      </c>
      <c r="D595" s="6" t="s">
        <v>13510</v>
      </c>
      <c r="E595" s="6" t="s">
        <v>13610</v>
      </c>
      <c r="F595" s="20" t="n">
        <f aca="false">Quarterly_Actuals!H597+Quarterly_Actuals!H598+Quarterly_Actuals!H600+Quarterly_Actuals!H602-Quarterly_Actuals!H603</f>
        <v>0</v>
      </c>
      <c r="G595" s="6" t="str">
        <f aca="false">IF(ABS(F595)&lt;=H595,"PASS","FAIL")</f>
        <v>PASS</v>
      </c>
      <c r="H595" s="6" t="n">
        <v>0.5</v>
      </c>
      <c r="I595" s="6"/>
    </row>
    <row r="596" customFormat="false" ht="15" hidden="false" customHeight="false" outlineLevel="0" collapsed="false">
      <c r="A596" s="6" t="s">
        <v>13611</v>
      </c>
      <c r="B596" s="6" t="s">
        <v>13294</v>
      </c>
      <c r="C596" s="6" t="s">
        <v>13612</v>
      </c>
      <c r="D596" s="6" t="s">
        <v>417</v>
      </c>
      <c r="E596" s="6" t="s">
        <v>13613</v>
      </c>
      <c r="F596" s="20" t="n">
        <f aca="false">Quarterly_Actuals!H635+Quarterly_Actuals!H636-Quarterly_Actuals!H637</f>
        <v>0</v>
      </c>
      <c r="G596" s="6" t="str">
        <f aca="false">IF(ABS(F596)&lt;=H596,"PASS","FAIL")</f>
        <v>PASS</v>
      </c>
      <c r="H596" s="6" t="n">
        <v>0.5</v>
      </c>
      <c r="I596" s="6"/>
    </row>
    <row r="597" customFormat="false" ht="15" hidden="false" customHeight="false" outlineLevel="0" collapsed="false">
      <c r="A597" s="6" t="s">
        <v>13614</v>
      </c>
      <c r="B597" s="6" t="s">
        <v>13294</v>
      </c>
      <c r="C597" s="6" t="s">
        <v>13615</v>
      </c>
      <c r="D597" s="6" t="s">
        <v>424</v>
      </c>
      <c r="E597" s="6" t="s">
        <v>13616</v>
      </c>
      <c r="F597" s="20" t="n">
        <f aca="false">Quarterly_Actuals!H635+Quarterly_Actuals!H636+Quarterly_Actuals!H638-Quarterly_Actuals!H639</f>
        <v>0</v>
      </c>
      <c r="G597" s="6" t="str">
        <f aca="false">IF(ABS(F597)&lt;=H597,"PASS","FAIL")</f>
        <v>PASS</v>
      </c>
      <c r="H597" s="6" t="n">
        <v>0.5</v>
      </c>
      <c r="I597" s="6"/>
    </row>
    <row r="598" customFormat="false" ht="15" hidden="false" customHeight="false" outlineLevel="0" collapsed="false">
      <c r="A598" s="6" t="s">
        <v>13617</v>
      </c>
      <c r="B598" s="6" t="s">
        <v>13294</v>
      </c>
      <c r="C598" s="6" t="s">
        <v>13618</v>
      </c>
      <c r="D598" s="6" t="s">
        <v>13510</v>
      </c>
      <c r="E598" s="6" t="s">
        <v>13619</v>
      </c>
      <c r="F598" s="20" t="n">
        <f aca="false">Quarterly_Actuals!H635+Quarterly_Actuals!H636+Quarterly_Actuals!H638+Quarterly_Actuals!H640-Quarterly_Actuals!H641</f>
        <v>0</v>
      </c>
      <c r="G598" s="6" t="str">
        <f aca="false">IF(ABS(F598)&lt;=H598,"PASS","FAIL")</f>
        <v>PASS</v>
      </c>
      <c r="H598" s="6" t="n">
        <v>0.5</v>
      </c>
      <c r="I598" s="6"/>
    </row>
    <row r="599" customFormat="false" ht="15" hidden="false" customHeight="false" outlineLevel="0" collapsed="false">
      <c r="A599" s="6" t="s">
        <v>13620</v>
      </c>
      <c r="B599" s="6" t="s">
        <v>13294</v>
      </c>
      <c r="C599" s="6" t="s">
        <v>13621</v>
      </c>
      <c r="D599" s="6" t="s">
        <v>417</v>
      </c>
      <c r="E599" s="6" t="s">
        <v>13622</v>
      </c>
      <c r="F599" s="20" t="n">
        <f aca="false">Quarterly_Actuals!H673+Quarterly_Actuals!H674-Quarterly_Actuals!H675</f>
        <v>0</v>
      </c>
      <c r="G599" s="6" t="str">
        <f aca="false">IF(ABS(F599)&lt;=H599,"PASS","FAIL")</f>
        <v>PASS</v>
      </c>
      <c r="H599" s="6" t="n">
        <v>0.5</v>
      </c>
      <c r="I599" s="6"/>
    </row>
    <row r="600" customFormat="false" ht="15" hidden="false" customHeight="false" outlineLevel="0" collapsed="false">
      <c r="A600" s="6" t="s">
        <v>13623</v>
      </c>
      <c r="B600" s="6" t="s">
        <v>13294</v>
      </c>
      <c r="C600" s="6" t="s">
        <v>13624</v>
      </c>
      <c r="D600" s="6" t="s">
        <v>424</v>
      </c>
      <c r="E600" s="6" t="s">
        <v>13625</v>
      </c>
      <c r="F600" s="20" t="n">
        <f aca="false">Quarterly_Actuals!H673+Quarterly_Actuals!H674+Quarterly_Actuals!H676-Quarterly_Actuals!H677</f>
        <v>0</v>
      </c>
      <c r="G600" s="6" t="str">
        <f aca="false">IF(ABS(F600)&lt;=H600,"PASS","FAIL")</f>
        <v>PASS</v>
      </c>
      <c r="H600" s="6" t="n">
        <v>0.5</v>
      </c>
      <c r="I600" s="6"/>
    </row>
    <row r="601" customFormat="false" ht="15" hidden="false" customHeight="false" outlineLevel="0" collapsed="false">
      <c r="A601" s="6" t="s">
        <v>13626</v>
      </c>
      <c r="B601" s="6" t="s">
        <v>13294</v>
      </c>
      <c r="C601" s="6" t="s">
        <v>13627</v>
      </c>
      <c r="D601" s="6" t="s">
        <v>13510</v>
      </c>
      <c r="E601" s="6" t="s">
        <v>13628</v>
      </c>
      <c r="F601" s="20" t="n">
        <f aca="false">Quarterly_Actuals!H673+Quarterly_Actuals!H674+Quarterly_Actuals!H676+Quarterly_Actuals!H678-Quarterly_Actuals!H679</f>
        <v>0</v>
      </c>
      <c r="G601" s="6" t="str">
        <f aca="false">IF(ABS(F601)&lt;=H601,"PASS","FAIL")</f>
        <v>PASS</v>
      </c>
      <c r="H601" s="6" t="n">
        <v>0.5</v>
      </c>
      <c r="I601" s="6"/>
    </row>
    <row r="602" customFormat="false" ht="15" hidden="false" customHeight="false" outlineLevel="0" collapsed="false">
      <c r="A602" s="6" t="s">
        <v>13629</v>
      </c>
      <c r="B602" s="6" t="s">
        <v>13294</v>
      </c>
      <c r="C602" s="6" t="s">
        <v>13630</v>
      </c>
      <c r="D602" s="6" t="s">
        <v>417</v>
      </c>
      <c r="E602" s="6" t="s">
        <v>13631</v>
      </c>
      <c r="F602" s="20" t="n">
        <f aca="false">Quarterly_Actuals!H749+Quarterly_Actuals!H750-Quarterly_Actuals!H751</f>
        <v>0</v>
      </c>
      <c r="G602" s="6" t="str">
        <f aca="false">IF(ABS(F602)&lt;=H602,"PASS","FAIL")</f>
        <v>PASS</v>
      </c>
      <c r="H602" s="6" t="n">
        <v>0.5</v>
      </c>
      <c r="I602" s="6"/>
    </row>
    <row r="603" customFormat="false" ht="15" hidden="false" customHeight="false" outlineLevel="0" collapsed="false">
      <c r="A603" s="6" t="s">
        <v>13632</v>
      </c>
      <c r="B603" s="6" t="s">
        <v>13294</v>
      </c>
      <c r="C603" s="6" t="s">
        <v>13633</v>
      </c>
      <c r="D603" s="6" t="s">
        <v>424</v>
      </c>
      <c r="E603" s="6" t="s">
        <v>13634</v>
      </c>
      <c r="F603" s="20" t="n">
        <f aca="false">Quarterly_Actuals!H749+Quarterly_Actuals!H750+Quarterly_Actuals!H752-Quarterly_Actuals!H753</f>
        <v>0</v>
      </c>
      <c r="G603" s="6" t="str">
        <f aca="false">IF(ABS(F603)&lt;=H603,"PASS","FAIL")</f>
        <v>PASS</v>
      </c>
      <c r="H603" s="6" t="n">
        <v>0.5</v>
      </c>
      <c r="I603" s="6"/>
    </row>
    <row r="604" customFormat="false" ht="15" hidden="false" customHeight="false" outlineLevel="0" collapsed="false">
      <c r="A604" s="6" t="s">
        <v>13635</v>
      </c>
      <c r="B604" s="6" t="s">
        <v>13294</v>
      </c>
      <c r="C604" s="6" t="s">
        <v>13636</v>
      </c>
      <c r="D604" s="6" t="s">
        <v>13510</v>
      </c>
      <c r="E604" s="6" t="s">
        <v>13637</v>
      </c>
      <c r="F604" s="20" t="n">
        <f aca="false">Quarterly_Actuals!H749+Quarterly_Actuals!H750+Quarterly_Actuals!H752+Quarterly_Actuals!H754-Quarterly_Actuals!H755</f>
        <v>0</v>
      </c>
      <c r="G604" s="6" t="str">
        <f aca="false">IF(ABS(F604)&lt;=H604,"PASS","FAIL")</f>
        <v>PASS</v>
      </c>
      <c r="H604" s="6" t="n">
        <v>0.5</v>
      </c>
      <c r="I604" s="6"/>
    </row>
    <row r="605" customFormat="false" ht="15" hidden="false" customHeight="false" outlineLevel="0" collapsed="false">
      <c r="A605" s="6" t="s">
        <v>13638</v>
      </c>
      <c r="B605" s="6" t="s">
        <v>13294</v>
      </c>
      <c r="C605" s="6" t="s">
        <v>13639</v>
      </c>
      <c r="D605" s="6" t="s">
        <v>417</v>
      </c>
      <c r="E605" s="6" t="s">
        <v>13640</v>
      </c>
      <c r="F605" s="20" t="n">
        <f aca="false">Quarterly_Actuals!H841+Quarterly_Actuals!H842-Quarterly_Actuals!H843</f>
        <v>0</v>
      </c>
      <c r="G605" s="6" t="str">
        <f aca="false">IF(ABS(F605)&lt;=H605,"PASS","FAIL")</f>
        <v>PASS</v>
      </c>
      <c r="H605" s="6" t="n">
        <v>0.5</v>
      </c>
      <c r="I605" s="6"/>
    </row>
    <row r="606" customFormat="false" ht="15" hidden="false" customHeight="false" outlineLevel="0" collapsed="false">
      <c r="A606" s="6" t="s">
        <v>13641</v>
      </c>
      <c r="B606" s="6" t="s">
        <v>13294</v>
      </c>
      <c r="C606" s="6" t="s">
        <v>13642</v>
      </c>
      <c r="D606" s="6" t="s">
        <v>424</v>
      </c>
      <c r="E606" s="6" t="s">
        <v>13643</v>
      </c>
      <c r="F606" s="20" t="n">
        <f aca="false">Quarterly_Actuals!H841+Quarterly_Actuals!H842+Quarterly_Actuals!H844-Quarterly_Actuals!H845</f>
        <v>0</v>
      </c>
      <c r="G606" s="6" t="str">
        <f aca="false">IF(ABS(F606)&lt;=H606,"PASS","FAIL")</f>
        <v>PASS</v>
      </c>
      <c r="H606" s="6" t="n">
        <v>0.5</v>
      </c>
      <c r="I606" s="6"/>
    </row>
    <row r="607" customFormat="false" ht="15" hidden="false" customHeight="false" outlineLevel="0" collapsed="false">
      <c r="A607" s="6" t="s">
        <v>13644</v>
      </c>
      <c r="B607" s="6" t="s">
        <v>13294</v>
      </c>
      <c r="C607" s="6" t="s">
        <v>13645</v>
      </c>
      <c r="D607" s="6" t="s">
        <v>13510</v>
      </c>
      <c r="E607" s="6" t="s">
        <v>13646</v>
      </c>
      <c r="F607" s="20" t="n">
        <f aca="false">Quarterly_Actuals!H841+Quarterly_Actuals!H842+Quarterly_Actuals!H844+Quarterly_Actuals!H846-Quarterly_Actuals!H847</f>
        <v>0</v>
      </c>
      <c r="G607" s="6" t="str">
        <f aca="false">IF(ABS(F607)&lt;=H607,"PASS","FAIL")</f>
        <v>PASS</v>
      </c>
      <c r="H607" s="6" t="n">
        <v>0.5</v>
      </c>
      <c r="I607" s="6"/>
    </row>
    <row r="608" customFormat="false" ht="15" hidden="false" customHeight="false" outlineLevel="0" collapsed="false">
      <c r="A608" s="6" t="s">
        <v>13647</v>
      </c>
      <c r="B608" s="6" t="s">
        <v>13294</v>
      </c>
      <c r="C608" s="6" t="s">
        <v>13648</v>
      </c>
      <c r="D608" s="6" t="s">
        <v>417</v>
      </c>
      <c r="E608" s="6" t="s">
        <v>13649</v>
      </c>
      <c r="F608" s="20" t="n">
        <f aca="false">Quarterly_Actuals!H879+Quarterly_Actuals!H880-Quarterly_Actuals!H881</f>
        <v>0</v>
      </c>
      <c r="G608" s="6" t="str">
        <f aca="false">IF(ABS(F608)&lt;=H608,"PASS","FAIL")</f>
        <v>PASS</v>
      </c>
      <c r="H608" s="6" t="n">
        <v>0.5</v>
      </c>
      <c r="I608" s="6"/>
    </row>
    <row r="609" customFormat="false" ht="15" hidden="false" customHeight="false" outlineLevel="0" collapsed="false">
      <c r="A609" s="6" t="s">
        <v>13650</v>
      </c>
      <c r="B609" s="6" t="s">
        <v>13294</v>
      </c>
      <c r="C609" s="6" t="s">
        <v>13651</v>
      </c>
      <c r="D609" s="6" t="s">
        <v>424</v>
      </c>
      <c r="E609" s="6" t="s">
        <v>13652</v>
      </c>
      <c r="F609" s="20" t="n">
        <f aca="false">Quarterly_Actuals!H879+Quarterly_Actuals!H880+Quarterly_Actuals!H882-Quarterly_Actuals!H883</f>
        <v>0</v>
      </c>
      <c r="G609" s="6" t="str">
        <f aca="false">IF(ABS(F609)&lt;=H609,"PASS","FAIL")</f>
        <v>PASS</v>
      </c>
      <c r="H609" s="6" t="n">
        <v>0.5</v>
      </c>
      <c r="I609" s="6"/>
    </row>
    <row r="610" customFormat="false" ht="15" hidden="false" customHeight="false" outlineLevel="0" collapsed="false">
      <c r="A610" s="6" t="s">
        <v>13653</v>
      </c>
      <c r="B610" s="6" t="s">
        <v>13294</v>
      </c>
      <c r="C610" s="6" t="s">
        <v>13654</v>
      </c>
      <c r="D610" s="6" t="s">
        <v>13510</v>
      </c>
      <c r="E610" s="6" t="s">
        <v>13655</v>
      </c>
      <c r="F610" s="20" t="n">
        <f aca="false">Quarterly_Actuals!H879+Quarterly_Actuals!H880+Quarterly_Actuals!H882+Quarterly_Actuals!H884-Quarterly_Actuals!H885</f>
        <v>0</v>
      </c>
      <c r="G610" s="6" t="str">
        <f aca="false">IF(ABS(F610)&lt;=H610,"PASS","FAIL")</f>
        <v>PASS</v>
      </c>
      <c r="H610" s="6" t="n">
        <v>0.5</v>
      </c>
      <c r="I610" s="6"/>
    </row>
    <row r="611" customFormat="false" ht="15" hidden="false" customHeight="false" outlineLevel="0" collapsed="false">
      <c r="A611" s="6" t="s">
        <v>13656</v>
      </c>
      <c r="B611" s="6" t="s">
        <v>13294</v>
      </c>
      <c r="C611" s="6" t="s">
        <v>13657</v>
      </c>
      <c r="D611" s="6" t="s">
        <v>417</v>
      </c>
      <c r="E611" s="6" t="s">
        <v>13658</v>
      </c>
      <c r="F611" s="20" t="n">
        <f aca="false">Quarterly_Actuals!H937+Quarterly_Actuals!H938-Quarterly_Actuals!H939</f>
        <v>0</v>
      </c>
      <c r="G611" s="6" t="str">
        <f aca="false">IF(ABS(F611)&lt;=H611,"PASS","FAIL")</f>
        <v>PASS</v>
      </c>
      <c r="H611" s="6" t="n">
        <v>0.5</v>
      </c>
      <c r="I611" s="6"/>
    </row>
    <row r="612" customFormat="false" ht="15" hidden="false" customHeight="false" outlineLevel="0" collapsed="false">
      <c r="A612" s="6" t="s">
        <v>13659</v>
      </c>
      <c r="B612" s="6" t="s">
        <v>13294</v>
      </c>
      <c r="C612" s="6" t="s">
        <v>13660</v>
      </c>
      <c r="D612" s="6" t="s">
        <v>424</v>
      </c>
      <c r="E612" s="6" t="s">
        <v>13661</v>
      </c>
      <c r="F612" s="20" t="n">
        <f aca="false">Quarterly_Actuals!H937+Quarterly_Actuals!H938+Quarterly_Actuals!H940-Quarterly_Actuals!H941</f>
        <v>0</v>
      </c>
      <c r="G612" s="6" t="str">
        <f aca="false">IF(ABS(F612)&lt;=H612,"PASS","FAIL")</f>
        <v>PASS</v>
      </c>
      <c r="H612" s="6" t="n">
        <v>0.5</v>
      </c>
      <c r="I612" s="6"/>
    </row>
    <row r="613" customFormat="false" ht="15" hidden="false" customHeight="false" outlineLevel="0" collapsed="false">
      <c r="A613" s="6" t="s">
        <v>13662</v>
      </c>
      <c r="B613" s="6" t="s">
        <v>13294</v>
      </c>
      <c r="C613" s="6" t="s">
        <v>13663</v>
      </c>
      <c r="D613" s="6" t="s">
        <v>13510</v>
      </c>
      <c r="E613" s="6" t="s">
        <v>13664</v>
      </c>
      <c r="F613" s="20" t="n">
        <f aca="false">Quarterly_Actuals!H937+Quarterly_Actuals!H938+Quarterly_Actuals!H940+Quarterly_Actuals!H942-Quarterly_Actuals!H943</f>
        <v>0</v>
      </c>
      <c r="G613" s="6" t="str">
        <f aca="false">IF(ABS(F613)&lt;=H613,"PASS","FAIL")</f>
        <v>PASS</v>
      </c>
      <c r="H613" s="6" t="n">
        <v>0.5</v>
      </c>
      <c r="I613" s="6"/>
    </row>
    <row r="614" customFormat="false" ht="15" hidden="false" customHeight="false" outlineLevel="0" collapsed="false">
      <c r="A614" s="6" t="s">
        <v>13665</v>
      </c>
      <c r="B614" s="6" t="s">
        <v>13294</v>
      </c>
      <c r="C614" s="6" t="s">
        <v>13666</v>
      </c>
      <c r="D614" s="6" t="s">
        <v>417</v>
      </c>
      <c r="E614" s="6" t="s">
        <v>13667</v>
      </c>
      <c r="F614" s="20" t="n">
        <f aca="false">Quarterly_Actuals!H975+Quarterly_Actuals!H976-Quarterly_Actuals!H977</f>
        <v>0</v>
      </c>
      <c r="G614" s="6" t="str">
        <f aca="false">IF(ABS(F614)&lt;=H614,"PASS","FAIL")</f>
        <v>PASS</v>
      </c>
      <c r="H614" s="6" t="n">
        <v>0.5</v>
      </c>
      <c r="I614" s="6"/>
    </row>
    <row r="615" customFormat="false" ht="15" hidden="false" customHeight="false" outlineLevel="0" collapsed="false">
      <c r="A615" s="6" t="s">
        <v>13668</v>
      </c>
      <c r="B615" s="6" t="s">
        <v>13294</v>
      </c>
      <c r="C615" s="6" t="s">
        <v>13669</v>
      </c>
      <c r="D615" s="6" t="s">
        <v>424</v>
      </c>
      <c r="E615" s="6" t="s">
        <v>13670</v>
      </c>
      <c r="F615" s="20" t="n">
        <f aca="false">Quarterly_Actuals!H975+Quarterly_Actuals!H976+Quarterly_Actuals!H978-Quarterly_Actuals!H979</f>
        <v>0</v>
      </c>
      <c r="G615" s="6" t="str">
        <f aca="false">IF(ABS(F615)&lt;=H615,"PASS","FAIL")</f>
        <v>PASS</v>
      </c>
      <c r="H615" s="6" t="n">
        <v>0.5</v>
      </c>
      <c r="I615" s="6"/>
    </row>
    <row r="616" customFormat="false" ht="15" hidden="false" customHeight="false" outlineLevel="0" collapsed="false">
      <c r="A616" s="6" t="s">
        <v>13671</v>
      </c>
      <c r="B616" s="6" t="s">
        <v>13294</v>
      </c>
      <c r="C616" s="6" t="s">
        <v>13672</v>
      </c>
      <c r="D616" s="6" t="s">
        <v>13510</v>
      </c>
      <c r="E616" s="6" t="s">
        <v>13673</v>
      </c>
      <c r="F616" s="20" t="n">
        <f aca="false">Quarterly_Actuals!H975+Quarterly_Actuals!H976+Quarterly_Actuals!H978+Quarterly_Actuals!H980-Quarterly_Actuals!H981</f>
        <v>0</v>
      </c>
      <c r="G616" s="6" t="str">
        <f aca="false">IF(ABS(F616)&lt;=H616,"PASS","FAIL")</f>
        <v>PASS</v>
      </c>
      <c r="H616" s="6" t="n">
        <v>0.5</v>
      </c>
      <c r="I616" s="6"/>
    </row>
    <row r="617" customFormat="false" ht="15" hidden="false" customHeight="false" outlineLevel="0" collapsed="false">
      <c r="A617" s="6" t="s">
        <v>13674</v>
      </c>
      <c r="B617" s="6" t="s">
        <v>13294</v>
      </c>
      <c r="C617" s="6" t="s">
        <v>13675</v>
      </c>
      <c r="D617" s="6" t="s">
        <v>417</v>
      </c>
      <c r="E617" s="6" t="s">
        <v>13676</v>
      </c>
      <c r="F617" s="20" t="n">
        <f aca="false">Quarterly_Actuals!H1013+Quarterly_Actuals!H1014-Quarterly_Actuals!H1015</f>
        <v>0</v>
      </c>
      <c r="G617" s="6" t="str">
        <f aca="false">IF(ABS(F617)&lt;=H617,"PASS","FAIL")</f>
        <v>PASS</v>
      </c>
      <c r="H617" s="6" t="n">
        <v>0.5</v>
      </c>
      <c r="I617" s="6"/>
    </row>
    <row r="618" customFormat="false" ht="15" hidden="false" customHeight="false" outlineLevel="0" collapsed="false">
      <c r="A618" s="6" t="s">
        <v>13677</v>
      </c>
      <c r="B618" s="6" t="s">
        <v>13294</v>
      </c>
      <c r="C618" s="6" t="s">
        <v>13678</v>
      </c>
      <c r="D618" s="6" t="s">
        <v>424</v>
      </c>
      <c r="E618" s="6" t="s">
        <v>13679</v>
      </c>
      <c r="F618" s="20" t="n">
        <f aca="false">Quarterly_Actuals!H1013+Quarterly_Actuals!H1014+Quarterly_Actuals!H1016-Quarterly_Actuals!H1017</f>
        <v>0</v>
      </c>
      <c r="G618" s="6" t="str">
        <f aca="false">IF(ABS(F618)&lt;=H618,"PASS","FAIL")</f>
        <v>PASS</v>
      </c>
      <c r="H618" s="6" t="n">
        <v>0.5</v>
      </c>
      <c r="I618" s="6"/>
    </row>
    <row r="619" customFormat="false" ht="15" hidden="false" customHeight="false" outlineLevel="0" collapsed="false">
      <c r="A619" s="6" t="s">
        <v>13680</v>
      </c>
      <c r="B619" s="6" t="s">
        <v>13294</v>
      </c>
      <c r="C619" s="6" t="s">
        <v>13681</v>
      </c>
      <c r="D619" s="6" t="s">
        <v>13510</v>
      </c>
      <c r="E619" s="6" t="s">
        <v>13682</v>
      </c>
      <c r="F619" s="20" t="n">
        <f aca="false">Quarterly_Actuals!H1013+Quarterly_Actuals!H1014+Quarterly_Actuals!H1016+Quarterly_Actuals!H1018-Quarterly_Actuals!H1019</f>
        <v>0</v>
      </c>
      <c r="G619" s="6" t="str">
        <f aca="false">IF(ABS(F619)&lt;=H619,"PASS","FAIL")</f>
        <v>PASS</v>
      </c>
      <c r="H619" s="6" t="n">
        <v>0.5</v>
      </c>
      <c r="I619" s="6"/>
    </row>
    <row r="620" customFormat="false" ht="15" hidden="false" customHeight="false" outlineLevel="0" collapsed="false">
      <c r="A620" s="6" t="s">
        <v>13683</v>
      </c>
      <c r="B620" s="6" t="s">
        <v>13294</v>
      </c>
      <c r="C620" s="6" t="s">
        <v>13684</v>
      </c>
      <c r="D620" s="6" t="s">
        <v>417</v>
      </c>
      <c r="E620" s="6" t="s">
        <v>13685</v>
      </c>
      <c r="F620" s="20" t="n">
        <f aca="false">Quarterly_Actuals!H1051+Quarterly_Actuals!H1052-Quarterly_Actuals!H1053</f>
        <v>0</v>
      </c>
      <c r="G620" s="6" t="str">
        <f aca="false">IF(ABS(F620)&lt;=H620,"PASS","FAIL")</f>
        <v>PASS</v>
      </c>
      <c r="H620" s="6" t="n">
        <v>0.5</v>
      </c>
      <c r="I620" s="6"/>
    </row>
    <row r="621" customFormat="false" ht="15" hidden="false" customHeight="false" outlineLevel="0" collapsed="false">
      <c r="A621" s="6" t="s">
        <v>13686</v>
      </c>
      <c r="B621" s="6" t="s">
        <v>13294</v>
      </c>
      <c r="C621" s="6" t="s">
        <v>13687</v>
      </c>
      <c r="D621" s="6" t="s">
        <v>424</v>
      </c>
      <c r="E621" s="6" t="s">
        <v>13688</v>
      </c>
      <c r="F621" s="20" t="n">
        <f aca="false">Quarterly_Actuals!H1051+Quarterly_Actuals!H1052+Quarterly_Actuals!H1054-Quarterly_Actuals!H1055</f>
        <v>0</v>
      </c>
      <c r="G621" s="6" t="str">
        <f aca="false">IF(ABS(F621)&lt;=H621,"PASS","FAIL")</f>
        <v>PASS</v>
      </c>
      <c r="H621" s="6" t="n">
        <v>0.5</v>
      </c>
      <c r="I621" s="6"/>
    </row>
    <row r="622" customFormat="false" ht="15" hidden="false" customHeight="false" outlineLevel="0" collapsed="false">
      <c r="A622" s="6" t="s">
        <v>13689</v>
      </c>
      <c r="B622" s="6" t="s">
        <v>13294</v>
      </c>
      <c r="C622" s="6" t="s">
        <v>13690</v>
      </c>
      <c r="D622" s="6" t="s">
        <v>13510</v>
      </c>
      <c r="E622" s="6" t="s">
        <v>13691</v>
      </c>
      <c r="F622" s="20" t="n">
        <f aca="false">Quarterly_Actuals!H1051+Quarterly_Actuals!H1052+Quarterly_Actuals!H1054+Quarterly_Actuals!H1056-Quarterly_Actuals!H1057</f>
        <v>0</v>
      </c>
      <c r="G622" s="6" t="str">
        <f aca="false">IF(ABS(F622)&lt;=H622,"PASS","FAIL")</f>
        <v>PASS</v>
      </c>
      <c r="H622" s="6" t="n">
        <v>0.5</v>
      </c>
      <c r="I622" s="6"/>
    </row>
    <row r="623" customFormat="false" ht="15" hidden="false" customHeight="false" outlineLevel="0" collapsed="false">
      <c r="A623" s="6" t="s">
        <v>13692</v>
      </c>
      <c r="B623" s="6" t="s">
        <v>13294</v>
      </c>
      <c r="C623" s="6" t="s">
        <v>13693</v>
      </c>
      <c r="D623" s="6" t="s">
        <v>417</v>
      </c>
      <c r="E623" s="6" t="s">
        <v>13694</v>
      </c>
      <c r="F623" s="20" t="n">
        <f aca="false">Quarterly_Actuals!H1075+Quarterly_Actuals!H1076-Quarterly_Actuals!H1077</f>
        <v>0</v>
      </c>
      <c r="G623" s="6" t="str">
        <f aca="false">IF(ABS(F623)&lt;=H623,"PASS","FAIL")</f>
        <v>PASS</v>
      </c>
      <c r="H623" s="6" t="n">
        <v>0.5</v>
      </c>
      <c r="I623" s="6"/>
    </row>
    <row r="624" customFormat="false" ht="15" hidden="false" customHeight="false" outlineLevel="0" collapsed="false">
      <c r="A624" s="6" t="s">
        <v>13695</v>
      </c>
      <c r="B624" s="6" t="s">
        <v>13294</v>
      </c>
      <c r="C624" s="6" t="s">
        <v>13696</v>
      </c>
      <c r="D624" s="6" t="s">
        <v>424</v>
      </c>
      <c r="E624" s="6" t="s">
        <v>13697</v>
      </c>
      <c r="F624" s="20" t="n">
        <f aca="false">Quarterly_Actuals!H1075+Quarterly_Actuals!H1076+Quarterly_Actuals!H1078-Quarterly_Actuals!H1079</f>
        <v>0</v>
      </c>
      <c r="G624" s="6" t="str">
        <f aca="false">IF(ABS(F624)&lt;=H624,"PASS","FAIL")</f>
        <v>PASS</v>
      </c>
      <c r="H624" s="6" t="n">
        <v>0.5</v>
      </c>
      <c r="I624" s="6"/>
    </row>
    <row r="625" customFormat="false" ht="15" hidden="false" customHeight="false" outlineLevel="0" collapsed="false">
      <c r="A625" s="6" t="s">
        <v>13698</v>
      </c>
      <c r="B625" s="6" t="s">
        <v>13294</v>
      </c>
      <c r="C625" s="6" t="s">
        <v>13699</v>
      </c>
      <c r="D625" s="6" t="s">
        <v>13510</v>
      </c>
      <c r="E625" s="6" t="s">
        <v>13700</v>
      </c>
      <c r="F625" s="20" t="n">
        <f aca="false">Quarterly_Actuals!H1075+Quarterly_Actuals!H1076+Quarterly_Actuals!H1078+Quarterly_Actuals!H1080-Quarterly_Actuals!H1081</f>
        <v>0</v>
      </c>
      <c r="G625" s="6" t="str">
        <f aca="false">IF(ABS(F625)&lt;=H625,"PASS","FAIL")</f>
        <v>PASS</v>
      </c>
      <c r="H625" s="6" t="n">
        <v>0.5</v>
      </c>
      <c r="I625" s="6"/>
    </row>
    <row r="626" customFormat="false" ht="15" hidden="false" customHeight="false" outlineLevel="0" collapsed="false">
      <c r="A626" s="6" t="s">
        <v>13701</v>
      </c>
      <c r="B626" s="6" t="s">
        <v>13294</v>
      </c>
      <c r="C626" s="6" t="s">
        <v>13702</v>
      </c>
      <c r="D626" s="6" t="s">
        <v>417</v>
      </c>
      <c r="E626" s="6" t="s">
        <v>13703</v>
      </c>
      <c r="F626" s="20" t="n">
        <f aca="false">Quarterly_Actuals!H1141+Quarterly_Actuals!H1142-Quarterly_Actuals!H1143</f>
        <v>0</v>
      </c>
      <c r="G626" s="6" t="str">
        <f aca="false">IF(ABS(F626)&lt;=H626,"PASS","FAIL")</f>
        <v>PASS</v>
      </c>
      <c r="H626" s="6" t="n">
        <v>0.5</v>
      </c>
      <c r="I626" s="6"/>
    </row>
    <row r="627" customFormat="false" ht="15" hidden="false" customHeight="false" outlineLevel="0" collapsed="false">
      <c r="A627" s="6" t="s">
        <v>13704</v>
      </c>
      <c r="B627" s="6" t="s">
        <v>13294</v>
      </c>
      <c r="C627" s="6" t="s">
        <v>13705</v>
      </c>
      <c r="D627" s="6" t="s">
        <v>424</v>
      </c>
      <c r="E627" s="6" t="s">
        <v>13706</v>
      </c>
      <c r="F627" s="20" t="n">
        <f aca="false">Quarterly_Actuals!H1141+Quarterly_Actuals!H1142+Quarterly_Actuals!H1144-Quarterly_Actuals!H1145</f>
        <v>0</v>
      </c>
      <c r="G627" s="6" t="str">
        <f aca="false">IF(ABS(F627)&lt;=H627,"PASS","FAIL")</f>
        <v>PASS</v>
      </c>
      <c r="H627" s="6" t="n">
        <v>0.5</v>
      </c>
      <c r="I627" s="6"/>
    </row>
    <row r="628" customFormat="false" ht="15" hidden="false" customHeight="false" outlineLevel="0" collapsed="false">
      <c r="A628" s="6" t="s">
        <v>13707</v>
      </c>
      <c r="B628" s="6" t="s">
        <v>13294</v>
      </c>
      <c r="C628" s="6" t="s">
        <v>13708</v>
      </c>
      <c r="D628" s="6" t="s">
        <v>13510</v>
      </c>
      <c r="E628" s="6" t="s">
        <v>13709</v>
      </c>
      <c r="F628" s="20" t="n">
        <f aca="false">Quarterly_Actuals!H1141+Quarterly_Actuals!H1142+Quarterly_Actuals!H1144+Quarterly_Actuals!H1146-Quarterly_Actuals!H1147</f>
        <v>0</v>
      </c>
      <c r="G628" s="6" t="str">
        <f aca="false">IF(ABS(F628)&lt;=H628,"PASS","FAIL")</f>
        <v>PASS</v>
      </c>
      <c r="H628" s="6" t="n">
        <v>0.5</v>
      </c>
      <c r="I628" s="6"/>
    </row>
    <row r="629" customFormat="false" ht="15" hidden="false" customHeight="false" outlineLevel="0" collapsed="false">
      <c r="A629" s="6" t="s">
        <v>13710</v>
      </c>
      <c r="B629" s="6" t="s">
        <v>13294</v>
      </c>
      <c r="C629" s="6" t="s">
        <v>13711</v>
      </c>
      <c r="D629" s="6" t="s">
        <v>440</v>
      </c>
      <c r="E629" s="6" t="s">
        <v>13712</v>
      </c>
      <c r="F629" s="20" t="n">
        <f aca="false">Quarterly_Actuals!H16+Quarterly_Actuals!H17-Quarterly_Actuals!H18</f>
        <v>0</v>
      </c>
      <c r="G629" s="6" t="str">
        <f aca="false">IF(ABS(F629)&lt;=H629,"PASS","FAIL")</f>
        <v>PASS</v>
      </c>
      <c r="H629" s="6" t="n">
        <v>0.5</v>
      </c>
      <c r="I629" s="6"/>
    </row>
    <row r="630" customFormat="false" ht="15" hidden="false" customHeight="false" outlineLevel="0" collapsed="false">
      <c r="A630" s="6" t="s">
        <v>13713</v>
      </c>
      <c r="B630" s="6" t="s">
        <v>13294</v>
      </c>
      <c r="C630" s="6" t="s">
        <v>13714</v>
      </c>
      <c r="D630" s="6" t="s">
        <v>447</v>
      </c>
      <c r="E630" s="6" t="s">
        <v>13715</v>
      </c>
      <c r="F630" s="20" t="n">
        <f aca="false">Quarterly_Actuals!H16+Quarterly_Actuals!H17+Quarterly_Actuals!H19-Quarterly_Actuals!H20</f>
        <v>0</v>
      </c>
      <c r="G630" s="6" t="str">
        <f aca="false">IF(ABS(F630)&lt;=H630,"PASS","FAIL")</f>
        <v>PASS</v>
      </c>
      <c r="H630" s="6" t="n">
        <v>0.5</v>
      </c>
      <c r="I630" s="6"/>
    </row>
    <row r="631" customFormat="false" ht="15" hidden="false" customHeight="false" outlineLevel="0" collapsed="false">
      <c r="A631" s="6" t="s">
        <v>13716</v>
      </c>
      <c r="B631" s="6" t="s">
        <v>13294</v>
      </c>
      <c r="C631" s="6" t="s">
        <v>13717</v>
      </c>
      <c r="D631" s="6" t="s">
        <v>13718</v>
      </c>
      <c r="E631" s="6" t="s">
        <v>13719</v>
      </c>
      <c r="F631" s="20" t="n">
        <f aca="false">Quarterly_Actuals!H16+Quarterly_Actuals!H17+Quarterly_Actuals!H19+Quarterly_Actuals!H21-Quarterly_Actuals!H22</f>
        <v>0</v>
      </c>
      <c r="G631" s="6" t="str">
        <f aca="false">IF(ABS(F631)&lt;=H631,"PASS","FAIL")</f>
        <v>PASS</v>
      </c>
      <c r="H631" s="6" t="n">
        <v>0.5</v>
      </c>
      <c r="I631" s="6"/>
    </row>
    <row r="632" customFormat="false" ht="15" hidden="false" customHeight="false" outlineLevel="0" collapsed="false">
      <c r="A632" s="6" t="s">
        <v>13720</v>
      </c>
      <c r="B632" s="6" t="s">
        <v>13294</v>
      </c>
      <c r="C632" s="6" t="s">
        <v>13721</v>
      </c>
      <c r="D632" s="6" t="s">
        <v>440</v>
      </c>
      <c r="E632" s="6" t="s">
        <v>13722</v>
      </c>
      <c r="F632" s="20" t="n">
        <f aca="false">Quarterly_Actuals!H54+Quarterly_Actuals!H55-Quarterly_Actuals!H56</f>
        <v>0</v>
      </c>
      <c r="G632" s="6" t="str">
        <f aca="false">IF(ABS(F632)&lt;=H632,"PASS","FAIL")</f>
        <v>PASS</v>
      </c>
      <c r="H632" s="6" t="n">
        <v>0.5</v>
      </c>
      <c r="I632" s="6"/>
    </row>
    <row r="633" customFormat="false" ht="15" hidden="false" customHeight="false" outlineLevel="0" collapsed="false">
      <c r="A633" s="6" t="s">
        <v>13723</v>
      </c>
      <c r="B633" s="6" t="s">
        <v>13294</v>
      </c>
      <c r="C633" s="6" t="s">
        <v>13724</v>
      </c>
      <c r="D633" s="6" t="s">
        <v>447</v>
      </c>
      <c r="E633" s="6" t="s">
        <v>13725</v>
      </c>
      <c r="F633" s="20" t="n">
        <f aca="false">Quarterly_Actuals!H54+Quarterly_Actuals!H55+Quarterly_Actuals!H57-Quarterly_Actuals!H58</f>
        <v>0</v>
      </c>
      <c r="G633" s="6" t="str">
        <f aca="false">IF(ABS(F633)&lt;=H633,"PASS","FAIL")</f>
        <v>PASS</v>
      </c>
      <c r="H633" s="6" t="n">
        <v>0.5</v>
      </c>
      <c r="I633" s="6"/>
    </row>
    <row r="634" customFormat="false" ht="15" hidden="false" customHeight="false" outlineLevel="0" collapsed="false">
      <c r="A634" s="6" t="s">
        <v>13726</v>
      </c>
      <c r="B634" s="6" t="s">
        <v>13294</v>
      </c>
      <c r="C634" s="6" t="s">
        <v>13727</v>
      </c>
      <c r="D634" s="6" t="s">
        <v>13718</v>
      </c>
      <c r="E634" s="6" t="s">
        <v>13728</v>
      </c>
      <c r="F634" s="20" t="n">
        <f aca="false">Quarterly_Actuals!H54+Quarterly_Actuals!H55+Quarterly_Actuals!H57+Quarterly_Actuals!H59-Quarterly_Actuals!H60</f>
        <v>0</v>
      </c>
      <c r="G634" s="6" t="str">
        <f aca="false">IF(ABS(F634)&lt;=H634,"PASS","FAIL")</f>
        <v>PASS</v>
      </c>
      <c r="H634" s="6" t="n">
        <v>0.5</v>
      </c>
      <c r="I634" s="6"/>
    </row>
    <row r="635" customFormat="false" ht="15" hidden="false" customHeight="false" outlineLevel="0" collapsed="false">
      <c r="A635" s="6" t="s">
        <v>13729</v>
      </c>
      <c r="B635" s="6" t="s">
        <v>13294</v>
      </c>
      <c r="C635" s="6" t="s">
        <v>13730</v>
      </c>
      <c r="D635" s="6" t="s">
        <v>440</v>
      </c>
      <c r="E635" s="6" t="s">
        <v>13731</v>
      </c>
      <c r="F635" s="20" t="n">
        <f aca="false">Quarterly_Actuals!H92+Quarterly_Actuals!H93-Quarterly_Actuals!H94</f>
        <v>0</v>
      </c>
      <c r="G635" s="6" t="str">
        <f aca="false">IF(ABS(F635)&lt;=H635,"PASS","FAIL")</f>
        <v>PASS</v>
      </c>
      <c r="H635" s="6" t="n">
        <v>0.5</v>
      </c>
      <c r="I635" s="6"/>
    </row>
    <row r="636" customFormat="false" ht="15" hidden="false" customHeight="false" outlineLevel="0" collapsed="false">
      <c r="A636" s="6" t="s">
        <v>13732</v>
      </c>
      <c r="B636" s="6" t="s">
        <v>13294</v>
      </c>
      <c r="C636" s="6" t="s">
        <v>13733</v>
      </c>
      <c r="D636" s="6" t="s">
        <v>447</v>
      </c>
      <c r="E636" s="6" t="s">
        <v>13734</v>
      </c>
      <c r="F636" s="20" t="n">
        <f aca="false">Quarterly_Actuals!H92+Quarterly_Actuals!H93+Quarterly_Actuals!H95-Quarterly_Actuals!H96</f>
        <v>0</v>
      </c>
      <c r="G636" s="6" t="str">
        <f aca="false">IF(ABS(F636)&lt;=H636,"PASS","FAIL")</f>
        <v>PASS</v>
      </c>
      <c r="H636" s="6" t="n">
        <v>0.5</v>
      </c>
      <c r="I636" s="6"/>
    </row>
    <row r="637" customFormat="false" ht="15" hidden="false" customHeight="false" outlineLevel="0" collapsed="false">
      <c r="A637" s="6" t="s">
        <v>13735</v>
      </c>
      <c r="B637" s="6" t="s">
        <v>13294</v>
      </c>
      <c r="C637" s="6" t="s">
        <v>13736</v>
      </c>
      <c r="D637" s="6" t="s">
        <v>13718</v>
      </c>
      <c r="E637" s="6" t="s">
        <v>13737</v>
      </c>
      <c r="F637" s="20" t="n">
        <f aca="false">Quarterly_Actuals!H92+Quarterly_Actuals!H93+Quarterly_Actuals!H95+Quarterly_Actuals!H97-Quarterly_Actuals!H98</f>
        <v>0</v>
      </c>
      <c r="G637" s="6" t="str">
        <f aca="false">IF(ABS(F637)&lt;=H637,"PASS","FAIL")</f>
        <v>PASS</v>
      </c>
      <c r="H637" s="6" t="n">
        <v>0.5</v>
      </c>
      <c r="I637" s="6"/>
    </row>
    <row r="638" customFormat="false" ht="15" hidden="false" customHeight="false" outlineLevel="0" collapsed="false">
      <c r="A638" s="6" t="s">
        <v>13738</v>
      </c>
      <c r="B638" s="6" t="s">
        <v>13294</v>
      </c>
      <c r="C638" s="6" t="s">
        <v>13739</v>
      </c>
      <c r="D638" s="6" t="s">
        <v>440</v>
      </c>
      <c r="E638" s="6" t="s">
        <v>13740</v>
      </c>
      <c r="F638" s="20" t="n">
        <f aca="false">Quarterly_Actuals!H168+Quarterly_Actuals!H169-Quarterly_Actuals!H170</f>
        <v>0</v>
      </c>
      <c r="G638" s="6" t="str">
        <f aca="false">IF(ABS(F638)&lt;=H638,"PASS","FAIL")</f>
        <v>PASS</v>
      </c>
      <c r="H638" s="6" t="n">
        <v>0.5</v>
      </c>
      <c r="I638" s="6"/>
    </row>
    <row r="639" customFormat="false" ht="15" hidden="false" customHeight="false" outlineLevel="0" collapsed="false">
      <c r="A639" s="6" t="s">
        <v>13741</v>
      </c>
      <c r="B639" s="6" t="s">
        <v>13294</v>
      </c>
      <c r="C639" s="6" t="s">
        <v>13742</v>
      </c>
      <c r="D639" s="6" t="s">
        <v>447</v>
      </c>
      <c r="E639" s="6" t="s">
        <v>13743</v>
      </c>
      <c r="F639" s="20" t="n">
        <f aca="false">Quarterly_Actuals!H168+Quarterly_Actuals!H169+Quarterly_Actuals!H171-Quarterly_Actuals!H172</f>
        <v>0</v>
      </c>
      <c r="G639" s="6" t="str">
        <f aca="false">IF(ABS(F639)&lt;=H639,"PASS","FAIL")</f>
        <v>PASS</v>
      </c>
      <c r="H639" s="6" t="n">
        <v>0.5</v>
      </c>
      <c r="I639" s="6"/>
    </row>
    <row r="640" customFormat="false" ht="15" hidden="false" customHeight="false" outlineLevel="0" collapsed="false">
      <c r="A640" s="6" t="s">
        <v>13744</v>
      </c>
      <c r="B640" s="6" t="s">
        <v>13294</v>
      </c>
      <c r="C640" s="6" t="s">
        <v>13745</v>
      </c>
      <c r="D640" s="6" t="s">
        <v>13718</v>
      </c>
      <c r="E640" s="6" t="s">
        <v>13746</v>
      </c>
      <c r="F640" s="20" t="n">
        <f aca="false">Quarterly_Actuals!H168+Quarterly_Actuals!H169+Quarterly_Actuals!H171+Quarterly_Actuals!H173-Quarterly_Actuals!H174</f>
        <v>0</v>
      </c>
      <c r="G640" s="6" t="str">
        <f aca="false">IF(ABS(F640)&lt;=H640,"PASS","FAIL")</f>
        <v>PASS</v>
      </c>
      <c r="H640" s="6" t="n">
        <v>0.5</v>
      </c>
      <c r="I640" s="6"/>
    </row>
    <row r="641" customFormat="false" ht="15" hidden="false" customHeight="false" outlineLevel="0" collapsed="false">
      <c r="A641" s="6" t="s">
        <v>13747</v>
      </c>
      <c r="B641" s="6" t="s">
        <v>13294</v>
      </c>
      <c r="C641" s="6" t="s">
        <v>13748</v>
      </c>
      <c r="D641" s="6" t="s">
        <v>440</v>
      </c>
      <c r="E641" s="6" t="s">
        <v>13749</v>
      </c>
      <c r="F641" s="20" t="n">
        <f aca="false">Quarterly_Actuals!H206+Quarterly_Actuals!H207-Quarterly_Actuals!H208</f>
        <v>0</v>
      </c>
      <c r="G641" s="6" t="str">
        <f aca="false">IF(ABS(F641)&lt;=H641,"PASS","FAIL")</f>
        <v>PASS</v>
      </c>
      <c r="H641" s="6" t="n">
        <v>0.5</v>
      </c>
      <c r="I641" s="6"/>
    </row>
    <row r="642" customFormat="false" ht="15" hidden="false" customHeight="false" outlineLevel="0" collapsed="false">
      <c r="A642" s="6" t="s">
        <v>13750</v>
      </c>
      <c r="B642" s="6" t="s">
        <v>13294</v>
      </c>
      <c r="C642" s="6" t="s">
        <v>13751</v>
      </c>
      <c r="D642" s="6" t="s">
        <v>447</v>
      </c>
      <c r="E642" s="6" t="s">
        <v>13752</v>
      </c>
      <c r="F642" s="20" t="n">
        <f aca="false">Quarterly_Actuals!H206+Quarterly_Actuals!H207+Quarterly_Actuals!H209-Quarterly_Actuals!H210</f>
        <v>0</v>
      </c>
      <c r="G642" s="6" t="str">
        <f aca="false">IF(ABS(F642)&lt;=H642,"PASS","FAIL")</f>
        <v>PASS</v>
      </c>
      <c r="H642" s="6" t="n">
        <v>0.5</v>
      </c>
      <c r="I642" s="6"/>
    </row>
    <row r="643" customFormat="false" ht="15" hidden="false" customHeight="false" outlineLevel="0" collapsed="false">
      <c r="A643" s="6" t="s">
        <v>13753</v>
      </c>
      <c r="B643" s="6" t="s">
        <v>13294</v>
      </c>
      <c r="C643" s="6" t="s">
        <v>13754</v>
      </c>
      <c r="D643" s="6" t="s">
        <v>13718</v>
      </c>
      <c r="E643" s="6" t="s">
        <v>13755</v>
      </c>
      <c r="F643" s="20" t="n">
        <f aca="false">Quarterly_Actuals!H206+Quarterly_Actuals!H207+Quarterly_Actuals!H209+Quarterly_Actuals!H211-Quarterly_Actuals!H212</f>
        <v>0</v>
      </c>
      <c r="G643" s="6" t="str">
        <f aca="false">IF(ABS(F643)&lt;=H643,"PASS","FAIL")</f>
        <v>PASS</v>
      </c>
      <c r="H643" s="6" t="n">
        <v>0.5</v>
      </c>
      <c r="I643" s="6"/>
    </row>
    <row r="644" customFormat="false" ht="15" hidden="false" customHeight="false" outlineLevel="0" collapsed="false">
      <c r="A644" s="6" t="s">
        <v>13756</v>
      </c>
      <c r="B644" s="6" t="s">
        <v>13294</v>
      </c>
      <c r="C644" s="6" t="s">
        <v>13757</v>
      </c>
      <c r="D644" s="6" t="s">
        <v>440</v>
      </c>
      <c r="E644" s="6" t="s">
        <v>13758</v>
      </c>
      <c r="F644" s="20" t="n">
        <f aca="false">Quarterly_Actuals!H244+Quarterly_Actuals!H245-Quarterly_Actuals!H246</f>
        <v>0</v>
      </c>
      <c r="G644" s="6" t="str">
        <f aca="false">IF(ABS(F644)&lt;=H644,"PASS","FAIL")</f>
        <v>PASS</v>
      </c>
      <c r="H644" s="6" t="n">
        <v>0.5</v>
      </c>
      <c r="I644" s="6"/>
    </row>
    <row r="645" customFormat="false" ht="15" hidden="false" customHeight="false" outlineLevel="0" collapsed="false">
      <c r="A645" s="6" t="s">
        <v>13759</v>
      </c>
      <c r="B645" s="6" t="s">
        <v>13294</v>
      </c>
      <c r="C645" s="6" t="s">
        <v>13760</v>
      </c>
      <c r="D645" s="6" t="s">
        <v>447</v>
      </c>
      <c r="E645" s="6" t="s">
        <v>13761</v>
      </c>
      <c r="F645" s="20" t="n">
        <f aca="false">Quarterly_Actuals!H244+Quarterly_Actuals!H245+Quarterly_Actuals!H247-Quarterly_Actuals!H248</f>
        <v>0</v>
      </c>
      <c r="G645" s="6" t="str">
        <f aca="false">IF(ABS(F645)&lt;=H645,"PASS","FAIL")</f>
        <v>PASS</v>
      </c>
      <c r="H645" s="6" t="n">
        <v>0.5</v>
      </c>
      <c r="I645" s="6"/>
    </row>
    <row r="646" customFormat="false" ht="15" hidden="false" customHeight="false" outlineLevel="0" collapsed="false">
      <c r="A646" s="6" t="s">
        <v>13762</v>
      </c>
      <c r="B646" s="6" t="s">
        <v>13294</v>
      </c>
      <c r="C646" s="6" t="s">
        <v>13763</v>
      </c>
      <c r="D646" s="6" t="s">
        <v>13718</v>
      </c>
      <c r="E646" s="6" t="s">
        <v>13764</v>
      </c>
      <c r="F646" s="20" t="n">
        <f aca="false">Quarterly_Actuals!H244+Quarterly_Actuals!H245+Quarterly_Actuals!H247+Quarterly_Actuals!H249-Quarterly_Actuals!H250</f>
        <v>0</v>
      </c>
      <c r="G646" s="6" t="str">
        <f aca="false">IF(ABS(F646)&lt;=H646,"PASS","FAIL")</f>
        <v>PASS</v>
      </c>
      <c r="H646" s="6" t="n">
        <v>0.5</v>
      </c>
      <c r="I646" s="6"/>
    </row>
    <row r="647" customFormat="false" ht="15" hidden="false" customHeight="false" outlineLevel="0" collapsed="false">
      <c r="A647" s="6" t="s">
        <v>13765</v>
      </c>
      <c r="B647" s="6" t="s">
        <v>13294</v>
      </c>
      <c r="C647" s="6" t="s">
        <v>13766</v>
      </c>
      <c r="D647" s="6" t="s">
        <v>440</v>
      </c>
      <c r="E647" s="6" t="s">
        <v>13767</v>
      </c>
      <c r="F647" s="20" t="n">
        <f aca="false">Quarterly_Actuals!H284+Quarterly_Actuals!H285-Quarterly_Actuals!H286</f>
        <v>0</v>
      </c>
      <c r="G647" s="6" t="str">
        <f aca="false">IF(ABS(F647)&lt;=H647,"PASS","FAIL")</f>
        <v>PASS</v>
      </c>
      <c r="H647" s="6" t="n">
        <v>0.5</v>
      </c>
      <c r="I647" s="6"/>
    </row>
    <row r="648" customFormat="false" ht="15" hidden="false" customHeight="false" outlineLevel="0" collapsed="false">
      <c r="A648" s="6" t="s">
        <v>13768</v>
      </c>
      <c r="B648" s="6" t="s">
        <v>13294</v>
      </c>
      <c r="C648" s="6" t="s">
        <v>13769</v>
      </c>
      <c r="D648" s="6" t="s">
        <v>447</v>
      </c>
      <c r="E648" s="6" t="s">
        <v>13770</v>
      </c>
      <c r="F648" s="20" t="n">
        <f aca="false">Quarterly_Actuals!H284+Quarterly_Actuals!H285+Quarterly_Actuals!H287-Quarterly_Actuals!H288</f>
        <v>0</v>
      </c>
      <c r="G648" s="6" t="str">
        <f aca="false">IF(ABS(F648)&lt;=H648,"PASS","FAIL")</f>
        <v>PASS</v>
      </c>
      <c r="H648" s="6" t="n">
        <v>0.5</v>
      </c>
      <c r="I648" s="6"/>
    </row>
    <row r="649" customFormat="false" ht="15" hidden="false" customHeight="false" outlineLevel="0" collapsed="false">
      <c r="A649" s="6" t="s">
        <v>13771</v>
      </c>
      <c r="B649" s="6" t="s">
        <v>13294</v>
      </c>
      <c r="C649" s="6" t="s">
        <v>13772</v>
      </c>
      <c r="D649" s="6" t="s">
        <v>13718</v>
      </c>
      <c r="E649" s="6" t="s">
        <v>13773</v>
      </c>
      <c r="F649" s="20" t="n">
        <f aca="false">Quarterly_Actuals!H284+Quarterly_Actuals!H285+Quarterly_Actuals!H287+Quarterly_Actuals!H289-Quarterly_Actuals!H290</f>
        <v>0</v>
      </c>
      <c r="G649" s="6" t="str">
        <f aca="false">IF(ABS(F649)&lt;=H649,"PASS","FAIL")</f>
        <v>PASS</v>
      </c>
      <c r="H649" s="6" t="n">
        <v>0.5</v>
      </c>
      <c r="I649" s="6"/>
    </row>
    <row r="650" customFormat="false" ht="15" hidden="false" customHeight="false" outlineLevel="0" collapsed="false">
      <c r="A650" s="6" t="s">
        <v>13774</v>
      </c>
      <c r="B650" s="6" t="s">
        <v>13294</v>
      </c>
      <c r="C650" s="6" t="s">
        <v>13775</v>
      </c>
      <c r="D650" s="6" t="s">
        <v>440</v>
      </c>
      <c r="E650" s="6" t="s">
        <v>13776</v>
      </c>
      <c r="F650" s="20" t="n">
        <f aca="false">Quarterly_Actuals!H322+Quarterly_Actuals!H323-Quarterly_Actuals!H324</f>
        <v>0</v>
      </c>
      <c r="G650" s="6" t="str">
        <f aca="false">IF(ABS(F650)&lt;=H650,"PASS","FAIL")</f>
        <v>PASS</v>
      </c>
      <c r="H650" s="6" t="n">
        <v>0.5</v>
      </c>
      <c r="I650" s="6"/>
    </row>
    <row r="651" customFormat="false" ht="15" hidden="false" customHeight="false" outlineLevel="0" collapsed="false">
      <c r="A651" s="6" t="s">
        <v>13777</v>
      </c>
      <c r="B651" s="6" t="s">
        <v>13294</v>
      </c>
      <c r="C651" s="6" t="s">
        <v>13778</v>
      </c>
      <c r="D651" s="6" t="s">
        <v>447</v>
      </c>
      <c r="E651" s="6" t="s">
        <v>13779</v>
      </c>
      <c r="F651" s="20" t="n">
        <f aca="false">Quarterly_Actuals!H322+Quarterly_Actuals!H323+Quarterly_Actuals!H325-Quarterly_Actuals!H326</f>
        <v>0</v>
      </c>
      <c r="G651" s="6" t="str">
        <f aca="false">IF(ABS(F651)&lt;=H651,"PASS","FAIL")</f>
        <v>PASS</v>
      </c>
      <c r="H651" s="6" t="n">
        <v>0.5</v>
      </c>
      <c r="I651" s="6"/>
    </row>
    <row r="652" customFormat="false" ht="15" hidden="false" customHeight="false" outlineLevel="0" collapsed="false">
      <c r="A652" s="6" t="s">
        <v>13780</v>
      </c>
      <c r="B652" s="6" t="s">
        <v>13294</v>
      </c>
      <c r="C652" s="6" t="s">
        <v>13781</v>
      </c>
      <c r="D652" s="6" t="s">
        <v>13718</v>
      </c>
      <c r="E652" s="6" t="s">
        <v>13782</v>
      </c>
      <c r="F652" s="20" t="n">
        <f aca="false">Quarterly_Actuals!H322+Quarterly_Actuals!H323+Quarterly_Actuals!H325+Quarterly_Actuals!H327-Quarterly_Actuals!H328</f>
        <v>0</v>
      </c>
      <c r="G652" s="6" t="str">
        <f aca="false">IF(ABS(F652)&lt;=H652,"PASS","FAIL")</f>
        <v>PASS</v>
      </c>
      <c r="H652" s="6" t="n">
        <v>0.5</v>
      </c>
      <c r="I652" s="6"/>
    </row>
    <row r="653" customFormat="false" ht="15" hidden="false" customHeight="false" outlineLevel="0" collapsed="false">
      <c r="A653" s="6" t="s">
        <v>13783</v>
      </c>
      <c r="B653" s="6" t="s">
        <v>13294</v>
      </c>
      <c r="C653" s="6" t="s">
        <v>13784</v>
      </c>
      <c r="D653" s="6" t="s">
        <v>440</v>
      </c>
      <c r="E653" s="6" t="s">
        <v>13785</v>
      </c>
      <c r="F653" s="20" t="n">
        <f aca="false">Quarterly_Actuals!H398+Quarterly_Actuals!H399-Quarterly_Actuals!H400</f>
        <v>0</v>
      </c>
      <c r="G653" s="6" t="str">
        <f aca="false">IF(ABS(F653)&lt;=H653,"PASS","FAIL")</f>
        <v>PASS</v>
      </c>
      <c r="H653" s="6" t="n">
        <v>0.5</v>
      </c>
      <c r="I653" s="6"/>
    </row>
    <row r="654" customFormat="false" ht="15" hidden="false" customHeight="false" outlineLevel="0" collapsed="false">
      <c r="A654" s="6" t="s">
        <v>13786</v>
      </c>
      <c r="B654" s="6" t="s">
        <v>13294</v>
      </c>
      <c r="C654" s="6" t="s">
        <v>13787</v>
      </c>
      <c r="D654" s="6" t="s">
        <v>447</v>
      </c>
      <c r="E654" s="6" t="s">
        <v>13788</v>
      </c>
      <c r="F654" s="20" t="n">
        <f aca="false">Quarterly_Actuals!H398+Quarterly_Actuals!H399+Quarterly_Actuals!H401-Quarterly_Actuals!H402</f>
        <v>0</v>
      </c>
      <c r="G654" s="6" t="str">
        <f aca="false">IF(ABS(F654)&lt;=H654,"PASS","FAIL")</f>
        <v>PASS</v>
      </c>
      <c r="H654" s="6" t="n">
        <v>0.5</v>
      </c>
      <c r="I654" s="6"/>
    </row>
    <row r="655" customFormat="false" ht="15" hidden="false" customHeight="false" outlineLevel="0" collapsed="false">
      <c r="A655" s="6" t="s">
        <v>13789</v>
      </c>
      <c r="B655" s="6" t="s">
        <v>13294</v>
      </c>
      <c r="C655" s="6" t="s">
        <v>13790</v>
      </c>
      <c r="D655" s="6" t="s">
        <v>13718</v>
      </c>
      <c r="E655" s="6" t="s">
        <v>13791</v>
      </c>
      <c r="F655" s="20" t="n">
        <f aca="false">Quarterly_Actuals!H398+Quarterly_Actuals!H399+Quarterly_Actuals!H401+Quarterly_Actuals!H403-Quarterly_Actuals!H404</f>
        <v>0</v>
      </c>
      <c r="G655" s="6" t="str">
        <f aca="false">IF(ABS(F655)&lt;=H655,"PASS","FAIL")</f>
        <v>PASS</v>
      </c>
      <c r="H655" s="6" t="n">
        <v>0.5</v>
      </c>
      <c r="I655" s="6"/>
    </row>
    <row r="656" customFormat="false" ht="15" hidden="false" customHeight="false" outlineLevel="0" collapsed="false">
      <c r="A656" s="6" t="s">
        <v>13792</v>
      </c>
      <c r="B656" s="6" t="s">
        <v>13294</v>
      </c>
      <c r="C656" s="6" t="s">
        <v>13793</v>
      </c>
      <c r="D656" s="6" t="s">
        <v>440</v>
      </c>
      <c r="E656" s="6" t="s">
        <v>13794</v>
      </c>
      <c r="F656" s="20" t="n">
        <f aca="false">Quarterly_Actuals!H490+Quarterly_Actuals!H491-Quarterly_Actuals!H492</f>
        <v>0</v>
      </c>
      <c r="G656" s="6" t="str">
        <f aca="false">IF(ABS(F656)&lt;=H656,"PASS","FAIL")</f>
        <v>PASS</v>
      </c>
      <c r="H656" s="6" t="n">
        <v>0.5</v>
      </c>
      <c r="I656" s="6"/>
    </row>
    <row r="657" customFormat="false" ht="15" hidden="false" customHeight="false" outlineLevel="0" collapsed="false">
      <c r="A657" s="6" t="s">
        <v>13795</v>
      </c>
      <c r="B657" s="6" t="s">
        <v>13294</v>
      </c>
      <c r="C657" s="6" t="s">
        <v>13796</v>
      </c>
      <c r="D657" s="6" t="s">
        <v>447</v>
      </c>
      <c r="E657" s="6" t="s">
        <v>13797</v>
      </c>
      <c r="F657" s="20" t="n">
        <f aca="false">Quarterly_Actuals!H490+Quarterly_Actuals!H491+Quarterly_Actuals!H493-Quarterly_Actuals!H494</f>
        <v>0</v>
      </c>
      <c r="G657" s="6" t="str">
        <f aca="false">IF(ABS(F657)&lt;=H657,"PASS","FAIL")</f>
        <v>PASS</v>
      </c>
      <c r="H657" s="6" t="n">
        <v>0.5</v>
      </c>
      <c r="I657" s="6"/>
    </row>
    <row r="658" customFormat="false" ht="15" hidden="false" customHeight="false" outlineLevel="0" collapsed="false">
      <c r="A658" s="6" t="s">
        <v>13798</v>
      </c>
      <c r="B658" s="6" t="s">
        <v>13294</v>
      </c>
      <c r="C658" s="6" t="s">
        <v>13799</v>
      </c>
      <c r="D658" s="6" t="s">
        <v>13718</v>
      </c>
      <c r="E658" s="6" t="s">
        <v>13800</v>
      </c>
      <c r="F658" s="20" t="n">
        <f aca="false">Quarterly_Actuals!H490+Quarterly_Actuals!H491+Quarterly_Actuals!H493+Quarterly_Actuals!H495-Quarterly_Actuals!H496</f>
        <v>0</v>
      </c>
      <c r="G658" s="6" t="str">
        <f aca="false">IF(ABS(F658)&lt;=H658,"PASS","FAIL")</f>
        <v>PASS</v>
      </c>
      <c r="H658" s="6" t="n">
        <v>0.5</v>
      </c>
      <c r="I658" s="6"/>
    </row>
    <row r="659" customFormat="false" ht="15" hidden="false" customHeight="false" outlineLevel="0" collapsed="false">
      <c r="A659" s="6" t="s">
        <v>13801</v>
      </c>
      <c r="B659" s="6" t="s">
        <v>13294</v>
      </c>
      <c r="C659" s="6" t="s">
        <v>13802</v>
      </c>
      <c r="D659" s="6" t="s">
        <v>440</v>
      </c>
      <c r="E659" s="6" t="s">
        <v>13803</v>
      </c>
      <c r="F659" s="20" t="n">
        <f aca="false">Quarterly_Actuals!H566+Quarterly_Actuals!H567-Quarterly_Actuals!H568</f>
        <v>0</v>
      </c>
      <c r="G659" s="6" t="str">
        <f aca="false">IF(ABS(F659)&lt;=H659,"PASS","FAIL")</f>
        <v>PASS</v>
      </c>
      <c r="H659" s="6" t="n">
        <v>0.5</v>
      </c>
      <c r="I659" s="6"/>
    </row>
    <row r="660" customFormat="false" ht="15" hidden="false" customHeight="false" outlineLevel="0" collapsed="false">
      <c r="A660" s="6" t="s">
        <v>13804</v>
      </c>
      <c r="B660" s="6" t="s">
        <v>13294</v>
      </c>
      <c r="C660" s="6" t="s">
        <v>13805</v>
      </c>
      <c r="D660" s="6" t="s">
        <v>447</v>
      </c>
      <c r="E660" s="6" t="s">
        <v>13806</v>
      </c>
      <c r="F660" s="20" t="n">
        <f aca="false">Quarterly_Actuals!H566+Quarterly_Actuals!H567+Quarterly_Actuals!H569-Quarterly_Actuals!H570</f>
        <v>0</v>
      </c>
      <c r="G660" s="6" t="str">
        <f aca="false">IF(ABS(F660)&lt;=H660,"PASS","FAIL")</f>
        <v>PASS</v>
      </c>
      <c r="H660" s="6" t="n">
        <v>0.5</v>
      </c>
      <c r="I660" s="6"/>
    </row>
    <row r="661" customFormat="false" ht="15" hidden="false" customHeight="false" outlineLevel="0" collapsed="false">
      <c r="A661" s="6" t="s">
        <v>13807</v>
      </c>
      <c r="B661" s="6" t="s">
        <v>13294</v>
      </c>
      <c r="C661" s="6" t="s">
        <v>13808</v>
      </c>
      <c r="D661" s="6" t="s">
        <v>13718</v>
      </c>
      <c r="E661" s="6" t="s">
        <v>13809</v>
      </c>
      <c r="F661" s="20" t="n">
        <f aca="false">Quarterly_Actuals!H566+Quarterly_Actuals!H567+Quarterly_Actuals!H569+Quarterly_Actuals!H571-Quarterly_Actuals!H572</f>
        <v>0</v>
      </c>
      <c r="G661" s="6" t="str">
        <f aca="false">IF(ABS(F661)&lt;=H661,"PASS","FAIL")</f>
        <v>PASS</v>
      </c>
      <c r="H661" s="6" t="n">
        <v>0.5</v>
      </c>
      <c r="I661" s="6"/>
    </row>
    <row r="662" customFormat="false" ht="15" hidden="false" customHeight="false" outlineLevel="0" collapsed="false">
      <c r="A662" s="6" t="s">
        <v>13810</v>
      </c>
      <c r="B662" s="6" t="s">
        <v>13294</v>
      </c>
      <c r="C662" s="6" t="s">
        <v>13811</v>
      </c>
      <c r="D662" s="6" t="s">
        <v>440</v>
      </c>
      <c r="E662" s="6" t="s">
        <v>13812</v>
      </c>
      <c r="F662" s="20" t="n">
        <f aca="false">Quarterly_Actuals!H604+Quarterly_Actuals!H605-Quarterly_Actuals!H606</f>
        <v>0</v>
      </c>
      <c r="G662" s="6" t="str">
        <f aca="false">IF(ABS(F662)&lt;=H662,"PASS","FAIL")</f>
        <v>PASS</v>
      </c>
      <c r="H662" s="6" t="n">
        <v>0.5</v>
      </c>
      <c r="I662" s="6"/>
    </row>
    <row r="663" customFormat="false" ht="15" hidden="false" customHeight="false" outlineLevel="0" collapsed="false">
      <c r="A663" s="6" t="s">
        <v>13813</v>
      </c>
      <c r="B663" s="6" t="s">
        <v>13294</v>
      </c>
      <c r="C663" s="6" t="s">
        <v>13814</v>
      </c>
      <c r="D663" s="6" t="s">
        <v>447</v>
      </c>
      <c r="E663" s="6" t="s">
        <v>13815</v>
      </c>
      <c r="F663" s="20" t="n">
        <f aca="false">Quarterly_Actuals!H604+Quarterly_Actuals!H605+Quarterly_Actuals!H607-Quarterly_Actuals!H608</f>
        <v>0</v>
      </c>
      <c r="G663" s="6" t="str">
        <f aca="false">IF(ABS(F663)&lt;=H663,"PASS","FAIL")</f>
        <v>PASS</v>
      </c>
      <c r="H663" s="6" t="n">
        <v>0.5</v>
      </c>
      <c r="I663" s="6"/>
    </row>
    <row r="664" customFormat="false" ht="15" hidden="false" customHeight="false" outlineLevel="0" collapsed="false">
      <c r="A664" s="6" t="s">
        <v>13816</v>
      </c>
      <c r="B664" s="6" t="s">
        <v>13294</v>
      </c>
      <c r="C664" s="6" t="s">
        <v>13817</v>
      </c>
      <c r="D664" s="6" t="s">
        <v>13718</v>
      </c>
      <c r="E664" s="6" t="s">
        <v>13818</v>
      </c>
      <c r="F664" s="20" t="n">
        <f aca="false">Quarterly_Actuals!H604+Quarterly_Actuals!H605+Quarterly_Actuals!H607+Quarterly_Actuals!H609-Quarterly_Actuals!H610</f>
        <v>0</v>
      </c>
      <c r="G664" s="6" t="str">
        <f aca="false">IF(ABS(F664)&lt;=H664,"PASS","FAIL")</f>
        <v>PASS</v>
      </c>
      <c r="H664" s="6" t="n">
        <v>0.5</v>
      </c>
      <c r="I664" s="6"/>
    </row>
    <row r="665" customFormat="false" ht="15" hidden="false" customHeight="false" outlineLevel="0" collapsed="false">
      <c r="A665" s="6" t="s">
        <v>13819</v>
      </c>
      <c r="B665" s="6" t="s">
        <v>13294</v>
      </c>
      <c r="C665" s="6" t="s">
        <v>13820</v>
      </c>
      <c r="D665" s="6" t="s">
        <v>440</v>
      </c>
      <c r="E665" s="6" t="s">
        <v>13821</v>
      </c>
      <c r="F665" s="20" t="n">
        <f aca="false">Quarterly_Actuals!H642+Quarterly_Actuals!H643-Quarterly_Actuals!H644</f>
        <v>0</v>
      </c>
      <c r="G665" s="6" t="str">
        <f aca="false">IF(ABS(F665)&lt;=H665,"PASS","FAIL")</f>
        <v>PASS</v>
      </c>
      <c r="H665" s="6" t="n">
        <v>0.5</v>
      </c>
      <c r="I665" s="6"/>
    </row>
    <row r="666" customFormat="false" ht="15" hidden="false" customHeight="false" outlineLevel="0" collapsed="false">
      <c r="A666" s="6" t="s">
        <v>13822</v>
      </c>
      <c r="B666" s="6" t="s">
        <v>13294</v>
      </c>
      <c r="C666" s="6" t="s">
        <v>13823</v>
      </c>
      <c r="D666" s="6" t="s">
        <v>447</v>
      </c>
      <c r="E666" s="6" t="s">
        <v>13824</v>
      </c>
      <c r="F666" s="20" t="n">
        <f aca="false">Quarterly_Actuals!H642+Quarterly_Actuals!H643+Quarterly_Actuals!H645-Quarterly_Actuals!H646</f>
        <v>0</v>
      </c>
      <c r="G666" s="6" t="str">
        <f aca="false">IF(ABS(F666)&lt;=H666,"PASS","FAIL")</f>
        <v>PASS</v>
      </c>
      <c r="H666" s="6" t="n">
        <v>0.5</v>
      </c>
      <c r="I666" s="6"/>
    </row>
    <row r="667" customFormat="false" ht="15" hidden="false" customHeight="false" outlineLevel="0" collapsed="false">
      <c r="A667" s="6" t="s">
        <v>13825</v>
      </c>
      <c r="B667" s="6" t="s">
        <v>13294</v>
      </c>
      <c r="C667" s="6" t="s">
        <v>13826</v>
      </c>
      <c r="D667" s="6" t="s">
        <v>13718</v>
      </c>
      <c r="E667" s="6" t="s">
        <v>13827</v>
      </c>
      <c r="F667" s="20" t="n">
        <f aca="false">Quarterly_Actuals!H642+Quarterly_Actuals!H643+Quarterly_Actuals!H645+Quarterly_Actuals!H647-Quarterly_Actuals!H648</f>
        <v>0</v>
      </c>
      <c r="G667" s="6" t="str">
        <f aca="false">IF(ABS(F667)&lt;=H667,"PASS","FAIL")</f>
        <v>PASS</v>
      </c>
      <c r="H667" s="6" t="n">
        <v>0.5</v>
      </c>
      <c r="I667" s="6"/>
    </row>
    <row r="668" customFormat="false" ht="15" hidden="false" customHeight="false" outlineLevel="0" collapsed="false">
      <c r="A668" s="6" t="s">
        <v>13828</v>
      </c>
      <c r="B668" s="6" t="s">
        <v>13294</v>
      </c>
      <c r="C668" s="6" t="s">
        <v>13829</v>
      </c>
      <c r="D668" s="6" t="s">
        <v>440</v>
      </c>
      <c r="E668" s="6" t="s">
        <v>13830</v>
      </c>
      <c r="F668" s="20" t="n">
        <f aca="false">Quarterly_Actuals!H680+Quarterly_Actuals!H681-Quarterly_Actuals!H682</f>
        <v>0</v>
      </c>
      <c r="G668" s="6" t="str">
        <f aca="false">IF(ABS(F668)&lt;=H668,"PASS","FAIL")</f>
        <v>PASS</v>
      </c>
      <c r="H668" s="6" t="n">
        <v>0.5</v>
      </c>
      <c r="I668" s="6"/>
    </row>
    <row r="669" customFormat="false" ht="15" hidden="false" customHeight="false" outlineLevel="0" collapsed="false">
      <c r="A669" s="6" t="s">
        <v>13831</v>
      </c>
      <c r="B669" s="6" t="s">
        <v>13294</v>
      </c>
      <c r="C669" s="6" t="s">
        <v>13832</v>
      </c>
      <c r="D669" s="6" t="s">
        <v>447</v>
      </c>
      <c r="E669" s="6" t="s">
        <v>13833</v>
      </c>
      <c r="F669" s="20" t="n">
        <f aca="false">Quarterly_Actuals!H680+Quarterly_Actuals!H681+Quarterly_Actuals!H683-Quarterly_Actuals!H684</f>
        <v>0</v>
      </c>
      <c r="G669" s="6" t="str">
        <f aca="false">IF(ABS(F669)&lt;=H669,"PASS","FAIL")</f>
        <v>PASS</v>
      </c>
      <c r="H669" s="6" t="n">
        <v>0.5</v>
      </c>
      <c r="I669" s="6"/>
    </row>
    <row r="670" customFormat="false" ht="15" hidden="false" customHeight="false" outlineLevel="0" collapsed="false">
      <c r="A670" s="6" t="s">
        <v>13834</v>
      </c>
      <c r="B670" s="6" t="s">
        <v>13294</v>
      </c>
      <c r="C670" s="6" t="s">
        <v>13835</v>
      </c>
      <c r="D670" s="6" t="s">
        <v>13718</v>
      </c>
      <c r="E670" s="6" t="s">
        <v>13836</v>
      </c>
      <c r="F670" s="20" t="n">
        <f aca="false">Quarterly_Actuals!H680+Quarterly_Actuals!H681+Quarterly_Actuals!H683+Quarterly_Actuals!H685-Quarterly_Actuals!H686</f>
        <v>0</v>
      </c>
      <c r="G670" s="6" t="str">
        <f aca="false">IF(ABS(F670)&lt;=H670,"PASS","FAIL")</f>
        <v>PASS</v>
      </c>
      <c r="H670" s="6" t="n">
        <v>0.5</v>
      </c>
      <c r="I670" s="6"/>
    </row>
    <row r="671" customFormat="false" ht="15" hidden="false" customHeight="false" outlineLevel="0" collapsed="false">
      <c r="A671" s="6" t="s">
        <v>13837</v>
      </c>
      <c r="B671" s="6" t="s">
        <v>13294</v>
      </c>
      <c r="C671" s="6" t="s">
        <v>13838</v>
      </c>
      <c r="D671" s="6" t="s">
        <v>440</v>
      </c>
      <c r="E671" s="6" t="s">
        <v>13839</v>
      </c>
      <c r="F671" s="20" t="n">
        <f aca="false">Quarterly_Actuals!H756+Quarterly_Actuals!H757-Quarterly_Actuals!H758</f>
        <v>0</v>
      </c>
      <c r="G671" s="6" t="str">
        <f aca="false">IF(ABS(F671)&lt;=H671,"PASS","FAIL")</f>
        <v>PASS</v>
      </c>
      <c r="H671" s="6" t="n">
        <v>0.5</v>
      </c>
      <c r="I671" s="6"/>
    </row>
    <row r="672" customFormat="false" ht="15" hidden="false" customHeight="false" outlineLevel="0" collapsed="false">
      <c r="A672" s="6" t="s">
        <v>13840</v>
      </c>
      <c r="B672" s="6" t="s">
        <v>13294</v>
      </c>
      <c r="C672" s="6" t="s">
        <v>13841</v>
      </c>
      <c r="D672" s="6" t="s">
        <v>447</v>
      </c>
      <c r="E672" s="6" t="s">
        <v>13842</v>
      </c>
      <c r="F672" s="20" t="n">
        <f aca="false">Quarterly_Actuals!H756+Quarterly_Actuals!H757+Quarterly_Actuals!H759-Quarterly_Actuals!H760</f>
        <v>0</v>
      </c>
      <c r="G672" s="6" t="str">
        <f aca="false">IF(ABS(F672)&lt;=H672,"PASS","FAIL")</f>
        <v>PASS</v>
      </c>
      <c r="H672" s="6" t="n">
        <v>0.5</v>
      </c>
      <c r="I672" s="6"/>
    </row>
    <row r="673" customFormat="false" ht="15" hidden="false" customHeight="false" outlineLevel="0" collapsed="false">
      <c r="A673" s="6" t="s">
        <v>13843</v>
      </c>
      <c r="B673" s="6" t="s">
        <v>13294</v>
      </c>
      <c r="C673" s="6" t="s">
        <v>13844</v>
      </c>
      <c r="D673" s="6" t="s">
        <v>13718</v>
      </c>
      <c r="E673" s="6" t="s">
        <v>13845</v>
      </c>
      <c r="F673" s="20" t="n">
        <f aca="false">Quarterly_Actuals!H756+Quarterly_Actuals!H757+Quarterly_Actuals!H759+Quarterly_Actuals!H761-Quarterly_Actuals!H762</f>
        <v>0</v>
      </c>
      <c r="G673" s="6" t="str">
        <f aca="false">IF(ABS(F673)&lt;=H673,"PASS","FAIL")</f>
        <v>PASS</v>
      </c>
      <c r="H673" s="6" t="n">
        <v>0.5</v>
      </c>
      <c r="I673" s="6"/>
    </row>
    <row r="674" customFormat="false" ht="15" hidden="false" customHeight="false" outlineLevel="0" collapsed="false">
      <c r="A674" s="6" t="s">
        <v>13846</v>
      </c>
      <c r="B674" s="6" t="s">
        <v>13294</v>
      </c>
      <c r="C674" s="6" t="s">
        <v>13847</v>
      </c>
      <c r="D674" s="6" t="s">
        <v>440</v>
      </c>
      <c r="E674" s="6" t="s">
        <v>13848</v>
      </c>
      <c r="F674" s="20" t="n">
        <f aca="false">Quarterly_Actuals!H848+Quarterly_Actuals!H849-Quarterly_Actuals!H850</f>
        <v>0</v>
      </c>
      <c r="G674" s="6" t="str">
        <f aca="false">IF(ABS(F674)&lt;=H674,"PASS","FAIL")</f>
        <v>PASS</v>
      </c>
      <c r="H674" s="6" t="n">
        <v>0.5</v>
      </c>
      <c r="I674" s="6"/>
    </row>
    <row r="675" customFormat="false" ht="15" hidden="false" customHeight="false" outlineLevel="0" collapsed="false">
      <c r="A675" s="6" t="s">
        <v>13849</v>
      </c>
      <c r="B675" s="6" t="s">
        <v>13294</v>
      </c>
      <c r="C675" s="6" t="s">
        <v>13850</v>
      </c>
      <c r="D675" s="6" t="s">
        <v>447</v>
      </c>
      <c r="E675" s="6" t="s">
        <v>13851</v>
      </c>
      <c r="F675" s="20" t="n">
        <f aca="false">Quarterly_Actuals!H848+Quarterly_Actuals!H849+Quarterly_Actuals!H851-Quarterly_Actuals!H852</f>
        <v>0</v>
      </c>
      <c r="G675" s="6" t="str">
        <f aca="false">IF(ABS(F675)&lt;=H675,"PASS","FAIL")</f>
        <v>PASS</v>
      </c>
      <c r="H675" s="6" t="n">
        <v>0.5</v>
      </c>
      <c r="I675" s="6"/>
    </row>
    <row r="676" customFormat="false" ht="15" hidden="false" customHeight="false" outlineLevel="0" collapsed="false">
      <c r="A676" s="6" t="s">
        <v>13852</v>
      </c>
      <c r="B676" s="6" t="s">
        <v>13294</v>
      </c>
      <c r="C676" s="6" t="s">
        <v>13853</v>
      </c>
      <c r="D676" s="6" t="s">
        <v>13718</v>
      </c>
      <c r="E676" s="6" t="s">
        <v>13854</v>
      </c>
      <c r="F676" s="20" t="n">
        <f aca="false">Quarterly_Actuals!H848+Quarterly_Actuals!H849+Quarterly_Actuals!H851+Quarterly_Actuals!H853-Quarterly_Actuals!H854</f>
        <v>0</v>
      </c>
      <c r="G676" s="6" t="str">
        <f aca="false">IF(ABS(F676)&lt;=H676,"PASS","FAIL")</f>
        <v>PASS</v>
      </c>
      <c r="H676" s="6" t="n">
        <v>0.5</v>
      </c>
      <c r="I676" s="6"/>
    </row>
    <row r="677" customFormat="false" ht="15" hidden="false" customHeight="false" outlineLevel="0" collapsed="false">
      <c r="A677" s="6" t="s">
        <v>13855</v>
      </c>
      <c r="B677" s="6" t="s">
        <v>13294</v>
      </c>
      <c r="C677" s="6" t="s">
        <v>13856</v>
      </c>
      <c r="D677" s="6" t="s">
        <v>440</v>
      </c>
      <c r="E677" s="6" t="s">
        <v>13857</v>
      </c>
      <c r="F677" s="20" t="n">
        <f aca="false">Quarterly_Actuals!H886+Quarterly_Actuals!H887-Quarterly_Actuals!H888</f>
        <v>0</v>
      </c>
      <c r="G677" s="6" t="str">
        <f aca="false">IF(ABS(F677)&lt;=H677,"PASS","FAIL")</f>
        <v>PASS</v>
      </c>
      <c r="H677" s="6" t="n">
        <v>0.5</v>
      </c>
      <c r="I677" s="6"/>
    </row>
    <row r="678" customFormat="false" ht="15" hidden="false" customHeight="false" outlineLevel="0" collapsed="false">
      <c r="A678" s="6" t="s">
        <v>13858</v>
      </c>
      <c r="B678" s="6" t="s">
        <v>13294</v>
      </c>
      <c r="C678" s="6" t="s">
        <v>13859</v>
      </c>
      <c r="D678" s="6" t="s">
        <v>447</v>
      </c>
      <c r="E678" s="6" t="s">
        <v>13860</v>
      </c>
      <c r="F678" s="20" t="n">
        <f aca="false">Quarterly_Actuals!H886+Quarterly_Actuals!H887+Quarterly_Actuals!H889-Quarterly_Actuals!H890</f>
        <v>0</v>
      </c>
      <c r="G678" s="6" t="str">
        <f aca="false">IF(ABS(F678)&lt;=H678,"PASS","FAIL")</f>
        <v>PASS</v>
      </c>
      <c r="H678" s="6" t="n">
        <v>0.5</v>
      </c>
      <c r="I678" s="6"/>
    </row>
    <row r="679" customFormat="false" ht="15" hidden="false" customHeight="false" outlineLevel="0" collapsed="false">
      <c r="A679" s="6" t="s">
        <v>13861</v>
      </c>
      <c r="B679" s="6" t="s">
        <v>13294</v>
      </c>
      <c r="C679" s="6" t="s">
        <v>13862</v>
      </c>
      <c r="D679" s="6" t="s">
        <v>13718</v>
      </c>
      <c r="E679" s="6" t="s">
        <v>13863</v>
      </c>
      <c r="F679" s="20" t="n">
        <f aca="false">Quarterly_Actuals!H886+Quarterly_Actuals!H887+Quarterly_Actuals!H889+Quarterly_Actuals!H891-Quarterly_Actuals!H892</f>
        <v>0</v>
      </c>
      <c r="G679" s="6" t="str">
        <f aca="false">IF(ABS(F679)&lt;=H679,"PASS","FAIL")</f>
        <v>PASS</v>
      </c>
      <c r="H679" s="6" t="n">
        <v>0.5</v>
      </c>
      <c r="I679" s="6"/>
    </row>
    <row r="680" customFormat="false" ht="15" hidden="false" customHeight="false" outlineLevel="0" collapsed="false">
      <c r="A680" s="6" t="s">
        <v>13864</v>
      </c>
      <c r="B680" s="6" t="s">
        <v>13294</v>
      </c>
      <c r="C680" s="6" t="s">
        <v>13865</v>
      </c>
      <c r="D680" s="6" t="s">
        <v>440</v>
      </c>
      <c r="E680" s="6" t="s">
        <v>13866</v>
      </c>
      <c r="F680" s="20" t="n">
        <f aca="false">Quarterly_Actuals!H944+Quarterly_Actuals!H945-Quarterly_Actuals!H946</f>
        <v>0</v>
      </c>
      <c r="G680" s="6" t="str">
        <f aca="false">IF(ABS(F680)&lt;=H680,"PASS","FAIL")</f>
        <v>PASS</v>
      </c>
      <c r="H680" s="6" t="n">
        <v>0.5</v>
      </c>
      <c r="I680" s="6"/>
    </row>
    <row r="681" customFormat="false" ht="15" hidden="false" customHeight="false" outlineLevel="0" collapsed="false">
      <c r="A681" s="6" t="s">
        <v>13867</v>
      </c>
      <c r="B681" s="6" t="s">
        <v>13294</v>
      </c>
      <c r="C681" s="6" t="s">
        <v>13868</v>
      </c>
      <c r="D681" s="6" t="s">
        <v>447</v>
      </c>
      <c r="E681" s="6" t="s">
        <v>13869</v>
      </c>
      <c r="F681" s="20" t="n">
        <f aca="false">Quarterly_Actuals!H944+Quarterly_Actuals!H945+Quarterly_Actuals!H947-Quarterly_Actuals!H948</f>
        <v>0</v>
      </c>
      <c r="G681" s="6" t="str">
        <f aca="false">IF(ABS(F681)&lt;=H681,"PASS","FAIL")</f>
        <v>PASS</v>
      </c>
      <c r="H681" s="6" t="n">
        <v>0.5</v>
      </c>
      <c r="I681" s="6"/>
    </row>
    <row r="682" customFormat="false" ht="15" hidden="false" customHeight="false" outlineLevel="0" collapsed="false">
      <c r="A682" s="6" t="s">
        <v>13870</v>
      </c>
      <c r="B682" s="6" t="s">
        <v>13294</v>
      </c>
      <c r="C682" s="6" t="s">
        <v>13871</v>
      </c>
      <c r="D682" s="6" t="s">
        <v>13718</v>
      </c>
      <c r="E682" s="6" t="s">
        <v>13872</v>
      </c>
      <c r="F682" s="20" t="n">
        <f aca="false">Quarterly_Actuals!H944+Quarterly_Actuals!H945+Quarterly_Actuals!H947+Quarterly_Actuals!H949-Quarterly_Actuals!H950</f>
        <v>0</v>
      </c>
      <c r="G682" s="6" t="str">
        <f aca="false">IF(ABS(F682)&lt;=H682,"PASS","FAIL")</f>
        <v>PASS</v>
      </c>
      <c r="H682" s="6" t="n">
        <v>0.5</v>
      </c>
      <c r="I682" s="6"/>
    </row>
    <row r="683" customFormat="false" ht="15" hidden="false" customHeight="false" outlineLevel="0" collapsed="false">
      <c r="A683" s="6" t="s">
        <v>13873</v>
      </c>
      <c r="B683" s="6" t="s">
        <v>13294</v>
      </c>
      <c r="C683" s="6" t="s">
        <v>13874</v>
      </c>
      <c r="D683" s="6" t="s">
        <v>440</v>
      </c>
      <c r="E683" s="6" t="s">
        <v>13875</v>
      </c>
      <c r="F683" s="20" t="n">
        <f aca="false">Quarterly_Actuals!H982+Quarterly_Actuals!H983-Quarterly_Actuals!H984</f>
        <v>0</v>
      </c>
      <c r="G683" s="6" t="str">
        <f aca="false">IF(ABS(F683)&lt;=H683,"PASS","FAIL")</f>
        <v>PASS</v>
      </c>
      <c r="H683" s="6" t="n">
        <v>0.5</v>
      </c>
      <c r="I683" s="6"/>
    </row>
    <row r="684" customFormat="false" ht="15" hidden="false" customHeight="false" outlineLevel="0" collapsed="false">
      <c r="A684" s="6" t="s">
        <v>13876</v>
      </c>
      <c r="B684" s="6" t="s">
        <v>13294</v>
      </c>
      <c r="C684" s="6" t="s">
        <v>13877</v>
      </c>
      <c r="D684" s="6" t="s">
        <v>447</v>
      </c>
      <c r="E684" s="6" t="s">
        <v>13878</v>
      </c>
      <c r="F684" s="20" t="n">
        <f aca="false">Quarterly_Actuals!H982+Quarterly_Actuals!H983+Quarterly_Actuals!H985-Quarterly_Actuals!H986</f>
        <v>0</v>
      </c>
      <c r="G684" s="6" t="str">
        <f aca="false">IF(ABS(F684)&lt;=H684,"PASS","FAIL")</f>
        <v>PASS</v>
      </c>
      <c r="H684" s="6" t="n">
        <v>0.5</v>
      </c>
      <c r="I684" s="6"/>
    </row>
    <row r="685" customFormat="false" ht="15" hidden="false" customHeight="false" outlineLevel="0" collapsed="false">
      <c r="A685" s="6" t="s">
        <v>13879</v>
      </c>
      <c r="B685" s="6" t="s">
        <v>13294</v>
      </c>
      <c r="C685" s="6" t="s">
        <v>13880</v>
      </c>
      <c r="D685" s="6" t="s">
        <v>13718</v>
      </c>
      <c r="E685" s="6" t="s">
        <v>13881</v>
      </c>
      <c r="F685" s="20" t="n">
        <f aca="false">Quarterly_Actuals!H982+Quarterly_Actuals!H983+Quarterly_Actuals!H985+Quarterly_Actuals!H987-Quarterly_Actuals!H988</f>
        <v>0</v>
      </c>
      <c r="G685" s="6" t="str">
        <f aca="false">IF(ABS(F685)&lt;=H685,"PASS","FAIL")</f>
        <v>PASS</v>
      </c>
      <c r="H685" s="6" t="n">
        <v>0.5</v>
      </c>
      <c r="I685" s="6"/>
    </row>
    <row r="686" customFormat="false" ht="15" hidden="false" customHeight="false" outlineLevel="0" collapsed="false">
      <c r="A686" s="6" t="s">
        <v>13882</v>
      </c>
      <c r="B686" s="6" t="s">
        <v>13294</v>
      </c>
      <c r="C686" s="6" t="s">
        <v>13883</v>
      </c>
      <c r="D686" s="6" t="s">
        <v>440</v>
      </c>
      <c r="E686" s="6" t="s">
        <v>13884</v>
      </c>
      <c r="F686" s="20" t="n">
        <f aca="false">Quarterly_Actuals!H1020+Quarterly_Actuals!H1021-Quarterly_Actuals!H1022</f>
        <v>0</v>
      </c>
      <c r="G686" s="6" t="str">
        <f aca="false">IF(ABS(F686)&lt;=H686,"PASS","FAIL")</f>
        <v>PASS</v>
      </c>
      <c r="H686" s="6" t="n">
        <v>0.5</v>
      </c>
      <c r="I686" s="6"/>
    </row>
    <row r="687" customFormat="false" ht="15" hidden="false" customHeight="false" outlineLevel="0" collapsed="false">
      <c r="A687" s="6" t="s">
        <v>13885</v>
      </c>
      <c r="B687" s="6" t="s">
        <v>13294</v>
      </c>
      <c r="C687" s="6" t="s">
        <v>13886</v>
      </c>
      <c r="D687" s="6" t="s">
        <v>447</v>
      </c>
      <c r="E687" s="6" t="s">
        <v>13887</v>
      </c>
      <c r="F687" s="20" t="n">
        <f aca="false">Quarterly_Actuals!H1020+Quarterly_Actuals!H1021+Quarterly_Actuals!H1023-Quarterly_Actuals!H1024</f>
        <v>0</v>
      </c>
      <c r="G687" s="6" t="str">
        <f aca="false">IF(ABS(F687)&lt;=H687,"PASS","FAIL")</f>
        <v>PASS</v>
      </c>
      <c r="H687" s="6" t="n">
        <v>0.5</v>
      </c>
      <c r="I687" s="6"/>
    </row>
    <row r="688" customFormat="false" ht="15" hidden="false" customHeight="false" outlineLevel="0" collapsed="false">
      <c r="A688" s="6" t="s">
        <v>13888</v>
      </c>
      <c r="B688" s="6" t="s">
        <v>13294</v>
      </c>
      <c r="C688" s="6" t="s">
        <v>13889</v>
      </c>
      <c r="D688" s="6" t="s">
        <v>13718</v>
      </c>
      <c r="E688" s="6" t="s">
        <v>13890</v>
      </c>
      <c r="F688" s="20" t="n">
        <f aca="false">Quarterly_Actuals!H1020+Quarterly_Actuals!H1021+Quarterly_Actuals!H1023+Quarterly_Actuals!H1025-Quarterly_Actuals!H1026</f>
        <v>0</v>
      </c>
      <c r="G688" s="6" t="str">
        <f aca="false">IF(ABS(F688)&lt;=H688,"PASS","FAIL")</f>
        <v>PASS</v>
      </c>
      <c r="H688" s="6" t="n">
        <v>0.5</v>
      </c>
      <c r="I688" s="6"/>
    </row>
    <row r="689" customFormat="false" ht="15" hidden="false" customHeight="false" outlineLevel="0" collapsed="false">
      <c r="A689" s="6" t="s">
        <v>13891</v>
      </c>
      <c r="B689" s="6" t="s">
        <v>13294</v>
      </c>
      <c r="C689" s="6" t="s">
        <v>13892</v>
      </c>
      <c r="D689" s="6" t="s">
        <v>440</v>
      </c>
      <c r="E689" s="6" t="s">
        <v>13893</v>
      </c>
      <c r="F689" s="20" t="n">
        <f aca="false">Quarterly_Actuals!H1082+Quarterly_Actuals!H1083-Quarterly_Actuals!H1084</f>
        <v>0</v>
      </c>
      <c r="G689" s="6" t="str">
        <f aca="false">IF(ABS(F689)&lt;=H689,"PASS","FAIL")</f>
        <v>PASS</v>
      </c>
      <c r="H689" s="6" t="n">
        <v>0.5</v>
      </c>
      <c r="I689" s="6"/>
    </row>
    <row r="690" customFormat="false" ht="15" hidden="false" customHeight="false" outlineLevel="0" collapsed="false">
      <c r="A690" s="6" t="s">
        <v>13894</v>
      </c>
      <c r="B690" s="6" t="s">
        <v>13294</v>
      </c>
      <c r="C690" s="6" t="s">
        <v>13895</v>
      </c>
      <c r="D690" s="6" t="s">
        <v>447</v>
      </c>
      <c r="E690" s="6" t="s">
        <v>13896</v>
      </c>
      <c r="F690" s="20" t="n">
        <f aca="false">Quarterly_Actuals!H1082+Quarterly_Actuals!H1083+Quarterly_Actuals!H1085-Quarterly_Actuals!H1086</f>
        <v>0</v>
      </c>
      <c r="G690" s="6" t="str">
        <f aca="false">IF(ABS(F690)&lt;=H690,"PASS","FAIL")</f>
        <v>PASS</v>
      </c>
      <c r="H690" s="6" t="n">
        <v>0.5</v>
      </c>
      <c r="I690" s="6"/>
    </row>
    <row r="691" customFormat="false" ht="15" hidden="false" customHeight="false" outlineLevel="0" collapsed="false">
      <c r="A691" s="6" t="s">
        <v>13897</v>
      </c>
      <c r="B691" s="6" t="s">
        <v>13294</v>
      </c>
      <c r="C691" s="6" t="s">
        <v>13898</v>
      </c>
      <c r="D691" s="6" t="s">
        <v>13718</v>
      </c>
      <c r="E691" s="6" t="s">
        <v>13899</v>
      </c>
      <c r="F691" s="20" t="n">
        <f aca="false">Quarterly_Actuals!H1082+Quarterly_Actuals!H1083+Quarterly_Actuals!H1085+Quarterly_Actuals!H1087-Quarterly_Actuals!H1088</f>
        <v>0</v>
      </c>
      <c r="G691" s="6" t="str">
        <f aca="false">IF(ABS(F691)&lt;=H691,"PASS","FAIL")</f>
        <v>PASS</v>
      </c>
      <c r="H691" s="6" t="n">
        <v>0.5</v>
      </c>
      <c r="I691" s="6"/>
    </row>
    <row r="692" customFormat="false" ht="15" hidden="false" customHeight="false" outlineLevel="0" collapsed="false">
      <c r="A692" s="6" t="s">
        <v>13900</v>
      </c>
      <c r="B692" s="6" t="s">
        <v>13294</v>
      </c>
      <c r="C692" s="6" t="s">
        <v>13901</v>
      </c>
      <c r="D692" s="6" t="s">
        <v>440</v>
      </c>
      <c r="E692" s="6" t="s">
        <v>13902</v>
      </c>
      <c r="F692" s="20" t="n">
        <f aca="false">Quarterly_Actuals!H1148+Quarterly_Actuals!H1149-Quarterly_Actuals!H1150</f>
        <v>0</v>
      </c>
      <c r="G692" s="6" t="str">
        <f aca="false">IF(ABS(F692)&lt;=H692,"PASS","FAIL")</f>
        <v>PASS</v>
      </c>
      <c r="H692" s="6" t="n">
        <v>0.5</v>
      </c>
      <c r="I692" s="6"/>
    </row>
    <row r="693" customFormat="false" ht="15" hidden="false" customHeight="false" outlineLevel="0" collapsed="false">
      <c r="A693" s="6" t="s">
        <v>13903</v>
      </c>
      <c r="B693" s="6" t="s">
        <v>13294</v>
      </c>
      <c r="C693" s="6" t="s">
        <v>13904</v>
      </c>
      <c r="D693" s="6" t="s">
        <v>447</v>
      </c>
      <c r="E693" s="6" t="s">
        <v>13905</v>
      </c>
      <c r="F693" s="20" t="n">
        <f aca="false">Quarterly_Actuals!H1148+Quarterly_Actuals!H1149+Quarterly_Actuals!H1151-Quarterly_Actuals!H1152</f>
        <v>0</v>
      </c>
      <c r="G693" s="6" t="str">
        <f aca="false">IF(ABS(F693)&lt;=H693,"PASS","FAIL")</f>
        <v>PASS</v>
      </c>
      <c r="H693" s="6" t="n">
        <v>0.5</v>
      </c>
      <c r="I693" s="6"/>
    </row>
    <row r="694" customFormat="false" ht="15" hidden="false" customHeight="false" outlineLevel="0" collapsed="false">
      <c r="A694" s="6" t="s">
        <v>13906</v>
      </c>
      <c r="B694" s="6" t="s">
        <v>13294</v>
      </c>
      <c r="C694" s="6" t="s">
        <v>13907</v>
      </c>
      <c r="D694" s="6" t="s">
        <v>13718</v>
      </c>
      <c r="E694" s="6" t="s">
        <v>13908</v>
      </c>
      <c r="F694" s="20" t="n">
        <f aca="false">Quarterly_Actuals!H1148+Quarterly_Actuals!H1149+Quarterly_Actuals!H1151+Quarterly_Actuals!H1153-Quarterly_Actuals!H1154</f>
        <v>0</v>
      </c>
      <c r="G694" s="6" t="str">
        <f aca="false">IF(ABS(F694)&lt;=H694,"PASS","FAIL")</f>
        <v>PASS</v>
      </c>
      <c r="H694" s="6" t="n">
        <v>0.5</v>
      </c>
      <c r="I694" s="6"/>
    </row>
    <row r="695" customFormat="false" ht="15" hidden="false" customHeight="false" outlineLevel="0" collapsed="false">
      <c r="A695" s="6" t="s">
        <v>13909</v>
      </c>
      <c r="B695" s="6" t="s">
        <v>13294</v>
      </c>
      <c r="C695" s="6" t="s">
        <v>13910</v>
      </c>
      <c r="D695" s="6" t="s">
        <v>241</v>
      </c>
      <c r="E695" s="6" t="s">
        <v>13911</v>
      </c>
      <c r="F695" s="20" t="n">
        <f aca="false">Quarterly_Actuals!H23+Quarterly_Actuals!H24-Quarterly_Actuals!H25</f>
        <v>0</v>
      </c>
      <c r="G695" s="6" t="str">
        <f aca="false">IF(ABS(F695)&lt;=H695,"PASS","FAIL")</f>
        <v>PASS</v>
      </c>
      <c r="H695" s="6" t="n">
        <v>0.5</v>
      </c>
      <c r="I695" s="6"/>
    </row>
    <row r="696" customFormat="false" ht="15" hidden="false" customHeight="false" outlineLevel="0" collapsed="false">
      <c r="A696" s="6" t="s">
        <v>13912</v>
      </c>
      <c r="B696" s="6" t="s">
        <v>13294</v>
      </c>
      <c r="C696" s="6" t="s">
        <v>13913</v>
      </c>
      <c r="D696" s="6" t="s">
        <v>469</v>
      </c>
      <c r="E696" s="6" t="s">
        <v>13914</v>
      </c>
      <c r="F696" s="20" t="n">
        <f aca="false">Quarterly_Actuals!H23+Quarterly_Actuals!H24+Quarterly_Actuals!H26-Quarterly_Actuals!H27</f>
        <v>0</v>
      </c>
      <c r="G696" s="6" t="str">
        <f aca="false">IF(ABS(F696)&lt;=H696,"PASS","FAIL")</f>
        <v>PASS</v>
      </c>
      <c r="H696" s="6" t="n">
        <v>0.5</v>
      </c>
      <c r="I696" s="6"/>
    </row>
    <row r="697" customFormat="false" ht="15" hidden="false" customHeight="false" outlineLevel="0" collapsed="false">
      <c r="A697" s="6" t="s">
        <v>13915</v>
      </c>
      <c r="B697" s="6" t="s">
        <v>13294</v>
      </c>
      <c r="C697" s="6" t="s">
        <v>13916</v>
      </c>
      <c r="D697" s="6" t="s">
        <v>13917</v>
      </c>
      <c r="E697" s="6" t="s">
        <v>13918</v>
      </c>
      <c r="F697" s="20" t="n">
        <f aca="false">Quarterly_Actuals!H23+Quarterly_Actuals!H24+Quarterly_Actuals!H26+Quarterly_Actuals!H28-Quarterly_Actuals!H29</f>
        <v>0</v>
      </c>
      <c r="G697" s="6" t="str">
        <f aca="false">IF(ABS(F697)&lt;=H697,"PASS","FAIL")</f>
        <v>PASS</v>
      </c>
      <c r="H697" s="6" t="n">
        <v>0.5</v>
      </c>
      <c r="I697" s="6"/>
    </row>
    <row r="698" customFormat="false" ht="15" hidden="false" customHeight="false" outlineLevel="0" collapsed="false">
      <c r="A698" s="6" t="s">
        <v>13919</v>
      </c>
      <c r="B698" s="6" t="s">
        <v>13294</v>
      </c>
      <c r="C698" s="6" t="s">
        <v>13920</v>
      </c>
      <c r="D698" s="6" t="s">
        <v>241</v>
      </c>
      <c r="E698" s="6" t="s">
        <v>13921</v>
      </c>
      <c r="F698" s="20" t="n">
        <f aca="false">Quarterly_Actuals!H61+Quarterly_Actuals!H62-Quarterly_Actuals!H63</f>
        <v>0</v>
      </c>
      <c r="G698" s="6" t="str">
        <f aca="false">IF(ABS(F698)&lt;=H698,"PASS","FAIL")</f>
        <v>PASS</v>
      </c>
      <c r="H698" s="6" t="n">
        <v>0.5</v>
      </c>
      <c r="I698" s="6"/>
    </row>
    <row r="699" customFormat="false" ht="15" hidden="false" customHeight="false" outlineLevel="0" collapsed="false">
      <c r="A699" s="6" t="s">
        <v>13922</v>
      </c>
      <c r="B699" s="6" t="s">
        <v>13294</v>
      </c>
      <c r="C699" s="6" t="s">
        <v>13923</v>
      </c>
      <c r="D699" s="6" t="s">
        <v>469</v>
      </c>
      <c r="E699" s="6" t="s">
        <v>13924</v>
      </c>
      <c r="F699" s="20" t="n">
        <f aca="false">Quarterly_Actuals!H61+Quarterly_Actuals!H62+Quarterly_Actuals!H64-Quarterly_Actuals!H65</f>
        <v>0</v>
      </c>
      <c r="G699" s="6" t="str">
        <f aca="false">IF(ABS(F699)&lt;=H699,"PASS","FAIL")</f>
        <v>PASS</v>
      </c>
      <c r="H699" s="6" t="n">
        <v>0.5</v>
      </c>
      <c r="I699" s="6"/>
    </row>
    <row r="700" customFormat="false" ht="15" hidden="false" customHeight="false" outlineLevel="0" collapsed="false">
      <c r="A700" s="6" t="s">
        <v>13925</v>
      </c>
      <c r="B700" s="6" t="s">
        <v>13294</v>
      </c>
      <c r="C700" s="6" t="s">
        <v>13926</v>
      </c>
      <c r="D700" s="6" t="s">
        <v>13917</v>
      </c>
      <c r="E700" s="6" t="s">
        <v>13927</v>
      </c>
      <c r="F700" s="20" t="n">
        <f aca="false">Quarterly_Actuals!H61+Quarterly_Actuals!H62+Quarterly_Actuals!H64+Quarterly_Actuals!H66-Quarterly_Actuals!H67</f>
        <v>0</v>
      </c>
      <c r="G700" s="6" t="str">
        <f aca="false">IF(ABS(F700)&lt;=H700,"PASS","FAIL")</f>
        <v>PASS</v>
      </c>
      <c r="H700" s="6" t="n">
        <v>0.5</v>
      </c>
      <c r="I700" s="6"/>
    </row>
    <row r="701" customFormat="false" ht="15" hidden="false" customHeight="false" outlineLevel="0" collapsed="false">
      <c r="A701" s="6" t="s">
        <v>13928</v>
      </c>
      <c r="B701" s="6" t="s">
        <v>13294</v>
      </c>
      <c r="C701" s="6" t="s">
        <v>13929</v>
      </c>
      <c r="D701" s="6" t="s">
        <v>241</v>
      </c>
      <c r="E701" s="6" t="s">
        <v>13930</v>
      </c>
      <c r="F701" s="20" t="n">
        <f aca="false">Quarterly_Actuals!H99+Quarterly_Actuals!H100-Quarterly_Actuals!H101</f>
        <v>0</v>
      </c>
      <c r="G701" s="6" t="str">
        <f aca="false">IF(ABS(F701)&lt;=H701,"PASS","FAIL")</f>
        <v>PASS</v>
      </c>
      <c r="H701" s="6" t="n">
        <v>0.5</v>
      </c>
      <c r="I701" s="6"/>
    </row>
    <row r="702" customFormat="false" ht="15" hidden="false" customHeight="false" outlineLevel="0" collapsed="false">
      <c r="A702" s="6" t="s">
        <v>13931</v>
      </c>
      <c r="B702" s="6" t="s">
        <v>13294</v>
      </c>
      <c r="C702" s="6" t="s">
        <v>13932</v>
      </c>
      <c r="D702" s="6" t="s">
        <v>469</v>
      </c>
      <c r="E702" s="6" t="s">
        <v>13933</v>
      </c>
      <c r="F702" s="20" t="n">
        <f aca="false">Quarterly_Actuals!H99+Quarterly_Actuals!H100+Quarterly_Actuals!H102-Quarterly_Actuals!H103</f>
        <v>0</v>
      </c>
      <c r="G702" s="6" t="str">
        <f aca="false">IF(ABS(F702)&lt;=H702,"PASS","FAIL")</f>
        <v>PASS</v>
      </c>
      <c r="H702" s="6" t="n">
        <v>0.5</v>
      </c>
      <c r="I702" s="6"/>
    </row>
    <row r="703" customFormat="false" ht="15" hidden="false" customHeight="false" outlineLevel="0" collapsed="false">
      <c r="A703" s="6" t="s">
        <v>13934</v>
      </c>
      <c r="B703" s="6" t="s">
        <v>13294</v>
      </c>
      <c r="C703" s="6" t="s">
        <v>13935</v>
      </c>
      <c r="D703" s="6" t="s">
        <v>13917</v>
      </c>
      <c r="E703" s="6" t="s">
        <v>13936</v>
      </c>
      <c r="F703" s="20" t="n">
        <f aca="false">Quarterly_Actuals!H99+Quarterly_Actuals!H100+Quarterly_Actuals!H102+Quarterly_Actuals!H104-Quarterly_Actuals!H105</f>
        <v>0</v>
      </c>
      <c r="G703" s="6" t="str">
        <f aca="false">IF(ABS(F703)&lt;=H703,"PASS","FAIL")</f>
        <v>PASS</v>
      </c>
      <c r="H703" s="6" t="n">
        <v>0.5</v>
      </c>
      <c r="I703" s="6"/>
    </row>
    <row r="704" customFormat="false" ht="15" hidden="false" customHeight="false" outlineLevel="0" collapsed="false">
      <c r="A704" s="6" t="s">
        <v>13937</v>
      </c>
      <c r="B704" s="6" t="s">
        <v>13294</v>
      </c>
      <c r="C704" s="6" t="s">
        <v>13938</v>
      </c>
      <c r="D704" s="6" t="s">
        <v>241</v>
      </c>
      <c r="E704" s="6" t="s">
        <v>13939</v>
      </c>
      <c r="F704" s="20" t="n">
        <f aca="false">Quarterly_Actuals!H175+Quarterly_Actuals!H176-Quarterly_Actuals!H177</f>
        <v>0</v>
      </c>
      <c r="G704" s="6" t="str">
        <f aca="false">IF(ABS(F704)&lt;=H704,"PASS","FAIL")</f>
        <v>PASS</v>
      </c>
      <c r="H704" s="6" t="n">
        <v>0.5</v>
      </c>
      <c r="I704" s="6"/>
    </row>
    <row r="705" customFormat="false" ht="15" hidden="false" customHeight="false" outlineLevel="0" collapsed="false">
      <c r="A705" s="6" t="s">
        <v>13940</v>
      </c>
      <c r="B705" s="6" t="s">
        <v>13294</v>
      </c>
      <c r="C705" s="6" t="s">
        <v>13941</v>
      </c>
      <c r="D705" s="6" t="s">
        <v>469</v>
      </c>
      <c r="E705" s="6" t="s">
        <v>13942</v>
      </c>
      <c r="F705" s="20" t="n">
        <f aca="false">Quarterly_Actuals!H175+Quarterly_Actuals!H176+Quarterly_Actuals!H178-Quarterly_Actuals!H179</f>
        <v>0</v>
      </c>
      <c r="G705" s="6" t="str">
        <f aca="false">IF(ABS(F705)&lt;=H705,"PASS","FAIL")</f>
        <v>PASS</v>
      </c>
      <c r="H705" s="6" t="n">
        <v>0.5</v>
      </c>
      <c r="I705" s="6"/>
    </row>
    <row r="706" customFormat="false" ht="15" hidden="false" customHeight="false" outlineLevel="0" collapsed="false">
      <c r="A706" s="6" t="s">
        <v>13943</v>
      </c>
      <c r="B706" s="6" t="s">
        <v>13294</v>
      </c>
      <c r="C706" s="6" t="s">
        <v>13944</v>
      </c>
      <c r="D706" s="6" t="s">
        <v>13917</v>
      </c>
      <c r="E706" s="6" t="s">
        <v>13945</v>
      </c>
      <c r="F706" s="20" t="n">
        <f aca="false">Quarterly_Actuals!H175+Quarterly_Actuals!H176+Quarterly_Actuals!H178+Quarterly_Actuals!H180-Quarterly_Actuals!H181</f>
        <v>0</v>
      </c>
      <c r="G706" s="6" t="str">
        <f aca="false">IF(ABS(F706)&lt;=H706,"PASS","FAIL")</f>
        <v>PASS</v>
      </c>
      <c r="H706" s="6" t="n">
        <v>0.5</v>
      </c>
      <c r="I706" s="6"/>
    </row>
    <row r="707" customFormat="false" ht="15" hidden="false" customHeight="false" outlineLevel="0" collapsed="false">
      <c r="A707" s="6" t="s">
        <v>13946</v>
      </c>
      <c r="B707" s="6" t="s">
        <v>13294</v>
      </c>
      <c r="C707" s="6" t="s">
        <v>13947</v>
      </c>
      <c r="D707" s="6" t="s">
        <v>241</v>
      </c>
      <c r="E707" s="6" t="s">
        <v>13948</v>
      </c>
      <c r="F707" s="20" t="n">
        <f aca="false">Quarterly_Actuals!H213+Quarterly_Actuals!H214-Quarterly_Actuals!H215</f>
        <v>0</v>
      </c>
      <c r="G707" s="6" t="str">
        <f aca="false">IF(ABS(F707)&lt;=H707,"PASS","FAIL")</f>
        <v>PASS</v>
      </c>
      <c r="H707" s="6" t="n">
        <v>0.5</v>
      </c>
      <c r="I707" s="6"/>
    </row>
    <row r="708" customFormat="false" ht="15" hidden="false" customHeight="false" outlineLevel="0" collapsed="false">
      <c r="A708" s="6" t="s">
        <v>13949</v>
      </c>
      <c r="B708" s="6" t="s">
        <v>13294</v>
      </c>
      <c r="C708" s="6" t="s">
        <v>13950</v>
      </c>
      <c r="D708" s="6" t="s">
        <v>469</v>
      </c>
      <c r="E708" s="6" t="s">
        <v>13951</v>
      </c>
      <c r="F708" s="20" t="n">
        <f aca="false">Quarterly_Actuals!H213+Quarterly_Actuals!H214+Quarterly_Actuals!H216-Quarterly_Actuals!H217</f>
        <v>0</v>
      </c>
      <c r="G708" s="6" t="str">
        <f aca="false">IF(ABS(F708)&lt;=H708,"PASS","FAIL")</f>
        <v>PASS</v>
      </c>
      <c r="H708" s="6" t="n">
        <v>0.5</v>
      </c>
      <c r="I708" s="6"/>
    </row>
    <row r="709" customFormat="false" ht="15" hidden="false" customHeight="false" outlineLevel="0" collapsed="false">
      <c r="A709" s="6" t="s">
        <v>13952</v>
      </c>
      <c r="B709" s="6" t="s">
        <v>13294</v>
      </c>
      <c r="C709" s="6" t="s">
        <v>13953</v>
      </c>
      <c r="D709" s="6" t="s">
        <v>13917</v>
      </c>
      <c r="E709" s="6" t="s">
        <v>13954</v>
      </c>
      <c r="F709" s="20" t="n">
        <f aca="false">Quarterly_Actuals!H213+Quarterly_Actuals!H214+Quarterly_Actuals!H216+Quarterly_Actuals!H218-Quarterly_Actuals!H219</f>
        <v>0</v>
      </c>
      <c r="G709" s="6" t="str">
        <f aca="false">IF(ABS(F709)&lt;=H709,"PASS","FAIL")</f>
        <v>PASS</v>
      </c>
      <c r="H709" s="6" t="n">
        <v>0.5</v>
      </c>
      <c r="I709" s="6"/>
    </row>
    <row r="710" customFormat="false" ht="15" hidden="false" customHeight="false" outlineLevel="0" collapsed="false">
      <c r="A710" s="6" t="s">
        <v>13955</v>
      </c>
      <c r="B710" s="6" t="s">
        <v>13294</v>
      </c>
      <c r="C710" s="6" t="s">
        <v>13956</v>
      </c>
      <c r="D710" s="6" t="s">
        <v>241</v>
      </c>
      <c r="E710" s="6" t="s">
        <v>13957</v>
      </c>
      <c r="F710" s="20" t="n">
        <f aca="false">Quarterly_Actuals!H251+Quarterly_Actuals!H252-Quarterly_Actuals!H253</f>
        <v>0</v>
      </c>
      <c r="G710" s="6" t="str">
        <f aca="false">IF(ABS(F710)&lt;=H710,"PASS","FAIL")</f>
        <v>PASS</v>
      </c>
      <c r="H710" s="6" t="n">
        <v>0.5</v>
      </c>
      <c r="I710" s="6"/>
    </row>
    <row r="711" customFormat="false" ht="15" hidden="false" customHeight="false" outlineLevel="0" collapsed="false">
      <c r="A711" s="6" t="s">
        <v>13958</v>
      </c>
      <c r="B711" s="6" t="s">
        <v>13294</v>
      </c>
      <c r="C711" s="6" t="s">
        <v>13959</v>
      </c>
      <c r="D711" s="6" t="s">
        <v>469</v>
      </c>
      <c r="E711" s="6" t="s">
        <v>13960</v>
      </c>
      <c r="F711" s="20" t="n">
        <f aca="false">Quarterly_Actuals!H251+Quarterly_Actuals!H252+Quarterly_Actuals!H254-Quarterly_Actuals!H255</f>
        <v>0</v>
      </c>
      <c r="G711" s="6" t="str">
        <f aca="false">IF(ABS(F711)&lt;=H711,"PASS","FAIL")</f>
        <v>PASS</v>
      </c>
      <c r="H711" s="6" t="n">
        <v>0.5</v>
      </c>
      <c r="I711" s="6"/>
    </row>
    <row r="712" customFormat="false" ht="15" hidden="false" customHeight="false" outlineLevel="0" collapsed="false">
      <c r="A712" s="6" t="s">
        <v>13961</v>
      </c>
      <c r="B712" s="6" t="s">
        <v>13294</v>
      </c>
      <c r="C712" s="6" t="s">
        <v>13962</v>
      </c>
      <c r="D712" s="6" t="s">
        <v>13917</v>
      </c>
      <c r="E712" s="6" t="s">
        <v>13963</v>
      </c>
      <c r="F712" s="20" t="n">
        <f aca="false">Quarterly_Actuals!H251+Quarterly_Actuals!H252+Quarterly_Actuals!H254+Quarterly_Actuals!H256-Quarterly_Actuals!H257</f>
        <v>0</v>
      </c>
      <c r="G712" s="6" t="str">
        <f aca="false">IF(ABS(F712)&lt;=H712,"PASS","FAIL")</f>
        <v>PASS</v>
      </c>
      <c r="H712" s="6" t="n">
        <v>0.5</v>
      </c>
      <c r="I712" s="6"/>
    </row>
    <row r="713" customFormat="false" ht="15" hidden="false" customHeight="false" outlineLevel="0" collapsed="false">
      <c r="A713" s="6" t="s">
        <v>13964</v>
      </c>
      <c r="B713" s="6" t="s">
        <v>13294</v>
      </c>
      <c r="C713" s="6" t="s">
        <v>13965</v>
      </c>
      <c r="D713" s="6" t="s">
        <v>241</v>
      </c>
      <c r="E713" s="6" t="s">
        <v>13966</v>
      </c>
      <c r="F713" s="20" t="n">
        <f aca="false">Quarterly_Actuals!H291+Quarterly_Actuals!H292-Quarterly_Actuals!H293</f>
        <v>0</v>
      </c>
      <c r="G713" s="6" t="str">
        <f aca="false">IF(ABS(F713)&lt;=H713,"PASS","FAIL")</f>
        <v>PASS</v>
      </c>
      <c r="H713" s="6" t="n">
        <v>0.5</v>
      </c>
      <c r="I713" s="6"/>
    </row>
    <row r="714" customFormat="false" ht="15" hidden="false" customHeight="false" outlineLevel="0" collapsed="false">
      <c r="A714" s="6" t="s">
        <v>13967</v>
      </c>
      <c r="B714" s="6" t="s">
        <v>13294</v>
      </c>
      <c r="C714" s="6" t="s">
        <v>13968</v>
      </c>
      <c r="D714" s="6" t="s">
        <v>469</v>
      </c>
      <c r="E714" s="6" t="s">
        <v>13969</v>
      </c>
      <c r="F714" s="20" t="n">
        <f aca="false">Quarterly_Actuals!H291+Quarterly_Actuals!H292+Quarterly_Actuals!H294-Quarterly_Actuals!H295</f>
        <v>0</v>
      </c>
      <c r="G714" s="6" t="str">
        <f aca="false">IF(ABS(F714)&lt;=H714,"PASS","FAIL")</f>
        <v>PASS</v>
      </c>
      <c r="H714" s="6" t="n">
        <v>0.5</v>
      </c>
      <c r="I714" s="6"/>
    </row>
    <row r="715" customFormat="false" ht="15" hidden="false" customHeight="false" outlineLevel="0" collapsed="false">
      <c r="A715" s="6" t="s">
        <v>13970</v>
      </c>
      <c r="B715" s="6" t="s">
        <v>13294</v>
      </c>
      <c r="C715" s="6" t="s">
        <v>13971</v>
      </c>
      <c r="D715" s="6" t="s">
        <v>13917</v>
      </c>
      <c r="E715" s="6" t="s">
        <v>13972</v>
      </c>
      <c r="F715" s="20" t="n">
        <f aca="false">Quarterly_Actuals!H291+Quarterly_Actuals!H292+Quarterly_Actuals!H294+Quarterly_Actuals!H296-Quarterly_Actuals!H297</f>
        <v>0</v>
      </c>
      <c r="G715" s="6" t="str">
        <f aca="false">IF(ABS(F715)&lt;=H715,"PASS","FAIL")</f>
        <v>PASS</v>
      </c>
      <c r="H715" s="6" t="n">
        <v>0.5</v>
      </c>
      <c r="I715" s="6"/>
    </row>
    <row r="716" customFormat="false" ht="15" hidden="false" customHeight="false" outlineLevel="0" collapsed="false">
      <c r="A716" s="6" t="s">
        <v>13973</v>
      </c>
      <c r="B716" s="6" t="s">
        <v>13294</v>
      </c>
      <c r="C716" s="6" t="s">
        <v>13974</v>
      </c>
      <c r="D716" s="6" t="s">
        <v>241</v>
      </c>
      <c r="E716" s="6" t="s">
        <v>13975</v>
      </c>
      <c r="F716" s="20" t="n">
        <f aca="false">Quarterly_Actuals!H329+Quarterly_Actuals!H330-Quarterly_Actuals!H331</f>
        <v>0</v>
      </c>
      <c r="G716" s="6" t="str">
        <f aca="false">IF(ABS(F716)&lt;=H716,"PASS","FAIL")</f>
        <v>PASS</v>
      </c>
      <c r="H716" s="6" t="n">
        <v>0.5</v>
      </c>
      <c r="I716" s="6"/>
    </row>
    <row r="717" customFormat="false" ht="15" hidden="false" customHeight="false" outlineLevel="0" collapsed="false">
      <c r="A717" s="6" t="s">
        <v>13976</v>
      </c>
      <c r="B717" s="6" t="s">
        <v>13294</v>
      </c>
      <c r="C717" s="6" t="s">
        <v>13977</v>
      </c>
      <c r="D717" s="6" t="s">
        <v>469</v>
      </c>
      <c r="E717" s="6" t="s">
        <v>13978</v>
      </c>
      <c r="F717" s="20" t="n">
        <f aca="false">Quarterly_Actuals!H329+Quarterly_Actuals!H330+Quarterly_Actuals!H332-Quarterly_Actuals!H333</f>
        <v>0</v>
      </c>
      <c r="G717" s="6" t="str">
        <f aca="false">IF(ABS(F717)&lt;=H717,"PASS","FAIL")</f>
        <v>PASS</v>
      </c>
      <c r="H717" s="6" t="n">
        <v>0.5</v>
      </c>
      <c r="I717" s="6"/>
    </row>
    <row r="718" customFormat="false" ht="15" hidden="false" customHeight="false" outlineLevel="0" collapsed="false">
      <c r="A718" s="6" t="s">
        <v>13979</v>
      </c>
      <c r="B718" s="6" t="s">
        <v>13294</v>
      </c>
      <c r="C718" s="6" t="s">
        <v>13980</v>
      </c>
      <c r="D718" s="6" t="s">
        <v>13917</v>
      </c>
      <c r="E718" s="6" t="s">
        <v>13981</v>
      </c>
      <c r="F718" s="20" t="n">
        <f aca="false">Quarterly_Actuals!H329+Quarterly_Actuals!H330+Quarterly_Actuals!H332+Quarterly_Actuals!H334-Quarterly_Actuals!H335</f>
        <v>0</v>
      </c>
      <c r="G718" s="6" t="str">
        <f aca="false">IF(ABS(F718)&lt;=H718,"PASS","FAIL")</f>
        <v>PASS</v>
      </c>
      <c r="H718" s="6" t="n">
        <v>0.5</v>
      </c>
      <c r="I718" s="6"/>
    </row>
    <row r="719" customFormat="false" ht="15" hidden="false" customHeight="false" outlineLevel="0" collapsed="false">
      <c r="A719" s="6" t="s">
        <v>13982</v>
      </c>
      <c r="B719" s="6" t="s">
        <v>13294</v>
      </c>
      <c r="C719" s="6" t="s">
        <v>13983</v>
      </c>
      <c r="D719" s="6" t="s">
        <v>241</v>
      </c>
      <c r="E719" s="6" t="s">
        <v>13984</v>
      </c>
      <c r="F719" s="20" t="n">
        <f aca="false">Quarterly_Actuals!H405+Quarterly_Actuals!H406-Quarterly_Actuals!H407</f>
        <v>0</v>
      </c>
      <c r="G719" s="6" t="str">
        <f aca="false">IF(ABS(F719)&lt;=H719,"PASS","FAIL")</f>
        <v>PASS</v>
      </c>
      <c r="H719" s="6" t="n">
        <v>0.5</v>
      </c>
      <c r="I719" s="6"/>
    </row>
    <row r="720" customFormat="false" ht="15" hidden="false" customHeight="false" outlineLevel="0" collapsed="false">
      <c r="A720" s="6" t="s">
        <v>13985</v>
      </c>
      <c r="B720" s="6" t="s">
        <v>13294</v>
      </c>
      <c r="C720" s="6" t="s">
        <v>13986</v>
      </c>
      <c r="D720" s="6" t="s">
        <v>469</v>
      </c>
      <c r="E720" s="6" t="s">
        <v>13987</v>
      </c>
      <c r="F720" s="20" t="n">
        <f aca="false">Quarterly_Actuals!H405+Quarterly_Actuals!H406+Quarterly_Actuals!H408-Quarterly_Actuals!H409</f>
        <v>0</v>
      </c>
      <c r="G720" s="6" t="str">
        <f aca="false">IF(ABS(F720)&lt;=H720,"PASS","FAIL")</f>
        <v>PASS</v>
      </c>
      <c r="H720" s="6" t="n">
        <v>0.5</v>
      </c>
      <c r="I720" s="6"/>
    </row>
    <row r="721" customFormat="false" ht="15" hidden="false" customHeight="false" outlineLevel="0" collapsed="false">
      <c r="A721" s="6" t="s">
        <v>13988</v>
      </c>
      <c r="B721" s="6" t="s">
        <v>13294</v>
      </c>
      <c r="C721" s="6" t="s">
        <v>13989</v>
      </c>
      <c r="D721" s="6" t="s">
        <v>13917</v>
      </c>
      <c r="E721" s="6" t="s">
        <v>13990</v>
      </c>
      <c r="F721" s="20" t="n">
        <f aca="false">Quarterly_Actuals!H405+Quarterly_Actuals!H406+Quarterly_Actuals!H408+Quarterly_Actuals!H410-Quarterly_Actuals!H411</f>
        <v>0</v>
      </c>
      <c r="G721" s="6" t="str">
        <f aca="false">IF(ABS(F721)&lt;=H721,"PASS","FAIL")</f>
        <v>PASS</v>
      </c>
      <c r="H721" s="6" t="n">
        <v>0.5</v>
      </c>
      <c r="I721" s="6"/>
    </row>
    <row r="722" customFormat="false" ht="15" hidden="false" customHeight="false" outlineLevel="0" collapsed="false">
      <c r="A722" s="6" t="s">
        <v>13991</v>
      </c>
      <c r="B722" s="6" t="s">
        <v>13294</v>
      </c>
      <c r="C722" s="6" t="s">
        <v>13992</v>
      </c>
      <c r="D722" s="6" t="s">
        <v>241</v>
      </c>
      <c r="E722" s="6" t="s">
        <v>13993</v>
      </c>
      <c r="F722" s="20" t="n">
        <f aca="false">Quarterly_Actuals!H497+Quarterly_Actuals!H498-Quarterly_Actuals!H499</f>
        <v>0</v>
      </c>
      <c r="G722" s="6" t="str">
        <f aca="false">IF(ABS(F722)&lt;=H722,"PASS","FAIL")</f>
        <v>PASS</v>
      </c>
      <c r="H722" s="6" t="n">
        <v>0.5</v>
      </c>
      <c r="I722" s="6"/>
    </row>
    <row r="723" customFormat="false" ht="15" hidden="false" customHeight="false" outlineLevel="0" collapsed="false">
      <c r="A723" s="6" t="s">
        <v>13994</v>
      </c>
      <c r="B723" s="6" t="s">
        <v>13294</v>
      </c>
      <c r="C723" s="6" t="s">
        <v>13995</v>
      </c>
      <c r="D723" s="6" t="s">
        <v>469</v>
      </c>
      <c r="E723" s="6" t="s">
        <v>13996</v>
      </c>
      <c r="F723" s="20" t="n">
        <f aca="false">Quarterly_Actuals!H497+Quarterly_Actuals!H498+Quarterly_Actuals!H500-Quarterly_Actuals!H501</f>
        <v>0</v>
      </c>
      <c r="G723" s="6" t="str">
        <f aca="false">IF(ABS(F723)&lt;=H723,"PASS","FAIL")</f>
        <v>PASS</v>
      </c>
      <c r="H723" s="6" t="n">
        <v>0.5</v>
      </c>
      <c r="I723" s="6"/>
    </row>
    <row r="724" customFormat="false" ht="15" hidden="false" customHeight="false" outlineLevel="0" collapsed="false">
      <c r="A724" s="6" t="s">
        <v>13997</v>
      </c>
      <c r="B724" s="6" t="s">
        <v>13294</v>
      </c>
      <c r="C724" s="6" t="s">
        <v>13998</v>
      </c>
      <c r="D724" s="6" t="s">
        <v>13917</v>
      </c>
      <c r="E724" s="6" t="s">
        <v>13999</v>
      </c>
      <c r="F724" s="20" t="n">
        <f aca="false">Quarterly_Actuals!H497+Quarterly_Actuals!H498+Quarterly_Actuals!H500+Quarterly_Actuals!H502-Quarterly_Actuals!H503</f>
        <v>0</v>
      </c>
      <c r="G724" s="6" t="str">
        <f aca="false">IF(ABS(F724)&lt;=H724,"PASS","FAIL")</f>
        <v>PASS</v>
      </c>
      <c r="H724" s="6" t="n">
        <v>0.5</v>
      </c>
      <c r="I724" s="6"/>
    </row>
    <row r="725" customFormat="false" ht="15" hidden="false" customHeight="false" outlineLevel="0" collapsed="false">
      <c r="A725" s="6" t="s">
        <v>14000</v>
      </c>
      <c r="B725" s="6" t="s">
        <v>13294</v>
      </c>
      <c r="C725" s="6" t="s">
        <v>14001</v>
      </c>
      <c r="D725" s="6" t="s">
        <v>241</v>
      </c>
      <c r="E725" s="6" t="s">
        <v>14002</v>
      </c>
      <c r="F725" s="20" t="n">
        <f aca="false">Quarterly_Actuals!H573+Quarterly_Actuals!H574-Quarterly_Actuals!H575</f>
        <v>0</v>
      </c>
      <c r="G725" s="6" t="str">
        <f aca="false">IF(ABS(F725)&lt;=H725,"PASS","FAIL")</f>
        <v>PASS</v>
      </c>
      <c r="H725" s="6" t="n">
        <v>0.5</v>
      </c>
      <c r="I725" s="6"/>
    </row>
    <row r="726" customFormat="false" ht="15" hidden="false" customHeight="false" outlineLevel="0" collapsed="false">
      <c r="A726" s="6" t="s">
        <v>14003</v>
      </c>
      <c r="B726" s="6" t="s">
        <v>13294</v>
      </c>
      <c r="C726" s="6" t="s">
        <v>14004</v>
      </c>
      <c r="D726" s="6" t="s">
        <v>469</v>
      </c>
      <c r="E726" s="6" t="s">
        <v>14005</v>
      </c>
      <c r="F726" s="20" t="n">
        <f aca="false">Quarterly_Actuals!H573+Quarterly_Actuals!H574+Quarterly_Actuals!H576-Quarterly_Actuals!H577</f>
        <v>0</v>
      </c>
      <c r="G726" s="6" t="str">
        <f aca="false">IF(ABS(F726)&lt;=H726,"PASS","FAIL")</f>
        <v>PASS</v>
      </c>
      <c r="H726" s="6" t="n">
        <v>0.5</v>
      </c>
      <c r="I726" s="6"/>
    </row>
    <row r="727" customFormat="false" ht="15" hidden="false" customHeight="false" outlineLevel="0" collapsed="false">
      <c r="A727" s="6" t="s">
        <v>14006</v>
      </c>
      <c r="B727" s="6" t="s">
        <v>13294</v>
      </c>
      <c r="C727" s="6" t="s">
        <v>14007</v>
      </c>
      <c r="D727" s="6" t="s">
        <v>13917</v>
      </c>
      <c r="E727" s="6" t="s">
        <v>14008</v>
      </c>
      <c r="F727" s="20" t="n">
        <f aca="false">Quarterly_Actuals!H573+Quarterly_Actuals!H574+Quarterly_Actuals!H576+Quarterly_Actuals!H578-Quarterly_Actuals!H579</f>
        <v>0</v>
      </c>
      <c r="G727" s="6" t="str">
        <f aca="false">IF(ABS(F727)&lt;=H727,"PASS","FAIL")</f>
        <v>PASS</v>
      </c>
      <c r="H727" s="6" t="n">
        <v>0.5</v>
      </c>
      <c r="I727" s="6"/>
    </row>
    <row r="728" customFormat="false" ht="15" hidden="false" customHeight="false" outlineLevel="0" collapsed="false">
      <c r="A728" s="6" t="s">
        <v>14009</v>
      </c>
      <c r="B728" s="6" t="s">
        <v>13294</v>
      </c>
      <c r="C728" s="6" t="s">
        <v>14010</v>
      </c>
      <c r="D728" s="6" t="s">
        <v>241</v>
      </c>
      <c r="E728" s="6" t="s">
        <v>14011</v>
      </c>
      <c r="F728" s="20" t="n">
        <f aca="false">Quarterly_Actuals!H611+Quarterly_Actuals!H612-Quarterly_Actuals!H613</f>
        <v>0</v>
      </c>
      <c r="G728" s="6" t="str">
        <f aca="false">IF(ABS(F728)&lt;=H728,"PASS","FAIL")</f>
        <v>PASS</v>
      </c>
      <c r="H728" s="6" t="n">
        <v>0.5</v>
      </c>
      <c r="I728" s="6"/>
    </row>
    <row r="729" customFormat="false" ht="15" hidden="false" customHeight="false" outlineLevel="0" collapsed="false">
      <c r="A729" s="6" t="s">
        <v>14012</v>
      </c>
      <c r="B729" s="6" t="s">
        <v>13294</v>
      </c>
      <c r="C729" s="6" t="s">
        <v>14013</v>
      </c>
      <c r="D729" s="6" t="s">
        <v>469</v>
      </c>
      <c r="E729" s="6" t="s">
        <v>14014</v>
      </c>
      <c r="F729" s="20" t="n">
        <f aca="false">Quarterly_Actuals!H611+Quarterly_Actuals!H612+Quarterly_Actuals!H614-Quarterly_Actuals!H615</f>
        <v>0</v>
      </c>
      <c r="G729" s="6" t="str">
        <f aca="false">IF(ABS(F729)&lt;=H729,"PASS","FAIL")</f>
        <v>PASS</v>
      </c>
      <c r="H729" s="6" t="n">
        <v>0.5</v>
      </c>
      <c r="I729" s="6"/>
    </row>
    <row r="730" customFormat="false" ht="15" hidden="false" customHeight="false" outlineLevel="0" collapsed="false">
      <c r="A730" s="6" t="s">
        <v>14015</v>
      </c>
      <c r="B730" s="6" t="s">
        <v>13294</v>
      </c>
      <c r="C730" s="6" t="s">
        <v>14016</v>
      </c>
      <c r="D730" s="6" t="s">
        <v>13917</v>
      </c>
      <c r="E730" s="6" t="s">
        <v>14017</v>
      </c>
      <c r="F730" s="20" t="n">
        <f aca="false">Quarterly_Actuals!H611+Quarterly_Actuals!H612+Quarterly_Actuals!H614+Quarterly_Actuals!H616-Quarterly_Actuals!H617</f>
        <v>0</v>
      </c>
      <c r="G730" s="6" t="str">
        <f aca="false">IF(ABS(F730)&lt;=H730,"PASS","FAIL")</f>
        <v>PASS</v>
      </c>
      <c r="H730" s="6" t="n">
        <v>0.5</v>
      </c>
      <c r="I730" s="6"/>
    </row>
    <row r="731" customFormat="false" ht="15" hidden="false" customHeight="false" outlineLevel="0" collapsed="false">
      <c r="A731" s="6" t="s">
        <v>14018</v>
      </c>
      <c r="B731" s="6" t="s">
        <v>13294</v>
      </c>
      <c r="C731" s="6" t="s">
        <v>14019</v>
      </c>
      <c r="D731" s="6" t="s">
        <v>241</v>
      </c>
      <c r="E731" s="6" t="s">
        <v>14020</v>
      </c>
      <c r="F731" s="20" t="n">
        <f aca="false">Quarterly_Actuals!H649+Quarterly_Actuals!H650-Quarterly_Actuals!H651</f>
        <v>0</v>
      </c>
      <c r="G731" s="6" t="str">
        <f aca="false">IF(ABS(F731)&lt;=H731,"PASS","FAIL")</f>
        <v>PASS</v>
      </c>
      <c r="H731" s="6" t="n">
        <v>0.5</v>
      </c>
      <c r="I731" s="6"/>
    </row>
    <row r="732" customFormat="false" ht="15" hidden="false" customHeight="false" outlineLevel="0" collapsed="false">
      <c r="A732" s="6" t="s">
        <v>14021</v>
      </c>
      <c r="B732" s="6" t="s">
        <v>13294</v>
      </c>
      <c r="C732" s="6" t="s">
        <v>14022</v>
      </c>
      <c r="D732" s="6" t="s">
        <v>469</v>
      </c>
      <c r="E732" s="6" t="s">
        <v>14023</v>
      </c>
      <c r="F732" s="20" t="n">
        <f aca="false">Quarterly_Actuals!H649+Quarterly_Actuals!H650+Quarterly_Actuals!H652-Quarterly_Actuals!H653</f>
        <v>0</v>
      </c>
      <c r="G732" s="6" t="str">
        <f aca="false">IF(ABS(F732)&lt;=H732,"PASS","FAIL")</f>
        <v>PASS</v>
      </c>
      <c r="H732" s="6" t="n">
        <v>0.5</v>
      </c>
      <c r="I732" s="6"/>
    </row>
    <row r="733" customFormat="false" ht="15" hidden="false" customHeight="false" outlineLevel="0" collapsed="false">
      <c r="A733" s="6" t="s">
        <v>14024</v>
      </c>
      <c r="B733" s="6" t="s">
        <v>13294</v>
      </c>
      <c r="C733" s="6" t="s">
        <v>14025</v>
      </c>
      <c r="D733" s="6" t="s">
        <v>13917</v>
      </c>
      <c r="E733" s="6" t="s">
        <v>14026</v>
      </c>
      <c r="F733" s="20" t="n">
        <f aca="false">Quarterly_Actuals!H649+Quarterly_Actuals!H650+Quarterly_Actuals!H652+Quarterly_Actuals!H654-Quarterly_Actuals!H655</f>
        <v>0</v>
      </c>
      <c r="G733" s="6" t="str">
        <f aca="false">IF(ABS(F733)&lt;=H733,"PASS","FAIL")</f>
        <v>PASS</v>
      </c>
      <c r="H733" s="6" t="n">
        <v>0.5</v>
      </c>
      <c r="I733" s="6"/>
    </row>
    <row r="734" customFormat="false" ht="15" hidden="false" customHeight="false" outlineLevel="0" collapsed="false">
      <c r="A734" s="6" t="s">
        <v>14027</v>
      </c>
      <c r="B734" s="6" t="s">
        <v>13294</v>
      </c>
      <c r="C734" s="6" t="s">
        <v>14028</v>
      </c>
      <c r="D734" s="6" t="s">
        <v>241</v>
      </c>
      <c r="E734" s="6" t="s">
        <v>14029</v>
      </c>
      <c r="F734" s="20" t="n">
        <f aca="false">Quarterly_Actuals!H687+Quarterly_Actuals!H688-Quarterly_Actuals!H689</f>
        <v>0</v>
      </c>
      <c r="G734" s="6" t="str">
        <f aca="false">IF(ABS(F734)&lt;=H734,"PASS","FAIL")</f>
        <v>PASS</v>
      </c>
      <c r="H734" s="6" t="n">
        <v>0.5</v>
      </c>
      <c r="I734" s="6"/>
    </row>
    <row r="735" customFormat="false" ht="15" hidden="false" customHeight="false" outlineLevel="0" collapsed="false">
      <c r="A735" s="6" t="s">
        <v>14030</v>
      </c>
      <c r="B735" s="6" t="s">
        <v>13294</v>
      </c>
      <c r="C735" s="6" t="s">
        <v>14031</v>
      </c>
      <c r="D735" s="6" t="s">
        <v>469</v>
      </c>
      <c r="E735" s="6" t="s">
        <v>14032</v>
      </c>
      <c r="F735" s="20" t="n">
        <f aca="false">Quarterly_Actuals!H687+Quarterly_Actuals!H688+Quarterly_Actuals!H690-Quarterly_Actuals!H691</f>
        <v>0</v>
      </c>
      <c r="G735" s="6" t="str">
        <f aca="false">IF(ABS(F735)&lt;=H735,"PASS","FAIL")</f>
        <v>PASS</v>
      </c>
      <c r="H735" s="6" t="n">
        <v>0.5</v>
      </c>
      <c r="I735" s="6"/>
    </row>
    <row r="736" customFormat="false" ht="15" hidden="false" customHeight="false" outlineLevel="0" collapsed="false">
      <c r="A736" s="6" t="s">
        <v>14033</v>
      </c>
      <c r="B736" s="6" t="s">
        <v>13294</v>
      </c>
      <c r="C736" s="6" t="s">
        <v>14034</v>
      </c>
      <c r="D736" s="6" t="s">
        <v>13917</v>
      </c>
      <c r="E736" s="6" t="s">
        <v>14035</v>
      </c>
      <c r="F736" s="20" t="n">
        <f aca="false">Quarterly_Actuals!H687+Quarterly_Actuals!H688+Quarterly_Actuals!H690+Quarterly_Actuals!H692-Quarterly_Actuals!H693</f>
        <v>0</v>
      </c>
      <c r="G736" s="6" t="str">
        <f aca="false">IF(ABS(F736)&lt;=H736,"PASS","FAIL")</f>
        <v>PASS</v>
      </c>
      <c r="H736" s="6" t="n">
        <v>0.5</v>
      </c>
      <c r="I736" s="6"/>
    </row>
    <row r="737" customFormat="false" ht="15" hidden="false" customHeight="false" outlineLevel="0" collapsed="false">
      <c r="A737" s="6" t="s">
        <v>14036</v>
      </c>
      <c r="B737" s="6" t="s">
        <v>13294</v>
      </c>
      <c r="C737" s="6" t="s">
        <v>14037</v>
      </c>
      <c r="D737" s="6" t="s">
        <v>241</v>
      </c>
      <c r="E737" s="6" t="s">
        <v>14038</v>
      </c>
      <c r="F737" s="20" t="n">
        <f aca="false">Quarterly_Actuals!H763+Quarterly_Actuals!H764-Quarterly_Actuals!H765</f>
        <v>0</v>
      </c>
      <c r="G737" s="6" t="str">
        <f aca="false">IF(ABS(F737)&lt;=H737,"PASS","FAIL")</f>
        <v>PASS</v>
      </c>
      <c r="H737" s="6" t="n">
        <v>0.5</v>
      </c>
      <c r="I737" s="6"/>
    </row>
    <row r="738" customFormat="false" ht="15" hidden="false" customHeight="false" outlineLevel="0" collapsed="false">
      <c r="A738" s="6" t="s">
        <v>14039</v>
      </c>
      <c r="B738" s="6" t="s">
        <v>13294</v>
      </c>
      <c r="C738" s="6" t="s">
        <v>14040</v>
      </c>
      <c r="D738" s="6" t="s">
        <v>469</v>
      </c>
      <c r="E738" s="6" t="s">
        <v>14041</v>
      </c>
      <c r="F738" s="20" t="n">
        <f aca="false">Quarterly_Actuals!H763+Quarterly_Actuals!H764+Quarterly_Actuals!H766-Quarterly_Actuals!H767</f>
        <v>0</v>
      </c>
      <c r="G738" s="6" t="str">
        <f aca="false">IF(ABS(F738)&lt;=H738,"PASS","FAIL")</f>
        <v>PASS</v>
      </c>
      <c r="H738" s="6" t="n">
        <v>0.5</v>
      </c>
      <c r="I738" s="6"/>
    </row>
    <row r="739" customFormat="false" ht="15" hidden="false" customHeight="false" outlineLevel="0" collapsed="false">
      <c r="A739" s="6" t="s">
        <v>14042</v>
      </c>
      <c r="B739" s="6" t="s">
        <v>13294</v>
      </c>
      <c r="C739" s="6" t="s">
        <v>14043</v>
      </c>
      <c r="D739" s="6" t="s">
        <v>13917</v>
      </c>
      <c r="E739" s="6" t="s">
        <v>14044</v>
      </c>
      <c r="F739" s="20" t="n">
        <f aca="false">Quarterly_Actuals!H763+Quarterly_Actuals!H764+Quarterly_Actuals!H766+Quarterly_Actuals!H768-Quarterly_Actuals!H769</f>
        <v>0</v>
      </c>
      <c r="G739" s="6" t="str">
        <f aca="false">IF(ABS(F739)&lt;=H739,"PASS","FAIL")</f>
        <v>PASS</v>
      </c>
      <c r="H739" s="6" t="n">
        <v>0.5</v>
      </c>
      <c r="I739" s="6"/>
    </row>
    <row r="740" customFormat="false" ht="15" hidden="false" customHeight="false" outlineLevel="0" collapsed="false">
      <c r="A740" s="6" t="s">
        <v>14045</v>
      </c>
      <c r="B740" s="6" t="s">
        <v>13294</v>
      </c>
      <c r="C740" s="6" t="s">
        <v>14046</v>
      </c>
      <c r="D740" s="6" t="s">
        <v>241</v>
      </c>
      <c r="E740" s="6" t="s">
        <v>14047</v>
      </c>
      <c r="F740" s="20" t="n">
        <f aca="false">Quarterly_Actuals!H855+Quarterly_Actuals!H856-Quarterly_Actuals!H857</f>
        <v>0</v>
      </c>
      <c r="G740" s="6" t="str">
        <f aca="false">IF(ABS(F740)&lt;=H740,"PASS","FAIL")</f>
        <v>PASS</v>
      </c>
      <c r="H740" s="6" t="n">
        <v>0.5</v>
      </c>
      <c r="I740" s="6"/>
    </row>
    <row r="741" customFormat="false" ht="15" hidden="false" customHeight="false" outlineLevel="0" collapsed="false">
      <c r="A741" s="6" t="s">
        <v>14048</v>
      </c>
      <c r="B741" s="6" t="s">
        <v>13294</v>
      </c>
      <c r="C741" s="6" t="s">
        <v>14049</v>
      </c>
      <c r="D741" s="6" t="s">
        <v>469</v>
      </c>
      <c r="E741" s="6" t="s">
        <v>14050</v>
      </c>
      <c r="F741" s="20" t="n">
        <f aca="false">Quarterly_Actuals!H855+Quarterly_Actuals!H856+Quarterly_Actuals!H858-Quarterly_Actuals!H859</f>
        <v>0</v>
      </c>
      <c r="G741" s="6" t="str">
        <f aca="false">IF(ABS(F741)&lt;=H741,"PASS","FAIL")</f>
        <v>PASS</v>
      </c>
      <c r="H741" s="6" t="n">
        <v>0.5</v>
      </c>
      <c r="I741" s="6"/>
    </row>
    <row r="742" customFormat="false" ht="15" hidden="false" customHeight="false" outlineLevel="0" collapsed="false">
      <c r="A742" s="6" t="s">
        <v>14051</v>
      </c>
      <c r="B742" s="6" t="s">
        <v>13294</v>
      </c>
      <c r="C742" s="6" t="s">
        <v>14052</v>
      </c>
      <c r="D742" s="6" t="s">
        <v>13917</v>
      </c>
      <c r="E742" s="6" t="s">
        <v>14053</v>
      </c>
      <c r="F742" s="20" t="n">
        <f aca="false">Quarterly_Actuals!H855+Quarterly_Actuals!H856+Quarterly_Actuals!H858+Quarterly_Actuals!H860-Quarterly_Actuals!H861</f>
        <v>0</v>
      </c>
      <c r="G742" s="6" t="str">
        <f aca="false">IF(ABS(F742)&lt;=H742,"PASS","FAIL")</f>
        <v>PASS</v>
      </c>
      <c r="H742" s="6" t="n">
        <v>0.5</v>
      </c>
      <c r="I742" s="6"/>
    </row>
    <row r="743" customFormat="false" ht="15" hidden="false" customHeight="false" outlineLevel="0" collapsed="false">
      <c r="A743" s="6" t="s">
        <v>14054</v>
      </c>
      <c r="B743" s="6" t="s">
        <v>13294</v>
      </c>
      <c r="C743" s="6" t="s">
        <v>14055</v>
      </c>
      <c r="D743" s="6" t="s">
        <v>241</v>
      </c>
      <c r="E743" s="6" t="s">
        <v>14056</v>
      </c>
      <c r="F743" s="20" t="n">
        <f aca="false">Quarterly_Actuals!H893+Quarterly_Actuals!H894-Quarterly_Actuals!H895</f>
        <v>0</v>
      </c>
      <c r="G743" s="6" t="str">
        <f aca="false">IF(ABS(F743)&lt;=H743,"PASS","FAIL")</f>
        <v>PASS</v>
      </c>
      <c r="H743" s="6" t="n">
        <v>0.5</v>
      </c>
      <c r="I743" s="6"/>
    </row>
    <row r="744" customFormat="false" ht="15" hidden="false" customHeight="false" outlineLevel="0" collapsed="false">
      <c r="A744" s="6" t="s">
        <v>14057</v>
      </c>
      <c r="B744" s="6" t="s">
        <v>13294</v>
      </c>
      <c r="C744" s="6" t="s">
        <v>14058</v>
      </c>
      <c r="D744" s="6" t="s">
        <v>469</v>
      </c>
      <c r="E744" s="6" t="s">
        <v>14059</v>
      </c>
      <c r="F744" s="20" t="n">
        <f aca="false">Quarterly_Actuals!H893+Quarterly_Actuals!H894+Quarterly_Actuals!H896-Quarterly_Actuals!H897</f>
        <v>0</v>
      </c>
      <c r="G744" s="6" t="str">
        <f aca="false">IF(ABS(F744)&lt;=H744,"PASS","FAIL")</f>
        <v>PASS</v>
      </c>
      <c r="H744" s="6" t="n">
        <v>0.5</v>
      </c>
      <c r="I744" s="6"/>
    </row>
    <row r="745" customFormat="false" ht="15" hidden="false" customHeight="false" outlineLevel="0" collapsed="false">
      <c r="A745" s="6" t="s">
        <v>14060</v>
      </c>
      <c r="B745" s="6" t="s">
        <v>13294</v>
      </c>
      <c r="C745" s="6" t="s">
        <v>14061</v>
      </c>
      <c r="D745" s="6" t="s">
        <v>13917</v>
      </c>
      <c r="E745" s="6" t="s">
        <v>14062</v>
      </c>
      <c r="F745" s="20" t="n">
        <f aca="false">Quarterly_Actuals!H893+Quarterly_Actuals!H894+Quarterly_Actuals!H896+Quarterly_Actuals!H898-Quarterly_Actuals!H899</f>
        <v>0</v>
      </c>
      <c r="G745" s="6" t="str">
        <f aca="false">IF(ABS(F745)&lt;=H745,"PASS","FAIL")</f>
        <v>PASS</v>
      </c>
      <c r="H745" s="6" t="n">
        <v>0.5</v>
      </c>
      <c r="I745" s="6"/>
    </row>
    <row r="746" customFormat="false" ht="15" hidden="false" customHeight="false" outlineLevel="0" collapsed="false">
      <c r="A746" s="6" t="s">
        <v>14063</v>
      </c>
      <c r="B746" s="6" t="s">
        <v>13294</v>
      </c>
      <c r="C746" s="6" t="s">
        <v>14064</v>
      </c>
      <c r="D746" s="6" t="s">
        <v>241</v>
      </c>
      <c r="E746" s="6" t="s">
        <v>14065</v>
      </c>
      <c r="F746" s="20" t="n">
        <f aca="false">Quarterly_Actuals!H951+Quarterly_Actuals!H952-Quarterly_Actuals!H953</f>
        <v>0</v>
      </c>
      <c r="G746" s="6" t="str">
        <f aca="false">IF(ABS(F746)&lt;=H746,"PASS","FAIL")</f>
        <v>PASS</v>
      </c>
      <c r="H746" s="6" t="n">
        <v>0.5</v>
      </c>
      <c r="I746" s="6"/>
    </row>
    <row r="747" customFormat="false" ht="15" hidden="false" customHeight="false" outlineLevel="0" collapsed="false">
      <c r="A747" s="6" t="s">
        <v>14066</v>
      </c>
      <c r="B747" s="6" t="s">
        <v>13294</v>
      </c>
      <c r="C747" s="6" t="s">
        <v>14067</v>
      </c>
      <c r="D747" s="6" t="s">
        <v>469</v>
      </c>
      <c r="E747" s="6" t="s">
        <v>14068</v>
      </c>
      <c r="F747" s="20" t="n">
        <f aca="false">Quarterly_Actuals!H951+Quarterly_Actuals!H952+Quarterly_Actuals!H954-Quarterly_Actuals!H955</f>
        <v>0</v>
      </c>
      <c r="G747" s="6" t="str">
        <f aca="false">IF(ABS(F747)&lt;=H747,"PASS","FAIL")</f>
        <v>PASS</v>
      </c>
      <c r="H747" s="6" t="n">
        <v>0.5</v>
      </c>
      <c r="I747" s="6"/>
    </row>
    <row r="748" customFormat="false" ht="15" hidden="false" customHeight="false" outlineLevel="0" collapsed="false">
      <c r="A748" s="6" t="s">
        <v>14069</v>
      </c>
      <c r="B748" s="6" t="s">
        <v>13294</v>
      </c>
      <c r="C748" s="6" t="s">
        <v>14070</v>
      </c>
      <c r="D748" s="6" t="s">
        <v>13917</v>
      </c>
      <c r="E748" s="6" t="s">
        <v>14071</v>
      </c>
      <c r="F748" s="20" t="n">
        <f aca="false">Quarterly_Actuals!H951+Quarterly_Actuals!H952+Quarterly_Actuals!H954+Quarterly_Actuals!H956-Quarterly_Actuals!H957</f>
        <v>0</v>
      </c>
      <c r="G748" s="6" t="str">
        <f aca="false">IF(ABS(F748)&lt;=H748,"PASS","FAIL")</f>
        <v>PASS</v>
      </c>
      <c r="H748" s="6" t="n">
        <v>0.5</v>
      </c>
      <c r="I748" s="6"/>
    </row>
    <row r="749" customFormat="false" ht="15" hidden="false" customHeight="false" outlineLevel="0" collapsed="false">
      <c r="A749" s="6" t="s">
        <v>14072</v>
      </c>
      <c r="B749" s="6" t="s">
        <v>13294</v>
      </c>
      <c r="C749" s="6" t="s">
        <v>14073</v>
      </c>
      <c r="D749" s="6" t="s">
        <v>241</v>
      </c>
      <c r="E749" s="6" t="s">
        <v>14074</v>
      </c>
      <c r="F749" s="20" t="n">
        <f aca="false">Quarterly_Actuals!H989+Quarterly_Actuals!H990-Quarterly_Actuals!H991</f>
        <v>0</v>
      </c>
      <c r="G749" s="6" t="str">
        <f aca="false">IF(ABS(F749)&lt;=H749,"PASS","FAIL")</f>
        <v>PASS</v>
      </c>
      <c r="H749" s="6" t="n">
        <v>0.5</v>
      </c>
      <c r="I749" s="6"/>
    </row>
    <row r="750" customFormat="false" ht="15" hidden="false" customHeight="false" outlineLevel="0" collapsed="false">
      <c r="A750" s="6" t="s">
        <v>14075</v>
      </c>
      <c r="B750" s="6" t="s">
        <v>13294</v>
      </c>
      <c r="C750" s="6" t="s">
        <v>14076</v>
      </c>
      <c r="D750" s="6" t="s">
        <v>469</v>
      </c>
      <c r="E750" s="6" t="s">
        <v>14077</v>
      </c>
      <c r="F750" s="20" t="n">
        <f aca="false">Quarterly_Actuals!H989+Quarterly_Actuals!H990+Quarterly_Actuals!H992-Quarterly_Actuals!H993</f>
        <v>0</v>
      </c>
      <c r="G750" s="6" t="str">
        <f aca="false">IF(ABS(F750)&lt;=H750,"PASS","FAIL")</f>
        <v>PASS</v>
      </c>
      <c r="H750" s="6" t="n">
        <v>0.5</v>
      </c>
      <c r="I750" s="6"/>
    </row>
    <row r="751" customFormat="false" ht="15" hidden="false" customHeight="false" outlineLevel="0" collapsed="false">
      <c r="A751" s="6" t="s">
        <v>14078</v>
      </c>
      <c r="B751" s="6" t="s">
        <v>13294</v>
      </c>
      <c r="C751" s="6" t="s">
        <v>14079</v>
      </c>
      <c r="D751" s="6" t="s">
        <v>13917</v>
      </c>
      <c r="E751" s="6" t="s">
        <v>14080</v>
      </c>
      <c r="F751" s="20" t="n">
        <f aca="false">Quarterly_Actuals!H989+Quarterly_Actuals!H990+Quarterly_Actuals!H992+Quarterly_Actuals!H994-Quarterly_Actuals!H995</f>
        <v>0</v>
      </c>
      <c r="G751" s="6" t="str">
        <f aca="false">IF(ABS(F751)&lt;=H751,"PASS","FAIL")</f>
        <v>PASS</v>
      </c>
      <c r="H751" s="6" t="n">
        <v>0.5</v>
      </c>
      <c r="I751" s="6"/>
    </row>
    <row r="752" customFormat="false" ht="15" hidden="false" customHeight="false" outlineLevel="0" collapsed="false">
      <c r="A752" s="6" t="s">
        <v>14081</v>
      </c>
      <c r="B752" s="6" t="s">
        <v>13294</v>
      </c>
      <c r="C752" s="6" t="s">
        <v>14082</v>
      </c>
      <c r="D752" s="6" t="s">
        <v>241</v>
      </c>
      <c r="E752" s="6" t="s">
        <v>14083</v>
      </c>
      <c r="F752" s="20" t="n">
        <f aca="false">Quarterly_Actuals!H1027+Quarterly_Actuals!H1028-Quarterly_Actuals!H1029</f>
        <v>0</v>
      </c>
      <c r="G752" s="6" t="str">
        <f aca="false">IF(ABS(F752)&lt;=H752,"PASS","FAIL")</f>
        <v>PASS</v>
      </c>
      <c r="H752" s="6" t="n">
        <v>0.5</v>
      </c>
      <c r="I752" s="6"/>
    </row>
    <row r="753" customFormat="false" ht="15" hidden="false" customHeight="false" outlineLevel="0" collapsed="false">
      <c r="A753" s="6" t="s">
        <v>14084</v>
      </c>
      <c r="B753" s="6" t="s">
        <v>13294</v>
      </c>
      <c r="C753" s="6" t="s">
        <v>14085</v>
      </c>
      <c r="D753" s="6" t="s">
        <v>469</v>
      </c>
      <c r="E753" s="6" t="s">
        <v>14086</v>
      </c>
      <c r="F753" s="20" t="n">
        <f aca="false">Quarterly_Actuals!H1027+Quarterly_Actuals!H1028+Quarterly_Actuals!H1030-Quarterly_Actuals!H1031</f>
        <v>0</v>
      </c>
      <c r="G753" s="6" t="str">
        <f aca="false">IF(ABS(F753)&lt;=H753,"PASS","FAIL")</f>
        <v>PASS</v>
      </c>
      <c r="H753" s="6" t="n">
        <v>0.5</v>
      </c>
      <c r="I753" s="6"/>
    </row>
    <row r="754" customFormat="false" ht="15" hidden="false" customHeight="false" outlineLevel="0" collapsed="false">
      <c r="A754" s="6" t="s">
        <v>14087</v>
      </c>
      <c r="B754" s="6" t="s">
        <v>13294</v>
      </c>
      <c r="C754" s="6" t="s">
        <v>14088</v>
      </c>
      <c r="D754" s="6" t="s">
        <v>13917</v>
      </c>
      <c r="E754" s="6" t="s">
        <v>14089</v>
      </c>
      <c r="F754" s="20" t="n">
        <f aca="false">Quarterly_Actuals!H1027+Quarterly_Actuals!H1028+Quarterly_Actuals!H1030+Quarterly_Actuals!H1032-Quarterly_Actuals!H1033</f>
        <v>0</v>
      </c>
      <c r="G754" s="6" t="str">
        <f aca="false">IF(ABS(F754)&lt;=H754,"PASS","FAIL")</f>
        <v>PASS</v>
      </c>
      <c r="H754" s="6" t="n">
        <v>0.5</v>
      </c>
      <c r="I754" s="6"/>
    </row>
    <row r="755" customFormat="false" ht="15" hidden="false" customHeight="false" outlineLevel="0" collapsed="false">
      <c r="A755" s="6" t="s">
        <v>14090</v>
      </c>
      <c r="B755" s="6" t="s">
        <v>13294</v>
      </c>
      <c r="C755" s="6" t="s">
        <v>14091</v>
      </c>
      <c r="D755" s="6" t="s">
        <v>241</v>
      </c>
      <c r="E755" s="6" t="s">
        <v>14092</v>
      </c>
      <c r="F755" s="20" t="n">
        <f aca="false">Quarterly_Actuals!H1089+Quarterly_Actuals!H1090-Quarterly_Actuals!H1091</f>
        <v>0</v>
      </c>
      <c r="G755" s="6" t="str">
        <f aca="false">IF(ABS(F755)&lt;=H755,"PASS","FAIL")</f>
        <v>PASS</v>
      </c>
      <c r="H755" s="6" t="n">
        <v>0.5</v>
      </c>
      <c r="I755" s="6"/>
    </row>
    <row r="756" customFormat="false" ht="15" hidden="false" customHeight="false" outlineLevel="0" collapsed="false">
      <c r="A756" s="6" t="s">
        <v>14093</v>
      </c>
      <c r="B756" s="6" t="s">
        <v>13294</v>
      </c>
      <c r="C756" s="6" t="s">
        <v>14094</v>
      </c>
      <c r="D756" s="6" t="s">
        <v>469</v>
      </c>
      <c r="E756" s="6" t="s">
        <v>14095</v>
      </c>
      <c r="F756" s="20" t="n">
        <f aca="false">Quarterly_Actuals!H1089+Quarterly_Actuals!H1090+Quarterly_Actuals!H1092-Quarterly_Actuals!H1093</f>
        <v>0</v>
      </c>
      <c r="G756" s="6" t="str">
        <f aca="false">IF(ABS(F756)&lt;=H756,"PASS","FAIL")</f>
        <v>PASS</v>
      </c>
      <c r="H756" s="6" t="n">
        <v>0.5</v>
      </c>
      <c r="I756" s="6"/>
    </row>
    <row r="757" customFormat="false" ht="15" hidden="false" customHeight="false" outlineLevel="0" collapsed="false">
      <c r="A757" s="6" t="s">
        <v>14096</v>
      </c>
      <c r="B757" s="6" t="s">
        <v>13294</v>
      </c>
      <c r="C757" s="6" t="s">
        <v>14097</v>
      </c>
      <c r="D757" s="6" t="s">
        <v>13917</v>
      </c>
      <c r="E757" s="6" t="s">
        <v>14098</v>
      </c>
      <c r="F757" s="20" t="n">
        <f aca="false">Quarterly_Actuals!H1089+Quarterly_Actuals!H1090+Quarterly_Actuals!H1092+Quarterly_Actuals!H1094-Quarterly_Actuals!H1095</f>
        <v>0</v>
      </c>
      <c r="G757" s="6" t="str">
        <f aca="false">IF(ABS(F757)&lt;=H757,"PASS","FAIL")</f>
        <v>PASS</v>
      </c>
      <c r="H757" s="6" t="n">
        <v>0.5</v>
      </c>
      <c r="I757" s="6"/>
    </row>
    <row r="758" customFormat="false" ht="15" hidden="false" customHeight="false" outlineLevel="0" collapsed="false">
      <c r="A758" s="6" t="s">
        <v>14099</v>
      </c>
      <c r="B758" s="6" t="s">
        <v>13294</v>
      </c>
      <c r="C758" s="6" t="s">
        <v>14100</v>
      </c>
      <c r="D758" s="6" t="s">
        <v>241</v>
      </c>
      <c r="E758" s="6" t="s">
        <v>14101</v>
      </c>
      <c r="F758" s="20" t="n">
        <f aca="false">Quarterly_Actuals!H1155+Quarterly_Actuals!H1156-Quarterly_Actuals!H1157</f>
        <v>0</v>
      </c>
      <c r="G758" s="6" t="str">
        <f aca="false">IF(ABS(F758)&lt;=H758,"PASS","FAIL")</f>
        <v>PASS</v>
      </c>
      <c r="H758" s="6" t="n">
        <v>0.5</v>
      </c>
      <c r="I758" s="6"/>
    </row>
    <row r="759" customFormat="false" ht="15" hidden="false" customHeight="false" outlineLevel="0" collapsed="false">
      <c r="A759" s="6" t="s">
        <v>14102</v>
      </c>
      <c r="B759" s="6" t="s">
        <v>13294</v>
      </c>
      <c r="C759" s="6" t="s">
        <v>14103</v>
      </c>
      <c r="D759" s="6" t="s">
        <v>469</v>
      </c>
      <c r="E759" s="6" t="s">
        <v>14104</v>
      </c>
      <c r="F759" s="20" t="n">
        <f aca="false">Quarterly_Actuals!H1155+Quarterly_Actuals!H1156+Quarterly_Actuals!H1158-Quarterly_Actuals!H1159</f>
        <v>0</v>
      </c>
      <c r="G759" s="6" t="str">
        <f aca="false">IF(ABS(F759)&lt;=H759,"PASS","FAIL")</f>
        <v>PASS</v>
      </c>
      <c r="H759" s="6" t="n">
        <v>0.5</v>
      </c>
      <c r="I759" s="6"/>
    </row>
    <row r="760" customFormat="false" ht="15" hidden="false" customHeight="false" outlineLevel="0" collapsed="false">
      <c r="A760" s="6" t="s">
        <v>14105</v>
      </c>
      <c r="B760" s="6" t="s">
        <v>13294</v>
      </c>
      <c r="C760" s="6" t="s">
        <v>14106</v>
      </c>
      <c r="D760" s="6" t="s">
        <v>13917</v>
      </c>
      <c r="E760" s="6" t="s">
        <v>14107</v>
      </c>
      <c r="F760" s="20" t="n">
        <f aca="false">Quarterly_Actuals!H1155+Quarterly_Actuals!H1156+Quarterly_Actuals!H1158+Quarterly_Actuals!H1160-Quarterly_Actuals!H1161</f>
        <v>16</v>
      </c>
      <c r="G760" s="6" t="str">
        <f aca="false">IF(ABS(F760)&lt;=H760,"PASS","FAIL")</f>
        <v>FAIL</v>
      </c>
      <c r="H760" s="6" t="n">
        <v>0.5</v>
      </c>
      <c r="I760" s="6" t="s">
        <v>14108</v>
      </c>
    </row>
    <row r="761" customFormat="false" ht="15" hidden="false" customHeight="false" outlineLevel="0" collapsed="false">
      <c r="A761" s="6" t="s">
        <v>14109</v>
      </c>
      <c r="B761" s="6" t="s">
        <v>13294</v>
      </c>
      <c r="C761" s="6" t="s">
        <v>14110</v>
      </c>
      <c r="D761" s="6" t="s">
        <v>255</v>
      </c>
      <c r="E761" s="6" t="s">
        <v>14111</v>
      </c>
      <c r="F761" s="20" t="n">
        <f aca="false">Quarterly_Actuals!H30+Quarterly_Actuals!H31-Quarterly_Actuals!H32</f>
        <v>0</v>
      </c>
      <c r="G761" s="6" t="str">
        <f aca="false">IF(ABS(F761)&lt;=H761,"PASS","FAIL")</f>
        <v>PASS</v>
      </c>
      <c r="H761" s="6" t="n">
        <v>0.5</v>
      </c>
      <c r="I761" s="6"/>
    </row>
    <row r="762" customFormat="false" ht="15" hidden="false" customHeight="false" outlineLevel="0" collapsed="false">
      <c r="A762" s="6" t="s">
        <v>14112</v>
      </c>
      <c r="B762" s="6" t="s">
        <v>13294</v>
      </c>
      <c r="C762" s="6" t="s">
        <v>14113</v>
      </c>
      <c r="D762" s="6" t="s">
        <v>491</v>
      </c>
      <c r="E762" s="6" t="s">
        <v>14114</v>
      </c>
      <c r="F762" s="20" t="n">
        <f aca="false">Quarterly_Actuals!H30+Quarterly_Actuals!H31+Quarterly_Actuals!H33-Quarterly_Actuals!H34</f>
        <v>0</v>
      </c>
      <c r="G762" s="6" t="str">
        <f aca="false">IF(ABS(F762)&lt;=H762,"PASS","FAIL")</f>
        <v>PASS</v>
      </c>
      <c r="H762" s="6" t="n">
        <v>0.5</v>
      </c>
      <c r="I762" s="6"/>
    </row>
    <row r="763" customFormat="false" ht="15" hidden="false" customHeight="false" outlineLevel="0" collapsed="false">
      <c r="A763" s="6" t="s">
        <v>14115</v>
      </c>
      <c r="B763" s="6" t="s">
        <v>13294</v>
      </c>
      <c r="C763" s="6" t="s">
        <v>14116</v>
      </c>
      <c r="D763" s="6" t="s">
        <v>14117</v>
      </c>
      <c r="E763" s="6" t="s">
        <v>14118</v>
      </c>
      <c r="F763" s="20" t="n">
        <f aca="false">Quarterly_Actuals!H30+Quarterly_Actuals!H31+Quarterly_Actuals!H33+Quarterly_Actuals!H35-Quarterly_Actuals!H36</f>
        <v>0</v>
      </c>
      <c r="G763" s="6" t="str">
        <f aca="false">IF(ABS(F763)&lt;=H763,"PASS","FAIL")</f>
        <v>PASS</v>
      </c>
      <c r="H763" s="6" t="n">
        <v>0.5</v>
      </c>
      <c r="I763" s="6"/>
    </row>
    <row r="764" customFormat="false" ht="15" hidden="false" customHeight="false" outlineLevel="0" collapsed="false">
      <c r="A764" s="6" t="s">
        <v>14119</v>
      </c>
      <c r="B764" s="6" t="s">
        <v>13294</v>
      </c>
      <c r="C764" s="6" t="s">
        <v>14120</v>
      </c>
      <c r="D764" s="6" t="s">
        <v>255</v>
      </c>
      <c r="E764" s="6" t="s">
        <v>14121</v>
      </c>
      <c r="F764" s="20" t="n">
        <f aca="false">Quarterly_Actuals!H68+Quarterly_Actuals!H69-Quarterly_Actuals!H70</f>
        <v>0</v>
      </c>
      <c r="G764" s="6" t="str">
        <f aca="false">IF(ABS(F764)&lt;=H764,"PASS","FAIL")</f>
        <v>PASS</v>
      </c>
      <c r="H764" s="6" t="n">
        <v>0.5</v>
      </c>
      <c r="I764" s="6"/>
    </row>
    <row r="765" customFormat="false" ht="15" hidden="false" customHeight="false" outlineLevel="0" collapsed="false">
      <c r="A765" s="6" t="s">
        <v>14122</v>
      </c>
      <c r="B765" s="6" t="s">
        <v>13294</v>
      </c>
      <c r="C765" s="6" t="s">
        <v>14123</v>
      </c>
      <c r="D765" s="6" t="s">
        <v>491</v>
      </c>
      <c r="E765" s="6" t="s">
        <v>14124</v>
      </c>
      <c r="F765" s="20" t="n">
        <f aca="false">Quarterly_Actuals!H68+Quarterly_Actuals!H69+Quarterly_Actuals!H71-Quarterly_Actuals!H72</f>
        <v>0</v>
      </c>
      <c r="G765" s="6" t="str">
        <f aca="false">IF(ABS(F765)&lt;=H765,"PASS","FAIL")</f>
        <v>PASS</v>
      </c>
      <c r="H765" s="6" t="n">
        <v>0.5</v>
      </c>
      <c r="I765" s="6"/>
    </row>
    <row r="766" customFormat="false" ht="15" hidden="false" customHeight="false" outlineLevel="0" collapsed="false">
      <c r="A766" s="6" t="s">
        <v>14125</v>
      </c>
      <c r="B766" s="6" t="s">
        <v>13294</v>
      </c>
      <c r="C766" s="6" t="s">
        <v>14126</v>
      </c>
      <c r="D766" s="6" t="s">
        <v>14117</v>
      </c>
      <c r="E766" s="6" t="s">
        <v>14127</v>
      </c>
      <c r="F766" s="20" t="n">
        <f aca="false">Quarterly_Actuals!H68+Quarterly_Actuals!H69+Quarterly_Actuals!H71+Quarterly_Actuals!H73-Quarterly_Actuals!H74</f>
        <v>0</v>
      </c>
      <c r="G766" s="6" t="str">
        <f aca="false">IF(ABS(F766)&lt;=H766,"PASS","FAIL")</f>
        <v>PASS</v>
      </c>
      <c r="H766" s="6" t="n">
        <v>0.5</v>
      </c>
      <c r="I766" s="6"/>
    </row>
    <row r="767" customFormat="false" ht="15" hidden="false" customHeight="false" outlineLevel="0" collapsed="false">
      <c r="A767" s="6" t="s">
        <v>14128</v>
      </c>
      <c r="B767" s="6" t="s">
        <v>13294</v>
      </c>
      <c r="C767" s="6" t="s">
        <v>14129</v>
      </c>
      <c r="D767" s="6" t="s">
        <v>255</v>
      </c>
      <c r="E767" s="6" t="s">
        <v>14130</v>
      </c>
      <c r="F767" s="20" t="n">
        <f aca="false">Quarterly_Actuals!H106+Quarterly_Actuals!H107-Quarterly_Actuals!H108</f>
        <v>0</v>
      </c>
      <c r="G767" s="6" t="str">
        <f aca="false">IF(ABS(F767)&lt;=H767,"PASS","FAIL")</f>
        <v>PASS</v>
      </c>
      <c r="H767" s="6" t="n">
        <v>0.5</v>
      </c>
      <c r="I767" s="6"/>
    </row>
    <row r="768" customFormat="false" ht="15" hidden="false" customHeight="false" outlineLevel="0" collapsed="false">
      <c r="A768" s="6" t="s">
        <v>14131</v>
      </c>
      <c r="B768" s="6" t="s">
        <v>13294</v>
      </c>
      <c r="C768" s="6" t="s">
        <v>14132</v>
      </c>
      <c r="D768" s="6" t="s">
        <v>491</v>
      </c>
      <c r="E768" s="6" t="s">
        <v>14133</v>
      </c>
      <c r="F768" s="20" t="n">
        <f aca="false">Quarterly_Actuals!H106+Quarterly_Actuals!H107+Quarterly_Actuals!H109-Quarterly_Actuals!H110</f>
        <v>0</v>
      </c>
      <c r="G768" s="6" t="str">
        <f aca="false">IF(ABS(F768)&lt;=H768,"PASS","FAIL")</f>
        <v>PASS</v>
      </c>
      <c r="H768" s="6" t="n">
        <v>0.5</v>
      </c>
      <c r="I768" s="6"/>
    </row>
    <row r="769" customFormat="false" ht="15" hidden="false" customHeight="false" outlineLevel="0" collapsed="false">
      <c r="A769" s="6" t="s">
        <v>14134</v>
      </c>
      <c r="B769" s="6" t="s">
        <v>13294</v>
      </c>
      <c r="C769" s="6" t="s">
        <v>14135</v>
      </c>
      <c r="D769" s="6" t="s">
        <v>14117</v>
      </c>
      <c r="E769" s="6" t="s">
        <v>14136</v>
      </c>
      <c r="F769" s="20" t="n">
        <f aca="false">Quarterly_Actuals!H106+Quarterly_Actuals!H107+Quarterly_Actuals!H109+Quarterly_Actuals!H111-Quarterly_Actuals!H112</f>
        <v>0</v>
      </c>
      <c r="G769" s="6" t="str">
        <f aca="false">IF(ABS(F769)&lt;=H769,"PASS","FAIL")</f>
        <v>PASS</v>
      </c>
      <c r="H769" s="6" t="n">
        <v>0.5</v>
      </c>
      <c r="I769" s="6"/>
    </row>
    <row r="770" customFormat="false" ht="15" hidden="false" customHeight="false" outlineLevel="0" collapsed="false">
      <c r="A770" s="6" t="s">
        <v>14137</v>
      </c>
      <c r="B770" s="6" t="s">
        <v>13294</v>
      </c>
      <c r="C770" s="6" t="s">
        <v>14138</v>
      </c>
      <c r="D770" s="6" t="s">
        <v>255</v>
      </c>
      <c r="E770" s="6" t="s">
        <v>14139</v>
      </c>
      <c r="F770" s="20" t="n">
        <f aca="false">Quarterly_Actuals!H182+Quarterly_Actuals!H183-Quarterly_Actuals!H184</f>
        <v>0</v>
      </c>
      <c r="G770" s="6" t="str">
        <f aca="false">IF(ABS(F770)&lt;=H770,"PASS","FAIL")</f>
        <v>PASS</v>
      </c>
      <c r="H770" s="6" t="n">
        <v>0.5</v>
      </c>
      <c r="I770" s="6"/>
    </row>
    <row r="771" customFormat="false" ht="15" hidden="false" customHeight="false" outlineLevel="0" collapsed="false">
      <c r="A771" s="6" t="s">
        <v>14140</v>
      </c>
      <c r="B771" s="6" t="s">
        <v>13294</v>
      </c>
      <c r="C771" s="6" t="s">
        <v>14141</v>
      </c>
      <c r="D771" s="6" t="s">
        <v>491</v>
      </c>
      <c r="E771" s="6" t="s">
        <v>14142</v>
      </c>
      <c r="F771" s="20" t="n">
        <f aca="false">Quarterly_Actuals!H182+Quarterly_Actuals!H183+Quarterly_Actuals!H185-Quarterly_Actuals!H186</f>
        <v>0</v>
      </c>
      <c r="G771" s="6" t="str">
        <f aca="false">IF(ABS(F771)&lt;=H771,"PASS","FAIL")</f>
        <v>PASS</v>
      </c>
      <c r="H771" s="6" t="n">
        <v>0.5</v>
      </c>
      <c r="I771" s="6"/>
    </row>
    <row r="772" customFormat="false" ht="15" hidden="false" customHeight="false" outlineLevel="0" collapsed="false">
      <c r="A772" s="6" t="s">
        <v>14143</v>
      </c>
      <c r="B772" s="6" t="s">
        <v>13294</v>
      </c>
      <c r="C772" s="6" t="s">
        <v>14144</v>
      </c>
      <c r="D772" s="6" t="s">
        <v>14117</v>
      </c>
      <c r="E772" s="6" t="s">
        <v>14145</v>
      </c>
      <c r="F772" s="20" t="n">
        <f aca="false">Quarterly_Actuals!H182+Quarterly_Actuals!H183+Quarterly_Actuals!H185+Quarterly_Actuals!H187-Quarterly_Actuals!H188</f>
        <v>0</v>
      </c>
      <c r="G772" s="6" t="str">
        <f aca="false">IF(ABS(F772)&lt;=H772,"PASS","FAIL")</f>
        <v>PASS</v>
      </c>
      <c r="H772" s="6" t="n">
        <v>0.5</v>
      </c>
      <c r="I772" s="6"/>
    </row>
    <row r="773" customFormat="false" ht="15" hidden="false" customHeight="false" outlineLevel="0" collapsed="false">
      <c r="A773" s="6" t="s">
        <v>14146</v>
      </c>
      <c r="B773" s="6" t="s">
        <v>13294</v>
      </c>
      <c r="C773" s="6" t="s">
        <v>14147</v>
      </c>
      <c r="D773" s="6" t="s">
        <v>255</v>
      </c>
      <c r="E773" s="6" t="s">
        <v>14148</v>
      </c>
      <c r="F773" s="20" t="n">
        <f aca="false">Quarterly_Actuals!H220+Quarterly_Actuals!H221-Quarterly_Actuals!H222</f>
        <v>0</v>
      </c>
      <c r="G773" s="6" t="str">
        <f aca="false">IF(ABS(F773)&lt;=H773,"PASS","FAIL")</f>
        <v>PASS</v>
      </c>
      <c r="H773" s="6" t="n">
        <v>0.5</v>
      </c>
      <c r="I773" s="6"/>
    </row>
    <row r="774" customFormat="false" ht="15" hidden="false" customHeight="false" outlineLevel="0" collapsed="false">
      <c r="A774" s="6" t="s">
        <v>14149</v>
      </c>
      <c r="B774" s="6" t="s">
        <v>13294</v>
      </c>
      <c r="C774" s="6" t="s">
        <v>14150</v>
      </c>
      <c r="D774" s="6" t="s">
        <v>491</v>
      </c>
      <c r="E774" s="6" t="s">
        <v>14151</v>
      </c>
      <c r="F774" s="20" t="n">
        <f aca="false">Quarterly_Actuals!H220+Quarterly_Actuals!H221+Quarterly_Actuals!H223-Quarterly_Actuals!H224</f>
        <v>0</v>
      </c>
      <c r="G774" s="6" t="str">
        <f aca="false">IF(ABS(F774)&lt;=H774,"PASS","FAIL")</f>
        <v>PASS</v>
      </c>
      <c r="H774" s="6" t="n">
        <v>0.5</v>
      </c>
      <c r="I774" s="6"/>
    </row>
    <row r="775" customFormat="false" ht="15" hidden="false" customHeight="false" outlineLevel="0" collapsed="false">
      <c r="A775" s="6" t="s">
        <v>14152</v>
      </c>
      <c r="B775" s="6" t="s">
        <v>13294</v>
      </c>
      <c r="C775" s="6" t="s">
        <v>14153</v>
      </c>
      <c r="D775" s="6" t="s">
        <v>14117</v>
      </c>
      <c r="E775" s="6" t="s">
        <v>14154</v>
      </c>
      <c r="F775" s="20" t="n">
        <f aca="false">Quarterly_Actuals!H220+Quarterly_Actuals!H221+Quarterly_Actuals!H223+Quarterly_Actuals!H225-Quarterly_Actuals!H226</f>
        <v>0</v>
      </c>
      <c r="G775" s="6" t="str">
        <f aca="false">IF(ABS(F775)&lt;=H775,"PASS","FAIL")</f>
        <v>PASS</v>
      </c>
      <c r="H775" s="6" t="n">
        <v>0.5</v>
      </c>
      <c r="I775" s="6"/>
    </row>
    <row r="776" customFormat="false" ht="15" hidden="false" customHeight="false" outlineLevel="0" collapsed="false">
      <c r="A776" s="6" t="s">
        <v>14155</v>
      </c>
      <c r="B776" s="6" t="s">
        <v>13294</v>
      </c>
      <c r="C776" s="6" t="s">
        <v>14156</v>
      </c>
      <c r="D776" s="6" t="s">
        <v>255</v>
      </c>
      <c r="E776" s="6" t="s">
        <v>14157</v>
      </c>
      <c r="F776" s="20" t="n">
        <f aca="false">Quarterly_Actuals!H258+Quarterly_Actuals!H259-Quarterly_Actuals!H260</f>
        <v>0</v>
      </c>
      <c r="G776" s="6" t="str">
        <f aca="false">IF(ABS(F776)&lt;=H776,"PASS","FAIL")</f>
        <v>PASS</v>
      </c>
      <c r="H776" s="6" t="n">
        <v>0.5</v>
      </c>
      <c r="I776" s="6"/>
    </row>
    <row r="777" customFormat="false" ht="15" hidden="false" customHeight="false" outlineLevel="0" collapsed="false">
      <c r="A777" s="6" t="s">
        <v>14158</v>
      </c>
      <c r="B777" s="6" t="s">
        <v>13294</v>
      </c>
      <c r="C777" s="6" t="s">
        <v>14159</v>
      </c>
      <c r="D777" s="6" t="s">
        <v>491</v>
      </c>
      <c r="E777" s="6" t="s">
        <v>14160</v>
      </c>
      <c r="F777" s="20" t="n">
        <f aca="false">Quarterly_Actuals!H258+Quarterly_Actuals!H259+Quarterly_Actuals!H261-Quarterly_Actuals!H262</f>
        <v>0</v>
      </c>
      <c r="G777" s="6" t="str">
        <f aca="false">IF(ABS(F777)&lt;=H777,"PASS","FAIL")</f>
        <v>PASS</v>
      </c>
      <c r="H777" s="6" t="n">
        <v>0.5</v>
      </c>
      <c r="I777" s="6"/>
    </row>
    <row r="778" customFormat="false" ht="15" hidden="false" customHeight="false" outlineLevel="0" collapsed="false">
      <c r="A778" s="6" t="s">
        <v>14161</v>
      </c>
      <c r="B778" s="6" t="s">
        <v>13294</v>
      </c>
      <c r="C778" s="6" t="s">
        <v>14162</v>
      </c>
      <c r="D778" s="6" t="s">
        <v>14117</v>
      </c>
      <c r="E778" s="6" t="s">
        <v>14163</v>
      </c>
      <c r="F778" s="20" t="n">
        <f aca="false">Quarterly_Actuals!H258+Quarterly_Actuals!H259+Quarterly_Actuals!H261+Quarterly_Actuals!H263-Quarterly_Actuals!H264</f>
        <v>0</v>
      </c>
      <c r="G778" s="6" t="str">
        <f aca="false">IF(ABS(F778)&lt;=H778,"PASS","FAIL")</f>
        <v>PASS</v>
      </c>
      <c r="H778" s="6" t="n">
        <v>0.5</v>
      </c>
      <c r="I778" s="6"/>
    </row>
    <row r="779" customFormat="false" ht="15" hidden="false" customHeight="false" outlineLevel="0" collapsed="false">
      <c r="A779" s="6" t="s">
        <v>14164</v>
      </c>
      <c r="B779" s="6" t="s">
        <v>13294</v>
      </c>
      <c r="C779" s="6" t="s">
        <v>14165</v>
      </c>
      <c r="D779" s="6" t="s">
        <v>255</v>
      </c>
      <c r="E779" s="6" t="s">
        <v>14166</v>
      </c>
      <c r="F779" s="20" t="n">
        <f aca="false">Quarterly_Actuals!H298+Quarterly_Actuals!H299-Quarterly_Actuals!H300</f>
        <v>0</v>
      </c>
      <c r="G779" s="6" t="str">
        <f aca="false">IF(ABS(F779)&lt;=H779,"PASS","FAIL")</f>
        <v>PASS</v>
      </c>
      <c r="H779" s="6" t="n">
        <v>0.5</v>
      </c>
      <c r="I779" s="6"/>
    </row>
    <row r="780" customFormat="false" ht="15" hidden="false" customHeight="false" outlineLevel="0" collapsed="false">
      <c r="A780" s="6" t="s">
        <v>14167</v>
      </c>
      <c r="B780" s="6" t="s">
        <v>13294</v>
      </c>
      <c r="C780" s="6" t="s">
        <v>14168</v>
      </c>
      <c r="D780" s="6" t="s">
        <v>491</v>
      </c>
      <c r="E780" s="6" t="s">
        <v>14169</v>
      </c>
      <c r="F780" s="20" t="n">
        <f aca="false">Quarterly_Actuals!H298+Quarterly_Actuals!H299+Quarterly_Actuals!H301-Quarterly_Actuals!H302</f>
        <v>0</v>
      </c>
      <c r="G780" s="6" t="str">
        <f aca="false">IF(ABS(F780)&lt;=H780,"PASS","FAIL")</f>
        <v>PASS</v>
      </c>
      <c r="H780" s="6" t="n">
        <v>0.5</v>
      </c>
      <c r="I780" s="6"/>
    </row>
    <row r="781" customFormat="false" ht="15" hidden="false" customHeight="false" outlineLevel="0" collapsed="false">
      <c r="A781" s="6" t="s">
        <v>14170</v>
      </c>
      <c r="B781" s="6" t="s">
        <v>13294</v>
      </c>
      <c r="C781" s="6" t="s">
        <v>14171</v>
      </c>
      <c r="D781" s="6" t="s">
        <v>14117</v>
      </c>
      <c r="E781" s="6" t="s">
        <v>14172</v>
      </c>
      <c r="F781" s="20" t="n">
        <f aca="false">Quarterly_Actuals!H298+Quarterly_Actuals!H299+Quarterly_Actuals!H301+Quarterly_Actuals!H303-Quarterly_Actuals!H304</f>
        <v>0</v>
      </c>
      <c r="G781" s="6" t="str">
        <f aca="false">IF(ABS(F781)&lt;=H781,"PASS","FAIL")</f>
        <v>PASS</v>
      </c>
      <c r="H781" s="6" t="n">
        <v>0.5</v>
      </c>
      <c r="I781" s="6"/>
    </row>
    <row r="782" customFormat="false" ht="15" hidden="false" customHeight="false" outlineLevel="0" collapsed="false">
      <c r="A782" s="6" t="s">
        <v>14173</v>
      </c>
      <c r="B782" s="6" t="s">
        <v>13294</v>
      </c>
      <c r="C782" s="6" t="s">
        <v>14174</v>
      </c>
      <c r="D782" s="6" t="s">
        <v>255</v>
      </c>
      <c r="E782" s="6" t="s">
        <v>14175</v>
      </c>
      <c r="F782" s="20" t="n">
        <f aca="false">Quarterly_Actuals!H336+Quarterly_Actuals!H337-Quarterly_Actuals!H338</f>
        <v>0</v>
      </c>
      <c r="G782" s="6" t="str">
        <f aca="false">IF(ABS(F782)&lt;=H782,"PASS","FAIL")</f>
        <v>PASS</v>
      </c>
      <c r="H782" s="6" t="n">
        <v>0.5</v>
      </c>
      <c r="I782" s="6"/>
    </row>
    <row r="783" customFormat="false" ht="15" hidden="false" customHeight="false" outlineLevel="0" collapsed="false">
      <c r="A783" s="6" t="s">
        <v>14176</v>
      </c>
      <c r="B783" s="6" t="s">
        <v>13294</v>
      </c>
      <c r="C783" s="6" t="s">
        <v>14177</v>
      </c>
      <c r="D783" s="6" t="s">
        <v>491</v>
      </c>
      <c r="E783" s="6" t="s">
        <v>14178</v>
      </c>
      <c r="F783" s="20" t="n">
        <f aca="false">Quarterly_Actuals!H336+Quarterly_Actuals!H337+Quarterly_Actuals!H339-Quarterly_Actuals!H340</f>
        <v>0</v>
      </c>
      <c r="G783" s="6" t="str">
        <f aca="false">IF(ABS(F783)&lt;=H783,"PASS","FAIL")</f>
        <v>PASS</v>
      </c>
      <c r="H783" s="6" t="n">
        <v>0.5</v>
      </c>
      <c r="I783" s="6"/>
    </row>
    <row r="784" customFormat="false" ht="15" hidden="false" customHeight="false" outlineLevel="0" collapsed="false">
      <c r="A784" s="6" t="s">
        <v>14179</v>
      </c>
      <c r="B784" s="6" t="s">
        <v>13294</v>
      </c>
      <c r="C784" s="6" t="s">
        <v>14180</v>
      </c>
      <c r="D784" s="6" t="s">
        <v>14117</v>
      </c>
      <c r="E784" s="6" t="s">
        <v>14181</v>
      </c>
      <c r="F784" s="20" t="n">
        <f aca="false">Quarterly_Actuals!H336+Quarterly_Actuals!H337+Quarterly_Actuals!H339+Quarterly_Actuals!H341-Quarterly_Actuals!H342</f>
        <v>0</v>
      </c>
      <c r="G784" s="6" t="str">
        <f aca="false">IF(ABS(F784)&lt;=H784,"PASS","FAIL")</f>
        <v>PASS</v>
      </c>
      <c r="H784" s="6" t="n">
        <v>0.5</v>
      </c>
      <c r="I784" s="6"/>
    </row>
    <row r="785" customFormat="false" ht="15" hidden="false" customHeight="false" outlineLevel="0" collapsed="false">
      <c r="A785" s="6" t="s">
        <v>14182</v>
      </c>
      <c r="B785" s="6" t="s">
        <v>13294</v>
      </c>
      <c r="C785" s="6" t="s">
        <v>14183</v>
      </c>
      <c r="D785" s="6" t="s">
        <v>255</v>
      </c>
      <c r="E785" s="6" t="s">
        <v>14184</v>
      </c>
      <c r="F785" s="20" t="n">
        <f aca="false">Quarterly_Actuals!H412+Quarterly_Actuals!H413-Quarterly_Actuals!H414</f>
        <v>0</v>
      </c>
      <c r="G785" s="6" t="str">
        <f aca="false">IF(ABS(F785)&lt;=H785,"PASS","FAIL")</f>
        <v>PASS</v>
      </c>
      <c r="H785" s="6" t="n">
        <v>0.5</v>
      </c>
      <c r="I785" s="6"/>
    </row>
    <row r="786" customFormat="false" ht="15" hidden="false" customHeight="false" outlineLevel="0" collapsed="false">
      <c r="A786" s="6" t="s">
        <v>14185</v>
      </c>
      <c r="B786" s="6" t="s">
        <v>13294</v>
      </c>
      <c r="C786" s="6" t="s">
        <v>14186</v>
      </c>
      <c r="D786" s="6" t="s">
        <v>491</v>
      </c>
      <c r="E786" s="6" t="s">
        <v>14187</v>
      </c>
      <c r="F786" s="20" t="n">
        <f aca="false">Quarterly_Actuals!H412+Quarterly_Actuals!H413+Quarterly_Actuals!H415-Quarterly_Actuals!H416</f>
        <v>0</v>
      </c>
      <c r="G786" s="6" t="str">
        <f aca="false">IF(ABS(F786)&lt;=H786,"PASS","FAIL")</f>
        <v>PASS</v>
      </c>
      <c r="H786" s="6" t="n">
        <v>0.5</v>
      </c>
      <c r="I786" s="6"/>
    </row>
    <row r="787" customFormat="false" ht="15" hidden="false" customHeight="false" outlineLevel="0" collapsed="false">
      <c r="A787" s="6" t="s">
        <v>14188</v>
      </c>
      <c r="B787" s="6" t="s">
        <v>13294</v>
      </c>
      <c r="C787" s="6" t="s">
        <v>14189</v>
      </c>
      <c r="D787" s="6" t="s">
        <v>14117</v>
      </c>
      <c r="E787" s="6" t="s">
        <v>14190</v>
      </c>
      <c r="F787" s="20" t="n">
        <f aca="false">Quarterly_Actuals!H412+Quarterly_Actuals!H413+Quarterly_Actuals!H415+Quarterly_Actuals!H417-Quarterly_Actuals!H418</f>
        <v>0</v>
      </c>
      <c r="G787" s="6" t="str">
        <f aca="false">IF(ABS(F787)&lt;=H787,"PASS","FAIL")</f>
        <v>PASS</v>
      </c>
      <c r="H787" s="6" t="n">
        <v>0.5</v>
      </c>
      <c r="I787" s="6"/>
    </row>
    <row r="788" customFormat="false" ht="15" hidden="false" customHeight="false" outlineLevel="0" collapsed="false">
      <c r="A788" s="6" t="s">
        <v>14191</v>
      </c>
      <c r="B788" s="6" t="s">
        <v>13294</v>
      </c>
      <c r="C788" s="6" t="s">
        <v>14192</v>
      </c>
      <c r="D788" s="6" t="s">
        <v>255</v>
      </c>
      <c r="E788" s="6" t="s">
        <v>14193</v>
      </c>
      <c r="F788" s="20" t="n">
        <f aca="false">Quarterly_Actuals!H504+Quarterly_Actuals!H505-Quarterly_Actuals!H506</f>
        <v>0</v>
      </c>
      <c r="G788" s="6" t="str">
        <f aca="false">IF(ABS(F788)&lt;=H788,"PASS","FAIL")</f>
        <v>PASS</v>
      </c>
      <c r="H788" s="6" t="n">
        <v>0.5</v>
      </c>
      <c r="I788" s="6"/>
    </row>
    <row r="789" customFormat="false" ht="15" hidden="false" customHeight="false" outlineLevel="0" collapsed="false">
      <c r="A789" s="6" t="s">
        <v>14194</v>
      </c>
      <c r="B789" s="6" t="s">
        <v>13294</v>
      </c>
      <c r="C789" s="6" t="s">
        <v>14195</v>
      </c>
      <c r="D789" s="6" t="s">
        <v>491</v>
      </c>
      <c r="E789" s="6" t="s">
        <v>14196</v>
      </c>
      <c r="F789" s="20" t="n">
        <f aca="false">Quarterly_Actuals!H504+Quarterly_Actuals!H505+Quarterly_Actuals!H507-Quarterly_Actuals!H508</f>
        <v>0</v>
      </c>
      <c r="G789" s="6" t="str">
        <f aca="false">IF(ABS(F789)&lt;=H789,"PASS","FAIL")</f>
        <v>PASS</v>
      </c>
      <c r="H789" s="6" t="n">
        <v>0.5</v>
      </c>
      <c r="I789" s="6"/>
    </row>
    <row r="790" customFormat="false" ht="15" hidden="false" customHeight="false" outlineLevel="0" collapsed="false">
      <c r="A790" s="6" t="s">
        <v>14197</v>
      </c>
      <c r="B790" s="6" t="s">
        <v>13294</v>
      </c>
      <c r="C790" s="6" t="s">
        <v>14198</v>
      </c>
      <c r="D790" s="6" t="s">
        <v>14117</v>
      </c>
      <c r="E790" s="6" t="s">
        <v>14199</v>
      </c>
      <c r="F790" s="20" t="n">
        <f aca="false">Quarterly_Actuals!H504+Quarterly_Actuals!H505+Quarterly_Actuals!H507+Quarterly_Actuals!H509-Quarterly_Actuals!H510</f>
        <v>0</v>
      </c>
      <c r="G790" s="6" t="str">
        <f aca="false">IF(ABS(F790)&lt;=H790,"PASS","FAIL")</f>
        <v>PASS</v>
      </c>
      <c r="H790" s="6" t="n">
        <v>0.5</v>
      </c>
      <c r="I790" s="6"/>
    </row>
    <row r="791" customFormat="false" ht="15" hidden="false" customHeight="false" outlineLevel="0" collapsed="false">
      <c r="A791" s="6" t="s">
        <v>14200</v>
      </c>
      <c r="B791" s="6" t="s">
        <v>13294</v>
      </c>
      <c r="C791" s="6" t="s">
        <v>14201</v>
      </c>
      <c r="D791" s="6" t="s">
        <v>255</v>
      </c>
      <c r="E791" s="6" t="s">
        <v>14202</v>
      </c>
      <c r="F791" s="20" t="n">
        <f aca="false">Quarterly_Actuals!H580+Quarterly_Actuals!H581-Quarterly_Actuals!H582</f>
        <v>0</v>
      </c>
      <c r="G791" s="6" t="str">
        <f aca="false">IF(ABS(F791)&lt;=H791,"PASS","FAIL")</f>
        <v>PASS</v>
      </c>
      <c r="H791" s="6" t="n">
        <v>0.5</v>
      </c>
      <c r="I791" s="6"/>
    </row>
    <row r="792" customFormat="false" ht="15" hidden="false" customHeight="false" outlineLevel="0" collapsed="false">
      <c r="A792" s="6" t="s">
        <v>14203</v>
      </c>
      <c r="B792" s="6" t="s">
        <v>13294</v>
      </c>
      <c r="C792" s="6" t="s">
        <v>14204</v>
      </c>
      <c r="D792" s="6" t="s">
        <v>491</v>
      </c>
      <c r="E792" s="6" t="s">
        <v>14205</v>
      </c>
      <c r="F792" s="20" t="n">
        <f aca="false">Quarterly_Actuals!H580+Quarterly_Actuals!H581+Quarterly_Actuals!H583-Quarterly_Actuals!H584</f>
        <v>0</v>
      </c>
      <c r="G792" s="6" t="str">
        <f aca="false">IF(ABS(F792)&lt;=H792,"PASS","FAIL")</f>
        <v>PASS</v>
      </c>
      <c r="H792" s="6" t="n">
        <v>0.5</v>
      </c>
      <c r="I792" s="6"/>
    </row>
    <row r="793" customFormat="false" ht="15" hidden="false" customHeight="false" outlineLevel="0" collapsed="false">
      <c r="A793" s="6" t="s">
        <v>14206</v>
      </c>
      <c r="B793" s="6" t="s">
        <v>13294</v>
      </c>
      <c r="C793" s="6" t="s">
        <v>14207</v>
      </c>
      <c r="D793" s="6" t="s">
        <v>14117</v>
      </c>
      <c r="E793" s="6" t="s">
        <v>14208</v>
      </c>
      <c r="F793" s="20" t="n">
        <f aca="false">Quarterly_Actuals!H580+Quarterly_Actuals!H581+Quarterly_Actuals!H583+Quarterly_Actuals!H585-Quarterly_Actuals!H586</f>
        <v>0</v>
      </c>
      <c r="G793" s="6" t="str">
        <f aca="false">IF(ABS(F793)&lt;=H793,"PASS","FAIL")</f>
        <v>PASS</v>
      </c>
      <c r="H793" s="6" t="n">
        <v>0.5</v>
      </c>
      <c r="I793" s="6"/>
    </row>
    <row r="794" customFormat="false" ht="15" hidden="false" customHeight="false" outlineLevel="0" collapsed="false">
      <c r="A794" s="6" t="s">
        <v>14209</v>
      </c>
      <c r="B794" s="6" t="s">
        <v>13294</v>
      </c>
      <c r="C794" s="6" t="s">
        <v>14210</v>
      </c>
      <c r="D794" s="6" t="s">
        <v>255</v>
      </c>
      <c r="E794" s="6" t="s">
        <v>14211</v>
      </c>
      <c r="F794" s="20" t="n">
        <f aca="false">Quarterly_Actuals!H618+Quarterly_Actuals!H619-Quarterly_Actuals!H620</f>
        <v>0</v>
      </c>
      <c r="G794" s="6" t="str">
        <f aca="false">IF(ABS(F794)&lt;=H794,"PASS","FAIL")</f>
        <v>PASS</v>
      </c>
      <c r="H794" s="6" t="n">
        <v>0.5</v>
      </c>
      <c r="I794" s="6"/>
    </row>
    <row r="795" customFormat="false" ht="15" hidden="false" customHeight="false" outlineLevel="0" collapsed="false">
      <c r="A795" s="6" t="s">
        <v>14212</v>
      </c>
      <c r="B795" s="6" t="s">
        <v>13294</v>
      </c>
      <c r="C795" s="6" t="s">
        <v>14213</v>
      </c>
      <c r="D795" s="6" t="s">
        <v>491</v>
      </c>
      <c r="E795" s="6" t="s">
        <v>14214</v>
      </c>
      <c r="F795" s="20" t="n">
        <f aca="false">Quarterly_Actuals!H618+Quarterly_Actuals!H619+Quarterly_Actuals!H621-Quarterly_Actuals!H622</f>
        <v>0</v>
      </c>
      <c r="G795" s="6" t="str">
        <f aca="false">IF(ABS(F795)&lt;=H795,"PASS","FAIL")</f>
        <v>PASS</v>
      </c>
      <c r="H795" s="6" t="n">
        <v>0.5</v>
      </c>
      <c r="I795" s="6"/>
    </row>
    <row r="796" customFormat="false" ht="15" hidden="false" customHeight="false" outlineLevel="0" collapsed="false">
      <c r="A796" s="6" t="s">
        <v>14215</v>
      </c>
      <c r="B796" s="6" t="s">
        <v>13294</v>
      </c>
      <c r="C796" s="6" t="s">
        <v>14216</v>
      </c>
      <c r="D796" s="6" t="s">
        <v>14117</v>
      </c>
      <c r="E796" s="6" t="s">
        <v>14217</v>
      </c>
      <c r="F796" s="20" t="n">
        <f aca="false">Quarterly_Actuals!H618+Quarterly_Actuals!H619+Quarterly_Actuals!H621+Quarterly_Actuals!H623-Quarterly_Actuals!H624</f>
        <v>0</v>
      </c>
      <c r="G796" s="6" t="str">
        <f aca="false">IF(ABS(F796)&lt;=H796,"PASS","FAIL")</f>
        <v>PASS</v>
      </c>
      <c r="H796" s="6" t="n">
        <v>0.5</v>
      </c>
      <c r="I796" s="6"/>
    </row>
    <row r="797" customFormat="false" ht="15" hidden="false" customHeight="false" outlineLevel="0" collapsed="false">
      <c r="A797" s="6" t="s">
        <v>14218</v>
      </c>
      <c r="B797" s="6" t="s">
        <v>13294</v>
      </c>
      <c r="C797" s="6" t="s">
        <v>14219</v>
      </c>
      <c r="D797" s="6" t="s">
        <v>255</v>
      </c>
      <c r="E797" s="6" t="s">
        <v>14220</v>
      </c>
      <c r="F797" s="20" t="n">
        <f aca="false">Quarterly_Actuals!H656+Quarterly_Actuals!H657-Quarterly_Actuals!H658</f>
        <v>0</v>
      </c>
      <c r="G797" s="6" t="str">
        <f aca="false">IF(ABS(F797)&lt;=H797,"PASS","FAIL")</f>
        <v>PASS</v>
      </c>
      <c r="H797" s="6" t="n">
        <v>0.5</v>
      </c>
      <c r="I797" s="6"/>
    </row>
    <row r="798" customFormat="false" ht="15" hidden="false" customHeight="false" outlineLevel="0" collapsed="false">
      <c r="A798" s="6" t="s">
        <v>14221</v>
      </c>
      <c r="B798" s="6" t="s">
        <v>13294</v>
      </c>
      <c r="C798" s="6" t="s">
        <v>14222</v>
      </c>
      <c r="D798" s="6" t="s">
        <v>491</v>
      </c>
      <c r="E798" s="6" t="s">
        <v>14223</v>
      </c>
      <c r="F798" s="20" t="n">
        <f aca="false">Quarterly_Actuals!H656+Quarterly_Actuals!H657+Quarterly_Actuals!H659-Quarterly_Actuals!H660</f>
        <v>0</v>
      </c>
      <c r="G798" s="6" t="str">
        <f aca="false">IF(ABS(F798)&lt;=H798,"PASS","FAIL")</f>
        <v>PASS</v>
      </c>
      <c r="H798" s="6" t="n">
        <v>0.5</v>
      </c>
      <c r="I798" s="6"/>
    </row>
    <row r="799" customFormat="false" ht="15" hidden="false" customHeight="false" outlineLevel="0" collapsed="false">
      <c r="A799" s="6" t="s">
        <v>14224</v>
      </c>
      <c r="B799" s="6" t="s">
        <v>13294</v>
      </c>
      <c r="C799" s="6" t="s">
        <v>14225</v>
      </c>
      <c r="D799" s="6" t="s">
        <v>14117</v>
      </c>
      <c r="E799" s="6" t="s">
        <v>14226</v>
      </c>
      <c r="F799" s="20" t="n">
        <f aca="false">Quarterly_Actuals!H656+Quarterly_Actuals!H657+Quarterly_Actuals!H659+Quarterly_Actuals!H661-Quarterly_Actuals!H662</f>
        <v>0</v>
      </c>
      <c r="G799" s="6" t="str">
        <f aca="false">IF(ABS(F799)&lt;=H799,"PASS","FAIL")</f>
        <v>PASS</v>
      </c>
      <c r="H799" s="6" t="n">
        <v>0.5</v>
      </c>
      <c r="I799" s="6"/>
    </row>
    <row r="800" customFormat="false" ht="15" hidden="false" customHeight="false" outlineLevel="0" collapsed="false">
      <c r="A800" s="6" t="s">
        <v>14227</v>
      </c>
      <c r="B800" s="6" t="s">
        <v>13294</v>
      </c>
      <c r="C800" s="6" t="s">
        <v>14228</v>
      </c>
      <c r="D800" s="6" t="s">
        <v>255</v>
      </c>
      <c r="E800" s="6" t="s">
        <v>14229</v>
      </c>
      <c r="F800" s="20" t="n">
        <f aca="false">Quarterly_Actuals!H694+Quarterly_Actuals!H695-Quarterly_Actuals!H696</f>
        <v>0</v>
      </c>
      <c r="G800" s="6" t="str">
        <f aca="false">IF(ABS(F800)&lt;=H800,"PASS","FAIL")</f>
        <v>PASS</v>
      </c>
      <c r="H800" s="6" t="n">
        <v>0.5</v>
      </c>
      <c r="I800" s="6"/>
    </row>
    <row r="801" customFormat="false" ht="15" hidden="false" customHeight="false" outlineLevel="0" collapsed="false">
      <c r="A801" s="6" t="s">
        <v>14230</v>
      </c>
      <c r="B801" s="6" t="s">
        <v>13294</v>
      </c>
      <c r="C801" s="6" t="s">
        <v>14231</v>
      </c>
      <c r="D801" s="6" t="s">
        <v>491</v>
      </c>
      <c r="E801" s="6" t="s">
        <v>14232</v>
      </c>
      <c r="F801" s="20" t="n">
        <f aca="false">Quarterly_Actuals!H694+Quarterly_Actuals!H695+Quarterly_Actuals!H697-Quarterly_Actuals!H698</f>
        <v>0</v>
      </c>
      <c r="G801" s="6" t="str">
        <f aca="false">IF(ABS(F801)&lt;=H801,"PASS","FAIL")</f>
        <v>PASS</v>
      </c>
      <c r="H801" s="6" t="n">
        <v>0.5</v>
      </c>
      <c r="I801" s="6"/>
    </row>
    <row r="802" customFormat="false" ht="15" hidden="false" customHeight="false" outlineLevel="0" collapsed="false">
      <c r="A802" s="6" t="s">
        <v>14233</v>
      </c>
      <c r="B802" s="6" t="s">
        <v>13294</v>
      </c>
      <c r="C802" s="6" t="s">
        <v>14234</v>
      </c>
      <c r="D802" s="6" t="s">
        <v>14117</v>
      </c>
      <c r="E802" s="6" t="s">
        <v>14235</v>
      </c>
      <c r="F802" s="20" t="n">
        <f aca="false">Quarterly_Actuals!H694+Quarterly_Actuals!H695+Quarterly_Actuals!H697+Quarterly_Actuals!H699-Quarterly_Actuals!H700</f>
        <v>0</v>
      </c>
      <c r="G802" s="6" t="str">
        <f aca="false">IF(ABS(F802)&lt;=H802,"PASS","FAIL")</f>
        <v>PASS</v>
      </c>
      <c r="H802" s="6" t="n">
        <v>0.5</v>
      </c>
      <c r="I802" s="6"/>
    </row>
    <row r="803" customFormat="false" ht="15" hidden="false" customHeight="false" outlineLevel="0" collapsed="false">
      <c r="A803" s="6" t="s">
        <v>14236</v>
      </c>
      <c r="B803" s="6" t="s">
        <v>13294</v>
      </c>
      <c r="C803" s="6" t="s">
        <v>14237</v>
      </c>
      <c r="D803" s="6" t="s">
        <v>255</v>
      </c>
      <c r="E803" s="6" t="s">
        <v>14238</v>
      </c>
      <c r="F803" s="20" t="n">
        <f aca="false">Quarterly_Actuals!H770+Quarterly_Actuals!H771-Quarterly_Actuals!H772</f>
        <v>0</v>
      </c>
      <c r="G803" s="6" t="str">
        <f aca="false">IF(ABS(F803)&lt;=H803,"PASS","FAIL")</f>
        <v>PASS</v>
      </c>
      <c r="H803" s="6" t="n">
        <v>0.5</v>
      </c>
      <c r="I803" s="6"/>
    </row>
    <row r="804" customFormat="false" ht="15" hidden="false" customHeight="false" outlineLevel="0" collapsed="false">
      <c r="A804" s="6" t="s">
        <v>14239</v>
      </c>
      <c r="B804" s="6" t="s">
        <v>13294</v>
      </c>
      <c r="C804" s="6" t="s">
        <v>14240</v>
      </c>
      <c r="D804" s="6" t="s">
        <v>491</v>
      </c>
      <c r="E804" s="6" t="s">
        <v>14241</v>
      </c>
      <c r="F804" s="20" t="n">
        <f aca="false">Quarterly_Actuals!H770+Quarterly_Actuals!H771+Quarterly_Actuals!H773-Quarterly_Actuals!H774</f>
        <v>0</v>
      </c>
      <c r="G804" s="6" t="str">
        <f aca="false">IF(ABS(F804)&lt;=H804,"PASS","FAIL")</f>
        <v>PASS</v>
      </c>
      <c r="H804" s="6" t="n">
        <v>0.5</v>
      </c>
      <c r="I804" s="6"/>
    </row>
    <row r="805" customFormat="false" ht="15" hidden="false" customHeight="false" outlineLevel="0" collapsed="false">
      <c r="A805" s="6" t="s">
        <v>14242</v>
      </c>
      <c r="B805" s="6" t="s">
        <v>13294</v>
      </c>
      <c r="C805" s="6" t="s">
        <v>14243</v>
      </c>
      <c r="D805" s="6" t="s">
        <v>14117</v>
      </c>
      <c r="E805" s="6" t="s">
        <v>14244</v>
      </c>
      <c r="F805" s="20" t="n">
        <f aca="false">Quarterly_Actuals!H770+Quarterly_Actuals!H771+Quarterly_Actuals!H773+Quarterly_Actuals!H775-Quarterly_Actuals!H776</f>
        <v>0</v>
      </c>
      <c r="G805" s="6" t="str">
        <f aca="false">IF(ABS(F805)&lt;=H805,"PASS","FAIL")</f>
        <v>PASS</v>
      </c>
      <c r="H805" s="6" t="n">
        <v>0.5</v>
      </c>
      <c r="I805" s="6"/>
    </row>
    <row r="806" customFormat="false" ht="15" hidden="false" customHeight="false" outlineLevel="0" collapsed="false">
      <c r="A806" s="6" t="s">
        <v>14245</v>
      </c>
      <c r="B806" s="6" t="s">
        <v>13294</v>
      </c>
      <c r="C806" s="6" t="s">
        <v>14246</v>
      </c>
      <c r="D806" s="6" t="s">
        <v>255</v>
      </c>
      <c r="E806" s="6" t="s">
        <v>14247</v>
      </c>
      <c r="F806" s="20" t="n">
        <f aca="false">Quarterly_Actuals!H862+Quarterly_Actuals!H863-Quarterly_Actuals!H864</f>
        <v>0</v>
      </c>
      <c r="G806" s="6" t="str">
        <f aca="false">IF(ABS(F806)&lt;=H806,"PASS","FAIL")</f>
        <v>PASS</v>
      </c>
      <c r="H806" s="6" t="n">
        <v>0.5</v>
      </c>
      <c r="I806" s="6"/>
    </row>
    <row r="807" customFormat="false" ht="15" hidden="false" customHeight="false" outlineLevel="0" collapsed="false">
      <c r="A807" s="6" t="s">
        <v>14248</v>
      </c>
      <c r="B807" s="6" t="s">
        <v>13294</v>
      </c>
      <c r="C807" s="6" t="s">
        <v>14249</v>
      </c>
      <c r="D807" s="6" t="s">
        <v>491</v>
      </c>
      <c r="E807" s="6" t="s">
        <v>14250</v>
      </c>
      <c r="F807" s="20" t="n">
        <f aca="false">Quarterly_Actuals!H862+Quarterly_Actuals!H863+Quarterly_Actuals!H865-Quarterly_Actuals!H866</f>
        <v>0</v>
      </c>
      <c r="G807" s="6" t="str">
        <f aca="false">IF(ABS(F807)&lt;=H807,"PASS","FAIL")</f>
        <v>PASS</v>
      </c>
      <c r="H807" s="6" t="n">
        <v>0.5</v>
      </c>
      <c r="I807" s="6"/>
    </row>
    <row r="808" customFormat="false" ht="15" hidden="false" customHeight="false" outlineLevel="0" collapsed="false">
      <c r="A808" s="6" t="s">
        <v>14251</v>
      </c>
      <c r="B808" s="6" t="s">
        <v>13294</v>
      </c>
      <c r="C808" s="6" t="s">
        <v>14252</v>
      </c>
      <c r="D808" s="6" t="s">
        <v>14117</v>
      </c>
      <c r="E808" s="6" t="s">
        <v>14253</v>
      </c>
      <c r="F808" s="20" t="n">
        <f aca="false">Quarterly_Actuals!H862+Quarterly_Actuals!H863+Quarterly_Actuals!H865+Quarterly_Actuals!H867-Quarterly_Actuals!H868</f>
        <v>0</v>
      </c>
      <c r="G808" s="6" t="str">
        <f aca="false">IF(ABS(F808)&lt;=H808,"PASS","FAIL")</f>
        <v>PASS</v>
      </c>
      <c r="H808" s="6" t="n">
        <v>0.5</v>
      </c>
      <c r="I808" s="6"/>
    </row>
    <row r="809" customFormat="false" ht="15" hidden="false" customHeight="false" outlineLevel="0" collapsed="false">
      <c r="A809" s="6" t="s">
        <v>14254</v>
      </c>
      <c r="B809" s="6" t="s">
        <v>13294</v>
      </c>
      <c r="C809" s="6" t="s">
        <v>14255</v>
      </c>
      <c r="D809" s="6" t="s">
        <v>255</v>
      </c>
      <c r="E809" s="6" t="s">
        <v>14256</v>
      </c>
      <c r="F809" s="20" t="n">
        <f aca="false">Quarterly_Actuals!H900+Quarterly_Actuals!H901-Quarterly_Actuals!H902</f>
        <v>0</v>
      </c>
      <c r="G809" s="6" t="str">
        <f aca="false">IF(ABS(F809)&lt;=H809,"PASS","FAIL")</f>
        <v>PASS</v>
      </c>
      <c r="H809" s="6" t="n">
        <v>0.5</v>
      </c>
      <c r="I809" s="6"/>
    </row>
    <row r="810" customFormat="false" ht="15" hidden="false" customHeight="false" outlineLevel="0" collapsed="false">
      <c r="A810" s="6" t="s">
        <v>14257</v>
      </c>
      <c r="B810" s="6" t="s">
        <v>13294</v>
      </c>
      <c r="C810" s="6" t="s">
        <v>14258</v>
      </c>
      <c r="D810" s="6" t="s">
        <v>491</v>
      </c>
      <c r="E810" s="6" t="s">
        <v>14259</v>
      </c>
      <c r="F810" s="20" t="n">
        <f aca="false">Quarterly_Actuals!H900+Quarterly_Actuals!H901+Quarterly_Actuals!H903-Quarterly_Actuals!H904</f>
        <v>0</v>
      </c>
      <c r="G810" s="6" t="str">
        <f aca="false">IF(ABS(F810)&lt;=H810,"PASS","FAIL")</f>
        <v>PASS</v>
      </c>
      <c r="H810" s="6" t="n">
        <v>0.5</v>
      </c>
      <c r="I810" s="6"/>
    </row>
    <row r="811" customFormat="false" ht="15" hidden="false" customHeight="false" outlineLevel="0" collapsed="false">
      <c r="A811" s="6" t="s">
        <v>14260</v>
      </c>
      <c r="B811" s="6" t="s">
        <v>13294</v>
      </c>
      <c r="C811" s="6" t="s">
        <v>14261</v>
      </c>
      <c r="D811" s="6" t="s">
        <v>14117</v>
      </c>
      <c r="E811" s="6" t="s">
        <v>14262</v>
      </c>
      <c r="F811" s="20" t="n">
        <f aca="false">Quarterly_Actuals!H900+Quarterly_Actuals!H901+Quarterly_Actuals!H903+Quarterly_Actuals!H905-Quarterly_Actuals!H906</f>
        <v>0</v>
      </c>
      <c r="G811" s="6" t="str">
        <f aca="false">IF(ABS(F811)&lt;=H811,"PASS","FAIL")</f>
        <v>PASS</v>
      </c>
      <c r="H811" s="6" t="n">
        <v>0.5</v>
      </c>
      <c r="I811" s="6"/>
    </row>
    <row r="812" customFormat="false" ht="15" hidden="false" customHeight="false" outlineLevel="0" collapsed="false">
      <c r="A812" s="6" t="s">
        <v>14263</v>
      </c>
      <c r="B812" s="6" t="s">
        <v>13294</v>
      </c>
      <c r="C812" s="6" t="s">
        <v>14264</v>
      </c>
      <c r="D812" s="6" t="s">
        <v>255</v>
      </c>
      <c r="E812" s="6" t="s">
        <v>14265</v>
      </c>
      <c r="F812" s="20" t="n">
        <f aca="false">Quarterly_Actuals!H958+Quarterly_Actuals!H959-Quarterly_Actuals!H960</f>
        <v>0</v>
      </c>
      <c r="G812" s="6" t="str">
        <f aca="false">IF(ABS(F812)&lt;=H812,"PASS","FAIL")</f>
        <v>PASS</v>
      </c>
      <c r="H812" s="6" t="n">
        <v>0.5</v>
      </c>
      <c r="I812" s="6"/>
    </row>
    <row r="813" customFormat="false" ht="15" hidden="false" customHeight="false" outlineLevel="0" collapsed="false">
      <c r="A813" s="6" t="s">
        <v>14266</v>
      </c>
      <c r="B813" s="6" t="s">
        <v>13294</v>
      </c>
      <c r="C813" s="6" t="s">
        <v>14267</v>
      </c>
      <c r="D813" s="6" t="s">
        <v>491</v>
      </c>
      <c r="E813" s="6" t="s">
        <v>14268</v>
      </c>
      <c r="F813" s="20" t="n">
        <f aca="false">Quarterly_Actuals!H958+Quarterly_Actuals!H959+Quarterly_Actuals!H961-Quarterly_Actuals!H962</f>
        <v>0</v>
      </c>
      <c r="G813" s="6" t="str">
        <f aca="false">IF(ABS(F813)&lt;=H813,"PASS","FAIL")</f>
        <v>PASS</v>
      </c>
      <c r="H813" s="6" t="n">
        <v>0.5</v>
      </c>
      <c r="I813" s="6"/>
    </row>
    <row r="814" customFormat="false" ht="15" hidden="false" customHeight="false" outlineLevel="0" collapsed="false">
      <c r="A814" s="6" t="s">
        <v>14269</v>
      </c>
      <c r="B814" s="6" t="s">
        <v>13294</v>
      </c>
      <c r="C814" s="6" t="s">
        <v>14270</v>
      </c>
      <c r="D814" s="6" t="s">
        <v>14117</v>
      </c>
      <c r="E814" s="6" t="s">
        <v>14271</v>
      </c>
      <c r="F814" s="20" t="n">
        <f aca="false">Quarterly_Actuals!H958+Quarterly_Actuals!H959+Quarterly_Actuals!H961+Quarterly_Actuals!H963-Quarterly_Actuals!H964</f>
        <v>0</v>
      </c>
      <c r="G814" s="6" t="str">
        <f aca="false">IF(ABS(F814)&lt;=H814,"PASS","FAIL")</f>
        <v>PASS</v>
      </c>
      <c r="H814" s="6" t="n">
        <v>0.5</v>
      </c>
      <c r="I814" s="6"/>
    </row>
    <row r="815" customFormat="false" ht="15" hidden="false" customHeight="false" outlineLevel="0" collapsed="false">
      <c r="A815" s="6" t="s">
        <v>14272</v>
      </c>
      <c r="B815" s="6" t="s">
        <v>13294</v>
      </c>
      <c r="C815" s="6" t="s">
        <v>14273</v>
      </c>
      <c r="D815" s="6" t="s">
        <v>255</v>
      </c>
      <c r="E815" s="6" t="s">
        <v>14274</v>
      </c>
      <c r="F815" s="20" t="n">
        <f aca="false">Quarterly_Actuals!H996+Quarterly_Actuals!H997-Quarterly_Actuals!H998</f>
        <v>0</v>
      </c>
      <c r="G815" s="6" t="str">
        <f aca="false">IF(ABS(F815)&lt;=H815,"PASS","FAIL")</f>
        <v>PASS</v>
      </c>
      <c r="H815" s="6" t="n">
        <v>0.5</v>
      </c>
      <c r="I815" s="6"/>
    </row>
    <row r="816" customFormat="false" ht="15" hidden="false" customHeight="false" outlineLevel="0" collapsed="false">
      <c r="A816" s="6" t="s">
        <v>14275</v>
      </c>
      <c r="B816" s="6" t="s">
        <v>13294</v>
      </c>
      <c r="C816" s="6" t="s">
        <v>14276</v>
      </c>
      <c r="D816" s="6" t="s">
        <v>491</v>
      </c>
      <c r="E816" s="6" t="s">
        <v>14277</v>
      </c>
      <c r="F816" s="20" t="n">
        <f aca="false">Quarterly_Actuals!H996+Quarterly_Actuals!H997+Quarterly_Actuals!H999-Quarterly_Actuals!H1000</f>
        <v>0</v>
      </c>
      <c r="G816" s="6" t="str">
        <f aca="false">IF(ABS(F816)&lt;=H816,"PASS","FAIL")</f>
        <v>PASS</v>
      </c>
      <c r="H816" s="6" t="n">
        <v>0.5</v>
      </c>
      <c r="I816" s="6"/>
    </row>
    <row r="817" customFormat="false" ht="15" hidden="false" customHeight="false" outlineLevel="0" collapsed="false">
      <c r="A817" s="6" t="s">
        <v>14278</v>
      </c>
      <c r="B817" s="6" t="s">
        <v>13294</v>
      </c>
      <c r="C817" s="6" t="s">
        <v>14279</v>
      </c>
      <c r="D817" s="6" t="s">
        <v>14117</v>
      </c>
      <c r="E817" s="6" t="s">
        <v>14280</v>
      </c>
      <c r="F817" s="20" t="n">
        <f aca="false">Quarterly_Actuals!H996+Quarterly_Actuals!H997+Quarterly_Actuals!H999+Quarterly_Actuals!H1001-Quarterly_Actuals!H1002</f>
        <v>0</v>
      </c>
      <c r="G817" s="6" t="str">
        <f aca="false">IF(ABS(F817)&lt;=H817,"PASS","FAIL")</f>
        <v>PASS</v>
      </c>
      <c r="H817" s="6" t="n">
        <v>0.5</v>
      </c>
      <c r="I817" s="6"/>
    </row>
    <row r="818" customFormat="false" ht="15" hidden="false" customHeight="false" outlineLevel="0" collapsed="false">
      <c r="A818" s="6" t="s">
        <v>14281</v>
      </c>
      <c r="B818" s="6" t="s">
        <v>13294</v>
      </c>
      <c r="C818" s="6" t="s">
        <v>14282</v>
      </c>
      <c r="D818" s="6" t="s">
        <v>255</v>
      </c>
      <c r="E818" s="6" t="s">
        <v>14283</v>
      </c>
      <c r="F818" s="20" t="n">
        <f aca="false">Quarterly_Actuals!H1034+Quarterly_Actuals!H1035-Quarterly_Actuals!H1036</f>
        <v>0</v>
      </c>
      <c r="G818" s="6" t="str">
        <f aca="false">IF(ABS(F818)&lt;=H818,"PASS","FAIL")</f>
        <v>PASS</v>
      </c>
      <c r="H818" s="6" t="n">
        <v>0.5</v>
      </c>
      <c r="I818" s="6"/>
    </row>
    <row r="819" customFormat="false" ht="15" hidden="false" customHeight="false" outlineLevel="0" collapsed="false">
      <c r="A819" s="6" t="s">
        <v>14284</v>
      </c>
      <c r="B819" s="6" t="s">
        <v>13294</v>
      </c>
      <c r="C819" s="6" t="s">
        <v>14285</v>
      </c>
      <c r="D819" s="6" t="s">
        <v>491</v>
      </c>
      <c r="E819" s="6" t="s">
        <v>14286</v>
      </c>
      <c r="F819" s="20" t="n">
        <f aca="false">Quarterly_Actuals!H1034+Quarterly_Actuals!H1035+Quarterly_Actuals!H1037-Quarterly_Actuals!H1038</f>
        <v>0</v>
      </c>
      <c r="G819" s="6" t="str">
        <f aca="false">IF(ABS(F819)&lt;=H819,"PASS","FAIL")</f>
        <v>PASS</v>
      </c>
      <c r="H819" s="6" t="n">
        <v>0.5</v>
      </c>
      <c r="I819" s="6"/>
    </row>
    <row r="820" customFormat="false" ht="15" hidden="false" customHeight="false" outlineLevel="0" collapsed="false">
      <c r="A820" s="6" t="s">
        <v>14287</v>
      </c>
      <c r="B820" s="6" t="s">
        <v>13294</v>
      </c>
      <c r="C820" s="6" t="s">
        <v>14288</v>
      </c>
      <c r="D820" s="6" t="s">
        <v>14117</v>
      </c>
      <c r="E820" s="6" t="s">
        <v>14289</v>
      </c>
      <c r="F820" s="20" t="n">
        <f aca="false">Quarterly_Actuals!H1034+Quarterly_Actuals!H1035+Quarterly_Actuals!H1037+Quarterly_Actuals!H1039-Quarterly_Actuals!H1040</f>
        <v>0</v>
      </c>
      <c r="G820" s="6" t="str">
        <f aca="false">IF(ABS(F820)&lt;=H820,"PASS","FAIL")</f>
        <v>PASS</v>
      </c>
      <c r="H820" s="6" t="n">
        <v>0.5</v>
      </c>
      <c r="I820" s="6"/>
    </row>
    <row r="821" customFormat="false" ht="15" hidden="false" customHeight="false" outlineLevel="0" collapsed="false">
      <c r="A821" s="6" t="s">
        <v>14290</v>
      </c>
      <c r="B821" s="6" t="s">
        <v>13294</v>
      </c>
      <c r="C821" s="6" t="s">
        <v>14291</v>
      </c>
      <c r="D821" s="6" t="s">
        <v>255</v>
      </c>
      <c r="E821" s="6" t="s">
        <v>14292</v>
      </c>
      <c r="F821" s="20" t="n">
        <f aca="false">Quarterly_Actuals!H1058+Quarterly_Actuals!H1059-Quarterly_Actuals!H1060</f>
        <v>0</v>
      </c>
      <c r="G821" s="6" t="str">
        <f aca="false">IF(ABS(F821)&lt;=H821,"PASS","FAIL")</f>
        <v>PASS</v>
      </c>
      <c r="H821" s="6" t="n">
        <v>0.5</v>
      </c>
      <c r="I821" s="6"/>
    </row>
    <row r="822" customFormat="false" ht="15" hidden="false" customHeight="false" outlineLevel="0" collapsed="false">
      <c r="A822" s="6" t="s">
        <v>14293</v>
      </c>
      <c r="B822" s="6" t="s">
        <v>13294</v>
      </c>
      <c r="C822" s="6" t="s">
        <v>14294</v>
      </c>
      <c r="D822" s="6" t="s">
        <v>491</v>
      </c>
      <c r="E822" s="6" t="s">
        <v>14295</v>
      </c>
      <c r="F822" s="20" t="n">
        <f aca="false">Quarterly_Actuals!H1058+Quarterly_Actuals!H1059+Quarterly_Actuals!H1061-Quarterly_Actuals!H1062</f>
        <v>0</v>
      </c>
      <c r="G822" s="6" t="str">
        <f aca="false">IF(ABS(F822)&lt;=H822,"PASS","FAIL")</f>
        <v>PASS</v>
      </c>
      <c r="H822" s="6" t="n">
        <v>0.5</v>
      </c>
      <c r="I822" s="6"/>
    </row>
    <row r="823" customFormat="false" ht="15" hidden="false" customHeight="false" outlineLevel="0" collapsed="false">
      <c r="A823" s="6" t="s">
        <v>14296</v>
      </c>
      <c r="B823" s="6" t="s">
        <v>13294</v>
      </c>
      <c r="C823" s="6" t="s">
        <v>14297</v>
      </c>
      <c r="D823" s="6" t="s">
        <v>14117</v>
      </c>
      <c r="E823" s="6" t="s">
        <v>14298</v>
      </c>
      <c r="F823" s="20" t="n">
        <f aca="false">Quarterly_Actuals!H1058+Quarterly_Actuals!H1059+Quarterly_Actuals!H1061+Quarterly_Actuals!H1063-Quarterly_Actuals!H1064</f>
        <v>0</v>
      </c>
      <c r="G823" s="6" t="str">
        <f aca="false">IF(ABS(F823)&lt;=H823,"PASS","FAIL")</f>
        <v>PASS</v>
      </c>
      <c r="H823" s="6" t="n">
        <v>0.5</v>
      </c>
      <c r="I823" s="6"/>
    </row>
    <row r="824" customFormat="false" ht="15" hidden="false" customHeight="false" outlineLevel="0" collapsed="false">
      <c r="A824" s="6" t="s">
        <v>14299</v>
      </c>
      <c r="B824" s="6" t="s">
        <v>13294</v>
      </c>
      <c r="C824" s="6" t="s">
        <v>14300</v>
      </c>
      <c r="D824" s="6" t="s">
        <v>255</v>
      </c>
      <c r="E824" s="6" t="s">
        <v>14301</v>
      </c>
      <c r="F824" s="20" t="n">
        <f aca="false">Quarterly_Actuals!H1096+Quarterly_Actuals!H1097-Quarterly_Actuals!H1098</f>
        <v>0</v>
      </c>
      <c r="G824" s="6" t="str">
        <f aca="false">IF(ABS(F824)&lt;=H824,"PASS","FAIL")</f>
        <v>PASS</v>
      </c>
      <c r="H824" s="6" t="n">
        <v>0.5</v>
      </c>
      <c r="I824" s="6"/>
    </row>
    <row r="825" customFormat="false" ht="15" hidden="false" customHeight="false" outlineLevel="0" collapsed="false">
      <c r="A825" s="6" t="s">
        <v>14302</v>
      </c>
      <c r="B825" s="6" t="s">
        <v>13294</v>
      </c>
      <c r="C825" s="6" t="s">
        <v>14303</v>
      </c>
      <c r="D825" s="6" t="s">
        <v>491</v>
      </c>
      <c r="E825" s="6" t="s">
        <v>14304</v>
      </c>
      <c r="F825" s="20" t="n">
        <f aca="false">Quarterly_Actuals!H1096+Quarterly_Actuals!H1097+Quarterly_Actuals!H1099-Quarterly_Actuals!H1100</f>
        <v>0</v>
      </c>
      <c r="G825" s="6" t="str">
        <f aca="false">IF(ABS(F825)&lt;=H825,"PASS","FAIL")</f>
        <v>PASS</v>
      </c>
      <c r="H825" s="6" t="n">
        <v>0.5</v>
      </c>
      <c r="I825" s="6"/>
    </row>
    <row r="826" customFormat="false" ht="15" hidden="false" customHeight="false" outlineLevel="0" collapsed="false">
      <c r="A826" s="6" t="s">
        <v>14305</v>
      </c>
      <c r="B826" s="6" t="s">
        <v>13294</v>
      </c>
      <c r="C826" s="6" t="s">
        <v>14306</v>
      </c>
      <c r="D826" s="6" t="s">
        <v>14117</v>
      </c>
      <c r="E826" s="6" t="s">
        <v>14307</v>
      </c>
      <c r="F826" s="20" t="n">
        <f aca="false">Quarterly_Actuals!H1096+Quarterly_Actuals!H1097+Quarterly_Actuals!H1099+Quarterly_Actuals!H1101-Quarterly_Actuals!H1102</f>
        <v>0</v>
      </c>
      <c r="G826" s="6" t="str">
        <f aca="false">IF(ABS(F826)&lt;=H826,"PASS","FAIL")</f>
        <v>PASS</v>
      </c>
      <c r="H826" s="6" t="n">
        <v>0.5</v>
      </c>
      <c r="I826" s="6"/>
    </row>
    <row r="827" customFormat="false" ht="15" hidden="false" customHeight="false" outlineLevel="0" collapsed="false">
      <c r="A827" s="6" t="s">
        <v>14308</v>
      </c>
      <c r="B827" s="6" t="s">
        <v>13294</v>
      </c>
      <c r="C827" s="6" t="s">
        <v>14309</v>
      </c>
      <c r="D827" s="6" t="s">
        <v>255</v>
      </c>
      <c r="E827" s="6" t="s">
        <v>14310</v>
      </c>
      <c r="F827" s="20" t="n">
        <f aca="false">Quarterly_Actuals!H1162+Quarterly_Actuals!H1163-Quarterly_Actuals!H1164</f>
        <v>0</v>
      </c>
      <c r="G827" s="6" t="str">
        <f aca="false">IF(ABS(F827)&lt;=H827,"PASS","FAIL")</f>
        <v>PASS</v>
      </c>
      <c r="H827" s="6" t="n">
        <v>0.5</v>
      </c>
      <c r="I827" s="6"/>
    </row>
    <row r="828" customFormat="false" ht="15" hidden="false" customHeight="false" outlineLevel="0" collapsed="false">
      <c r="A828" s="6" t="s">
        <v>14311</v>
      </c>
      <c r="B828" s="6" t="s">
        <v>13294</v>
      </c>
      <c r="C828" s="6" t="s">
        <v>14312</v>
      </c>
      <c r="D828" s="6" t="s">
        <v>491</v>
      </c>
      <c r="E828" s="6" t="s">
        <v>14313</v>
      </c>
      <c r="F828" s="20" t="n">
        <f aca="false">Quarterly_Actuals!H1162+Quarterly_Actuals!H1163+Quarterly_Actuals!H1165-Quarterly_Actuals!H1166</f>
        <v>0</v>
      </c>
      <c r="G828" s="6" t="str">
        <f aca="false">IF(ABS(F828)&lt;=H828,"PASS","FAIL")</f>
        <v>PASS</v>
      </c>
      <c r="H828" s="6" t="n">
        <v>0.5</v>
      </c>
      <c r="I828" s="6"/>
    </row>
    <row r="829" customFormat="false" ht="15" hidden="false" customHeight="false" outlineLevel="0" collapsed="false">
      <c r="A829" s="6" t="s">
        <v>14314</v>
      </c>
      <c r="B829" s="6" t="s">
        <v>13294</v>
      </c>
      <c r="C829" s="6" t="s">
        <v>14315</v>
      </c>
      <c r="D829" s="6" t="s">
        <v>14117</v>
      </c>
      <c r="E829" s="6" t="s">
        <v>14316</v>
      </c>
      <c r="F829" s="20" t="n">
        <f aca="false">Quarterly_Actuals!H1162+Quarterly_Actuals!H1163+Quarterly_Actuals!H1165+Quarterly_Actuals!H1167-Quarterly_Actuals!H1168</f>
        <v>58</v>
      </c>
      <c r="G829" s="6" t="str">
        <f aca="false">IF(ABS(F829)&lt;=H829,"PASS","FAIL")</f>
        <v>FAIL</v>
      </c>
      <c r="H829" s="6" t="n">
        <v>0.5</v>
      </c>
      <c r="I829" s="6" t="s">
        <v>14317</v>
      </c>
    </row>
    <row r="830" customFormat="false" ht="15" hidden="false" customHeight="false" outlineLevel="0" collapsed="false">
      <c r="A830" s="6" t="s">
        <v>14318</v>
      </c>
      <c r="B830" s="6" t="s">
        <v>13294</v>
      </c>
      <c r="C830" s="6" t="s">
        <v>14319</v>
      </c>
      <c r="D830" s="6" t="s">
        <v>263</v>
      </c>
      <c r="E830" s="6" t="s">
        <v>14320</v>
      </c>
      <c r="F830" s="20" t="n">
        <f aca="false">Quarterly_Actuals!H37+Quarterly_Actuals!H38-Quarterly_Actuals!H39</f>
        <v>0</v>
      </c>
      <c r="G830" s="6" t="str">
        <f aca="false">IF(ABS(F830)&lt;=H830,"PASS","FAIL")</f>
        <v>PASS</v>
      </c>
      <c r="H830" s="6" t="n">
        <v>0.5</v>
      </c>
      <c r="I830" s="6"/>
    </row>
    <row r="831" customFormat="false" ht="15" hidden="false" customHeight="false" outlineLevel="0" collapsed="false">
      <c r="A831" s="6" t="s">
        <v>14321</v>
      </c>
      <c r="B831" s="6" t="s">
        <v>13294</v>
      </c>
      <c r="C831" s="6" t="s">
        <v>14322</v>
      </c>
      <c r="D831" s="6" t="s">
        <v>263</v>
      </c>
      <c r="E831" s="6" t="s">
        <v>14323</v>
      </c>
      <c r="F831" s="20" t="n">
        <f aca="false">Quarterly_Actuals!H75+Quarterly_Actuals!H76-Quarterly_Actuals!H77</f>
        <v>0</v>
      </c>
      <c r="G831" s="6" t="str">
        <f aca="false">IF(ABS(F831)&lt;=H831,"PASS","FAIL")</f>
        <v>PASS</v>
      </c>
      <c r="H831" s="6" t="n">
        <v>0.5</v>
      </c>
      <c r="I831" s="6"/>
    </row>
    <row r="832" customFormat="false" ht="15" hidden="false" customHeight="false" outlineLevel="0" collapsed="false">
      <c r="A832" s="6" t="s">
        <v>14324</v>
      </c>
      <c r="B832" s="6" t="s">
        <v>13294</v>
      </c>
      <c r="C832" s="6" t="s">
        <v>14325</v>
      </c>
      <c r="D832" s="6" t="s">
        <v>263</v>
      </c>
      <c r="E832" s="6" t="s">
        <v>14326</v>
      </c>
      <c r="F832" s="20" t="n">
        <f aca="false">Quarterly_Actuals!H113+Quarterly_Actuals!H114-Quarterly_Actuals!H115</f>
        <v>0</v>
      </c>
      <c r="G832" s="6" t="str">
        <f aca="false">IF(ABS(F832)&lt;=H832,"PASS","FAIL")</f>
        <v>PASS</v>
      </c>
      <c r="H832" s="6" t="n">
        <v>0.5</v>
      </c>
      <c r="I832" s="6"/>
    </row>
    <row r="833" customFormat="false" ht="15" hidden="false" customHeight="false" outlineLevel="0" collapsed="false">
      <c r="A833" s="6" t="s">
        <v>14327</v>
      </c>
      <c r="B833" s="6" t="s">
        <v>13294</v>
      </c>
      <c r="C833" s="6" t="s">
        <v>14328</v>
      </c>
      <c r="D833" s="6" t="s">
        <v>263</v>
      </c>
      <c r="E833" s="6" t="s">
        <v>14329</v>
      </c>
      <c r="F833" s="20" t="n">
        <f aca="false">Quarterly_Actuals!H189+Quarterly_Actuals!H190-Quarterly_Actuals!H191</f>
        <v>0</v>
      </c>
      <c r="G833" s="6" t="str">
        <f aca="false">IF(ABS(F833)&lt;=H833,"PASS","FAIL")</f>
        <v>PASS</v>
      </c>
      <c r="H833" s="6" t="n">
        <v>0.5</v>
      </c>
      <c r="I833" s="6"/>
    </row>
    <row r="834" customFormat="false" ht="15" hidden="false" customHeight="false" outlineLevel="0" collapsed="false">
      <c r="A834" s="6" t="s">
        <v>14330</v>
      </c>
      <c r="B834" s="6" t="s">
        <v>13294</v>
      </c>
      <c r="C834" s="6" t="s">
        <v>14331</v>
      </c>
      <c r="D834" s="6" t="s">
        <v>263</v>
      </c>
      <c r="E834" s="6" t="s">
        <v>14332</v>
      </c>
      <c r="F834" s="20" t="n">
        <f aca="false">Quarterly_Actuals!H227+Quarterly_Actuals!H228-Quarterly_Actuals!H229</f>
        <v>0</v>
      </c>
      <c r="G834" s="6" t="str">
        <f aca="false">IF(ABS(F834)&lt;=H834,"PASS","FAIL")</f>
        <v>PASS</v>
      </c>
      <c r="H834" s="6" t="n">
        <v>0.5</v>
      </c>
      <c r="I834" s="6"/>
    </row>
    <row r="835" customFormat="false" ht="15" hidden="false" customHeight="false" outlineLevel="0" collapsed="false">
      <c r="A835" s="6" t="s">
        <v>14333</v>
      </c>
      <c r="B835" s="6" t="s">
        <v>13294</v>
      </c>
      <c r="C835" s="6" t="s">
        <v>14334</v>
      </c>
      <c r="D835" s="6" t="s">
        <v>263</v>
      </c>
      <c r="E835" s="6" t="s">
        <v>14335</v>
      </c>
      <c r="F835" s="20" t="n">
        <f aca="false">Quarterly_Actuals!H265+Quarterly_Actuals!H266-Quarterly_Actuals!H267</f>
        <v>0</v>
      </c>
      <c r="G835" s="6" t="str">
        <f aca="false">IF(ABS(F835)&lt;=H835,"PASS","FAIL")</f>
        <v>PASS</v>
      </c>
      <c r="H835" s="6" t="n">
        <v>0.5</v>
      </c>
      <c r="I835" s="6"/>
    </row>
    <row r="836" customFormat="false" ht="15" hidden="false" customHeight="false" outlineLevel="0" collapsed="false">
      <c r="A836" s="6" t="s">
        <v>14336</v>
      </c>
      <c r="B836" s="6" t="s">
        <v>13294</v>
      </c>
      <c r="C836" s="6" t="s">
        <v>14337</v>
      </c>
      <c r="D836" s="6" t="s">
        <v>263</v>
      </c>
      <c r="E836" s="6" t="s">
        <v>14338</v>
      </c>
      <c r="F836" s="20" t="n">
        <f aca="false">Quarterly_Actuals!H305+Quarterly_Actuals!H306-Quarterly_Actuals!H307</f>
        <v>0</v>
      </c>
      <c r="G836" s="6" t="str">
        <f aca="false">IF(ABS(F836)&lt;=H836,"PASS","FAIL")</f>
        <v>PASS</v>
      </c>
      <c r="H836" s="6" t="n">
        <v>0.5</v>
      </c>
      <c r="I836" s="6"/>
    </row>
    <row r="837" customFormat="false" ht="15" hidden="false" customHeight="false" outlineLevel="0" collapsed="false">
      <c r="A837" s="6" t="s">
        <v>14339</v>
      </c>
      <c r="B837" s="6" t="s">
        <v>13294</v>
      </c>
      <c r="C837" s="6" t="s">
        <v>14340</v>
      </c>
      <c r="D837" s="6" t="s">
        <v>263</v>
      </c>
      <c r="E837" s="6" t="s">
        <v>14341</v>
      </c>
      <c r="F837" s="20" t="n">
        <f aca="false">Quarterly_Actuals!H343+Quarterly_Actuals!H344-Quarterly_Actuals!H345</f>
        <v>0</v>
      </c>
      <c r="G837" s="6" t="str">
        <f aca="false">IF(ABS(F837)&lt;=H837,"PASS","FAIL")</f>
        <v>PASS</v>
      </c>
      <c r="H837" s="6" t="n">
        <v>0.5</v>
      </c>
      <c r="I837" s="6"/>
    </row>
    <row r="838" customFormat="false" ht="15" hidden="false" customHeight="false" outlineLevel="0" collapsed="false">
      <c r="A838" s="6" t="s">
        <v>14342</v>
      </c>
      <c r="B838" s="6" t="s">
        <v>13294</v>
      </c>
      <c r="C838" s="6" t="s">
        <v>14343</v>
      </c>
      <c r="D838" s="6" t="s">
        <v>263</v>
      </c>
      <c r="E838" s="6" t="s">
        <v>14344</v>
      </c>
      <c r="F838" s="20" t="n">
        <f aca="false">Quarterly_Actuals!H419+Quarterly_Actuals!H420-Quarterly_Actuals!H421</f>
        <v>0</v>
      </c>
      <c r="G838" s="6" t="str">
        <f aca="false">IF(ABS(F838)&lt;=H838,"PASS","FAIL")</f>
        <v>PASS</v>
      </c>
      <c r="H838" s="6" t="n">
        <v>0.5</v>
      </c>
      <c r="I838" s="6"/>
    </row>
    <row r="839" customFormat="false" ht="15" hidden="false" customHeight="false" outlineLevel="0" collapsed="false">
      <c r="A839" s="6" t="s">
        <v>14345</v>
      </c>
      <c r="B839" s="6" t="s">
        <v>13294</v>
      </c>
      <c r="C839" s="6" t="s">
        <v>14346</v>
      </c>
      <c r="D839" s="6" t="s">
        <v>263</v>
      </c>
      <c r="E839" s="6" t="s">
        <v>14347</v>
      </c>
      <c r="F839" s="20" t="n">
        <f aca="false">Quarterly_Actuals!H511+Quarterly_Actuals!H512-Quarterly_Actuals!H513</f>
        <v>0</v>
      </c>
      <c r="G839" s="6" t="str">
        <f aca="false">IF(ABS(F839)&lt;=H839,"PASS","FAIL")</f>
        <v>PASS</v>
      </c>
      <c r="H839" s="6" t="n">
        <v>0.5</v>
      </c>
      <c r="I839" s="6"/>
    </row>
    <row r="840" customFormat="false" ht="15" hidden="false" customHeight="false" outlineLevel="0" collapsed="false">
      <c r="A840" s="6" t="s">
        <v>14348</v>
      </c>
      <c r="B840" s="6" t="s">
        <v>13294</v>
      </c>
      <c r="C840" s="6" t="s">
        <v>14349</v>
      </c>
      <c r="D840" s="6" t="s">
        <v>263</v>
      </c>
      <c r="E840" s="6" t="s">
        <v>14350</v>
      </c>
      <c r="F840" s="20" t="n">
        <f aca="false">Quarterly_Actuals!H587+Quarterly_Actuals!H588-Quarterly_Actuals!H589</f>
        <v>0</v>
      </c>
      <c r="G840" s="6" t="str">
        <f aca="false">IF(ABS(F840)&lt;=H840,"PASS","FAIL")</f>
        <v>PASS</v>
      </c>
      <c r="H840" s="6" t="n">
        <v>0.5</v>
      </c>
      <c r="I840" s="6"/>
    </row>
    <row r="841" customFormat="false" ht="15" hidden="false" customHeight="false" outlineLevel="0" collapsed="false">
      <c r="A841" s="6" t="s">
        <v>14351</v>
      </c>
      <c r="B841" s="6" t="s">
        <v>13294</v>
      </c>
      <c r="C841" s="6" t="s">
        <v>14352</v>
      </c>
      <c r="D841" s="6" t="s">
        <v>263</v>
      </c>
      <c r="E841" s="6" t="s">
        <v>14353</v>
      </c>
      <c r="F841" s="20" t="n">
        <f aca="false">Quarterly_Actuals!H625+Quarterly_Actuals!H626-Quarterly_Actuals!H627</f>
        <v>0</v>
      </c>
      <c r="G841" s="6" t="str">
        <f aca="false">IF(ABS(F841)&lt;=H841,"PASS","FAIL")</f>
        <v>PASS</v>
      </c>
      <c r="H841" s="6" t="n">
        <v>0.5</v>
      </c>
      <c r="I841" s="6"/>
    </row>
    <row r="842" customFormat="false" ht="15" hidden="false" customHeight="false" outlineLevel="0" collapsed="false">
      <c r="A842" s="6" t="s">
        <v>14354</v>
      </c>
      <c r="B842" s="6" t="s">
        <v>13294</v>
      </c>
      <c r="C842" s="6" t="s">
        <v>14355</v>
      </c>
      <c r="D842" s="6" t="s">
        <v>263</v>
      </c>
      <c r="E842" s="6" t="s">
        <v>14356</v>
      </c>
      <c r="F842" s="20" t="n">
        <f aca="false">Quarterly_Actuals!H663+Quarterly_Actuals!H664-Quarterly_Actuals!H665</f>
        <v>0</v>
      </c>
      <c r="G842" s="6" t="str">
        <f aca="false">IF(ABS(F842)&lt;=H842,"PASS","FAIL")</f>
        <v>PASS</v>
      </c>
      <c r="H842" s="6" t="n">
        <v>0.5</v>
      </c>
      <c r="I842" s="6"/>
    </row>
    <row r="843" customFormat="false" ht="15" hidden="false" customHeight="false" outlineLevel="0" collapsed="false">
      <c r="A843" s="6" t="s">
        <v>14357</v>
      </c>
      <c r="B843" s="6" t="s">
        <v>13294</v>
      </c>
      <c r="C843" s="6" t="s">
        <v>14358</v>
      </c>
      <c r="D843" s="6" t="s">
        <v>263</v>
      </c>
      <c r="E843" s="6" t="s">
        <v>14359</v>
      </c>
      <c r="F843" s="20" t="n">
        <f aca="false">Quarterly_Actuals!H701+Quarterly_Actuals!H702-Quarterly_Actuals!H703</f>
        <v>0</v>
      </c>
      <c r="G843" s="6" t="str">
        <f aca="false">IF(ABS(F843)&lt;=H843,"PASS","FAIL")</f>
        <v>PASS</v>
      </c>
      <c r="H843" s="6" t="n">
        <v>0.5</v>
      </c>
      <c r="I843" s="6"/>
    </row>
    <row r="844" customFormat="false" ht="15" hidden="false" customHeight="false" outlineLevel="0" collapsed="false">
      <c r="A844" s="6" t="s">
        <v>14360</v>
      </c>
      <c r="B844" s="6" t="s">
        <v>13294</v>
      </c>
      <c r="C844" s="6" t="s">
        <v>14361</v>
      </c>
      <c r="D844" s="6" t="s">
        <v>263</v>
      </c>
      <c r="E844" s="6" t="s">
        <v>14362</v>
      </c>
      <c r="F844" s="20" t="n">
        <f aca="false">Quarterly_Actuals!H777+Quarterly_Actuals!H778-Quarterly_Actuals!H779</f>
        <v>0</v>
      </c>
      <c r="G844" s="6" t="str">
        <f aca="false">IF(ABS(F844)&lt;=H844,"PASS","FAIL")</f>
        <v>PASS</v>
      </c>
      <c r="H844" s="6" t="n">
        <v>0.5</v>
      </c>
      <c r="I844" s="6"/>
    </row>
    <row r="845" customFormat="false" ht="15" hidden="false" customHeight="false" outlineLevel="0" collapsed="false">
      <c r="A845" s="6" t="s">
        <v>14363</v>
      </c>
      <c r="B845" s="6" t="s">
        <v>13294</v>
      </c>
      <c r="C845" s="6" t="s">
        <v>14364</v>
      </c>
      <c r="D845" s="6" t="s">
        <v>263</v>
      </c>
      <c r="E845" s="6" t="s">
        <v>14365</v>
      </c>
      <c r="F845" s="20" t="n">
        <f aca="false">Quarterly_Actuals!H869+Quarterly_Actuals!H870-Quarterly_Actuals!H871</f>
        <v>0</v>
      </c>
      <c r="G845" s="6" t="str">
        <f aca="false">IF(ABS(F845)&lt;=H845,"PASS","FAIL")</f>
        <v>PASS</v>
      </c>
      <c r="H845" s="6" t="n">
        <v>0.5</v>
      </c>
      <c r="I845" s="6"/>
    </row>
    <row r="846" customFormat="false" ht="15" hidden="false" customHeight="false" outlineLevel="0" collapsed="false">
      <c r="A846" s="6" t="s">
        <v>14366</v>
      </c>
      <c r="B846" s="6" t="s">
        <v>13294</v>
      </c>
      <c r="C846" s="6" t="s">
        <v>14367</v>
      </c>
      <c r="D846" s="6" t="s">
        <v>263</v>
      </c>
      <c r="E846" s="6" t="s">
        <v>14368</v>
      </c>
      <c r="F846" s="20" t="n">
        <f aca="false">Quarterly_Actuals!H907+Quarterly_Actuals!H908-Quarterly_Actuals!H909</f>
        <v>0</v>
      </c>
      <c r="G846" s="6" t="str">
        <f aca="false">IF(ABS(F846)&lt;=H846,"PASS","FAIL")</f>
        <v>PASS</v>
      </c>
      <c r="H846" s="6" t="n">
        <v>0.5</v>
      </c>
      <c r="I846" s="6"/>
    </row>
    <row r="847" customFormat="false" ht="15" hidden="false" customHeight="false" outlineLevel="0" collapsed="false">
      <c r="A847" s="6" t="s">
        <v>14369</v>
      </c>
      <c r="B847" s="6" t="s">
        <v>13294</v>
      </c>
      <c r="C847" s="6" t="s">
        <v>14370</v>
      </c>
      <c r="D847" s="6" t="s">
        <v>263</v>
      </c>
      <c r="E847" s="6" t="s">
        <v>14371</v>
      </c>
      <c r="F847" s="20" t="n">
        <f aca="false">Quarterly_Actuals!H965+Quarterly_Actuals!H966-Quarterly_Actuals!H967</f>
        <v>0</v>
      </c>
      <c r="G847" s="6" t="str">
        <f aca="false">IF(ABS(F847)&lt;=H847,"PASS","FAIL")</f>
        <v>PASS</v>
      </c>
      <c r="H847" s="6" t="n">
        <v>0.5</v>
      </c>
      <c r="I847" s="6"/>
    </row>
    <row r="848" customFormat="false" ht="15" hidden="false" customHeight="false" outlineLevel="0" collapsed="false">
      <c r="A848" s="6" t="s">
        <v>14372</v>
      </c>
      <c r="B848" s="6" t="s">
        <v>13294</v>
      </c>
      <c r="C848" s="6" t="s">
        <v>14373</v>
      </c>
      <c r="D848" s="6" t="s">
        <v>263</v>
      </c>
      <c r="E848" s="6" t="s">
        <v>14374</v>
      </c>
      <c r="F848" s="20" t="n">
        <f aca="false">Quarterly_Actuals!H1003+Quarterly_Actuals!H1004-Quarterly_Actuals!H1005</f>
        <v>0</v>
      </c>
      <c r="G848" s="6" t="str">
        <f aca="false">IF(ABS(F848)&lt;=H848,"PASS","FAIL")</f>
        <v>PASS</v>
      </c>
      <c r="H848" s="6" t="n">
        <v>0.5</v>
      </c>
      <c r="I848" s="6"/>
    </row>
    <row r="849" customFormat="false" ht="15" hidden="false" customHeight="false" outlineLevel="0" collapsed="false">
      <c r="A849" s="6" t="s">
        <v>14375</v>
      </c>
      <c r="B849" s="6" t="s">
        <v>13294</v>
      </c>
      <c r="C849" s="6" t="s">
        <v>14376</v>
      </c>
      <c r="D849" s="6" t="s">
        <v>263</v>
      </c>
      <c r="E849" s="6" t="s">
        <v>14377</v>
      </c>
      <c r="F849" s="20" t="n">
        <f aca="false">Quarterly_Actuals!H1041+Quarterly_Actuals!H1042-Quarterly_Actuals!H1043</f>
        <v>0</v>
      </c>
      <c r="G849" s="6" t="str">
        <f aca="false">IF(ABS(F849)&lt;=H849,"PASS","FAIL")</f>
        <v>PASS</v>
      </c>
      <c r="H849" s="6" t="n">
        <v>0.5</v>
      </c>
      <c r="I849" s="6"/>
    </row>
    <row r="850" customFormat="false" ht="15" hidden="false" customHeight="false" outlineLevel="0" collapsed="false">
      <c r="A850" s="6" t="s">
        <v>14378</v>
      </c>
      <c r="B850" s="6" t="s">
        <v>13294</v>
      </c>
      <c r="C850" s="6" t="s">
        <v>14379</v>
      </c>
      <c r="D850" s="6" t="s">
        <v>263</v>
      </c>
      <c r="E850" s="6" t="s">
        <v>14380</v>
      </c>
      <c r="F850" s="20" t="n">
        <f aca="false">Quarterly_Actuals!H1065+Quarterly_Actuals!H1066-Quarterly_Actuals!H1067</f>
        <v>0</v>
      </c>
      <c r="G850" s="6" t="str">
        <f aca="false">IF(ABS(F850)&lt;=H850,"PASS","FAIL")</f>
        <v>PASS</v>
      </c>
      <c r="H850" s="6" t="n">
        <v>0.5</v>
      </c>
      <c r="I850" s="6"/>
    </row>
    <row r="851" customFormat="false" ht="15" hidden="false" customHeight="false" outlineLevel="0" collapsed="false">
      <c r="A851" s="6" t="s">
        <v>14381</v>
      </c>
      <c r="B851" s="6" t="s">
        <v>13294</v>
      </c>
      <c r="C851" s="6" t="s">
        <v>14382</v>
      </c>
      <c r="D851" s="6" t="s">
        <v>263</v>
      </c>
      <c r="E851" s="6" t="s">
        <v>14383</v>
      </c>
      <c r="F851" s="20" t="n">
        <f aca="false">Quarterly_Actuals!H1103+Quarterly_Actuals!H1104-Quarterly_Actuals!H1105</f>
        <v>0</v>
      </c>
      <c r="G851" s="6" t="str">
        <f aca="false">IF(ABS(F851)&lt;=H851,"PASS","FAIL")</f>
        <v>PASS</v>
      </c>
      <c r="H851" s="6" t="n">
        <v>0.5</v>
      </c>
      <c r="I851" s="6"/>
    </row>
    <row r="852" customFormat="false" ht="15" hidden="false" customHeight="false" outlineLevel="0" collapsed="false">
      <c r="A852" s="6" t="s">
        <v>14384</v>
      </c>
      <c r="B852" s="6" t="s">
        <v>13294</v>
      </c>
      <c r="C852" s="6" t="s">
        <v>14385</v>
      </c>
      <c r="D852" s="6" t="s">
        <v>263</v>
      </c>
      <c r="E852" s="6" t="s">
        <v>14386</v>
      </c>
      <c r="F852" s="20" t="n">
        <f aca="false">Quarterly_Actuals!H1169+Quarterly_Actuals!H1170-Quarterly_Actuals!H1171</f>
        <v>0</v>
      </c>
      <c r="G852" s="6" t="str">
        <f aca="false">IF(ABS(F852)&lt;=H852,"PASS","FAIL")</f>
        <v>PASS</v>
      </c>
      <c r="H852" s="6" t="n">
        <v>0.5</v>
      </c>
      <c r="I852" s="6"/>
    </row>
    <row r="853" customFormat="false" ht="15" hidden="false" customHeight="false" outlineLevel="0" collapsed="false">
      <c r="A853" s="6" t="s">
        <v>14387</v>
      </c>
      <c r="B853" s="6" t="s">
        <v>14388</v>
      </c>
      <c r="C853" s="6" t="s">
        <v>14389</v>
      </c>
      <c r="D853" s="6" t="s">
        <v>136</v>
      </c>
      <c r="E853" s="6" t="s">
        <v>14390</v>
      </c>
      <c r="F853" s="20" t="n">
        <f aca="false">MAX(0,Quarterly_Actuals!H1380-Quarterly_Actuals!H1413)</f>
        <v>0</v>
      </c>
      <c r="G853" s="6" t="str">
        <f aca="false">IF(ABS(F853)&lt;=H853,"PASS","FAIL")</f>
        <v>PASS</v>
      </c>
      <c r="H853" s="6" t="n">
        <v>0.0001</v>
      </c>
      <c r="I853" s="6"/>
    </row>
    <row r="854" customFormat="false" ht="15" hidden="false" customHeight="false" outlineLevel="0" collapsed="false">
      <c r="A854" s="6" t="s">
        <v>14391</v>
      </c>
      <c r="B854" s="6" t="s">
        <v>14388</v>
      </c>
      <c r="C854" s="6" t="s">
        <v>14389</v>
      </c>
      <c r="D854" s="6" t="s">
        <v>141</v>
      </c>
      <c r="E854" s="6" t="s">
        <v>14392</v>
      </c>
      <c r="F854" s="20" t="n">
        <f aca="false">MAX(0,Quarterly_Actuals!H1381-Quarterly_Actuals!H1414)</f>
        <v>0</v>
      </c>
      <c r="G854" s="6" t="str">
        <f aca="false">IF(ABS(F854)&lt;=H854,"PASS","FAIL")</f>
        <v>PASS</v>
      </c>
      <c r="H854" s="6" t="n">
        <v>0.0001</v>
      </c>
      <c r="I854" s="6"/>
    </row>
    <row r="855" customFormat="false" ht="15" hidden="false" customHeight="false" outlineLevel="0" collapsed="false">
      <c r="A855" s="6" t="s">
        <v>14393</v>
      </c>
      <c r="B855" s="6" t="s">
        <v>14388</v>
      </c>
      <c r="C855" s="6" t="s">
        <v>14389</v>
      </c>
      <c r="D855" s="6" t="s">
        <v>146</v>
      </c>
      <c r="E855" s="6" t="s">
        <v>14394</v>
      </c>
      <c r="F855" s="20" t="n">
        <f aca="false">MAX(0,Quarterly_Actuals!H1382-Quarterly_Actuals!H1415)</f>
        <v>0</v>
      </c>
      <c r="G855" s="6" t="str">
        <f aca="false">IF(ABS(F855)&lt;=H855,"PASS","FAIL")</f>
        <v>PASS</v>
      </c>
      <c r="H855" s="6" t="n">
        <v>0.0001</v>
      </c>
      <c r="I855" s="6"/>
    </row>
    <row r="856" customFormat="false" ht="15" hidden="false" customHeight="false" outlineLevel="0" collapsed="false">
      <c r="A856" s="6" t="s">
        <v>14395</v>
      </c>
      <c r="B856" s="6" t="s">
        <v>14388</v>
      </c>
      <c r="C856" s="6" t="s">
        <v>14389</v>
      </c>
      <c r="D856" s="6" t="s">
        <v>151</v>
      </c>
      <c r="E856" s="6" t="s">
        <v>14396</v>
      </c>
      <c r="F856" s="20" t="n">
        <f aca="false">MAX(0,Quarterly_Actuals!H1383-Quarterly_Actuals!H1416)</f>
        <v>0</v>
      </c>
      <c r="G856" s="6" t="str">
        <f aca="false">IF(ABS(F856)&lt;=H856,"PASS","FAIL")</f>
        <v>PASS</v>
      </c>
      <c r="H856" s="6" t="n">
        <v>0.0001</v>
      </c>
      <c r="I856" s="6"/>
    </row>
    <row r="857" customFormat="false" ht="15" hidden="false" customHeight="false" outlineLevel="0" collapsed="false">
      <c r="A857" s="6" t="s">
        <v>14397</v>
      </c>
      <c r="B857" s="6" t="s">
        <v>14388</v>
      </c>
      <c r="C857" s="6" t="s">
        <v>14389</v>
      </c>
      <c r="D857" s="6" t="s">
        <v>156</v>
      </c>
      <c r="E857" s="6" t="s">
        <v>14398</v>
      </c>
      <c r="F857" s="20" t="n">
        <f aca="false">MAX(0,Quarterly_Actuals!H1384-Quarterly_Actuals!H1417)</f>
        <v>0</v>
      </c>
      <c r="G857" s="6" t="str">
        <f aca="false">IF(ABS(F857)&lt;=H857,"PASS","FAIL")</f>
        <v>PASS</v>
      </c>
      <c r="H857" s="6" t="n">
        <v>0.0001</v>
      </c>
      <c r="I857" s="6"/>
    </row>
    <row r="858" customFormat="false" ht="15" hidden="false" customHeight="false" outlineLevel="0" collapsed="false">
      <c r="A858" s="6" t="s">
        <v>14399</v>
      </c>
      <c r="B858" s="6" t="s">
        <v>14388</v>
      </c>
      <c r="C858" s="6" t="s">
        <v>14389</v>
      </c>
      <c r="D858" s="6" t="s">
        <v>161</v>
      </c>
      <c r="E858" s="6" t="s">
        <v>14400</v>
      </c>
      <c r="F858" s="20" t="n">
        <f aca="false">MAX(0,Quarterly_Actuals!H1385-Quarterly_Actuals!H1418)</f>
        <v>0</v>
      </c>
      <c r="G858" s="6" t="str">
        <f aca="false">IF(ABS(F858)&lt;=H858,"PASS","FAIL")</f>
        <v>PASS</v>
      </c>
      <c r="H858" s="6" t="n">
        <v>0.0001</v>
      </c>
      <c r="I858" s="6"/>
    </row>
    <row r="859" customFormat="false" ht="15" hidden="false" customHeight="false" outlineLevel="0" collapsed="false">
      <c r="A859" s="6" t="s">
        <v>14401</v>
      </c>
      <c r="B859" s="6" t="s">
        <v>14388</v>
      </c>
      <c r="C859" s="6" t="s">
        <v>14389</v>
      </c>
      <c r="D859" s="6" t="s">
        <v>166</v>
      </c>
      <c r="E859" s="6" t="s">
        <v>14402</v>
      </c>
      <c r="F859" s="20" t="n">
        <f aca="false">MAX(0,Quarterly_Actuals!H1386-Quarterly_Actuals!H1419)</f>
        <v>0</v>
      </c>
      <c r="G859" s="6" t="str">
        <f aca="false">IF(ABS(F859)&lt;=H859,"PASS","FAIL")</f>
        <v>PASS</v>
      </c>
      <c r="H859" s="6" t="n">
        <v>0.0001</v>
      </c>
      <c r="I859" s="6"/>
    </row>
    <row r="860" customFormat="false" ht="15" hidden="false" customHeight="false" outlineLevel="0" collapsed="false">
      <c r="A860" s="6" t="s">
        <v>14403</v>
      </c>
      <c r="B860" s="6" t="s">
        <v>14388</v>
      </c>
      <c r="C860" s="6" t="s">
        <v>14389</v>
      </c>
      <c r="D860" s="6" t="s">
        <v>171</v>
      </c>
      <c r="E860" s="6" t="s">
        <v>14404</v>
      </c>
      <c r="F860" s="20" t="n">
        <f aca="false">MAX(0,Quarterly_Actuals!H1387-Quarterly_Actuals!H1420)</f>
        <v>0</v>
      </c>
      <c r="G860" s="6" t="str">
        <f aca="false">IF(ABS(F860)&lt;=H860,"PASS","FAIL")</f>
        <v>PASS</v>
      </c>
      <c r="H860" s="6" t="n">
        <v>0.0001</v>
      </c>
      <c r="I860" s="6"/>
    </row>
    <row r="861" customFormat="false" ht="15" hidden="false" customHeight="false" outlineLevel="0" collapsed="false">
      <c r="A861" s="6" t="s">
        <v>14405</v>
      </c>
      <c r="B861" s="6" t="s">
        <v>14388</v>
      </c>
      <c r="C861" s="6" t="s">
        <v>14406</v>
      </c>
      <c r="D861" s="6" t="s">
        <v>171</v>
      </c>
      <c r="E861" s="6" t="s">
        <v>14407</v>
      </c>
      <c r="F861" s="20" t="n">
        <f aca="false">MAX(0,Quarterly_Actuals!H1449-Quarterly_Actuals!H1387)</f>
        <v>0</v>
      </c>
      <c r="G861" s="6" t="str">
        <f aca="false">IF(ABS(F861)&lt;=H861,"PASS","FAIL")</f>
        <v>PASS</v>
      </c>
      <c r="H861" s="6" t="n">
        <v>0.0001</v>
      </c>
      <c r="I861" s="6"/>
    </row>
    <row r="862" customFormat="false" ht="15" hidden="false" customHeight="false" outlineLevel="0" collapsed="false">
      <c r="A862" s="6" t="s">
        <v>14408</v>
      </c>
      <c r="B862" s="6" t="s">
        <v>14388</v>
      </c>
      <c r="C862" s="6" t="s">
        <v>14409</v>
      </c>
      <c r="D862" s="6" t="s">
        <v>171</v>
      </c>
      <c r="E862" s="6" t="s">
        <v>14410</v>
      </c>
      <c r="F862" s="20" t="n">
        <f aca="false">MAX(0,Quarterly_Actuals!H1485-Quarterly_Actuals!H1495)</f>
        <v>0</v>
      </c>
      <c r="G862" s="6" t="str">
        <f aca="false">IF(ABS(F862)&lt;=H862,"PASS","FAIL")</f>
        <v>PASS</v>
      </c>
      <c r="H862" s="6" t="n">
        <v>0.0001</v>
      </c>
      <c r="I862" s="6"/>
    </row>
    <row r="863" customFormat="false" ht="15" hidden="false" customHeight="false" outlineLevel="0" collapsed="false">
      <c r="A863" s="6" t="s">
        <v>14411</v>
      </c>
      <c r="B863" s="6" t="s">
        <v>14388</v>
      </c>
      <c r="C863" s="6" t="s">
        <v>14412</v>
      </c>
      <c r="D863" s="6" t="s">
        <v>171</v>
      </c>
      <c r="E863" s="6" t="s">
        <v>14413</v>
      </c>
      <c r="F863" s="20" t="n">
        <f aca="false">MAX(0,Quarterly_Actuals!H1503-Quarterly_Actuals!H1485)</f>
        <v>0</v>
      </c>
      <c r="G863" s="6" t="str">
        <f aca="false">IF(ABS(F863)&lt;=H863,"PASS","FAIL")</f>
        <v>PASS</v>
      </c>
      <c r="H863" s="6" t="n">
        <v>0.0001</v>
      </c>
      <c r="I863" s="6"/>
    </row>
    <row r="864" customFormat="false" ht="15" hidden="false" customHeight="false" outlineLevel="0" collapsed="false">
      <c r="A864" s="6" t="s">
        <v>14414</v>
      </c>
      <c r="B864" s="6" t="s">
        <v>14388</v>
      </c>
      <c r="C864" s="6" t="s">
        <v>14389</v>
      </c>
      <c r="D864" s="6" t="s">
        <v>176</v>
      </c>
      <c r="E864" s="6" t="s">
        <v>14415</v>
      </c>
      <c r="F864" s="20" t="n">
        <f aca="false">MAX(0,Quarterly_Actuals!H1388-Quarterly_Actuals!H1421)</f>
        <v>0</v>
      </c>
      <c r="G864" s="6" t="str">
        <f aca="false">IF(ABS(F864)&lt;=H864,"PASS","FAIL")</f>
        <v>PASS</v>
      </c>
      <c r="H864" s="6" t="n">
        <v>0.0001</v>
      </c>
      <c r="I864" s="6"/>
    </row>
    <row r="865" customFormat="false" ht="15" hidden="false" customHeight="false" outlineLevel="0" collapsed="false">
      <c r="A865" s="6" t="s">
        <v>14416</v>
      </c>
      <c r="B865" s="6" t="s">
        <v>14388</v>
      </c>
      <c r="C865" s="6" t="s">
        <v>14406</v>
      </c>
      <c r="D865" s="6" t="s">
        <v>176</v>
      </c>
      <c r="E865" s="6" t="s">
        <v>14417</v>
      </c>
      <c r="F865" s="20" t="n">
        <f aca="false">MAX(0,Quarterly_Actuals!H1450-Quarterly_Actuals!H1388)</f>
        <v>0</v>
      </c>
      <c r="G865" s="6" t="str">
        <f aca="false">IF(ABS(F865)&lt;=H865,"PASS","FAIL")</f>
        <v>PASS</v>
      </c>
      <c r="H865" s="6" t="n">
        <v>0.0001</v>
      </c>
      <c r="I865" s="6"/>
    </row>
    <row r="866" customFormat="false" ht="15" hidden="false" customHeight="false" outlineLevel="0" collapsed="false">
      <c r="A866" s="6" t="s">
        <v>14418</v>
      </c>
      <c r="B866" s="6" t="s">
        <v>14388</v>
      </c>
      <c r="C866" s="6" t="s">
        <v>14409</v>
      </c>
      <c r="D866" s="6" t="s">
        <v>176</v>
      </c>
      <c r="E866" s="6" t="s">
        <v>14419</v>
      </c>
      <c r="F866" s="20" t="n">
        <f aca="false">MAX(0,Quarterly_Actuals!H1486-Quarterly_Actuals!H1496)</f>
        <v>0</v>
      </c>
      <c r="G866" s="6" t="str">
        <f aca="false">IF(ABS(F866)&lt;=H866,"PASS","FAIL")</f>
        <v>PASS</v>
      </c>
      <c r="H866" s="6" t="n">
        <v>0.0001</v>
      </c>
      <c r="I866" s="6"/>
    </row>
    <row r="867" customFormat="false" ht="15" hidden="false" customHeight="false" outlineLevel="0" collapsed="false">
      <c r="A867" s="6" t="s">
        <v>14420</v>
      </c>
      <c r="B867" s="6" t="s">
        <v>14388</v>
      </c>
      <c r="C867" s="6" t="s">
        <v>14412</v>
      </c>
      <c r="D867" s="6" t="s">
        <v>176</v>
      </c>
      <c r="E867" s="6" t="s">
        <v>14421</v>
      </c>
      <c r="F867" s="20" t="n">
        <f aca="false">MAX(0,Quarterly_Actuals!H1504-Quarterly_Actuals!H1486)</f>
        <v>0</v>
      </c>
      <c r="G867" s="6" t="str">
        <f aca="false">IF(ABS(F867)&lt;=H867,"PASS","FAIL")</f>
        <v>PASS</v>
      </c>
      <c r="H867" s="6" t="n">
        <v>0.0001</v>
      </c>
      <c r="I867" s="6"/>
    </row>
    <row r="868" customFormat="false" ht="15" hidden="false" customHeight="false" outlineLevel="0" collapsed="false">
      <c r="A868" s="6" t="s">
        <v>14422</v>
      </c>
      <c r="B868" s="6" t="s">
        <v>14388</v>
      </c>
      <c r="C868" s="6" t="s">
        <v>14423</v>
      </c>
      <c r="D868" s="6" t="s">
        <v>176</v>
      </c>
      <c r="E868" s="6" t="s">
        <v>14424</v>
      </c>
      <c r="F868" s="20" t="n">
        <f aca="false">MAX(0,Quarterly_Actuals!H1520-Quarterly_Actuals!H1530)</f>
        <v>0</v>
      </c>
      <c r="G868" s="6" t="str">
        <f aca="false">IF(ABS(F868)&lt;=H868,"PASS","FAIL")</f>
        <v>PASS</v>
      </c>
      <c r="H868" s="6" t="n">
        <v>0.0001</v>
      </c>
      <c r="I868" s="6"/>
    </row>
    <row r="869" customFormat="false" ht="15" hidden="false" customHeight="false" outlineLevel="0" collapsed="false">
      <c r="A869" s="6" t="s">
        <v>14425</v>
      </c>
      <c r="B869" s="6" t="s">
        <v>14388</v>
      </c>
      <c r="C869" s="6" t="s">
        <v>14389</v>
      </c>
      <c r="D869" s="6" t="s">
        <v>181</v>
      </c>
      <c r="E869" s="6" t="s">
        <v>14426</v>
      </c>
      <c r="F869" s="20" t="n">
        <f aca="false">MAX(0,Quarterly_Actuals!H1389-Quarterly_Actuals!H1422)</f>
        <v>0</v>
      </c>
      <c r="G869" s="6" t="str">
        <f aca="false">IF(ABS(F869)&lt;=H869,"PASS","FAIL")</f>
        <v>PASS</v>
      </c>
      <c r="H869" s="6" t="n">
        <v>0.0001</v>
      </c>
      <c r="I869" s="6"/>
    </row>
    <row r="870" customFormat="false" ht="15" hidden="false" customHeight="false" outlineLevel="0" collapsed="false">
      <c r="A870" s="6" t="s">
        <v>14427</v>
      </c>
      <c r="B870" s="6" t="s">
        <v>14388</v>
      </c>
      <c r="C870" s="6" t="s">
        <v>14406</v>
      </c>
      <c r="D870" s="6" t="s">
        <v>181</v>
      </c>
      <c r="E870" s="6" t="s">
        <v>14428</v>
      </c>
      <c r="F870" s="20" t="n">
        <f aca="false">MAX(0,Quarterly_Actuals!H1451-Quarterly_Actuals!H1389)</f>
        <v>0</v>
      </c>
      <c r="G870" s="6" t="str">
        <f aca="false">IF(ABS(F870)&lt;=H870,"PASS","FAIL")</f>
        <v>PASS</v>
      </c>
      <c r="H870" s="6" t="n">
        <v>0.0001</v>
      </c>
      <c r="I870" s="6"/>
    </row>
    <row r="871" customFormat="false" ht="15" hidden="false" customHeight="false" outlineLevel="0" collapsed="false">
      <c r="A871" s="6" t="s">
        <v>14429</v>
      </c>
      <c r="B871" s="6" t="s">
        <v>14388</v>
      </c>
      <c r="C871" s="6" t="s">
        <v>14409</v>
      </c>
      <c r="D871" s="6" t="s">
        <v>181</v>
      </c>
      <c r="E871" s="6" t="s">
        <v>14430</v>
      </c>
      <c r="F871" s="20" t="n">
        <f aca="false">MAX(0,Quarterly_Actuals!H1487-Quarterly_Actuals!H1497)</f>
        <v>0</v>
      </c>
      <c r="G871" s="6" t="str">
        <f aca="false">IF(ABS(F871)&lt;=H871,"PASS","FAIL")</f>
        <v>PASS</v>
      </c>
      <c r="H871" s="6" t="n">
        <v>0.0001</v>
      </c>
      <c r="I871" s="6"/>
    </row>
    <row r="872" customFormat="false" ht="15" hidden="false" customHeight="false" outlineLevel="0" collapsed="false">
      <c r="A872" s="6" t="s">
        <v>14431</v>
      </c>
      <c r="B872" s="6" t="s">
        <v>14388</v>
      </c>
      <c r="C872" s="6" t="s">
        <v>14412</v>
      </c>
      <c r="D872" s="6" t="s">
        <v>181</v>
      </c>
      <c r="E872" s="6" t="s">
        <v>14432</v>
      </c>
      <c r="F872" s="20" t="n">
        <f aca="false">MAX(0,Quarterly_Actuals!H1505-Quarterly_Actuals!H1487)</f>
        <v>0</v>
      </c>
      <c r="G872" s="6" t="str">
        <f aca="false">IF(ABS(F872)&lt;=H872,"PASS","FAIL")</f>
        <v>PASS</v>
      </c>
      <c r="H872" s="6" t="n">
        <v>0.0001</v>
      </c>
      <c r="I872" s="6"/>
    </row>
    <row r="873" customFormat="false" ht="15" hidden="false" customHeight="false" outlineLevel="0" collapsed="false">
      <c r="A873" s="6" t="s">
        <v>14433</v>
      </c>
      <c r="B873" s="6" t="s">
        <v>14388</v>
      </c>
      <c r="C873" s="6" t="s">
        <v>14423</v>
      </c>
      <c r="D873" s="6" t="s">
        <v>181</v>
      </c>
      <c r="E873" s="6" t="s">
        <v>14434</v>
      </c>
      <c r="F873" s="20" t="n">
        <f aca="false">MAX(0,Quarterly_Actuals!H1521-Quarterly_Actuals!H1531)</f>
        <v>0</v>
      </c>
      <c r="G873" s="6" t="str">
        <f aca="false">IF(ABS(F873)&lt;=H873,"PASS","FAIL")</f>
        <v>PASS</v>
      </c>
      <c r="H873" s="6" t="n">
        <v>0.0001</v>
      </c>
      <c r="I873" s="6"/>
    </row>
    <row r="874" customFormat="false" ht="15" hidden="false" customHeight="false" outlineLevel="0" collapsed="false">
      <c r="A874" s="6" t="s">
        <v>14435</v>
      </c>
      <c r="B874" s="6" t="s">
        <v>14388</v>
      </c>
      <c r="C874" s="6" t="s">
        <v>14389</v>
      </c>
      <c r="D874" s="6" t="s">
        <v>186</v>
      </c>
      <c r="E874" s="6" t="s">
        <v>14436</v>
      </c>
      <c r="F874" s="20" t="n">
        <f aca="false">MAX(0,Quarterly_Actuals!H1390-Quarterly_Actuals!H1423)</f>
        <v>0</v>
      </c>
      <c r="G874" s="6" t="str">
        <f aca="false">IF(ABS(F874)&lt;=H874,"PASS","FAIL")</f>
        <v>PASS</v>
      </c>
      <c r="H874" s="6" t="n">
        <v>0.0001</v>
      </c>
      <c r="I874" s="6"/>
    </row>
    <row r="875" customFormat="false" ht="15" hidden="false" customHeight="false" outlineLevel="0" collapsed="false">
      <c r="A875" s="6" t="s">
        <v>14437</v>
      </c>
      <c r="B875" s="6" t="s">
        <v>14388</v>
      </c>
      <c r="C875" s="6" t="s">
        <v>14406</v>
      </c>
      <c r="D875" s="6" t="s">
        <v>186</v>
      </c>
      <c r="E875" s="6" t="s">
        <v>14438</v>
      </c>
      <c r="F875" s="20" t="n">
        <f aca="false">MAX(0,Quarterly_Actuals!H1452-Quarterly_Actuals!H1390)</f>
        <v>0</v>
      </c>
      <c r="G875" s="6" t="str">
        <f aca="false">IF(ABS(F875)&lt;=H875,"PASS","FAIL")</f>
        <v>PASS</v>
      </c>
      <c r="H875" s="6" t="n">
        <v>0.0001</v>
      </c>
      <c r="I875" s="6"/>
    </row>
    <row r="876" customFormat="false" ht="15" hidden="false" customHeight="false" outlineLevel="0" collapsed="false">
      <c r="A876" s="6" t="s">
        <v>14439</v>
      </c>
      <c r="B876" s="6" t="s">
        <v>14388</v>
      </c>
      <c r="C876" s="6" t="s">
        <v>14409</v>
      </c>
      <c r="D876" s="6" t="s">
        <v>186</v>
      </c>
      <c r="E876" s="6" t="s">
        <v>14440</v>
      </c>
      <c r="F876" s="20" t="n">
        <f aca="false">MAX(0,Quarterly_Actuals!H1488-Quarterly_Actuals!H1498)</f>
        <v>0</v>
      </c>
      <c r="G876" s="6" t="str">
        <f aca="false">IF(ABS(F876)&lt;=H876,"PASS","FAIL")</f>
        <v>PASS</v>
      </c>
      <c r="H876" s="6" t="n">
        <v>0.0001</v>
      </c>
      <c r="I876" s="6"/>
    </row>
    <row r="877" customFormat="false" ht="15" hidden="false" customHeight="false" outlineLevel="0" collapsed="false">
      <c r="A877" s="6" t="s">
        <v>14441</v>
      </c>
      <c r="B877" s="6" t="s">
        <v>14388</v>
      </c>
      <c r="C877" s="6" t="s">
        <v>14412</v>
      </c>
      <c r="D877" s="6" t="s">
        <v>186</v>
      </c>
      <c r="E877" s="6" t="s">
        <v>14442</v>
      </c>
      <c r="F877" s="20" t="n">
        <f aca="false">MAX(0,Quarterly_Actuals!H1506-Quarterly_Actuals!H1488)</f>
        <v>0</v>
      </c>
      <c r="G877" s="6" t="str">
        <f aca="false">IF(ABS(F877)&lt;=H877,"PASS","FAIL")</f>
        <v>PASS</v>
      </c>
      <c r="H877" s="6" t="n">
        <v>0.0001</v>
      </c>
      <c r="I877" s="6"/>
    </row>
    <row r="878" customFormat="false" ht="15" hidden="false" customHeight="false" outlineLevel="0" collapsed="false">
      <c r="A878" s="6" t="s">
        <v>14443</v>
      </c>
      <c r="B878" s="6" t="s">
        <v>14388</v>
      </c>
      <c r="C878" s="6" t="s">
        <v>14423</v>
      </c>
      <c r="D878" s="6" t="s">
        <v>186</v>
      </c>
      <c r="E878" s="6" t="s">
        <v>14444</v>
      </c>
      <c r="F878" s="20" t="n">
        <f aca="false">MAX(0,Quarterly_Actuals!H1522-Quarterly_Actuals!H1532)</f>
        <v>0</v>
      </c>
      <c r="G878" s="6" t="str">
        <f aca="false">IF(ABS(F878)&lt;=H878,"PASS","FAIL")</f>
        <v>PASS</v>
      </c>
      <c r="H878" s="6" t="n">
        <v>0.0001</v>
      </c>
      <c r="I878" s="6"/>
    </row>
    <row r="879" customFormat="false" ht="15" hidden="false" customHeight="false" outlineLevel="0" collapsed="false">
      <c r="A879" s="6" t="s">
        <v>14445</v>
      </c>
      <c r="B879" s="6" t="s">
        <v>14388</v>
      </c>
      <c r="C879" s="6" t="s">
        <v>14389</v>
      </c>
      <c r="D879" s="6" t="s">
        <v>191</v>
      </c>
      <c r="E879" s="6" t="s">
        <v>14446</v>
      </c>
      <c r="F879" s="20" t="n">
        <f aca="false">MAX(0,Quarterly_Actuals!H1391-Quarterly_Actuals!H1424)</f>
        <v>0</v>
      </c>
      <c r="G879" s="6" t="str">
        <f aca="false">IF(ABS(F879)&lt;=H879,"PASS","FAIL")</f>
        <v>PASS</v>
      </c>
      <c r="H879" s="6" t="n">
        <v>0.0001</v>
      </c>
      <c r="I879" s="6"/>
    </row>
    <row r="880" customFormat="false" ht="15" hidden="false" customHeight="false" outlineLevel="0" collapsed="false">
      <c r="A880" s="6" t="s">
        <v>14447</v>
      </c>
      <c r="B880" s="6" t="s">
        <v>14388</v>
      </c>
      <c r="C880" s="6" t="s">
        <v>14406</v>
      </c>
      <c r="D880" s="6" t="s">
        <v>191</v>
      </c>
      <c r="E880" s="6" t="s">
        <v>14448</v>
      </c>
      <c r="F880" s="20" t="n">
        <f aca="false">MAX(0,Quarterly_Actuals!H1453-Quarterly_Actuals!H1391)</f>
        <v>0</v>
      </c>
      <c r="G880" s="6" t="str">
        <f aca="false">IF(ABS(F880)&lt;=H880,"PASS","FAIL")</f>
        <v>PASS</v>
      </c>
      <c r="H880" s="6" t="n">
        <v>0.0001</v>
      </c>
      <c r="I880" s="6"/>
    </row>
    <row r="881" customFormat="false" ht="15" hidden="false" customHeight="false" outlineLevel="0" collapsed="false">
      <c r="A881" s="6" t="s">
        <v>14449</v>
      </c>
      <c r="B881" s="6" t="s">
        <v>14388</v>
      </c>
      <c r="C881" s="6" t="s">
        <v>14409</v>
      </c>
      <c r="D881" s="6" t="s">
        <v>191</v>
      </c>
      <c r="E881" s="6" t="s">
        <v>14450</v>
      </c>
      <c r="F881" s="20" t="n">
        <f aca="false">MAX(0,Quarterly_Actuals!H1489-Quarterly_Actuals!H1499)</f>
        <v>0</v>
      </c>
      <c r="G881" s="6" t="str">
        <f aca="false">IF(ABS(F881)&lt;=H881,"PASS","FAIL")</f>
        <v>PASS</v>
      </c>
      <c r="H881" s="6" t="n">
        <v>0.0001</v>
      </c>
      <c r="I881" s="6"/>
    </row>
    <row r="882" customFormat="false" ht="15" hidden="false" customHeight="false" outlineLevel="0" collapsed="false">
      <c r="A882" s="6" t="s">
        <v>14451</v>
      </c>
      <c r="B882" s="6" t="s">
        <v>14388</v>
      </c>
      <c r="C882" s="6" t="s">
        <v>14412</v>
      </c>
      <c r="D882" s="6" t="s">
        <v>191</v>
      </c>
      <c r="E882" s="6" t="s">
        <v>14452</v>
      </c>
      <c r="F882" s="20" t="n">
        <f aca="false">MAX(0,Quarterly_Actuals!H1507-Quarterly_Actuals!H1489)</f>
        <v>0</v>
      </c>
      <c r="G882" s="6" t="str">
        <f aca="false">IF(ABS(F882)&lt;=H882,"PASS","FAIL")</f>
        <v>PASS</v>
      </c>
      <c r="H882" s="6" t="n">
        <v>0.0001</v>
      </c>
      <c r="I882" s="6"/>
    </row>
    <row r="883" customFormat="false" ht="15" hidden="false" customHeight="false" outlineLevel="0" collapsed="false">
      <c r="A883" s="6" t="s">
        <v>14453</v>
      </c>
      <c r="B883" s="6" t="s">
        <v>14388</v>
      </c>
      <c r="C883" s="6" t="s">
        <v>14389</v>
      </c>
      <c r="D883" s="6" t="s">
        <v>196</v>
      </c>
      <c r="E883" s="6" t="s">
        <v>14454</v>
      </c>
      <c r="F883" s="20" t="n">
        <f aca="false">MAX(0,Quarterly_Actuals!H1392-Quarterly_Actuals!H1425)</f>
        <v>0</v>
      </c>
      <c r="G883" s="6" t="str">
        <f aca="false">IF(ABS(F883)&lt;=H883,"PASS","FAIL")</f>
        <v>PASS</v>
      </c>
      <c r="H883" s="6" t="n">
        <v>0.0001</v>
      </c>
      <c r="I883" s="6"/>
    </row>
    <row r="884" customFormat="false" ht="15" hidden="false" customHeight="false" outlineLevel="0" collapsed="false">
      <c r="A884" s="6" t="s">
        <v>14455</v>
      </c>
      <c r="B884" s="6" t="s">
        <v>14388</v>
      </c>
      <c r="C884" s="6" t="s">
        <v>14406</v>
      </c>
      <c r="D884" s="6" t="s">
        <v>196</v>
      </c>
      <c r="E884" s="6" t="s">
        <v>14456</v>
      </c>
      <c r="F884" s="20" t="n">
        <f aca="false">MAX(0,Quarterly_Actuals!H1454-Quarterly_Actuals!H1392)</f>
        <v>0</v>
      </c>
      <c r="G884" s="6" t="str">
        <f aca="false">IF(ABS(F884)&lt;=H884,"PASS","FAIL")</f>
        <v>PASS</v>
      </c>
      <c r="H884" s="6" t="n">
        <v>0.0001</v>
      </c>
      <c r="I884" s="6"/>
    </row>
    <row r="885" customFormat="false" ht="15" hidden="false" customHeight="false" outlineLevel="0" collapsed="false">
      <c r="A885" s="6" t="s">
        <v>14457</v>
      </c>
      <c r="B885" s="6" t="s">
        <v>14388</v>
      </c>
      <c r="C885" s="6" t="s">
        <v>14409</v>
      </c>
      <c r="D885" s="6" t="s">
        <v>196</v>
      </c>
      <c r="E885" s="6" t="s">
        <v>14458</v>
      </c>
      <c r="F885" s="20" t="n">
        <f aca="false">MAX(0,Quarterly_Actuals!H1490-Quarterly_Actuals!H1500)</f>
        <v>0</v>
      </c>
      <c r="G885" s="6" t="str">
        <f aca="false">IF(ABS(F885)&lt;=H885,"PASS","FAIL")</f>
        <v>PASS</v>
      </c>
      <c r="H885" s="6" t="n">
        <v>0.0001</v>
      </c>
      <c r="I885" s="6"/>
    </row>
    <row r="886" customFormat="false" ht="15" hidden="false" customHeight="false" outlineLevel="0" collapsed="false">
      <c r="A886" s="6" t="s">
        <v>14459</v>
      </c>
      <c r="B886" s="6" t="s">
        <v>14388</v>
      </c>
      <c r="C886" s="6" t="s">
        <v>14412</v>
      </c>
      <c r="D886" s="6" t="s">
        <v>196</v>
      </c>
      <c r="E886" s="6" t="s">
        <v>14460</v>
      </c>
      <c r="F886" s="20" t="n">
        <f aca="false">MAX(0,Quarterly_Actuals!H1508-Quarterly_Actuals!H1490)</f>
        <v>0</v>
      </c>
      <c r="G886" s="6" t="str">
        <f aca="false">IF(ABS(F886)&lt;=H886,"PASS","FAIL")</f>
        <v>PASS</v>
      </c>
      <c r="H886" s="6" t="n">
        <v>0.0001</v>
      </c>
      <c r="I886" s="6"/>
    </row>
    <row r="887" customFormat="false" ht="15" hidden="false" customHeight="false" outlineLevel="0" collapsed="false">
      <c r="A887" s="6" t="s">
        <v>14461</v>
      </c>
      <c r="B887" s="6" t="s">
        <v>14388</v>
      </c>
      <c r="C887" s="6" t="s">
        <v>14423</v>
      </c>
      <c r="D887" s="6" t="s">
        <v>196</v>
      </c>
      <c r="E887" s="6" t="s">
        <v>14462</v>
      </c>
      <c r="F887" s="20" t="n">
        <f aca="false">MAX(0,Quarterly_Actuals!H1523-Quarterly_Actuals!H1534)</f>
        <v>0</v>
      </c>
      <c r="G887" s="6" t="str">
        <f aca="false">IF(ABS(F887)&lt;=H887,"PASS","FAIL")</f>
        <v>PASS</v>
      </c>
      <c r="H887" s="6" t="n">
        <v>0.0001</v>
      </c>
      <c r="I887" s="6"/>
    </row>
    <row r="888" customFormat="false" ht="15" hidden="false" customHeight="false" outlineLevel="0" collapsed="false">
      <c r="A888" s="6" t="s">
        <v>14463</v>
      </c>
      <c r="B888" s="6" t="s">
        <v>14388</v>
      </c>
      <c r="C888" s="6" t="s">
        <v>14389</v>
      </c>
      <c r="D888" s="6" t="s">
        <v>201</v>
      </c>
      <c r="E888" s="6" t="s">
        <v>14464</v>
      </c>
      <c r="F888" s="20" t="n">
        <f aca="false">MAX(0,Quarterly_Actuals!H1393-Quarterly_Actuals!H1426)</f>
        <v>0</v>
      </c>
      <c r="G888" s="6" t="str">
        <f aca="false">IF(ABS(F888)&lt;=H888,"PASS","FAIL")</f>
        <v>PASS</v>
      </c>
      <c r="H888" s="6" t="n">
        <v>0.0001</v>
      </c>
      <c r="I888" s="6"/>
    </row>
    <row r="889" customFormat="false" ht="15" hidden="false" customHeight="false" outlineLevel="0" collapsed="false">
      <c r="A889" s="6" t="s">
        <v>14465</v>
      </c>
      <c r="B889" s="6" t="s">
        <v>14388</v>
      </c>
      <c r="C889" s="6" t="s">
        <v>14406</v>
      </c>
      <c r="D889" s="6" t="s">
        <v>201</v>
      </c>
      <c r="E889" s="6" t="s">
        <v>14466</v>
      </c>
      <c r="F889" s="20" t="n">
        <f aca="false">MAX(0,Quarterly_Actuals!H1455-Quarterly_Actuals!H1393)</f>
        <v>0</v>
      </c>
      <c r="G889" s="6" t="str">
        <f aca="false">IF(ABS(F889)&lt;=H889,"PASS","FAIL")</f>
        <v>PASS</v>
      </c>
      <c r="H889" s="6" t="n">
        <v>0.0001</v>
      </c>
      <c r="I889" s="6"/>
    </row>
    <row r="890" customFormat="false" ht="15" hidden="false" customHeight="false" outlineLevel="0" collapsed="false">
      <c r="A890" s="6" t="s">
        <v>14467</v>
      </c>
      <c r="B890" s="6" t="s">
        <v>14388</v>
      </c>
      <c r="C890" s="6" t="s">
        <v>14409</v>
      </c>
      <c r="D890" s="6" t="s">
        <v>201</v>
      </c>
      <c r="E890" s="6" t="s">
        <v>14468</v>
      </c>
      <c r="F890" s="20" t="n">
        <f aca="false">MAX(0,Quarterly_Actuals!H1491-Quarterly_Actuals!H1501)</f>
        <v>0</v>
      </c>
      <c r="G890" s="6" t="str">
        <f aca="false">IF(ABS(F890)&lt;=H890,"PASS","FAIL")</f>
        <v>PASS</v>
      </c>
      <c r="H890" s="6" t="n">
        <v>0.0001</v>
      </c>
      <c r="I890" s="6"/>
    </row>
    <row r="891" customFormat="false" ht="15" hidden="false" customHeight="false" outlineLevel="0" collapsed="false">
      <c r="A891" s="6" t="s">
        <v>14469</v>
      </c>
      <c r="B891" s="6" t="s">
        <v>14388</v>
      </c>
      <c r="C891" s="6" t="s">
        <v>14412</v>
      </c>
      <c r="D891" s="6" t="s">
        <v>201</v>
      </c>
      <c r="E891" s="6" t="s">
        <v>14470</v>
      </c>
      <c r="F891" s="20" t="n">
        <f aca="false">MAX(0,Quarterly_Actuals!H1509-Quarterly_Actuals!H1491)</f>
        <v>0</v>
      </c>
      <c r="G891" s="6" t="str">
        <f aca="false">IF(ABS(F891)&lt;=H891,"PASS","FAIL")</f>
        <v>PASS</v>
      </c>
      <c r="H891" s="6" t="n">
        <v>0.0001</v>
      </c>
      <c r="I891" s="6"/>
    </row>
    <row r="892" customFormat="false" ht="15" hidden="false" customHeight="false" outlineLevel="0" collapsed="false">
      <c r="A892" s="6" t="s">
        <v>14471</v>
      </c>
      <c r="B892" s="6" t="s">
        <v>14388</v>
      </c>
      <c r="C892" s="6" t="s">
        <v>14423</v>
      </c>
      <c r="D892" s="6" t="s">
        <v>201</v>
      </c>
      <c r="E892" s="6" t="s">
        <v>14472</v>
      </c>
      <c r="F892" s="20" t="n">
        <f aca="false">MAX(0,Quarterly_Actuals!H1524-Quarterly_Actuals!H1535)</f>
        <v>0</v>
      </c>
      <c r="G892" s="6" t="str">
        <f aca="false">IF(ABS(F892)&lt;=H892,"PASS","FAIL")</f>
        <v>PASS</v>
      </c>
      <c r="H892" s="6" t="n">
        <v>0.0001</v>
      </c>
      <c r="I892" s="6"/>
    </row>
    <row r="893" customFormat="false" ht="15" hidden="false" customHeight="false" outlineLevel="0" collapsed="false">
      <c r="A893" s="6" t="s">
        <v>14473</v>
      </c>
      <c r="B893" s="6" t="s">
        <v>14388</v>
      </c>
      <c r="C893" s="6" t="s">
        <v>14389</v>
      </c>
      <c r="D893" s="6" t="s">
        <v>206</v>
      </c>
      <c r="E893" s="6" t="s">
        <v>14474</v>
      </c>
      <c r="F893" s="20" t="n">
        <f aca="false">MAX(0,Quarterly_Actuals!H1394-Quarterly_Actuals!H1427)</f>
        <v>0</v>
      </c>
      <c r="G893" s="6" t="str">
        <f aca="false">IF(ABS(F893)&lt;=H893,"PASS","FAIL")</f>
        <v>PASS</v>
      </c>
      <c r="H893" s="6" t="n">
        <v>0.0001</v>
      </c>
      <c r="I893" s="6"/>
    </row>
    <row r="894" customFormat="false" ht="15" hidden="false" customHeight="false" outlineLevel="0" collapsed="false">
      <c r="A894" s="6" t="s">
        <v>14475</v>
      </c>
      <c r="B894" s="6" t="s">
        <v>14388</v>
      </c>
      <c r="C894" s="6" t="s">
        <v>14406</v>
      </c>
      <c r="D894" s="6" t="s">
        <v>206</v>
      </c>
      <c r="E894" s="6" t="s">
        <v>14476</v>
      </c>
      <c r="F894" s="20" t="n">
        <f aca="false">MAX(0,Quarterly_Actuals!H1456-Quarterly_Actuals!H1394)</f>
        <v>0</v>
      </c>
      <c r="G894" s="6" t="str">
        <f aca="false">IF(ABS(F894)&lt;=H894,"PASS","FAIL")</f>
        <v>PASS</v>
      </c>
      <c r="H894" s="6" t="n">
        <v>0.0001</v>
      </c>
      <c r="I894" s="6"/>
    </row>
    <row r="895" customFormat="false" ht="15" hidden="false" customHeight="false" outlineLevel="0" collapsed="false">
      <c r="A895" s="6" t="s">
        <v>14477</v>
      </c>
      <c r="B895" s="6" t="s">
        <v>14388</v>
      </c>
      <c r="C895" s="6" t="s">
        <v>14409</v>
      </c>
      <c r="D895" s="6" t="s">
        <v>206</v>
      </c>
      <c r="E895" s="6" t="s">
        <v>14478</v>
      </c>
      <c r="F895" s="20" t="n">
        <f aca="false">MAX(0,Quarterly_Actuals!H1492-Quarterly_Actuals!H1502)</f>
        <v>0</v>
      </c>
      <c r="G895" s="6" t="str">
        <f aca="false">IF(ABS(F895)&lt;=H895,"PASS","FAIL")</f>
        <v>PASS</v>
      </c>
      <c r="H895" s="6" t="n">
        <v>0.0001</v>
      </c>
      <c r="I895" s="6"/>
    </row>
    <row r="896" customFormat="false" ht="15" hidden="false" customHeight="false" outlineLevel="0" collapsed="false">
      <c r="A896" s="6" t="s">
        <v>14479</v>
      </c>
      <c r="B896" s="6" t="s">
        <v>14388</v>
      </c>
      <c r="C896" s="6" t="s">
        <v>14412</v>
      </c>
      <c r="D896" s="6" t="s">
        <v>206</v>
      </c>
      <c r="E896" s="6" t="s">
        <v>14480</v>
      </c>
      <c r="F896" s="20" t="n">
        <f aca="false">MAX(0,Quarterly_Actuals!H1510-Quarterly_Actuals!H1492)</f>
        <v>0</v>
      </c>
      <c r="G896" s="6" t="str">
        <f aca="false">IF(ABS(F896)&lt;=H896,"PASS","FAIL")</f>
        <v>PASS</v>
      </c>
      <c r="H896" s="6" t="n">
        <v>0.0001</v>
      </c>
      <c r="I896" s="6"/>
    </row>
    <row r="897" customFormat="false" ht="15" hidden="false" customHeight="false" outlineLevel="0" collapsed="false">
      <c r="A897" s="6" t="s">
        <v>14481</v>
      </c>
      <c r="B897" s="6" t="s">
        <v>14388</v>
      </c>
      <c r="C897" s="6" t="s">
        <v>14423</v>
      </c>
      <c r="D897" s="6" t="s">
        <v>206</v>
      </c>
      <c r="E897" s="6" t="s">
        <v>14482</v>
      </c>
      <c r="F897" s="20" t="n">
        <f aca="false">MAX(0,Quarterly_Actuals!H1525-Quarterly_Actuals!H1536)</f>
        <v>0</v>
      </c>
      <c r="G897" s="6" t="str">
        <f aca="false">IF(ABS(F897)&lt;=H897,"PASS","FAIL")</f>
        <v>PASS</v>
      </c>
      <c r="H897" s="6" t="n">
        <v>0.0001</v>
      </c>
      <c r="I897" s="6"/>
    </row>
    <row r="898" customFormat="false" ht="15" hidden="false" customHeight="false" outlineLevel="0" collapsed="false">
      <c r="A898" s="6" t="s">
        <v>14483</v>
      </c>
      <c r="B898" s="6" t="s">
        <v>14484</v>
      </c>
      <c r="C898" s="6" t="s">
        <v>14485</v>
      </c>
      <c r="D898" s="6" t="s">
        <v>136</v>
      </c>
      <c r="E898" s="6" t="s">
        <v>14486</v>
      </c>
      <c r="F898" s="20" t="n">
        <f aca="false">ROUND(Quarterly_Actuals!H1377/Quarterly_Actuals!H1376-1,2)-Quarterly_Actuals!H1379</f>
        <v>0</v>
      </c>
      <c r="G898" s="6" t="str">
        <f aca="false">IF(ABS(F898)&lt;=H898,"PASS","FAIL")</f>
        <v>PASS</v>
      </c>
      <c r="H898" s="6" t="n">
        <v>0.0001</v>
      </c>
      <c r="I898" s="6"/>
    </row>
    <row r="899" customFormat="false" ht="15" hidden="false" customHeight="false" outlineLevel="0" collapsed="false">
      <c r="A899" s="6" t="s">
        <v>14487</v>
      </c>
      <c r="B899" s="6" t="s">
        <v>14484</v>
      </c>
      <c r="C899" s="6" t="s">
        <v>14488</v>
      </c>
      <c r="D899" s="6" t="s">
        <v>156</v>
      </c>
      <c r="E899" s="6" t="s">
        <v>14489</v>
      </c>
      <c r="F899" s="20" t="n">
        <f aca="false">ROUND(Quarterly_Actuals!H1384/Quarterly_Actuals!H1380-1,2)-Quarterly_Actuals!H1395</f>
        <v>0</v>
      </c>
      <c r="G899" s="6" t="str">
        <f aca="false">IF(ABS(F899)&lt;=H899,"PASS","FAIL")</f>
        <v>PASS</v>
      </c>
      <c r="H899" s="6" t="n">
        <v>0.0001</v>
      </c>
      <c r="I899" s="6"/>
    </row>
    <row r="900" customFormat="false" ht="15" hidden="false" customHeight="false" outlineLevel="0" collapsed="false">
      <c r="A900" s="6" t="s">
        <v>14490</v>
      </c>
      <c r="B900" s="6" t="s">
        <v>14484</v>
      </c>
      <c r="C900" s="6" t="s">
        <v>14488</v>
      </c>
      <c r="D900" s="6" t="s">
        <v>161</v>
      </c>
      <c r="E900" s="6" t="s">
        <v>14491</v>
      </c>
      <c r="F900" s="20" t="n">
        <f aca="false">ROUND(Quarterly_Actuals!H1385/Quarterly_Actuals!H1381-1,2)-Quarterly_Actuals!H1396</f>
        <v>0</v>
      </c>
      <c r="G900" s="6" t="str">
        <f aca="false">IF(ABS(F900)&lt;=H900,"PASS","FAIL")</f>
        <v>PASS</v>
      </c>
      <c r="H900" s="6" t="n">
        <v>0.0001</v>
      </c>
      <c r="I900" s="6"/>
    </row>
    <row r="901" customFormat="false" ht="15" hidden="false" customHeight="false" outlineLevel="0" collapsed="false">
      <c r="A901" s="6" t="s">
        <v>14492</v>
      </c>
      <c r="B901" s="6" t="s">
        <v>14484</v>
      </c>
      <c r="C901" s="6" t="s">
        <v>14488</v>
      </c>
      <c r="D901" s="6" t="s">
        <v>166</v>
      </c>
      <c r="E901" s="6" t="s">
        <v>14493</v>
      </c>
      <c r="F901" s="20" t="n">
        <f aca="false">ROUND(Quarterly_Actuals!H1386/Quarterly_Actuals!H1382-1,2)-Quarterly_Actuals!H1397</f>
        <v>0</v>
      </c>
      <c r="G901" s="6" t="str">
        <f aca="false">IF(ABS(F901)&lt;=H901,"PASS","FAIL")</f>
        <v>PASS</v>
      </c>
      <c r="H901" s="6" t="n">
        <v>0.0001</v>
      </c>
      <c r="I901" s="6"/>
    </row>
    <row r="902" customFormat="false" ht="15" hidden="false" customHeight="false" outlineLevel="0" collapsed="false">
      <c r="A902" s="6" t="s">
        <v>14494</v>
      </c>
      <c r="B902" s="6" t="s">
        <v>14484</v>
      </c>
      <c r="C902" s="6" t="s">
        <v>14488</v>
      </c>
      <c r="D902" s="6" t="s">
        <v>171</v>
      </c>
      <c r="E902" s="6" t="s">
        <v>14495</v>
      </c>
      <c r="F902" s="20" t="n">
        <f aca="false">ROUND(Quarterly_Actuals!H1387/Quarterly_Actuals!H1383-1,2)-Quarterly_Actuals!H1398</f>
        <v>0</v>
      </c>
      <c r="G902" s="6" t="str">
        <f aca="false">IF(ABS(F902)&lt;=H902,"PASS","FAIL")</f>
        <v>PASS</v>
      </c>
      <c r="H902" s="6" t="n">
        <v>0.0001</v>
      </c>
      <c r="I902" s="6"/>
    </row>
    <row r="903" customFormat="false" ht="15" hidden="false" customHeight="false" outlineLevel="0" collapsed="false">
      <c r="A903" s="6" t="s">
        <v>14496</v>
      </c>
      <c r="B903" s="6" t="s">
        <v>14484</v>
      </c>
      <c r="C903" s="6" t="s">
        <v>14488</v>
      </c>
      <c r="D903" s="6" t="s">
        <v>176</v>
      </c>
      <c r="E903" s="6" t="s">
        <v>14497</v>
      </c>
      <c r="F903" s="20" t="n">
        <f aca="false">ROUND(Quarterly_Actuals!H1388/Quarterly_Actuals!H1384-1,2)-Quarterly_Actuals!H1399</f>
        <v>0</v>
      </c>
      <c r="G903" s="6" t="str">
        <f aca="false">IF(ABS(F903)&lt;=H903,"PASS","FAIL")</f>
        <v>PASS</v>
      </c>
      <c r="H903" s="6" t="n">
        <v>0.0001</v>
      </c>
      <c r="I903" s="6"/>
    </row>
    <row r="904" customFormat="false" ht="15" hidden="false" customHeight="false" outlineLevel="0" collapsed="false">
      <c r="A904" s="6" t="s">
        <v>14498</v>
      </c>
      <c r="B904" s="6" t="s">
        <v>14484</v>
      </c>
      <c r="C904" s="6" t="s">
        <v>14488</v>
      </c>
      <c r="D904" s="6" t="s">
        <v>181</v>
      </c>
      <c r="E904" s="6" t="s">
        <v>14499</v>
      </c>
      <c r="F904" s="20" t="n">
        <f aca="false">ROUND(Quarterly_Actuals!H1389/Quarterly_Actuals!H1385-1,2)-Quarterly_Actuals!H1400</f>
        <v>0</v>
      </c>
      <c r="G904" s="6" t="str">
        <f aca="false">IF(ABS(F904)&lt;=H904,"PASS","FAIL")</f>
        <v>PASS</v>
      </c>
      <c r="H904" s="6" t="n">
        <v>0.0001</v>
      </c>
      <c r="I904" s="6"/>
    </row>
    <row r="905" customFormat="false" ht="15" hidden="false" customHeight="false" outlineLevel="0" collapsed="false">
      <c r="A905" s="6" t="s">
        <v>14500</v>
      </c>
      <c r="B905" s="6" t="s">
        <v>14484</v>
      </c>
      <c r="C905" s="6" t="s">
        <v>14488</v>
      </c>
      <c r="D905" s="6" t="s">
        <v>186</v>
      </c>
      <c r="E905" s="6" t="s">
        <v>14501</v>
      </c>
      <c r="F905" s="20" t="n">
        <f aca="false">ROUND(Quarterly_Actuals!H1390/Quarterly_Actuals!H1386-1,2)-Quarterly_Actuals!H1401</f>
        <v>0</v>
      </c>
      <c r="G905" s="6" t="str">
        <f aca="false">IF(ABS(F905)&lt;=H905,"PASS","FAIL")</f>
        <v>PASS</v>
      </c>
      <c r="H905" s="6" t="n">
        <v>0.0001</v>
      </c>
      <c r="I905" s="6"/>
    </row>
    <row r="906" customFormat="false" ht="15" hidden="false" customHeight="false" outlineLevel="0" collapsed="false">
      <c r="A906" s="6" t="s">
        <v>14502</v>
      </c>
      <c r="B906" s="6" t="s">
        <v>14484</v>
      </c>
      <c r="C906" s="6" t="s">
        <v>14488</v>
      </c>
      <c r="D906" s="6" t="s">
        <v>191</v>
      </c>
      <c r="E906" s="6" t="s">
        <v>14503</v>
      </c>
      <c r="F906" s="20" t="n">
        <f aca="false">ROUND(Quarterly_Actuals!H1391/Quarterly_Actuals!H1387-1,2)-Quarterly_Actuals!H1402</f>
        <v>0</v>
      </c>
      <c r="G906" s="6" t="str">
        <f aca="false">IF(ABS(F906)&lt;=H906,"PASS","FAIL")</f>
        <v>PASS</v>
      </c>
      <c r="H906" s="6" t="n">
        <v>0.0001</v>
      </c>
      <c r="I906" s="6"/>
    </row>
    <row r="907" customFormat="false" ht="15" hidden="false" customHeight="false" outlineLevel="0" collapsed="false">
      <c r="A907" s="6" t="s">
        <v>14504</v>
      </c>
      <c r="B907" s="6" t="s">
        <v>14484</v>
      </c>
      <c r="C907" s="6" t="s">
        <v>14488</v>
      </c>
      <c r="D907" s="6" t="s">
        <v>196</v>
      </c>
      <c r="E907" s="6" t="s">
        <v>14505</v>
      </c>
      <c r="F907" s="20" t="n">
        <f aca="false">ROUND(Quarterly_Actuals!H1392/Quarterly_Actuals!H1388-1,2)-Quarterly_Actuals!H1403</f>
        <v>0</v>
      </c>
      <c r="G907" s="6" t="str">
        <f aca="false">IF(ABS(F907)&lt;=H907,"PASS","FAIL")</f>
        <v>PASS</v>
      </c>
      <c r="H907" s="6" t="n">
        <v>0.0001</v>
      </c>
      <c r="I907" s="6"/>
    </row>
    <row r="908" customFormat="false" ht="15" hidden="false" customHeight="false" outlineLevel="0" collapsed="false">
      <c r="A908" s="6" t="s">
        <v>14506</v>
      </c>
      <c r="B908" s="6" t="s">
        <v>14484</v>
      </c>
      <c r="C908" s="6" t="s">
        <v>14488</v>
      </c>
      <c r="D908" s="6" t="s">
        <v>201</v>
      </c>
      <c r="E908" s="6" t="s">
        <v>14507</v>
      </c>
      <c r="F908" s="20" t="n">
        <f aca="false">ROUND(Quarterly_Actuals!H1393/Quarterly_Actuals!H1389-1,2)-Quarterly_Actuals!H1404</f>
        <v>0</v>
      </c>
      <c r="G908" s="6" t="str">
        <f aca="false">IF(ABS(F908)&lt;=H908,"PASS","FAIL")</f>
        <v>PASS</v>
      </c>
      <c r="H908" s="6" t="n">
        <v>0.0001</v>
      </c>
      <c r="I908" s="6"/>
    </row>
    <row r="909" customFormat="false" ht="15" hidden="false" customHeight="false" outlineLevel="0" collapsed="false">
      <c r="A909" s="6" t="s">
        <v>14508</v>
      </c>
      <c r="B909" s="6" t="s">
        <v>14484</v>
      </c>
      <c r="C909" s="6" t="s">
        <v>14488</v>
      </c>
      <c r="D909" s="6" t="s">
        <v>206</v>
      </c>
      <c r="E909" s="6" t="s">
        <v>14509</v>
      </c>
      <c r="F909" s="20" t="n">
        <f aca="false">ROUND(Quarterly_Actuals!H1394/Quarterly_Actuals!H1390-1,2)-Quarterly_Actuals!H1405</f>
        <v>0</v>
      </c>
      <c r="G909" s="6" t="str">
        <f aca="false">IF(ABS(F909)&lt;=H909,"PASS","FAIL")</f>
        <v>PASS</v>
      </c>
      <c r="H909" s="6" t="n">
        <v>0.0001</v>
      </c>
      <c r="I909" s="6"/>
    </row>
    <row r="910" customFormat="false" ht="15" hidden="false" customHeight="false" outlineLevel="0" collapsed="false">
      <c r="A910" s="6" t="s">
        <v>14510</v>
      </c>
      <c r="B910" s="6" t="s">
        <v>14484</v>
      </c>
      <c r="C910" s="6" t="s">
        <v>14511</v>
      </c>
      <c r="D910" s="6" t="s">
        <v>121</v>
      </c>
      <c r="E910" s="6" t="s">
        <v>14512</v>
      </c>
      <c r="F910" s="20" t="n">
        <f aca="false">ROUND(Quarterly_Actuals!H1410/Quarterly_Actuals!H1406-1,2)-Quarterly_Actuals!H1431</f>
        <v>0</v>
      </c>
      <c r="G910" s="6" t="str">
        <f aca="false">IF(ABS(F910)&lt;=H910,"PASS","FAIL")</f>
        <v>PASS</v>
      </c>
      <c r="H910" s="6" t="n">
        <v>0.0001</v>
      </c>
      <c r="I910" s="6"/>
    </row>
    <row r="911" customFormat="false" ht="15" hidden="false" customHeight="false" outlineLevel="0" collapsed="false">
      <c r="A911" s="6" t="s">
        <v>14513</v>
      </c>
      <c r="B911" s="6" t="s">
        <v>14484</v>
      </c>
      <c r="C911" s="6" t="s">
        <v>14511</v>
      </c>
      <c r="D911" s="6" t="s">
        <v>126</v>
      </c>
      <c r="E911" s="6" t="s">
        <v>14514</v>
      </c>
      <c r="F911" s="20" t="n">
        <f aca="false">ROUND(Quarterly_Actuals!H1411/Quarterly_Actuals!H1407-1,2)-Quarterly_Actuals!H1432</f>
        <v>0</v>
      </c>
      <c r="G911" s="6" t="str">
        <f aca="false">IF(ABS(F911)&lt;=H911,"PASS","FAIL")</f>
        <v>PASS</v>
      </c>
      <c r="H911" s="6" t="n">
        <v>0.0001</v>
      </c>
      <c r="I911" s="6"/>
    </row>
    <row r="912" customFormat="false" ht="15" hidden="false" customHeight="false" outlineLevel="0" collapsed="false">
      <c r="A912" s="6" t="s">
        <v>14515</v>
      </c>
      <c r="B912" s="6" t="s">
        <v>14484</v>
      </c>
      <c r="C912" s="6" t="s">
        <v>14511</v>
      </c>
      <c r="D912" s="6" t="s">
        <v>131</v>
      </c>
      <c r="E912" s="6" t="s">
        <v>14516</v>
      </c>
      <c r="F912" s="20" t="n">
        <f aca="false">ROUND(Quarterly_Actuals!H1412/Quarterly_Actuals!H1408-1,2)-Quarterly_Actuals!H1433</f>
        <v>0</v>
      </c>
      <c r="G912" s="6" t="str">
        <f aca="false">IF(ABS(F912)&lt;=H912,"PASS","FAIL")</f>
        <v>PASS</v>
      </c>
      <c r="H912" s="6" t="n">
        <v>0.0001</v>
      </c>
      <c r="I912" s="6"/>
    </row>
    <row r="913" customFormat="false" ht="15" hidden="false" customHeight="false" outlineLevel="0" collapsed="false">
      <c r="A913" s="6" t="s">
        <v>14517</v>
      </c>
      <c r="B913" s="6" t="s">
        <v>14484</v>
      </c>
      <c r="C913" s="6" t="s">
        <v>14511</v>
      </c>
      <c r="D913" s="6" t="s">
        <v>136</v>
      </c>
      <c r="E913" s="6" t="s">
        <v>14518</v>
      </c>
      <c r="F913" s="20" t="n">
        <f aca="false">ROUND(Quarterly_Actuals!H1413/Quarterly_Actuals!H1409-1,2)-Quarterly_Actuals!H1434</f>
        <v>0</v>
      </c>
      <c r="G913" s="6" t="str">
        <f aca="false">IF(ABS(F913)&lt;=H913,"PASS","FAIL")</f>
        <v>PASS</v>
      </c>
      <c r="H913" s="6" t="n">
        <v>0.0001</v>
      </c>
      <c r="I913" s="6"/>
    </row>
    <row r="914" customFormat="false" ht="15" hidden="false" customHeight="false" outlineLevel="0" collapsed="false">
      <c r="A914" s="6" t="s">
        <v>14519</v>
      </c>
      <c r="B914" s="6" t="s">
        <v>14484</v>
      </c>
      <c r="C914" s="6" t="s">
        <v>14511</v>
      </c>
      <c r="D914" s="6" t="s">
        <v>141</v>
      </c>
      <c r="E914" s="6" t="s">
        <v>14520</v>
      </c>
      <c r="F914" s="20" t="n">
        <f aca="false">ROUND(Quarterly_Actuals!H1414/Quarterly_Actuals!H1410-1,2)-Quarterly_Actuals!H1435</f>
        <v>0</v>
      </c>
      <c r="G914" s="6" t="str">
        <f aca="false">IF(ABS(F914)&lt;=H914,"PASS","FAIL")</f>
        <v>PASS</v>
      </c>
      <c r="H914" s="6" t="n">
        <v>0.0001</v>
      </c>
      <c r="I914" s="6"/>
    </row>
    <row r="915" customFormat="false" ht="15" hidden="false" customHeight="false" outlineLevel="0" collapsed="false">
      <c r="A915" s="6" t="s">
        <v>14521</v>
      </c>
      <c r="B915" s="6" t="s">
        <v>14484</v>
      </c>
      <c r="C915" s="6" t="s">
        <v>14511</v>
      </c>
      <c r="D915" s="6" t="s">
        <v>146</v>
      </c>
      <c r="E915" s="6" t="s">
        <v>14522</v>
      </c>
      <c r="F915" s="20" t="n">
        <f aca="false">ROUND(Quarterly_Actuals!H1415/Quarterly_Actuals!H1411-1,2)-Quarterly_Actuals!H1436</f>
        <v>0</v>
      </c>
      <c r="G915" s="6" t="str">
        <f aca="false">IF(ABS(F915)&lt;=H915,"PASS","FAIL")</f>
        <v>PASS</v>
      </c>
      <c r="H915" s="6" t="n">
        <v>0.0001</v>
      </c>
      <c r="I915" s="6"/>
    </row>
    <row r="916" customFormat="false" ht="15" hidden="false" customHeight="false" outlineLevel="0" collapsed="false">
      <c r="A916" s="6" t="s">
        <v>14523</v>
      </c>
      <c r="B916" s="6" t="s">
        <v>14484</v>
      </c>
      <c r="C916" s="6" t="s">
        <v>14511</v>
      </c>
      <c r="D916" s="6" t="s">
        <v>151</v>
      </c>
      <c r="E916" s="6" t="s">
        <v>14524</v>
      </c>
      <c r="F916" s="20" t="n">
        <f aca="false">ROUND(Quarterly_Actuals!H1416/Quarterly_Actuals!H1412-1,2)-Quarterly_Actuals!H1437</f>
        <v>0</v>
      </c>
      <c r="G916" s="6" t="str">
        <f aca="false">IF(ABS(F916)&lt;=H916,"PASS","FAIL")</f>
        <v>PASS</v>
      </c>
      <c r="H916" s="6" t="n">
        <v>0.0001</v>
      </c>
      <c r="I916" s="6"/>
    </row>
    <row r="917" customFormat="false" ht="15" hidden="false" customHeight="false" outlineLevel="0" collapsed="false">
      <c r="A917" s="6" t="s">
        <v>14525</v>
      </c>
      <c r="B917" s="6" t="s">
        <v>14484</v>
      </c>
      <c r="C917" s="6" t="s">
        <v>14511</v>
      </c>
      <c r="D917" s="6" t="s">
        <v>156</v>
      </c>
      <c r="E917" s="6" t="s">
        <v>14526</v>
      </c>
      <c r="F917" s="20" t="n">
        <f aca="false">ROUND(Quarterly_Actuals!H1417/Quarterly_Actuals!H1413-1,2)-Quarterly_Actuals!H1438</f>
        <v>0</v>
      </c>
      <c r="G917" s="6" t="str">
        <f aca="false">IF(ABS(F917)&lt;=H917,"PASS","FAIL")</f>
        <v>PASS</v>
      </c>
      <c r="H917" s="6" t="n">
        <v>0.0001</v>
      </c>
      <c r="I917" s="6"/>
    </row>
    <row r="918" customFormat="false" ht="15" hidden="false" customHeight="false" outlineLevel="0" collapsed="false">
      <c r="A918" s="6" t="s">
        <v>14527</v>
      </c>
      <c r="B918" s="6" t="s">
        <v>14484</v>
      </c>
      <c r="C918" s="6" t="s">
        <v>14511</v>
      </c>
      <c r="D918" s="6" t="s">
        <v>161</v>
      </c>
      <c r="E918" s="6" t="s">
        <v>14528</v>
      </c>
      <c r="F918" s="20" t="n">
        <f aca="false">ROUND(Quarterly_Actuals!H1418/Quarterly_Actuals!H1414-1,2)-Quarterly_Actuals!H1439</f>
        <v>0</v>
      </c>
      <c r="G918" s="6" t="str">
        <f aca="false">IF(ABS(F918)&lt;=H918,"PASS","FAIL")</f>
        <v>PASS</v>
      </c>
      <c r="H918" s="6" t="n">
        <v>0.0001</v>
      </c>
      <c r="I918" s="6"/>
    </row>
    <row r="919" customFormat="false" ht="15" hidden="false" customHeight="false" outlineLevel="0" collapsed="false">
      <c r="A919" s="6" t="s">
        <v>14529</v>
      </c>
      <c r="B919" s="6" t="s">
        <v>14484</v>
      </c>
      <c r="C919" s="6" t="s">
        <v>14511</v>
      </c>
      <c r="D919" s="6" t="s">
        <v>166</v>
      </c>
      <c r="E919" s="6" t="s">
        <v>14530</v>
      </c>
      <c r="F919" s="20" t="n">
        <f aca="false">ROUND(Quarterly_Actuals!H1419/Quarterly_Actuals!H1415-1,2)-Quarterly_Actuals!H1440</f>
        <v>0</v>
      </c>
      <c r="G919" s="6" t="str">
        <f aca="false">IF(ABS(F919)&lt;=H919,"PASS","FAIL")</f>
        <v>PASS</v>
      </c>
      <c r="H919" s="6" t="n">
        <v>0.0001</v>
      </c>
      <c r="I919" s="6"/>
    </row>
    <row r="920" customFormat="false" ht="15" hidden="false" customHeight="false" outlineLevel="0" collapsed="false">
      <c r="A920" s="6" t="s">
        <v>14531</v>
      </c>
      <c r="B920" s="6" t="s">
        <v>14484</v>
      </c>
      <c r="C920" s="6" t="s">
        <v>14511</v>
      </c>
      <c r="D920" s="6" t="s">
        <v>171</v>
      </c>
      <c r="E920" s="6" t="s">
        <v>14532</v>
      </c>
      <c r="F920" s="20" t="n">
        <f aca="false">ROUND(Quarterly_Actuals!H1420/Quarterly_Actuals!H1416-1,2)-Quarterly_Actuals!H1441</f>
        <v>0</v>
      </c>
      <c r="G920" s="6" t="str">
        <f aca="false">IF(ABS(F920)&lt;=H920,"PASS","FAIL")</f>
        <v>PASS</v>
      </c>
      <c r="H920" s="6" t="n">
        <v>0.0001</v>
      </c>
      <c r="I920" s="6"/>
    </row>
    <row r="921" customFormat="false" ht="15" hidden="false" customHeight="false" outlineLevel="0" collapsed="false">
      <c r="A921" s="6" t="s">
        <v>14533</v>
      </c>
      <c r="B921" s="6" t="s">
        <v>14484</v>
      </c>
      <c r="C921" s="6" t="s">
        <v>14511</v>
      </c>
      <c r="D921" s="6" t="s">
        <v>176</v>
      </c>
      <c r="E921" s="6" t="s">
        <v>14534</v>
      </c>
      <c r="F921" s="20" t="n">
        <f aca="false">ROUND(Quarterly_Actuals!H1421/Quarterly_Actuals!H1417-1,2)-Quarterly_Actuals!H1442</f>
        <v>0</v>
      </c>
      <c r="G921" s="6" t="str">
        <f aca="false">IF(ABS(F921)&lt;=H921,"PASS","FAIL")</f>
        <v>PASS</v>
      </c>
      <c r="H921" s="6" t="n">
        <v>0.0001</v>
      </c>
      <c r="I921" s="6"/>
    </row>
    <row r="922" customFormat="false" ht="15" hidden="false" customHeight="false" outlineLevel="0" collapsed="false">
      <c r="A922" s="6" t="s">
        <v>14535</v>
      </c>
      <c r="B922" s="6" t="s">
        <v>14484</v>
      </c>
      <c r="C922" s="6" t="s">
        <v>14511</v>
      </c>
      <c r="D922" s="6" t="s">
        <v>181</v>
      </c>
      <c r="E922" s="6" t="s">
        <v>14536</v>
      </c>
      <c r="F922" s="20" t="n">
        <f aca="false">ROUND(Quarterly_Actuals!H1422/Quarterly_Actuals!H1418-1,2)-Quarterly_Actuals!H1443</f>
        <v>0</v>
      </c>
      <c r="G922" s="6" t="str">
        <f aca="false">IF(ABS(F922)&lt;=H922,"PASS","FAIL")</f>
        <v>PASS</v>
      </c>
      <c r="H922" s="6" t="n">
        <v>0.0001</v>
      </c>
      <c r="I922" s="6"/>
    </row>
    <row r="923" customFormat="false" ht="15" hidden="false" customHeight="false" outlineLevel="0" collapsed="false">
      <c r="A923" s="6" t="s">
        <v>14537</v>
      </c>
      <c r="B923" s="6" t="s">
        <v>14484</v>
      </c>
      <c r="C923" s="6" t="s">
        <v>14511</v>
      </c>
      <c r="D923" s="6" t="s">
        <v>186</v>
      </c>
      <c r="E923" s="6" t="s">
        <v>14538</v>
      </c>
      <c r="F923" s="20" t="n">
        <f aca="false">ROUND(Quarterly_Actuals!H1423/Quarterly_Actuals!H1419-1,2)-Quarterly_Actuals!H1444</f>
        <v>0</v>
      </c>
      <c r="G923" s="6" t="str">
        <f aca="false">IF(ABS(F923)&lt;=H923,"PASS","FAIL")</f>
        <v>PASS</v>
      </c>
      <c r="H923" s="6" t="n">
        <v>0.0001</v>
      </c>
      <c r="I923" s="6"/>
    </row>
    <row r="924" customFormat="false" ht="15" hidden="false" customHeight="false" outlineLevel="0" collapsed="false">
      <c r="A924" s="6" t="s">
        <v>14539</v>
      </c>
      <c r="B924" s="6" t="s">
        <v>14484</v>
      </c>
      <c r="C924" s="6" t="s">
        <v>14511</v>
      </c>
      <c r="D924" s="6" t="s">
        <v>191</v>
      </c>
      <c r="E924" s="6" t="s">
        <v>14540</v>
      </c>
      <c r="F924" s="20" t="n">
        <f aca="false">ROUND(Quarterly_Actuals!H1424/Quarterly_Actuals!H1420-1,2)-Quarterly_Actuals!H1445</f>
        <v>0</v>
      </c>
      <c r="G924" s="6" t="str">
        <f aca="false">IF(ABS(F924)&lt;=H924,"PASS","FAIL")</f>
        <v>PASS</v>
      </c>
      <c r="H924" s="6" t="n">
        <v>0.0001</v>
      </c>
      <c r="I924" s="6"/>
    </row>
    <row r="925" customFormat="false" ht="15" hidden="false" customHeight="false" outlineLevel="0" collapsed="false">
      <c r="A925" s="6" t="s">
        <v>14541</v>
      </c>
      <c r="B925" s="6" t="s">
        <v>14484</v>
      </c>
      <c r="C925" s="6" t="s">
        <v>14511</v>
      </c>
      <c r="D925" s="6" t="s">
        <v>196</v>
      </c>
      <c r="E925" s="6" t="s">
        <v>14542</v>
      </c>
      <c r="F925" s="20" t="n">
        <f aca="false">ROUND(Quarterly_Actuals!H1425/Quarterly_Actuals!H1421-1,2)-Quarterly_Actuals!H1446</f>
        <v>0</v>
      </c>
      <c r="G925" s="6" t="str">
        <f aca="false">IF(ABS(F925)&lt;=H925,"PASS","FAIL")</f>
        <v>PASS</v>
      </c>
      <c r="H925" s="6" t="n">
        <v>0.0001</v>
      </c>
      <c r="I925" s="6"/>
    </row>
    <row r="926" customFormat="false" ht="15" hidden="false" customHeight="false" outlineLevel="0" collapsed="false">
      <c r="A926" s="6" t="s">
        <v>14543</v>
      </c>
      <c r="B926" s="6" t="s">
        <v>14484</v>
      </c>
      <c r="C926" s="6" t="s">
        <v>14511</v>
      </c>
      <c r="D926" s="6" t="s">
        <v>201</v>
      </c>
      <c r="E926" s="6" t="s">
        <v>14544</v>
      </c>
      <c r="F926" s="20" t="n">
        <f aca="false">ROUND(Quarterly_Actuals!H1426/Quarterly_Actuals!H1422-1,2)-Quarterly_Actuals!H1447</f>
        <v>0</v>
      </c>
      <c r="G926" s="6" t="str">
        <f aca="false">IF(ABS(F926)&lt;=H926,"PASS","FAIL")</f>
        <v>PASS</v>
      </c>
      <c r="H926" s="6" t="n">
        <v>0.0001</v>
      </c>
      <c r="I926" s="6"/>
    </row>
    <row r="927" customFormat="false" ht="15" hidden="false" customHeight="false" outlineLevel="0" collapsed="false">
      <c r="A927" s="6" t="s">
        <v>14545</v>
      </c>
      <c r="B927" s="6" t="s">
        <v>14484</v>
      </c>
      <c r="C927" s="6" t="s">
        <v>14511</v>
      </c>
      <c r="D927" s="6" t="s">
        <v>206</v>
      </c>
      <c r="E927" s="6" t="s">
        <v>14546</v>
      </c>
      <c r="F927" s="20" t="n">
        <f aca="false">ROUND(Quarterly_Actuals!H1427/Quarterly_Actuals!H1423-1,2)-Quarterly_Actuals!H1448</f>
        <v>0</v>
      </c>
      <c r="G927" s="6" t="str">
        <f aca="false">IF(ABS(F927)&lt;=H927,"PASS","FAIL")</f>
        <v>PASS</v>
      </c>
      <c r="H927" s="6" t="n">
        <v>0.0001</v>
      </c>
      <c r="I927" s="6"/>
    </row>
    <row r="928" customFormat="false" ht="15" hidden="false" customHeight="false" outlineLevel="0" collapsed="false">
      <c r="A928" s="6" t="s">
        <v>14547</v>
      </c>
      <c r="B928" s="6" t="s">
        <v>14484</v>
      </c>
      <c r="C928" s="6" t="s">
        <v>14548</v>
      </c>
      <c r="D928" s="6" t="s">
        <v>191</v>
      </c>
      <c r="E928" s="6" t="s">
        <v>14549</v>
      </c>
      <c r="F928" s="20" t="n">
        <f aca="false">ROUND(Quarterly_Actuals!H1453/Quarterly_Actuals!H1449-1,2)-Quarterly_Actuals!H1457</f>
        <v>0</v>
      </c>
      <c r="G928" s="6" t="str">
        <f aca="false">IF(ABS(F928)&lt;=H928,"PASS","FAIL")</f>
        <v>PASS</v>
      </c>
      <c r="H928" s="6" t="n">
        <v>0.0001</v>
      </c>
      <c r="I928" s="6"/>
    </row>
    <row r="929" customFormat="false" ht="15" hidden="false" customHeight="false" outlineLevel="0" collapsed="false">
      <c r="A929" s="6" t="s">
        <v>14550</v>
      </c>
      <c r="B929" s="6" t="s">
        <v>14484</v>
      </c>
      <c r="C929" s="6" t="s">
        <v>14548</v>
      </c>
      <c r="D929" s="6" t="s">
        <v>196</v>
      </c>
      <c r="E929" s="6" t="s">
        <v>14551</v>
      </c>
      <c r="F929" s="20" t="n">
        <f aca="false">ROUND(Quarterly_Actuals!H1454/Quarterly_Actuals!H1450-1,2)-Quarterly_Actuals!H1458</f>
        <v>0</v>
      </c>
      <c r="G929" s="6" t="str">
        <f aca="false">IF(ABS(F929)&lt;=H929,"PASS","FAIL")</f>
        <v>PASS</v>
      </c>
      <c r="H929" s="6" t="n">
        <v>0.0001</v>
      </c>
      <c r="I929" s="6"/>
    </row>
    <row r="930" customFormat="false" ht="15" hidden="false" customHeight="false" outlineLevel="0" collapsed="false">
      <c r="A930" s="6" t="s">
        <v>14552</v>
      </c>
      <c r="B930" s="6" t="s">
        <v>14484</v>
      </c>
      <c r="C930" s="6" t="s">
        <v>14548</v>
      </c>
      <c r="D930" s="6" t="s">
        <v>201</v>
      </c>
      <c r="E930" s="6" t="s">
        <v>14553</v>
      </c>
      <c r="F930" s="20" t="n">
        <f aca="false">ROUND(Quarterly_Actuals!H1455/Quarterly_Actuals!H1451-1,2)-Quarterly_Actuals!H1459</f>
        <v>0</v>
      </c>
      <c r="G930" s="6" t="str">
        <f aca="false">IF(ABS(F930)&lt;=H930,"PASS","FAIL")</f>
        <v>PASS</v>
      </c>
      <c r="H930" s="6" t="n">
        <v>0.0001</v>
      </c>
      <c r="I930" s="6"/>
    </row>
    <row r="931" customFormat="false" ht="15" hidden="false" customHeight="false" outlineLevel="0" collapsed="false">
      <c r="A931" s="6" t="s">
        <v>14554</v>
      </c>
      <c r="B931" s="6" t="s">
        <v>14484</v>
      </c>
      <c r="C931" s="6" t="s">
        <v>14548</v>
      </c>
      <c r="D931" s="6" t="s">
        <v>206</v>
      </c>
      <c r="E931" s="6" t="s">
        <v>14555</v>
      </c>
      <c r="F931" s="20" t="n">
        <f aca="false">ROUND(Quarterly_Actuals!H1456/Quarterly_Actuals!H1452-1,2)-Quarterly_Actuals!H1460</f>
        <v>0</v>
      </c>
      <c r="G931" s="6" t="str">
        <f aca="false">IF(ABS(F931)&lt;=H931,"PASS","FAIL")</f>
        <v>PASS</v>
      </c>
      <c r="H931" s="6" t="n">
        <v>0.0001</v>
      </c>
      <c r="I931" s="6"/>
    </row>
    <row r="932" customFormat="false" ht="15" hidden="false" customHeight="false" outlineLevel="0" collapsed="false">
      <c r="A932" s="6" t="s">
        <v>14556</v>
      </c>
      <c r="B932" s="6" t="s">
        <v>14484</v>
      </c>
      <c r="C932" s="6" t="s">
        <v>14557</v>
      </c>
      <c r="D932" s="6" t="s">
        <v>161</v>
      </c>
      <c r="E932" s="6" t="s">
        <v>14558</v>
      </c>
      <c r="F932" s="20" t="n">
        <f aca="false">ROUND(Quarterly_Actuals!H1465/Quarterly_Actuals!H1461-1,2)-Quarterly_Actuals!H1475</f>
        <v>0</v>
      </c>
      <c r="G932" s="6" t="str">
        <f aca="false">IF(ABS(F932)&lt;=H932,"PASS","FAIL")</f>
        <v>PASS</v>
      </c>
      <c r="H932" s="6" t="n">
        <v>0.0001</v>
      </c>
      <c r="I932" s="6"/>
    </row>
    <row r="933" customFormat="false" ht="15" hidden="false" customHeight="false" outlineLevel="0" collapsed="false">
      <c r="A933" s="6" t="s">
        <v>14559</v>
      </c>
      <c r="B933" s="6" t="s">
        <v>14484</v>
      </c>
      <c r="C933" s="6" t="s">
        <v>14557</v>
      </c>
      <c r="D933" s="6" t="s">
        <v>166</v>
      </c>
      <c r="E933" s="6" t="s">
        <v>14560</v>
      </c>
      <c r="F933" s="20" t="n">
        <f aca="false">ROUND(Quarterly_Actuals!H1466/Quarterly_Actuals!H1462-1,2)-Quarterly_Actuals!H1476</f>
        <v>0</v>
      </c>
      <c r="G933" s="6" t="str">
        <f aca="false">IF(ABS(F933)&lt;=H933,"PASS","FAIL")</f>
        <v>PASS</v>
      </c>
      <c r="H933" s="6" t="n">
        <v>0.0001</v>
      </c>
      <c r="I933" s="6"/>
    </row>
    <row r="934" customFormat="false" ht="15" hidden="false" customHeight="false" outlineLevel="0" collapsed="false">
      <c r="A934" s="6" t="s">
        <v>14561</v>
      </c>
      <c r="B934" s="6" t="s">
        <v>14484</v>
      </c>
      <c r="C934" s="6" t="s">
        <v>14557</v>
      </c>
      <c r="D934" s="6" t="s">
        <v>171</v>
      </c>
      <c r="E934" s="6" t="s">
        <v>14562</v>
      </c>
      <c r="F934" s="20" t="n">
        <f aca="false">ROUND(Quarterly_Actuals!H1467/Quarterly_Actuals!H1463-1,2)-Quarterly_Actuals!H1477</f>
        <v>0</v>
      </c>
      <c r="G934" s="6" t="str">
        <f aca="false">IF(ABS(F934)&lt;=H934,"PASS","FAIL")</f>
        <v>PASS</v>
      </c>
      <c r="H934" s="6" t="n">
        <v>0.0001</v>
      </c>
      <c r="I934" s="6"/>
    </row>
    <row r="935" customFormat="false" ht="15" hidden="false" customHeight="false" outlineLevel="0" collapsed="false">
      <c r="A935" s="6" t="s">
        <v>14563</v>
      </c>
      <c r="B935" s="6" t="s">
        <v>14484</v>
      </c>
      <c r="C935" s="6" t="s">
        <v>14557</v>
      </c>
      <c r="D935" s="6" t="s">
        <v>176</v>
      </c>
      <c r="E935" s="6" t="s">
        <v>14564</v>
      </c>
      <c r="F935" s="20" t="n">
        <f aca="false">ROUND(Quarterly_Actuals!H1468/Quarterly_Actuals!H1464-1,2)-Quarterly_Actuals!H1478</f>
        <v>0</v>
      </c>
      <c r="G935" s="6" t="str">
        <f aca="false">IF(ABS(F935)&lt;=H935,"PASS","FAIL")</f>
        <v>PASS</v>
      </c>
      <c r="H935" s="6" t="n">
        <v>0.0001</v>
      </c>
      <c r="I935" s="6"/>
    </row>
    <row r="936" customFormat="false" ht="15" hidden="false" customHeight="false" outlineLevel="0" collapsed="false">
      <c r="A936" s="6" t="s">
        <v>14565</v>
      </c>
      <c r="B936" s="6" t="s">
        <v>14484</v>
      </c>
      <c r="C936" s="6" t="s">
        <v>14557</v>
      </c>
      <c r="D936" s="6" t="s">
        <v>181</v>
      </c>
      <c r="E936" s="6" t="s">
        <v>14566</v>
      </c>
      <c r="F936" s="20" t="n">
        <f aca="false">ROUND(Quarterly_Actuals!H1469/Quarterly_Actuals!H1465-1,2)-Quarterly_Actuals!H1479</f>
        <v>0</v>
      </c>
      <c r="G936" s="6" t="str">
        <f aca="false">IF(ABS(F936)&lt;=H936,"PASS","FAIL")</f>
        <v>PASS</v>
      </c>
      <c r="H936" s="6" t="n">
        <v>0.0001</v>
      </c>
      <c r="I936" s="6"/>
    </row>
    <row r="937" customFormat="false" ht="15" hidden="false" customHeight="false" outlineLevel="0" collapsed="false">
      <c r="A937" s="6" t="s">
        <v>14567</v>
      </c>
      <c r="B937" s="6" t="s">
        <v>14484</v>
      </c>
      <c r="C937" s="6" t="s">
        <v>14557</v>
      </c>
      <c r="D937" s="6" t="s">
        <v>186</v>
      </c>
      <c r="E937" s="6" t="s">
        <v>14568</v>
      </c>
      <c r="F937" s="20" t="n">
        <f aca="false">ROUND(Quarterly_Actuals!H1470/Quarterly_Actuals!H1466-1,2)-Quarterly_Actuals!H1480</f>
        <v>0</v>
      </c>
      <c r="G937" s="6" t="str">
        <f aca="false">IF(ABS(F937)&lt;=H937,"PASS","FAIL")</f>
        <v>PASS</v>
      </c>
      <c r="H937" s="6" t="n">
        <v>0.0001</v>
      </c>
      <c r="I937" s="6"/>
    </row>
    <row r="938" customFormat="false" ht="15" hidden="false" customHeight="false" outlineLevel="0" collapsed="false">
      <c r="A938" s="6" t="s">
        <v>14569</v>
      </c>
      <c r="B938" s="6" t="s">
        <v>14484</v>
      </c>
      <c r="C938" s="6" t="s">
        <v>14557</v>
      </c>
      <c r="D938" s="6" t="s">
        <v>191</v>
      </c>
      <c r="E938" s="6" t="s">
        <v>14570</v>
      </c>
      <c r="F938" s="20" t="n">
        <f aca="false">ROUND(Quarterly_Actuals!H1471/Quarterly_Actuals!H1467-1,2)-Quarterly_Actuals!H1481</f>
        <v>0</v>
      </c>
      <c r="G938" s="6" t="str">
        <f aca="false">IF(ABS(F938)&lt;=H938,"PASS","FAIL")</f>
        <v>PASS</v>
      </c>
      <c r="H938" s="6" t="n">
        <v>0.0001</v>
      </c>
      <c r="I938" s="6"/>
    </row>
    <row r="939" customFormat="false" ht="15" hidden="false" customHeight="false" outlineLevel="0" collapsed="false">
      <c r="A939" s="6" t="s">
        <v>14571</v>
      </c>
      <c r="B939" s="6" t="s">
        <v>14484</v>
      </c>
      <c r="C939" s="6" t="s">
        <v>14557</v>
      </c>
      <c r="D939" s="6" t="s">
        <v>196</v>
      </c>
      <c r="E939" s="6" t="s">
        <v>14572</v>
      </c>
      <c r="F939" s="20" t="n">
        <f aca="false">ROUND(Quarterly_Actuals!H1472/Quarterly_Actuals!H1468-1,2)-Quarterly_Actuals!H1482</f>
        <v>0</v>
      </c>
      <c r="G939" s="6" t="str">
        <f aca="false">IF(ABS(F939)&lt;=H939,"PASS","FAIL")</f>
        <v>PASS</v>
      </c>
      <c r="H939" s="6" t="n">
        <v>0.0001</v>
      </c>
      <c r="I939" s="6"/>
    </row>
    <row r="940" customFormat="false" ht="15" hidden="false" customHeight="false" outlineLevel="0" collapsed="false">
      <c r="A940" s="6" t="s">
        <v>14573</v>
      </c>
      <c r="B940" s="6" t="s">
        <v>14484</v>
      </c>
      <c r="C940" s="6" t="s">
        <v>14557</v>
      </c>
      <c r="D940" s="6" t="s">
        <v>201</v>
      </c>
      <c r="E940" s="6" t="s">
        <v>14574</v>
      </c>
      <c r="F940" s="20" t="n">
        <f aca="false">ROUND(Quarterly_Actuals!H1473/Quarterly_Actuals!H1469-1,2)-Quarterly_Actuals!H1483</f>
        <v>0</v>
      </c>
      <c r="G940" s="6" t="str">
        <f aca="false">IF(ABS(F940)&lt;=H940,"PASS","FAIL")</f>
        <v>PASS</v>
      </c>
      <c r="H940" s="6" t="n">
        <v>0.0001</v>
      </c>
      <c r="I940" s="6"/>
    </row>
    <row r="941" customFormat="false" ht="15" hidden="false" customHeight="false" outlineLevel="0" collapsed="false">
      <c r="A941" s="6" t="s">
        <v>14575</v>
      </c>
      <c r="B941" s="6" t="s">
        <v>14484</v>
      </c>
      <c r="C941" s="6" t="s">
        <v>14557</v>
      </c>
      <c r="D941" s="6" t="s">
        <v>206</v>
      </c>
      <c r="E941" s="6" t="s">
        <v>14576</v>
      </c>
      <c r="F941" s="20" t="n">
        <f aca="false">ROUND(Quarterly_Actuals!H1474/Quarterly_Actuals!H1470-1,2)-Quarterly_Actuals!H1484</f>
        <v>0</v>
      </c>
      <c r="G941" s="6" t="str">
        <f aca="false">IF(ABS(F941)&lt;=H941,"PASS","FAIL")</f>
        <v>PASS</v>
      </c>
      <c r="H941" s="6" t="n">
        <v>0.0001</v>
      </c>
      <c r="I941" s="6"/>
    </row>
    <row r="942" customFormat="false" ht="15" hidden="false" customHeight="false" outlineLevel="0" collapsed="false">
      <c r="A942" s="6" t="s">
        <v>14577</v>
      </c>
      <c r="B942" s="6" t="s">
        <v>14484</v>
      </c>
      <c r="C942" s="6" t="s">
        <v>14578</v>
      </c>
      <c r="D942" s="6" t="s">
        <v>196</v>
      </c>
      <c r="E942" s="6" t="s">
        <v>14579</v>
      </c>
      <c r="F942" s="20" t="n">
        <f aca="false">ROUND(Quarterly_Actuals!H1523/Quarterly_Actuals!H1520-1,2)-Quarterly_Actuals!H1526</f>
        <v>0</v>
      </c>
      <c r="G942" s="6" t="str">
        <f aca="false">IF(ABS(F942)&lt;=H942,"PASS","FAIL")</f>
        <v>PASS</v>
      </c>
      <c r="H942" s="6" t="n">
        <v>0.0101</v>
      </c>
      <c r="I942" s="6"/>
    </row>
    <row r="943" customFormat="false" ht="15" hidden="false" customHeight="false" outlineLevel="0" collapsed="false">
      <c r="A943" s="6" t="s">
        <v>14580</v>
      </c>
      <c r="B943" s="6" t="s">
        <v>14484</v>
      </c>
      <c r="C943" s="6" t="s">
        <v>14578</v>
      </c>
      <c r="D943" s="6" t="s">
        <v>201</v>
      </c>
      <c r="E943" s="6" t="s">
        <v>14581</v>
      </c>
      <c r="F943" s="20" t="n">
        <f aca="false">ROUND(Quarterly_Actuals!H1524/Quarterly_Actuals!H1521-1,2)-Quarterly_Actuals!H1527</f>
        <v>0</v>
      </c>
      <c r="G943" s="6" t="str">
        <f aca="false">IF(ABS(F943)&lt;=H943,"PASS","FAIL")</f>
        <v>PASS</v>
      </c>
      <c r="H943" s="6" t="n">
        <v>0.0101</v>
      </c>
      <c r="I943" s="6"/>
    </row>
    <row r="944" customFormat="false" ht="15" hidden="false" customHeight="false" outlineLevel="0" collapsed="false">
      <c r="A944" s="6" t="s">
        <v>14582</v>
      </c>
      <c r="B944" s="6" t="s">
        <v>14484</v>
      </c>
      <c r="C944" s="6" t="s">
        <v>14578</v>
      </c>
      <c r="D944" s="6" t="s">
        <v>206</v>
      </c>
      <c r="E944" s="6" t="s">
        <v>14583</v>
      </c>
      <c r="F944" s="20" t="n">
        <f aca="false">ROUND(Quarterly_Actuals!H1525/Quarterly_Actuals!H1522-1,2)-Quarterly_Actuals!H1528</f>
        <v>0.01</v>
      </c>
      <c r="G944" s="6" t="str">
        <f aca="false">IF(ABS(F944)&lt;=H944,"PASS","FAIL")</f>
        <v>PASS</v>
      </c>
      <c r="H944" s="6" t="n">
        <v>0.0101</v>
      </c>
      <c r="I944" s="6"/>
    </row>
    <row r="945" customFormat="false" ht="15" hidden="false" customHeight="false" outlineLevel="0" collapsed="false">
      <c r="A945" s="6" t="s">
        <v>14584</v>
      </c>
      <c r="B945" s="6" t="s">
        <v>14484</v>
      </c>
      <c r="C945" s="6" t="s">
        <v>14585</v>
      </c>
      <c r="D945" s="6" t="s">
        <v>191</v>
      </c>
      <c r="E945" s="6" t="s">
        <v>14586</v>
      </c>
      <c r="F945" s="20" t="n">
        <f aca="false">ROUND(Quarterly_Actuals!H1533/Quarterly_Actuals!H1529-1,2)-Quarterly_Actuals!H1537</f>
        <v>0</v>
      </c>
      <c r="G945" s="6" t="str">
        <f aca="false">IF(ABS(F945)&lt;=H945,"PASS","FAIL")</f>
        <v>PASS</v>
      </c>
      <c r="H945" s="6" t="n">
        <v>0.0101</v>
      </c>
      <c r="I945" s="6"/>
    </row>
    <row r="946" customFormat="false" ht="15" hidden="false" customHeight="false" outlineLevel="0" collapsed="false">
      <c r="A946" s="6" t="s">
        <v>14587</v>
      </c>
      <c r="B946" s="6" t="s">
        <v>14484</v>
      </c>
      <c r="C946" s="6" t="s">
        <v>14585</v>
      </c>
      <c r="D946" s="6" t="s">
        <v>196</v>
      </c>
      <c r="E946" s="6" t="s">
        <v>14588</v>
      </c>
      <c r="F946" s="20" t="n">
        <f aca="false">ROUND(Quarterly_Actuals!H1534/Quarterly_Actuals!H1530-1,2)-Quarterly_Actuals!H1538</f>
        <v>0</v>
      </c>
      <c r="G946" s="6" t="str">
        <f aca="false">IF(ABS(F946)&lt;=H946,"PASS","FAIL")</f>
        <v>PASS</v>
      </c>
      <c r="H946" s="6" t="n">
        <v>0.0101</v>
      </c>
      <c r="I946" s="6"/>
    </row>
    <row r="947" customFormat="false" ht="15" hidden="false" customHeight="false" outlineLevel="0" collapsed="false">
      <c r="A947" s="6" t="s">
        <v>14589</v>
      </c>
      <c r="B947" s="6" t="s">
        <v>14484</v>
      </c>
      <c r="C947" s="6" t="s">
        <v>14585</v>
      </c>
      <c r="D947" s="6" t="s">
        <v>201</v>
      </c>
      <c r="E947" s="6" t="s">
        <v>14590</v>
      </c>
      <c r="F947" s="20" t="n">
        <f aca="false">ROUND(Quarterly_Actuals!H1535/Quarterly_Actuals!H1531-1,2)-Quarterly_Actuals!H1539</f>
        <v>0</v>
      </c>
      <c r="G947" s="6" t="str">
        <f aca="false">IF(ABS(F947)&lt;=H947,"PASS","FAIL")</f>
        <v>PASS</v>
      </c>
      <c r="H947" s="6" t="n">
        <v>0.0101</v>
      </c>
      <c r="I947" s="6"/>
    </row>
    <row r="948" customFormat="false" ht="15" hidden="false" customHeight="false" outlineLevel="0" collapsed="false">
      <c r="A948" s="6" t="s">
        <v>14591</v>
      </c>
      <c r="B948" s="6" t="s">
        <v>14484</v>
      </c>
      <c r="C948" s="6" t="s">
        <v>14585</v>
      </c>
      <c r="D948" s="6" t="s">
        <v>206</v>
      </c>
      <c r="E948" s="6" t="s">
        <v>14592</v>
      </c>
      <c r="F948" s="20" t="n">
        <f aca="false">ROUND(Quarterly_Actuals!H1536/Quarterly_Actuals!H1532-1,2)-Quarterly_Actuals!H1540</f>
        <v>0</v>
      </c>
      <c r="G948" s="6" t="str">
        <f aca="false">IF(ABS(F948)&lt;=H948,"PASS","FAIL")</f>
        <v>PASS</v>
      </c>
      <c r="H948" s="6" t="n">
        <v>0.0101</v>
      </c>
      <c r="I948" s="6"/>
    </row>
    <row r="949" customFormat="false" ht="15" hidden="false" customHeight="false" outlineLevel="0" collapsed="false">
      <c r="A949" s="6" t="s">
        <v>14593</v>
      </c>
      <c r="B949" s="6" t="s">
        <v>14594</v>
      </c>
      <c r="C949" s="6" t="s">
        <v>14595</v>
      </c>
      <c r="D949" s="6" t="s">
        <v>212</v>
      </c>
      <c r="E949" s="6" t="s">
        <v>14596</v>
      </c>
      <c r="F949" s="20" t="n">
        <f aca="false">Quarterly_Actuals!H8-Annual!G2</f>
        <v>0</v>
      </c>
      <c r="G949" s="6" t="str">
        <f aca="false">IF(ABS(F949)&lt;=H949,"PASS","FAIL")</f>
        <v>PASS</v>
      </c>
      <c r="H949" s="6" t="n">
        <v>0.5</v>
      </c>
      <c r="I949" s="6"/>
    </row>
    <row r="950" customFormat="false" ht="15" hidden="false" customHeight="false" outlineLevel="0" collapsed="false">
      <c r="A950" s="6" t="s">
        <v>14597</v>
      </c>
      <c r="B950" s="6" t="s">
        <v>14594</v>
      </c>
      <c r="C950" s="6" t="s">
        <v>14598</v>
      </c>
      <c r="D950" s="6" t="s">
        <v>212</v>
      </c>
      <c r="E950" s="6" t="s">
        <v>14599</v>
      </c>
      <c r="F950" s="20" t="n">
        <f aca="false">Quarterly_Actuals!H276-Annual!G3</f>
        <v>0</v>
      </c>
      <c r="G950" s="6" t="str">
        <f aca="false">IF(ABS(F950)&lt;=H950,"PASS","FAIL")</f>
        <v>PASS</v>
      </c>
      <c r="H950" s="6" t="n">
        <v>0.5</v>
      </c>
      <c r="I950" s="6"/>
    </row>
    <row r="951" customFormat="false" ht="15" hidden="false" customHeight="false" outlineLevel="0" collapsed="false">
      <c r="A951" s="6" t="s">
        <v>14600</v>
      </c>
      <c r="B951" s="6" t="s">
        <v>14594</v>
      </c>
      <c r="C951" s="6" t="s">
        <v>14601</v>
      </c>
      <c r="D951" s="6" t="s">
        <v>212</v>
      </c>
      <c r="E951" s="6" t="s">
        <v>14602</v>
      </c>
      <c r="F951" s="20" t="n">
        <f aca="false">Quarterly_Actuals!H314-Annual!G4</f>
        <v>0</v>
      </c>
      <c r="G951" s="6" t="str">
        <f aca="false">IF(ABS(F951)&lt;=H951,"PASS","FAIL")</f>
        <v>PASS</v>
      </c>
      <c r="H951" s="6" t="n">
        <v>0.5</v>
      </c>
      <c r="I951" s="6"/>
    </row>
    <row r="952" customFormat="false" ht="15" hidden="false" customHeight="false" outlineLevel="0" collapsed="false">
      <c r="A952" s="6" t="s">
        <v>14603</v>
      </c>
      <c r="B952" s="6" t="s">
        <v>14594</v>
      </c>
      <c r="C952" s="6" t="s">
        <v>14604</v>
      </c>
      <c r="D952" s="6" t="s">
        <v>212</v>
      </c>
      <c r="E952" s="6" t="s">
        <v>14605</v>
      </c>
      <c r="F952" s="20" t="n">
        <f aca="false">Quarterly_Actuals!H390-Annual!G5</f>
        <v>0</v>
      </c>
      <c r="G952" s="6" t="str">
        <f aca="false">IF(ABS(F952)&lt;=H952,"PASS","FAIL")</f>
        <v>PASS</v>
      </c>
      <c r="H952" s="6" t="n">
        <v>0.5</v>
      </c>
      <c r="I952" s="6"/>
    </row>
    <row r="953" customFormat="false" ht="15" hidden="false" customHeight="false" outlineLevel="0" collapsed="false">
      <c r="A953" s="6" t="s">
        <v>14606</v>
      </c>
      <c r="B953" s="6" t="s">
        <v>14594</v>
      </c>
      <c r="C953" s="6" t="s">
        <v>14607</v>
      </c>
      <c r="D953" s="6" t="s">
        <v>212</v>
      </c>
      <c r="E953" s="6" t="s">
        <v>14608</v>
      </c>
      <c r="F953" s="20" t="n">
        <f aca="false">Quarterly_Actuals!H936-Annual!G6</f>
        <v>0</v>
      </c>
      <c r="G953" s="6" t="str">
        <f aca="false">IF(ABS(F953)&lt;=H953,"PASS","FAIL")</f>
        <v>PASS</v>
      </c>
      <c r="H953" s="6" t="n">
        <v>0.5</v>
      </c>
      <c r="I953" s="6"/>
    </row>
    <row r="954" customFormat="false" ht="15" hidden="false" customHeight="false" outlineLevel="0" collapsed="false">
      <c r="A954" s="6" t="s">
        <v>14609</v>
      </c>
      <c r="B954" s="6" t="s">
        <v>14594</v>
      </c>
      <c r="C954" s="6" t="s">
        <v>14610</v>
      </c>
      <c r="D954" s="6" t="s">
        <v>212</v>
      </c>
      <c r="E954" s="6" t="s">
        <v>14611</v>
      </c>
      <c r="F954" s="20" t="n">
        <f aca="false">Quarterly_Actuals!H878-Annual!G7</f>
        <v>0</v>
      </c>
      <c r="G954" s="6" t="str">
        <f aca="false">IF(ABS(F954)&lt;=H954,"PASS","FAIL")</f>
        <v>PASS</v>
      </c>
      <c r="H954" s="6" t="n">
        <v>0.5</v>
      </c>
      <c r="I954" s="6"/>
    </row>
    <row r="955" customFormat="false" ht="15" hidden="false" customHeight="false" outlineLevel="0" collapsed="false">
      <c r="A955" s="6" t="s">
        <v>14612</v>
      </c>
      <c r="B955" s="6" t="s">
        <v>14594</v>
      </c>
      <c r="C955" s="6" t="s">
        <v>14595</v>
      </c>
      <c r="D955" s="6" t="s">
        <v>220</v>
      </c>
      <c r="E955" s="6" t="s">
        <v>14613</v>
      </c>
      <c r="F955" s="20" t="n">
        <f aca="false">Quarterly_Actuals!H15-Annual!G8</f>
        <v>0</v>
      </c>
      <c r="G955" s="6" t="str">
        <f aca="false">IF(ABS(F955)&lt;=H955,"PASS","FAIL")</f>
        <v>PASS</v>
      </c>
      <c r="H955" s="6" t="n">
        <v>0.5</v>
      </c>
      <c r="I955" s="6"/>
    </row>
    <row r="956" customFormat="false" ht="15" hidden="false" customHeight="false" outlineLevel="0" collapsed="false">
      <c r="A956" s="6" t="s">
        <v>14614</v>
      </c>
      <c r="B956" s="6" t="s">
        <v>14594</v>
      </c>
      <c r="C956" s="6" t="s">
        <v>14598</v>
      </c>
      <c r="D956" s="6" t="s">
        <v>220</v>
      </c>
      <c r="E956" s="6" t="s">
        <v>14615</v>
      </c>
      <c r="F956" s="20" t="n">
        <f aca="false">Quarterly_Actuals!H283-Annual!G9</f>
        <v>0</v>
      </c>
      <c r="G956" s="6" t="str">
        <f aca="false">IF(ABS(F956)&lt;=H956,"PASS","FAIL")</f>
        <v>PASS</v>
      </c>
      <c r="H956" s="6" t="n">
        <v>0.5</v>
      </c>
      <c r="I956" s="6"/>
    </row>
    <row r="957" customFormat="false" ht="15" hidden="false" customHeight="false" outlineLevel="0" collapsed="false">
      <c r="A957" s="6" t="s">
        <v>14616</v>
      </c>
      <c r="B957" s="6" t="s">
        <v>14594</v>
      </c>
      <c r="C957" s="6" t="s">
        <v>14601</v>
      </c>
      <c r="D957" s="6" t="s">
        <v>220</v>
      </c>
      <c r="E957" s="6" t="s">
        <v>14617</v>
      </c>
      <c r="F957" s="20" t="n">
        <f aca="false">Quarterly_Actuals!H321-Annual!G10</f>
        <v>0</v>
      </c>
      <c r="G957" s="6" t="str">
        <f aca="false">IF(ABS(F957)&lt;=H957,"PASS","FAIL")</f>
        <v>PASS</v>
      </c>
      <c r="H957" s="6" t="n">
        <v>0.5</v>
      </c>
      <c r="I957" s="6"/>
    </row>
    <row r="958" customFormat="false" ht="15" hidden="false" customHeight="false" outlineLevel="0" collapsed="false">
      <c r="A958" s="6" t="s">
        <v>14618</v>
      </c>
      <c r="B958" s="6" t="s">
        <v>14594</v>
      </c>
      <c r="C958" s="6" t="s">
        <v>14604</v>
      </c>
      <c r="D958" s="6" t="s">
        <v>220</v>
      </c>
      <c r="E958" s="6" t="s">
        <v>14619</v>
      </c>
      <c r="F958" s="20" t="n">
        <f aca="false">Quarterly_Actuals!H397-Annual!G11</f>
        <v>0</v>
      </c>
      <c r="G958" s="6" t="str">
        <f aca="false">IF(ABS(F958)&lt;=H958,"PASS","FAIL")</f>
        <v>PASS</v>
      </c>
      <c r="H958" s="6" t="n">
        <v>0.5</v>
      </c>
      <c r="I958" s="6"/>
    </row>
    <row r="959" customFormat="false" ht="15" hidden="false" customHeight="false" outlineLevel="0" collapsed="false">
      <c r="A959" s="6" t="s">
        <v>14620</v>
      </c>
      <c r="B959" s="6" t="s">
        <v>14594</v>
      </c>
      <c r="C959" s="6" t="s">
        <v>14607</v>
      </c>
      <c r="D959" s="6" t="s">
        <v>220</v>
      </c>
      <c r="E959" s="6" t="s">
        <v>14621</v>
      </c>
      <c r="F959" s="20" t="n">
        <f aca="false">Quarterly_Actuals!H943-Annual!G12</f>
        <v>0</v>
      </c>
      <c r="G959" s="6" t="str">
        <f aca="false">IF(ABS(F959)&lt;=H959,"PASS","FAIL")</f>
        <v>PASS</v>
      </c>
      <c r="H959" s="6" t="n">
        <v>0.5</v>
      </c>
      <c r="I959" s="6"/>
    </row>
    <row r="960" customFormat="false" ht="15" hidden="false" customHeight="false" outlineLevel="0" collapsed="false">
      <c r="A960" s="6" t="s">
        <v>14622</v>
      </c>
      <c r="B960" s="6" t="s">
        <v>14594</v>
      </c>
      <c r="C960" s="6" t="s">
        <v>14610</v>
      </c>
      <c r="D960" s="6" t="s">
        <v>220</v>
      </c>
      <c r="E960" s="6" t="s">
        <v>14623</v>
      </c>
      <c r="F960" s="20" t="n">
        <f aca="false">Quarterly_Actuals!H885-Annual!G13</f>
        <v>0</v>
      </c>
      <c r="G960" s="6" t="str">
        <f aca="false">IF(ABS(F960)&lt;=H960,"PASS","FAIL")</f>
        <v>PASS</v>
      </c>
      <c r="H960" s="6" t="n">
        <v>0.5</v>
      </c>
      <c r="I960" s="6"/>
    </row>
    <row r="961" customFormat="false" ht="15" hidden="false" customHeight="false" outlineLevel="0" collapsed="false">
      <c r="A961" s="6" t="s">
        <v>14624</v>
      </c>
      <c r="B961" s="6" t="s">
        <v>14594</v>
      </c>
      <c r="C961" s="6" t="s">
        <v>14595</v>
      </c>
      <c r="D961" s="6" t="s">
        <v>225</v>
      </c>
      <c r="E961" s="6" t="s">
        <v>14625</v>
      </c>
      <c r="F961" s="20" t="n">
        <f aca="false">Quarterly_Actuals!H22-Annual!G14</f>
        <v>0</v>
      </c>
      <c r="G961" s="6" t="str">
        <f aca="false">IF(ABS(F961)&lt;=H961,"PASS","FAIL")</f>
        <v>PASS</v>
      </c>
      <c r="H961" s="6" t="n">
        <v>0.5</v>
      </c>
      <c r="I961" s="6"/>
    </row>
    <row r="962" customFormat="false" ht="15" hidden="false" customHeight="false" outlineLevel="0" collapsed="false">
      <c r="A962" s="6" t="s">
        <v>14626</v>
      </c>
      <c r="B962" s="6" t="s">
        <v>14594</v>
      </c>
      <c r="C962" s="6" t="s">
        <v>14598</v>
      </c>
      <c r="D962" s="6" t="s">
        <v>225</v>
      </c>
      <c r="E962" s="6" t="s">
        <v>14627</v>
      </c>
      <c r="F962" s="20" t="n">
        <f aca="false">Quarterly_Actuals!H290-Annual!G15</f>
        <v>0</v>
      </c>
      <c r="G962" s="6" t="str">
        <f aca="false">IF(ABS(F962)&lt;=H962,"PASS","FAIL")</f>
        <v>PASS</v>
      </c>
      <c r="H962" s="6" t="n">
        <v>0.5</v>
      </c>
      <c r="I962" s="6"/>
    </row>
    <row r="963" customFormat="false" ht="15" hidden="false" customHeight="false" outlineLevel="0" collapsed="false">
      <c r="A963" s="6" t="s">
        <v>14628</v>
      </c>
      <c r="B963" s="6" t="s">
        <v>14594</v>
      </c>
      <c r="C963" s="6" t="s">
        <v>14601</v>
      </c>
      <c r="D963" s="6" t="s">
        <v>225</v>
      </c>
      <c r="E963" s="6" t="s">
        <v>14629</v>
      </c>
      <c r="F963" s="20" t="n">
        <f aca="false">Quarterly_Actuals!H328-Annual!G16</f>
        <v>0</v>
      </c>
      <c r="G963" s="6" t="str">
        <f aca="false">IF(ABS(F963)&lt;=H963,"PASS","FAIL")</f>
        <v>PASS</v>
      </c>
      <c r="H963" s="6" t="n">
        <v>0.5</v>
      </c>
      <c r="I963" s="6"/>
    </row>
    <row r="964" customFormat="false" ht="15" hidden="false" customHeight="false" outlineLevel="0" collapsed="false">
      <c r="A964" s="6" t="s">
        <v>14630</v>
      </c>
      <c r="B964" s="6" t="s">
        <v>14594</v>
      </c>
      <c r="C964" s="6" t="s">
        <v>14604</v>
      </c>
      <c r="D964" s="6" t="s">
        <v>225</v>
      </c>
      <c r="E964" s="6" t="s">
        <v>14631</v>
      </c>
      <c r="F964" s="20" t="n">
        <f aca="false">Quarterly_Actuals!H404-Annual!G17</f>
        <v>0</v>
      </c>
      <c r="G964" s="6" t="str">
        <f aca="false">IF(ABS(F964)&lt;=H964,"PASS","FAIL")</f>
        <v>PASS</v>
      </c>
      <c r="H964" s="6" t="n">
        <v>0.5</v>
      </c>
      <c r="I964" s="6"/>
    </row>
    <row r="965" customFormat="false" ht="15" hidden="false" customHeight="false" outlineLevel="0" collapsed="false">
      <c r="A965" s="6" t="s">
        <v>14632</v>
      </c>
      <c r="B965" s="6" t="s">
        <v>14594</v>
      </c>
      <c r="C965" s="6" t="s">
        <v>14607</v>
      </c>
      <c r="D965" s="6" t="s">
        <v>225</v>
      </c>
      <c r="E965" s="6" t="s">
        <v>14633</v>
      </c>
      <c r="F965" s="20" t="n">
        <f aca="false">Quarterly_Actuals!H950-Annual!G18</f>
        <v>0</v>
      </c>
      <c r="G965" s="6" t="str">
        <f aca="false">IF(ABS(F965)&lt;=H965,"PASS","FAIL")</f>
        <v>PASS</v>
      </c>
      <c r="H965" s="6" t="n">
        <v>0.5</v>
      </c>
      <c r="I965" s="6"/>
    </row>
    <row r="966" customFormat="false" ht="15" hidden="false" customHeight="false" outlineLevel="0" collapsed="false">
      <c r="A966" s="6" t="s">
        <v>14634</v>
      </c>
      <c r="B966" s="6" t="s">
        <v>14594</v>
      </c>
      <c r="C966" s="6" t="s">
        <v>14610</v>
      </c>
      <c r="D966" s="6" t="s">
        <v>225</v>
      </c>
      <c r="E966" s="6" t="s">
        <v>14635</v>
      </c>
      <c r="F966" s="20" t="n">
        <f aca="false">Quarterly_Actuals!H892-Annual!G19</f>
        <v>0</v>
      </c>
      <c r="G966" s="6" t="str">
        <f aca="false">IF(ABS(F966)&lt;=H966,"PASS","FAIL")</f>
        <v>PASS</v>
      </c>
      <c r="H966" s="6" t="n">
        <v>0.5</v>
      </c>
      <c r="I966" s="6"/>
    </row>
    <row r="967" customFormat="false" ht="15" hidden="false" customHeight="false" outlineLevel="0" collapsed="false">
      <c r="A967" s="6" t="s">
        <v>14636</v>
      </c>
      <c r="B967" s="6" t="s">
        <v>14594</v>
      </c>
      <c r="C967" s="6" t="s">
        <v>14595</v>
      </c>
      <c r="D967" s="6" t="s">
        <v>230</v>
      </c>
      <c r="E967" s="6" t="s">
        <v>14637</v>
      </c>
      <c r="F967" s="20" t="n">
        <f aca="false">Quarterly_Actuals!H29-Annual!G20</f>
        <v>0</v>
      </c>
      <c r="G967" s="6" t="str">
        <f aca="false">IF(ABS(F967)&lt;=H967,"PASS","FAIL")</f>
        <v>PASS</v>
      </c>
      <c r="H967" s="6" t="n">
        <v>0.5</v>
      </c>
      <c r="I967" s="6"/>
    </row>
    <row r="968" customFormat="false" ht="15" hidden="false" customHeight="false" outlineLevel="0" collapsed="false">
      <c r="A968" s="6" t="s">
        <v>14638</v>
      </c>
      <c r="B968" s="6" t="s">
        <v>14594</v>
      </c>
      <c r="C968" s="6" t="s">
        <v>14598</v>
      </c>
      <c r="D968" s="6" t="s">
        <v>230</v>
      </c>
      <c r="E968" s="6" t="s">
        <v>14639</v>
      </c>
      <c r="F968" s="20" t="n">
        <f aca="false">Quarterly_Actuals!H297-Annual!G21</f>
        <v>0</v>
      </c>
      <c r="G968" s="6" t="str">
        <f aca="false">IF(ABS(F968)&lt;=H968,"PASS","FAIL")</f>
        <v>PASS</v>
      </c>
      <c r="H968" s="6" t="n">
        <v>0.5</v>
      </c>
      <c r="I968" s="6"/>
    </row>
    <row r="969" customFormat="false" ht="15" hidden="false" customHeight="false" outlineLevel="0" collapsed="false">
      <c r="A969" s="6" t="s">
        <v>14640</v>
      </c>
      <c r="B969" s="6" t="s">
        <v>14594</v>
      </c>
      <c r="C969" s="6" t="s">
        <v>14601</v>
      </c>
      <c r="D969" s="6" t="s">
        <v>230</v>
      </c>
      <c r="E969" s="6" t="s">
        <v>14641</v>
      </c>
      <c r="F969" s="20" t="n">
        <f aca="false">Quarterly_Actuals!H335-Annual!G22</f>
        <v>0</v>
      </c>
      <c r="G969" s="6" t="str">
        <f aca="false">IF(ABS(F969)&lt;=H969,"PASS","FAIL")</f>
        <v>PASS</v>
      </c>
      <c r="H969" s="6" t="n">
        <v>0.5</v>
      </c>
      <c r="I969" s="6"/>
    </row>
    <row r="970" customFormat="false" ht="15" hidden="false" customHeight="false" outlineLevel="0" collapsed="false">
      <c r="A970" s="6" t="s">
        <v>14642</v>
      </c>
      <c r="B970" s="6" t="s">
        <v>14594</v>
      </c>
      <c r="C970" s="6" t="s">
        <v>14604</v>
      </c>
      <c r="D970" s="6" t="s">
        <v>230</v>
      </c>
      <c r="E970" s="6" t="s">
        <v>14643</v>
      </c>
      <c r="F970" s="20" t="n">
        <f aca="false">Quarterly_Actuals!H411-Annual!G23</f>
        <v>0</v>
      </c>
      <c r="G970" s="6" t="str">
        <f aca="false">IF(ABS(F970)&lt;=H970,"PASS","FAIL")</f>
        <v>PASS</v>
      </c>
      <c r="H970" s="6" t="n">
        <v>0.5</v>
      </c>
      <c r="I970" s="6"/>
    </row>
    <row r="971" customFormat="false" ht="15" hidden="false" customHeight="false" outlineLevel="0" collapsed="false">
      <c r="A971" s="6" t="s">
        <v>14644</v>
      </c>
      <c r="B971" s="6" t="s">
        <v>14594</v>
      </c>
      <c r="C971" s="6" t="s">
        <v>14607</v>
      </c>
      <c r="D971" s="6" t="s">
        <v>230</v>
      </c>
      <c r="E971" s="6" t="s">
        <v>14645</v>
      </c>
      <c r="F971" s="20" t="n">
        <f aca="false">Quarterly_Actuals!H957-Annual!G24</f>
        <v>0</v>
      </c>
      <c r="G971" s="6" t="str">
        <f aca="false">IF(ABS(F971)&lt;=H971,"PASS","FAIL")</f>
        <v>PASS</v>
      </c>
      <c r="H971" s="6" t="n">
        <v>0.5</v>
      </c>
      <c r="I971" s="6"/>
    </row>
    <row r="972" customFormat="false" ht="15" hidden="false" customHeight="false" outlineLevel="0" collapsed="false">
      <c r="A972" s="6" t="s">
        <v>14646</v>
      </c>
      <c r="B972" s="6" t="s">
        <v>14594</v>
      </c>
      <c r="C972" s="6" t="s">
        <v>14610</v>
      </c>
      <c r="D972" s="6" t="s">
        <v>230</v>
      </c>
      <c r="E972" s="6" t="s">
        <v>14647</v>
      </c>
      <c r="F972" s="20" t="n">
        <f aca="false">Quarterly_Actuals!H899-Annual!G25</f>
        <v>0</v>
      </c>
      <c r="G972" s="6" t="str">
        <f aca="false">IF(ABS(F972)&lt;=H972,"PASS","FAIL")</f>
        <v>PASS</v>
      </c>
      <c r="H972" s="6" t="n">
        <v>0.5</v>
      </c>
      <c r="I972" s="6"/>
    </row>
    <row r="973" customFormat="false" ht="15" hidden="false" customHeight="false" outlineLevel="0" collapsed="false">
      <c r="A973" s="6" t="s">
        <v>14648</v>
      </c>
      <c r="B973" s="6" t="s">
        <v>14594</v>
      </c>
      <c r="C973" s="6" t="s">
        <v>14595</v>
      </c>
      <c r="D973" s="6" t="s">
        <v>235</v>
      </c>
      <c r="E973" s="6" t="s">
        <v>14649</v>
      </c>
      <c r="F973" s="20" t="n">
        <f aca="false">Quarterly_Actuals!H36-Annual!G26</f>
        <v>0</v>
      </c>
      <c r="G973" s="6" t="str">
        <f aca="false">IF(ABS(F973)&lt;=H973,"PASS","FAIL")</f>
        <v>PASS</v>
      </c>
      <c r="H973" s="6" t="n">
        <v>0.5</v>
      </c>
      <c r="I973" s="6"/>
    </row>
    <row r="974" customFormat="false" ht="15" hidden="false" customHeight="false" outlineLevel="0" collapsed="false">
      <c r="A974" s="6" t="s">
        <v>14650</v>
      </c>
      <c r="B974" s="6" t="s">
        <v>14594</v>
      </c>
      <c r="C974" s="6" t="s">
        <v>14598</v>
      </c>
      <c r="D974" s="6" t="s">
        <v>235</v>
      </c>
      <c r="E974" s="6" t="s">
        <v>14651</v>
      </c>
      <c r="F974" s="20" t="n">
        <f aca="false">Quarterly_Actuals!H304-Annual!G27</f>
        <v>0</v>
      </c>
      <c r="G974" s="6" t="str">
        <f aca="false">IF(ABS(F974)&lt;=H974,"PASS","FAIL")</f>
        <v>PASS</v>
      </c>
      <c r="H974" s="6" t="n">
        <v>0.5</v>
      </c>
      <c r="I974" s="6"/>
    </row>
    <row r="975" customFormat="false" ht="15" hidden="false" customHeight="false" outlineLevel="0" collapsed="false">
      <c r="A975" s="6" t="s">
        <v>14652</v>
      </c>
      <c r="B975" s="6" t="s">
        <v>14594</v>
      </c>
      <c r="C975" s="6" t="s">
        <v>14601</v>
      </c>
      <c r="D975" s="6" t="s">
        <v>235</v>
      </c>
      <c r="E975" s="6" t="s">
        <v>14653</v>
      </c>
      <c r="F975" s="20" t="n">
        <f aca="false">Quarterly_Actuals!H342-Annual!G28</f>
        <v>0</v>
      </c>
      <c r="G975" s="6" t="str">
        <f aca="false">IF(ABS(F975)&lt;=H975,"PASS","FAIL")</f>
        <v>PASS</v>
      </c>
      <c r="H975" s="6" t="n">
        <v>0.5</v>
      </c>
      <c r="I975" s="6"/>
    </row>
    <row r="976" customFormat="false" ht="15" hidden="false" customHeight="false" outlineLevel="0" collapsed="false">
      <c r="A976" s="6" t="s">
        <v>14654</v>
      </c>
      <c r="B976" s="6" t="s">
        <v>14594</v>
      </c>
      <c r="C976" s="6" t="s">
        <v>14604</v>
      </c>
      <c r="D976" s="6" t="s">
        <v>235</v>
      </c>
      <c r="E976" s="6" t="s">
        <v>14655</v>
      </c>
      <c r="F976" s="20" t="n">
        <f aca="false">Quarterly_Actuals!H418-Annual!G29</f>
        <v>0</v>
      </c>
      <c r="G976" s="6" t="str">
        <f aca="false">IF(ABS(F976)&lt;=H976,"PASS","FAIL")</f>
        <v>PASS</v>
      </c>
      <c r="H976" s="6" t="n">
        <v>0.5</v>
      </c>
      <c r="I976" s="6"/>
    </row>
    <row r="977" customFormat="false" ht="15" hidden="false" customHeight="false" outlineLevel="0" collapsed="false">
      <c r="A977" s="6" t="s">
        <v>14656</v>
      </c>
      <c r="B977" s="6" t="s">
        <v>14594</v>
      </c>
      <c r="C977" s="6" t="s">
        <v>14607</v>
      </c>
      <c r="D977" s="6" t="s">
        <v>235</v>
      </c>
      <c r="E977" s="6" t="s">
        <v>14657</v>
      </c>
      <c r="F977" s="20" t="n">
        <f aca="false">Quarterly_Actuals!H964-Annual!G30</f>
        <v>0</v>
      </c>
      <c r="G977" s="6" t="str">
        <f aca="false">IF(ABS(F977)&lt;=H977,"PASS","FAIL")</f>
        <v>PASS</v>
      </c>
      <c r="H977" s="6" t="n">
        <v>0.5</v>
      </c>
      <c r="I977" s="6"/>
    </row>
    <row r="978" customFormat="false" ht="15" hidden="false" customHeight="false" outlineLevel="0" collapsed="false">
      <c r="A978" s="6" t="s">
        <v>14658</v>
      </c>
      <c r="B978" s="6" t="s">
        <v>14594</v>
      </c>
      <c r="C978" s="6" t="s">
        <v>14610</v>
      </c>
      <c r="D978" s="6" t="s">
        <v>235</v>
      </c>
      <c r="E978" s="6" t="s">
        <v>14659</v>
      </c>
      <c r="F978" s="20" t="n">
        <f aca="false">Quarterly_Actuals!H906-Annual!G31</f>
        <v>0</v>
      </c>
      <c r="G978" s="6" t="str">
        <f aca="false">IF(ABS(F978)&lt;=H978,"PASS","FAIL")</f>
        <v>PASS</v>
      </c>
      <c r="H978" s="6" t="n">
        <v>0.5</v>
      </c>
      <c r="I978" s="6"/>
    </row>
    <row r="979" customFormat="false" ht="15" hidden="false" customHeight="false" outlineLevel="0" collapsed="false">
      <c r="A979" s="6" t="s">
        <v>14660</v>
      </c>
      <c r="B979" s="6" t="s">
        <v>14661</v>
      </c>
      <c r="C979" s="6" t="s">
        <v>14662</v>
      </c>
      <c r="D979" s="6" t="s">
        <v>212</v>
      </c>
      <c r="E979" s="6" t="s">
        <v>14663</v>
      </c>
      <c r="F979" s="20" t="n">
        <f aca="false">Quarterly_Actuals!H276-Annual!G32</f>
        <v>-30</v>
      </c>
      <c r="G979" s="6" t="str">
        <f aca="false">IF(ABS(F979)&lt;=H979,"PASS","FAIL")</f>
        <v>FAIL</v>
      </c>
      <c r="H979" s="6" t="n">
        <v>0.5</v>
      </c>
      <c r="I979" s="6" t="s">
        <v>14664</v>
      </c>
    </row>
    <row r="980" customFormat="false" ht="15" hidden="false" customHeight="false" outlineLevel="0" collapsed="false">
      <c r="A980" s="6" t="s">
        <v>14665</v>
      </c>
      <c r="B980" s="6" t="s">
        <v>14661</v>
      </c>
      <c r="C980" s="6" t="s">
        <v>14666</v>
      </c>
      <c r="D980" s="6" t="s">
        <v>212</v>
      </c>
      <c r="E980" s="6" t="s">
        <v>14667</v>
      </c>
      <c r="F980" s="20" t="n">
        <f aca="false">Quarterly_Actuals!H1074-Quarterly_Actuals!H1564</f>
        <v>2597</v>
      </c>
      <c r="G980" s="6" t="str">
        <f aca="false">IF(ABS(F980)&lt;=H980,"PASS","FAIL")</f>
        <v>FAIL</v>
      </c>
      <c r="H980" s="6" t="n">
        <v>0.5</v>
      </c>
      <c r="I980" s="6" t="s">
        <v>14668</v>
      </c>
    </row>
    <row r="981" customFormat="false" ht="15" hidden="false" customHeight="false" outlineLevel="0" collapsed="false">
      <c r="A981" s="6" t="s">
        <v>14669</v>
      </c>
      <c r="B981" s="6" t="s">
        <v>14670</v>
      </c>
      <c r="C981" s="6" t="s">
        <v>14671</v>
      </c>
      <c r="D981" s="6" t="s">
        <v>5245</v>
      </c>
      <c r="E981" s="6" t="s">
        <v>14672</v>
      </c>
      <c r="F981" s="20" t="n">
        <f aca="false">ROUND(Quarterly_Actuals!H1541/1000,0)-Quarterly_Actuals!H1532</f>
        <v>69</v>
      </c>
      <c r="G981" s="6" t="str">
        <f aca="false">IF(ABS(F981)&lt;=H981,"PASS","FAIL")</f>
        <v>FAIL</v>
      </c>
      <c r="H981" s="6" t="n">
        <v>0.5</v>
      </c>
      <c r="I981" s="6" t="s">
        <v>14673</v>
      </c>
    </row>
    <row r="982" customFormat="false" ht="15" hidden="false" customHeight="false" outlineLevel="0" collapsed="false">
      <c r="A982" s="6" t="s">
        <v>14674</v>
      </c>
      <c r="B982" s="6" t="s">
        <v>14670</v>
      </c>
      <c r="C982" s="6" t="s">
        <v>14671</v>
      </c>
      <c r="D982" s="6" t="s">
        <v>5072</v>
      </c>
      <c r="E982" s="6" t="s">
        <v>14675</v>
      </c>
      <c r="F982" s="20" t="n">
        <f aca="false">ROUND(Quarterly_Actuals!H1542/1000,0)-Quarterly_Actuals!H1534</f>
        <v>0</v>
      </c>
      <c r="G982" s="6" t="str">
        <f aca="false">IF(ABS(F982)&lt;=H982,"PASS","FAIL")</f>
        <v>PASS</v>
      </c>
      <c r="H982" s="6" t="n">
        <v>0.5</v>
      </c>
      <c r="I982" s="6"/>
    </row>
    <row r="983" customFormat="false" ht="15" hidden="false" customHeight="false" outlineLevel="0" collapsed="false">
      <c r="A983" s="6" t="s">
        <v>14676</v>
      </c>
      <c r="B983" s="6" t="s">
        <v>14670</v>
      </c>
      <c r="C983" s="6" t="s">
        <v>14671</v>
      </c>
      <c r="D983" s="6" t="s">
        <v>5249</v>
      </c>
      <c r="E983" s="6" t="s">
        <v>14677</v>
      </c>
      <c r="F983" s="20" t="n">
        <f aca="false">ROUND(Quarterly_Actuals!H1543/1000,0)-Quarterly_Actuals!H1536</f>
        <v>0</v>
      </c>
      <c r="G983" s="6" t="str">
        <f aca="false">IF(ABS(F983)&lt;=H983,"PASS","FAIL")</f>
        <v>PASS</v>
      </c>
      <c r="H983" s="6" t="n">
        <v>0.5</v>
      </c>
      <c r="I983" s="6"/>
    </row>
  </sheetData>
  <autoFilter ref="A1:I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22"/>
    <col collapsed="false" customWidth="true" hidden="false" outlineLevel="0" max="4" min="4" style="0" width="45"/>
    <col collapsed="false" customWidth="true" hidden="false" outlineLevel="0" max="5" min="5" style="0" width="55"/>
    <col collapsed="false" customWidth="true" hidden="false" outlineLevel="0" max="7" min="6" style="0" width="50"/>
  </cols>
  <sheetData>
    <row r="1" customFormat="false" ht="15" hidden="false" customHeight="false" outlineLevel="0" collapsed="false">
      <c r="A1" s="5" t="s">
        <v>14678</v>
      </c>
      <c r="B1" s="5" t="s">
        <v>14679</v>
      </c>
      <c r="C1" s="5" t="s">
        <v>14680</v>
      </c>
      <c r="D1" s="5" t="s">
        <v>14681</v>
      </c>
      <c r="E1" s="5" t="s">
        <v>14682</v>
      </c>
      <c r="F1" s="5" t="s">
        <v>14683</v>
      </c>
      <c r="G1" s="5" t="s">
        <v>99</v>
      </c>
    </row>
    <row r="2" customFormat="false" ht="57.45" hidden="false" customHeight="false" outlineLevel="0" collapsed="false">
      <c r="A2" s="4" t="s">
        <v>14684</v>
      </c>
      <c r="B2" s="4" t="s">
        <v>14685</v>
      </c>
      <c r="C2" s="4" t="s">
        <v>14686</v>
      </c>
      <c r="D2" s="4" t="s">
        <v>14687</v>
      </c>
      <c r="E2" s="4" t="s">
        <v>14688</v>
      </c>
      <c r="F2" s="4" t="s">
        <v>14689</v>
      </c>
      <c r="G2" s="4" t="s">
        <v>14690</v>
      </c>
    </row>
    <row r="3" customFormat="false" ht="35.05" hidden="false" customHeight="false" outlineLevel="0" collapsed="false">
      <c r="A3" s="4" t="s">
        <v>14691</v>
      </c>
      <c r="B3" s="4" t="s">
        <v>14692</v>
      </c>
      <c r="C3" s="4" t="s">
        <v>14686</v>
      </c>
      <c r="D3" s="4" t="s">
        <v>14687</v>
      </c>
      <c r="E3" s="4" t="s">
        <v>14693</v>
      </c>
      <c r="F3" s="4" t="s">
        <v>14694</v>
      </c>
      <c r="G3" s="4"/>
    </row>
    <row r="4" customFormat="false" ht="46.25" hidden="false" customHeight="false" outlineLevel="0" collapsed="false">
      <c r="A4" s="4" t="s">
        <v>14695</v>
      </c>
      <c r="B4" s="4" t="s">
        <v>14696</v>
      </c>
      <c r="C4" s="4" t="s">
        <v>14686</v>
      </c>
      <c r="D4" s="4" t="s">
        <v>14687</v>
      </c>
      <c r="E4" s="4" t="s">
        <v>14697</v>
      </c>
      <c r="F4" s="4" t="s">
        <v>14698</v>
      </c>
      <c r="G4" s="4"/>
    </row>
    <row r="5" customFormat="false" ht="35.05" hidden="false" customHeight="false" outlineLevel="0" collapsed="false">
      <c r="A5" s="4" t="s">
        <v>14699</v>
      </c>
      <c r="B5" s="4" t="s">
        <v>14700</v>
      </c>
      <c r="C5" s="4" t="s">
        <v>14686</v>
      </c>
      <c r="D5" s="4" t="s">
        <v>14687</v>
      </c>
      <c r="E5" s="4" t="s">
        <v>14701</v>
      </c>
      <c r="F5" s="4" t="s">
        <v>14702</v>
      </c>
      <c r="G5" s="4"/>
    </row>
    <row r="6" customFormat="false" ht="35.05" hidden="false" customHeight="false" outlineLevel="0" collapsed="false">
      <c r="A6" s="4" t="s">
        <v>14703</v>
      </c>
      <c r="B6" s="4" t="s">
        <v>14704</v>
      </c>
      <c r="C6" s="4" t="s">
        <v>14686</v>
      </c>
      <c r="D6" s="4" t="s">
        <v>14687</v>
      </c>
      <c r="E6" s="4" t="s">
        <v>14705</v>
      </c>
      <c r="F6" s="4" t="s">
        <v>14706</v>
      </c>
      <c r="G6" s="4"/>
    </row>
    <row r="7" customFormat="false" ht="35.05" hidden="false" customHeight="false" outlineLevel="0" collapsed="false">
      <c r="A7" s="4" t="s">
        <v>14707</v>
      </c>
      <c r="B7" s="4" t="s">
        <v>14708</v>
      </c>
      <c r="C7" s="4" t="s">
        <v>14686</v>
      </c>
      <c r="D7" s="4" t="s">
        <v>14687</v>
      </c>
      <c r="E7" s="4" t="s">
        <v>14709</v>
      </c>
      <c r="F7" s="4" t="s">
        <v>14710</v>
      </c>
      <c r="G7" s="4"/>
    </row>
    <row r="8" customFormat="false" ht="35.05" hidden="false" customHeight="false" outlineLevel="0" collapsed="false">
      <c r="A8" s="4" t="s">
        <v>14711</v>
      </c>
      <c r="B8" s="4" t="s">
        <v>14712</v>
      </c>
      <c r="C8" s="4" t="s">
        <v>14686</v>
      </c>
      <c r="D8" s="4" t="s">
        <v>14687</v>
      </c>
      <c r="E8" s="4" t="s">
        <v>14713</v>
      </c>
      <c r="F8" s="4" t="s">
        <v>14714</v>
      </c>
      <c r="G8" s="4"/>
    </row>
    <row r="9" customFormat="false" ht="46.25" hidden="false" customHeight="false" outlineLevel="0" collapsed="false">
      <c r="A9" s="4" t="s">
        <v>14715</v>
      </c>
      <c r="B9" s="4" t="s">
        <v>14716</v>
      </c>
      <c r="C9" s="4" t="s">
        <v>14686</v>
      </c>
      <c r="D9" s="4" t="s">
        <v>14687</v>
      </c>
      <c r="E9" s="4" t="s">
        <v>14717</v>
      </c>
      <c r="F9" s="4" t="s">
        <v>14718</v>
      </c>
      <c r="G9" s="4"/>
    </row>
    <row r="10" customFormat="false" ht="35.05" hidden="false" customHeight="false" outlineLevel="0" collapsed="false">
      <c r="A10" s="4" t="s">
        <v>14719</v>
      </c>
      <c r="B10" s="4" t="s">
        <v>14720</v>
      </c>
      <c r="C10" s="4" t="s">
        <v>14686</v>
      </c>
      <c r="D10" s="4" t="s">
        <v>14687</v>
      </c>
      <c r="E10" s="4" t="s">
        <v>14721</v>
      </c>
      <c r="F10" s="4" t="s">
        <v>14722</v>
      </c>
      <c r="G10" s="4"/>
    </row>
    <row r="11" customFormat="false" ht="35.05" hidden="false" customHeight="false" outlineLevel="0" collapsed="false">
      <c r="A11" s="4" t="s">
        <v>14723</v>
      </c>
      <c r="B11" s="4" t="s">
        <v>14724</v>
      </c>
      <c r="C11" s="4" t="s">
        <v>14686</v>
      </c>
      <c r="D11" s="4" t="s">
        <v>14687</v>
      </c>
      <c r="E11" s="4" t="s">
        <v>14725</v>
      </c>
      <c r="F11" s="4" t="s">
        <v>14726</v>
      </c>
      <c r="G11" s="4"/>
    </row>
    <row r="12" customFormat="false" ht="35.05" hidden="false" customHeight="false" outlineLevel="0" collapsed="false">
      <c r="A12" s="4" t="s">
        <v>14727</v>
      </c>
      <c r="B12" s="4" t="s">
        <v>14728</v>
      </c>
      <c r="C12" s="4" t="s">
        <v>14686</v>
      </c>
      <c r="D12" s="4" t="s">
        <v>14687</v>
      </c>
      <c r="E12" s="4" t="s">
        <v>14729</v>
      </c>
      <c r="F12" s="4" t="s">
        <v>14730</v>
      </c>
      <c r="G12" s="4"/>
    </row>
    <row r="13" customFormat="false" ht="35.05" hidden="false" customHeight="false" outlineLevel="0" collapsed="false">
      <c r="A13" s="4" t="s">
        <v>14731</v>
      </c>
      <c r="B13" s="4" t="s">
        <v>14732</v>
      </c>
      <c r="C13" s="4" t="s">
        <v>14686</v>
      </c>
      <c r="D13" s="4" t="s">
        <v>14687</v>
      </c>
      <c r="E13" s="4" t="s">
        <v>14733</v>
      </c>
      <c r="F13" s="4" t="s">
        <v>14734</v>
      </c>
      <c r="G13" s="4"/>
    </row>
    <row r="14" customFormat="false" ht="35.05" hidden="false" customHeight="false" outlineLevel="0" collapsed="false">
      <c r="A14" s="4" t="s">
        <v>14735</v>
      </c>
      <c r="B14" s="4" t="s">
        <v>14736</v>
      </c>
      <c r="C14" s="4" t="s">
        <v>14686</v>
      </c>
      <c r="D14" s="4" t="s">
        <v>14687</v>
      </c>
      <c r="E14" s="4" t="s">
        <v>14737</v>
      </c>
      <c r="F14" s="4" t="s">
        <v>14738</v>
      </c>
      <c r="G14" s="4"/>
    </row>
    <row r="15" customFormat="false" ht="23.85" hidden="false" customHeight="false" outlineLevel="0" collapsed="false">
      <c r="A15" s="4" t="s">
        <v>14739</v>
      </c>
      <c r="B15" s="4" t="s">
        <v>14740</v>
      </c>
      <c r="C15" s="4" t="s">
        <v>14741</v>
      </c>
      <c r="D15" s="4" t="s">
        <v>12233</v>
      </c>
      <c r="E15" s="4" t="s">
        <v>14742</v>
      </c>
      <c r="F15" s="4" t="s">
        <v>14743</v>
      </c>
      <c r="G15" s="4"/>
    </row>
    <row r="16" customFormat="false" ht="35.05" hidden="false" customHeight="false" outlineLevel="0" collapsed="false">
      <c r="A16" s="4" t="s">
        <v>14744</v>
      </c>
      <c r="B16" s="4" t="s">
        <v>14745</v>
      </c>
      <c r="C16" s="4" t="s">
        <v>14746</v>
      </c>
      <c r="D16" s="4" t="s">
        <v>14687</v>
      </c>
      <c r="E16" s="4" t="s">
        <v>14747</v>
      </c>
      <c r="F16" s="4" t="s">
        <v>14748</v>
      </c>
      <c r="G16" s="4"/>
    </row>
    <row r="17" customFormat="false" ht="35.05" hidden="false" customHeight="false" outlineLevel="0" collapsed="false">
      <c r="A17" s="4" t="s">
        <v>14749</v>
      </c>
      <c r="B17" s="4" t="s">
        <v>14750</v>
      </c>
      <c r="C17" s="4" t="s">
        <v>14751</v>
      </c>
      <c r="D17" s="4" t="s">
        <v>14687</v>
      </c>
      <c r="E17" s="4" t="s">
        <v>14752</v>
      </c>
      <c r="F17" s="4" t="s">
        <v>14753</v>
      </c>
      <c r="G17" s="4"/>
    </row>
    <row r="18" customFormat="false" ht="35.05" hidden="false" customHeight="false" outlineLevel="0" collapsed="false">
      <c r="A18" s="4" t="s">
        <v>14754</v>
      </c>
      <c r="B18" s="4" t="s">
        <v>14755</v>
      </c>
      <c r="C18" s="4" t="s">
        <v>14756</v>
      </c>
      <c r="D18" s="4" t="s">
        <v>14687</v>
      </c>
      <c r="E18" s="4" t="s">
        <v>14757</v>
      </c>
      <c r="F18" s="4" t="s">
        <v>14758</v>
      </c>
      <c r="G18" s="4"/>
    </row>
    <row r="19" customFormat="false" ht="35.05" hidden="false" customHeight="false" outlineLevel="0" collapsed="false">
      <c r="A19" s="4" t="s">
        <v>14759</v>
      </c>
      <c r="B19" s="4" t="s">
        <v>14760</v>
      </c>
      <c r="C19" s="4" t="s">
        <v>14686</v>
      </c>
      <c r="D19" s="4" t="s">
        <v>14687</v>
      </c>
      <c r="E19" s="4" t="s">
        <v>14761</v>
      </c>
      <c r="F19" s="4" t="s">
        <v>14762</v>
      </c>
      <c r="G19" s="4"/>
    </row>
    <row r="20" customFormat="false" ht="35.05" hidden="false" customHeight="false" outlineLevel="0" collapsed="false">
      <c r="A20" s="4" t="s">
        <v>14763</v>
      </c>
      <c r="B20" s="4" t="s">
        <v>14764</v>
      </c>
      <c r="C20" s="4" t="s">
        <v>14686</v>
      </c>
      <c r="D20" s="4" t="s">
        <v>14687</v>
      </c>
      <c r="E20" s="4" t="s">
        <v>14765</v>
      </c>
      <c r="F20" s="4" t="s">
        <v>14766</v>
      </c>
      <c r="G20" s="4"/>
    </row>
    <row r="21" customFormat="false" ht="23.85" hidden="false" customHeight="false" outlineLevel="0" collapsed="false">
      <c r="A21" s="4" t="s">
        <v>14767</v>
      </c>
      <c r="B21" s="4" t="s">
        <v>14768</v>
      </c>
      <c r="C21" s="4" t="s">
        <v>10538</v>
      </c>
      <c r="D21" s="4" t="s">
        <v>14769</v>
      </c>
      <c r="E21" s="4" t="s">
        <v>14770</v>
      </c>
      <c r="F21" s="4" t="s">
        <v>14771</v>
      </c>
      <c r="G21" s="4"/>
    </row>
    <row r="22" customFormat="false" ht="35.05" hidden="false" customHeight="false" outlineLevel="0" collapsed="false">
      <c r="A22" s="4" t="s">
        <v>14772</v>
      </c>
      <c r="B22" s="4" t="s">
        <v>14773</v>
      </c>
      <c r="C22" s="4" t="s">
        <v>14686</v>
      </c>
      <c r="D22" s="4" t="s">
        <v>14687</v>
      </c>
      <c r="E22" s="4" t="s">
        <v>14774</v>
      </c>
      <c r="F22" s="4" t="s">
        <v>14762</v>
      </c>
      <c r="G22" s="4"/>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2026-10-28T18:38:02Z</dcterms:created>
  <dc:creator>openpyxl</dc:creator>
  <dc:description/>
  <dc:language>en-US</dc:language>
  <cp:lastModifiedBy/>
  <dcterms:modified xsi:type="dcterms:W3CDTF">2026-10-28T18:38:04Z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